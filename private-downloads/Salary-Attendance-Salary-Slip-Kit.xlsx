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alary Slip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Attendance" sheetId="5" state="visible" r:id="rId5"/>
    <sheet xmlns:r="http://schemas.openxmlformats.org/officeDocument/2006/relationships" name="Salary Sheet" sheetId="6" state="visible" r:id="rId6"/>
  </sheets>
  <definedNames>
    <definedName name="_xlnm.Print_Area" localSheetId="1">'Salary Slip'!$B$2:$F$27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mm yyyy"/>
    <numFmt numFmtId="165" formatCode="dd-mm-yyyy"/>
    <numFmt numFmtId="166" formatCode="dd ddd"/>
  </numFmts>
  <fonts count="14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</font>
    <font>
      <i val="1"/>
      <color rgb="006B7280"/>
      <sz val="10"/>
    </font>
    <font>
      <b val="1"/>
      <color rgb="00FFFFFF"/>
    </font>
    <font>
      <b val="1"/>
      <color rgb="00002B5C"/>
    </font>
    <font>
      <b val="1"/>
      <color rgb="00FFFFFF"/>
      <sz val="16"/>
    </font>
    <font>
      <b val="1"/>
      <color rgb="00002B5C"/>
      <sz val="12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1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7" fillId="0" borderId="0" pivotButton="0" quotePrefix="0" xfId="0"/>
    <xf numFmtId="0" fontId="0" fillId="2" borderId="1" pivotButton="0" quotePrefix="0" xfId="0"/>
    <xf numFmtId="165" fontId="0" fillId="0" borderId="0" pivotButton="0" quotePrefix="0" xfId="0"/>
    <xf numFmtId="0" fontId="9" fillId="3" borderId="0" pivotButton="0" quotePrefix="0" xfId="0"/>
    <xf numFmtId="4" fontId="0" fillId="0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3" fillId="5" borderId="0" pivotButton="0" quotePrefix="0" xfId="0"/>
    <xf numFmtId="0" fontId="13" fillId="0" borderId="0" pivotButton="0" quotePrefix="0" xfId="0"/>
    <xf numFmtId="0" fontId="6" fillId="0" borderId="0" pivotButton="0" quotePrefix="0" xfId="0"/>
    <xf numFmtId="164" fontId="0" fillId="2" borderId="1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5" fontId="0" fillId="2" borderId="1" pivotButton="0" quotePrefix="0" xfId="0"/>
    <xf numFmtId="4" fontId="0" fillId="2" borderId="1" pivotButton="0" quotePrefix="0" xfId="0"/>
    <xf numFmtId="9" fontId="0" fillId="0" borderId="0" pivotButton="0" quotePrefix="0" xfId="0"/>
    <xf numFmtId="0" fontId="9" fillId="3" borderId="0" applyAlignment="1" pivotButton="0" quotePrefix="0" xfId="0">
      <alignment horizontal="center" wrapText="1"/>
    </xf>
    <xf numFmtId="166" fontId="9" fillId="3" borderId="0" applyAlignment="1" pivotButton="0" quotePrefix="0" xfId="0">
      <alignment horizontal="center" textRotation="90" wrapText="1"/>
    </xf>
    <xf numFmtId="4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1"/>
        </patternFill>
      </fill>
    </dxf>
    <dxf>
      <fill>
        <patternFill patternType="solid">
          <fgColor rgb="00F3F6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Salary Sheet + Attendance + Salary Slip Kit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'Setup': company name, address and the month you are processing (any date in that month).</t>
        </is>
      </c>
    </row>
    <row r="6">
      <c r="A6" s="4" t="n">
        <v>2</v>
      </c>
      <c r="B6" s="5" t="inlineStr">
        <is>
          <t>'Employees': one row per employee — monthly Basic, HRA and other allowances, and whether PF / ESI apply. Fill once; change only when salary changes.</t>
        </is>
      </c>
    </row>
    <row r="7">
      <c r="A7" s="4" t="n">
        <v>3</v>
      </c>
      <c r="B7" s="5" t="inlineStr">
        <is>
          <t>'Attendance': mark each day with P (present), A (absent), H (half day), L (paid leave), WO (weekly off) or HO (holiday). Paid days are counted automatically.</t>
        </is>
      </c>
    </row>
    <row r="8">
      <c r="A8" s="4" t="n">
        <v>4</v>
      </c>
      <c r="B8" s="5" t="inlineStr">
        <is>
          <t>'Salary Sheet' calculates earned salary for the paid days, PF, ESI, professional tax, TDS, advances and net pay for everyone.</t>
        </is>
      </c>
    </row>
    <row r="9">
      <c r="A9" s="4" t="n">
        <v>5</v>
      </c>
      <c r="B9" s="5" t="inlineStr">
        <is>
          <t>'Salary Slip': choose an employee code in C5 — a print-ready slip appears. Print or save as PDF, then pick the next code.</t>
        </is>
      </c>
    </row>
    <row r="10">
      <c r="A10" s="4" t="n">
        <v>6</v>
      </c>
      <c r="B10" s="5" t="inlineStr">
        <is>
          <t>Next month: File → Save As with the new month's name, change the month in Setup and clear the attendance.</t>
        </is>
      </c>
    </row>
    <row r="12">
      <c r="B12" s="3" t="inlineStr">
        <is>
          <t>Good to know</t>
        </is>
      </c>
    </row>
    <row r="13">
      <c r="B13" s="5" t="inlineStr">
        <is>
          <t>• PF: 12% of Basic for the employee and 12% by the employer, on Basic up to ₹15,000 a month (the usual wage ceiling; you can pay on higher Basic if you choose).</t>
        </is>
      </c>
    </row>
    <row r="14">
      <c r="B14" s="5" t="inlineStr">
        <is>
          <t>• ESI: 0.75% employee + 3.25% employer, for employees whose gross pay is up to ₹21,000 a month.</t>
        </is>
      </c>
    </row>
    <row r="15">
      <c r="B15" s="5" t="inlineStr">
        <is>
          <t>• Under the new Labour Codes (in force from 21 November 2025), 'wages' (Basic + DA + retaining allowance) should be at least 50% of total pay — the Employees sheet flags anyone below 50%.</t>
        </is>
      </c>
    </row>
    <row r="16">
      <c r="B16" s="5" t="inlineStr">
        <is>
          <t>• Professional tax and its slabs differ by state — enter the amount that applies to you. Haryana has no professional tax.</t>
        </is>
      </c>
    </row>
    <row r="17">
      <c r="B17" s="5" t="inlineStr">
        <is>
          <t>• Rates as of FY 2026-27 — check with your consultant if a rate changes.</t>
        </is>
      </c>
    </row>
    <row r="19">
      <c r="B19" s="6" t="inlineStr">
        <is>
          <t>Cells shaded light yellow are for your entries. White cells contain formulas — please don't type over them.</t>
        </is>
      </c>
    </row>
    <row r="21">
      <c r="B21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4" customWidth="1" min="4" max="4"/>
    <col width="26" customWidth="1" min="5" max="5"/>
    <col width="18" customWidth="1" min="6" max="6"/>
  </cols>
  <sheetData>
    <row r="2">
      <c r="B2" s="8">
        <f>Setup!B3</f>
        <v/>
      </c>
    </row>
    <row r="3">
      <c r="B3" s="9">
        <f>Setup!B4</f>
        <v/>
      </c>
    </row>
    <row r="4">
      <c r="B4" s="10">
        <f>"SALARY SLIP — "&amp;UPPER(TEXT(Setup!B5,"mmmm yyyy"))</f>
        <v/>
      </c>
    </row>
    <row r="5">
      <c r="B5" s="11" t="inlineStr">
        <is>
          <t>Employee code ▶</t>
        </is>
      </c>
      <c r="C5" s="12" t="inlineStr">
        <is>
          <t>E001</t>
        </is>
      </c>
    </row>
    <row r="7">
      <c r="B7" s="11" t="inlineStr">
        <is>
          <t>Name</t>
        </is>
      </c>
      <c r="C7">
        <f>IFERROR(INDEX(Employees!$B$5:$B$54,MATCH($C$5,Employees!$A$5:$A$54,0)),"")</f>
        <v/>
      </c>
      <c r="E7" s="11" t="inlineStr">
        <is>
          <t>Designation</t>
        </is>
      </c>
      <c r="F7">
        <f>IFERROR(INDEX(Employees!$C$5:$C$54,MATCH($C$5,Employees!$A$5:$A$54,0)),"")</f>
        <v/>
      </c>
    </row>
    <row r="8">
      <c r="B8" s="11" t="inlineStr">
        <is>
          <t>Date of joining</t>
        </is>
      </c>
      <c r="C8" s="13">
        <f>IFERROR(INDEX(Employees!$D$5:$D$54,MATCH($C$5,Employees!$A$5:$A$54,0)),"")</f>
        <v/>
      </c>
      <c r="E8" s="11" t="inlineStr">
        <is>
          <t>PAN</t>
        </is>
      </c>
      <c r="F8">
        <f>IFERROR(INDEX(Employees!$E$5:$E$54,MATCH($C$5,Employees!$A$5:$A$54,0)),"")</f>
        <v/>
      </c>
    </row>
    <row r="9">
      <c r="B9" s="11" t="inlineStr">
        <is>
          <t>UAN</t>
        </is>
      </c>
      <c r="C9">
        <f>IFERROR(INDEX(Employees!$F$5:$F$54,MATCH($C$5,Employees!$A$5:$A$54,0)),"")</f>
        <v/>
      </c>
      <c r="E9" s="11" t="inlineStr">
        <is>
          <t>ESI no.</t>
        </is>
      </c>
      <c r="F9">
        <f>IFERROR(INDEX(Employees!$G$5:$G$54,MATCH($C$5,Employees!$A$5:$A$54,0)),"")</f>
        <v/>
      </c>
    </row>
    <row r="10">
      <c r="B10" s="11" t="inlineStr">
        <is>
          <t>Bank A/c</t>
        </is>
      </c>
      <c r="C10">
        <f>IFERROR(INDEX(Employees!$H$5:$H$54,MATCH($C$5,Employees!$A$5:$A$54,0)),"")</f>
        <v/>
      </c>
      <c r="E10" s="11" t="inlineStr">
        <is>
          <t>Paid days</t>
        </is>
      </c>
      <c r="F10">
        <f>IFERROR(INDEX('Salary Sheet'!$C$5:$C$54,MATCH($C$5,'Salary Sheet'!$A$5:$A$54,0)),"")</f>
        <v/>
      </c>
    </row>
    <row r="12">
      <c r="B12" s="14" t="inlineStr">
        <is>
          <t>Earnings</t>
        </is>
      </c>
      <c r="C12" s="14" t="inlineStr">
        <is>
          <t>₹</t>
        </is>
      </c>
      <c r="E12" s="14" t="inlineStr">
        <is>
          <t>Deductions</t>
        </is>
      </c>
      <c r="F12" s="14" t="inlineStr">
        <is>
          <t>₹</t>
        </is>
      </c>
    </row>
    <row r="13">
      <c r="B13" t="inlineStr">
        <is>
          <t>Basic</t>
        </is>
      </c>
      <c r="C13" s="15">
        <f>IFERROR(INDEX('Salary Sheet'!$D$5:$D$54,MATCH($C$5,'Salary Sheet'!$A$5:$A$54,0)),0)</f>
        <v/>
      </c>
      <c r="E13" t="inlineStr">
        <is>
          <t>Provident Fund</t>
        </is>
      </c>
      <c r="F13" s="15">
        <f>IFERROR(INDEX('Salary Sheet'!$H$5:$H$54,MATCH($C$5,'Salary Sheet'!$A$5:$A$54,0)),0)</f>
        <v/>
      </c>
    </row>
    <row r="14">
      <c r="B14" t="inlineStr">
        <is>
          <t>HRA</t>
        </is>
      </c>
      <c r="C14" s="15">
        <f>IFERROR(INDEX('Salary Sheet'!$E$5:$E$54,MATCH($C$5,'Salary Sheet'!$A$5:$A$54,0)),0)</f>
        <v/>
      </c>
      <c r="E14" t="inlineStr">
        <is>
          <t>ESI</t>
        </is>
      </c>
      <c r="F14" s="15">
        <f>IFERROR(INDEX('Salary Sheet'!$I$5:$I$54,MATCH($C$5,'Salary Sheet'!$A$5:$A$54,0)),0)</f>
        <v/>
      </c>
    </row>
    <row r="15">
      <c r="B15" t="inlineStr">
        <is>
          <t>Other allowances</t>
        </is>
      </c>
      <c r="C15" s="15">
        <f>IFERROR(INDEX('Salary Sheet'!$F$5:$F$54,MATCH($C$5,'Salary Sheet'!$A$5:$A$54,0)),0)</f>
        <v/>
      </c>
      <c r="E15" t="inlineStr">
        <is>
          <t>Professional tax</t>
        </is>
      </c>
      <c r="F15" s="15">
        <f>IFERROR(INDEX('Salary Sheet'!$J$5:$J$54,MATCH($C$5,'Salary Sheet'!$A$5:$A$54,0)),0)</f>
        <v/>
      </c>
    </row>
    <row r="16">
      <c r="E16" t="inlineStr">
        <is>
          <t>TDS</t>
        </is>
      </c>
      <c r="F16" s="15">
        <f>IFERROR(INDEX('Salary Sheet'!$K$5:$K$54,MATCH($C$5,'Salary Sheet'!$A$5:$A$54,0)),0)</f>
        <v/>
      </c>
    </row>
    <row r="17">
      <c r="E17" t="inlineStr">
        <is>
          <t>Advance / other</t>
        </is>
      </c>
      <c r="F17" s="15">
        <f>IFERROR(INDEX('Salary Sheet'!$L$5:$L$54,MATCH($C$5,'Salary Sheet'!$A$5:$A$54,0)),0)</f>
        <v/>
      </c>
    </row>
    <row r="18">
      <c r="B18" s="16" t="inlineStr">
        <is>
          <t>Gross earnings</t>
        </is>
      </c>
      <c r="C18" s="17">
        <f>IFERROR(INDEX('Salary Sheet'!$G$5:$G$54,MATCH($C$5,'Salary Sheet'!$A$5:$A$54,0)),0)</f>
        <v/>
      </c>
      <c r="E18" s="16" t="inlineStr">
        <is>
          <t>Total deductions</t>
        </is>
      </c>
      <c r="F18" s="17">
        <f>IFERROR(INDEX('Salary Sheet'!$M$5:$M$54,MATCH($C$5,'Salary Sheet'!$A$5:$A$54,0)),0)</f>
        <v/>
      </c>
    </row>
    <row r="20">
      <c r="B20" s="3" t="inlineStr">
        <is>
          <t>NET PAY</t>
        </is>
      </c>
      <c r="F20" s="18">
        <f>IFERROR(INDEX('Salary Sheet'!$N$5:$N$54,MATCH($C$5,'Salary Sheet'!$A$5:$A$54,0)),0)</f>
        <v/>
      </c>
    </row>
    <row r="23">
      <c r="B23" s="19" t="inlineStr">
        <is>
          <t>This is a computer-generated salary slip.</t>
        </is>
      </c>
    </row>
    <row r="26">
      <c r="E26" t="inlineStr">
        <is>
          <t>Authorised signatory</t>
        </is>
      </c>
    </row>
  </sheetData>
  <mergeCells count="5">
    <mergeCell ref="B4:F4"/>
    <mergeCell ref="B2:F2"/>
    <mergeCell ref="B3:F3"/>
    <mergeCell ref="B23:F23"/>
    <mergeCell ref="B20:E20"/>
  </mergeCells>
  <dataValidations count="1">
    <dataValidation sqref="C5" showDropDown="0" showInputMessage="0" showErrorMessage="0" allowBlank="0" type="list">
      <formula1>Employees!$A$5:$A$54</formula1>
    </dataValidation>
  </dataValidations>
  <pageMargins left="0.75" right="0.75" top="1" bottom="1" header="0.5" footer="0.5"/>
  <pageSetup paperSize="9" fitToHeight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20" t="inlineStr">
        <is>
          <t>Setup</t>
        </is>
      </c>
    </row>
    <row r="3">
      <c r="A3" s="11" t="inlineStr">
        <is>
          <t>Company / shop name</t>
        </is>
      </c>
      <c r="B3" s="12" t="inlineStr">
        <is>
          <t>Your Company</t>
        </is>
      </c>
    </row>
    <row r="4">
      <c r="A4" s="11" t="inlineStr">
        <is>
          <t>Address</t>
        </is>
      </c>
      <c r="B4" s="12" t="inlineStr">
        <is>
          <t>City, State</t>
        </is>
      </c>
    </row>
    <row r="5">
      <c r="A5" s="11" t="inlineStr">
        <is>
          <t>Salary month (any date in it)</t>
        </is>
      </c>
      <c r="B5" s="21">
        <f>DATE(YEAR(TODAY()),MONTH(TODAY()),1)</f>
        <v/>
      </c>
    </row>
    <row r="6">
      <c r="A6" s="11" t="inlineStr">
        <is>
          <t>PF wage ceiling (₹ per month)</t>
        </is>
      </c>
      <c r="B6" s="12" t="n">
        <v>15000</v>
      </c>
    </row>
    <row r="7">
      <c r="A7" s="11" t="inlineStr">
        <is>
          <t>ESI limit (gross ₹ per month)</t>
        </is>
      </c>
      <c r="B7" s="12" t="n">
        <v>21000</v>
      </c>
    </row>
    <row r="9">
      <c r="A9" s="11" t="inlineStr">
        <is>
          <t>Days in this month</t>
        </is>
      </c>
      <c r="B9">
        <f>DAY(EOMONTH(B5,0))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2" customWidth="1" min="4" max="4"/>
    <col width="13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4" customWidth="1" min="11" max="11"/>
    <col width="13" customWidth="1" min="12" max="12"/>
    <col width="8" customWidth="1" min="13" max="13"/>
    <col width="8" customWidth="1" min="14" max="14"/>
    <col width="12" customWidth="1" min="15" max="15"/>
    <col width="10" customWidth="1" min="16" max="16"/>
  </cols>
  <sheetData>
    <row r="1">
      <c r="A1" s="20" t="inlineStr">
        <is>
          <t>Employees</t>
        </is>
      </c>
    </row>
    <row r="2">
      <c r="A2" s="22" t="inlineStr">
        <is>
          <t>Monthly (full-month) figures</t>
        </is>
      </c>
    </row>
    <row r="4" ht="32" customHeight="1">
      <c r="A4" s="23" t="inlineStr">
        <is>
          <t>Emp. code</t>
        </is>
      </c>
      <c r="B4" s="23" t="inlineStr">
        <is>
          <t>Name</t>
        </is>
      </c>
      <c r="C4" s="23" t="inlineStr">
        <is>
          <t>Designation</t>
        </is>
      </c>
      <c r="D4" s="23" t="inlineStr">
        <is>
          <t>Date of joining</t>
        </is>
      </c>
      <c r="E4" s="23" t="inlineStr">
        <is>
          <t>PAN</t>
        </is>
      </c>
      <c r="F4" s="23" t="inlineStr">
        <is>
          <t>UAN (PF)</t>
        </is>
      </c>
      <c r="G4" s="23" t="inlineStr">
        <is>
          <t>ESI no.</t>
        </is>
      </c>
      <c r="H4" s="23" t="inlineStr">
        <is>
          <t>Bank A/c &amp; IFSC</t>
        </is>
      </c>
      <c r="I4" s="23" t="inlineStr">
        <is>
          <t>Basic (₹)</t>
        </is>
      </c>
      <c r="J4" s="23" t="inlineStr">
        <is>
          <t>HRA (₹)</t>
        </is>
      </c>
      <c r="K4" s="23" t="inlineStr">
        <is>
          <t>Other allowances (₹)</t>
        </is>
      </c>
      <c r="L4" s="23" t="inlineStr">
        <is>
          <t>Gross (₹)</t>
        </is>
      </c>
      <c r="M4" s="23" t="inlineStr">
        <is>
          <t>PF? (Y/N)</t>
        </is>
      </c>
      <c r="N4" s="23" t="inlineStr">
        <is>
          <t>ESI? (Y/N)</t>
        </is>
      </c>
      <c r="O4" s="23" t="inlineStr">
        <is>
          <t>Professional tax (₹)</t>
        </is>
      </c>
      <c r="P4" s="23" t="inlineStr">
        <is>
          <t>Basic share</t>
        </is>
      </c>
    </row>
    <row r="5">
      <c r="A5" s="12" t="inlineStr">
        <is>
          <t>E001</t>
        </is>
      </c>
      <c r="B5" s="12" t="inlineStr">
        <is>
          <t>Ramesh Kumar</t>
        </is>
      </c>
      <c r="C5" s="12" t="inlineStr">
        <is>
          <t>Salesman</t>
        </is>
      </c>
      <c r="D5" s="24" t="n"/>
      <c r="E5" s="12" t="inlineStr"/>
      <c r="F5" s="12" t="inlineStr"/>
      <c r="G5" s="12" t="inlineStr"/>
      <c r="H5" s="12" t="inlineStr"/>
      <c r="I5" s="25" t="n">
        <v>12000</v>
      </c>
      <c r="J5" s="25" t="n">
        <v>4800</v>
      </c>
      <c r="K5" s="25" t="n">
        <v>3200</v>
      </c>
      <c r="L5" s="15">
        <f>IF(A5="","",N(I5)+N(J5)+N(K5))</f>
        <v/>
      </c>
      <c r="M5" s="12" t="inlineStr">
        <is>
          <t>Y</t>
        </is>
      </c>
      <c r="N5" s="12" t="inlineStr">
        <is>
          <t>Y</t>
        </is>
      </c>
      <c r="O5" s="25" t="n">
        <v>0</v>
      </c>
      <c r="P5" s="26">
        <f>IF(OR(A5="",N(L5)=0),"",I5/L5)</f>
        <v/>
      </c>
    </row>
    <row r="6">
      <c r="A6" s="12" t="inlineStr">
        <is>
          <t>E002</t>
        </is>
      </c>
      <c r="B6" s="12" t="inlineStr">
        <is>
          <t>Sunita Devi</t>
        </is>
      </c>
      <c r="C6" s="12" t="inlineStr">
        <is>
          <t>Accountant</t>
        </is>
      </c>
      <c r="D6" s="24" t="n"/>
      <c r="E6" s="12" t="inlineStr"/>
      <c r="F6" s="12" t="inlineStr"/>
      <c r="G6" s="12" t="inlineStr"/>
      <c r="H6" s="12" t="inlineStr"/>
      <c r="I6" s="25" t="n">
        <v>16000</v>
      </c>
      <c r="J6" s="25" t="n">
        <v>6400</v>
      </c>
      <c r="K6" s="25" t="n">
        <v>2600</v>
      </c>
      <c r="L6" s="15">
        <f>IF(A6="","",N(I6)+N(J6)+N(K6))</f>
        <v/>
      </c>
      <c r="M6" s="12" t="inlineStr">
        <is>
          <t>Y</t>
        </is>
      </c>
      <c r="N6" s="12" t="inlineStr">
        <is>
          <t>N</t>
        </is>
      </c>
      <c r="O6" s="25" t="n">
        <v>0</v>
      </c>
      <c r="P6" s="26">
        <f>IF(OR(A6="",N(L6)=0),"",I6/L6)</f>
        <v/>
      </c>
    </row>
    <row r="7">
      <c r="A7" s="12" t="n"/>
      <c r="B7" s="12" t="n"/>
      <c r="C7" s="12" t="n"/>
      <c r="D7" s="24" t="n"/>
      <c r="E7" s="12" t="n"/>
      <c r="F7" s="12" t="n"/>
      <c r="G7" s="12" t="n"/>
      <c r="H7" s="12" t="n"/>
      <c r="I7" s="25" t="n"/>
      <c r="J7" s="25" t="n"/>
      <c r="K7" s="25" t="n"/>
      <c r="L7" s="15">
        <f>IF(A7="","",N(I7)+N(J7)+N(K7))</f>
        <v/>
      </c>
      <c r="M7" s="12" t="n"/>
      <c r="N7" s="12" t="n"/>
      <c r="O7" s="25" t="n"/>
      <c r="P7" s="26">
        <f>IF(OR(A7="",N(L7)=0),"",I7/L7)</f>
        <v/>
      </c>
    </row>
    <row r="8">
      <c r="A8" s="12" t="n"/>
      <c r="B8" s="12" t="n"/>
      <c r="C8" s="12" t="n"/>
      <c r="D8" s="24" t="n"/>
      <c r="E8" s="12" t="n"/>
      <c r="F8" s="12" t="n"/>
      <c r="G8" s="12" t="n"/>
      <c r="H8" s="12" t="n"/>
      <c r="I8" s="25" t="n"/>
      <c r="J8" s="25" t="n"/>
      <c r="K8" s="25" t="n"/>
      <c r="L8" s="15">
        <f>IF(A8="","",N(I8)+N(J8)+N(K8))</f>
        <v/>
      </c>
      <c r="M8" s="12" t="n"/>
      <c r="N8" s="12" t="n"/>
      <c r="O8" s="25" t="n"/>
      <c r="P8" s="26">
        <f>IF(OR(A8="",N(L8)=0),"",I8/L8)</f>
        <v/>
      </c>
    </row>
    <row r="9">
      <c r="A9" s="12" t="n"/>
      <c r="B9" s="12" t="n"/>
      <c r="C9" s="12" t="n"/>
      <c r="D9" s="24" t="n"/>
      <c r="E9" s="12" t="n"/>
      <c r="F9" s="12" t="n"/>
      <c r="G9" s="12" t="n"/>
      <c r="H9" s="12" t="n"/>
      <c r="I9" s="25" t="n"/>
      <c r="J9" s="25" t="n"/>
      <c r="K9" s="25" t="n"/>
      <c r="L9" s="15">
        <f>IF(A9="","",N(I9)+N(J9)+N(K9))</f>
        <v/>
      </c>
      <c r="M9" s="12" t="n"/>
      <c r="N9" s="12" t="n"/>
      <c r="O9" s="25" t="n"/>
      <c r="P9" s="26">
        <f>IF(OR(A9="",N(L9)=0),"",I9/L9)</f>
        <v/>
      </c>
    </row>
    <row r="10">
      <c r="A10" s="12" t="n"/>
      <c r="B10" s="12" t="n"/>
      <c r="C10" s="12" t="n"/>
      <c r="D10" s="24" t="n"/>
      <c r="E10" s="12" t="n"/>
      <c r="F10" s="12" t="n"/>
      <c r="G10" s="12" t="n"/>
      <c r="H10" s="12" t="n"/>
      <c r="I10" s="25" t="n"/>
      <c r="J10" s="25" t="n"/>
      <c r="K10" s="25" t="n"/>
      <c r="L10" s="15">
        <f>IF(A10="","",N(I10)+N(J10)+N(K10))</f>
        <v/>
      </c>
      <c r="M10" s="12" t="n"/>
      <c r="N10" s="12" t="n"/>
      <c r="O10" s="25" t="n"/>
      <c r="P10" s="26">
        <f>IF(OR(A10="",N(L10)=0),"",I10/L10)</f>
        <v/>
      </c>
    </row>
    <row r="11">
      <c r="A11" s="12" t="n"/>
      <c r="B11" s="12" t="n"/>
      <c r="C11" s="12" t="n"/>
      <c r="D11" s="24" t="n"/>
      <c r="E11" s="12" t="n"/>
      <c r="F11" s="12" t="n"/>
      <c r="G11" s="12" t="n"/>
      <c r="H11" s="12" t="n"/>
      <c r="I11" s="25" t="n"/>
      <c r="J11" s="25" t="n"/>
      <c r="K11" s="25" t="n"/>
      <c r="L11" s="15">
        <f>IF(A11="","",N(I11)+N(J11)+N(K11))</f>
        <v/>
      </c>
      <c r="M11" s="12" t="n"/>
      <c r="N11" s="12" t="n"/>
      <c r="O11" s="25" t="n"/>
      <c r="P11" s="26">
        <f>IF(OR(A11="",N(L11)=0),"",I11/L11)</f>
        <v/>
      </c>
    </row>
    <row r="12">
      <c r="A12" s="12" t="n"/>
      <c r="B12" s="12" t="n"/>
      <c r="C12" s="12" t="n"/>
      <c r="D12" s="24" t="n"/>
      <c r="E12" s="12" t="n"/>
      <c r="F12" s="12" t="n"/>
      <c r="G12" s="12" t="n"/>
      <c r="H12" s="12" t="n"/>
      <c r="I12" s="25" t="n"/>
      <c r="J12" s="25" t="n"/>
      <c r="K12" s="25" t="n"/>
      <c r="L12" s="15">
        <f>IF(A12="","",N(I12)+N(J12)+N(K12))</f>
        <v/>
      </c>
      <c r="M12" s="12" t="n"/>
      <c r="N12" s="12" t="n"/>
      <c r="O12" s="25" t="n"/>
      <c r="P12" s="26">
        <f>IF(OR(A12="",N(L12)=0),"",I12/L12)</f>
        <v/>
      </c>
    </row>
    <row r="13">
      <c r="A13" s="12" t="n"/>
      <c r="B13" s="12" t="n"/>
      <c r="C13" s="12" t="n"/>
      <c r="D13" s="24" t="n"/>
      <c r="E13" s="12" t="n"/>
      <c r="F13" s="12" t="n"/>
      <c r="G13" s="12" t="n"/>
      <c r="H13" s="12" t="n"/>
      <c r="I13" s="25" t="n"/>
      <c r="J13" s="25" t="n"/>
      <c r="K13" s="25" t="n"/>
      <c r="L13" s="15">
        <f>IF(A13="","",N(I13)+N(J13)+N(K13))</f>
        <v/>
      </c>
      <c r="M13" s="12" t="n"/>
      <c r="N13" s="12" t="n"/>
      <c r="O13" s="25" t="n"/>
      <c r="P13" s="26">
        <f>IF(OR(A13="",N(L13)=0),"",I13/L13)</f>
        <v/>
      </c>
    </row>
    <row r="14">
      <c r="A14" s="12" t="n"/>
      <c r="B14" s="12" t="n"/>
      <c r="C14" s="12" t="n"/>
      <c r="D14" s="24" t="n"/>
      <c r="E14" s="12" t="n"/>
      <c r="F14" s="12" t="n"/>
      <c r="G14" s="12" t="n"/>
      <c r="H14" s="12" t="n"/>
      <c r="I14" s="25" t="n"/>
      <c r="J14" s="25" t="n"/>
      <c r="K14" s="25" t="n"/>
      <c r="L14" s="15">
        <f>IF(A14="","",N(I14)+N(J14)+N(K14))</f>
        <v/>
      </c>
      <c r="M14" s="12" t="n"/>
      <c r="N14" s="12" t="n"/>
      <c r="O14" s="25" t="n"/>
      <c r="P14" s="26">
        <f>IF(OR(A14="",N(L14)=0),"",I14/L14)</f>
        <v/>
      </c>
    </row>
    <row r="15">
      <c r="A15" s="12" t="n"/>
      <c r="B15" s="12" t="n"/>
      <c r="C15" s="12" t="n"/>
      <c r="D15" s="24" t="n"/>
      <c r="E15" s="12" t="n"/>
      <c r="F15" s="12" t="n"/>
      <c r="G15" s="12" t="n"/>
      <c r="H15" s="12" t="n"/>
      <c r="I15" s="25" t="n"/>
      <c r="J15" s="25" t="n"/>
      <c r="K15" s="25" t="n"/>
      <c r="L15" s="15">
        <f>IF(A15="","",N(I15)+N(J15)+N(K15))</f>
        <v/>
      </c>
      <c r="M15" s="12" t="n"/>
      <c r="N15" s="12" t="n"/>
      <c r="O15" s="25" t="n"/>
      <c r="P15" s="26">
        <f>IF(OR(A15="",N(L15)=0),"",I15/L15)</f>
        <v/>
      </c>
    </row>
    <row r="16">
      <c r="A16" s="12" t="n"/>
      <c r="B16" s="12" t="n"/>
      <c r="C16" s="12" t="n"/>
      <c r="D16" s="24" t="n"/>
      <c r="E16" s="12" t="n"/>
      <c r="F16" s="12" t="n"/>
      <c r="G16" s="12" t="n"/>
      <c r="H16" s="12" t="n"/>
      <c r="I16" s="25" t="n"/>
      <c r="J16" s="25" t="n"/>
      <c r="K16" s="25" t="n"/>
      <c r="L16" s="15">
        <f>IF(A16="","",N(I16)+N(J16)+N(K16))</f>
        <v/>
      </c>
      <c r="M16" s="12" t="n"/>
      <c r="N16" s="12" t="n"/>
      <c r="O16" s="25" t="n"/>
      <c r="P16" s="26">
        <f>IF(OR(A16="",N(L16)=0),"",I16/L16)</f>
        <v/>
      </c>
    </row>
    <row r="17">
      <c r="A17" s="12" t="n"/>
      <c r="B17" s="12" t="n"/>
      <c r="C17" s="12" t="n"/>
      <c r="D17" s="24" t="n"/>
      <c r="E17" s="12" t="n"/>
      <c r="F17" s="12" t="n"/>
      <c r="G17" s="12" t="n"/>
      <c r="H17" s="12" t="n"/>
      <c r="I17" s="25" t="n"/>
      <c r="J17" s="25" t="n"/>
      <c r="K17" s="25" t="n"/>
      <c r="L17" s="15">
        <f>IF(A17="","",N(I17)+N(J17)+N(K17))</f>
        <v/>
      </c>
      <c r="M17" s="12" t="n"/>
      <c r="N17" s="12" t="n"/>
      <c r="O17" s="25" t="n"/>
      <c r="P17" s="26">
        <f>IF(OR(A17="",N(L17)=0),"",I17/L17)</f>
        <v/>
      </c>
    </row>
    <row r="18">
      <c r="A18" s="12" t="n"/>
      <c r="B18" s="12" t="n"/>
      <c r="C18" s="12" t="n"/>
      <c r="D18" s="24" t="n"/>
      <c r="E18" s="12" t="n"/>
      <c r="F18" s="12" t="n"/>
      <c r="G18" s="12" t="n"/>
      <c r="H18" s="12" t="n"/>
      <c r="I18" s="25" t="n"/>
      <c r="J18" s="25" t="n"/>
      <c r="K18" s="25" t="n"/>
      <c r="L18" s="15">
        <f>IF(A18="","",N(I18)+N(J18)+N(K18))</f>
        <v/>
      </c>
      <c r="M18" s="12" t="n"/>
      <c r="N18" s="12" t="n"/>
      <c r="O18" s="25" t="n"/>
      <c r="P18" s="26">
        <f>IF(OR(A18="",N(L18)=0),"",I18/L18)</f>
        <v/>
      </c>
    </row>
    <row r="19">
      <c r="A19" s="12" t="n"/>
      <c r="B19" s="12" t="n"/>
      <c r="C19" s="12" t="n"/>
      <c r="D19" s="24" t="n"/>
      <c r="E19" s="12" t="n"/>
      <c r="F19" s="12" t="n"/>
      <c r="G19" s="12" t="n"/>
      <c r="H19" s="12" t="n"/>
      <c r="I19" s="25" t="n"/>
      <c r="J19" s="25" t="n"/>
      <c r="K19" s="25" t="n"/>
      <c r="L19" s="15">
        <f>IF(A19="","",N(I19)+N(J19)+N(K19))</f>
        <v/>
      </c>
      <c r="M19" s="12" t="n"/>
      <c r="N19" s="12" t="n"/>
      <c r="O19" s="25" t="n"/>
      <c r="P19" s="26">
        <f>IF(OR(A19="",N(L19)=0),"",I19/L19)</f>
        <v/>
      </c>
    </row>
    <row r="20">
      <c r="A20" s="12" t="n"/>
      <c r="B20" s="12" t="n"/>
      <c r="C20" s="12" t="n"/>
      <c r="D20" s="24" t="n"/>
      <c r="E20" s="12" t="n"/>
      <c r="F20" s="12" t="n"/>
      <c r="G20" s="12" t="n"/>
      <c r="H20" s="12" t="n"/>
      <c r="I20" s="25" t="n"/>
      <c r="J20" s="25" t="n"/>
      <c r="K20" s="25" t="n"/>
      <c r="L20" s="15">
        <f>IF(A20="","",N(I20)+N(J20)+N(K20))</f>
        <v/>
      </c>
      <c r="M20" s="12" t="n"/>
      <c r="N20" s="12" t="n"/>
      <c r="O20" s="25" t="n"/>
      <c r="P20" s="26">
        <f>IF(OR(A20="",N(L20)=0),"",I20/L20)</f>
        <v/>
      </c>
    </row>
    <row r="21">
      <c r="A21" s="12" t="n"/>
      <c r="B21" s="12" t="n"/>
      <c r="C21" s="12" t="n"/>
      <c r="D21" s="24" t="n"/>
      <c r="E21" s="12" t="n"/>
      <c r="F21" s="12" t="n"/>
      <c r="G21" s="12" t="n"/>
      <c r="H21" s="12" t="n"/>
      <c r="I21" s="25" t="n"/>
      <c r="J21" s="25" t="n"/>
      <c r="K21" s="25" t="n"/>
      <c r="L21" s="15">
        <f>IF(A21="","",N(I21)+N(J21)+N(K21))</f>
        <v/>
      </c>
      <c r="M21" s="12" t="n"/>
      <c r="N21" s="12" t="n"/>
      <c r="O21" s="25" t="n"/>
      <c r="P21" s="26">
        <f>IF(OR(A21="",N(L21)=0),"",I21/L21)</f>
        <v/>
      </c>
    </row>
    <row r="22">
      <c r="A22" s="12" t="n"/>
      <c r="B22" s="12" t="n"/>
      <c r="C22" s="12" t="n"/>
      <c r="D22" s="24" t="n"/>
      <c r="E22" s="12" t="n"/>
      <c r="F22" s="12" t="n"/>
      <c r="G22" s="12" t="n"/>
      <c r="H22" s="12" t="n"/>
      <c r="I22" s="25" t="n"/>
      <c r="J22" s="25" t="n"/>
      <c r="K22" s="25" t="n"/>
      <c r="L22" s="15">
        <f>IF(A22="","",N(I22)+N(J22)+N(K22))</f>
        <v/>
      </c>
      <c r="M22" s="12" t="n"/>
      <c r="N22" s="12" t="n"/>
      <c r="O22" s="25" t="n"/>
      <c r="P22" s="26">
        <f>IF(OR(A22="",N(L22)=0),"",I22/L22)</f>
        <v/>
      </c>
    </row>
    <row r="23">
      <c r="A23" s="12" t="n"/>
      <c r="B23" s="12" t="n"/>
      <c r="C23" s="12" t="n"/>
      <c r="D23" s="24" t="n"/>
      <c r="E23" s="12" t="n"/>
      <c r="F23" s="12" t="n"/>
      <c r="G23" s="12" t="n"/>
      <c r="H23" s="12" t="n"/>
      <c r="I23" s="25" t="n"/>
      <c r="J23" s="25" t="n"/>
      <c r="K23" s="25" t="n"/>
      <c r="L23" s="15">
        <f>IF(A23="","",N(I23)+N(J23)+N(K23))</f>
        <v/>
      </c>
      <c r="M23" s="12" t="n"/>
      <c r="N23" s="12" t="n"/>
      <c r="O23" s="25" t="n"/>
      <c r="P23" s="26">
        <f>IF(OR(A23="",N(L23)=0),"",I23/L23)</f>
        <v/>
      </c>
    </row>
    <row r="24">
      <c r="A24" s="12" t="n"/>
      <c r="B24" s="12" t="n"/>
      <c r="C24" s="12" t="n"/>
      <c r="D24" s="24" t="n"/>
      <c r="E24" s="12" t="n"/>
      <c r="F24" s="12" t="n"/>
      <c r="G24" s="12" t="n"/>
      <c r="H24" s="12" t="n"/>
      <c r="I24" s="25" t="n"/>
      <c r="J24" s="25" t="n"/>
      <c r="K24" s="25" t="n"/>
      <c r="L24" s="15">
        <f>IF(A24="","",N(I24)+N(J24)+N(K24))</f>
        <v/>
      </c>
      <c r="M24" s="12" t="n"/>
      <c r="N24" s="12" t="n"/>
      <c r="O24" s="25" t="n"/>
      <c r="P24" s="26">
        <f>IF(OR(A24="",N(L24)=0),"",I24/L24)</f>
        <v/>
      </c>
    </row>
    <row r="25">
      <c r="A25" s="12" t="n"/>
      <c r="B25" s="12" t="n"/>
      <c r="C25" s="12" t="n"/>
      <c r="D25" s="24" t="n"/>
      <c r="E25" s="12" t="n"/>
      <c r="F25" s="12" t="n"/>
      <c r="G25" s="12" t="n"/>
      <c r="H25" s="12" t="n"/>
      <c r="I25" s="25" t="n"/>
      <c r="J25" s="25" t="n"/>
      <c r="K25" s="25" t="n"/>
      <c r="L25" s="15">
        <f>IF(A25="","",N(I25)+N(J25)+N(K25))</f>
        <v/>
      </c>
      <c r="M25" s="12" t="n"/>
      <c r="N25" s="12" t="n"/>
      <c r="O25" s="25" t="n"/>
      <c r="P25" s="26">
        <f>IF(OR(A25="",N(L25)=0),"",I25/L25)</f>
        <v/>
      </c>
    </row>
    <row r="26">
      <c r="A26" s="12" t="n"/>
      <c r="B26" s="12" t="n"/>
      <c r="C26" s="12" t="n"/>
      <c r="D26" s="24" t="n"/>
      <c r="E26" s="12" t="n"/>
      <c r="F26" s="12" t="n"/>
      <c r="G26" s="12" t="n"/>
      <c r="H26" s="12" t="n"/>
      <c r="I26" s="25" t="n"/>
      <c r="J26" s="25" t="n"/>
      <c r="K26" s="25" t="n"/>
      <c r="L26" s="15">
        <f>IF(A26="","",N(I26)+N(J26)+N(K26))</f>
        <v/>
      </c>
      <c r="M26" s="12" t="n"/>
      <c r="N26" s="12" t="n"/>
      <c r="O26" s="25" t="n"/>
      <c r="P26" s="26">
        <f>IF(OR(A26="",N(L26)=0),"",I26/L26)</f>
        <v/>
      </c>
    </row>
    <row r="27">
      <c r="A27" s="12" t="n"/>
      <c r="B27" s="12" t="n"/>
      <c r="C27" s="12" t="n"/>
      <c r="D27" s="24" t="n"/>
      <c r="E27" s="12" t="n"/>
      <c r="F27" s="12" t="n"/>
      <c r="G27" s="12" t="n"/>
      <c r="H27" s="12" t="n"/>
      <c r="I27" s="25" t="n"/>
      <c r="J27" s="25" t="n"/>
      <c r="K27" s="25" t="n"/>
      <c r="L27" s="15">
        <f>IF(A27="","",N(I27)+N(J27)+N(K27))</f>
        <v/>
      </c>
      <c r="M27" s="12" t="n"/>
      <c r="N27" s="12" t="n"/>
      <c r="O27" s="25" t="n"/>
      <c r="P27" s="26">
        <f>IF(OR(A27="",N(L27)=0),"",I27/L27)</f>
        <v/>
      </c>
    </row>
    <row r="28">
      <c r="A28" s="12" t="n"/>
      <c r="B28" s="12" t="n"/>
      <c r="C28" s="12" t="n"/>
      <c r="D28" s="24" t="n"/>
      <c r="E28" s="12" t="n"/>
      <c r="F28" s="12" t="n"/>
      <c r="G28" s="12" t="n"/>
      <c r="H28" s="12" t="n"/>
      <c r="I28" s="25" t="n"/>
      <c r="J28" s="25" t="n"/>
      <c r="K28" s="25" t="n"/>
      <c r="L28" s="15">
        <f>IF(A28="","",N(I28)+N(J28)+N(K28))</f>
        <v/>
      </c>
      <c r="M28" s="12" t="n"/>
      <c r="N28" s="12" t="n"/>
      <c r="O28" s="25" t="n"/>
      <c r="P28" s="26">
        <f>IF(OR(A28="",N(L28)=0),"",I28/L28)</f>
        <v/>
      </c>
    </row>
    <row r="29">
      <c r="A29" s="12" t="n"/>
      <c r="B29" s="12" t="n"/>
      <c r="C29" s="12" t="n"/>
      <c r="D29" s="24" t="n"/>
      <c r="E29" s="12" t="n"/>
      <c r="F29" s="12" t="n"/>
      <c r="G29" s="12" t="n"/>
      <c r="H29" s="12" t="n"/>
      <c r="I29" s="25" t="n"/>
      <c r="J29" s="25" t="n"/>
      <c r="K29" s="25" t="n"/>
      <c r="L29" s="15">
        <f>IF(A29="","",N(I29)+N(J29)+N(K29))</f>
        <v/>
      </c>
      <c r="M29" s="12" t="n"/>
      <c r="N29" s="12" t="n"/>
      <c r="O29" s="25" t="n"/>
      <c r="P29" s="26">
        <f>IF(OR(A29="",N(L29)=0),"",I29/L29)</f>
        <v/>
      </c>
    </row>
    <row r="30">
      <c r="A30" s="12" t="n"/>
      <c r="B30" s="12" t="n"/>
      <c r="C30" s="12" t="n"/>
      <c r="D30" s="24" t="n"/>
      <c r="E30" s="12" t="n"/>
      <c r="F30" s="12" t="n"/>
      <c r="G30" s="12" t="n"/>
      <c r="H30" s="12" t="n"/>
      <c r="I30" s="25" t="n"/>
      <c r="J30" s="25" t="n"/>
      <c r="K30" s="25" t="n"/>
      <c r="L30" s="15">
        <f>IF(A30="","",N(I30)+N(J30)+N(K30))</f>
        <v/>
      </c>
      <c r="M30" s="12" t="n"/>
      <c r="N30" s="12" t="n"/>
      <c r="O30" s="25" t="n"/>
      <c r="P30" s="26">
        <f>IF(OR(A30="",N(L30)=0),"",I30/L30)</f>
        <v/>
      </c>
    </row>
    <row r="31">
      <c r="A31" s="12" t="n"/>
      <c r="B31" s="12" t="n"/>
      <c r="C31" s="12" t="n"/>
      <c r="D31" s="24" t="n"/>
      <c r="E31" s="12" t="n"/>
      <c r="F31" s="12" t="n"/>
      <c r="G31" s="12" t="n"/>
      <c r="H31" s="12" t="n"/>
      <c r="I31" s="25" t="n"/>
      <c r="J31" s="25" t="n"/>
      <c r="K31" s="25" t="n"/>
      <c r="L31" s="15">
        <f>IF(A31="","",N(I31)+N(J31)+N(K31))</f>
        <v/>
      </c>
      <c r="M31" s="12" t="n"/>
      <c r="N31" s="12" t="n"/>
      <c r="O31" s="25" t="n"/>
      <c r="P31" s="26">
        <f>IF(OR(A31="",N(L31)=0),"",I31/L31)</f>
        <v/>
      </c>
    </row>
    <row r="32">
      <c r="A32" s="12" t="n"/>
      <c r="B32" s="12" t="n"/>
      <c r="C32" s="12" t="n"/>
      <c r="D32" s="24" t="n"/>
      <c r="E32" s="12" t="n"/>
      <c r="F32" s="12" t="n"/>
      <c r="G32" s="12" t="n"/>
      <c r="H32" s="12" t="n"/>
      <c r="I32" s="25" t="n"/>
      <c r="J32" s="25" t="n"/>
      <c r="K32" s="25" t="n"/>
      <c r="L32" s="15">
        <f>IF(A32="","",N(I32)+N(J32)+N(K32))</f>
        <v/>
      </c>
      <c r="M32" s="12" t="n"/>
      <c r="N32" s="12" t="n"/>
      <c r="O32" s="25" t="n"/>
      <c r="P32" s="26">
        <f>IF(OR(A32="",N(L32)=0),"",I32/L32)</f>
        <v/>
      </c>
    </row>
    <row r="33">
      <c r="A33" s="12" t="n"/>
      <c r="B33" s="12" t="n"/>
      <c r="C33" s="12" t="n"/>
      <c r="D33" s="24" t="n"/>
      <c r="E33" s="12" t="n"/>
      <c r="F33" s="12" t="n"/>
      <c r="G33" s="12" t="n"/>
      <c r="H33" s="12" t="n"/>
      <c r="I33" s="25" t="n"/>
      <c r="J33" s="25" t="n"/>
      <c r="K33" s="25" t="n"/>
      <c r="L33" s="15">
        <f>IF(A33="","",N(I33)+N(J33)+N(K33))</f>
        <v/>
      </c>
      <c r="M33" s="12" t="n"/>
      <c r="N33" s="12" t="n"/>
      <c r="O33" s="25" t="n"/>
      <c r="P33" s="26">
        <f>IF(OR(A33="",N(L33)=0),"",I33/L33)</f>
        <v/>
      </c>
    </row>
    <row r="34">
      <c r="A34" s="12" t="n"/>
      <c r="B34" s="12" t="n"/>
      <c r="C34" s="12" t="n"/>
      <c r="D34" s="24" t="n"/>
      <c r="E34" s="12" t="n"/>
      <c r="F34" s="12" t="n"/>
      <c r="G34" s="12" t="n"/>
      <c r="H34" s="12" t="n"/>
      <c r="I34" s="25" t="n"/>
      <c r="J34" s="25" t="n"/>
      <c r="K34" s="25" t="n"/>
      <c r="L34" s="15">
        <f>IF(A34="","",N(I34)+N(J34)+N(K34))</f>
        <v/>
      </c>
      <c r="M34" s="12" t="n"/>
      <c r="N34" s="12" t="n"/>
      <c r="O34" s="25" t="n"/>
      <c r="P34" s="26">
        <f>IF(OR(A34="",N(L34)=0),"",I34/L34)</f>
        <v/>
      </c>
    </row>
    <row r="35">
      <c r="A35" s="12" t="n"/>
      <c r="B35" s="12" t="n"/>
      <c r="C35" s="12" t="n"/>
      <c r="D35" s="24" t="n"/>
      <c r="E35" s="12" t="n"/>
      <c r="F35" s="12" t="n"/>
      <c r="G35" s="12" t="n"/>
      <c r="H35" s="12" t="n"/>
      <c r="I35" s="25" t="n"/>
      <c r="J35" s="25" t="n"/>
      <c r="K35" s="25" t="n"/>
      <c r="L35" s="15">
        <f>IF(A35="","",N(I35)+N(J35)+N(K35))</f>
        <v/>
      </c>
      <c r="M35" s="12" t="n"/>
      <c r="N35" s="12" t="n"/>
      <c r="O35" s="25" t="n"/>
      <c r="P35" s="26">
        <f>IF(OR(A35="",N(L35)=0),"",I35/L35)</f>
        <v/>
      </c>
    </row>
    <row r="36">
      <c r="A36" s="12" t="n"/>
      <c r="B36" s="12" t="n"/>
      <c r="C36" s="12" t="n"/>
      <c r="D36" s="24" t="n"/>
      <c r="E36" s="12" t="n"/>
      <c r="F36" s="12" t="n"/>
      <c r="G36" s="12" t="n"/>
      <c r="H36" s="12" t="n"/>
      <c r="I36" s="25" t="n"/>
      <c r="J36" s="25" t="n"/>
      <c r="K36" s="25" t="n"/>
      <c r="L36" s="15">
        <f>IF(A36="","",N(I36)+N(J36)+N(K36))</f>
        <v/>
      </c>
      <c r="M36" s="12" t="n"/>
      <c r="N36" s="12" t="n"/>
      <c r="O36" s="25" t="n"/>
      <c r="P36" s="26">
        <f>IF(OR(A36="",N(L36)=0),"",I36/L36)</f>
        <v/>
      </c>
    </row>
    <row r="37">
      <c r="A37" s="12" t="n"/>
      <c r="B37" s="12" t="n"/>
      <c r="C37" s="12" t="n"/>
      <c r="D37" s="24" t="n"/>
      <c r="E37" s="12" t="n"/>
      <c r="F37" s="12" t="n"/>
      <c r="G37" s="12" t="n"/>
      <c r="H37" s="12" t="n"/>
      <c r="I37" s="25" t="n"/>
      <c r="J37" s="25" t="n"/>
      <c r="K37" s="25" t="n"/>
      <c r="L37" s="15">
        <f>IF(A37="","",N(I37)+N(J37)+N(K37))</f>
        <v/>
      </c>
      <c r="M37" s="12" t="n"/>
      <c r="N37" s="12" t="n"/>
      <c r="O37" s="25" t="n"/>
      <c r="P37" s="26">
        <f>IF(OR(A37="",N(L37)=0),"",I37/L37)</f>
        <v/>
      </c>
    </row>
    <row r="38">
      <c r="A38" s="12" t="n"/>
      <c r="B38" s="12" t="n"/>
      <c r="C38" s="12" t="n"/>
      <c r="D38" s="24" t="n"/>
      <c r="E38" s="12" t="n"/>
      <c r="F38" s="12" t="n"/>
      <c r="G38" s="12" t="n"/>
      <c r="H38" s="12" t="n"/>
      <c r="I38" s="25" t="n"/>
      <c r="J38" s="25" t="n"/>
      <c r="K38" s="25" t="n"/>
      <c r="L38" s="15">
        <f>IF(A38="","",N(I38)+N(J38)+N(K38))</f>
        <v/>
      </c>
      <c r="M38" s="12" t="n"/>
      <c r="N38" s="12" t="n"/>
      <c r="O38" s="25" t="n"/>
      <c r="P38" s="26">
        <f>IF(OR(A38="",N(L38)=0),"",I38/L38)</f>
        <v/>
      </c>
    </row>
    <row r="39">
      <c r="A39" s="12" t="n"/>
      <c r="B39" s="12" t="n"/>
      <c r="C39" s="12" t="n"/>
      <c r="D39" s="24" t="n"/>
      <c r="E39" s="12" t="n"/>
      <c r="F39" s="12" t="n"/>
      <c r="G39" s="12" t="n"/>
      <c r="H39" s="12" t="n"/>
      <c r="I39" s="25" t="n"/>
      <c r="J39" s="25" t="n"/>
      <c r="K39" s="25" t="n"/>
      <c r="L39" s="15">
        <f>IF(A39="","",N(I39)+N(J39)+N(K39))</f>
        <v/>
      </c>
      <c r="M39" s="12" t="n"/>
      <c r="N39" s="12" t="n"/>
      <c r="O39" s="25" t="n"/>
      <c r="P39" s="26">
        <f>IF(OR(A39="",N(L39)=0),"",I39/L39)</f>
        <v/>
      </c>
    </row>
    <row r="40">
      <c r="A40" s="12" t="n"/>
      <c r="B40" s="12" t="n"/>
      <c r="C40" s="12" t="n"/>
      <c r="D40" s="24" t="n"/>
      <c r="E40" s="12" t="n"/>
      <c r="F40" s="12" t="n"/>
      <c r="G40" s="12" t="n"/>
      <c r="H40" s="12" t="n"/>
      <c r="I40" s="25" t="n"/>
      <c r="J40" s="25" t="n"/>
      <c r="K40" s="25" t="n"/>
      <c r="L40" s="15">
        <f>IF(A40="","",N(I40)+N(J40)+N(K40))</f>
        <v/>
      </c>
      <c r="M40" s="12" t="n"/>
      <c r="N40" s="12" t="n"/>
      <c r="O40" s="25" t="n"/>
      <c r="P40" s="26">
        <f>IF(OR(A40="",N(L40)=0),"",I40/L40)</f>
        <v/>
      </c>
    </row>
    <row r="41">
      <c r="A41" s="12" t="n"/>
      <c r="B41" s="12" t="n"/>
      <c r="C41" s="12" t="n"/>
      <c r="D41" s="24" t="n"/>
      <c r="E41" s="12" t="n"/>
      <c r="F41" s="12" t="n"/>
      <c r="G41" s="12" t="n"/>
      <c r="H41" s="12" t="n"/>
      <c r="I41" s="25" t="n"/>
      <c r="J41" s="25" t="n"/>
      <c r="K41" s="25" t="n"/>
      <c r="L41" s="15">
        <f>IF(A41="","",N(I41)+N(J41)+N(K41))</f>
        <v/>
      </c>
      <c r="M41" s="12" t="n"/>
      <c r="N41" s="12" t="n"/>
      <c r="O41" s="25" t="n"/>
      <c r="P41" s="26">
        <f>IF(OR(A41="",N(L41)=0),"",I41/L41)</f>
        <v/>
      </c>
    </row>
    <row r="42">
      <c r="A42" s="12" t="n"/>
      <c r="B42" s="12" t="n"/>
      <c r="C42" s="12" t="n"/>
      <c r="D42" s="24" t="n"/>
      <c r="E42" s="12" t="n"/>
      <c r="F42" s="12" t="n"/>
      <c r="G42" s="12" t="n"/>
      <c r="H42" s="12" t="n"/>
      <c r="I42" s="25" t="n"/>
      <c r="J42" s="25" t="n"/>
      <c r="K42" s="25" t="n"/>
      <c r="L42" s="15">
        <f>IF(A42="","",N(I42)+N(J42)+N(K42))</f>
        <v/>
      </c>
      <c r="M42" s="12" t="n"/>
      <c r="N42" s="12" t="n"/>
      <c r="O42" s="25" t="n"/>
      <c r="P42" s="26">
        <f>IF(OR(A42="",N(L42)=0),"",I42/L42)</f>
        <v/>
      </c>
    </row>
    <row r="43">
      <c r="A43" s="12" t="n"/>
      <c r="B43" s="12" t="n"/>
      <c r="C43" s="12" t="n"/>
      <c r="D43" s="24" t="n"/>
      <c r="E43" s="12" t="n"/>
      <c r="F43" s="12" t="n"/>
      <c r="G43" s="12" t="n"/>
      <c r="H43" s="12" t="n"/>
      <c r="I43" s="25" t="n"/>
      <c r="J43" s="25" t="n"/>
      <c r="K43" s="25" t="n"/>
      <c r="L43" s="15">
        <f>IF(A43="","",N(I43)+N(J43)+N(K43))</f>
        <v/>
      </c>
      <c r="M43" s="12" t="n"/>
      <c r="N43" s="12" t="n"/>
      <c r="O43" s="25" t="n"/>
      <c r="P43" s="26">
        <f>IF(OR(A43="",N(L43)=0),"",I43/L43)</f>
        <v/>
      </c>
    </row>
    <row r="44">
      <c r="A44" s="12" t="n"/>
      <c r="B44" s="12" t="n"/>
      <c r="C44" s="12" t="n"/>
      <c r="D44" s="24" t="n"/>
      <c r="E44" s="12" t="n"/>
      <c r="F44" s="12" t="n"/>
      <c r="G44" s="12" t="n"/>
      <c r="H44" s="12" t="n"/>
      <c r="I44" s="25" t="n"/>
      <c r="J44" s="25" t="n"/>
      <c r="K44" s="25" t="n"/>
      <c r="L44" s="15">
        <f>IF(A44="","",N(I44)+N(J44)+N(K44))</f>
        <v/>
      </c>
      <c r="M44" s="12" t="n"/>
      <c r="N44" s="12" t="n"/>
      <c r="O44" s="25" t="n"/>
      <c r="P44" s="26">
        <f>IF(OR(A44="",N(L44)=0),"",I44/L44)</f>
        <v/>
      </c>
    </row>
    <row r="45">
      <c r="A45" s="12" t="n"/>
      <c r="B45" s="12" t="n"/>
      <c r="C45" s="12" t="n"/>
      <c r="D45" s="24" t="n"/>
      <c r="E45" s="12" t="n"/>
      <c r="F45" s="12" t="n"/>
      <c r="G45" s="12" t="n"/>
      <c r="H45" s="12" t="n"/>
      <c r="I45" s="25" t="n"/>
      <c r="J45" s="25" t="n"/>
      <c r="K45" s="25" t="n"/>
      <c r="L45" s="15">
        <f>IF(A45="","",N(I45)+N(J45)+N(K45))</f>
        <v/>
      </c>
      <c r="M45" s="12" t="n"/>
      <c r="N45" s="12" t="n"/>
      <c r="O45" s="25" t="n"/>
      <c r="P45" s="26">
        <f>IF(OR(A45="",N(L45)=0),"",I45/L45)</f>
        <v/>
      </c>
    </row>
    <row r="46">
      <c r="A46" s="12" t="n"/>
      <c r="B46" s="12" t="n"/>
      <c r="C46" s="12" t="n"/>
      <c r="D46" s="24" t="n"/>
      <c r="E46" s="12" t="n"/>
      <c r="F46" s="12" t="n"/>
      <c r="G46" s="12" t="n"/>
      <c r="H46" s="12" t="n"/>
      <c r="I46" s="25" t="n"/>
      <c r="J46" s="25" t="n"/>
      <c r="K46" s="25" t="n"/>
      <c r="L46" s="15">
        <f>IF(A46="","",N(I46)+N(J46)+N(K46))</f>
        <v/>
      </c>
      <c r="M46" s="12" t="n"/>
      <c r="N46" s="12" t="n"/>
      <c r="O46" s="25" t="n"/>
      <c r="P46" s="26">
        <f>IF(OR(A46="",N(L46)=0),"",I46/L46)</f>
        <v/>
      </c>
    </row>
    <row r="47">
      <c r="A47" s="12" t="n"/>
      <c r="B47" s="12" t="n"/>
      <c r="C47" s="12" t="n"/>
      <c r="D47" s="24" t="n"/>
      <c r="E47" s="12" t="n"/>
      <c r="F47" s="12" t="n"/>
      <c r="G47" s="12" t="n"/>
      <c r="H47" s="12" t="n"/>
      <c r="I47" s="25" t="n"/>
      <c r="J47" s="25" t="n"/>
      <c r="K47" s="25" t="n"/>
      <c r="L47" s="15">
        <f>IF(A47="","",N(I47)+N(J47)+N(K47))</f>
        <v/>
      </c>
      <c r="M47" s="12" t="n"/>
      <c r="N47" s="12" t="n"/>
      <c r="O47" s="25" t="n"/>
      <c r="P47" s="26">
        <f>IF(OR(A47="",N(L47)=0),"",I47/L47)</f>
        <v/>
      </c>
    </row>
    <row r="48">
      <c r="A48" s="12" t="n"/>
      <c r="B48" s="12" t="n"/>
      <c r="C48" s="12" t="n"/>
      <c r="D48" s="24" t="n"/>
      <c r="E48" s="12" t="n"/>
      <c r="F48" s="12" t="n"/>
      <c r="G48" s="12" t="n"/>
      <c r="H48" s="12" t="n"/>
      <c r="I48" s="25" t="n"/>
      <c r="J48" s="25" t="n"/>
      <c r="K48" s="25" t="n"/>
      <c r="L48" s="15">
        <f>IF(A48="","",N(I48)+N(J48)+N(K48))</f>
        <v/>
      </c>
      <c r="M48" s="12" t="n"/>
      <c r="N48" s="12" t="n"/>
      <c r="O48" s="25" t="n"/>
      <c r="P48" s="26">
        <f>IF(OR(A48="",N(L48)=0),"",I48/L48)</f>
        <v/>
      </c>
    </row>
    <row r="49">
      <c r="A49" s="12" t="n"/>
      <c r="B49" s="12" t="n"/>
      <c r="C49" s="12" t="n"/>
      <c r="D49" s="24" t="n"/>
      <c r="E49" s="12" t="n"/>
      <c r="F49" s="12" t="n"/>
      <c r="G49" s="12" t="n"/>
      <c r="H49" s="12" t="n"/>
      <c r="I49" s="25" t="n"/>
      <c r="J49" s="25" t="n"/>
      <c r="K49" s="25" t="n"/>
      <c r="L49" s="15">
        <f>IF(A49="","",N(I49)+N(J49)+N(K49))</f>
        <v/>
      </c>
      <c r="M49" s="12" t="n"/>
      <c r="N49" s="12" t="n"/>
      <c r="O49" s="25" t="n"/>
      <c r="P49" s="26">
        <f>IF(OR(A49="",N(L49)=0),"",I49/L49)</f>
        <v/>
      </c>
    </row>
    <row r="50">
      <c r="A50" s="12" t="n"/>
      <c r="B50" s="12" t="n"/>
      <c r="C50" s="12" t="n"/>
      <c r="D50" s="24" t="n"/>
      <c r="E50" s="12" t="n"/>
      <c r="F50" s="12" t="n"/>
      <c r="G50" s="12" t="n"/>
      <c r="H50" s="12" t="n"/>
      <c r="I50" s="25" t="n"/>
      <c r="J50" s="25" t="n"/>
      <c r="K50" s="25" t="n"/>
      <c r="L50" s="15">
        <f>IF(A50="","",N(I50)+N(J50)+N(K50))</f>
        <v/>
      </c>
      <c r="M50" s="12" t="n"/>
      <c r="N50" s="12" t="n"/>
      <c r="O50" s="25" t="n"/>
      <c r="P50" s="26">
        <f>IF(OR(A50="",N(L50)=0),"",I50/L50)</f>
        <v/>
      </c>
    </row>
    <row r="51">
      <c r="A51" s="12" t="n"/>
      <c r="B51" s="12" t="n"/>
      <c r="C51" s="12" t="n"/>
      <c r="D51" s="24" t="n"/>
      <c r="E51" s="12" t="n"/>
      <c r="F51" s="12" t="n"/>
      <c r="G51" s="12" t="n"/>
      <c r="H51" s="12" t="n"/>
      <c r="I51" s="25" t="n"/>
      <c r="J51" s="25" t="n"/>
      <c r="K51" s="25" t="n"/>
      <c r="L51" s="15">
        <f>IF(A51="","",N(I51)+N(J51)+N(K51))</f>
        <v/>
      </c>
      <c r="M51" s="12" t="n"/>
      <c r="N51" s="12" t="n"/>
      <c r="O51" s="25" t="n"/>
      <c r="P51" s="26">
        <f>IF(OR(A51="",N(L51)=0),"",I51/L51)</f>
        <v/>
      </c>
    </row>
    <row r="52">
      <c r="A52" s="12" t="n"/>
      <c r="B52" s="12" t="n"/>
      <c r="C52" s="12" t="n"/>
      <c r="D52" s="24" t="n"/>
      <c r="E52" s="12" t="n"/>
      <c r="F52" s="12" t="n"/>
      <c r="G52" s="12" t="n"/>
      <c r="H52" s="12" t="n"/>
      <c r="I52" s="25" t="n"/>
      <c r="J52" s="25" t="n"/>
      <c r="K52" s="25" t="n"/>
      <c r="L52" s="15">
        <f>IF(A52="","",N(I52)+N(J52)+N(K52))</f>
        <v/>
      </c>
      <c r="M52" s="12" t="n"/>
      <c r="N52" s="12" t="n"/>
      <c r="O52" s="25" t="n"/>
      <c r="P52" s="26">
        <f>IF(OR(A52="",N(L52)=0),"",I52/L52)</f>
        <v/>
      </c>
    </row>
    <row r="53">
      <c r="A53" s="12" t="n"/>
      <c r="B53" s="12" t="n"/>
      <c r="C53" s="12" t="n"/>
      <c r="D53" s="24" t="n"/>
      <c r="E53" s="12" t="n"/>
      <c r="F53" s="12" t="n"/>
      <c r="G53" s="12" t="n"/>
      <c r="H53" s="12" t="n"/>
      <c r="I53" s="25" t="n"/>
      <c r="J53" s="25" t="n"/>
      <c r="K53" s="25" t="n"/>
      <c r="L53" s="15">
        <f>IF(A53="","",N(I53)+N(J53)+N(K53))</f>
        <v/>
      </c>
      <c r="M53" s="12" t="n"/>
      <c r="N53" s="12" t="n"/>
      <c r="O53" s="25" t="n"/>
      <c r="P53" s="26">
        <f>IF(OR(A53="",N(L53)=0),"",I53/L53)</f>
        <v/>
      </c>
    </row>
    <row r="54">
      <c r="A54" s="12" t="n"/>
      <c r="B54" s="12" t="n"/>
      <c r="C54" s="12" t="n"/>
      <c r="D54" s="24" t="n"/>
      <c r="E54" s="12" t="n"/>
      <c r="F54" s="12" t="n"/>
      <c r="G54" s="12" t="n"/>
      <c r="H54" s="12" t="n"/>
      <c r="I54" s="25" t="n"/>
      <c r="J54" s="25" t="n"/>
      <c r="K54" s="25" t="n"/>
      <c r="L54" s="15">
        <f>IF(A54="","",N(I54)+N(J54)+N(K54))</f>
        <v/>
      </c>
      <c r="M54" s="12" t="n"/>
      <c r="N54" s="12" t="n"/>
      <c r="O54" s="25" t="n"/>
      <c r="P54" s="26">
        <f>IF(OR(A54="",N(L54)=0),"",I54/L54)</f>
        <v/>
      </c>
    </row>
  </sheetData>
  <mergeCells count="2">
    <mergeCell ref="A2:N2"/>
    <mergeCell ref="A1:N1"/>
  </mergeCells>
  <conditionalFormatting sqref="P5:P54">
    <cfRule type="cellIs" priority="1" operator="lessThan" dxfId="0">
      <formula>0.5</formula>
    </cfRule>
  </conditionalFormatting>
  <dataValidations count="1">
    <dataValidation sqref="M5:N5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20" t="inlineStr">
        <is>
          <t>Attendance</t>
        </is>
      </c>
    </row>
    <row r="2">
      <c r="A2" s="22" t="inlineStr">
        <is>
          <t>P present · A absent · H half day · L paid leave · WO weekly off · HO holiday</t>
        </is>
      </c>
    </row>
    <row r="4" ht="50" customHeight="1">
      <c r="A4" s="27" t="inlineStr">
        <is>
          <t>Code</t>
        </is>
      </c>
      <c r="B4" s="27" t="inlineStr">
        <is>
          <t>Name</t>
        </is>
      </c>
      <c r="C4" s="28">
        <f>IF(1&gt;Setup!$B$9,"",DATE(YEAR(Setup!$B$5),MONTH(Setup!$B$5),1))</f>
        <v/>
      </c>
      <c r="D4" s="28">
        <f>IF(2&gt;Setup!$B$9,"",DATE(YEAR(Setup!$B$5),MONTH(Setup!$B$5),2))</f>
        <v/>
      </c>
      <c r="E4" s="28">
        <f>IF(3&gt;Setup!$B$9,"",DATE(YEAR(Setup!$B$5),MONTH(Setup!$B$5),3))</f>
        <v/>
      </c>
      <c r="F4" s="28">
        <f>IF(4&gt;Setup!$B$9,"",DATE(YEAR(Setup!$B$5),MONTH(Setup!$B$5),4))</f>
        <v/>
      </c>
      <c r="G4" s="28">
        <f>IF(5&gt;Setup!$B$9,"",DATE(YEAR(Setup!$B$5),MONTH(Setup!$B$5),5))</f>
        <v/>
      </c>
      <c r="H4" s="28">
        <f>IF(6&gt;Setup!$B$9,"",DATE(YEAR(Setup!$B$5),MONTH(Setup!$B$5),6))</f>
        <v/>
      </c>
      <c r="I4" s="28">
        <f>IF(7&gt;Setup!$B$9,"",DATE(YEAR(Setup!$B$5),MONTH(Setup!$B$5),7))</f>
        <v/>
      </c>
      <c r="J4" s="28">
        <f>IF(8&gt;Setup!$B$9,"",DATE(YEAR(Setup!$B$5),MONTH(Setup!$B$5),8))</f>
        <v/>
      </c>
      <c r="K4" s="28">
        <f>IF(9&gt;Setup!$B$9,"",DATE(YEAR(Setup!$B$5),MONTH(Setup!$B$5),9))</f>
        <v/>
      </c>
      <c r="L4" s="28">
        <f>IF(10&gt;Setup!$B$9,"",DATE(YEAR(Setup!$B$5),MONTH(Setup!$B$5),10))</f>
        <v/>
      </c>
      <c r="M4" s="28">
        <f>IF(11&gt;Setup!$B$9,"",DATE(YEAR(Setup!$B$5),MONTH(Setup!$B$5),11))</f>
        <v/>
      </c>
      <c r="N4" s="28">
        <f>IF(12&gt;Setup!$B$9,"",DATE(YEAR(Setup!$B$5),MONTH(Setup!$B$5),12))</f>
        <v/>
      </c>
      <c r="O4" s="28">
        <f>IF(13&gt;Setup!$B$9,"",DATE(YEAR(Setup!$B$5),MONTH(Setup!$B$5),13))</f>
        <v/>
      </c>
      <c r="P4" s="28">
        <f>IF(14&gt;Setup!$B$9,"",DATE(YEAR(Setup!$B$5),MONTH(Setup!$B$5),14))</f>
        <v/>
      </c>
      <c r="Q4" s="28">
        <f>IF(15&gt;Setup!$B$9,"",DATE(YEAR(Setup!$B$5),MONTH(Setup!$B$5),15))</f>
        <v/>
      </c>
      <c r="R4" s="28">
        <f>IF(16&gt;Setup!$B$9,"",DATE(YEAR(Setup!$B$5),MONTH(Setup!$B$5),16))</f>
        <v/>
      </c>
      <c r="S4" s="28">
        <f>IF(17&gt;Setup!$B$9,"",DATE(YEAR(Setup!$B$5),MONTH(Setup!$B$5),17))</f>
        <v/>
      </c>
      <c r="T4" s="28">
        <f>IF(18&gt;Setup!$B$9,"",DATE(YEAR(Setup!$B$5),MONTH(Setup!$B$5),18))</f>
        <v/>
      </c>
      <c r="U4" s="28">
        <f>IF(19&gt;Setup!$B$9,"",DATE(YEAR(Setup!$B$5),MONTH(Setup!$B$5),19))</f>
        <v/>
      </c>
      <c r="V4" s="28">
        <f>IF(20&gt;Setup!$B$9,"",DATE(YEAR(Setup!$B$5),MONTH(Setup!$B$5),20))</f>
        <v/>
      </c>
      <c r="W4" s="28">
        <f>IF(21&gt;Setup!$B$9,"",DATE(YEAR(Setup!$B$5),MONTH(Setup!$B$5),21))</f>
        <v/>
      </c>
      <c r="X4" s="28">
        <f>IF(22&gt;Setup!$B$9,"",DATE(YEAR(Setup!$B$5),MONTH(Setup!$B$5),22))</f>
        <v/>
      </c>
      <c r="Y4" s="28">
        <f>IF(23&gt;Setup!$B$9,"",DATE(YEAR(Setup!$B$5),MONTH(Setup!$B$5),23))</f>
        <v/>
      </c>
      <c r="Z4" s="28">
        <f>IF(24&gt;Setup!$B$9,"",DATE(YEAR(Setup!$B$5),MONTH(Setup!$B$5),24))</f>
        <v/>
      </c>
      <c r="AA4" s="28">
        <f>IF(25&gt;Setup!$B$9,"",DATE(YEAR(Setup!$B$5),MONTH(Setup!$B$5),25))</f>
        <v/>
      </c>
      <c r="AB4" s="28">
        <f>IF(26&gt;Setup!$B$9,"",DATE(YEAR(Setup!$B$5),MONTH(Setup!$B$5),26))</f>
        <v/>
      </c>
      <c r="AC4" s="28">
        <f>IF(27&gt;Setup!$B$9,"",DATE(YEAR(Setup!$B$5),MONTH(Setup!$B$5),27))</f>
        <v/>
      </c>
      <c r="AD4" s="28">
        <f>IF(28&gt;Setup!$B$9,"",DATE(YEAR(Setup!$B$5),MONTH(Setup!$B$5),28))</f>
        <v/>
      </c>
      <c r="AE4" s="28">
        <f>IF(29&gt;Setup!$B$9,"",DATE(YEAR(Setup!$B$5),MONTH(Setup!$B$5),29))</f>
        <v/>
      </c>
      <c r="AF4" s="28">
        <f>IF(30&gt;Setup!$B$9,"",DATE(YEAR(Setup!$B$5),MONTH(Setup!$B$5),30))</f>
        <v/>
      </c>
      <c r="AG4" s="28">
        <f>IF(31&gt;Setup!$B$9,"",DATE(YEAR(Setup!$B$5),MONTH(Setup!$B$5),31))</f>
        <v/>
      </c>
      <c r="AH4" s="27" t="inlineStr">
        <is>
          <t>P</t>
        </is>
      </c>
      <c r="AI4" s="27" t="inlineStr">
        <is>
          <t>A</t>
        </is>
      </c>
      <c r="AJ4" s="27" t="inlineStr">
        <is>
          <t>H</t>
        </is>
      </c>
      <c r="AK4" s="27" t="inlineStr">
        <is>
          <t>L</t>
        </is>
      </c>
      <c r="AL4" s="27" t="inlineStr">
        <is>
          <t>WO+HO</t>
        </is>
      </c>
      <c r="AM4" s="27" t="inlineStr">
        <is>
          <t>Paid days</t>
        </is>
      </c>
    </row>
    <row r="5">
      <c r="A5">
        <f>IF(Employees!A5="","",Employees!A5)</f>
        <v/>
      </c>
      <c r="B5">
        <f>IF(Employees!B5="","",Employees!B5)</f>
        <v/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>
        <f>COUNTIF(C5:AG5,"P")</f>
        <v/>
      </c>
      <c r="AI5">
        <f>COUNTIF(C5:AG5,"A")</f>
        <v/>
      </c>
      <c r="AJ5">
        <f>COUNTIF(C5:AG5,"H")</f>
        <v/>
      </c>
      <c r="AK5">
        <f>COUNTIF(C5:AG5,"L")</f>
        <v/>
      </c>
      <c r="AL5">
        <f>COUNTIF(C5:AG5,"WO")+COUNTIF(C5:AG5,"HO")</f>
        <v/>
      </c>
      <c r="AM5">
        <f>IF(A5="","",MIN(Setup!$B$9,AH5+AK5+AL5+AJ5/2))</f>
        <v/>
      </c>
    </row>
    <row r="6">
      <c r="A6">
        <f>IF(Employees!A6="","",Employees!A6)</f>
        <v/>
      </c>
      <c r="B6">
        <f>IF(Employees!B6="","",Employees!B6)</f>
        <v/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>
        <f>COUNTIF(C6:AG6,"P")</f>
        <v/>
      </c>
      <c r="AI6">
        <f>COUNTIF(C6:AG6,"A")</f>
        <v/>
      </c>
      <c r="AJ6">
        <f>COUNTIF(C6:AG6,"H")</f>
        <v/>
      </c>
      <c r="AK6">
        <f>COUNTIF(C6:AG6,"L")</f>
        <v/>
      </c>
      <c r="AL6">
        <f>COUNTIF(C6:AG6,"WO")+COUNTIF(C6:AG6,"HO")</f>
        <v/>
      </c>
      <c r="AM6">
        <f>IF(A6="","",MIN(Setup!$B$9,AH6+AK6+AL6+AJ6/2))</f>
        <v/>
      </c>
    </row>
    <row r="7">
      <c r="A7">
        <f>IF(Employees!A7="","",Employees!A7)</f>
        <v/>
      </c>
      <c r="B7">
        <f>IF(Employees!B7="","",Employees!B7)</f>
        <v/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>
        <f>COUNTIF(C7:AG7,"P")</f>
        <v/>
      </c>
      <c r="AI7">
        <f>COUNTIF(C7:AG7,"A")</f>
        <v/>
      </c>
      <c r="AJ7">
        <f>COUNTIF(C7:AG7,"H")</f>
        <v/>
      </c>
      <c r="AK7">
        <f>COUNTIF(C7:AG7,"L")</f>
        <v/>
      </c>
      <c r="AL7">
        <f>COUNTIF(C7:AG7,"WO")+COUNTIF(C7:AG7,"HO")</f>
        <v/>
      </c>
      <c r="AM7">
        <f>IF(A7="","",MIN(Setup!$B$9,AH7+AK7+AL7+AJ7/2))</f>
        <v/>
      </c>
    </row>
    <row r="8">
      <c r="A8">
        <f>IF(Employees!A8="","",Employees!A8)</f>
        <v/>
      </c>
      <c r="B8">
        <f>IF(Employees!B8="","",Employees!B8)</f>
        <v/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>
        <f>COUNTIF(C8:AG8,"P")</f>
        <v/>
      </c>
      <c r="AI8">
        <f>COUNTIF(C8:AG8,"A")</f>
        <v/>
      </c>
      <c r="AJ8">
        <f>COUNTIF(C8:AG8,"H")</f>
        <v/>
      </c>
      <c r="AK8">
        <f>COUNTIF(C8:AG8,"L")</f>
        <v/>
      </c>
      <c r="AL8">
        <f>COUNTIF(C8:AG8,"WO")+COUNTIF(C8:AG8,"HO")</f>
        <v/>
      </c>
      <c r="AM8">
        <f>IF(A8="","",MIN(Setup!$B$9,AH8+AK8+AL8+AJ8/2))</f>
        <v/>
      </c>
    </row>
    <row r="9">
      <c r="A9">
        <f>IF(Employees!A9="","",Employees!A9)</f>
        <v/>
      </c>
      <c r="B9">
        <f>IF(Employees!B9="","",Employees!B9)</f>
        <v/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>
        <f>COUNTIF(C9:AG9,"P")</f>
        <v/>
      </c>
      <c r="AI9">
        <f>COUNTIF(C9:AG9,"A")</f>
        <v/>
      </c>
      <c r="AJ9">
        <f>COUNTIF(C9:AG9,"H")</f>
        <v/>
      </c>
      <c r="AK9">
        <f>COUNTIF(C9:AG9,"L")</f>
        <v/>
      </c>
      <c r="AL9">
        <f>COUNTIF(C9:AG9,"WO")+COUNTIF(C9:AG9,"HO")</f>
        <v/>
      </c>
      <c r="AM9">
        <f>IF(A9="","",MIN(Setup!$B$9,AH9+AK9+AL9+AJ9/2))</f>
        <v/>
      </c>
    </row>
    <row r="10">
      <c r="A10">
        <f>IF(Employees!A10="","",Employees!A10)</f>
        <v/>
      </c>
      <c r="B10">
        <f>IF(Employees!B10="","",Employees!B10)</f>
        <v/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>
        <f>COUNTIF(C10:AG10,"P")</f>
        <v/>
      </c>
      <c r="AI10">
        <f>COUNTIF(C10:AG10,"A")</f>
        <v/>
      </c>
      <c r="AJ10">
        <f>COUNTIF(C10:AG10,"H")</f>
        <v/>
      </c>
      <c r="AK10">
        <f>COUNTIF(C10:AG10,"L")</f>
        <v/>
      </c>
      <c r="AL10">
        <f>COUNTIF(C10:AG10,"WO")+COUNTIF(C10:AG10,"HO")</f>
        <v/>
      </c>
      <c r="AM10">
        <f>IF(A10="","",MIN(Setup!$B$9,AH10+AK10+AL10+AJ10/2))</f>
        <v/>
      </c>
    </row>
    <row r="11">
      <c r="A11">
        <f>IF(Employees!A11="","",Employees!A11)</f>
        <v/>
      </c>
      <c r="B11">
        <f>IF(Employees!B11="","",Employees!B11)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>
        <f>COUNTIF(C11:AG11,"P")</f>
        <v/>
      </c>
      <c r="AI11">
        <f>COUNTIF(C11:AG11,"A")</f>
        <v/>
      </c>
      <c r="AJ11">
        <f>COUNTIF(C11:AG11,"H")</f>
        <v/>
      </c>
      <c r="AK11">
        <f>COUNTIF(C11:AG11,"L")</f>
        <v/>
      </c>
      <c r="AL11">
        <f>COUNTIF(C11:AG11,"WO")+COUNTIF(C11:AG11,"HO")</f>
        <v/>
      </c>
      <c r="AM11">
        <f>IF(A11="","",MIN(Setup!$B$9,AH11+AK11+AL11+AJ11/2))</f>
        <v/>
      </c>
    </row>
    <row r="12">
      <c r="A12">
        <f>IF(Employees!A12="","",Employees!A12)</f>
        <v/>
      </c>
      <c r="B12">
        <f>IF(Employees!B12="","",Employees!B12)</f>
        <v/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>
        <f>COUNTIF(C12:AG12,"P")</f>
        <v/>
      </c>
      <c r="AI12">
        <f>COUNTIF(C12:AG12,"A")</f>
        <v/>
      </c>
      <c r="AJ12">
        <f>COUNTIF(C12:AG12,"H")</f>
        <v/>
      </c>
      <c r="AK12">
        <f>COUNTIF(C12:AG12,"L")</f>
        <v/>
      </c>
      <c r="AL12">
        <f>COUNTIF(C12:AG12,"WO")+COUNTIF(C12:AG12,"HO")</f>
        <v/>
      </c>
      <c r="AM12">
        <f>IF(A12="","",MIN(Setup!$B$9,AH12+AK12+AL12+AJ12/2))</f>
        <v/>
      </c>
    </row>
    <row r="13">
      <c r="A13">
        <f>IF(Employees!A13="","",Employees!A13)</f>
        <v/>
      </c>
      <c r="B13">
        <f>IF(Employees!B13="","",Employees!B13)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>
        <f>COUNTIF(C13:AG13,"P")</f>
        <v/>
      </c>
      <c r="AI13">
        <f>COUNTIF(C13:AG13,"A")</f>
        <v/>
      </c>
      <c r="AJ13">
        <f>COUNTIF(C13:AG13,"H")</f>
        <v/>
      </c>
      <c r="AK13">
        <f>COUNTIF(C13:AG13,"L")</f>
        <v/>
      </c>
      <c r="AL13">
        <f>COUNTIF(C13:AG13,"WO")+COUNTIF(C13:AG13,"HO")</f>
        <v/>
      </c>
      <c r="AM13">
        <f>IF(A13="","",MIN(Setup!$B$9,AH13+AK13+AL13+AJ13/2))</f>
        <v/>
      </c>
    </row>
    <row r="14">
      <c r="A14">
        <f>IF(Employees!A14="","",Employees!A14)</f>
        <v/>
      </c>
      <c r="B14">
        <f>IF(Employees!B14="","",Employees!B14)</f>
        <v/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>
        <f>COUNTIF(C14:AG14,"P")</f>
        <v/>
      </c>
      <c r="AI14">
        <f>COUNTIF(C14:AG14,"A")</f>
        <v/>
      </c>
      <c r="AJ14">
        <f>COUNTIF(C14:AG14,"H")</f>
        <v/>
      </c>
      <c r="AK14">
        <f>COUNTIF(C14:AG14,"L")</f>
        <v/>
      </c>
      <c r="AL14">
        <f>COUNTIF(C14:AG14,"WO")+COUNTIF(C14:AG14,"HO")</f>
        <v/>
      </c>
      <c r="AM14">
        <f>IF(A14="","",MIN(Setup!$B$9,AH14+AK14+AL14+AJ14/2))</f>
        <v/>
      </c>
    </row>
    <row r="15">
      <c r="A15">
        <f>IF(Employees!A15="","",Employees!A15)</f>
        <v/>
      </c>
      <c r="B15">
        <f>IF(Employees!B15="","",Employees!B15)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>
        <f>COUNTIF(C15:AG15,"P")</f>
        <v/>
      </c>
      <c r="AI15">
        <f>COUNTIF(C15:AG15,"A")</f>
        <v/>
      </c>
      <c r="AJ15">
        <f>COUNTIF(C15:AG15,"H")</f>
        <v/>
      </c>
      <c r="AK15">
        <f>COUNTIF(C15:AG15,"L")</f>
        <v/>
      </c>
      <c r="AL15">
        <f>COUNTIF(C15:AG15,"WO")+COUNTIF(C15:AG15,"HO")</f>
        <v/>
      </c>
      <c r="AM15">
        <f>IF(A15="","",MIN(Setup!$B$9,AH15+AK15+AL15+AJ15/2))</f>
        <v/>
      </c>
    </row>
    <row r="16">
      <c r="A16">
        <f>IF(Employees!A16="","",Employees!A16)</f>
        <v/>
      </c>
      <c r="B16">
        <f>IF(Employees!B16="","",Employees!B16)</f>
        <v/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>
        <f>COUNTIF(C16:AG16,"P")</f>
        <v/>
      </c>
      <c r="AI16">
        <f>COUNTIF(C16:AG16,"A")</f>
        <v/>
      </c>
      <c r="AJ16">
        <f>COUNTIF(C16:AG16,"H")</f>
        <v/>
      </c>
      <c r="AK16">
        <f>COUNTIF(C16:AG16,"L")</f>
        <v/>
      </c>
      <c r="AL16">
        <f>COUNTIF(C16:AG16,"WO")+COUNTIF(C16:AG16,"HO")</f>
        <v/>
      </c>
      <c r="AM16">
        <f>IF(A16="","",MIN(Setup!$B$9,AH16+AK16+AL16+AJ16/2))</f>
        <v/>
      </c>
    </row>
    <row r="17">
      <c r="A17">
        <f>IF(Employees!A17="","",Employees!A17)</f>
        <v/>
      </c>
      <c r="B17">
        <f>IF(Employees!B17="","",Employees!B17)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>
        <f>COUNTIF(C17:AG17,"P")</f>
        <v/>
      </c>
      <c r="AI17">
        <f>COUNTIF(C17:AG17,"A")</f>
        <v/>
      </c>
      <c r="AJ17">
        <f>COUNTIF(C17:AG17,"H")</f>
        <v/>
      </c>
      <c r="AK17">
        <f>COUNTIF(C17:AG17,"L")</f>
        <v/>
      </c>
      <c r="AL17">
        <f>COUNTIF(C17:AG17,"WO")+COUNTIF(C17:AG17,"HO")</f>
        <v/>
      </c>
      <c r="AM17">
        <f>IF(A17="","",MIN(Setup!$B$9,AH17+AK17+AL17+AJ17/2))</f>
        <v/>
      </c>
    </row>
    <row r="18">
      <c r="A18">
        <f>IF(Employees!A18="","",Employees!A18)</f>
        <v/>
      </c>
      <c r="B18">
        <f>IF(Employees!B18="","",Employees!B18)</f>
        <v/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>
        <f>COUNTIF(C18:AG18,"P")</f>
        <v/>
      </c>
      <c r="AI18">
        <f>COUNTIF(C18:AG18,"A")</f>
        <v/>
      </c>
      <c r="AJ18">
        <f>COUNTIF(C18:AG18,"H")</f>
        <v/>
      </c>
      <c r="AK18">
        <f>COUNTIF(C18:AG18,"L")</f>
        <v/>
      </c>
      <c r="AL18">
        <f>COUNTIF(C18:AG18,"WO")+COUNTIF(C18:AG18,"HO")</f>
        <v/>
      </c>
      <c r="AM18">
        <f>IF(A18="","",MIN(Setup!$B$9,AH18+AK18+AL18+AJ18/2))</f>
        <v/>
      </c>
    </row>
    <row r="19">
      <c r="A19">
        <f>IF(Employees!A19="","",Employees!A19)</f>
        <v/>
      </c>
      <c r="B19">
        <f>IF(Employees!B19="","",Employees!B19)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>
        <f>COUNTIF(C19:AG19,"P")</f>
        <v/>
      </c>
      <c r="AI19">
        <f>COUNTIF(C19:AG19,"A")</f>
        <v/>
      </c>
      <c r="AJ19">
        <f>COUNTIF(C19:AG19,"H")</f>
        <v/>
      </c>
      <c r="AK19">
        <f>COUNTIF(C19:AG19,"L")</f>
        <v/>
      </c>
      <c r="AL19">
        <f>COUNTIF(C19:AG19,"WO")+COUNTIF(C19:AG19,"HO")</f>
        <v/>
      </c>
      <c r="AM19">
        <f>IF(A19="","",MIN(Setup!$B$9,AH19+AK19+AL19+AJ19/2))</f>
        <v/>
      </c>
    </row>
    <row r="20">
      <c r="A20">
        <f>IF(Employees!A20="","",Employees!A20)</f>
        <v/>
      </c>
      <c r="B20">
        <f>IF(Employees!B20="","",Employees!B20)</f>
        <v/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>
        <f>COUNTIF(C20:AG20,"P")</f>
        <v/>
      </c>
      <c r="AI20">
        <f>COUNTIF(C20:AG20,"A")</f>
        <v/>
      </c>
      <c r="AJ20">
        <f>COUNTIF(C20:AG20,"H")</f>
        <v/>
      </c>
      <c r="AK20">
        <f>COUNTIF(C20:AG20,"L")</f>
        <v/>
      </c>
      <c r="AL20">
        <f>COUNTIF(C20:AG20,"WO")+COUNTIF(C20:AG20,"HO")</f>
        <v/>
      </c>
      <c r="AM20">
        <f>IF(A20="","",MIN(Setup!$B$9,AH20+AK20+AL20+AJ20/2))</f>
        <v/>
      </c>
    </row>
    <row r="21">
      <c r="A21">
        <f>IF(Employees!A21="","",Employees!A21)</f>
        <v/>
      </c>
      <c r="B21">
        <f>IF(Employees!B21="","",Employees!B21)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>
        <f>COUNTIF(C21:AG21,"P")</f>
        <v/>
      </c>
      <c r="AI21">
        <f>COUNTIF(C21:AG21,"A")</f>
        <v/>
      </c>
      <c r="AJ21">
        <f>COUNTIF(C21:AG21,"H")</f>
        <v/>
      </c>
      <c r="AK21">
        <f>COUNTIF(C21:AG21,"L")</f>
        <v/>
      </c>
      <c r="AL21">
        <f>COUNTIF(C21:AG21,"WO")+COUNTIF(C21:AG21,"HO")</f>
        <v/>
      </c>
      <c r="AM21">
        <f>IF(A21="","",MIN(Setup!$B$9,AH21+AK21+AL21+AJ21/2))</f>
        <v/>
      </c>
    </row>
    <row r="22">
      <c r="A22">
        <f>IF(Employees!A22="","",Employees!A22)</f>
        <v/>
      </c>
      <c r="B22">
        <f>IF(Employees!B22="","",Employees!B22)</f>
        <v/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>
        <f>COUNTIF(C22:AG22,"P")</f>
        <v/>
      </c>
      <c r="AI22">
        <f>COUNTIF(C22:AG22,"A")</f>
        <v/>
      </c>
      <c r="AJ22">
        <f>COUNTIF(C22:AG22,"H")</f>
        <v/>
      </c>
      <c r="AK22">
        <f>COUNTIF(C22:AG22,"L")</f>
        <v/>
      </c>
      <c r="AL22">
        <f>COUNTIF(C22:AG22,"WO")+COUNTIF(C22:AG22,"HO")</f>
        <v/>
      </c>
      <c r="AM22">
        <f>IF(A22="","",MIN(Setup!$B$9,AH22+AK22+AL22+AJ22/2))</f>
        <v/>
      </c>
    </row>
    <row r="23">
      <c r="A23">
        <f>IF(Employees!A23="","",Employees!A23)</f>
        <v/>
      </c>
      <c r="B23">
        <f>IF(Employees!B23="","",Employees!B23)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>
        <f>COUNTIF(C23:AG23,"P")</f>
        <v/>
      </c>
      <c r="AI23">
        <f>COUNTIF(C23:AG23,"A")</f>
        <v/>
      </c>
      <c r="AJ23">
        <f>COUNTIF(C23:AG23,"H")</f>
        <v/>
      </c>
      <c r="AK23">
        <f>COUNTIF(C23:AG23,"L")</f>
        <v/>
      </c>
      <c r="AL23">
        <f>COUNTIF(C23:AG23,"WO")+COUNTIF(C23:AG23,"HO")</f>
        <v/>
      </c>
      <c r="AM23">
        <f>IF(A23="","",MIN(Setup!$B$9,AH23+AK23+AL23+AJ23/2))</f>
        <v/>
      </c>
    </row>
    <row r="24">
      <c r="A24">
        <f>IF(Employees!A24="","",Employees!A24)</f>
        <v/>
      </c>
      <c r="B24">
        <f>IF(Employees!B24="","",Employees!B24)</f>
        <v/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>
        <f>COUNTIF(C24:AG24,"P")</f>
        <v/>
      </c>
      <c r="AI24">
        <f>COUNTIF(C24:AG24,"A")</f>
        <v/>
      </c>
      <c r="AJ24">
        <f>COUNTIF(C24:AG24,"H")</f>
        <v/>
      </c>
      <c r="AK24">
        <f>COUNTIF(C24:AG24,"L")</f>
        <v/>
      </c>
      <c r="AL24">
        <f>COUNTIF(C24:AG24,"WO")+COUNTIF(C24:AG24,"HO")</f>
        <v/>
      </c>
      <c r="AM24">
        <f>IF(A24="","",MIN(Setup!$B$9,AH24+AK24+AL24+AJ24/2))</f>
        <v/>
      </c>
    </row>
    <row r="25">
      <c r="A25">
        <f>IF(Employees!A25="","",Employees!A25)</f>
        <v/>
      </c>
      <c r="B25">
        <f>IF(Employees!B25="","",Employees!B25)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>
        <f>COUNTIF(C25:AG25,"P")</f>
        <v/>
      </c>
      <c r="AI25">
        <f>COUNTIF(C25:AG25,"A")</f>
        <v/>
      </c>
      <c r="AJ25">
        <f>COUNTIF(C25:AG25,"H")</f>
        <v/>
      </c>
      <c r="AK25">
        <f>COUNTIF(C25:AG25,"L")</f>
        <v/>
      </c>
      <c r="AL25">
        <f>COUNTIF(C25:AG25,"WO")+COUNTIF(C25:AG25,"HO")</f>
        <v/>
      </c>
      <c r="AM25">
        <f>IF(A25="","",MIN(Setup!$B$9,AH25+AK25+AL25+AJ25/2))</f>
        <v/>
      </c>
    </row>
    <row r="26">
      <c r="A26">
        <f>IF(Employees!A26="","",Employees!A26)</f>
        <v/>
      </c>
      <c r="B26">
        <f>IF(Employees!B26="","",Employees!B26)</f>
        <v/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>
        <f>COUNTIF(C26:AG26,"P")</f>
        <v/>
      </c>
      <c r="AI26">
        <f>COUNTIF(C26:AG26,"A")</f>
        <v/>
      </c>
      <c r="AJ26">
        <f>COUNTIF(C26:AG26,"H")</f>
        <v/>
      </c>
      <c r="AK26">
        <f>COUNTIF(C26:AG26,"L")</f>
        <v/>
      </c>
      <c r="AL26">
        <f>COUNTIF(C26:AG26,"WO")+COUNTIF(C26:AG26,"HO")</f>
        <v/>
      </c>
      <c r="AM26">
        <f>IF(A26="","",MIN(Setup!$B$9,AH26+AK26+AL26+AJ26/2))</f>
        <v/>
      </c>
    </row>
    <row r="27">
      <c r="A27">
        <f>IF(Employees!A27="","",Employees!A27)</f>
        <v/>
      </c>
      <c r="B27">
        <f>IF(Employees!B27="","",Employees!B27)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>
        <f>COUNTIF(C27:AG27,"P")</f>
        <v/>
      </c>
      <c r="AI27">
        <f>COUNTIF(C27:AG27,"A")</f>
        <v/>
      </c>
      <c r="AJ27">
        <f>COUNTIF(C27:AG27,"H")</f>
        <v/>
      </c>
      <c r="AK27">
        <f>COUNTIF(C27:AG27,"L")</f>
        <v/>
      </c>
      <c r="AL27">
        <f>COUNTIF(C27:AG27,"WO")+COUNTIF(C27:AG27,"HO")</f>
        <v/>
      </c>
      <c r="AM27">
        <f>IF(A27="","",MIN(Setup!$B$9,AH27+AK27+AL27+AJ27/2))</f>
        <v/>
      </c>
    </row>
    <row r="28">
      <c r="A28">
        <f>IF(Employees!A28="","",Employees!A28)</f>
        <v/>
      </c>
      <c r="B28">
        <f>IF(Employees!B28="","",Employees!B28)</f>
        <v/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>
        <f>COUNTIF(C28:AG28,"P")</f>
        <v/>
      </c>
      <c r="AI28">
        <f>COUNTIF(C28:AG28,"A")</f>
        <v/>
      </c>
      <c r="AJ28">
        <f>COUNTIF(C28:AG28,"H")</f>
        <v/>
      </c>
      <c r="AK28">
        <f>COUNTIF(C28:AG28,"L")</f>
        <v/>
      </c>
      <c r="AL28">
        <f>COUNTIF(C28:AG28,"WO")+COUNTIF(C28:AG28,"HO")</f>
        <v/>
      </c>
      <c r="AM28">
        <f>IF(A28="","",MIN(Setup!$B$9,AH28+AK28+AL28+AJ28/2))</f>
        <v/>
      </c>
    </row>
    <row r="29">
      <c r="A29">
        <f>IF(Employees!A29="","",Employees!A29)</f>
        <v/>
      </c>
      <c r="B29">
        <f>IF(Employees!B29="","",Employees!B29)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>
        <f>COUNTIF(C29:AG29,"P")</f>
        <v/>
      </c>
      <c r="AI29">
        <f>COUNTIF(C29:AG29,"A")</f>
        <v/>
      </c>
      <c r="AJ29">
        <f>COUNTIF(C29:AG29,"H")</f>
        <v/>
      </c>
      <c r="AK29">
        <f>COUNTIF(C29:AG29,"L")</f>
        <v/>
      </c>
      <c r="AL29">
        <f>COUNTIF(C29:AG29,"WO")+COUNTIF(C29:AG29,"HO")</f>
        <v/>
      </c>
      <c r="AM29">
        <f>IF(A29="","",MIN(Setup!$B$9,AH29+AK29+AL29+AJ29/2))</f>
        <v/>
      </c>
    </row>
    <row r="30">
      <c r="A30">
        <f>IF(Employees!A30="","",Employees!A30)</f>
        <v/>
      </c>
      <c r="B30">
        <f>IF(Employees!B30="","",Employees!B30)</f>
        <v/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>
        <f>COUNTIF(C30:AG30,"P")</f>
        <v/>
      </c>
      <c r="AI30">
        <f>COUNTIF(C30:AG30,"A")</f>
        <v/>
      </c>
      <c r="AJ30">
        <f>COUNTIF(C30:AG30,"H")</f>
        <v/>
      </c>
      <c r="AK30">
        <f>COUNTIF(C30:AG30,"L")</f>
        <v/>
      </c>
      <c r="AL30">
        <f>COUNTIF(C30:AG30,"WO")+COUNTIF(C30:AG30,"HO")</f>
        <v/>
      </c>
      <c r="AM30">
        <f>IF(A30="","",MIN(Setup!$B$9,AH30+AK30+AL30+AJ30/2))</f>
        <v/>
      </c>
    </row>
    <row r="31">
      <c r="A31">
        <f>IF(Employees!A31="","",Employees!A31)</f>
        <v/>
      </c>
      <c r="B31">
        <f>IF(Employees!B31="","",Employees!B31)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>
        <f>COUNTIF(C31:AG31,"P")</f>
        <v/>
      </c>
      <c r="AI31">
        <f>COUNTIF(C31:AG31,"A")</f>
        <v/>
      </c>
      <c r="AJ31">
        <f>COUNTIF(C31:AG31,"H")</f>
        <v/>
      </c>
      <c r="AK31">
        <f>COUNTIF(C31:AG31,"L")</f>
        <v/>
      </c>
      <c r="AL31">
        <f>COUNTIF(C31:AG31,"WO")+COUNTIF(C31:AG31,"HO")</f>
        <v/>
      </c>
      <c r="AM31">
        <f>IF(A31="","",MIN(Setup!$B$9,AH31+AK31+AL31+AJ31/2))</f>
        <v/>
      </c>
    </row>
    <row r="32">
      <c r="A32">
        <f>IF(Employees!A32="","",Employees!A32)</f>
        <v/>
      </c>
      <c r="B32">
        <f>IF(Employees!B32="","",Employees!B32)</f>
        <v/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>
        <f>COUNTIF(C32:AG32,"P")</f>
        <v/>
      </c>
      <c r="AI32">
        <f>COUNTIF(C32:AG32,"A")</f>
        <v/>
      </c>
      <c r="AJ32">
        <f>COUNTIF(C32:AG32,"H")</f>
        <v/>
      </c>
      <c r="AK32">
        <f>COUNTIF(C32:AG32,"L")</f>
        <v/>
      </c>
      <c r="AL32">
        <f>COUNTIF(C32:AG32,"WO")+COUNTIF(C32:AG32,"HO")</f>
        <v/>
      </c>
      <c r="AM32">
        <f>IF(A32="","",MIN(Setup!$B$9,AH32+AK32+AL32+AJ32/2))</f>
        <v/>
      </c>
    </row>
    <row r="33">
      <c r="A33">
        <f>IF(Employees!A33="","",Employees!A33)</f>
        <v/>
      </c>
      <c r="B33">
        <f>IF(Employees!B33="","",Employees!B33)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>
        <f>COUNTIF(C33:AG33,"P")</f>
        <v/>
      </c>
      <c r="AI33">
        <f>COUNTIF(C33:AG33,"A")</f>
        <v/>
      </c>
      <c r="AJ33">
        <f>COUNTIF(C33:AG33,"H")</f>
        <v/>
      </c>
      <c r="AK33">
        <f>COUNTIF(C33:AG33,"L")</f>
        <v/>
      </c>
      <c r="AL33">
        <f>COUNTIF(C33:AG33,"WO")+COUNTIF(C33:AG33,"HO")</f>
        <v/>
      </c>
      <c r="AM33">
        <f>IF(A33="","",MIN(Setup!$B$9,AH33+AK33+AL33+AJ33/2))</f>
        <v/>
      </c>
    </row>
    <row r="34">
      <c r="A34">
        <f>IF(Employees!A34="","",Employees!A34)</f>
        <v/>
      </c>
      <c r="B34">
        <f>IF(Employees!B34="","",Employees!B34)</f>
        <v/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>
        <f>COUNTIF(C34:AG34,"P")</f>
        <v/>
      </c>
      <c r="AI34">
        <f>COUNTIF(C34:AG34,"A")</f>
        <v/>
      </c>
      <c r="AJ34">
        <f>COUNTIF(C34:AG34,"H")</f>
        <v/>
      </c>
      <c r="AK34">
        <f>COUNTIF(C34:AG34,"L")</f>
        <v/>
      </c>
      <c r="AL34">
        <f>COUNTIF(C34:AG34,"WO")+COUNTIF(C34:AG34,"HO")</f>
        <v/>
      </c>
      <c r="AM34">
        <f>IF(A34="","",MIN(Setup!$B$9,AH34+AK34+AL34+AJ34/2))</f>
        <v/>
      </c>
    </row>
    <row r="35">
      <c r="A35">
        <f>IF(Employees!A35="","",Employees!A35)</f>
        <v/>
      </c>
      <c r="B35">
        <f>IF(Employees!B35="","",Employees!B35)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>
        <f>COUNTIF(C35:AG35,"P")</f>
        <v/>
      </c>
      <c r="AI35">
        <f>COUNTIF(C35:AG35,"A")</f>
        <v/>
      </c>
      <c r="AJ35">
        <f>COUNTIF(C35:AG35,"H")</f>
        <v/>
      </c>
      <c r="AK35">
        <f>COUNTIF(C35:AG35,"L")</f>
        <v/>
      </c>
      <c r="AL35">
        <f>COUNTIF(C35:AG35,"WO")+COUNTIF(C35:AG35,"HO")</f>
        <v/>
      </c>
      <c r="AM35">
        <f>IF(A35="","",MIN(Setup!$B$9,AH35+AK35+AL35+AJ35/2))</f>
        <v/>
      </c>
    </row>
    <row r="36">
      <c r="A36">
        <f>IF(Employees!A36="","",Employees!A36)</f>
        <v/>
      </c>
      <c r="B36">
        <f>IF(Employees!B36="","",Employees!B36)</f>
        <v/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>
        <f>COUNTIF(C36:AG36,"P")</f>
        <v/>
      </c>
      <c r="AI36">
        <f>COUNTIF(C36:AG36,"A")</f>
        <v/>
      </c>
      <c r="AJ36">
        <f>COUNTIF(C36:AG36,"H")</f>
        <v/>
      </c>
      <c r="AK36">
        <f>COUNTIF(C36:AG36,"L")</f>
        <v/>
      </c>
      <c r="AL36">
        <f>COUNTIF(C36:AG36,"WO")+COUNTIF(C36:AG36,"HO")</f>
        <v/>
      </c>
      <c r="AM36">
        <f>IF(A36="","",MIN(Setup!$B$9,AH36+AK36+AL36+AJ36/2))</f>
        <v/>
      </c>
    </row>
    <row r="37">
      <c r="A37">
        <f>IF(Employees!A37="","",Employees!A37)</f>
        <v/>
      </c>
      <c r="B37">
        <f>IF(Employees!B37="","",Employees!B37)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>
        <f>COUNTIF(C37:AG37,"P")</f>
        <v/>
      </c>
      <c r="AI37">
        <f>COUNTIF(C37:AG37,"A")</f>
        <v/>
      </c>
      <c r="AJ37">
        <f>COUNTIF(C37:AG37,"H")</f>
        <v/>
      </c>
      <c r="AK37">
        <f>COUNTIF(C37:AG37,"L")</f>
        <v/>
      </c>
      <c r="AL37">
        <f>COUNTIF(C37:AG37,"WO")+COUNTIF(C37:AG37,"HO")</f>
        <v/>
      </c>
      <c r="AM37">
        <f>IF(A37="","",MIN(Setup!$B$9,AH37+AK37+AL37+AJ37/2))</f>
        <v/>
      </c>
    </row>
    <row r="38">
      <c r="A38">
        <f>IF(Employees!A38="","",Employees!A38)</f>
        <v/>
      </c>
      <c r="B38">
        <f>IF(Employees!B38="","",Employees!B38)</f>
        <v/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>
        <f>COUNTIF(C38:AG38,"P")</f>
        <v/>
      </c>
      <c r="AI38">
        <f>COUNTIF(C38:AG38,"A")</f>
        <v/>
      </c>
      <c r="AJ38">
        <f>COUNTIF(C38:AG38,"H")</f>
        <v/>
      </c>
      <c r="AK38">
        <f>COUNTIF(C38:AG38,"L")</f>
        <v/>
      </c>
      <c r="AL38">
        <f>COUNTIF(C38:AG38,"WO")+COUNTIF(C38:AG38,"HO")</f>
        <v/>
      </c>
      <c r="AM38">
        <f>IF(A38="","",MIN(Setup!$B$9,AH38+AK38+AL38+AJ38/2))</f>
        <v/>
      </c>
    </row>
    <row r="39">
      <c r="A39">
        <f>IF(Employees!A39="","",Employees!A39)</f>
        <v/>
      </c>
      <c r="B39">
        <f>IF(Employees!B39="","",Employees!B39)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>
        <f>COUNTIF(C39:AG39,"P")</f>
        <v/>
      </c>
      <c r="AI39">
        <f>COUNTIF(C39:AG39,"A")</f>
        <v/>
      </c>
      <c r="AJ39">
        <f>COUNTIF(C39:AG39,"H")</f>
        <v/>
      </c>
      <c r="AK39">
        <f>COUNTIF(C39:AG39,"L")</f>
        <v/>
      </c>
      <c r="AL39">
        <f>COUNTIF(C39:AG39,"WO")+COUNTIF(C39:AG39,"HO")</f>
        <v/>
      </c>
      <c r="AM39">
        <f>IF(A39="","",MIN(Setup!$B$9,AH39+AK39+AL39+AJ39/2))</f>
        <v/>
      </c>
    </row>
    <row r="40">
      <c r="A40">
        <f>IF(Employees!A40="","",Employees!A40)</f>
        <v/>
      </c>
      <c r="B40">
        <f>IF(Employees!B40="","",Employees!B40)</f>
        <v/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>
        <f>COUNTIF(C40:AG40,"P")</f>
        <v/>
      </c>
      <c r="AI40">
        <f>COUNTIF(C40:AG40,"A")</f>
        <v/>
      </c>
      <c r="AJ40">
        <f>COUNTIF(C40:AG40,"H")</f>
        <v/>
      </c>
      <c r="AK40">
        <f>COUNTIF(C40:AG40,"L")</f>
        <v/>
      </c>
      <c r="AL40">
        <f>COUNTIF(C40:AG40,"WO")+COUNTIF(C40:AG40,"HO")</f>
        <v/>
      </c>
      <c r="AM40">
        <f>IF(A40="","",MIN(Setup!$B$9,AH40+AK40+AL40+AJ40/2))</f>
        <v/>
      </c>
    </row>
    <row r="41">
      <c r="A41">
        <f>IF(Employees!A41="","",Employees!A41)</f>
        <v/>
      </c>
      <c r="B41">
        <f>IF(Employees!B41="","",Employees!B41)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>
        <f>COUNTIF(C41:AG41,"P")</f>
        <v/>
      </c>
      <c r="AI41">
        <f>COUNTIF(C41:AG41,"A")</f>
        <v/>
      </c>
      <c r="AJ41">
        <f>COUNTIF(C41:AG41,"H")</f>
        <v/>
      </c>
      <c r="AK41">
        <f>COUNTIF(C41:AG41,"L")</f>
        <v/>
      </c>
      <c r="AL41">
        <f>COUNTIF(C41:AG41,"WO")+COUNTIF(C41:AG41,"HO")</f>
        <v/>
      </c>
      <c r="AM41">
        <f>IF(A41="","",MIN(Setup!$B$9,AH41+AK41+AL41+AJ41/2))</f>
        <v/>
      </c>
    </row>
    <row r="42">
      <c r="A42">
        <f>IF(Employees!A42="","",Employees!A42)</f>
        <v/>
      </c>
      <c r="B42">
        <f>IF(Employees!B42="","",Employees!B42)</f>
        <v/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>
        <f>COUNTIF(C42:AG42,"P")</f>
        <v/>
      </c>
      <c r="AI42">
        <f>COUNTIF(C42:AG42,"A")</f>
        <v/>
      </c>
      <c r="AJ42">
        <f>COUNTIF(C42:AG42,"H")</f>
        <v/>
      </c>
      <c r="AK42">
        <f>COUNTIF(C42:AG42,"L")</f>
        <v/>
      </c>
      <c r="AL42">
        <f>COUNTIF(C42:AG42,"WO")+COUNTIF(C42:AG42,"HO")</f>
        <v/>
      </c>
      <c r="AM42">
        <f>IF(A42="","",MIN(Setup!$B$9,AH42+AK42+AL42+AJ42/2))</f>
        <v/>
      </c>
    </row>
    <row r="43">
      <c r="A43">
        <f>IF(Employees!A43="","",Employees!A43)</f>
        <v/>
      </c>
      <c r="B43">
        <f>IF(Employees!B43="","",Employees!B43)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>
        <f>COUNTIF(C43:AG43,"P")</f>
        <v/>
      </c>
      <c r="AI43">
        <f>COUNTIF(C43:AG43,"A")</f>
        <v/>
      </c>
      <c r="AJ43">
        <f>COUNTIF(C43:AG43,"H")</f>
        <v/>
      </c>
      <c r="AK43">
        <f>COUNTIF(C43:AG43,"L")</f>
        <v/>
      </c>
      <c r="AL43">
        <f>COUNTIF(C43:AG43,"WO")+COUNTIF(C43:AG43,"HO")</f>
        <v/>
      </c>
      <c r="AM43">
        <f>IF(A43="","",MIN(Setup!$B$9,AH43+AK43+AL43+AJ43/2))</f>
        <v/>
      </c>
    </row>
    <row r="44">
      <c r="A44">
        <f>IF(Employees!A44="","",Employees!A44)</f>
        <v/>
      </c>
      <c r="B44">
        <f>IF(Employees!B44="","",Employees!B44)</f>
        <v/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>
        <f>COUNTIF(C44:AG44,"P")</f>
        <v/>
      </c>
      <c r="AI44">
        <f>COUNTIF(C44:AG44,"A")</f>
        <v/>
      </c>
      <c r="AJ44">
        <f>COUNTIF(C44:AG44,"H")</f>
        <v/>
      </c>
      <c r="AK44">
        <f>COUNTIF(C44:AG44,"L")</f>
        <v/>
      </c>
      <c r="AL44">
        <f>COUNTIF(C44:AG44,"WO")+COUNTIF(C44:AG44,"HO")</f>
        <v/>
      </c>
      <c r="AM44">
        <f>IF(A44="","",MIN(Setup!$B$9,AH44+AK44+AL44+AJ44/2))</f>
        <v/>
      </c>
    </row>
    <row r="45">
      <c r="A45">
        <f>IF(Employees!A45="","",Employees!A45)</f>
        <v/>
      </c>
      <c r="B45">
        <f>IF(Employees!B45="","",Employees!B45)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>
        <f>COUNTIF(C45:AG45,"P")</f>
        <v/>
      </c>
      <c r="AI45">
        <f>COUNTIF(C45:AG45,"A")</f>
        <v/>
      </c>
      <c r="AJ45">
        <f>COUNTIF(C45:AG45,"H")</f>
        <v/>
      </c>
      <c r="AK45">
        <f>COUNTIF(C45:AG45,"L")</f>
        <v/>
      </c>
      <c r="AL45">
        <f>COUNTIF(C45:AG45,"WO")+COUNTIF(C45:AG45,"HO")</f>
        <v/>
      </c>
      <c r="AM45">
        <f>IF(A45="","",MIN(Setup!$B$9,AH45+AK45+AL45+AJ45/2))</f>
        <v/>
      </c>
    </row>
    <row r="46">
      <c r="A46">
        <f>IF(Employees!A46="","",Employees!A46)</f>
        <v/>
      </c>
      <c r="B46">
        <f>IF(Employees!B46="","",Employees!B46)</f>
        <v/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>
        <f>COUNTIF(C46:AG46,"P")</f>
        <v/>
      </c>
      <c r="AI46">
        <f>COUNTIF(C46:AG46,"A")</f>
        <v/>
      </c>
      <c r="AJ46">
        <f>COUNTIF(C46:AG46,"H")</f>
        <v/>
      </c>
      <c r="AK46">
        <f>COUNTIF(C46:AG46,"L")</f>
        <v/>
      </c>
      <c r="AL46">
        <f>COUNTIF(C46:AG46,"WO")+COUNTIF(C46:AG46,"HO")</f>
        <v/>
      </c>
      <c r="AM46">
        <f>IF(A46="","",MIN(Setup!$B$9,AH46+AK46+AL46+AJ46/2))</f>
        <v/>
      </c>
    </row>
    <row r="47">
      <c r="A47">
        <f>IF(Employees!A47="","",Employees!A47)</f>
        <v/>
      </c>
      <c r="B47">
        <f>IF(Employees!B47="","",Employees!B47)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>
        <f>COUNTIF(C47:AG47,"P")</f>
        <v/>
      </c>
      <c r="AI47">
        <f>COUNTIF(C47:AG47,"A")</f>
        <v/>
      </c>
      <c r="AJ47">
        <f>COUNTIF(C47:AG47,"H")</f>
        <v/>
      </c>
      <c r="AK47">
        <f>COUNTIF(C47:AG47,"L")</f>
        <v/>
      </c>
      <c r="AL47">
        <f>COUNTIF(C47:AG47,"WO")+COUNTIF(C47:AG47,"HO")</f>
        <v/>
      </c>
      <c r="AM47">
        <f>IF(A47="","",MIN(Setup!$B$9,AH47+AK47+AL47+AJ47/2))</f>
        <v/>
      </c>
    </row>
    <row r="48">
      <c r="A48">
        <f>IF(Employees!A48="","",Employees!A48)</f>
        <v/>
      </c>
      <c r="B48">
        <f>IF(Employees!B48="","",Employees!B48)</f>
        <v/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>
        <f>COUNTIF(C48:AG48,"P")</f>
        <v/>
      </c>
      <c r="AI48">
        <f>COUNTIF(C48:AG48,"A")</f>
        <v/>
      </c>
      <c r="AJ48">
        <f>COUNTIF(C48:AG48,"H")</f>
        <v/>
      </c>
      <c r="AK48">
        <f>COUNTIF(C48:AG48,"L")</f>
        <v/>
      </c>
      <c r="AL48">
        <f>COUNTIF(C48:AG48,"WO")+COUNTIF(C48:AG48,"HO")</f>
        <v/>
      </c>
      <c r="AM48">
        <f>IF(A48="","",MIN(Setup!$B$9,AH48+AK48+AL48+AJ48/2))</f>
        <v/>
      </c>
    </row>
    <row r="49">
      <c r="A49">
        <f>IF(Employees!A49="","",Employees!A49)</f>
        <v/>
      </c>
      <c r="B49">
        <f>IF(Employees!B49="","",Employees!B49)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>
        <f>COUNTIF(C49:AG49,"P")</f>
        <v/>
      </c>
      <c r="AI49">
        <f>COUNTIF(C49:AG49,"A")</f>
        <v/>
      </c>
      <c r="AJ49">
        <f>COUNTIF(C49:AG49,"H")</f>
        <v/>
      </c>
      <c r="AK49">
        <f>COUNTIF(C49:AG49,"L")</f>
        <v/>
      </c>
      <c r="AL49">
        <f>COUNTIF(C49:AG49,"WO")+COUNTIF(C49:AG49,"HO")</f>
        <v/>
      </c>
      <c r="AM49">
        <f>IF(A49="","",MIN(Setup!$B$9,AH49+AK49+AL49+AJ49/2))</f>
        <v/>
      </c>
    </row>
    <row r="50">
      <c r="A50">
        <f>IF(Employees!A50="","",Employees!A50)</f>
        <v/>
      </c>
      <c r="B50">
        <f>IF(Employees!B50="","",Employees!B50)</f>
        <v/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>
        <f>COUNTIF(C50:AG50,"P")</f>
        <v/>
      </c>
      <c r="AI50">
        <f>COUNTIF(C50:AG50,"A")</f>
        <v/>
      </c>
      <c r="AJ50">
        <f>COUNTIF(C50:AG50,"H")</f>
        <v/>
      </c>
      <c r="AK50">
        <f>COUNTIF(C50:AG50,"L")</f>
        <v/>
      </c>
      <c r="AL50">
        <f>COUNTIF(C50:AG50,"WO")+COUNTIF(C50:AG50,"HO")</f>
        <v/>
      </c>
      <c r="AM50">
        <f>IF(A50="","",MIN(Setup!$B$9,AH50+AK50+AL50+AJ50/2))</f>
        <v/>
      </c>
    </row>
    <row r="51">
      <c r="A51">
        <f>IF(Employees!A51="","",Employees!A51)</f>
        <v/>
      </c>
      <c r="B51">
        <f>IF(Employees!B51="","",Employees!B51)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>
        <f>COUNTIF(C51:AG51,"P")</f>
        <v/>
      </c>
      <c r="AI51">
        <f>COUNTIF(C51:AG51,"A")</f>
        <v/>
      </c>
      <c r="AJ51">
        <f>COUNTIF(C51:AG51,"H")</f>
        <v/>
      </c>
      <c r="AK51">
        <f>COUNTIF(C51:AG51,"L")</f>
        <v/>
      </c>
      <c r="AL51">
        <f>COUNTIF(C51:AG51,"WO")+COUNTIF(C51:AG51,"HO")</f>
        <v/>
      </c>
      <c r="AM51">
        <f>IF(A51="","",MIN(Setup!$B$9,AH51+AK51+AL51+AJ51/2))</f>
        <v/>
      </c>
    </row>
    <row r="52">
      <c r="A52">
        <f>IF(Employees!A52="","",Employees!A52)</f>
        <v/>
      </c>
      <c r="B52">
        <f>IF(Employees!B52="","",Employees!B52)</f>
        <v/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>
        <f>COUNTIF(C52:AG52,"P")</f>
        <v/>
      </c>
      <c r="AI52">
        <f>COUNTIF(C52:AG52,"A")</f>
        <v/>
      </c>
      <c r="AJ52">
        <f>COUNTIF(C52:AG52,"H")</f>
        <v/>
      </c>
      <c r="AK52">
        <f>COUNTIF(C52:AG52,"L")</f>
        <v/>
      </c>
      <c r="AL52">
        <f>COUNTIF(C52:AG52,"WO")+COUNTIF(C52:AG52,"HO")</f>
        <v/>
      </c>
      <c r="AM52">
        <f>IF(A52="","",MIN(Setup!$B$9,AH52+AK52+AL52+AJ52/2))</f>
        <v/>
      </c>
    </row>
    <row r="53">
      <c r="A53">
        <f>IF(Employees!A53="","",Employees!A53)</f>
        <v/>
      </c>
      <c r="B53">
        <f>IF(Employees!B53="","",Employees!B53)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>
        <f>COUNTIF(C53:AG53,"P")</f>
        <v/>
      </c>
      <c r="AI53">
        <f>COUNTIF(C53:AG53,"A")</f>
        <v/>
      </c>
      <c r="AJ53">
        <f>COUNTIF(C53:AG53,"H")</f>
        <v/>
      </c>
      <c r="AK53">
        <f>COUNTIF(C53:AG53,"L")</f>
        <v/>
      </c>
      <c r="AL53">
        <f>COUNTIF(C53:AG53,"WO")+COUNTIF(C53:AG53,"HO")</f>
        <v/>
      </c>
      <c r="AM53">
        <f>IF(A53="","",MIN(Setup!$B$9,AH53+AK53+AL53+AJ53/2))</f>
        <v/>
      </c>
    </row>
    <row r="54">
      <c r="A54">
        <f>IF(Employees!A54="","",Employees!A54)</f>
        <v/>
      </c>
      <c r="B54">
        <f>IF(Employees!B54="","",Employees!B54)</f>
        <v/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>
        <f>COUNTIF(C54:AG54,"P")</f>
        <v/>
      </c>
      <c r="AI54">
        <f>COUNTIF(C54:AG54,"A")</f>
        <v/>
      </c>
      <c r="AJ54">
        <f>COUNTIF(C54:AG54,"H")</f>
        <v/>
      </c>
      <c r="AK54">
        <f>COUNTIF(C54:AG54,"L")</f>
        <v/>
      </c>
      <c r="AL54">
        <f>COUNTIF(C54:AG54,"WO")+COUNTIF(C54:AG54,"HO")</f>
        <v/>
      </c>
      <c r="AM54">
        <f>IF(A54="","",MIN(Setup!$B$9,AH54+AK54+AL54+AJ54/2))</f>
        <v/>
      </c>
    </row>
  </sheetData>
  <mergeCells count="2">
    <mergeCell ref="A2:AN2"/>
    <mergeCell ref="A1:AN1"/>
  </mergeCells>
  <conditionalFormatting sqref="C5:AG54">
    <cfRule type="cellIs" priority="1" operator="equal" dxfId="0">
      <formula>"A"</formula>
    </cfRule>
    <cfRule type="cellIs" priority="2" operator="equal" dxfId="1">
      <formula>"WO"</formula>
    </cfRule>
  </conditionalFormatting>
  <dataValidations count="1">
    <dataValidation sqref="C5:AG54" showDropDown="0" showInputMessage="0" showErrorMessage="0" allowBlank="1" type="list">
      <formula1>"P,A,H,L,WO,HO"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20" t="inlineStr">
        <is>
          <t>Salary Sheet</t>
        </is>
      </c>
    </row>
    <row r="2">
      <c r="A2" s="22">
        <f>"For "&amp;TEXT(Setup!B5,"mmmm yyyy")</f>
        <v/>
      </c>
    </row>
    <row r="4" ht="32" customHeight="1">
      <c r="A4" s="23" t="inlineStr">
        <is>
          <t>Code</t>
        </is>
      </c>
      <c r="B4" s="23" t="inlineStr">
        <is>
          <t>Name</t>
        </is>
      </c>
      <c r="C4" s="23" t="inlineStr">
        <is>
          <t>Paid days</t>
        </is>
      </c>
      <c r="D4" s="23" t="inlineStr">
        <is>
          <t>Basic earned</t>
        </is>
      </c>
      <c r="E4" s="23" t="inlineStr">
        <is>
          <t>HRA earned</t>
        </is>
      </c>
      <c r="F4" s="23" t="inlineStr">
        <is>
          <t>Other earned</t>
        </is>
      </c>
      <c r="G4" s="23" t="inlineStr">
        <is>
          <t>Gross earned</t>
        </is>
      </c>
      <c r="H4" s="23" t="inlineStr">
        <is>
          <t>PF (employee 12%)</t>
        </is>
      </c>
      <c r="I4" s="23" t="inlineStr">
        <is>
          <t>ESI (employee 0.75%)</t>
        </is>
      </c>
      <c r="J4" s="23" t="inlineStr">
        <is>
          <t>Professional tax</t>
        </is>
      </c>
      <c r="K4" s="23" t="inlineStr">
        <is>
          <t>TDS</t>
        </is>
      </c>
      <c r="L4" s="23" t="inlineStr">
        <is>
          <t>Advance / other deduction</t>
        </is>
      </c>
      <c r="M4" s="23" t="inlineStr">
        <is>
          <t>Total deductions</t>
        </is>
      </c>
      <c r="N4" s="23" t="inlineStr">
        <is>
          <t>NET PAY</t>
        </is>
      </c>
      <c r="O4" s="23" t="inlineStr">
        <is>
          <t>PF (employer 12%)</t>
        </is>
      </c>
      <c r="P4" s="23" t="inlineStr">
        <is>
          <t>ESI (employer 3.25%)</t>
        </is>
      </c>
      <c r="Q4" s="23" t="inlineStr">
        <is>
          <t>Cost to company</t>
        </is>
      </c>
    </row>
    <row r="5">
      <c r="A5">
        <f>IF(Employees!A5="","",Employees!A5)</f>
        <v/>
      </c>
      <c r="B5">
        <f>IF(A5="","",Employees!B5)</f>
        <v/>
      </c>
      <c r="C5">
        <f>IF(A5="","",Attendance!AM5)</f>
        <v/>
      </c>
      <c r="D5" s="15">
        <f>IF(A5="","",ROUND(N(Employees!I5)/Setup!$B$9*C5,0))</f>
        <v/>
      </c>
      <c r="E5" s="15">
        <f>IF(A5="","",ROUND(N(Employees!J5)/Setup!$B$9*C5,0))</f>
        <v/>
      </c>
      <c r="F5" s="15">
        <f>IF(A5="","",ROUND(N(Employees!K5)/Setup!$B$9*C5,0))</f>
        <v/>
      </c>
      <c r="G5" s="15">
        <f>IF(A5="","",D5+E5+F5)</f>
        <v/>
      </c>
      <c r="H5" s="15">
        <f>IF(OR(A5="",Employees!M5&lt;&gt;"Y"),0,ROUND(MIN(D5,Setup!$B$6)*12%,0))</f>
        <v/>
      </c>
      <c r="I5" s="15">
        <f>IF(OR(A5="",Employees!N5&lt;&gt;"Y",N(Employees!L5)&gt;Setup!$B$7),0,ROUNDUP(G5*0.75%,0))</f>
        <v/>
      </c>
      <c r="J5" s="15">
        <f>IF(A5="","",N(Employees!O5))</f>
        <v/>
      </c>
      <c r="K5" s="25" t="n"/>
      <c r="L5" s="25" t="n"/>
      <c r="M5" s="15">
        <f>IF(A5="","",H5+I5+J5+N(K5)+N(L5))</f>
        <v/>
      </c>
      <c r="N5" s="29">
        <f>IF(A5="","",G5-M5)</f>
        <v/>
      </c>
      <c r="O5" s="15">
        <f>IF(OR(A5="",Employees!M5&lt;&gt;"Y"),0,ROUND(MIN(D5,Setup!$B$6)*12%,0))</f>
        <v/>
      </c>
      <c r="P5" s="15">
        <f>IF(OR(A5="",Employees!N5&lt;&gt;"Y",N(Employees!L5)&gt;Setup!$B$7),0,ROUNDUP(G5*3.25%,0))</f>
        <v/>
      </c>
      <c r="Q5" s="15">
        <f>IF(A5="","",G5+O5+P5)</f>
        <v/>
      </c>
    </row>
    <row r="6">
      <c r="A6">
        <f>IF(Employees!A6="","",Employees!A6)</f>
        <v/>
      </c>
      <c r="B6">
        <f>IF(A6="","",Employees!B6)</f>
        <v/>
      </c>
      <c r="C6">
        <f>IF(A6="","",Attendance!AM6)</f>
        <v/>
      </c>
      <c r="D6" s="15">
        <f>IF(A6="","",ROUND(N(Employees!I6)/Setup!$B$9*C6,0))</f>
        <v/>
      </c>
      <c r="E6" s="15">
        <f>IF(A6="","",ROUND(N(Employees!J6)/Setup!$B$9*C6,0))</f>
        <v/>
      </c>
      <c r="F6" s="15">
        <f>IF(A6="","",ROUND(N(Employees!K6)/Setup!$B$9*C6,0))</f>
        <v/>
      </c>
      <c r="G6" s="15">
        <f>IF(A6="","",D6+E6+F6)</f>
        <v/>
      </c>
      <c r="H6" s="15">
        <f>IF(OR(A6="",Employees!M6&lt;&gt;"Y"),0,ROUND(MIN(D6,Setup!$B$6)*12%,0))</f>
        <v/>
      </c>
      <c r="I6" s="15">
        <f>IF(OR(A6="",Employees!N6&lt;&gt;"Y",N(Employees!L6)&gt;Setup!$B$7),0,ROUNDUP(G6*0.75%,0))</f>
        <v/>
      </c>
      <c r="J6" s="15">
        <f>IF(A6="","",N(Employees!O6))</f>
        <v/>
      </c>
      <c r="K6" s="25" t="n"/>
      <c r="L6" s="25" t="n"/>
      <c r="M6" s="15">
        <f>IF(A6="","",H6+I6+J6+N(K6)+N(L6))</f>
        <v/>
      </c>
      <c r="N6" s="29">
        <f>IF(A6="","",G6-M6)</f>
        <v/>
      </c>
      <c r="O6" s="15">
        <f>IF(OR(A6="",Employees!M6&lt;&gt;"Y"),0,ROUND(MIN(D6,Setup!$B$6)*12%,0))</f>
        <v/>
      </c>
      <c r="P6" s="15">
        <f>IF(OR(A6="",Employees!N6&lt;&gt;"Y",N(Employees!L6)&gt;Setup!$B$7),0,ROUNDUP(G6*3.25%,0))</f>
        <v/>
      </c>
      <c r="Q6" s="15">
        <f>IF(A6="","",G6+O6+P6)</f>
        <v/>
      </c>
    </row>
    <row r="7">
      <c r="A7">
        <f>IF(Employees!A7="","",Employees!A7)</f>
        <v/>
      </c>
      <c r="B7">
        <f>IF(A7="","",Employees!B7)</f>
        <v/>
      </c>
      <c r="C7">
        <f>IF(A7="","",Attendance!AM7)</f>
        <v/>
      </c>
      <c r="D7" s="15">
        <f>IF(A7="","",ROUND(N(Employees!I7)/Setup!$B$9*C7,0))</f>
        <v/>
      </c>
      <c r="E7" s="15">
        <f>IF(A7="","",ROUND(N(Employees!J7)/Setup!$B$9*C7,0))</f>
        <v/>
      </c>
      <c r="F7" s="15">
        <f>IF(A7="","",ROUND(N(Employees!K7)/Setup!$B$9*C7,0))</f>
        <v/>
      </c>
      <c r="G7" s="15">
        <f>IF(A7="","",D7+E7+F7)</f>
        <v/>
      </c>
      <c r="H7" s="15">
        <f>IF(OR(A7="",Employees!M7&lt;&gt;"Y"),0,ROUND(MIN(D7,Setup!$B$6)*12%,0))</f>
        <v/>
      </c>
      <c r="I7" s="15">
        <f>IF(OR(A7="",Employees!N7&lt;&gt;"Y",N(Employees!L7)&gt;Setup!$B$7),0,ROUNDUP(G7*0.75%,0))</f>
        <v/>
      </c>
      <c r="J7" s="15">
        <f>IF(A7="","",N(Employees!O7))</f>
        <v/>
      </c>
      <c r="K7" s="25" t="n"/>
      <c r="L7" s="25" t="n"/>
      <c r="M7" s="15">
        <f>IF(A7="","",H7+I7+J7+N(K7)+N(L7))</f>
        <v/>
      </c>
      <c r="N7" s="29">
        <f>IF(A7="","",G7-M7)</f>
        <v/>
      </c>
      <c r="O7" s="15">
        <f>IF(OR(A7="",Employees!M7&lt;&gt;"Y"),0,ROUND(MIN(D7,Setup!$B$6)*12%,0))</f>
        <v/>
      </c>
      <c r="P7" s="15">
        <f>IF(OR(A7="",Employees!N7&lt;&gt;"Y",N(Employees!L7)&gt;Setup!$B$7),0,ROUNDUP(G7*3.25%,0))</f>
        <v/>
      </c>
      <c r="Q7" s="15">
        <f>IF(A7="","",G7+O7+P7)</f>
        <v/>
      </c>
    </row>
    <row r="8">
      <c r="A8">
        <f>IF(Employees!A8="","",Employees!A8)</f>
        <v/>
      </c>
      <c r="B8">
        <f>IF(A8="","",Employees!B8)</f>
        <v/>
      </c>
      <c r="C8">
        <f>IF(A8="","",Attendance!AM8)</f>
        <v/>
      </c>
      <c r="D8" s="15">
        <f>IF(A8="","",ROUND(N(Employees!I8)/Setup!$B$9*C8,0))</f>
        <v/>
      </c>
      <c r="E8" s="15">
        <f>IF(A8="","",ROUND(N(Employees!J8)/Setup!$B$9*C8,0))</f>
        <v/>
      </c>
      <c r="F8" s="15">
        <f>IF(A8="","",ROUND(N(Employees!K8)/Setup!$B$9*C8,0))</f>
        <v/>
      </c>
      <c r="G8" s="15">
        <f>IF(A8="","",D8+E8+F8)</f>
        <v/>
      </c>
      <c r="H8" s="15">
        <f>IF(OR(A8="",Employees!M8&lt;&gt;"Y"),0,ROUND(MIN(D8,Setup!$B$6)*12%,0))</f>
        <v/>
      </c>
      <c r="I8" s="15">
        <f>IF(OR(A8="",Employees!N8&lt;&gt;"Y",N(Employees!L8)&gt;Setup!$B$7),0,ROUNDUP(G8*0.75%,0))</f>
        <v/>
      </c>
      <c r="J8" s="15">
        <f>IF(A8="","",N(Employees!O8))</f>
        <v/>
      </c>
      <c r="K8" s="25" t="n"/>
      <c r="L8" s="25" t="n"/>
      <c r="M8" s="15">
        <f>IF(A8="","",H8+I8+J8+N(K8)+N(L8))</f>
        <v/>
      </c>
      <c r="N8" s="29">
        <f>IF(A8="","",G8-M8)</f>
        <v/>
      </c>
      <c r="O8" s="15">
        <f>IF(OR(A8="",Employees!M8&lt;&gt;"Y"),0,ROUND(MIN(D8,Setup!$B$6)*12%,0))</f>
        <v/>
      </c>
      <c r="P8" s="15">
        <f>IF(OR(A8="",Employees!N8&lt;&gt;"Y",N(Employees!L8)&gt;Setup!$B$7),0,ROUNDUP(G8*3.25%,0))</f>
        <v/>
      </c>
      <c r="Q8" s="15">
        <f>IF(A8="","",G8+O8+P8)</f>
        <v/>
      </c>
    </row>
    <row r="9">
      <c r="A9">
        <f>IF(Employees!A9="","",Employees!A9)</f>
        <v/>
      </c>
      <c r="B9">
        <f>IF(A9="","",Employees!B9)</f>
        <v/>
      </c>
      <c r="C9">
        <f>IF(A9="","",Attendance!AM9)</f>
        <v/>
      </c>
      <c r="D9" s="15">
        <f>IF(A9="","",ROUND(N(Employees!I9)/Setup!$B$9*C9,0))</f>
        <v/>
      </c>
      <c r="E9" s="15">
        <f>IF(A9="","",ROUND(N(Employees!J9)/Setup!$B$9*C9,0))</f>
        <v/>
      </c>
      <c r="F9" s="15">
        <f>IF(A9="","",ROUND(N(Employees!K9)/Setup!$B$9*C9,0))</f>
        <v/>
      </c>
      <c r="G9" s="15">
        <f>IF(A9="","",D9+E9+F9)</f>
        <v/>
      </c>
      <c r="H9" s="15">
        <f>IF(OR(A9="",Employees!M9&lt;&gt;"Y"),0,ROUND(MIN(D9,Setup!$B$6)*12%,0))</f>
        <v/>
      </c>
      <c r="I9" s="15">
        <f>IF(OR(A9="",Employees!N9&lt;&gt;"Y",N(Employees!L9)&gt;Setup!$B$7),0,ROUNDUP(G9*0.75%,0))</f>
        <v/>
      </c>
      <c r="J9" s="15">
        <f>IF(A9="","",N(Employees!O9))</f>
        <v/>
      </c>
      <c r="K9" s="25" t="n"/>
      <c r="L9" s="25" t="n"/>
      <c r="M9" s="15">
        <f>IF(A9="","",H9+I9+J9+N(K9)+N(L9))</f>
        <v/>
      </c>
      <c r="N9" s="29">
        <f>IF(A9="","",G9-M9)</f>
        <v/>
      </c>
      <c r="O9" s="15">
        <f>IF(OR(A9="",Employees!M9&lt;&gt;"Y"),0,ROUND(MIN(D9,Setup!$B$6)*12%,0))</f>
        <v/>
      </c>
      <c r="P9" s="15">
        <f>IF(OR(A9="",Employees!N9&lt;&gt;"Y",N(Employees!L9)&gt;Setup!$B$7),0,ROUNDUP(G9*3.25%,0))</f>
        <v/>
      </c>
      <c r="Q9" s="15">
        <f>IF(A9="","",G9+O9+P9)</f>
        <v/>
      </c>
    </row>
    <row r="10">
      <c r="A10">
        <f>IF(Employees!A10="","",Employees!A10)</f>
        <v/>
      </c>
      <c r="B10">
        <f>IF(A10="","",Employees!B10)</f>
        <v/>
      </c>
      <c r="C10">
        <f>IF(A10="","",Attendance!AM10)</f>
        <v/>
      </c>
      <c r="D10" s="15">
        <f>IF(A10="","",ROUND(N(Employees!I10)/Setup!$B$9*C10,0))</f>
        <v/>
      </c>
      <c r="E10" s="15">
        <f>IF(A10="","",ROUND(N(Employees!J10)/Setup!$B$9*C10,0))</f>
        <v/>
      </c>
      <c r="F10" s="15">
        <f>IF(A10="","",ROUND(N(Employees!K10)/Setup!$B$9*C10,0))</f>
        <v/>
      </c>
      <c r="G10" s="15">
        <f>IF(A10="","",D10+E10+F10)</f>
        <v/>
      </c>
      <c r="H10" s="15">
        <f>IF(OR(A10="",Employees!M10&lt;&gt;"Y"),0,ROUND(MIN(D10,Setup!$B$6)*12%,0))</f>
        <v/>
      </c>
      <c r="I10" s="15">
        <f>IF(OR(A10="",Employees!N10&lt;&gt;"Y",N(Employees!L10)&gt;Setup!$B$7),0,ROUNDUP(G10*0.75%,0))</f>
        <v/>
      </c>
      <c r="J10" s="15">
        <f>IF(A10="","",N(Employees!O10))</f>
        <v/>
      </c>
      <c r="K10" s="25" t="n"/>
      <c r="L10" s="25" t="n"/>
      <c r="M10" s="15">
        <f>IF(A10="","",H10+I10+J10+N(K10)+N(L10))</f>
        <v/>
      </c>
      <c r="N10" s="29">
        <f>IF(A10="","",G10-M10)</f>
        <v/>
      </c>
      <c r="O10" s="15">
        <f>IF(OR(A10="",Employees!M10&lt;&gt;"Y"),0,ROUND(MIN(D10,Setup!$B$6)*12%,0))</f>
        <v/>
      </c>
      <c r="P10" s="15">
        <f>IF(OR(A10="",Employees!N10&lt;&gt;"Y",N(Employees!L10)&gt;Setup!$B$7),0,ROUNDUP(G10*3.25%,0))</f>
        <v/>
      </c>
      <c r="Q10" s="15">
        <f>IF(A10="","",G10+O10+P10)</f>
        <v/>
      </c>
    </row>
    <row r="11">
      <c r="A11">
        <f>IF(Employees!A11="","",Employees!A11)</f>
        <v/>
      </c>
      <c r="B11">
        <f>IF(A11="","",Employees!B11)</f>
        <v/>
      </c>
      <c r="C11">
        <f>IF(A11="","",Attendance!AM11)</f>
        <v/>
      </c>
      <c r="D11" s="15">
        <f>IF(A11="","",ROUND(N(Employees!I11)/Setup!$B$9*C11,0))</f>
        <v/>
      </c>
      <c r="E11" s="15">
        <f>IF(A11="","",ROUND(N(Employees!J11)/Setup!$B$9*C11,0))</f>
        <v/>
      </c>
      <c r="F11" s="15">
        <f>IF(A11="","",ROUND(N(Employees!K11)/Setup!$B$9*C11,0))</f>
        <v/>
      </c>
      <c r="G11" s="15">
        <f>IF(A11="","",D11+E11+F11)</f>
        <v/>
      </c>
      <c r="H11" s="15">
        <f>IF(OR(A11="",Employees!M11&lt;&gt;"Y"),0,ROUND(MIN(D11,Setup!$B$6)*12%,0))</f>
        <v/>
      </c>
      <c r="I11" s="15">
        <f>IF(OR(A11="",Employees!N11&lt;&gt;"Y",N(Employees!L11)&gt;Setup!$B$7),0,ROUNDUP(G11*0.75%,0))</f>
        <v/>
      </c>
      <c r="J11" s="15">
        <f>IF(A11="","",N(Employees!O11))</f>
        <v/>
      </c>
      <c r="K11" s="25" t="n"/>
      <c r="L11" s="25" t="n"/>
      <c r="M11" s="15">
        <f>IF(A11="","",H11+I11+J11+N(K11)+N(L11))</f>
        <v/>
      </c>
      <c r="N11" s="29">
        <f>IF(A11="","",G11-M11)</f>
        <v/>
      </c>
      <c r="O11" s="15">
        <f>IF(OR(A11="",Employees!M11&lt;&gt;"Y"),0,ROUND(MIN(D11,Setup!$B$6)*12%,0))</f>
        <v/>
      </c>
      <c r="P11" s="15">
        <f>IF(OR(A11="",Employees!N11&lt;&gt;"Y",N(Employees!L11)&gt;Setup!$B$7),0,ROUNDUP(G11*3.25%,0))</f>
        <v/>
      </c>
      <c r="Q11" s="15">
        <f>IF(A11="","",G11+O11+P11)</f>
        <v/>
      </c>
    </row>
    <row r="12">
      <c r="A12">
        <f>IF(Employees!A12="","",Employees!A12)</f>
        <v/>
      </c>
      <c r="B12">
        <f>IF(A12="","",Employees!B12)</f>
        <v/>
      </c>
      <c r="C12">
        <f>IF(A12="","",Attendance!AM12)</f>
        <v/>
      </c>
      <c r="D12" s="15">
        <f>IF(A12="","",ROUND(N(Employees!I12)/Setup!$B$9*C12,0))</f>
        <v/>
      </c>
      <c r="E12" s="15">
        <f>IF(A12="","",ROUND(N(Employees!J12)/Setup!$B$9*C12,0))</f>
        <v/>
      </c>
      <c r="F12" s="15">
        <f>IF(A12="","",ROUND(N(Employees!K12)/Setup!$B$9*C12,0))</f>
        <v/>
      </c>
      <c r="G12" s="15">
        <f>IF(A12="","",D12+E12+F12)</f>
        <v/>
      </c>
      <c r="H12" s="15">
        <f>IF(OR(A12="",Employees!M12&lt;&gt;"Y"),0,ROUND(MIN(D12,Setup!$B$6)*12%,0))</f>
        <v/>
      </c>
      <c r="I12" s="15">
        <f>IF(OR(A12="",Employees!N12&lt;&gt;"Y",N(Employees!L12)&gt;Setup!$B$7),0,ROUNDUP(G12*0.75%,0))</f>
        <v/>
      </c>
      <c r="J12" s="15">
        <f>IF(A12="","",N(Employees!O12))</f>
        <v/>
      </c>
      <c r="K12" s="25" t="n"/>
      <c r="L12" s="25" t="n"/>
      <c r="M12" s="15">
        <f>IF(A12="","",H12+I12+J12+N(K12)+N(L12))</f>
        <v/>
      </c>
      <c r="N12" s="29">
        <f>IF(A12="","",G12-M12)</f>
        <v/>
      </c>
      <c r="O12" s="15">
        <f>IF(OR(A12="",Employees!M12&lt;&gt;"Y"),0,ROUND(MIN(D12,Setup!$B$6)*12%,0))</f>
        <v/>
      </c>
      <c r="P12" s="15">
        <f>IF(OR(A12="",Employees!N12&lt;&gt;"Y",N(Employees!L12)&gt;Setup!$B$7),0,ROUNDUP(G12*3.25%,0))</f>
        <v/>
      </c>
      <c r="Q12" s="15">
        <f>IF(A12="","",G12+O12+P12)</f>
        <v/>
      </c>
    </row>
    <row r="13">
      <c r="A13">
        <f>IF(Employees!A13="","",Employees!A13)</f>
        <v/>
      </c>
      <c r="B13">
        <f>IF(A13="","",Employees!B13)</f>
        <v/>
      </c>
      <c r="C13">
        <f>IF(A13="","",Attendance!AM13)</f>
        <v/>
      </c>
      <c r="D13" s="15">
        <f>IF(A13="","",ROUND(N(Employees!I13)/Setup!$B$9*C13,0))</f>
        <v/>
      </c>
      <c r="E13" s="15">
        <f>IF(A13="","",ROUND(N(Employees!J13)/Setup!$B$9*C13,0))</f>
        <v/>
      </c>
      <c r="F13" s="15">
        <f>IF(A13="","",ROUND(N(Employees!K13)/Setup!$B$9*C13,0))</f>
        <v/>
      </c>
      <c r="G13" s="15">
        <f>IF(A13="","",D13+E13+F13)</f>
        <v/>
      </c>
      <c r="H13" s="15">
        <f>IF(OR(A13="",Employees!M13&lt;&gt;"Y"),0,ROUND(MIN(D13,Setup!$B$6)*12%,0))</f>
        <v/>
      </c>
      <c r="I13" s="15">
        <f>IF(OR(A13="",Employees!N13&lt;&gt;"Y",N(Employees!L13)&gt;Setup!$B$7),0,ROUNDUP(G13*0.75%,0))</f>
        <v/>
      </c>
      <c r="J13" s="15">
        <f>IF(A13="","",N(Employees!O13))</f>
        <v/>
      </c>
      <c r="K13" s="25" t="n"/>
      <c r="L13" s="25" t="n"/>
      <c r="M13" s="15">
        <f>IF(A13="","",H13+I13+J13+N(K13)+N(L13))</f>
        <v/>
      </c>
      <c r="N13" s="29">
        <f>IF(A13="","",G13-M13)</f>
        <v/>
      </c>
      <c r="O13" s="15">
        <f>IF(OR(A13="",Employees!M13&lt;&gt;"Y"),0,ROUND(MIN(D13,Setup!$B$6)*12%,0))</f>
        <v/>
      </c>
      <c r="P13" s="15">
        <f>IF(OR(A13="",Employees!N13&lt;&gt;"Y",N(Employees!L13)&gt;Setup!$B$7),0,ROUNDUP(G13*3.25%,0))</f>
        <v/>
      </c>
      <c r="Q13" s="15">
        <f>IF(A13="","",G13+O13+P13)</f>
        <v/>
      </c>
    </row>
    <row r="14">
      <c r="A14">
        <f>IF(Employees!A14="","",Employees!A14)</f>
        <v/>
      </c>
      <c r="B14">
        <f>IF(A14="","",Employees!B14)</f>
        <v/>
      </c>
      <c r="C14">
        <f>IF(A14="","",Attendance!AM14)</f>
        <v/>
      </c>
      <c r="D14" s="15">
        <f>IF(A14="","",ROUND(N(Employees!I14)/Setup!$B$9*C14,0))</f>
        <v/>
      </c>
      <c r="E14" s="15">
        <f>IF(A14="","",ROUND(N(Employees!J14)/Setup!$B$9*C14,0))</f>
        <v/>
      </c>
      <c r="F14" s="15">
        <f>IF(A14="","",ROUND(N(Employees!K14)/Setup!$B$9*C14,0))</f>
        <v/>
      </c>
      <c r="G14" s="15">
        <f>IF(A14="","",D14+E14+F14)</f>
        <v/>
      </c>
      <c r="H14" s="15">
        <f>IF(OR(A14="",Employees!M14&lt;&gt;"Y"),0,ROUND(MIN(D14,Setup!$B$6)*12%,0))</f>
        <v/>
      </c>
      <c r="I14" s="15">
        <f>IF(OR(A14="",Employees!N14&lt;&gt;"Y",N(Employees!L14)&gt;Setup!$B$7),0,ROUNDUP(G14*0.75%,0))</f>
        <v/>
      </c>
      <c r="J14" s="15">
        <f>IF(A14="","",N(Employees!O14))</f>
        <v/>
      </c>
      <c r="K14" s="25" t="n"/>
      <c r="L14" s="25" t="n"/>
      <c r="M14" s="15">
        <f>IF(A14="","",H14+I14+J14+N(K14)+N(L14))</f>
        <v/>
      </c>
      <c r="N14" s="29">
        <f>IF(A14="","",G14-M14)</f>
        <v/>
      </c>
      <c r="O14" s="15">
        <f>IF(OR(A14="",Employees!M14&lt;&gt;"Y"),0,ROUND(MIN(D14,Setup!$B$6)*12%,0))</f>
        <v/>
      </c>
      <c r="P14" s="15">
        <f>IF(OR(A14="",Employees!N14&lt;&gt;"Y",N(Employees!L14)&gt;Setup!$B$7),0,ROUNDUP(G14*3.25%,0))</f>
        <v/>
      </c>
      <c r="Q14" s="15">
        <f>IF(A14="","",G14+O14+P14)</f>
        <v/>
      </c>
    </row>
    <row r="15">
      <c r="A15">
        <f>IF(Employees!A15="","",Employees!A15)</f>
        <v/>
      </c>
      <c r="B15">
        <f>IF(A15="","",Employees!B15)</f>
        <v/>
      </c>
      <c r="C15">
        <f>IF(A15="","",Attendance!AM15)</f>
        <v/>
      </c>
      <c r="D15" s="15">
        <f>IF(A15="","",ROUND(N(Employees!I15)/Setup!$B$9*C15,0))</f>
        <v/>
      </c>
      <c r="E15" s="15">
        <f>IF(A15="","",ROUND(N(Employees!J15)/Setup!$B$9*C15,0))</f>
        <v/>
      </c>
      <c r="F15" s="15">
        <f>IF(A15="","",ROUND(N(Employees!K15)/Setup!$B$9*C15,0))</f>
        <v/>
      </c>
      <c r="G15" s="15">
        <f>IF(A15="","",D15+E15+F15)</f>
        <v/>
      </c>
      <c r="H15" s="15">
        <f>IF(OR(A15="",Employees!M15&lt;&gt;"Y"),0,ROUND(MIN(D15,Setup!$B$6)*12%,0))</f>
        <v/>
      </c>
      <c r="I15" s="15">
        <f>IF(OR(A15="",Employees!N15&lt;&gt;"Y",N(Employees!L15)&gt;Setup!$B$7),0,ROUNDUP(G15*0.75%,0))</f>
        <v/>
      </c>
      <c r="J15" s="15">
        <f>IF(A15="","",N(Employees!O15))</f>
        <v/>
      </c>
      <c r="K15" s="25" t="n"/>
      <c r="L15" s="25" t="n"/>
      <c r="M15" s="15">
        <f>IF(A15="","",H15+I15+J15+N(K15)+N(L15))</f>
        <v/>
      </c>
      <c r="N15" s="29">
        <f>IF(A15="","",G15-M15)</f>
        <v/>
      </c>
      <c r="O15" s="15">
        <f>IF(OR(A15="",Employees!M15&lt;&gt;"Y"),0,ROUND(MIN(D15,Setup!$B$6)*12%,0))</f>
        <v/>
      </c>
      <c r="P15" s="15">
        <f>IF(OR(A15="",Employees!N15&lt;&gt;"Y",N(Employees!L15)&gt;Setup!$B$7),0,ROUNDUP(G15*3.25%,0))</f>
        <v/>
      </c>
      <c r="Q15" s="15">
        <f>IF(A15="","",G15+O15+P15)</f>
        <v/>
      </c>
    </row>
    <row r="16">
      <c r="A16">
        <f>IF(Employees!A16="","",Employees!A16)</f>
        <v/>
      </c>
      <c r="B16">
        <f>IF(A16="","",Employees!B16)</f>
        <v/>
      </c>
      <c r="C16">
        <f>IF(A16="","",Attendance!AM16)</f>
        <v/>
      </c>
      <c r="D16" s="15">
        <f>IF(A16="","",ROUND(N(Employees!I16)/Setup!$B$9*C16,0))</f>
        <v/>
      </c>
      <c r="E16" s="15">
        <f>IF(A16="","",ROUND(N(Employees!J16)/Setup!$B$9*C16,0))</f>
        <v/>
      </c>
      <c r="F16" s="15">
        <f>IF(A16="","",ROUND(N(Employees!K16)/Setup!$B$9*C16,0))</f>
        <v/>
      </c>
      <c r="G16" s="15">
        <f>IF(A16="","",D16+E16+F16)</f>
        <v/>
      </c>
      <c r="H16" s="15">
        <f>IF(OR(A16="",Employees!M16&lt;&gt;"Y"),0,ROUND(MIN(D16,Setup!$B$6)*12%,0))</f>
        <v/>
      </c>
      <c r="I16" s="15">
        <f>IF(OR(A16="",Employees!N16&lt;&gt;"Y",N(Employees!L16)&gt;Setup!$B$7),0,ROUNDUP(G16*0.75%,0))</f>
        <v/>
      </c>
      <c r="J16" s="15">
        <f>IF(A16="","",N(Employees!O16))</f>
        <v/>
      </c>
      <c r="K16" s="25" t="n"/>
      <c r="L16" s="25" t="n"/>
      <c r="M16" s="15">
        <f>IF(A16="","",H16+I16+J16+N(K16)+N(L16))</f>
        <v/>
      </c>
      <c r="N16" s="29">
        <f>IF(A16="","",G16-M16)</f>
        <v/>
      </c>
      <c r="O16" s="15">
        <f>IF(OR(A16="",Employees!M16&lt;&gt;"Y"),0,ROUND(MIN(D16,Setup!$B$6)*12%,0))</f>
        <v/>
      </c>
      <c r="P16" s="15">
        <f>IF(OR(A16="",Employees!N16&lt;&gt;"Y",N(Employees!L16)&gt;Setup!$B$7),0,ROUNDUP(G16*3.25%,0))</f>
        <v/>
      </c>
      <c r="Q16" s="15">
        <f>IF(A16="","",G16+O16+P16)</f>
        <v/>
      </c>
    </row>
    <row r="17">
      <c r="A17">
        <f>IF(Employees!A17="","",Employees!A17)</f>
        <v/>
      </c>
      <c r="B17">
        <f>IF(A17="","",Employees!B17)</f>
        <v/>
      </c>
      <c r="C17">
        <f>IF(A17="","",Attendance!AM17)</f>
        <v/>
      </c>
      <c r="D17" s="15">
        <f>IF(A17="","",ROUND(N(Employees!I17)/Setup!$B$9*C17,0))</f>
        <v/>
      </c>
      <c r="E17" s="15">
        <f>IF(A17="","",ROUND(N(Employees!J17)/Setup!$B$9*C17,0))</f>
        <v/>
      </c>
      <c r="F17" s="15">
        <f>IF(A17="","",ROUND(N(Employees!K17)/Setup!$B$9*C17,0))</f>
        <v/>
      </c>
      <c r="G17" s="15">
        <f>IF(A17="","",D17+E17+F17)</f>
        <v/>
      </c>
      <c r="H17" s="15">
        <f>IF(OR(A17="",Employees!M17&lt;&gt;"Y"),0,ROUND(MIN(D17,Setup!$B$6)*12%,0))</f>
        <v/>
      </c>
      <c r="I17" s="15">
        <f>IF(OR(A17="",Employees!N17&lt;&gt;"Y",N(Employees!L17)&gt;Setup!$B$7),0,ROUNDUP(G17*0.75%,0))</f>
        <v/>
      </c>
      <c r="J17" s="15">
        <f>IF(A17="","",N(Employees!O17))</f>
        <v/>
      </c>
      <c r="K17" s="25" t="n"/>
      <c r="L17" s="25" t="n"/>
      <c r="M17" s="15">
        <f>IF(A17="","",H17+I17+J17+N(K17)+N(L17))</f>
        <v/>
      </c>
      <c r="N17" s="29">
        <f>IF(A17="","",G17-M17)</f>
        <v/>
      </c>
      <c r="O17" s="15">
        <f>IF(OR(A17="",Employees!M17&lt;&gt;"Y"),0,ROUND(MIN(D17,Setup!$B$6)*12%,0))</f>
        <v/>
      </c>
      <c r="P17" s="15">
        <f>IF(OR(A17="",Employees!N17&lt;&gt;"Y",N(Employees!L17)&gt;Setup!$B$7),0,ROUNDUP(G17*3.25%,0))</f>
        <v/>
      </c>
      <c r="Q17" s="15">
        <f>IF(A17="","",G17+O17+P17)</f>
        <v/>
      </c>
    </row>
    <row r="18">
      <c r="A18">
        <f>IF(Employees!A18="","",Employees!A18)</f>
        <v/>
      </c>
      <c r="B18">
        <f>IF(A18="","",Employees!B18)</f>
        <v/>
      </c>
      <c r="C18">
        <f>IF(A18="","",Attendance!AM18)</f>
        <v/>
      </c>
      <c r="D18" s="15">
        <f>IF(A18="","",ROUND(N(Employees!I18)/Setup!$B$9*C18,0))</f>
        <v/>
      </c>
      <c r="E18" s="15">
        <f>IF(A18="","",ROUND(N(Employees!J18)/Setup!$B$9*C18,0))</f>
        <v/>
      </c>
      <c r="F18" s="15">
        <f>IF(A18="","",ROUND(N(Employees!K18)/Setup!$B$9*C18,0))</f>
        <v/>
      </c>
      <c r="G18" s="15">
        <f>IF(A18="","",D18+E18+F18)</f>
        <v/>
      </c>
      <c r="H18" s="15">
        <f>IF(OR(A18="",Employees!M18&lt;&gt;"Y"),0,ROUND(MIN(D18,Setup!$B$6)*12%,0))</f>
        <v/>
      </c>
      <c r="I18" s="15">
        <f>IF(OR(A18="",Employees!N18&lt;&gt;"Y",N(Employees!L18)&gt;Setup!$B$7),0,ROUNDUP(G18*0.75%,0))</f>
        <v/>
      </c>
      <c r="J18" s="15">
        <f>IF(A18="","",N(Employees!O18))</f>
        <v/>
      </c>
      <c r="K18" s="25" t="n"/>
      <c r="L18" s="25" t="n"/>
      <c r="M18" s="15">
        <f>IF(A18="","",H18+I18+J18+N(K18)+N(L18))</f>
        <v/>
      </c>
      <c r="N18" s="29">
        <f>IF(A18="","",G18-M18)</f>
        <v/>
      </c>
      <c r="O18" s="15">
        <f>IF(OR(A18="",Employees!M18&lt;&gt;"Y"),0,ROUND(MIN(D18,Setup!$B$6)*12%,0))</f>
        <v/>
      </c>
      <c r="P18" s="15">
        <f>IF(OR(A18="",Employees!N18&lt;&gt;"Y",N(Employees!L18)&gt;Setup!$B$7),0,ROUNDUP(G18*3.25%,0))</f>
        <v/>
      </c>
      <c r="Q18" s="15">
        <f>IF(A18="","",G18+O18+P18)</f>
        <v/>
      </c>
    </row>
    <row r="19">
      <c r="A19">
        <f>IF(Employees!A19="","",Employees!A19)</f>
        <v/>
      </c>
      <c r="B19">
        <f>IF(A19="","",Employees!B19)</f>
        <v/>
      </c>
      <c r="C19">
        <f>IF(A19="","",Attendance!AM19)</f>
        <v/>
      </c>
      <c r="D19" s="15">
        <f>IF(A19="","",ROUND(N(Employees!I19)/Setup!$B$9*C19,0))</f>
        <v/>
      </c>
      <c r="E19" s="15">
        <f>IF(A19="","",ROUND(N(Employees!J19)/Setup!$B$9*C19,0))</f>
        <v/>
      </c>
      <c r="F19" s="15">
        <f>IF(A19="","",ROUND(N(Employees!K19)/Setup!$B$9*C19,0))</f>
        <v/>
      </c>
      <c r="G19" s="15">
        <f>IF(A19="","",D19+E19+F19)</f>
        <v/>
      </c>
      <c r="H19" s="15">
        <f>IF(OR(A19="",Employees!M19&lt;&gt;"Y"),0,ROUND(MIN(D19,Setup!$B$6)*12%,0))</f>
        <v/>
      </c>
      <c r="I19" s="15">
        <f>IF(OR(A19="",Employees!N19&lt;&gt;"Y",N(Employees!L19)&gt;Setup!$B$7),0,ROUNDUP(G19*0.75%,0))</f>
        <v/>
      </c>
      <c r="J19" s="15">
        <f>IF(A19="","",N(Employees!O19))</f>
        <v/>
      </c>
      <c r="K19" s="25" t="n"/>
      <c r="L19" s="25" t="n"/>
      <c r="M19" s="15">
        <f>IF(A19="","",H19+I19+J19+N(K19)+N(L19))</f>
        <v/>
      </c>
      <c r="N19" s="29">
        <f>IF(A19="","",G19-M19)</f>
        <v/>
      </c>
      <c r="O19" s="15">
        <f>IF(OR(A19="",Employees!M19&lt;&gt;"Y"),0,ROUND(MIN(D19,Setup!$B$6)*12%,0))</f>
        <v/>
      </c>
      <c r="P19" s="15">
        <f>IF(OR(A19="",Employees!N19&lt;&gt;"Y",N(Employees!L19)&gt;Setup!$B$7),0,ROUNDUP(G19*3.25%,0))</f>
        <v/>
      </c>
      <c r="Q19" s="15">
        <f>IF(A19="","",G19+O19+P19)</f>
        <v/>
      </c>
    </row>
    <row r="20">
      <c r="A20">
        <f>IF(Employees!A20="","",Employees!A20)</f>
        <v/>
      </c>
      <c r="B20">
        <f>IF(A20="","",Employees!B20)</f>
        <v/>
      </c>
      <c r="C20">
        <f>IF(A20="","",Attendance!AM20)</f>
        <v/>
      </c>
      <c r="D20" s="15">
        <f>IF(A20="","",ROUND(N(Employees!I20)/Setup!$B$9*C20,0))</f>
        <v/>
      </c>
      <c r="E20" s="15">
        <f>IF(A20="","",ROUND(N(Employees!J20)/Setup!$B$9*C20,0))</f>
        <v/>
      </c>
      <c r="F20" s="15">
        <f>IF(A20="","",ROUND(N(Employees!K20)/Setup!$B$9*C20,0))</f>
        <v/>
      </c>
      <c r="G20" s="15">
        <f>IF(A20="","",D20+E20+F20)</f>
        <v/>
      </c>
      <c r="H20" s="15">
        <f>IF(OR(A20="",Employees!M20&lt;&gt;"Y"),0,ROUND(MIN(D20,Setup!$B$6)*12%,0))</f>
        <v/>
      </c>
      <c r="I20" s="15">
        <f>IF(OR(A20="",Employees!N20&lt;&gt;"Y",N(Employees!L20)&gt;Setup!$B$7),0,ROUNDUP(G20*0.75%,0))</f>
        <v/>
      </c>
      <c r="J20" s="15">
        <f>IF(A20="","",N(Employees!O20))</f>
        <v/>
      </c>
      <c r="K20" s="25" t="n"/>
      <c r="L20" s="25" t="n"/>
      <c r="M20" s="15">
        <f>IF(A20="","",H20+I20+J20+N(K20)+N(L20))</f>
        <v/>
      </c>
      <c r="N20" s="29">
        <f>IF(A20="","",G20-M20)</f>
        <v/>
      </c>
      <c r="O20" s="15">
        <f>IF(OR(A20="",Employees!M20&lt;&gt;"Y"),0,ROUND(MIN(D20,Setup!$B$6)*12%,0))</f>
        <v/>
      </c>
      <c r="P20" s="15">
        <f>IF(OR(A20="",Employees!N20&lt;&gt;"Y",N(Employees!L20)&gt;Setup!$B$7),0,ROUNDUP(G20*3.25%,0))</f>
        <v/>
      </c>
      <c r="Q20" s="15">
        <f>IF(A20="","",G20+O20+P20)</f>
        <v/>
      </c>
    </row>
    <row r="21">
      <c r="A21">
        <f>IF(Employees!A21="","",Employees!A21)</f>
        <v/>
      </c>
      <c r="B21">
        <f>IF(A21="","",Employees!B21)</f>
        <v/>
      </c>
      <c r="C21">
        <f>IF(A21="","",Attendance!AM21)</f>
        <v/>
      </c>
      <c r="D21" s="15">
        <f>IF(A21="","",ROUND(N(Employees!I21)/Setup!$B$9*C21,0))</f>
        <v/>
      </c>
      <c r="E21" s="15">
        <f>IF(A21="","",ROUND(N(Employees!J21)/Setup!$B$9*C21,0))</f>
        <v/>
      </c>
      <c r="F21" s="15">
        <f>IF(A21="","",ROUND(N(Employees!K21)/Setup!$B$9*C21,0))</f>
        <v/>
      </c>
      <c r="G21" s="15">
        <f>IF(A21="","",D21+E21+F21)</f>
        <v/>
      </c>
      <c r="H21" s="15">
        <f>IF(OR(A21="",Employees!M21&lt;&gt;"Y"),0,ROUND(MIN(D21,Setup!$B$6)*12%,0))</f>
        <v/>
      </c>
      <c r="I21" s="15">
        <f>IF(OR(A21="",Employees!N21&lt;&gt;"Y",N(Employees!L21)&gt;Setup!$B$7),0,ROUNDUP(G21*0.75%,0))</f>
        <v/>
      </c>
      <c r="J21" s="15">
        <f>IF(A21="","",N(Employees!O21))</f>
        <v/>
      </c>
      <c r="K21" s="25" t="n"/>
      <c r="L21" s="25" t="n"/>
      <c r="M21" s="15">
        <f>IF(A21="","",H21+I21+J21+N(K21)+N(L21))</f>
        <v/>
      </c>
      <c r="N21" s="29">
        <f>IF(A21="","",G21-M21)</f>
        <v/>
      </c>
      <c r="O21" s="15">
        <f>IF(OR(A21="",Employees!M21&lt;&gt;"Y"),0,ROUND(MIN(D21,Setup!$B$6)*12%,0))</f>
        <v/>
      </c>
      <c r="P21" s="15">
        <f>IF(OR(A21="",Employees!N21&lt;&gt;"Y",N(Employees!L21)&gt;Setup!$B$7),0,ROUNDUP(G21*3.25%,0))</f>
        <v/>
      </c>
      <c r="Q21" s="15">
        <f>IF(A21="","",G21+O21+P21)</f>
        <v/>
      </c>
    </row>
    <row r="22">
      <c r="A22">
        <f>IF(Employees!A22="","",Employees!A22)</f>
        <v/>
      </c>
      <c r="B22">
        <f>IF(A22="","",Employees!B22)</f>
        <v/>
      </c>
      <c r="C22">
        <f>IF(A22="","",Attendance!AM22)</f>
        <v/>
      </c>
      <c r="D22" s="15">
        <f>IF(A22="","",ROUND(N(Employees!I22)/Setup!$B$9*C22,0))</f>
        <v/>
      </c>
      <c r="E22" s="15">
        <f>IF(A22="","",ROUND(N(Employees!J22)/Setup!$B$9*C22,0))</f>
        <v/>
      </c>
      <c r="F22" s="15">
        <f>IF(A22="","",ROUND(N(Employees!K22)/Setup!$B$9*C22,0))</f>
        <v/>
      </c>
      <c r="G22" s="15">
        <f>IF(A22="","",D22+E22+F22)</f>
        <v/>
      </c>
      <c r="H22" s="15">
        <f>IF(OR(A22="",Employees!M22&lt;&gt;"Y"),0,ROUND(MIN(D22,Setup!$B$6)*12%,0))</f>
        <v/>
      </c>
      <c r="I22" s="15">
        <f>IF(OR(A22="",Employees!N22&lt;&gt;"Y",N(Employees!L22)&gt;Setup!$B$7),0,ROUNDUP(G22*0.75%,0))</f>
        <v/>
      </c>
      <c r="J22" s="15">
        <f>IF(A22="","",N(Employees!O22))</f>
        <v/>
      </c>
      <c r="K22" s="25" t="n"/>
      <c r="L22" s="25" t="n"/>
      <c r="M22" s="15">
        <f>IF(A22="","",H22+I22+J22+N(K22)+N(L22))</f>
        <v/>
      </c>
      <c r="N22" s="29">
        <f>IF(A22="","",G22-M22)</f>
        <v/>
      </c>
      <c r="O22" s="15">
        <f>IF(OR(A22="",Employees!M22&lt;&gt;"Y"),0,ROUND(MIN(D22,Setup!$B$6)*12%,0))</f>
        <v/>
      </c>
      <c r="P22" s="15">
        <f>IF(OR(A22="",Employees!N22&lt;&gt;"Y",N(Employees!L22)&gt;Setup!$B$7),0,ROUNDUP(G22*3.25%,0))</f>
        <v/>
      </c>
      <c r="Q22" s="15">
        <f>IF(A22="","",G22+O22+P22)</f>
        <v/>
      </c>
    </row>
    <row r="23">
      <c r="A23">
        <f>IF(Employees!A23="","",Employees!A23)</f>
        <v/>
      </c>
      <c r="B23">
        <f>IF(A23="","",Employees!B23)</f>
        <v/>
      </c>
      <c r="C23">
        <f>IF(A23="","",Attendance!AM23)</f>
        <v/>
      </c>
      <c r="D23" s="15">
        <f>IF(A23="","",ROUND(N(Employees!I23)/Setup!$B$9*C23,0))</f>
        <v/>
      </c>
      <c r="E23" s="15">
        <f>IF(A23="","",ROUND(N(Employees!J23)/Setup!$B$9*C23,0))</f>
        <v/>
      </c>
      <c r="F23" s="15">
        <f>IF(A23="","",ROUND(N(Employees!K23)/Setup!$B$9*C23,0))</f>
        <v/>
      </c>
      <c r="G23" s="15">
        <f>IF(A23="","",D23+E23+F23)</f>
        <v/>
      </c>
      <c r="H23" s="15">
        <f>IF(OR(A23="",Employees!M23&lt;&gt;"Y"),0,ROUND(MIN(D23,Setup!$B$6)*12%,0))</f>
        <v/>
      </c>
      <c r="I23" s="15">
        <f>IF(OR(A23="",Employees!N23&lt;&gt;"Y",N(Employees!L23)&gt;Setup!$B$7),0,ROUNDUP(G23*0.75%,0))</f>
        <v/>
      </c>
      <c r="J23" s="15">
        <f>IF(A23="","",N(Employees!O23))</f>
        <v/>
      </c>
      <c r="K23" s="25" t="n"/>
      <c r="L23" s="25" t="n"/>
      <c r="M23" s="15">
        <f>IF(A23="","",H23+I23+J23+N(K23)+N(L23))</f>
        <v/>
      </c>
      <c r="N23" s="29">
        <f>IF(A23="","",G23-M23)</f>
        <v/>
      </c>
      <c r="O23" s="15">
        <f>IF(OR(A23="",Employees!M23&lt;&gt;"Y"),0,ROUND(MIN(D23,Setup!$B$6)*12%,0))</f>
        <v/>
      </c>
      <c r="P23" s="15">
        <f>IF(OR(A23="",Employees!N23&lt;&gt;"Y",N(Employees!L23)&gt;Setup!$B$7),0,ROUNDUP(G23*3.25%,0))</f>
        <v/>
      </c>
      <c r="Q23" s="15">
        <f>IF(A23="","",G23+O23+P23)</f>
        <v/>
      </c>
    </row>
    <row r="24">
      <c r="A24">
        <f>IF(Employees!A24="","",Employees!A24)</f>
        <v/>
      </c>
      <c r="B24">
        <f>IF(A24="","",Employees!B24)</f>
        <v/>
      </c>
      <c r="C24">
        <f>IF(A24="","",Attendance!AM24)</f>
        <v/>
      </c>
      <c r="D24" s="15">
        <f>IF(A24="","",ROUND(N(Employees!I24)/Setup!$B$9*C24,0))</f>
        <v/>
      </c>
      <c r="E24" s="15">
        <f>IF(A24="","",ROUND(N(Employees!J24)/Setup!$B$9*C24,0))</f>
        <v/>
      </c>
      <c r="F24" s="15">
        <f>IF(A24="","",ROUND(N(Employees!K24)/Setup!$B$9*C24,0))</f>
        <v/>
      </c>
      <c r="G24" s="15">
        <f>IF(A24="","",D24+E24+F24)</f>
        <v/>
      </c>
      <c r="H24" s="15">
        <f>IF(OR(A24="",Employees!M24&lt;&gt;"Y"),0,ROUND(MIN(D24,Setup!$B$6)*12%,0))</f>
        <v/>
      </c>
      <c r="I24" s="15">
        <f>IF(OR(A24="",Employees!N24&lt;&gt;"Y",N(Employees!L24)&gt;Setup!$B$7),0,ROUNDUP(G24*0.75%,0))</f>
        <v/>
      </c>
      <c r="J24" s="15">
        <f>IF(A24="","",N(Employees!O24))</f>
        <v/>
      </c>
      <c r="K24" s="25" t="n"/>
      <c r="L24" s="25" t="n"/>
      <c r="M24" s="15">
        <f>IF(A24="","",H24+I24+J24+N(K24)+N(L24))</f>
        <v/>
      </c>
      <c r="N24" s="29">
        <f>IF(A24="","",G24-M24)</f>
        <v/>
      </c>
      <c r="O24" s="15">
        <f>IF(OR(A24="",Employees!M24&lt;&gt;"Y"),0,ROUND(MIN(D24,Setup!$B$6)*12%,0))</f>
        <v/>
      </c>
      <c r="P24" s="15">
        <f>IF(OR(A24="",Employees!N24&lt;&gt;"Y",N(Employees!L24)&gt;Setup!$B$7),0,ROUNDUP(G24*3.25%,0))</f>
        <v/>
      </c>
      <c r="Q24" s="15">
        <f>IF(A24="","",G24+O24+P24)</f>
        <v/>
      </c>
    </row>
    <row r="25">
      <c r="A25">
        <f>IF(Employees!A25="","",Employees!A25)</f>
        <v/>
      </c>
      <c r="B25">
        <f>IF(A25="","",Employees!B25)</f>
        <v/>
      </c>
      <c r="C25">
        <f>IF(A25="","",Attendance!AM25)</f>
        <v/>
      </c>
      <c r="D25" s="15">
        <f>IF(A25="","",ROUND(N(Employees!I25)/Setup!$B$9*C25,0))</f>
        <v/>
      </c>
      <c r="E25" s="15">
        <f>IF(A25="","",ROUND(N(Employees!J25)/Setup!$B$9*C25,0))</f>
        <v/>
      </c>
      <c r="F25" s="15">
        <f>IF(A25="","",ROUND(N(Employees!K25)/Setup!$B$9*C25,0))</f>
        <v/>
      </c>
      <c r="G25" s="15">
        <f>IF(A25="","",D25+E25+F25)</f>
        <v/>
      </c>
      <c r="H25" s="15">
        <f>IF(OR(A25="",Employees!M25&lt;&gt;"Y"),0,ROUND(MIN(D25,Setup!$B$6)*12%,0))</f>
        <v/>
      </c>
      <c r="I25" s="15">
        <f>IF(OR(A25="",Employees!N25&lt;&gt;"Y",N(Employees!L25)&gt;Setup!$B$7),0,ROUNDUP(G25*0.75%,0))</f>
        <v/>
      </c>
      <c r="J25" s="15">
        <f>IF(A25="","",N(Employees!O25))</f>
        <v/>
      </c>
      <c r="K25" s="25" t="n"/>
      <c r="L25" s="25" t="n"/>
      <c r="M25" s="15">
        <f>IF(A25="","",H25+I25+J25+N(K25)+N(L25))</f>
        <v/>
      </c>
      <c r="N25" s="29">
        <f>IF(A25="","",G25-M25)</f>
        <v/>
      </c>
      <c r="O25" s="15">
        <f>IF(OR(A25="",Employees!M25&lt;&gt;"Y"),0,ROUND(MIN(D25,Setup!$B$6)*12%,0))</f>
        <v/>
      </c>
      <c r="P25" s="15">
        <f>IF(OR(A25="",Employees!N25&lt;&gt;"Y",N(Employees!L25)&gt;Setup!$B$7),0,ROUNDUP(G25*3.25%,0))</f>
        <v/>
      </c>
      <c r="Q25" s="15">
        <f>IF(A25="","",G25+O25+P25)</f>
        <v/>
      </c>
    </row>
    <row r="26">
      <c r="A26">
        <f>IF(Employees!A26="","",Employees!A26)</f>
        <v/>
      </c>
      <c r="B26">
        <f>IF(A26="","",Employees!B26)</f>
        <v/>
      </c>
      <c r="C26">
        <f>IF(A26="","",Attendance!AM26)</f>
        <v/>
      </c>
      <c r="D26" s="15">
        <f>IF(A26="","",ROUND(N(Employees!I26)/Setup!$B$9*C26,0))</f>
        <v/>
      </c>
      <c r="E26" s="15">
        <f>IF(A26="","",ROUND(N(Employees!J26)/Setup!$B$9*C26,0))</f>
        <v/>
      </c>
      <c r="F26" s="15">
        <f>IF(A26="","",ROUND(N(Employees!K26)/Setup!$B$9*C26,0))</f>
        <v/>
      </c>
      <c r="G26" s="15">
        <f>IF(A26="","",D26+E26+F26)</f>
        <v/>
      </c>
      <c r="H26" s="15">
        <f>IF(OR(A26="",Employees!M26&lt;&gt;"Y"),0,ROUND(MIN(D26,Setup!$B$6)*12%,0))</f>
        <v/>
      </c>
      <c r="I26" s="15">
        <f>IF(OR(A26="",Employees!N26&lt;&gt;"Y",N(Employees!L26)&gt;Setup!$B$7),0,ROUNDUP(G26*0.75%,0))</f>
        <v/>
      </c>
      <c r="J26" s="15">
        <f>IF(A26="","",N(Employees!O26))</f>
        <v/>
      </c>
      <c r="K26" s="25" t="n"/>
      <c r="L26" s="25" t="n"/>
      <c r="M26" s="15">
        <f>IF(A26="","",H26+I26+J26+N(K26)+N(L26))</f>
        <v/>
      </c>
      <c r="N26" s="29">
        <f>IF(A26="","",G26-M26)</f>
        <v/>
      </c>
      <c r="O26" s="15">
        <f>IF(OR(A26="",Employees!M26&lt;&gt;"Y"),0,ROUND(MIN(D26,Setup!$B$6)*12%,0))</f>
        <v/>
      </c>
      <c r="P26" s="15">
        <f>IF(OR(A26="",Employees!N26&lt;&gt;"Y",N(Employees!L26)&gt;Setup!$B$7),0,ROUNDUP(G26*3.25%,0))</f>
        <v/>
      </c>
      <c r="Q26" s="15">
        <f>IF(A26="","",G26+O26+P26)</f>
        <v/>
      </c>
    </row>
    <row r="27">
      <c r="A27">
        <f>IF(Employees!A27="","",Employees!A27)</f>
        <v/>
      </c>
      <c r="B27">
        <f>IF(A27="","",Employees!B27)</f>
        <v/>
      </c>
      <c r="C27">
        <f>IF(A27="","",Attendance!AM27)</f>
        <v/>
      </c>
      <c r="D27" s="15">
        <f>IF(A27="","",ROUND(N(Employees!I27)/Setup!$B$9*C27,0))</f>
        <v/>
      </c>
      <c r="E27" s="15">
        <f>IF(A27="","",ROUND(N(Employees!J27)/Setup!$B$9*C27,0))</f>
        <v/>
      </c>
      <c r="F27" s="15">
        <f>IF(A27="","",ROUND(N(Employees!K27)/Setup!$B$9*C27,0))</f>
        <v/>
      </c>
      <c r="G27" s="15">
        <f>IF(A27="","",D27+E27+F27)</f>
        <v/>
      </c>
      <c r="H27" s="15">
        <f>IF(OR(A27="",Employees!M27&lt;&gt;"Y"),0,ROUND(MIN(D27,Setup!$B$6)*12%,0))</f>
        <v/>
      </c>
      <c r="I27" s="15">
        <f>IF(OR(A27="",Employees!N27&lt;&gt;"Y",N(Employees!L27)&gt;Setup!$B$7),0,ROUNDUP(G27*0.75%,0))</f>
        <v/>
      </c>
      <c r="J27" s="15">
        <f>IF(A27="","",N(Employees!O27))</f>
        <v/>
      </c>
      <c r="K27" s="25" t="n"/>
      <c r="L27" s="25" t="n"/>
      <c r="M27" s="15">
        <f>IF(A27="","",H27+I27+J27+N(K27)+N(L27))</f>
        <v/>
      </c>
      <c r="N27" s="29">
        <f>IF(A27="","",G27-M27)</f>
        <v/>
      </c>
      <c r="O27" s="15">
        <f>IF(OR(A27="",Employees!M27&lt;&gt;"Y"),0,ROUND(MIN(D27,Setup!$B$6)*12%,0))</f>
        <v/>
      </c>
      <c r="P27" s="15">
        <f>IF(OR(A27="",Employees!N27&lt;&gt;"Y",N(Employees!L27)&gt;Setup!$B$7),0,ROUNDUP(G27*3.25%,0))</f>
        <v/>
      </c>
      <c r="Q27" s="15">
        <f>IF(A27="","",G27+O27+P27)</f>
        <v/>
      </c>
    </row>
    <row r="28">
      <c r="A28">
        <f>IF(Employees!A28="","",Employees!A28)</f>
        <v/>
      </c>
      <c r="B28">
        <f>IF(A28="","",Employees!B28)</f>
        <v/>
      </c>
      <c r="C28">
        <f>IF(A28="","",Attendance!AM28)</f>
        <v/>
      </c>
      <c r="D28" s="15">
        <f>IF(A28="","",ROUND(N(Employees!I28)/Setup!$B$9*C28,0))</f>
        <v/>
      </c>
      <c r="E28" s="15">
        <f>IF(A28="","",ROUND(N(Employees!J28)/Setup!$B$9*C28,0))</f>
        <v/>
      </c>
      <c r="F28" s="15">
        <f>IF(A28="","",ROUND(N(Employees!K28)/Setup!$B$9*C28,0))</f>
        <v/>
      </c>
      <c r="G28" s="15">
        <f>IF(A28="","",D28+E28+F28)</f>
        <v/>
      </c>
      <c r="H28" s="15">
        <f>IF(OR(A28="",Employees!M28&lt;&gt;"Y"),0,ROUND(MIN(D28,Setup!$B$6)*12%,0))</f>
        <v/>
      </c>
      <c r="I28" s="15">
        <f>IF(OR(A28="",Employees!N28&lt;&gt;"Y",N(Employees!L28)&gt;Setup!$B$7),0,ROUNDUP(G28*0.75%,0))</f>
        <v/>
      </c>
      <c r="J28" s="15">
        <f>IF(A28="","",N(Employees!O28))</f>
        <v/>
      </c>
      <c r="K28" s="25" t="n"/>
      <c r="L28" s="25" t="n"/>
      <c r="M28" s="15">
        <f>IF(A28="","",H28+I28+J28+N(K28)+N(L28))</f>
        <v/>
      </c>
      <c r="N28" s="29">
        <f>IF(A28="","",G28-M28)</f>
        <v/>
      </c>
      <c r="O28" s="15">
        <f>IF(OR(A28="",Employees!M28&lt;&gt;"Y"),0,ROUND(MIN(D28,Setup!$B$6)*12%,0))</f>
        <v/>
      </c>
      <c r="P28" s="15">
        <f>IF(OR(A28="",Employees!N28&lt;&gt;"Y",N(Employees!L28)&gt;Setup!$B$7),0,ROUNDUP(G28*3.25%,0))</f>
        <v/>
      </c>
      <c r="Q28" s="15">
        <f>IF(A28="","",G28+O28+P28)</f>
        <v/>
      </c>
    </row>
    <row r="29">
      <c r="A29">
        <f>IF(Employees!A29="","",Employees!A29)</f>
        <v/>
      </c>
      <c r="B29">
        <f>IF(A29="","",Employees!B29)</f>
        <v/>
      </c>
      <c r="C29">
        <f>IF(A29="","",Attendance!AM29)</f>
        <v/>
      </c>
      <c r="D29" s="15">
        <f>IF(A29="","",ROUND(N(Employees!I29)/Setup!$B$9*C29,0))</f>
        <v/>
      </c>
      <c r="E29" s="15">
        <f>IF(A29="","",ROUND(N(Employees!J29)/Setup!$B$9*C29,0))</f>
        <v/>
      </c>
      <c r="F29" s="15">
        <f>IF(A29="","",ROUND(N(Employees!K29)/Setup!$B$9*C29,0))</f>
        <v/>
      </c>
      <c r="G29" s="15">
        <f>IF(A29="","",D29+E29+F29)</f>
        <v/>
      </c>
      <c r="H29" s="15">
        <f>IF(OR(A29="",Employees!M29&lt;&gt;"Y"),0,ROUND(MIN(D29,Setup!$B$6)*12%,0))</f>
        <v/>
      </c>
      <c r="I29" s="15">
        <f>IF(OR(A29="",Employees!N29&lt;&gt;"Y",N(Employees!L29)&gt;Setup!$B$7),0,ROUNDUP(G29*0.75%,0))</f>
        <v/>
      </c>
      <c r="J29" s="15">
        <f>IF(A29="","",N(Employees!O29))</f>
        <v/>
      </c>
      <c r="K29" s="25" t="n"/>
      <c r="L29" s="25" t="n"/>
      <c r="M29" s="15">
        <f>IF(A29="","",H29+I29+J29+N(K29)+N(L29))</f>
        <v/>
      </c>
      <c r="N29" s="29">
        <f>IF(A29="","",G29-M29)</f>
        <v/>
      </c>
      <c r="O29" s="15">
        <f>IF(OR(A29="",Employees!M29&lt;&gt;"Y"),0,ROUND(MIN(D29,Setup!$B$6)*12%,0))</f>
        <v/>
      </c>
      <c r="P29" s="15">
        <f>IF(OR(A29="",Employees!N29&lt;&gt;"Y",N(Employees!L29)&gt;Setup!$B$7),0,ROUNDUP(G29*3.25%,0))</f>
        <v/>
      </c>
      <c r="Q29" s="15">
        <f>IF(A29="","",G29+O29+P29)</f>
        <v/>
      </c>
    </row>
    <row r="30">
      <c r="A30">
        <f>IF(Employees!A30="","",Employees!A30)</f>
        <v/>
      </c>
      <c r="B30">
        <f>IF(A30="","",Employees!B30)</f>
        <v/>
      </c>
      <c r="C30">
        <f>IF(A30="","",Attendance!AM30)</f>
        <v/>
      </c>
      <c r="D30" s="15">
        <f>IF(A30="","",ROUND(N(Employees!I30)/Setup!$B$9*C30,0))</f>
        <v/>
      </c>
      <c r="E30" s="15">
        <f>IF(A30="","",ROUND(N(Employees!J30)/Setup!$B$9*C30,0))</f>
        <v/>
      </c>
      <c r="F30" s="15">
        <f>IF(A30="","",ROUND(N(Employees!K30)/Setup!$B$9*C30,0))</f>
        <v/>
      </c>
      <c r="G30" s="15">
        <f>IF(A30="","",D30+E30+F30)</f>
        <v/>
      </c>
      <c r="H30" s="15">
        <f>IF(OR(A30="",Employees!M30&lt;&gt;"Y"),0,ROUND(MIN(D30,Setup!$B$6)*12%,0))</f>
        <v/>
      </c>
      <c r="I30" s="15">
        <f>IF(OR(A30="",Employees!N30&lt;&gt;"Y",N(Employees!L30)&gt;Setup!$B$7),0,ROUNDUP(G30*0.75%,0))</f>
        <v/>
      </c>
      <c r="J30" s="15">
        <f>IF(A30="","",N(Employees!O30))</f>
        <v/>
      </c>
      <c r="K30" s="25" t="n"/>
      <c r="L30" s="25" t="n"/>
      <c r="M30" s="15">
        <f>IF(A30="","",H30+I30+J30+N(K30)+N(L30))</f>
        <v/>
      </c>
      <c r="N30" s="29">
        <f>IF(A30="","",G30-M30)</f>
        <v/>
      </c>
      <c r="O30" s="15">
        <f>IF(OR(A30="",Employees!M30&lt;&gt;"Y"),0,ROUND(MIN(D30,Setup!$B$6)*12%,0))</f>
        <v/>
      </c>
      <c r="P30" s="15">
        <f>IF(OR(A30="",Employees!N30&lt;&gt;"Y",N(Employees!L30)&gt;Setup!$B$7),0,ROUNDUP(G30*3.25%,0))</f>
        <v/>
      </c>
      <c r="Q30" s="15">
        <f>IF(A30="","",G30+O30+P30)</f>
        <v/>
      </c>
    </row>
    <row r="31">
      <c r="A31">
        <f>IF(Employees!A31="","",Employees!A31)</f>
        <v/>
      </c>
      <c r="B31">
        <f>IF(A31="","",Employees!B31)</f>
        <v/>
      </c>
      <c r="C31">
        <f>IF(A31="","",Attendance!AM31)</f>
        <v/>
      </c>
      <c r="D31" s="15">
        <f>IF(A31="","",ROUND(N(Employees!I31)/Setup!$B$9*C31,0))</f>
        <v/>
      </c>
      <c r="E31" s="15">
        <f>IF(A31="","",ROUND(N(Employees!J31)/Setup!$B$9*C31,0))</f>
        <v/>
      </c>
      <c r="F31" s="15">
        <f>IF(A31="","",ROUND(N(Employees!K31)/Setup!$B$9*C31,0))</f>
        <v/>
      </c>
      <c r="G31" s="15">
        <f>IF(A31="","",D31+E31+F31)</f>
        <v/>
      </c>
      <c r="H31" s="15">
        <f>IF(OR(A31="",Employees!M31&lt;&gt;"Y"),0,ROUND(MIN(D31,Setup!$B$6)*12%,0))</f>
        <v/>
      </c>
      <c r="I31" s="15">
        <f>IF(OR(A31="",Employees!N31&lt;&gt;"Y",N(Employees!L31)&gt;Setup!$B$7),0,ROUNDUP(G31*0.75%,0))</f>
        <v/>
      </c>
      <c r="J31" s="15">
        <f>IF(A31="","",N(Employees!O31))</f>
        <v/>
      </c>
      <c r="K31" s="25" t="n"/>
      <c r="L31" s="25" t="n"/>
      <c r="M31" s="15">
        <f>IF(A31="","",H31+I31+J31+N(K31)+N(L31))</f>
        <v/>
      </c>
      <c r="N31" s="29">
        <f>IF(A31="","",G31-M31)</f>
        <v/>
      </c>
      <c r="O31" s="15">
        <f>IF(OR(A31="",Employees!M31&lt;&gt;"Y"),0,ROUND(MIN(D31,Setup!$B$6)*12%,0))</f>
        <v/>
      </c>
      <c r="P31" s="15">
        <f>IF(OR(A31="",Employees!N31&lt;&gt;"Y",N(Employees!L31)&gt;Setup!$B$7),0,ROUNDUP(G31*3.25%,0))</f>
        <v/>
      </c>
      <c r="Q31" s="15">
        <f>IF(A31="","",G31+O31+P31)</f>
        <v/>
      </c>
    </row>
    <row r="32">
      <c r="A32">
        <f>IF(Employees!A32="","",Employees!A32)</f>
        <v/>
      </c>
      <c r="B32">
        <f>IF(A32="","",Employees!B32)</f>
        <v/>
      </c>
      <c r="C32">
        <f>IF(A32="","",Attendance!AM32)</f>
        <v/>
      </c>
      <c r="D32" s="15">
        <f>IF(A32="","",ROUND(N(Employees!I32)/Setup!$B$9*C32,0))</f>
        <v/>
      </c>
      <c r="E32" s="15">
        <f>IF(A32="","",ROUND(N(Employees!J32)/Setup!$B$9*C32,0))</f>
        <v/>
      </c>
      <c r="F32" s="15">
        <f>IF(A32="","",ROUND(N(Employees!K32)/Setup!$B$9*C32,0))</f>
        <v/>
      </c>
      <c r="G32" s="15">
        <f>IF(A32="","",D32+E32+F32)</f>
        <v/>
      </c>
      <c r="H32" s="15">
        <f>IF(OR(A32="",Employees!M32&lt;&gt;"Y"),0,ROUND(MIN(D32,Setup!$B$6)*12%,0))</f>
        <v/>
      </c>
      <c r="I32" s="15">
        <f>IF(OR(A32="",Employees!N32&lt;&gt;"Y",N(Employees!L32)&gt;Setup!$B$7),0,ROUNDUP(G32*0.75%,0))</f>
        <v/>
      </c>
      <c r="J32" s="15">
        <f>IF(A32="","",N(Employees!O32))</f>
        <v/>
      </c>
      <c r="K32" s="25" t="n"/>
      <c r="L32" s="25" t="n"/>
      <c r="M32" s="15">
        <f>IF(A32="","",H32+I32+J32+N(K32)+N(L32))</f>
        <v/>
      </c>
      <c r="N32" s="29">
        <f>IF(A32="","",G32-M32)</f>
        <v/>
      </c>
      <c r="O32" s="15">
        <f>IF(OR(A32="",Employees!M32&lt;&gt;"Y"),0,ROUND(MIN(D32,Setup!$B$6)*12%,0))</f>
        <v/>
      </c>
      <c r="P32" s="15">
        <f>IF(OR(A32="",Employees!N32&lt;&gt;"Y",N(Employees!L32)&gt;Setup!$B$7),0,ROUNDUP(G32*3.25%,0))</f>
        <v/>
      </c>
      <c r="Q32" s="15">
        <f>IF(A32="","",G32+O32+P32)</f>
        <v/>
      </c>
    </row>
    <row r="33">
      <c r="A33">
        <f>IF(Employees!A33="","",Employees!A33)</f>
        <v/>
      </c>
      <c r="B33">
        <f>IF(A33="","",Employees!B33)</f>
        <v/>
      </c>
      <c r="C33">
        <f>IF(A33="","",Attendance!AM33)</f>
        <v/>
      </c>
      <c r="D33" s="15">
        <f>IF(A33="","",ROUND(N(Employees!I33)/Setup!$B$9*C33,0))</f>
        <v/>
      </c>
      <c r="E33" s="15">
        <f>IF(A33="","",ROUND(N(Employees!J33)/Setup!$B$9*C33,0))</f>
        <v/>
      </c>
      <c r="F33" s="15">
        <f>IF(A33="","",ROUND(N(Employees!K33)/Setup!$B$9*C33,0))</f>
        <v/>
      </c>
      <c r="G33" s="15">
        <f>IF(A33="","",D33+E33+F33)</f>
        <v/>
      </c>
      <c r="H33" s="15">
        <f>IF(OR(A33="",Employees!M33&lt;&gt;"Y"),0,ROUND(MIN(D33,Setup!$B$6)*12%,0))</f>
        <v/>
      </c>
      <c r="I33" s="15">
        <f>IF(OR(A33="",Employees!N33&lt;&gt;"Y",N(Employees!L33)&gt;Setup!$B$7),0,ROUNDUP(G33*0.75%,0))</f>
        <v/>
      </c>
      <c r="J33" s="15">
        <f>IF(A33="","",N(Employees!O33))</f>
        <v/>
      </c>
      <c r="K33" s="25" t="n"/>
      <c r="L33" s="25" t="n"/>
      <c r="M33" s="15">
        <f>IF(A33="","",H33+I33+J33+N(K33)+N(L33))</f>
        <v/>
      </c>
      <c r="N33" s="29">
        <f>IF(A33="","",G33-M33)</f>
        <v/>
      </c>
      <c r="O33" s="15">
        <f>IF(OR(A33="",Employees!M33&lt;&gt;"Y"),0,ROUND(MIN(D33,Setup!$B$6)*12%,0))</f>
        <v/>
      </c>
      <c r="P33" s="15">
        <f>IF(OR(A33="",Employees!N33&lt;&gt;"Y",N(Employees!L33)&gt;Setup!$B$7),0,ROUNDUP(G33*3.25%,0))</f>
        <v/>
      </c>
      <c r="Q33" s="15">
        <f>IF(A33="","",G33+O33+P33)</f>
        <v/>
      </c>
    </row>
    <row r="34">
      <c r="A34">
        <f>IF(Employees!A34="","",Employees!A34)</f>
        <v/>
      </c>
      <c r="B34">
        <f>IF(A34="","",Employees!B34)</f>
        <v/>
      </c>
      <c r="C34">
        <f>IF(A34="","",Attendance!AM34)</f>
        <v/>
      </c>
      <c r="D34" s="15">
        <f>IF(A34="","",ROUND(N(Employees!I34)/Setup!$B$9*C34,0))</f>
        <v/>
      </c>
      <c r="E34" s="15">
        <f>IF(A34="","",ROUND(N(Employees!J34)/Setup!$B$9*C34,0))</f>
        <v/>
      </c>
      <c r="F34" s="15">
        <f>IF(A34="","",ROUND(N(Employees!K34)/Setup!$B$9*C34,0))</f>
        <v/>
      </c>
      <c r="G34" s="15">
        <f>IF(A34="","",D34+E34+F34)</f>
        <v/>
      </c>
      <c r="H34" s="15">
        <f>IF(OR(A34="",Employees!M34&lt;&gt;"Y"),0,ROUND(MIN(D34,Setup!$B$6)*12%,0))</f>
        <v/>
      </c>
      <c r="I34" s="15">
        <f>IF(OR(A34="",Employees!N34&lt;&gt;"Y",N(Employees!L34)&gt;Setup!$B$7),0,ROUNDUP(G34*0.75%,0))</f>
        <v/>
      </c>
      <c r="J34" s="15">
        <f>IF(A34="","",N(Employees!O34))</f>
        <v/>
      </c>
      <c r="K34" s="25" t="n"/>
      <c r="L34" s="25" t="n"/>
      <c r="M34" s="15">
        <f>IF(A34="","",H34+I34+J34+N(K34)+N(L34))</f>
        <v/>
      </c>
      <c r="N34" s="29">
        <f>IF(A34="","",G34-M34)</f>
        <v/>
      </c>
      <c r="O34" s="15">
        <f>IF(OR(A34="",Employees!M34&lt;&gt;"Y"),0,ROUND(MIN(D34,Setup!$B$6)*12%,0))</f>
        <v/>
      </c>
      <c r="P34" s="15">
        <f>IF(OR(A34="",Employees!N34&lt;&gt;"Y",N(Employees!L34)&gt;Setup!$B$7),0,ROUNDUP(G34*3.25%,0))</f>
        <v/>
      </c>
      <c r="Q34" s="15">
        <f>IF(A34="","",G34+O34+P34)</f>
        <v/>
      </c>
    </row>
    <row r="35">
      <c r="A35">
        <f>IF(Employees!A35="","",Employees!A35)</f>
        <v/>
      </c>
      <c r="B35">
        <f>IF(A35="","",Employees!B35)</f>
        <v/>
      </c>
      <c r="C35">
        <f>IF(A35="","",Attendance!AM35)</f>
        <v/>
      </c>
      <c r="D35" s="15">
        <f>IF(A35="","",ROUND(N(Employees!I35)/Setup!$B$9*C35,0))</f>
        <v/>
      </c>
      <c r="E35" s="15">
        <f>IF(A35="","",ROUND(N(Employees!J35)/Setup!$B$9*C35,0))</f>
        <v/>
      </c>
      <c r="F35" s="15">
        <f>IF(A35="","",ROUND(N(Employees!K35)/Setup!$B$9*C35,0))</f>
        <v/>
      </c>
      <c r="G35" s="15">
        <f>IF(A35="","",D35+E35+F35)</f>
        <v/>
      </c>
      <c r="H35" s="15">
        <f>IF(OR(A35="",Employees!M35&lt;&gt;"Y"),0,ROUND(MIN(D35,Setup!$B$6)*12%,0))</f>
        <v/>
      </c>
      <c r="I35" s="15">
        <f>IF(OR(A35="",Employees!N35&lt;&gt;"Y",N(Employees!L35)&gt;Setup!$B$7),0,ROUNDUP(G35*0.75%,0))</f>
        <v/>
      </c>
      <c r="J35" s="15">
        <f>IF(A35="","",N(Employees!O35))</f>
        <v/>
      </c>
      <c r="K35" s="25" t="n"/>
      <c r="L35" s="25" t="n"/>
      <c r="M35" s="15">
        <f>IF(A35="","",H35+I35+J35+N(K35)+N(L35))</f>
        <v/>
      </c>
      <c r="N35" s="29">
        <f>IF(A35="","",G35-M35)</f>
        <v/>
      </c>
      <c r="O35" s="15">
        <f>IF(OR(A35="",Employees!M35&lt;&gt;"Y"),0,ROUND(MIN(D35,Setup!$B$6)*12%,0))</f>
        <v/>
      </c>
      <c r="P35" s="15">
        <f>IF(OR(A35="",Employees!N35&lt;&gt;"Y",N(Employees!L35)&gt;Setup!$B$7),0,ROUNDUP(G35*3.25%,0))</f>
        <v/>
      </c>
      <c r="Q35" s="15">
        <f>IF(A35="","",G35+O35+P35)</f>
        <v/>
      </c>
    </row>
    <row r="36">
      <c r="A36">
        <f>IF(Employees!A36="","",Employees!A36)</f>
        <v/>
      </c>
      <c r="B36">
        <f>IF(A36="","",Employees!B36)</f>
        <v/>
      </c>
      <c r="C36">
        <f>IF(A36="","",Attendance!AM36)</f>
        <v/>
      </c>
      <c r="D36" s="15">
        <f>IF(A36="","",ROUND(N(Employees!I36)/Setup!$B$9*C36,0))</f>
        <v/>
      </c>
      <c r="E36" s="15">
        <f>IF(A36="","",ROUND(N(Employees!J36)/Setup!$B$9*C36,0))</f>
        <v/>
      </c>
      <c r="F36" s="15">
        <f>IF(A36="","",ROUND(N(Employees!K36)/Setup!$B$9*C36,0))</f>
        <v/>
      </c>
      <c r="G36" s="15">
        <f>IF(A36="","",D36+E36+F36)</f>
        <v/>
      </c>
      <c r="H36" s="15">
        <f>IF(OR(A36="",Employees!M36&lt;&gt;"Y"),0,ROUND(MIN(D36,Setup!$B$6)*12%,0))</f>
        <v/>
      </c>
      <c r="I36" s="15">
        <f>IF(OR(A36="",Employees!N36&lt;&gt;"Y",N(Employees!L36)&gt;Setup!$B$7),0,ROUNDUP(G36*0.75%,0))</f>
        <v/>
      </c>
      <c r="J36" s="15">
        <f>IF(A36="","",N(Employees!O36))</f>
        <v/>
      </c>
      <c r="K36" s="25" t="n"/>
      <c r="L36" s="25" t="n"/>
      <c r="M36" s="15">
        <f>IF(A36="","",H36+I36+J36+N(K36)+N(L36))</f>
        <v/>
      </c>
      <c r="N36" s="29">
        <f>IF(A36="","",G36-M36)</f>
        <v/>
      </c>
      <c r="O36" s="15">
        <f>IF(OR(A36="",Employees!M36&lt;&gt;"Y"),0,ROUND(MIN(D36,Setup!$B$6)*12%,0))</f>
        <v/>
      </c>
      <c r="P36" s="15">
        <f>IF(OR(A36="",Employees!N36&lt;&gt;"Y",N(Employees!L36)&gt;Setup!$B$7),0,ROUNDUP(G36*3.25%,0))</f>
        <v/>
      </c>
      <c r="Q36" s="15">
        <f>IF(A36="","",G36+O36+P36)</f>
        <v/>
      </c>
    </row>
    <row r="37">
      <c r="A37">
        <f>IF(Employees!A37="","",Employees!A37)</f>
        <v/>
      </c>
      <c r="B37">
        <f>IF(A37="","",Employees!B37)</f>
        <v/>
      </c>
      <c r="C37">
        <f>IF(A37="","",Attendance!AM37)</f>
        <v/>
      </c>
      <c r="D37" s="15">
        <f>IF(A37="","",ROUND(N(Employees!I37)/Setup!$B$9*C37,0))</f>
        <v/>
      </c>
      <c r="E37" s="15">
        <f>IF(A37="","",ROUND(N(Employees!J37)/Setup!$B$9*C37,0))</f>
        <v/>
      </c>
      <c r="F37" s="15">
        <f>IF(A37="","",ROUND(N(Employees!K37)/Setup!$B$9*C37,0))</f>
        <v/>
      </c>
      <c r="G37" s="15">
        <f>IF(A37="","",D37+E37+F37)</f>
        <v/>
      </c>
      <c r="H37" s="15">
        <f>IF(OR(A37="",Employees!M37&lt;&gt;"Y"),0,ROUND(MIN(D37,Setup!$B$6)*12%,0))</f>
        <v/>
      </c>
      <c r="I37" s="15">
        <f>IF(OR(A37="",Employees!N37&lt;&gt;"Y",N(Employees!L37)&gt;Setup!$B$7),0,ROUNDUP(G37*0.75%,0))</f>
        <v/>
      </c>
      <c r="J37" s="15">
        <f>IF(A37="","",N(Employees!O37))</f>
        <v/>
      </c>
      <c r="K37" s="25" t="n"/>
      <c r="L37" s="25" t="n"/>
      <c r="M37" s="15">
        <f>IF(A37="","",H37+I37+J37+N(K37)+N(L37))</f>
        <v/>
      </c>
      <c r="N37" s="29">
        <f>IF(A37="","",G37-M37)</f>
        <v/>
      </c>
      <c r="O37" s="15">
        <f>IF(OR(A37="",Employees!M37&lt;&gt;"Y"),0,ROUND(MIN(D37,Setup!$B$6)*12%,0))</f>
        <v/>
      </c>
      <c r="P37" s="15">
        <f>IF(OR(A37="",Employees!N37&lt;&gt;"Y",N(Employees!L37)&gt;Setup!$B$7),0,ROUNDUP(G37*3.25%,0))</f>
        <v/>
      </c>
      <c r="Q37" s="15">
        <f>IF(A37="","",G37+O37+P37)</f>
        <v/>
      </c>
    </row>
    <row r="38">
      <c r="A38">
        <f>IF(Employees!A38="","",Employees!A38)</f>
        <v/>
      </c>
      <c r="B38">
        <f>IF(A38="","",Employees!B38)</f>
        <v/>
      </c>
      <c r="C38">
        <f>IF(A38="","",Attendance!AM38)</f>
        <v/>
      </c>
      <c r="D38" s="15">
        <f>IF(A38="","",ROUND(N(Employees!I38)/Setup!$B$9*C38,0))</f>
        <v/>
      </c>
      <c r="E38" s="15">
        <f>IF(A38="","",ROUND(N(Employees!J38)/Setup!$B$9*C38,0))</f>
        <v/>
      </c>
      <c r="F38" s="15">
        <f>IF(A38="","",ROUND(N(Employees!K38)/Setup!$B$9*C38,0))</f>
        <v/>
      </c>
      <c r="G38" s="15">
        <f>IF(A38="","",D38+E38+F38)</f>
        <v/>
      </c>
      <c r="H38" s="15">
        <f>IF(OR(A38="",Employees!M38&lt;&gt;"Y"),0,ROUND(MIN(D38,Setup!$B$6)*12%,0))</f>
        <v/>
      </c>
      <c r="I38" s="15">
        <f>IF(OR(A38="",Employees!N38&lt;&gt;"Y",N(Employees!L38)&gt;Setup!$B$7),0,ROUNDUP(G38*0.75%,0))</f>
        <v/>
      </c>
      <c r="J38" s="15">
        <f>IF(A38="","",N(Employees!O38))</f>
        <v/>
      </c>
      <c r="K38" s="25" t="n"/>
      <c r="L38" s="25" t="n"/>
      <c r="M38" s="15">
        <f>IF(A38="","",H38+I38+J38+N(K38)+N(L38))</f>
        <v/>
      </c>
      <c r="N38" s="29">
        <f>IF(A38="","",G38-M38)</f>
        <v/>
      </c>
      <c r="O38" s="15">
        <f>IF(OR(A38="",Employees!M38&lt;&gt;"Y"),0,ROUND(MIN(D38,Setup!$B$6)*12%,0))</f>
        <v/>
      </c>
      <c r="P38" s="15">
        <f>IF(OR(A38="",Employees!N38&lt;&gt;"Y",N(Employees!L38)&gt;Setup!$B$7),0,ROUNDUP(G38*3.25%,0))</f>
        <v/>
      </c>
      <c r="Q38" s="15">
        <f>IF(A38="","",G38+O38+P38)</f>
        <v/>
      </c>
    </row>
    <row r="39">
      <c r="A39">
        <f>IF(Employees!A39="","",Employees!A39)</f>
        <v/>
      </c>
      <c r="B39">
        <f>IF(A39="","",Employees!B39)</f>
        <v/>
      </c>
      <c r="C39">
        <f>IF(A39="","",Attendance!AM39)</f>
        <v/>
      </c>
      <c r="D39" s="15">
        <f>IF(A39="","",ROUND(N(Employees!I39)/Setup!$B$9*C39,0))</f>
        <v/>
      </c>
      <c r="E39" s="15">
        <f>IF(A39="","",ROUND(N(Employees!J39)/Setup!$B$9*C39,0))</f>
        <v/>
      </c>
      <c r="F39" s="15">
        <f>IF(A39="","",ROUND(N(Employees!K39)/Setup!$B$9*C39,0))</f>
        <v/>
      </c>
      <c r="G39" s="15">
        <f>IF(A39="","",D39+E39+F39)</f>
        <v/>
      </c>
      <c r="H39" s="15">
        <f>IF(OR(A39="",Employees!M39&lt;&gt;"Y"),0,ROUND(MIN(D39,Setup!$B$6)*12%,0))</f>
        <v/>
      </c>
      <c r="I39" s="15">
        <f>IF(OR(A39="",Employees!N39&lt;&gt;"Y",N(Employees!L39)&gt;Setup!$B$7),0,ROUNDUP(G39*0.75%,0))</f>
        <v/>
      </c>
      <c r="J39" s="15">
        <f>IF(A39="","",N(Employees!O39))</f>
        <v/>
      </c>
      <c r="K39" s="25" t="n"/>
      <c r="L39" s="25" t="n"/>
      <c r="M39" s="15">
        <f>IF(A39="","",H39+I39+J39+N(K39)+N(L39))</f>
        <v/>
      </c>
      <c r="N39" s="29">
        <f>IF(A39="","",G39-M39)</f>
        <v/>
      </c>
      <c r="O39" s="15">
        <f>IF(OR(A39="",Employees!M39&lt;&gt;"Y"),0,ROUND(MIN(D39,Setup!$B$6)*12%,0))</f>
        <v/>
      </c>
      <c r="P39" s="15">
        <f>IF(OR(A39="",Employees!N39&lt;&gt;"Y",N(Employees!L39)&gt;Setup!$B$7),0,ROUNDUP(G39*3.25%,0))</f>
        <v/>
      </c>
      <c r="Q39" s="15">
        <f>IF(A39="","",G39+O39+P39)</f>
        <v/>
      </c>
    </row>
    <row r="40">
      <c r="A40">
        <f>IF(Employees!A40="","",Employees!A40)</f>
        <v/>
      </c>
      <c r="B40">
        <f>IF(A40="","",Employees!B40)</f>
        <v/>
      </c>
      <c r="C40">
        <f>IF(A40="","",Attendance!AM40)</f>
        <v/>
      </c>
      <c r="D40" s="15">
        <f>IF(A40="","",ROUND(N(Employees!I40)/Setup!$B$9*C40,0))</f>
        <v/>
      </c>
      <c r="E40" s="15">
        <f>IF(A40="","",ROUND(N(Employees!J40)/Setup!$B$9*C40,0))</f>
        <v/>
      </c>
      <c r="F40" s="15">
        <f>IF(A40="","",ROUND(N(Employees!K40)/Setup!$B$9*C40,0))</f>
        <v/>
      </c>
      <c r="G40" s="15">
        <f>IF(A40="","",D40+E40+F40)</f>
        <v/>
      </c>
      <c r="H40" s="15">
        <f>IF(OR(A40="",Employees!M40&lt;&gt;"Y"),0,ROUND(MIN(D40,Setup!$B$6)*12%,0))</f>
        <v/>
      </c>
      <c r="I40" s="15">
        <f>IF(OR(A40="",Employees!N40&lt;&gt;"Y",N(Employees!L40)&gt;Setup!$B$7),0,ROUNDUP(G40*0.75%,0))</f>
        <v/>
      </c>
      <c r="J40" s="15">
        <f>IF(A40="","",N(Employees!O40))</f>
        <v/>
      </c>
      <c r="K40" s="25" t="n"/>
      <c r="L40" s="25" t="n"/>
      <c r="M40" s="15">
        <f>IF(A40="","",H40+I40+J40+N(K40)+N(L40))</f>
        <v/>
      </c>
      <c r="N40" s="29">
        <f>IF(A40="","",G40-M40)</f>
        <v/>
      </c>
      <c r="O40" s="15">
        <f>IF(OR(A40="",Employees!M40&lt;&gt;"Y"),0,ROUND(MIN(D40,Setup!$B$6)*12%,0))</f>
        <v/>
      </c>
      <c r="P40" s="15">
        <f>IF(OR(A40="",Employees!N40&lt;&gt;"Y",N(Employees!L40)&gt;Setup!$B$7),0,ROUNDUP(G40*3.25%,0))</f>
        <v/>
      </c>
      <c r="Q40" s="15">
        <f>IF(A40="","",G40+O40+P40)</f>
        <v/>
      </c>
    </row>
    <row r="41">
      <c r="A41">
        <f>IF(Employees!A41="","",Employees!A41)</f>
        <v/>
      </c>
      <c r="B41">
        <f>IF(A41="","",Employees!B41)</f>
        <v/>
      </c>
      <c r="C41">
        <f>IF(A41="","",Attendance!AM41)</f>
        <v/>
      </c>
      <c r="D41" s="15">
        <f>IF(A41="","",ROUND(N(Employees!I41)/Setup!$B$9*C41,0))</f>
        <v/>
      </c>
      <c r="E41" s="15">
        <f>IF(A41="","",ROUND(N(Employees!J41)/Setup!$B$9*C41,0))</f>
        <v/>
      </c>
      <c r="F41" s="15">
        <f>IF(A41="","",ROUND(N(Employees!K41)/Setup!$B$9*C41,0))</f>
        <v/>
      </c>
      <c r="G41" s="15">
        <f>IF(A41="","",D41+E41+F41)</f>
        <v/>
      </c>
      <c r="H41" s="15">
        <f>IF(OR(A41="",Employees!M41&lt;&gt;"Y"),0,ROUND(MIN(D41,Setup!$B$6)*12%,0))</f>
        <v/>
      </c>
      <c r="I41" s="15">
        <f>IF(OR(A41="",Employees!N41&lt;&gt;"Y",N(Employees!L41)&gt;Setup!$B$7),0,ROUNDUP(G41*0.75%,0))</f>
        <v/>
      </c>
      <c r="J41" s="15">
        <f>IF(A41="","",N(Employees!O41))</f>
        <v/>
      </c>
      <c r="K41" s="25" t="n"/>
      <c r="L41" s="25" t="n"/>
      <c r="M41" s="15">
        <f>IF(A41="","",H41+I41+J41+N(K41)+N(L41))</f>
        <v/>
      </c>
      <c r="N41" s="29">
        <f>IF(A41="","",G41-M41)</f>
        <v/>
      </c>
      <c r="O41" s="15">
        <f>IF(OR(A41="",Employees!M41&lt;&gt;"Y"),0,ROUND(MIN(D41,Setup!$B$6)*12%,0))</f>
        <v/>
      </c>
      <c r="P41" s="15">
        <f>IF(OR(A41="",Employees!N41&lt;&gt;"Y",N(Employees!L41)&gt;Setup!$B$7),0,ROUNDUP(G41*3.25%,0))</f>
        <v/>
      </c>
      <c r="Q41" s="15">
        <f>IF(A41="","",G41+O41+P41)</f>
        <v/>
      </c>
    </row>
    <row r="42">
      <c r="A42">
        <f>IF(Employees!A42="","",Employees!A42)</f>
        <v/>
      </c>
      <c r="B42">
        <f>IF(A42="","",Employees!B42)</f>
        <v/>
      </c>
      <c r="C42">
        <f>IF(A42="","",Attendance!AM42)</f>
        <v/>
      </c>
      <c r="D42" s="15">
        <f>IF(A42="","",ROUND(N(Employees!I42)/Setup!$B$9*C42,0))</f>
        <v/>
      </c>
      <c r="E42" s="15">
        <f>IF(A42="","",ROUND(N(Employees!J42)/Setup!$B$9*C42,0))</f>
        <v/>
      </c>
      <c r="F42" s="15">
        <f>IF(A42="","",ROUND(N(Employees!K42)/Setup!$B$9*C42,0))</f>
        <v/>
      </c>
      <c r="G42" s="15">
        <f>IF(A42="","",D42+E42+F42)</f>
        <v/>
      </c>
      <c r="H42" s="15">
        <f>IF(OR(A42="",Employees!M42&lt;&gt;"Y"),0,ROUND(MIN(D42,Setup!$B$6)*12%,0))</f>
        <v/>
      </c>
      <c r="I42" s="15">
        <f>IF(OR(A42="",Employees!N42&lt;&gt;"Y",N(Employees!L42)&gt;Setup!$B$7),0,ROUNDUP(G42*0.75%,0))</f>
        <v/>
      </c>
      <c r="J42" s="15">
        <f>IF(A42="","",N(Employees!O42))</f>
        <v/>
      </c>
      <c r="K42" s="25" t="n"/>
      <c r="L42" s="25" t="n"/>
      <c r="M42" s="15">
        <f>IF(A42="","",H42+I42+J42+N(K42)+N(L42))</f>
        <v/>
      </c>
      <c r="N42" s="29">
        <f>IF(A42="","",G42-M42)</f>
        <v/>
      </c>
      <c r="O42" s="15">
        <f>IF(OR(A42="",Employees!M42&lt;&gt;"Y"),0,ROUND(MIN(D42,Setup!$B$6)*12%,0))</f>
        <v/>
      </c>
      <c r="P42" s="15">
        <f>IF(OR(A42="",Employees!N42&lt;&gt;"Y",N(Employees!L42)&gt;Setup!$B$7),0,ROUNDUP(G42*3.25%,0))</f>
        <v/>
      </c>
      <c r="Q42" s="15">
        <f>IF(A42="","",G42+O42+P42)</f>
        <v/>
      </c>
    </row>
    <row r="43">
      <c r="A43">
        <f>IF(Employees!A43="","",Employees!A43)</f>
        <v/>
      </c>
      <c r="B43">
        <f>IF(A43="","",Employees!B43)</f>
        <v/>
      </c>
      <c r="C43">
        <f>IF(A43="","",Attendance!AM43)</f>
        <v/>
      </c>
      <c r="D43" s="15">
        <f>IF(A43="","",ROUND(N(Employees!I43)/Setup!$B$9*C43,0))</f>
        <v/>
      </c>
      <c r="E43" s="15">
        <f>IF(A43="","",ROUND(N(Employees!J43)/Setup!$B$9*C43,0))</f>
        <v/>
      </c>
      <c r="F43" s="15">
        <f>IF(A43="","",ROUND(N(Employees!K43)/Setup!$B$9*C43,0))</f>
        <v/>
      </c>
      <c r="G43" s="15">
        <f>IF(A43="","",D43+E43+F43)</f>
        <v/>
      </c>
      <c r="H43" s="15">
        <f>IF(OR(A43="",Employees!M43&lt;&gt;"Y"),0,ROUND(MIN(D43,Setup!$B$6)*12%,0))</f>
        <v/>
      </c>
      <c r="I43" s="15">
        <f>IF(OR(A43="",Employees!N43&lt;&gt;"Y",N(Employees!L43)&gt;Setup!$B$7),0,ROUNDUP(G43*0.75%,0))</f>
        <v/>
      </c>
      <c r="J43" s="15">
        <f>IF(A43="","",N(Employees!O43))</f>
        <v/>
      </c>
      <c r="K43" s="25" t="n"/>
      <c r="L43" s="25" t="n"/>
      <c r="M43" s="15">
        <f>IF(A43="","",H43+I43+J43+N(K43)+N(L43))</f>
        <v/>
      </c>
      <c r="N43" s="29">
        <f>IF(A43="","",G43-M43)</f>
        <v/>
      </c>
      <c r="O43" s="15">
        <f>IF(OR(A43="",Employees!M43&lt;&gt;"Y"),0,ROUND(MIN(D43,Setup!$B$6)*12%,0))</f>
        <v/>
      </c>
      <c r="P43" s="15">
        <f>IF(OR(A43="",Employees!N43&lt;&gt;"Y",N(Employees!L43)&gt;Setup!$B$7),0,ROUNDUP(G43*3.25%,0))</f>
        <v/>
      </c>
      <c r="Q43" s="15">
        <f>IF(A43="","",G43+O43+P43)</f>
        <v/>
      </c>
    </row>
    <row r="44">
      <c r="A44">
        <f>IF(Employees!A44="","",Employees!A44)</f>
        <v/>
      </c>
      <c r="B44">
        <f>IF(A44="","",Employees!B44)</f>
        <v/>
      </c>
      <c r="C44">
        <f>IF(A44="","",Attendance!AM44)</f>
        <v/>
      </c>
      <c r="D44" s="15">
        <f>IF(A44="","",ROUND(N(Employees!I44)/Setup!$B$9*C44,0))</f>
        <v/>
      </c>
      <c r="E44" s="15">
        <f>IF(A44="","",ROUND(N(Employees!J44)/Setup!$B$9*C44,0))</f>
        <v/>
      </c>
      <c r="F44" s="15">
        <f>IF(A44="","",ROUND(N(Employees!K44)/Setup!$B$9*C44,0))</f>
        <v/>
      </c>
      <c r="G44" s="15">
        <f>IF(A44="","",D44+E44+F44)</f>
        <v/>
      </c>
      <c r="H44" s="15">
        <f>IF(OR(A44="",Employees!M44&lt;&gt;"Y"),0,ROUND(MIN(D44,Setup!$B$6)*12%,0))</f>
        <v/>
      </c>
      <c r="I44" s="15">
        <f>IF(OR(A44="",Employees!N44&lt;&gt;"Y",N(Employees!L44)&gt;Setup!$B$7),0,ROUNDUP(G44*0.75%,0))</f>
        <v/>
      </c>
      <c r="J44" s="15">
        <f>IF(A44="","",N(Employees!O44))</f>
        <v/>
      </c>
      <c r="K44" s="25" t="n"/>
      <c r="L44" s="25" t="n"/>
      <c r="M44" s="15">
        <f>IF(A44="","",H44+I44+J44+N(K44)+N(L44))</f>
        <v/>
      </c>
      <c r="N44" s="29">
        <f>IF(A44="","",G44-M44)</f>
        <v/>
      </c>
      <c r="O44" s="15">
        <f>IF(OR(A44="",Employees!M44&lt;&gt;"Y"),0,ROUND(MIN(D44,Setup!$B$6)*12%,0))</f>
        <v/>
      </c>
      <c r="P44" s="15">
        <f>IF(OR(A44="",Employees!N44&lt;&gt;"Y",N(Employees!L44)&gt;Setup!$B$7),0,ROUNDUP(G44*3.25%,0))</f>
        <v/>
      </c>
      <c r="Q44" s="15">
        <f>IF(A44="","",G44+O44+P44)</f>
        <v/>
      </c>
    </row>
    <row r="45">
      <c r="A45">
        <f>IF(Employees!A45="","",Employees!A45)</f>
        <v/>
      </c>
      <c r="B45">
        <f>IF(A45="","",Employees!B45)</f>
        <v/>
      </c>
      <c r="C45">
        <f>IF(A45="","",Attendance!AM45)</f>
        <v/>
      </c>
      <c r="D45" s="15">
        <f>IF(A45="","",ROUND(N(Employees!I45)/Setup!$B$9*C45,0))</f>
        <v/>
      </c>
      <c r="E45" s="15">
        <f>IF(A45="","",ROUND(N(Employees!J45)/Setup!$B$9*C45,0))</f>
        <v/>
      </c>
      <c r="F45" s="15">
        <f>IF(A45="","",ROUND(N(Employees!K45)/Setup!$B$9*C45,0))</f>
        <v/>
      </c>
      <c r="G45" s="15">
        <f>IF(A45="","",D45+E45+F45)</f>
        <v/>
      </c>
      <c r="H45" s="15">
        <f>IF(OR(A45="",Employees!M45&lt;&gt;"Y"),0,ROUND(MIN(D45,Setup!$B$6)*12%,0))</f>
        <v/>
      </c>
      <c r="I45" s="15">
        <f>IF(OR(A45="",Employees!N45&lt;&gt;"Y",N(Employees!L45)&gt;Setup!$B$7),0,ROUNDUP(G45*0.75%,0))</f>
        <v/>
      </c>
      <c r="J45" s="15">
        <f>IF(A45="","",N(Employees!O45))</f>
        <v/>
      </c>
      <c r="K45" s="25" t="n"/>
      <c r="L45" s="25" t="n"/>
      <c r="M45" s="15">
        <f>IF(A45="","",H45+I45+J45+N(K45)+N(L45))</f>
        <v/>
      </c>
      <c r="N45" s="29">
        <f>IF(A45="","",G45-M45)</f>
        <v/>
      </c>
      <c r="O45" s="15">
        <f>IF(OR(A45="",Employees!M45&lt;&gt;"Y"),0,ROUND(MIN(D45,Setup!$B$6)*12%,0))</f>
        <v/>
      </c>
      <c r="P45" s="15">
        <f>IF(OR(A45="",Employees!N45&lt;&gt;"Y",N(Employees!L45)&gt;Setup!$B$7),0,ROUNDUP(G45*3.25%,0))</f>
        <v/>
      </c>
      <c r="Q45" s="15">
        <f>IF(A45="","",G45+O45+P45)</f>
        <v/>
      </c>
    </row>
    <row r="46">
      <c r="A46">
        <f>IF(Employees!A46="","",Employees!A46)</f>
        <v/>
      </c>
      <c r="B46">
        <f>IF(A46="","",Employees!B46)</f>
        <v/>
      </c>
      <c r="C46">
        <f>IF(A46="","",Attendance!AM46)</f>
        <v/>
      </c>
      <c r="D46" s="15">
        <f>IF(A46="","",ROUND(N(Employees!I46)/Setup!$B$9*C46,0))</f>
        <v/>
      </c>
      <c r="E46" s="15">
        <f>IF(A46="","",ROUND(N(Employees!J46)/Setup!$B$9*C46,0))</f>
        <v/>
      </c>
      <c r="F46" s="15">
        <f>IF(A46="","",ROUND(N(Employees!K46)/Setup!$B$9*C46,0))</f>
        <v/>
      </c>
      <c r="G46" s="15">
        <f>IF(A46="","",D46+E46+F46)</f>
        <v/>
      </c>
      <c r="H46" s="15">
        <f>IF(OR(A46="",Employees!M46&lt;&gt;"Y"),0,ROUND(MIN(D46,Setup!$B$6)*12%,0))</f>
        <v/>
      </c>
      <c r="I46" s="15">
        <f>IF(OR(A46="",Employees!N46&lt;&gt;"Y",N(Employees!L46)&gt;Setup!$B$7),0,ROUNDUP(G46*0.75%,0))</f>
        <v/>
      </c>
      <c r="J46" s="15">
        <f>IF(A46="","",N(Employees!O46))</f>
        <v/>
      </c>
      <c r="K46" s="25" t="n"/>
      <c r="L46" s="25" t="n"/>
      <c r="M46" s="15">
        <f>IF(A46="","",H46+I46+J46+N(K46)+N(L46))</f>
        <v/>
      </c>
      <c r="N46" s="29">
        <f>IF(A46="","",G46-M46)</f>
        <v/>
      </c>
      <c r="O46" s="15">
        <f>IF(OR(A46="",Employees!M46&lt;&gt;"Y"),0,ROUND(MIN(D46,Setup!$B$6)*12%,0))</f>
        <v/>
      </c>
      <c r="P46" s="15">
        <f>IF(OR(A46="",Employees!N46&lt;&gt;"Y",N(Employees!L46)&gt;Setup!$B$7),0,ROUNDUP(G46*3.25%,0))</f>
        <v/>
      </c>
      <c r="Q46" s="15">
        <f>IF(A46="","",G46+O46+P46)</f>
        <v/>
      </c>
    </row>
    <row r="47">
      <c r="A47">
        <f>IF(Employees!A47="","",Employees!A47)</f>
        <v/>
      </c>
      <c r="B47">
        <f>IF(A47="","",Employees!B47)</f>
        <v/>
      </c>
      <c r="C47">
        <f>IF(A47="","",Attendance!AM47)</f>
        <v/>
      </c>
      <c r="D47" s="15">
        <f>IF(A47="","",ROUND(N(Employees!I47)/Setup!$B$9*C47,0))</f>
        <v/>
      </c>
      <c r="E47" s="15">
        <f>IF(A47="","",ROUND(N(Employees!J47)/Setup!$B$9*C47,0))</f>
        <v/>
      </c>
      <c r="F47" s="15">
        <f>IF(A47="","",ROUND(N(Employees!K47)/Setup!$B$9*C47,0))</f>
        <v/>
      </c>
      <c r="G47" s="15">
        <f>IF(A47="","",D47+E47+F47)</f>
        <v/>
      </c>
      <c r="H47" s="15">
        <f>IF(OR(A47="",Employees!M47&lt;&gt;"Y"),0,ROUND(MIN(D47,Setup!$B$6)*12%,0))</f>
        <v/>
      </c>
      <c r="I47" s="15">
        <f>IF(OR(A47="",Employees!N47&lt;&gt;"Y",N(Employees!L47)&gt;Setup!$B$7),0,ROUNDUP(G47*0.75%,0))</f>
        <v/>
      </c>
      <c r="J47" s="15">
        <f>IF(A47="","",N(Employees!O47))</f>
        <v/>
      </c>
      <c r="K47" s="25" t="n"/>
      <c r="L47" s="25" t="n"/>
      <c r="M47" s="15">
        <f>IF(A47="","",H47+I47+J47+N(K47)+N(L47))</f>
        <v/>
      </c>
      <c r="N47" s="29">
        <f>IF(A47="","",G47-M47)</f>
        <v/>
      </c>
      <c r="O47" s="15">
        <f>IF(OR(A47="",Employees!M47&lt;&gt;"Y"),0,ROUND(MIN(D47,Setup!$B$6)*12%,0))</f>
        <v/>
      </c>
      <c r="P47" s="15">
        <f>IF(OR(A47="",Employees!N47&lt;&gt;"Y",N(Employees!L47)&gt;Setup!$B$7),0,ROUNDUP(G47*3.25%,0))</f>
        <v/>
      </c>
      <c r="Q47" s="15">
        <f>IF(A47="","",G47+O47+P47)</f>
        <v/>
      </c>
    </row>
    <row r="48">
      <c r="A48">
        <f>IF(Employees!A48="","",Employees!A48)</f>
        <v/>
      </c>
      <c r="B48">
        <f>IF(A48="","",Employees!B48)</f>
        <v/>
      </c>
      <c r="C48">
        <f>IF(A48="","",Attendance!AM48)</f>
        <v/>
      </c>
      <c r="D48" s="15">
        <f>IF(A48="","",ROUND(N(Employees!I48)/Setup!$B$9*C48,0))</f>
        <v/>
      </c>
      <c r="E48" s="15">
        <f>IF(A48="","",ROUND(N(Employees!J48)/Setup!$B$9*C48,0))</f>
        <v/>
      </c>
      <c r="F48" s="15">
        <f>IF(A48="","",ROUND(N(Employees!K48)/Setup!$B$9*C48,0))</f>
        <v/>
      </c>
      <c r="G48" s="15">
        <f>IF(A48="","",D48+E48+F48)</f>
        <v/>
      </c>
      <c r="H48" s="15">
        <f>IF(OR(A48="",Employees!M48&lt;&gt;"Y"),0,ROUND(MIN(D48,Setup!$B$6)*12%,0))</f>
        <v/>
      </c>
      <c r="I48" s="15">
        <f>IF(OR(A48="",Employees!N48&lt;&gt;"Y",N(Employees!L48)&gt;Setup!$B$7),0,ROUNDUP(G48*0.75%,0))</f>
        <v/>
      </c>
      <c r="J48" s="15">
        <f>IF(A48="","",N(Employees!O48))</f>
        <v/>
      </c>
      <c r="K48" s="25" t="n"/>
      <c r="L48" s="25" t="n"/>
      <c r="M48" s="15">
        <f>IF(A48="","",H48+I48+J48+N(K48)+N(L48))</f>
        <v/>
      </c>
      <c r="N48" s="29">
        <f>IF(A48="","",G48-M48)</f>
        <v/>
      </c>
      <c r="O48" s="15">
        <f>IF(OR(A48="",Employees!M48&lt;&gt;"Y"),0,ROUND(MIN(D48,Setup!$B$6)*12%,0))</f>
        <v/>
      </c>
      <c r="P48" s="15">
        <f>IF(OR(A48="",Employees!N48&lt;&gt;"Y",N(Employees!L48)&gt;Setup!$B$7),0,ROUNDUP(G48*3.25%,0))</f>
        <v/>
      </c>
      <c r="Q48" s="15">
        <f>IF(A48="","",G48+O48+P48)</f>
        <v/>
      </c>
    </row>
    <row r="49">
      <c r="A49">
        <f>IF(Employees!A49="","",Employees!A49)</f>
        <v/>
      </c>
      <c r="B49">
        <f>IF(A49="","",Employees!B49)</f>
        <v/>
      </c>
      <c r="C49">
        <f>IF(A49="","",Attendance!AM49)</f>
        <v/>
      </c>
      <c r="D49" s="15">
        <f>IF(A49="","",ROUND(N(Employees!I49)/Setup!$B$9*C49,0))</f>
        <v/>
      </c>
      <c r="E49" s="15">
        <f>IF(A49="","",ROUND(N(Employees!J49)/Setup!$B$9*C49,0))</f>
        <v/>
      </c>
      <c r="F49" s="15">
        <f>IF(A49="","",ROUND(N(Employees!K49)/Setup!$B$9*C49,0))</f>
        <v/>
      </c>
      <c r="G49" s="15">
        <f>IF(A49="","",D49+E49+F49)</f>
        <v/>
      </c>
      <c r="H49" s="15">
        <f>IF(OR(A49="",Employees!M49&lt;&gt;"Y"),0,ROUND(MIN(D49,Setup!$B$6)*12%,0))</f>
        <v/>
      </c>
      <c r="I49" s="15">
        <f>IF(OR(A49="",Employees!N49&lt;&gt;"Y",N(Employees!L49)&gt;Setup!$B$7),0,ROUNDUP(G49*0.75%,0))</f>
        <v/>
      </c>
      <c r="J49" s="15">
        <f>IF(A49="","",N(Employees!O49))</f>
        <v/>
      </c>
      <c r="K49" s="25" t="n"/>
      <c r="L49" s="25" t="n"/>
      <c r="M49" s="15">
        <f>IF(A49="","",H49+I49+J49+N(K49)+N(L49))</f>
        <v/>
      </c>
      <c r="N49" s="29">
        <f>IF(A49="","",G49-M49)</f>
        <v/>
      </c>
      <c r="O49" s="15">
        <f>IF(OR(A49="",Employees!M49&lt;&gt;"Y"),0,ROUND(MIN(D49,Setup!$B$6)*12%,0))</f>
        <v/>
      </c>
      <c r="P49" s="15">
        <f>IF(OR(A49="",Employees!N49&lt;&gt;"Y",N(Employees!L49)&gt;Setup!$B$7),0,ROUNDUP(G49*3.25%,0))</f>
        <v/>
      </c>
      <c r="Q49" s="15">
        <f>IF(A49="","",G49+O49+P49)</f>
        <v/>
      </c>
    </row>
    <row r="50">
      <c r="A50">
        <f>IF(Employees!A50="","",Employees!A50)</f>
        <v/>
      </c>
      <c r="B50">
        <f>IF(A50="","",Employees!B50)</f>
        <v/>
      </c>
      <c r="C50">
        <f>IF(A50="","",Attendance!AM50)</f>
        <v/>
      </c>
      <c r="D50" s="15">
        <f>IF(A50="","",ROUND(N(Employees!I50)/Setup!$B$9*C50,0))</f>
        <v/>
      </c>
      <c r="E50" s="15">
        <f>IF(A50="","",ROUND(N(Employees!J50)/Setup!$B$9*C50,0))</f>
        <v/>
      </c>
      <c r="F50" s="15">
        <f>IF(A50="","",ROUND(N(Employees!K50)/Setup!$B$9*C50,0))</f>
        <v/>
      </c>
      <c r="G50" s="15">
        <f>IF(A50="","",D50+E50+F50)</f>
        <v/>
      </c>
      <c r="H50" s="15">
        <f>IF(OR(A50="",Employees!M50&lt;&gt;"Y"),0,ROUND(MIN(D50,Setup!$B$6)*12%,0))</f>
        <v/>
      </c>
      <c r="I50" s="15">
        <f>IF(OR(A50="",Employees!N50&lt;&gt;"Y",N(Employees!L50)&gt;Setup!$B$7),0,ROUNDUP(G50*0.75%,0))</f>
        <v/>
      </c>
      <c r="J50" s="15">
        <f>IF(A50="","",N(Employees!O50))</f>
        <v/>
      </c>
      <c r="K50" s="25" t="n"/>
      <c r="L50" s="25" t="n"/>
      <c r="M50" s="15">
        <f>IF(A50="","",H50+I50+J50+N(K50)+N(L50))</f>
        <v/>
      </c>
      <c r="N50" s="29">
        <f>IF(A50="","",G50-M50)</f>
        <v/>
      </c>
      <c r="O50" s="15">
        <f>IF(OR(A50="",Employees!M50&lt;&gt;"Y"),0,ROUND(MIN(D50,Setup!$B$6)*12%,0))</f>
        <v/>
      </c>
      <c r="P50" s="15">
        <f>IF(OR(A50="",Employees!N50&lt;&gt;"Y",N(Employees!L50)&gt;Setup!$B$7),0,ROUNDUP(G50*3.25%,0))</f>
        <v/>
      </c>
      <c r="Q50" s="15">
        <f>IF(A50="","",G50+O50+P50)</f>
        <v/>
      </c>
    </row>
    <row r="51">
      <c r="A51">
        <f>IF(Employees!A51="","",Employees!A51)</f>
        <v/>
      </c>
      <c r="B51">
        <f>IF(A51="","",Employees!B51)</f>
        <v/>
      </c>
      <c r="C51">
        <f>IF(A51="","",Attendance!AM51)</f>
        <v/>
      </c>
      <c r="D51" s="15">
        <f>IF(A51="","",ROUND(N(Employees!I51)/Setup!$B$9*C51,0))</f>
        <v/>
      </c>
      <c r="E51" s="15">
        <f>IF(A51="","",ROUND(N(Employees!J51)/Setup!$B$9*C51,0))</f>
        <v/>
      </c>
      <c r="F51" s="15">
        <f>IF(A51="","",ROUND(N(Employees!K51)/Setup!$B$9*C51,0))</f>
        <v/>
      </c>
      <c r="G51" s="15">
        <f>IF(A51="","",D51+E51+F51)</f>
        <v/>
      </c>
      <c r="H51" s="15">
        <f>IF(OR(A51="",Employees!M51&lt;&gt;"Y"),0,ROUND(MIN(D51,Setup!$B$6)*12%,0))</f>
        <v/>
      </c>
      <c r="I51" s="15">
        <f>IF(OR(A51="",Employees!N51&lt;&gt;"Y",N(Employees!L51)&gt;Setup!$B$7),0,ROUNDUP(G51*0.75%,0))</f>
        <v/>
      </c>
      <c r="J51" s="15">
        <f>IF(A51="","",N(Employees!O51))</f>
        <v/>
      </c>
      <c r="K51" s="25" t="n"/>
      <c r="L51" s="25" t="n"/>
      <c r="M51" s="15">
        <f>IF(A51="","",H51+I51+J51+N(K51)+N(L51))</f>
        <v/>
      </c>
      <c r="N51" s="29">
        <f>IF(A51="","",G51-M51)</f>
        <v/>
      </c>
      <c r="O51" s="15">
        <f>IF(OR(A51="",Employees!M51&lt;&gt;"Y"),0,ROUND(MIN(D51,Setup!$B$6)*12%,0))</f>
        <v/>
      </c>
      <c r="P51" s="15">
        <f>IF(OR(A51="",Employees!N51&lt;&gt;"Y",N(Employees!L51)&gt;Setup!$B$7),0,ROUNDUP(G51*3.25%,0))</f>
        <v/>
      </c>
      <c r="Q51" s="15">
        <f>IF(A51="","",G51+O51+P51)</f>
        <v/>
      </c>
    </row>
    <row r="52">
      <c r="A52">
        <f>IF(Employees!A52="","",Employees!A52)</f>
        <v/>
      </c>
      <c r="B52">
        <f>IF(A52="","",Employees!B52)</f>
        <v/>
      </c>
      <c r="C52">
        <f>IF(A52="","",Attendance!AM52)</f>
        <v/>
      </c>
      <c r="D52" s="15">
        <f>IF(A52="","",ROUND(N(Employees!I52)/Setup!$B$9*C52,0))</f>
        <v/>
      </c>
      <c r="E52" s="15">
        <f>IF(A52="","",ROUND(N(Employees!J52)/Setup!$B$9*C52,0))</f>
        <v/>
      </c>
      <c r="F52" s="15">
        <f>IF(A52="","",ROUND(N(Employees!K52)/Setup!$B$9*C52,0))</f>
        <v/>
      </c>
      <c r="G52" s="15">
        <f>IF(A52="","",D52+E52+F52)</f>
        <v/>
      </c>
      <c r="H52" s="15">
        <f>IF(OR(A52="",Employees!M52&lt;&gt;"Y"),0,ROUND(MIN(D52,Setup!$B$6)*12%,0))</f>
        <v/>
      </c>
      <c r="I52" s="15">
        <f>IF(OR(A52="",Employees!N52&lt;&gt;"Y",N(Employees!L52)&gt;Setup!$B$7),0,ROUNDUP(G52*0.75%,0))</f>
        <v/>
      </c>
      <c r="J52" s="15">
        <f>IF(A52="","",N(Employees!O52))</f>
        <v/>
      </c>
      <c r="K52" s="25" t="n"/>
      <c r="L52" s="25" t="n"/>
      <c r="M52" s="15">
        <f>IF(A52="","",H52+I52+J52+N(K52)+N(L52))</f>
        <v/>
      </c>
      <c r="N52" s="29">
        <f>IF(A52="","",G52-M52)</f>
        <v/>
      </c>
      <c r="O52" s="15">
        <f>IF(OR(A52="",Employees!M52&lt;&gt;"Y"),0,ROUND(MIN(D52,Setup!$B$6)*12%,0))</f>
        <v/>
      </c>
      <c r="P52" s="15">
        <f>IF(OR(A52="",Employees!N52&lt;&gt;"Y",N(Employees!L52)&gt;Setup!$B$7),0,ROUNDUP(G52*3.25%,0))</f>
        <v/>
      </c>
      <c r="Q52" s="15">
        <f>IF(A52="","",G52+O52+P52)</f>
        <v/>
      </c>
    </row>
    <row r="53">
      <c r="A53">
        <f>IF(Employees!A53="","",Employees!A53)</f>
        <v/>
      </c>
      <c r="B53">
        <f>IF(A53="","",Employees!B53)</f>
        <v/>
      </c>
      <c r="C53">
        <f>IF(A53="","",Attendance!AM53)</f>
        <v/>
      </c>
      <c r="D53" s="15">
        <f>IF(A53="","",ROUND(N(Employees!I53)/Setup!$B$9*C53,0))</f>
        <v/>
      </c>
      <c r="E53" s="15">
        <f>IF(A53="","",ROUND(N(Employees!J53)/Setup!$B$9*C53,0))</f>
        <v/>
      </c>
      <c r="F53" s="15">
        <f>IF(A53="","",ROUND(N(Employees!K53)/Setup!$B$9*C53,0))</f>
        <v/>
      </c>
      <c r="G53" s="15">
        <f>IF(A53="","",D53+E53+F53)</f>
        <v/>
      </c>
      <c r="H53" s="15">
        <f>IF(OR(A53="",Employees!M53&lt;&gt;"Y"),0,ROUND(MIN(D53,Setup!$B$6)*12%,0))</f>
        <v/>
      </c>
      <c r="I53" s="15">
        <f>IF(OR(A53="",Employees!N53&lt;&gt;"Y",N(Employees!L53)&gt;Setup!$B$7),0,ROUNDUP(G53*0.75%,0))</f>
        <v/>
      </c>
      <c r="J53" s="15">
        <f>IF(A53="","",N(Employees!O53))</f>
        <v/>
      </c>
      <c r="K53" s="25" t="n"/>
      <c r="L53" s="25" t="n"/>
      <c r="M53" s="15">
        <f>IF(A53="","",H53+I53+J53+N(K53)+N(L53))</f>
        <v/>
      </c>
      <c r="N53" s="29">
        <f>IF(A53="","",G53-M53)</f>
        <v/>
      </c>
      <c r="O53" s="15">
        <f>IF(OR(A53="",Employees!M53&lt;&gt;"Y"),0,ROUND(MIN(D53,Setup!$B$6)*12%,0))</f>
        <v/>
      </c>
      <c r="P53" s="15">
        <f>IF(OR(A53="",Employees!N53&lt;&gt;"Y",N(Employees!L53)&gt;Setup!$B$7),0,ROUNDUP(G53*3.25%,0))</f>
        <v/>
      </c>
      <c r="Q53" s="15">
        <f>IF(A53="","",G53+O53+P53)</f>
        <v/>
      </c>
    </row>
    <row r="54">
      <c r="A54">
        <f>IF(Employees!A54="","",Employees!A54)</f>
        <v/>
      </c>
      <c r="B54">
        <f>IF(A54="","",Employees!B54)</f>
        <v/>
      </c>
      <c r="C54">
        <f>IF(A54="","",Attendance!AM54)</f>
        <v/>
      </c>
      <c r="D54" s="15">
        <f>IF(A54="","",ROUND(N(Employees!I54)/Setup!$B$9*C54,0))</f>
        <v/>
      </c>
      <c r="E54" s="15">
        <f>IF(A54="","",ROUND(N(Employees!J54)/Setup!$B$9*C54,0))</f>
        <v/>
      </c>
      <c r="F54" s="15">
        <f>IF(A54="","",ROUND(N(Employees!K54)/Setup!$B$9*C54,0))</f>
        <v/>
      </c>
      <c r="G54" s="15">
        <f>IF(A54="","",D54+E54+F54)</f>
        <v/>
      </c>
      <c r="H54" s="15">
        <f>IF(OR(A54="",Employees!M54&lt;&gt;"Y"),0,ROUND(MIN(D54,Setup!$B$6)*12%,0))</f>
        <v/>
      </c>
      <c r="I54" s="15">
        <f>IF(OR(A54="",Employees!N54&lt;&gt;"Y",N(Employees!L54)&gt;Setup!$B$7),0,ROUNDUP(G54*0.75%,0))</f>
        <v/>
      </c>
      <c r="J54" s="15">
        <f>IF(A54="","",N(Employees!O54))</f>
        <v/>
      </c>
      <c r="K54" s="25" t="n"/>
      <c r="L54" s="25" t="n"/>
      <c r="M54" s="15">
        <f>IF(A54="","",H54+I54+J54+N(K54)+N(L54))</f>
        <v/>
      </c>
      <c r="N54" s="29">
        <f>IF(A54="","",G54-M54)</f>
        <v/>
      </c>
      <c r="O54" s="15">
        <f>IF(OR(A54="",Employees!M54&lt;&gt;"Y"),0,ROUND(MIN(D54,Setup!$B$6)*12%,0))</f>
        <v/>
      </c>
      <c r="P54" s="15">
        <f>IF(OR(A54="",Employees!N54&lt;&gt;"Y",N(Employees!L54)&gt;Setup!$B$7),0,ROUNDUP(G54*3.25%,0))</f>
        <v/>
      </c>
      <c r="Q54" s="15">
        <f>IF(A54="","",G54+O54+P54)</f>
        <v/>
      </c>
    </row>
    <row r="55">
      <c r="B55" s="11" t="inlineStr">
        <is>
          <t>TOTAL</t>
        </is>
      </c>
      <c r="D55" s="17">
        <f>SUM(D5:D54)</f>
        <v/>
      </c>
      <c r="E55" s="17">
        <f>SUM(E5:E54)</f>
        <v/>
      </c>
      <c r="F55" s="17">
        <f>SUM(F5:F54)</f>
        <v/>
      </c>
      <c r="G55" s="17">
        <f>SUM(G5:G54)</f>
        <v/>
      </c>
      <c r="H55" s="17">
        <f>SUM(H5:H54)</f>
        <v/>
      </c>
      <c r="I55" s="17">
        <f>SUM(I5:I54)</f>
        <v/>
      </c>
      <c r="J55" s="17">
        <f>SUM(J5:J54)</f>
        <v/>
      </c>
      <c r="K55" s="17">
        <f>SUM(K5:K54)</f>
        <v/>
      </c>
      <c r="L55" s="17">
        <f>SUM(L5:L54)</f>
        <v/>
      </c>
      <c r="M55" s="17">
        <f>SUM(M5:M54)</f>
        <v/>
      </c>
      <c r="N55" s="17">
        <f>SUM(N5:N54)</f>
        <v/>
      </c>
      <c r="O55" s="17">
        <f>SUM(O5:O54)</f>
        <v/>
      </c>
      <c r="P55" s="17">
        <f>SUM(P5:P54)</f>
        <v/>
      </c>
      <c r="Q55" s="17">
        <f>SUM(Q5:Q54)</f>
        <v/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2026-10-02T19:30:33Z</dcterms:created>
  <dcterms:modified xmlns:dcterms="http://purl.org/dc/terms/" xmlns:xsi="http://www.w3.org/2001/XMLSchema-instance" xsi:type="dcterms:W3CDTF">2026-10-02T19:30:33Z</dcterms:modified>
</cp:coreProperties>
</file>