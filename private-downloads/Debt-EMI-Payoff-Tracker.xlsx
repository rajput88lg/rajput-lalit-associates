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My Loans" sheetId="3" state="visible" r:id="rId3"/>
    <sheet xmlns:r="http://schemas.openxmlformats.org/officeDocument/2006/relationships" name="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m yyyy"/>
    <numFmt numFmtId="165" formatCode="mmm yyyy"/>
  </numFmts>
  <fonts count="14">
    <font>
      <name val="Calibri"/>
      <family val="2"/>
      <color theme="1"/>
      <sz val="11"/>
      <scheme val="minor"/>
    </font>
    <font>
      <b val="1"/>
      <color rgb="00002B5C"/>
      <sz val="18"/>
    </font>
    <font>
      <b val="1"/>
      <color rgb="00D99A2B"/>
      <sz val="10"/>
    </font>
    <font>
      <b val="1"/>
      <color rgb="00002B5C"/>
      <sz val="13"/>
    </font>
    <font>
      <b val="1"/>
      <color rgb="00D99A2B"/>
    </font>
    <font>
      <color rgb="006B7280"/>
      <sz val="9"/>
    </font>
    <font>
      <b val="1"/>
      <color rgb="00002B5C"/>
      <sz val="16"/>
    </font>
    <font>
      <i val="1"/>
      <color rgb="006B7280"/>
      <sz val="10"/>
    </font>
    <font>
      <b val="1"/>
      <color rgb="00FFFFFF"/>
    </font>
    <font>
      <b val="1"/>
    </font>
    <font>
      <i val="1"/>
      <color rgb="00B42318"/>
    </font>
    <font>
      <i val="1"/>
      <color rgb="006B7280"/>
    </font>
    <font>
      <b val="1"/>
      <color rgb="00002B5C"/>
      <sz val="12"/>
    </font>
    <font>
      <b val="1"/>
      <color rgb="00D99A2B"/>
      <sz val="9"/>
    </font>
  </fonts>
  <fills count="5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002B5C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4" fontId="12" fillId="4" borderId="1" pivotButton="0" quotePrefix="0" xfId="0"/>
    <xf numFmtId="1" fontId="12" fillId="4" borderId="1" pivotButton="0" quotePrefix="0" xfId="0"/>
    <xf numFmtId="164" fontId="12" fillId="4" borderId="1" pivotButton="0" quotePrefix="0" xfId="0"/>
    <xf numFmtId="0" fontId="8" fillId="3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13" fillId="0" borderId="0" pivotButton="0" quotePrefix="0" xfId="0"/>
    <xf numFmtId="0" fontId="0" fillId="2" borderId="1" pivotButton="0" quotePrefix="0" xfId="0"/>
    <xf numFmtId="4" fontId="0" fillId="2" borderId="1" pivotButton="0" quotePrefix="0" xfId="0"/>
    <xf numFmtId="4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8" fillId="3" borderId="0" applyAlignment="1" pivotButton="0" quotePrefix="0" xfId="0">
      <alignment wrapText="1"/>
    </xf>
    <xf numFmtId="17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DE2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debt going down</a:t>
            </a:r>
          </a:p>
        </rich>
      </tx>
    </title>
    <plotArea>
      <lineChart>
        <grouping val="standard"/>
        <ser>
          <idx val="0"/>
          <order val="0"/>
          <tx>
            <strRef>
              <f>'Schedule'!BB4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'Schedule'!$B$5:$B$124</f>
            </numRef>
          </cat>
          <val>
            <numRef>
              <f>'Schedule'!$BB$5:$BB$124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B1" s="1" t="inlineStr">
        <is>
          <t>Debt &amp; EMI Payoff Tracker — Snowball / Avalanche</t>
        </is>
      </c>
    </row>
    <row r="2">
      <c r="B2" s="2" t="inlineStr">
        <is>
          <t>Rajput Lalit &amp; Associates · www.rajputlalitassociates.in · WhatsApp +91 93549 53603</t>
        </is>
      </c>
    </row>
    <row r="4">
      <c r="B4" s="3" t="inlineStr">
        <is>
          <t>Steps</t>
        </is>
      </c>
    </row>
    <row r="5">
      <c r="A5" s="4" t="n">
        <v>1</v>
      </c>
      <c r="B5" s="5" t="inlineStr">
        <is>
          <t>In 'My Loans' list every loan and card: amount outstanding today, yearly interest rate and the EMI / minimum payment.</t>
        </is>
      </c>
    </row>
    <row r="6">
      <c r="A6" s="4" t="n">
        <v>2</v>
      </c>
      <c r="B6" s="5" t="inlineStr">
        <is>
          <t>Choose a method: Snowball pays off the smallest balance first (quick wins); Avalanche pays the highest interest first (saves the most money).</t>
        </is>
      </c>
    </row>
    <row r="7">
      <c r="A7" s="4" t="n">
        <v>3</v>
      </c>
      <c r="B7" s="5" t="inlineStr">
        <is>
          <t>Enter the extra amount you can pay every month on top of all EMIs — even ₹1,000 makes a difference.</t>
        </is>
      </c>
    </row>
    <row r="8">
      <c r="A8" s="4" t="n">
        <v>4</v>
      </c>
      <c r="B8" s="5" t="inlineStr">
        <is>
          <t>'Dashboard' shows your debt-free date, total interest, and the month each loan closes. 'Schedule' shows every month and the chart shows your total debt going down.</t>
        </is>
      </c>
    </row>
    <row r="9">
      <c r="A9" s="4" t="n">
        <v>5</v>
      </c>
      <c r="B9" s="5" t="inlineStr">
        <is>
          <t>When a loan closes, its EMI automatically moves to the next loan in the order — that is what makes the method powerful.</t>
        </is>
      </c>
    </row>
    <row r="11">
      <c r="B11" s="3" t="inlineStr">
        <is>
          <t>Good to know</t>
        </is>
      </c>
    </row>
    <row r="12">
      <c r="B12" s="5" t="inlineStr">
        <is>
          <t>• Before prepaying a home or other loan, check prepayment charges with your bank.</t>
        </is>
      </c>
    </row>
    <row r="13">
      <c r="B13" s="5" t="inlineStr">
        <is>
          <t>• Interest is worked out monthly on the reducing balance — the usual method for EMIs and cards.</t>
        </is>
      </c>
    </row>
    <row r="14">
      <c r="B14" s="5" t="inlineStr">
        <is>
          <t>• If the minimum payment is less than the monthly interest, that loan never closes — the sheet warns you.</t>
        </is>
      </c>
    </row>
    <row r="16">
      <c r="B16" s="6" t="inlineStr">
        <is>
          <t>Cells shaded light yellow are for your entries. White cells contain formulas — please don't type over them.</t>
        </is>
      </c>
    </row>
    <row r="18">
      <c r="B18" s="7" t="inlineStr">
        <is>
          <t>Licensed for use in your own business. Please do not resell or share publicly. This template is a working aid, not professional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50" customWidth="1" min="3" max="3"/>
  </cols>
  <sheetData>
    <row r="1">
      <c r="A1" s="8" t="inlineStr">
        <is>
          <t>Dashboard</t>
        </is>
      </c>
    </row>
    <row r="2">
      <c r="A2" s="9" t="inlineStr">
        <is>
          <t>Updates as you change 'My Loans'</t>
        </is>
      </c>
    </row>
    <row r="4" ht="22" customHeight="1">
      <c r="A4" s="10" t="inlineStr">
        <is>
          <t>Total debt today</t>
        </is>
      </c>
      <c r="B4" s="11">
        <f>SUM('My Loans'!C6:C15)</f>
        <v/>
      </c>
    </row>
    <row r="5" ht="22" customHeight="1">
      <c r="A5" s="10" t="inlineStr">
        <is>
          <t>Paying every month (EMIs + extra)</t>
        </is>
      </c>
      <c r="B5" s="11">
        <f>(SUM('My Loans'!$E$6:$E$15)+'My Loans'!$D$3)</f>
        <v/>
      </c>
    </row>
    <row r="6" ht="22" customHeight="1">
      <c r="A6" s="10" t="inlineStr">
        <is>
          <t>Months to become debt-free</t>
        </is>
      </c>
      <c r="B6" s="12">
        <f>IF(Schedule!BB364&gt;0.5,"More than 30 years — increase payments",COUNTIF(Schedule!BB5:BB364,"&gt;0.5")+1)</f>
        <v/>
      </c>
    </row>
    <row r="7" ht="22" customHeight="1">
      <c r="A7" s="10" t="inlineStr">
        <is>
          <t>Debt-free by</t>
        </is>
      </c>
      <c r="B7" s="13">
        <f>IF(ISNUMBER(B6),EOMONTH(TODAY(),B6-1),"—")</f>
        <v/>
      </c>
    </row>
    <row r="8" ht="22" customHeight="1">
      <c r="A8" s="10" t="inlineStr">
        <is>
          <t>Total interest you will pay</t>
        </is>
      </c>
      <c r="B8" s="11">
        <f>SUM(Schedule!N5:W364)-SUM(Schedule!D5:M364)</f>
        <v/>
      </c>
    </row>
    <row r="10" ht="32" customHeight="1">
      <c r="A10" s="14" t="inlineStr">
        <is>
          <t>Loan</t>
        </is>
      </c>
      <c r="B10" s="14" t="inlineStr">
        <is>
          <t>Order</t>
        </is>
      </c>
      <c r="C10" s="14" t="inlineStr">
        <is>
          <t>Closes in month #</t>
        </is>
      </c>
      <c r="D10" s="14" t="inlineStr">
        <is>
          <t>Closes by</t>
        </is>
      </c>
    </row>
    <row r="11">
      <c r="A11">
        <f>IF(N('My Loans'!C6)&lt;=0,"",'My Loans'!B6)</f>
        <v/>
      </c>
      <c r="B11">
        <f>IF(A11="","",Schedule!D3)</f>
        <v/>
      </c>
      <c r="C11">
        <f>IF(A11="","",IF(Schedule!AR364&gt;0.5,"Never — EMI too low",COUNTIF(Schedule!AR5:AR364,"&gt;0.5")+1))</f>
        <v/>
      </c>
      <c r="D11" s="15">
        <f>IF(ISNUMBER(C11),EOMONTH(TODAY(),C11-1),"")</f>
        <v/>
      </c>
    </row>
    <row r="12">
      <c r="A12">
        <f>IF(N('My Loans'!C7)&lt;=0,"",'My Loans'!B7)</f>
        <v/>
      </c>
      <c r="B12">
        <f>IF(A12="","",Schedule!E3)</f>
        <v/>
      </c>
      <c r="C12">
        <f>IF(A12="","",IF(Schedule!AS364&gt;0.5,"Never — EMI too low",COUNTIF(Schedule!AS5:AS364,"&gt;0.5")+1))</f>
        <v/>
      </c>
      <c r="D12" s="15">
        <f>IF(ISNUMBER(C12),EOMONTH(TODAY(),C12-1),"")</f>
        <v/>
      </c>
    </row>
    <row r="13">
      <c r="A13">
        <f>IF(N('My Loans'!C8)&lt;=0,"",'My Loans'!B8)</f>
        <v/>
      </c>
      <c r="B13">
        <f>IF(A13="","",Schedule!F3)</f>
        <v/>
      </c>
      <c r="C13">
        <f>IF(A13="","",IF(Schedule!AT364&gt;0.5,"Never — EMI too low",COUNTIF(Schedule!AT5:AT364,"&gt;0.5")+1))</f>
        <v/>
      </c>
      <c r="D13" s="15">
        <f>IF(ISNUMBER(C13),EOMONTH(TODAY(),C13-1),"")</f>
        <v/>
      </c>
    </row>
    <row r="14">
      <c r="A14">
        <f>IF(N('My Loans'!C9)&lt;=0,"",'My Loans'!B9)</f>
        <v/>
      </c>
      <c r="B14">
        <f>IF(A14="","",Schedule!G3)</f>
        <v/>
      </c>
      <c r="C14">
        <f>IF(A14="","",IF(Schedule!AU364&gt;0.5,"Never — EMI too low",COUNTIF(Schedule!AU5:AU364,"&gt;0.5")+1))</f>
        <v/>
      </c>
      <c r="D14" s="15">
        <f>IF(ISNUMBER(C14),EOMONTH(TODAY(),C14-1),"")</f>
        <v/>
      </c>
    </row>
    <row r="15">
      <c r="A15">
        <f>IF(N('My Loans'!C10)&lt;=0,"",'My Loans'!B10)</f>
        <v/>
      </c>
      <c r="B15">
        <f>IF(A15="","",Schedule!H3)</f>
        <v/>
      </c>
      <c r="C15">
        <f>IF(A15="","",IF(Schedule!AV364&gt;0.5,"Never — EMI too low",COUNTIF(Schedule!AV5:AV364,"&gt;0.5")+1))</f>
        <v/>
      </c>
      <c r="D15" s="15">
        <f>IF(ISNUMBER(C15),EOMONTH(TODAY(),C15-1),"")</f>
        <v/>
      </c>
    </row>
    <row r="16">
      <c r="A16">
        <f>IF(N('My Loans'!C11)&lt;=0,"",'My Loans'!B11)</f>
        <v/>
      </c>
      <c r="B16">
        <f>IF(A16="","",Schedule!I3)</f>
        <v/>
      </c>
      <c r="C16">
        <f>IF(A16="","",IF(Schedule!AW364&gt;0.5,"Never — EMI too low",COUNTIF(Schedule!AW5:AW364,"&gt;0.5")+1))</f>
        <v/>
      </c>
      <c r="D16" s="15">
        <f>IF(ISNUMBER(C16),EOMONTH(TODAY(),C16-1),"")</f>
        <v/>
      </c>
    </row>
    <row r="17">
      <c r="A17">
        <f>IF(N('My Loans'!C12)&lt;=0,"",'My Loans'!B12)</f>
        <v/>
      </c>
      <c r="B17">
        <f>IF(A17="","",Schedule!J3)</f>
        <v/>
      </c>
      <c r="C17">
        <f>IF(A17="","",IF(Schedule!AX364&gt;0.5,"Never — EMI too low",COUNTIF(Schedule!AX5:AX364,"&gt;0.5")+1))</f>
        <v/>
      </c>
      <c r="D17" s="15">
        <f>IF(ISNUMBER(C17),EOMONTH(TODAY(),C17-1),"")</f>
        <v/>
      </c>
    </row>
    <row r="18">
      <c r="A18">
        <f>IF(N('My Loans'!C13)&lt;=0,"",'My Loans'!B13)</f>
        <v/>
      </c>
      <c r="B18">
        <f>IF(A18="","",Schedule!K3)</f>
        <v/>
      </c>
      <c r="C18">
        <f>IF(A18="","",IF(Schedule!AY364&gt;0.5,"Never — EMI too low",COUNTIF(Schedule!AY5:AY364,"&gt;0.5")+1))</f>
        <v/>
      </c>
      <c r="D18" s="15">
        <f>IF(ISNUMBER(C18),EOMONTH(TODAY(),C18-1),"")</f>
        <v/>
      </c>
    </row>
    <row r="19">
      <c r="A19">
        <f>IF(N('My Loans'!C14)&lt;=0,"",'My Loans'!B14)</f>
        <v/>
      </c>
      <c r="B19">
        <f>IF(A19="","",Schedule!L3)</f>
        <v/>
      </c>
      <c r="C19">
        <f>IF(A19="","",IF(Schedule!AZ364&gt;0.5,"Never — EMI too low",COUNTIF(Schedule!AZ5:AZ364,"&gt;0.5")+1))</f>
        <v/>
      </c>
      <c r="D19" s="15">
        <f>IF(ISNUMBER(C19),EOMONTH(TODAY(),C19-1),"")</f>
        <v/>
      </c>
    </row>
    <row r="20">
      <c r="A20">
        <f>IF(N('My Loans'!C15)&lt;=0,"",'My Loans'!B15)</f>
        <v/>
      </c>
      <c r="B20">
        <f>IF(A20="","",Schedule!M3)</f>
        <v/>
      </c>
      <c r="C20">
        <f>IF(A20="","",IF(Schedule!BA364&gt;0.5,"Never — EMI too low",COUNTIF(Schedule!BA5:BA364,"&gt;0.5")+1))</f>
        <v/>
      </c>
      <c r="D20" s="15">
        <f>IF(ISNUMBER(C20),EOMONTH(TODAY(),C20-1),"")</f>
        <v/>
      </c>
    </row>
    <row r="23">
      <c r="A23" s="16" t="inlineStr">
        <is>
          <t>Tax, GST or accounts question? Rajput Lalit &amp; Associates — WhatsApp +91 93549 53603 · www.rajputlalitassociates.in</t>
        </is>
      </c>
    </row>
  </sheetData>
  <mergeCells count="3">
    <mergeCell ref="A1:D1"/>
    <mergeCell ref="A23:D23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6" customWidth="1" min="4" max="4"/>
    <col width="18" customWidth="1" min="5" max="5"/>
    <col width="18" customWidth="1" min="6" max="6"/>
    <col hidden="1" width="10" customWidth="1" min="7" max="7"/>
  </cols>
  <sheetData>
    <row r="1">
      <c r="A1" s="8" t="inlineStr">
        <is>
          <t>My Loans &amp; Cards</t>
        </is>
      </c>
    </row>
    <row r="2">
      <c r="A2" s="9" t="inlineStr">
        <is>
          <t>Up to 10. Yellow cells are yours to fill.</t>
        </is>
      </c>
    </row>
    <row r="3">
      <c r="A3" s="10" t="inlineStr">
        <is>
          <t>Method</t>
        </is>
      </c>
      <c r="B3" s="17" t="inlineStr">
        <is>
          <t>Avalanche</t>
        </is>
      </c>
      <c r="C3" s="10" t="inlineStr">
        <is>
          <t>Extra per month (₹)</t>
        </is>
      </c>
      <c r="D3" s="18" t="n">
        <v>2000</v>
      </c>
    </row>
    <row r="5" ht="32" customHeight="1">
      <c r="A5" s="14" t="inlineStr">
        <is>
          <t>#</t>
        </is>
      </c>
      <c r="B5" s="14" t="inlineStr">
        <is>
          <t>Loan / card</t>
        </is>
      </c>
      <c r="C5" s="14" t="inlineStr">
        <is>
          <t>Outstanding today (₹)</t>
        </is>
      </c>
      <c r="D5" s="14" t="inlineStr">
        <is>
          <t>Interest % per year</t>
        </is>
      </c>
      <c r="E5" s="14" t="inlineStr">
        <is>
          <t>EMI / minimum (₹)</t>
        </is>
      </c>
      <c r="F5" s="14" t="inlineStr">
        <is>
          <t>Monthly interest now</t>
        </is>
      </c>
      <c r="G5" s="14" t="inlineStr">
        <is>
          <t>Sort key</t>
        </is>
      </c>
    </row>
    <row r="6">
      <c r="A6" t="n">
        <v>1</v>
      </c>
      <c r="B6" s="17" t="inlineStr">
        <is>
          <t>Credit card</t>
        </is>
      </c>
      <c r="C6" s="18" t="n">
        <v>60000</v>
      </c>
      <c r="D6" s="17" t="n">
        <v>36</v>
      </c>
      <c r="E6" s="18" t="n">
        <v>3000</v>
      </c>
      <c r="F6" s="19">
        <f>IF(C6="","",C6*D6/1200)</f>
        <v/>
      </c>
      <c r="G6">
        <f>IF(N(C6)&lt;=0,1E+15,IF($B$3="Snowball",C6,-D6))+ROW()/1E+6</f>
        <v/>
      </c>
    </row>
    <row r="7">
      <c r="A7" t="n">
        <v>2</v>
      </c>
      <c r="B7" s="17" t="inlineStr">
        <is>
          <t>Personal loan</t>
        </is>
      </c>
      <c r="C7" s="18" t="n">
        <v>200000</v>
      </c>
      <c r="D7" s="17" t="n">
        <v>14</v>
      </c>
      <c r="E7" s="18" t="n">
        <v>7000</v>
      </c>
      <c r="F7" s="19">
        <f>IF(C7="","",C7*D7/1200)</f>
        <v/>
      </c>
      <c r="G7">
        <f>IF(N(C7)&lt;=0,1E+15,IF($B$3="Snowball",C7,-D7))+ROW()/1E+6</f>
        <v/>
      </c>
    </row>
    <row r="8">
      <c r="A8" t="n">
        <v>3</v>
      </c>
      <c r="B8" s="17" t="inlineStr">
        <is>
          <t>Car loan</t>
        </is>
      </c>
      <c r="C8" s="18" t="n">
        <v>350000</v>
      </c>
      <c r="D8" s="17" t="n">
        <v>9.5</v>
      </c>
      <c r="E8" s="18" t="n">
        <v>9000</v>
      </c>
      <c r="F8" s="19">
        <f>IF(C8="","",C8*D8/1200)</f>
        <v/>
      </c>
      <c r="G8">
        <f>IF(N(C8)&lt;=0,1E+15,IF($B$3="Snowball",C8,-D8))+ROW()/1E+6</f>
        <v/>
      </c>
    </row>
    <row r="9">
      <c r="A9" t="n">
        <v>4</v>
      </c>
      <c r="B9" s="17" t="n"/>
      <c r="C9" s="18" t="n"/>
      <c r="D9" s="17" t="n"/>
      <c r="E9" s="18" t="n"/>
      <c r="F9" s="19">
        <f>IF(C9="","",C9*D9/1200)</f>
        <v/>
      </c>
      <c r="G9">
        <f>IF(N(C9)&lt;=0,1E+15,IF($B$3="Snowball",C9,-D9))+ROW()/1E+6</f>
        <v/>
      </c>
    </row>
    <row r="10">
      <c r="A10" t="n">
        <v>5</v>
      </c>
      <c r="B10" s="17" t="n"/>
      <c r="C10" s="18" t="n"/>
      <c r="D10" s="17" t="n"/>
      <c r="E10" s="18" t="n"/>
      <c r="F10" s="19">
        <f>IF(C10="","",C10*D10/1200)</f>
        <v/>
      </c>
      <c r="G10">
        <f>IF(N(C10)&lt;=0,1E+15,IF($B$3="Snowball",C10,-D10))+ROW()/1E+6</f>
        <v/>
      </c>
    </row>
    <row r="11">
      <c r="A11" t="n">
        <v>6</v>
      </c>
      <c r="B11" s="17" t="n"/>
      <c r="C11" s="18" t="n"/>
      <c r="D11" s="17" t="n"/>
      <c r="E11" s="18" t="n"/>
      <c r="F11" s="19">
        <f>IF(C11="","",C11*D11/1200)</f>
        <v/>
      </c>
      <c r="G11">
        <f>IF(N(C11)&lt;=0,1E+15,IF($B$3="Snowball",C11,-D11))+ROW()/1E+6</f>
        <v/>
      </c>
    </row>
    <row r="12">
      <c r="A12" t="n">
        <v>7</v>
      </c>
      <c r="B12" s="17" t="n"/>
      <c r="C12" s="18" t="n"/>
      <c r="D12" s="17" t="n"/>
      <c r="E12" s="18" t="n"/>
      <c r="F12" s="19">
        <f>IF(C12="","",C12*D12/1200)</f>
        <v/>
      </c>
      <c r="G12">
        <f>IF(N(C12)&lt;=0,1E+15,IF($B$3="Snowball",C12,-D12))+ROW()/1E+6</f>
        <v/>
      </c>
    </row>
    <row r="13">
      <c r="A13" t="n">
        <v>8</v>
      </c>
      <c r="B13" s="17" t="n"/>
      <c r="C13" s="18" t="n"/>
      <c r="D13" s="17" t="n"/>
      <c r="E13" s="18" t="n"/>
      <c r="F13" s="19">
        <f>IF(C13="","",C13*D13/1200)</f>
        <v/>
      </c>
      <c r="G13">
        <f>IF(N(C13)&lt;=0,1E+15,IF($B$3="Snowball",C13,-D13))+ROW()/1E+6</f>
        <v/>
      </c>
    </row>
    <row r="14">
      <c r="A14" t="n">
        <v>9</v>
      </c>
      <c r="B14" s="17" t="n"/>
      <c r="C14" s="18" t="n"/>
      <c r="D14" s="17" t="n"/>
      <c r="E14" s="18" t="n"/>
      <c r="F14" s="19">
        <f>IF(C14="","",C14*D14/1200)</f>
        <v/>
      </c>
      <c r="G14">
        <f>IF(N(C14)&lt;=0,1E+15,IF($B$3="Snowball",C14,-D14))+ROW()/1E+6</f>
        <v/>
      </c>
    </row>
    <row r="15">
      <c r="A15" t="n">
        <v>10</v>
      </c>
      <c r="B15" s="17" t="n"/>
      <c r="C15" s="18" t="n"/>
      <c r="D15" s="17" t="n"/>
      <c r="E15" s="18" t="n"/>
      <c r="F15" s="19">
        <f>IF(C15="","",C15*D15/1200)</f>
        <v/>
      </c>
      <c r="G15">
        <f>IF(N(C15)&lt;=0,1E+15,IF($B$3="Snowball",C15,-D15))+ROW()/1E+6</f>
        <v/>
      </c>
    </row>
    <row r="17">
      <c r="B17" s="20" t="inlineStr">
        <is>
          <t>Red EMI = it doesn't even cover the monthly interest, so that loan will never close. Increase it.</t>
        </is>
      </c>
    </row>
    <row r="18">
      <c r="B18" s="21" t="inlineStr">
        <is>
          <t>The sample rows are only an example — overwrite or clear them.</t>
        </is>
      </c>
    </row>
  </sheetData>
  <mergeCells count="2">
    <mergeCell ref="A2:G2"/>
    <mergeCell ref="A1:G1"/>
  </mergeCells>
  <conditionalFormatting sqref="E6:E15">
    <cfRule type="expression" priority="1" dxfId="0">
      <formula>AND($C6&gt;0,$E6&lt;=$F6)</formula>
    </cfRule>
  </conditionalFormatting>
  <dataValidations count="1">
    <dataValidation sqref="B3" showDropDown="0" showInputMessage="0" showErrorMessage="0" allowBlank="0" type="list">
      <formula1>"Avalanche,Snowball"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36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</cols>
  <sheetData>
    <row r="1">
      <c r="A1" s="8" t="inlineStr">
        <is>
          <t>Month-by-month schedule</t>
        </is>
      </c>
    </row>
    <row r="2">
      <c r="A2" s="9" t="inlineStr">
        <is>
          <t>Calculated — no entries needed here</t>
        </is>
      </c>
    </row>
    <row r="3">
      <c r="A3" t="inlineStr">
        <is>
          <t>Order →</t>
        </is>
      </c>
      <c r="D3">
        <f>COUNTIF('My Loans'!$G$6:$G$15,"&lt;"&amp;'My Loans'!G6)+1</f>
        <v/>
      </c>
      <c r="E3">
        <f>COUNTIF('My Loans'!$G$6:$G$15,"&lt;"&amp;'My Loans'!G7)+1</f>
        <v/>
      </c>
      <c r="F3">
        <f>COUNTIF('My Loans'!$G$6:$G$15,"&lt;"&amp;'My Loans'!G8)+1</f>
        <v/>
      </c>
      <c r="G3">
        <f>COUNTIF('My Loans'!$G$6:$G$15,"&lt;"&amp;'My Loans'!G9)+1</f>
        <v/>
      </c>
      <c r="H3">
        <f>COUNTIF('My Loans'!$G$6:$G$15,"&lt;"&amp;'My Loans'!G10)+1</f>
        <v/>
      </c>
      <c r="I3">
        <f>COUNTIF('My Loans'!$G$6:$G$15,"&lt;"&amp;'My Loans'!G11)+1</f>
        <v/>
      </c>
      <c r="J3">
        <f>COUNTIF('My Loans'!$G$6:$G$15,"&lt;"&amp;'My Loans'!G12)+1</f>
        <v/>
      </c>
      <c r="K3">
        <f>COUNTIF('My Loans'!$G$6:$G$15,"&lt;"&amp;'My Loans'!G13)+1</f>
        <v/>
      </c>
      <c r="L3">
        <f>COUNTIF('My Loans'!$G$6:$G$15,"&lt;"&amp;'My Loans'!G14)+1</f>
        <v/>
      </c>
      <c r="M3">
        <f>COUNTIF('My Loans'!$G$6:$G$15,"&lt;"&amp;'My Loans'!G15)+1</f>
        <v/>
      </c>
      <c r="N3">
        <f>COUNTIF('My Loans'!$G$6:$G$15,"&lt;"&amp;'My Loans'!G6)+1</f>
        <v/>
      </c>
      <c r="O3">
        <f>COUNTIF('My Loans'!$G$6:$G$15,"&lt;"&amp;'My Loans'!G7)+1</f>
        <v/>
      </c>
      <c r="P3">
        <f>COUNTIF('My Loans'!$G$6:$G$15,"&lt;"&amp;'My Loans'!G8)+1</f>
        <v/>
      </c>
      <c r="Q3">
        <f>COUNTIF('My Loans'!$G$6:$G$15,"&lt;"&amp;'My Loans'!G9)+1</f>
        <v/>
      </c>
      <c r="R3">
        <f>COUNTIF('My Loans'!$G$6:$G$15,"&lt;"&amp;'My Loans'!G10)+1</f>
        <v/>
      </c>
      <c r="S3">
        <f>COUNTIF('My Loans'!$G$6:$G$15,"&lt;"&amp;'My Loans'!G11)+1</f>
        <v/>
      </c>
      <c r="T3">
        <f>COUNTIF('My Loans'!$G$6:$G$15,"&lt;"&amp;'My Loans'!G12)+1</f>
        <v/>
      </c>
      <c r="U3">
        <f>COUNTIF('My Loans'!$G$6:$G$15,"&lt;"&amp;'My Loans'!G13)+1</f>
        <v/>
      </c>
      <c r="V3">
        <f>COUNTIF('My Loans'!$G$6:$G$15,"&lt;"&amp;'My Loans'!G14)+1</f>
        <v/>
      </c>
      <c r="W3">
        <f>COUNTIF('My Loans'!$G$6:$G$15,"&lt;"&amp;'My Loans'!G15)+1</f>
        <v/>
      </c>
      <c r="X3">
        <f>COUNTIF('My Loans'!$G$6:$G$15,"&lt;"&amp;'My Loans'!G6)+1</f>
        <v/>
      </c>
      <c r="Y3">
        <f>COUNTIF('My Loans'!$G$6:$G$15,"&lt;"&amp;'My Loans'!G7)+1</f>
        <v/>
      </c>
      <c r="Z3">
        <f>COUNTIF('My Loans'!$G$6:$G$15,"&lt;"&amp;'My Loans'!G8)+1</f>
        <v/>
      </c>
      <c r="AA3">
        <f>COUNTIF('My Loans'!$G$6:$G$15,"&lt;"&amp;'My Loans'!G9)+1</f>
        <v/>
      </c>
      <c r="AB3">
        <f>COUNTIF('My Loans'!$G$6:$G$15,"&lt;"&amp;'My Loans'!G10)+1</f>
        <v/>
      </c>
      <c r="AC3">
        <f>COUNTIF('My Loans'!$G$6:$G$15,"&lt;"&amp;'My Loans'!G11)+1</f>
        <v/>
      </c>
      <c r="AD3">
        <f>COUNTIF('My Loans'!$G$6:$G$15,"&lt;"&amp;'My Loans'!G12)+1</f>
        <v/>
      </c>
      <c r="AE3">
        <f>COUNTIF('My Loans'!$G$6:$G$15,"&lt;"&amp;'My Loans'!G13)+1</f>
        <v/>
      </c>
      <c r="AF3">
        <f>COUNTIF('My Loans'!$G$6:$G$15,"&lt;"&amp;'My Loans'!G14)+1</f>
        <v/>
      </c>
      <c r="AG3">
        <f>COUNTIF('My Loans'!$G$6:$G$15,"&lt;"&amp;'My Loans'!G15)+1</f>
        <v/>
      </c>
      <c r="AH3">
        <f>COUNTIF('My Loans'!$G$6:$G$15,"&lt;"&amp;'My Loans'!G6)+1</f>
        <v/>
      </c>
      <c r="AI3">
        <f>COUNTIF('My Loans'!$G$6:$G$15,"&lt;"&amp;'My Loans'!G7)+1</f>
        <v/>
      </c>
      <c r="AJ3">
        <f>COUNTIF('My Loans'!$G$6:$G$15,"&lt;"&amp;'My Loans'!G8)+1</f>
        <v/>
      </c>
      <c r="AK3">
        <f>COUNTIF('My Loans'!$G$6:$G$15,"&lt;"&amp;'My Loans'!G9)+1</f>
        <v/>
      </c>
      <c r="AL3">
        <f>COUNTIF('My Loans'!$G$6:$G$15,"&lt;"&amp;'My Loans'!G10)+1</f>
        <v/>
      </c>
      <c r="AM3">
        <f>COUNTIF('My Loans'!$G$6:$G$15,"&lt;"&amp;'My Loans'!G11)+1</f>
        <v/>
      </c>
      <c r="AN3">
        <f>COUNTIF('My Loans'!$G$6:$G$15,"&lt;"&amp;'My Loans'!G12)+1</f>
        <v/>
      </c>
      <c r="AO3">
        <f>COUNTIF('My Loans'!$G$6:$G$15,"&lt;"&amp;'My Loans'!G13)+1</f>
        <v/>
      </c>
      <c r="AP3">
        <f>COUNTIF('My Loans'!$G$6:$G$15,"&lt;"&amp;'My Loans'!G14)+1</f>
        <v/>
      </c>
      <c r="AQ3">
        <f>COUNTIF('My Loans'!$G$6:$G$15,"&lt;"&amp;'My Loans'!G15)+1</f>
        <v/>
      </c>
      <c r="AR3">
        <f>COUNTIF('My Loans'!$G$6:$G$15,"&lt;"&amp;'My Loans'!G6)+1</f>
        <v/>
      </c>
      <c r="AS3">
        <f>COUNTIF('My Loans'!$G$6:$G$15,"&lt;"&amp;'My Loans'!G7)+1</f>
        <v/>
      </c>
      <c r="AT3">
        <f>COUNTIF('My Loans'!$G$6:$G$15,"&lt;"&amp;'My Loans'!G8)+1</f>
        <v/>
      </c>
      <c r="AU3">
        <f>COUNTIF('My Loans'!$G$6:$G$15,"&lt;"&amp;'My Loans'!G9)+1</f>
        <v/>
      </c>
      <c r="AV3">
        <f>COUNTIF('My Loans'!$G$6:$G$15,"&lt;"&amp;'My Loans'!G10)+1</f>
        <v/>
      </c>
      <c r="AW3">
        <f>COUNTIF('My Loans'!$G$6:$G$15,"&lt;"&amp;'My Loans'!G11)+1</f>
        <v/>
      </c>
      <c r="AX3">
        <f>COUNTIF('My Loans'!$G$6:$G$15,"&lt;"&amp;'My Loans'!G12)+1</f>
        <v/>
      </c>
      <c r="AY3">
        <f>COUNTIF('My Loans'!$G$6:$G$15,"&lt;"&amp;'My Loans'!G13)+1</f>
        <v/>
      </c>
      <c r="AZ3">
        <f>COUNTIF('My Loans'!$G$6:$G$15,"&lt;"&amp;'My Loans'!G14)+1</f>
        <v/>
      </c>
      <c r="BA3">
        <f>COUNTIF('My Loans'!$G$6:$G$15,"&lt;"&amp;'My Loans'!G15)+1</f>
        <v/>
      </c>
    </row>
    <row r="4" ht="45" customHeight="1">
      <c r="A4" s="22" t="inlineStr">
        <is>
          <t>Month</t>
        </is>
      </c>
      <c r="B4" s="22" t="inlineStr">
        <is>
          <t>Date</t>
        </is>
      </c>
      <c r="C4" s="22" t="inlineStr">
        <is>
          <t>Money for extra</t>
        </is>
      </c>
      <c r="D4" s="22">
        <f>'My Loans'!B6&amp;" — Opening"</f>
        <v/>
      </c>
      <c r="E4" s="22">
        <f>'My Loans'!B7&amp;" — Opening"</f>
        <v/>
      </c>
      <c r="F4" s="22">
        <f>'My Loans'!B8&amp;" — Opening"</f>
        <v/>
      </c>
      <c r="G4" s="22">
        <f>'My Loans'!B9&amp;" — Opening"</f>
        <v/>
      </c>
      <c r="H4" s="22">
        <f>'My Loans'!B10&amp;" — Opening"</f>
        <v/>
      </c>
      <c r="I4" s="22">
        <f>'My Loans'!B11&amp;" — Opening"</f>
        <v/>
      </c>
      <c r="J4" s="22">
        <f>'My Loans'!B12&amp;" — Opening"</f>
        <v/>
      </c>
      <c r="K4" s="22">
        <f>'My Loans'!B13&amp;" — Opening"</f>
        <v/>
      </c>
      <c r="L4" s="22">
        <f>'My Loans'!B14&amp;" — Opening"</f>
        <v/>
      </c>
      <c r="M4" s="22">
        <f>'My Loans'!B15&amp;" — Opening"</f>
        <v/>
      </c>
      <c r="N4" s="22">
        <f>'My Loans'!B6&amp;" — With interest"</f>
        <v/>
      </c>
      <c r="O4" s="22">
        <f>'My Loans'!B7&amp;" — With interest"</f>
        <v/>
      </c>
      <c r="P4" s="22">
        <f>'My Loans'!B8&amp;" — With interest"</f>
        <v/>
      </c>
      <c r="Q4" s="22">
        <f>'My Loans'!B9&amp;" — With interest"</f>
        <v/>
      </c>
      <c r="R4" s="22">
        <f>'My Loans'!B10&amp;" — With interest"</f>
        <v/>
      </c>
      <c r="S4" s="22">
        <f>'My Loans'!B11&amp;" — With interest"</f>
        <v/>
      </c>
      <c r="T4" s="22">
        <f>'My Loans'!B12&amp;" — With interest"</f>
        <v/>
      </c>
      <c r="U4" s="22">
        <f>'My Loans'!B13&amp;" — With interest"</f>
        <v/>
      </c>
      <c r="V4" s="22">
        <f>'My Loans'!B14&amp;" — With interest"</f>
        <v/>
      </c>
      <c r="W4" s="22">
        <f>'My Loans'!B15&amp;" — With interest"</f>
        <v/>
      </c>
      <c r="X4" s="22">
        <f>'My Loans'!B6&amp;" — EMI paid"</f>
        <v/>
      </c>
      <c r="Y4" s="22">
        <f>'My Loans'!B7&amp;" — EMI paid"</f>
        <v/>
      </c>
      <c r="Z4" s="22">
        <f>'My Loans'!B8&amp;" — EMI paid"</f>
        <v/>
      </c>
      <c r="AA4" s="22">
        <f>'My Loans'!B9&amp;" — EMI paid"</f>
        <v/>
      </c>
      <c r="AB4" s="22">
        <f>'My Loans'!B10&amp;" — EMI paid"</f>
        <v/>
      </c>
      <c r="AC4" s="22">
        <f>'My Loans'!B11&amp;" — EMI paid"</f>
        <v/>
      </c>
      <c r="AD4" s="22">
        <f>'My Loans'!B12&amp;" — EMI paid"</f>
        <v/>
      </c>
      <c r="AE4" s="22">
        <f>'My Loans'!B13&amp;" — EMI paid"</f>
        <v/>
      </c>
      <c r="AF4" s="22">
        <f>'My Loans'!B14&amp;" — EMI paid"</f>
        <v/>
      </c>
      <c r="AG4" s="22">
        <f>'My Loans'!B15&amp;" — EMI paid"</f>
        <v/>
      </c>
      <c r="AH4" s="22">
        <f>'My Loans'!B6&amp;" — Extra paid"</f>
        <v/>
      </c>
      <c r="AI4" s="22">
        <f>'My Loans'!B7&amp;" — Extra paid"</f>
        <v/>
      </c>
      <c r="AJ4" s="22">
        <f>'My Loans'!B8&amp;" — Extra paid"</f>
        <v/>
      </c>
      <c r="AK4" s="22">
        <f>'My Loans'!B9&amp;" — Extra paid"</f>
        <v/>
      </c>
      <c r="AL4" s="22">
        <f>'My Loans'!B10&amp;" — Extra paid"</f>
        <v/>
      </c>
      <c r="AM4" s="22">
        <f>'My Loans'!B11&amp;" — Extra paid"</f>
        <v/>
      </c>
      <c r="AN4" s="22">
        <f>'My Loans'!B12&amp;" — Extra paid"</f>
        <v/>
      </c>
      <c r="AO4" s="22">
        <f>'My Loans'!B13&amp;" — Extra paid"</f>
        <v/>
      </c>
      <c r="AP4" s="22">
        <f>'My Loans'!B14&amp;" — Extra paid"</f>
        <v/>
      </c>
      <c r="AQ4" s="22">
        <f>'My Loans'!B15&amp;" — Extra paid"</f>
        <v/>
      </c>
      <c r="AR4" s="22">
        <f>'My Loans'!B6&amp;" — Closing"</f>
        <v/>
      </c>
      <c r="AS4" s="22">
        <f>'My Loans'!B7&amp;" — Closing"</f>
        <v/>
      </c>
      <c r="AT4" s="22">
        <f>'My Loans'!B8&amp;" — Closing"</f>
        <v/>
      </c>
      <c r="AU4" s="22">
        <f>'My Loans'!B9&amp;" — Closing"</f>
        <v/>
      </c>
      <c r="AV4" s="22">
        <f>'My Loans'!B10&amp;" — Closing"</f>
        <v/>
      </c>
      <c r="AW4" s="22">
        <f>'My Loans'!B11&amp;" — Closing"</f>
        <v/>
      </c>
      <c r="AX4" s="22">
        <f>'My Loans'!B12&amp;" — Closing"</f>
        <v/>
      </c>
      <c r="AY4" s="22">
        <f>'My Loans'!B13&amp;" — Closing"</f>
        <v/>
      </c>
      <c r="AZ4" s="22">
        <f>'My Loans'!B14&amp;" — Closing"</f>
        <v/>
      </c>
      <c r="BA4" s="22">
        <f>'My Loans'!B15&amp;" — Closing"</f>
        <v/>
      </c>
      <c r="BB4" s="22" t="inlineStr">
        <is>
          <t>TOTAL DEBT</t>
        </is>
      </c>
    </row>
    <row r="5">
      <c r="A5" t="n">
        <v>1</v>
      </c>
      <c r="B5" s="23">
        <f>EOMONTH(TODAY(),0)</f>
        <v/>
      </c>
      <c r="C5" s="24">
        <f>MAX(0,(SUM('My Loans'!$E$6:$E$15)+'My Loans'!$D$3)-SUM($X5:$AG5))</f>
        <v/>
      </c>
      <c r="D5" s="24">
        <f>MAX(0,N('My Loans'!C6))</f>
        <v/>
      </c>
      <c r="E5" s="24">
        <f>MAX(0,N('My Loans'!C7))</f>
        <v/>
      </c>
      <c r="F5" s="24">
        <f>MAX(0,N('My Loans'!C8))</f>
        <v/>
      </c>
      <c r="G5" s="24">
        <f>MAX(0,N('My Loans'!C9))</f>
        <v/>
      </c>
      <c r="H5" s="24">
        <f>MAX(0,N('My Loans'!C10))</f>
        <v/>
      </c>
      <c r="I5" s="24">
        <f>MAX(0,N('My Loans'!C11))</f>
        <v/>
      </c>
      <c r="J5" s="24">
        <f>MAX(0,N('My Loans'!C12))</f>
        <v/>
      </c>
      <c r="K5" s="24">
        <f>MAX(0,N('My Loans'!C13))</f>
        <v/>
      </c>
      <c r="L5" s="24">
        <f>MAX(0,N('My Loans'!C14))</f>
        <v/>
      </c>
      <c r="M5" s="24">
        <f>MAX(0,N('My Loans'!C15))</f>
        <v/>
      </c>
      <c r="N5" s="24">
        <f>IF(D5&lt;0.5,0,D5*(1+N('My Loans'!D6)/1200))</f>
        <v/>
      </c>
      <c r="O5" s="24">
        <f>IF(E5&lt;0.5,0,E5*(1+N('My Loans'!D7)/1200))</f>
        <v/>
      </c>
      <c r="P5" s="24">
        <f>IF(F5&lt;0.5,0,F5*(1+N('My Loans'!D8)/1200))</f>
        <v/>
      </c>
      <c r="Q5" s="24">
        <f>IF(G5&lt;0.5,0,G5*(1+N('My Loans'!D9)/1200))</f>
        <v/>
      </c>
      <c r="R5" s="24">
        <f>IF(H5&lt;0.5,0,H5*(1+N('My Loans'!D10)/1200))</f>
        <v/>
      </c>
      <c r="S5" s="24">
        <f>IF(I5&lt;0.5,0,I5*(1+N('My Loans'!D11)/1200))</f>
        <v/>
      </c>
      <c r="T5" s="24">
        <f>IF(J5&lt;0.5,0,J5*(1+N('My Loans'!D12)/1200))</f>
        <v/>
      </c>
      <c r="U5" s="24">
        <f>IF(K5&lt;0.5,0,K5*(1+N('My Loans'!D13)/1200))</f>
        <v/>
      </c>
      <c r="V5" s="24">
        <f>IF(L5&lt;0.5,0,L5*(1+N('My Loans'!D14)/1200))</f>
        <v/>
      </c>
      <c r="W5" s="24">
        <f>IF(M5&lt;0.5,0,M5*(1+N('My Loans'!D15)/1200))</f>
        <v/>
      </c>
      <c r="X5" s="24">
        <f>MIN(N5,N('My Loans'!E6))</f>
        <v/>
      </c>
      <c r="Y5" s="24">
        <f>MIN(O5,N('My Loans'!E7))</f>
        <v/>
      </c>
      <c r="Z5" s="24">
        <f>MIN(P5,N('My Loans'!E8))</f>
        <v/>
      </c>
      <c r="AA5" s="24">
        <f>MIN(Q5,N('My Loans'!E9))</f>
        <v/>
      </c>
      <c r="AB5" s="24">
        <f>MIN(R5,N('My Loans'!E10))</f>
        <v/>
      </c>
      <c r="AC5" s="24">
        <f>MIN(S5,N('My Loans'!E11))</f>
        <v/>
      </c>
      <c r="AD5" s="24">
        <f>MIN(T5,N('My Loans'!E12))</f>
        <v/>
      </c>
      <c r="AE5" s="24">
        <f>MIN(U5,N('My Loans'!E13))</f>
        <v/>
      </c>
      <c r="AF5" s="24">
        <f>MIN(V5,N('My Loans'!E14))</f>
        <v/>
      </c>
      <c r="AG5" s="24">
        <f>MIN(W5,N('My Loans'!E15))</f>
        <v/>
      </c>
      <c r="AH5" s="24">
        <f>MIN(N5-X5,MAX(0,$C5-SUMPRODUCT(($D$3:$M$3&lt;D$3)*($N5:$W5-$X5:$AG5))))</f>
        <v/>
      </c>
      <c r="AI5" s="24">
        <f>MIN(O5-Y5,MAX(0,$C5-SUMPRODUCT(($D$3:$M$3&lt;E$3)*($N5:$W5-$X5:$AG5))))</f>
        <v/>
      </c>
      <c r="AJ5" s="24">
        <f>MIN(P5-Z5,MAX(0,$C5-SUMPRODUCT(($D$3:$M$3&lt;F$3)*($N5:$W5-$X5:$AG5))))</f>
        <v/>
      </c>
      <c r="AK5" s="24">
        <f>MIN(Q5-AA5,MAX(0,$C5-SUMPRODUCT(($D$3:$M$3&lt;G$3)*($N5:$W5-$X5:$AG5))))</f>
        <v/>
      </c>
      <c r="AL5" s="24">
        <f>MIN(R5-AB5,MAX(0,$C5-SUMPRODUCT(($D$3:$M$3&lt;H$3)*($N5:$W5-$X5:$AG5))))</f>
        <v/>
      </c>
      <c r="AM5" s="24">
        <f>MIN(S5-AC5,MAX(0,$C5-SUMPRODUCT(($D$3:$M$3&lt;I$3)*($N5:$W5-$X5:$AG5))))</f>
        <v/>
      </c>
      <c r="AN5" s="24">
        <f>MIN(T5-AD5,MAX(0,$C5-SUMPRODUCT(($D$3:$M$3&lt;J$3)*($N5:$W5-$X5:$AG5))))</f>
        <v/>
      </c>
      <c r="AO5" s="24">
        <f>MIN(U5-AE5,MAX(0,$C5-SUMPRODUCT(($D$3:$M$3&lt;K$3)*($N5:$W5-$X5:$AG5))))</f>
        <v/>
      </c>
      <c r="AP5" s="24">
        <f>MIN(V5-AF5,MAX(0,$C5-SUMPRODUCT(($D$3:$M$3&lt;L$3)*($N5:$W5-$X5:$AG5))))</f>
        <v/>
      </c>
      <c r="AQ5" s="24">
        <f>MIN(W5-AG5,MAX(0,$C5-SUMPRODUCT(($D$3:$M$3&lt;M$3)*($N5:$W5-$X5:$AG5))))</f>
        <v/>
      </c>
      <c r="AR5" s="24">
        <f>ROUND(N5-X5-AH5,2)</f>
        <v/>
      </c>
      <c r="AS5" s="24">
        <f>ROUND(O5-Y5-AI5,2)</f>
        <v/>
      </c>
      <c r="AT5" s="24">
        <f>ROUND(P5-Z5-AJ5,2)</f>
        <v/>
      </c>
      <c r="AU5" s="24">
        <f>ROUND(Q5-AA5-AK5,2)</f>
        <v/>
      </c>
      <c r="AV5" s="24">
        <f>ROUND(R5-AB5-AL5,2)</f>
        <v/>
      </c>
      <c r="AW5" s="24">
        <f>ROUND(S5-AC5-AM5,2)</f>
        <v/>
      </c>
      <c r="AX5" s="24">
        <f>ROUND(T5-AD5-AN5,2)</f>
        <v/>
      </c>
      <c r="AY5" s="24">
        <f>ROUND(U5-AE5-AO5,2)</f>
        <v/>
      </c>
      <c r="AZ5" s="24">
        <f>ROUND(V5-AF5-AP5,2)</f>
        <v/>
      </c>
      <c r="BA5" s="24">
        <f>ROUND(W5-AG5-AQ5,2)</f>
        <v/>
      </c>
      <c r="BB5" s="24">
        <f>SUM(AR5:BA5)</f>
        <v/>
      </c>
    </row>
    <row r="6">
      <c r="A6" t="n">
        <v>2</v>
      </c>
      <c r="B6" s="23">
        <f>EOMONTH(TODAY(),1)</f>
        <v/>
      </c>
      <c r="C6" s="24">
        <f>MAX(0,(SUM('My Loans'!$E$6:$E$15)+'My Loans'!$D$3)-SUM($X6:$AG6))</f>
        <v/>
      </c>
      <c r="D6" s="24">
        <f>MAX(0,AR5)</f>
        <v/>
      </c>
      <c r="E6" s="24">
        <f>MAX(0,AS5)</f>
        <v/>
      </c>
      <c r="F6" s="24">
        <f>MAX(0,AT5)</f>
        <v/>
      </c>
      <c r="G6" s="24">
        <f>MAX(0,AU5)</f>
        <v/>
      </c>
      <c r="H6" s="24">
        <f>MAX(0,AV5)</f>
        <v/>
      </c>
      <c r="I6" s="24">
        <f>MAX(0,AW5)</f>
        <v/>
      </c>
      <c r="J6" s="24">
        <f>MAX(0,AX5)</f>
        <v/>
      </c>
      <c r="K6" s="24">
        <f>MAX(0,AY5)</f>
        <v/>
      </c>
      <c r="L6" s="24">
        <f>MAX(0,AZ5)</f>
        <v/>
      </c>
      <c r="M6" s="24">
        <f>MAX(0,BA5)</f>
        <v/>
      </c>
      <c r="N6" s="24">
        <f>IF(D6&lt;0.5,0,D6*(1+N('My Loans'!D6)/1200))</f>
        <v/>
      </c>
      <c r="O6" s="24">
        <f>IF(E6&lt;0.5,0,E6*(1+N('My Loans'!D7)/1200))</f>
        <v/>
      </c>
      <c r="P6" s="24">
        <f>IF(F6&lt;0.5,0,F6*(1+N('My Loans'!D8)/1200))</f>
        <v/>
      </c>
      <c r="Q6" s="24">
        <f>IF(G6&lt;0.5,0,G6*(1+N('My Loans'!D9)/1200))</f>
        <v/>
      </c>
      <c r="R6" s="24">
        <f>IF(H6&lt;0.5,0,H6*(1+N('My Loans'!D10)/1200))</f>
        <v/>
      </c>
      <c r="S6" s="24">
        <f>IF(I6&lt;0.5,0,I6*(1+N('My Loans'!D11)/1200))</f>
        <v/>
      </c>
      <c r="T6" s="24">
        <f>IF(J6&lt;0.5,0,J6*(1+N('My Loans'!D12)/1200))</f>
        <v/>
      </c>
      <c r="U6" s="24">
        <f>IF(K6&lt;0.5,0,K6*(1+N('My Loans'!D13)/1200))</f>
        <v/>
      </c>
      <c r="V6" s="24">
        <f>IF(L6&lt;0.5,0,L6*(1+N('My Loans'!D14)/1200))</f>
        <v/>
      </c>
      <c r="W6" s="24">
        <f>IF(M6&lt;0.5,0,M6*(1+N('My Loans'!D15)/1200))</f>
        <v/>
      </c>
      <c r="X6" s="24">
        <f>MIN(N6,N('My Loans'!E6))</f>
        <v/>
      </c>
      <c r="Y6" s="24">
        <f>MIN(O6,N('My Loans'!E7))</f>
        <v/>
      </c>
      <c r="Z6" s="24">
        <f>MIN(P6,N('My Loans'!E8))</f>
        <v/>
      </c>
      <c r="AA6" s="24">
        <f>MIN(Q6,N('My Loans'!E9))</f>
        <v/>
      </c>
      <c r="AB6" s="24">
        <f>MIN(R6,N('My Loans'!E10))</f>
        <v/>
      </c>
      <c r="AC6" s="24">
        <f>MIN(S6,N('My Loans'!E11))</f>
        <v/>
      </c>
      <c r="AD6" s="24">
        <f>MIN(T6,N('My Loans'!E12))</f>
        <v/>
      </c>
      <c r="AE6" s="24">
        <f>MIN(U6,N('My Loans'!E13))</f>
        <v/>
      </c>
      <c r="AF6" s="24">
        <f>MIN(V6,N('My Loans'!E14))</f>
        <v/>
      </c>
      <c r="AG6" s="24">
        <f>MIN(W6,N('My Loans'!E15))</f>
        <v/>
      </c>
      <c r="AH6" s="24">
        <f>MIN(N6-X6,MAX(0,$C6-SUMPRODUCT(($D$3:$M$3&lt;D$3)*($N6:$W6-$X6:$AG6))))</f>
        <v/>
      </c>
      <c r="AI6" s="24">
        <f>MIN(O6-Y6,MAX(0,$C6-SUMPRODUCT(($D$3:$M$3&lt;E$3)*($N6:$W6-$X6:$AG6))))</f>
        <v/>
      </c>
      <c r="AJ6" s="24">
        <f>MIN(P6-Z6,MAX(0,$C6-SUMPRODUCT(($D$3:$M$3&lt;F$3)*($N6:$W6-$X6:$AG6))))</f>
        <v/>
      </c>
      <c r="AK6" s="24">
        <f>MIN(Q6-AA6,MAX(0,$C6-SUMPRODUCT(($D$3:$M$3&lt;G$3)*($N6:$W6-$X6:$AG6))))</f>
        <v/>
      </c>
      <c r="AL6" s="24">
        <f>MIN(R6-AB6,MAX(0,$C6-SUMPRODUCT(($D$3:$M$3&lt;H$3)*($N6:$W6-$X6:$AG6))))</f>
        <v/>
      </c>
      <c r="AM6" s="24">
        <f>MIN(S6-AC6,MAX(0,$C6-SUMPRODUCT(($D$3:$M$3&lt;I$3)*($N6:$W6-$X6:$AG6))))</f>
        <v/>
      </c>
      <c r="AN6" s="24">
        <f>MIN(T6-AD6,MAX(0,$C6-SUMPRODUCT(($D$3:$M$3&lt;J$3)*($N6:$W6-$X6:$AG6))))</f>
        <v/>
      </c>
      <c r="AO6" s="24">
        <f>MIN(U6-AE6,MAX(0,$C6-SUMPRODUCT(($D$3:$M$3&lt;K$3)*($N6:$W6-$X6:$AG6))))</f>
        <v/>
      </c>
      <c r="AP6" s="24">
        <f>MIN(V6-AF6,MAX(0,$C6-SUMPRODUCT(($D$3:$M$3&lt;L$3)*($N6:$W6-$X6:$AG6))))</f>
        <v/>
      </c>
      <c r="AQ6" s="24">
        <f>MIN(W6-AG6,MAX(0,$C6-SUMPRODUCT(($D$3:$M$3&lt;M$3)*($N6:$W6-$X6:$AG6))))</f>
        <v/>
      </c>
      <c r="AR6" s="24">
        <f>ROUND(N6-X6-AH6,2)</f>
        <v/>
      </c>
      <c r="AS6" s="24">
        <f>ROUND(O6-Y6-AI6,2)</f>
        <v/>
      </c>
      <c r="AT6" s="24">
        <f>ROUND(P6-Z6-AJ6,2)</f>
        <v/>
      </c>
      <c r="AU6" s="24">
        <f>ROUND(Q6-AA6-AK6,2)</f>
        <v/>
      </c>
      <c r="AV6" s="24">
        <f>ROUND(R6-AB6-AL6,2)</f>
        <v/>
      </c>
      <c r="AW6" s="24">
        <f>ROUND(S6-AC6-AM6,2)</f>
        <v/>
      </c>
      <c r="AX6" s="24">
        <f>ROUND(T6-AD6-AN6,2)</f>
        <v/>
      </c>
      <c r="AY6" s="24">
        <f>ROUND(U6-AE6-AO6,2)</f>
        <v/>
      </c>
      <c r="AZ6" s="24">
        <f>ROUND(V6-AF6-AP6,2)</f>
        <v/>
      </c>
      <c r="BA6" s="24">
        <f>ROUND(W6-AG6-AQ6,2)</f>
        <v/>
      </c>
      <c r="BB6" s="24">
        <f>SUM(AR6:BA6)</f>
        <v/>
      </c>
    </row>
    <row r="7">
      <c r="A7" t="n">
        <v>3</v>
      </c>
      <c r="B7" s="23">
        <f>EOMONTH(TODAY(),2)</f>
        <v/>
      </c>
      <c r="C7" s="24">
        <f>MAX(0,(SUM('My Loans'!$E$6:$E$15)+'My Loans'!$D$3)-SUM($X7:$AG7))</f>
        <v/>
      </c>
      <c r="D7" s="24">
        <f>MAX(0,AR6)</f>
        <v/>
      </c>
      <c r="E7" s="24">
        <f>MAX(0,AS6)</f>
        <v/>
      </c>
      <c r="F7" s="24">
        <f>MAX(0,AT6)</f>
        <v/>
      </c>
      <c r="G7" s="24">
        <f>MAX(0,AU6)</f>
        <v/>
      </c>
      <c r="H7" s="24">
        <f>MAX(0,AV6)</f>
        <v/>
      </c>
      <c r="I7" s="24">
        <f>MAX(0,AW6)</f>
        <v/>
      </c>
      <c r="J7" s="24">
        <f>MAX(0,AX6)</f>
        <v/>
      </c>
      <c r="K7" s="24">
        <f>MAX(0,AY6)</f>
        <v/>
      </c>
      <c r="L7" s="24">
        <f>MAX(0,AZ6)</f>
        <v/>
      </c>
      <c r="M7" s="24">
        <f>MAX(0,BA6)</f>
        <v/>
      </c>
      <c r="N7" s="24">
        <f>IF(D7&lt;0.5,0,D7*(1+N('My Loans'!D6)/1200))</f>
        <v/>
      </c>
      <c r="O7" s="24">
        <f>IF(E7&lt;0.5,0,E7*(1+N('My Loans'!D7)/1200))</f>
        <v/>
      </c>
      <c r="P7" s="24">
        <f>IF(F7&lt;0.5,0,F7*(1+N('My Loans'!D8)/1200))</f>
        <v/>
      </c>
      <c r="Q7" s="24">
        <f>IF(G7&lt;0.5,0,G7*(1+N('My Loans'!D9)/1200))</f>
        <v/>
      </c>
      <c r="R7" s="24">
        <f>IF(H7&lt;0.5,0,H7*(1+N('My Loans'!D10)/1200))</f>
        <v/>
      </c>
      <c r="S7" s="24">
        <f>IF(I7&lt;0.5,0,I7*(1+N('My Loans'!D11)/1200))</f>
        <v/>
      </c>
      <c r="T7" s="24">
        <f>IF(J7&lt;0.5,0,J7*(1+N('My Loans'!D12)/1200))</f>
        <v/>
      </c>
      <c r="U7" s="24">
        <f>IF(K7&lt;0.5,0,K7*(1+N('My Loans'!D13)/1200))</f>
        <v/>
      </c>
      <c r="V7" s="24">
        <f>IF(L7&lt;0.5,0,L7*(1+N('My Loans'!D14)/1200))</f>
        <v/>
      </c>
      <c r="W7" s="24">
        <f>IF(M7&lt;0.5,0,M7*(1+N('My Loans'!D15)/1200))</f>
        <v/>
      </c>
      <c r="X7" s="24">
        <f>MIN(N7,N('My Loans'!E6))</f>
        <v/>
      </c>
      <c r="Y7" s="24">
        <f>MIN(O7,N('My Loans'!E7))</f>
        <v/>
      </c>
      <c r="Z7" s="24">
        <f>MIN(P7,N('My Loans'!E8))</f>
        <v/>
      </c>
      <c r="AA7" s="24">
        <f>MIN(Q7,N('My Loans'!E9))</f>
        <v/>
      </c>
      <c r="AB7" s="24">
        <f>MIN(R7,N('My Loans'!E10))</f>
        <v/>
      </c>
      <c r="AC7" s="24">
        <f>MIN(S7,N('My Loans'!E11))</f>
        <v/>
      </c>
      <c r="AD7" s="24">
        <f>MIN(T7,N('My Loans'!E12))</f>
        <v/>
      </c>
      <c r="AE7" s="24">
        <f>MIN(U7,N('My Loans'!E13))</f>
        <v/>
      </c>
      <c r="AF7" s="24">
        <f>MIN(V7,N('My Loans'!E14))</f>
        <v/>
      </c>
      <c r="AG7" s="24">
        <f>MIN(W7,N('My Loans'!E15))</f>
        <v/>
      </c>
      <c r="AH7" s="24">
        <f>MIN(N7-X7,MAX(0,$C7-SUMPRODUCT(($D$3:$M$3&lt;D$3)*($N7:$W7-$X7:$AG7))))</f>
        <v/>
      </c>
      <c r="AI7" s="24">
        <f>MIN(O7-Y7,MAX(0,$C7-SUMPRODUCT(($D$3:$M$3&lt;E$3)*($N7:$W7-$X7:$AG7))))</f>
        <v/>
      </c>
      <c r="AJ7" s="24">
        <f>MIN(P7-Z7,MAX(0,$C7-SUMPRODUCT(($D$3:$M$3&lt;F$3)*($N7:$W7-$X7:$AG7))))</f>
        <v/>
      </c>
      <c r="AK7" s="24">
        <f>MIN(Q7-AA7,MAX(0,$C7-SUMPRODUCT(($D$3:$M$3&lt;G$3)*($N7:$W7-$X7:$AG7))))</f>
        <v/>
      </c>
      <c r="AL7" s="24">
        <f>MIN(R7-AB7,MAX(0,$C7-SUMPRODUCT(($D$3:$M$3&lt;H$3)*($N7:$W7-$X7:$AG7))))</f>
        <v/>
      </c>
      <c r="AM7" s="24">
        <f>MIN(S7-AC7,MAX(0,$C7-SUMPRODUCT(($D$3:$M$3&lt;I$3)*($N7:$W7-$X7:$AG7))))</f>
        <v/>
      </c>
      <c r="AN7" s="24">
        <f>MIN(T7-AD7,MAX(0,$C7-SUMPRODUCT(($D$3:$M$3&lt;J$3)*($N7:$W7-$X7:$AG7))))</f>
        <v/>
      </c>
      <c r="AO7" s="24">
        <f>MIN(U7-AE7,MAX(0,$C7-SUMPRODUCT(($D$3:$M$3&lt;K$3)*($N7:$W7-$X7:$AG7))))</f>
        <v/>
      </c>
      <c r="AP7" s="24">
        <f>MIN(V7-AF7,MAX(0,$C7-SUMPRODUCT(($D$3:$M$3&lt;L$3)*($N7:$W7-$X7:$AG7))))</f>
        <v/>
      </c>
      <c r="AQ7" s="24">
        <f>MIN(W7-AG7,MAX(0,$C7-SUMPRODUCT(($D$3:$M$3&lt;M$3)*($N7:$W7-$X7:$AG7))))</f>
        <v/>
      </c>
      <c r="AR7" s="24">
        <f>ROUND(N7-X7-AH7,2)</f>
        <v/>
      </c>
      <c r="AS7" s="24">
        <f>ROUND(O7-Y7-AI7,2)</f>
        <v/>
      </c>
      <c r="AT7" s="24">
        <f>ROUND(P7-Z7-AJ7,2)</f>
        <v/>
      </c>
      <c r="AU7" s="24">
        <f>ROUND(Q7-AA7-AK7,2)</f>
        <v/>
      </c>
      <c r="AV7" s="24">
        <f>ROUND(R7-AB7-AL7,2)</f>
        <v/>
      </c>
      <c r="AW7" s="24">
        <f>ROUND(S7-AC7-AM7,2)</f>
        <v/>
      </c>
      <c r="AX7" s="24">
        <f>ROUND(T7-AD7-AN7,2)</f>
        <v/>
      </c>
      <c r="AY7" s="24">
        <f>ROUND(U7-AE7-AO7,2)</f>
        <v/>
      </c>
      <c r="AZ7" s="24">
        <f>ROUND(V7-AF7-AP7,2)</f>
        <v/>
      </c>
      <c r="BA7" s="24">
        <f>ROUND(W7-AG7-AQ7,2)</f>
        <v/>
      </c>
      <c r="BB7" s="24">
        <f>SUM(AR7:BA7)</f>
        <v/>
      </c>
    </row>
    <row r="8">
      <c r="A8" t="n">
        <v>4</v>
      </c>
      <c r="B8" s="23">
        <f>EOMONTH(TODAY(),3)</f>
        <v/>
      </c>
      <c r="C8" s="24">
        <f>MAX(0,(SUM('My Loans'!$E$6:$E$15)+'My Loans'!$D$3)-SUM($X8:$AG8))</f>
        <v/>
      </c>
      <c r="D8" s="24">
        <f>MAX(0,AR7)</f>
        <v/>
      </c>
      <c r="E8" s="24">
        <f>MAX(0,AS7)</f>
        <v/>
      </c>
      <c r="F8" s="24">
        <f>MAX(0,AT7)</f>
        <v/>
      </c>
      <c r="G8" s="24">
        <f>MAX(0,AU7)</f>
        <v/>
      </c>
      <c r="H8" s="24">
        <f>MAX(0,AV7)</f>
        <v/>
      </c>
      <c r="I8" s="24">
        <f>MAX(0,AW7)</f>
        <v/>
      </c>
      <c r="J8" s="24">
        <f>MAX(0,AX7)</f>
        <v/>
      </c>
      <c r="K8" s="24">
        <f>MAX(0,AY7)</f>
        <v/>
      </c>
      <c r="L8" s="24">
        <f>MAX(0,AZ7)</f>
        <v/>
      </c>
      <c r="M8" s="24">
        <f>MAX(0,BA7)</f>
        <v/>
      </c>
      <c r="N8" s="24">
        <f>IF(D8&lt;0.5,0,D8*(1+N('My Loans'!D6)/1200))</f>
        <v/>
      </c>
      <c r="O8" s="24">
        <f>IF(E8&lt;0.5,0,E8*(1+N('My Loans'!D7)/1200))</f>
        <v/>
      </c>
      <c r="P8" s="24">
        <f>IF(F8&lt;0.5,0,F8*(1+N('My Loans'!D8)/1200))</f>
        <v/>
      </c>
      <c r="Q8" s="24">
        <f>IF(G8&lt;0.5,0,G8*(1+N('My Loans'!D9)/1200))</f>
        <v/>
      </c>
      <c r="R8" s="24">
        <f>IF(H8&lt;0.5,0,H8*(1+N('My Loans'!D10)/1200))</f>
        <v/>
      </c>
      <c r="S8" s="24">
        <f>IF(I8&lt;0.5,0,I8*(1+N('My Loans'!D11)/1200))</f>
        <v/>
      </c>
      <c r="T8" s="24">
        <f>IF(J8&lt;0.5,0,J8*(1+N('My Loans'!D12)/1200))</f>
        <v/>
      </c>
      <c r="U8" s="24">
        <f>IF(K8&lt;0.5,0,K8*(1+N('My Loans'!D13)/1200))</f>
        <v/>
      </c>
      <c r="V8" s="24">
        <f>IF(L8&lt;0.5,0,L8*(1+N('My Loans'!D14)/1200))</f>
        <v/>
      </c>
      <c r="W8" s="24">
        <f>IF(M8&lt;0.5,0,M8*(1+N('My Loans'!D15)/1200))</f>
        <v/>
      </c>
      <c r="X8" s="24">
        <f>MIN(N8,N('My Loans'!E6))</f>
        <v/>
      </c>
      <c r="Y8" s="24">
        <f>MIN(O8,N('My Loans'!E7))</f>
        <v/>
      </c>
      <c r="Z8" s="24">
        <f>MIN(P8,N('My Loans'!E8))</f>
        <v/>
      </c>
      <c r="AA8" s="24">
        <f>MIN(Q8,N('My Loans'!E9))</f>
        <v/>
      </c>
      <c r="AB8" s="24">
        <f>MIN(R8,N('My Loans'!E10))</f>
        <v/>
      </c>
      <c r="AC8" s="24">
        <f>MIN(S8,N('My Loans'!E11))</f>
        <v/>
      </c>
      <c r="AD8" s="24">
        <f>MIN(T8,N('My Loans'!E12))</f>
        <v/>
      </c>
      <c r="AE8" s="24">
        <f>MIN(U8,N('My Loans'!E13))</f>
        <v/>
      </c>
      <c r="AF8" s="24">
        <f>MIN(V8,N('My Loans'!E14))</f>
        <v/>
      </c>
      <c r="AG8" s="24">
        <f>MIN(W8,N('My Loans'!E15))</f>
        <v/>
      </c>
      <c r="AH8" s="24">
        <f>MIN(N8-X8,MAX(0,$C8-SUMPRODUCT(($D$3:$M$3&lt;D$3)*($N8:$W8-$X8:$AG8))))</f>
        <v/>
      </c>
      <c r="AI8" s="24">
        <f>MIN(O8-Y8,MAX(0,$C8-SUMPRODUCT(($D$3:$M$3&lt;E$3)*($N8:$W8-$X8:$AG8))))</f>
        <v/>
      </c>
      <c r="AJ8" s="24">
        <f>MIN(P8-Z8,MAX(0,$C8-SUMPRODUCT(($D$3:$M$3&lt;F$3)*($N8:$W8-$X8:$AG8))))</f>
        <v/>
      </c>
      <c r="AK8" s="24">
        <f>MIN(Q8-AA8,MAX(0,$C8-SUMPRODUCT(($D$3:$M$3&lt;G$3)*($N8:$W8-$X8:$AG8))))</f>
        <v/>
      </c>
      <c r="AL8" s="24">
        <f>MIN(R8-AB8,MAX(0,$C8-SUMPRODUCT(($D$3:$M$3&lt;H$3)*($N8:$W8-$X8:$AG8))))</f>
        <v/>
      </c>
      <c r="AM8" s="24">
        <f>MIN(S8-AC8,MAX(0,$C8-SUMPRODUCT(($D$3:$M$3&lt;I$3)*($N8:$W8-$X8:$AG8))))</f>
        <v/>
      </c>
      <c r="AN8" s="24">
        <f>MIN(T8-AD8,MAX(0,$C8-SUMPRODUCT(($D$3:$M$3&lt;J$3)*($N8:$W8-$X8:$AG8))))</f>
        <v/>
      </c>
      <c r="AO8" s="24">
        <f>MIN(U8-AE8,MAX(0,$C8-SUMPRODUCT(($D$3:$M$3&lt;K$3)*($N8:$W8-$X8:$AG8))))</f>
        <v/>
      </c>
      <c r="AP8" s="24">
        <f>MIN(V8-AF8,MAX(0,$C8-SUMPRODUCT(($D$3:$M$3&lt;L$3)*($N8:$W8-$X8:$AG8))))</f>
        <v/>
      </c>
      <c r="AQ8" s="24">
        <f>MIN(W8-AG8,MAX(0,$C8-SUMPRODUCT(($D$3:$M$3&lt;M$3)*($N8:$W8-$X8:$AG8))))</f>
        <v/>
      </c>
      <c r="AR8" s="24">
        <f>ROUND(N8-X8-AH8,2)</f>
        <v/>
      </c>
      <c r="AS8" s="24">
        <f>ROUND(O8-Y8-AI8,2)</f>
        <v/>
      </c>
      <c r="AT8" s="24">
        <f>ROUND(P8-Z8-AJ8,2)</f>
        <v/>
      </c>
      <c r="AU8" s="24">
        <f>ROUND(Q8-AA8-AK8,2)</f>
        <v/>
      </c>
      <c r="AV8" s="24">
        <f>ROUND(R8-AB8-AL8,2)</f>
        <v/>
      </c>
      <c r="AW8" s="24">
        <f>ROUND(S8-AC8-AM8,2)</f>
        <v/>
      </c>
      <c r="AX8" s="24">
        <f>ROUND(T8-AD8-AN8,2)</f>
        <v/>
      </c>
      <c r="AY8" s="24">
        <f>ROUND(U8-AE8-AO8,2)</f>
        <v/>
      </c>
      <c r="AZ8" s="24">
        <f>ROUND(V8-AF8-AP8,2)</f>
        <v/>
      </c>
      <c r="BA8" s="24">
        <f>ROUND(W8-AG8-AQ8,2)</f>
        <v/>
      </c>
      <c r="BB8" s="24">
        <f>SUM(AR8:BA8)</f>
        <v/>
      </c>
    </row>
    <row r="9">
      <c r="A9" t="n">
        <v>5</v>
      </c>
      <c r="B9" s="23">
        <f>EOMONTH(TODAY(),4)</f>
        <v/>
      </c>
      <c r="C9" s="24">
        <f>MAX(0,(SUM('My Loans'!$E$6:$E$15)+'My Loans'!$D$3)-SUM($X9:$AG9))</f>
        <v/>
      </c>
      <c r="D9" s="24">
        <f>MAX(0,AR8)</f>
        <v/>
      </c>
      <c r="E9" s="24">
        <f>MAX(0,AS8)</f>
        <v/>
      </c>
      <c r="F9" s="24">
        <f>MAX(0,AT8)</f>
        <v/>
      </c>
      <c r="G9" s="24">
        <f>MAX(0,AU8)</f>
        <v/>
      </c>
      <c r="H9" s="24">
        <f>MAX(0,AV8)</f>
        <v/>
      </c>
      <c r="I9" s="24">
        <f>MAX(0,AW8)</f>
        <v/>
      </c>
      <c r="J9" s="24">
        <f>MAX(0,AX8)</f>
        <v/>
      </c>
      <c r="K9" s="24">
        <f>MAX(0,AY8)</f>
        <v/>
      </c>
      <c r="L9" s="24">
        <f>MAX(0,AZ8)</f>
        <v/>
      </c>
      <c r="M9" s="24">
        <f>MAX(0,BA8)</f>
        <v/>
      </c>
      <c r="N9" s="24">
        <f>IF(D9&lt;0.5,0,D9*(1+N('My Loans'!D6)/1200))</f>
        <v/>
      </c>
      <c r="O9" s="24">
        <f>IF(E9&lt;0.5,0,E9*(1+N('My Loans'!D7)/1200))</f>
        <v/>
      </c>
      <c r="P9" s="24">
        <f>IF(F9&lt;0.5,0,F9*(1+N('My Loans'!D8)/1200))</f>
        <v/>
      </c>
      <c r="Q9" s="24">
        <f>IF(G9&lt;0.5,0,G9*(1+N('My Loans'!D9)/1200))</f>
        <v/>
      </c>
      <c r="R9" s="24">
        <f>IF(H9&lt;0.5,0,H9*(1+N('My Loans'!D10)/1200))</f>
        <v/>
      </c>
      <c r="S9" s="24">
        <f>IF(I9&lt;0.5,0,I9*(1+N('My Loans'!D11)/1200))</f>
        <v/>
      </c>
      <c r="T9" s="24">
        <f>IF(J9&lt;0.5,0,J9*(1+N('My Loans'!D12)/1200))</f>
        <v/>
      </c>
      <c r="U9" s="24">
        <f>IF(K9&lt;0.5,0,K9*(1+N('My Loans'!D13)/1200))</f>
        <v/>
      </c>
      <c r="V9" s="24">
        <f>IF(L9&lt;0.5,0,L9*(1+N('My Loans'!D14)/1200))</f>
        <v/>
      </c>
      <c r="W9" s="24">
        <f>IF(M9&lt;0.5,0,M9*(1+N('My Loans'!D15)/1200))</f>
        <v/>
      </c>
      <c r="X9" s="24">
        <f>MIN(N9,N('My Loans'!E6))</f>
        <v/>
      </c>
      <c r="Y9" s="24">
        <f>MIN(O9,N('My Loans'!E7))</f>
        <v/>
      </c>
      <c r="Z9" s="24">
        <f>MIN(P9,N('My Loans'!E8))</f>
        <v/>
      </c>
      <c r="AA9" s="24">
        <f>MIN(Q9,N('My Loans'!E9))</f>
        <v/>
      </c>
      <c r="AB9" s="24">
        <f>MIN(R9,N('My Loans'!E10))</f>
        <v/>
      </c>
      <c r="AC9" s="24">
        <f>MIN(S9,N('My Loans'!E11))</f>
        <v/>
      </c>
      <c r="AD9" s="24">
        <f>MIN(T9,N('My Loans'!E12))</f>
        <v/>
      </c>
      <c r="AE9" s="24">
        <f>MIN(U9,N('My Loans'!E13))</f>
        <v/>
      </c>
      <c r="AF9" s="24">
        <f>MIN(V9,N('My Loans'!E14))</f>
        <v/>
      </c>
      <c r="AG9" s="24">
        <f>MIN(W9,N('My Loans'!E15))</f>
        <v/>
      </c>
      <c r="AH9" s="24">
        <f>MIN(N9-X9,MAX(0,$C9-SUMPRODUCT(($D$3:$M$3&lt;D$3)*($N9:$W9-$X9:$AG9))))</f>
        <v/>
      </c>
      <c r="AI9" s="24">
        <f>MIN(O9-Y9,MAX(0,$C9-SUMPRODUCT(($D$3:$M$3&lt;E$3)*($N9:$W9-$X9:$AG9))))</f>
        <v/>
      </c>
      <c r="AJ9" s="24">
        <f>MIN(P9-Z9,MAX(0,$C9-SUMPRODUCT(($D$3:$M$3&lt;F$3)*($N9:$W9-$X9:$AG9))))</f>
        <v/>
      </c>
      <c r="AK9" s="24">
        <f>MIN(Q9-AA9,MAX(0,$C9-SUMPRODUCT(($D$3:$M$3&lt;G$3)*($N9:$W9-$X9:$AG9))))</f>
        <v/>
      </c>
      <c r="AL9" s="24">
        <f>MIN(R9-AB9,MAX(0,$C9-SUMPRODUCT(($D$3:$M$3&lt;H$3)*($N9:$W9-$X9:$AG9))))</f>
        <v/>
      </c>
      <c r="AM9" s="24">
        <f>MIN(S9-AC9,MAX(0,$C9-SUMPRODUCT(($D$3:$M$3&lt;I$3)*($N9:$W9-$X9:$AG9))))</f>
        <v/>
      </c>
      <c r="AN9" s="24">
        <f>MIN(T9-AD9,MAX(0,$C9-SUMPRODUCT(($D$3:$M$3&lt;J$3)*($N9:$W9-$X9:$AG9))))</f>
        <v/>
      </c>
      <c r="AO9" s="24">
        <f>MIN(U9-AE9,MAX(0,$C9-SUMPRODUCT(($D$3:$M$3&lt;K$3)*($N9:$W9-$X9:$AG9))))</f>
        <v/>
      </c>
      <c r="AP9" s="24">
        <f>MIN(V9-AF9,MAX(0,$C9-SUMPRODUCT(($D$3:$M$3&lt;L$3)*($N9:$W9-$X9:$AG9))))</f>
        <v/>
      </c>
      <c r="AQ9" s="24">
        <f>MIN(W9-AG9,MAX(0,$C9-SUMPRODUCT(($D$3:$M$3&lt;M$3)*($N9:$W9-$X9:$AG9))))</f>
        <v/>
      </c>
      <c r="AR9" s="24">
        <f>ROUND(N9-X9-AH9,2)</f>
        <v/>
      </c>
      <c r="AS9" s="24">
        <f>ROUND(O9-Y9-AI9,2)</f>
        <v/>
      </c>
      <c r="AT9" s="24">
        <f>ROUND(P9-Z9-AJ9,2)</f>
        <v/>
      </c>
      <c r="AU9" s="24">
        <f>ROUND(Q9-AA9-AK9,2)</f>
        <v/>
      </c>
      <c r="AV9" s="24">
        <f>ROUND(R9-AB9-AL9,2)</f>
        <v/>
      </c>
      <c r="AW9" s="24">
        <f>ROUND(S9-AC9-AM9,2)</f>
        <v/>
      </c>
      <c r="AX9" s="24">
        <f>ROUND(T9-AD9-AN9,2)</f>
        <v/>
      </c>
      <c r="AY9" s="24">
        <f>ROUND(U9-AE9-AO9,2)</f>
        <v/>
      </c>
      <c r="AZ9" s="24">
        <f>ROUND(V9-AF9-AP9,2)</f>
        <v/>
      </c>
      <c r="BA9" s="24">
        <f>ROUND(W9-AG9-AQ9,2)</f>
        <v/>
      </c>
      <c r="BB9" s="24">
        <f>SUM(AR9:BA9)</f>
        <v/>
      </c>
    </row>
    <row r="10">
      <c r="A10" t="n">
        <v>6</v>
      </c>
      <c r="B10" s="23">
        <f>EOMONTH(TODAY(),5)</f>
        <v/>
      </c>
      <c r="C10" s="24">
        <f>MAX(0,(SUM('My Loans'!$E$6:$E$15)+'My Loans'!$D$3)-SUM($X10:$AG10))</f>
        <v/>
      </c>
      <c r="D10" s="24">
        <f>MAX(0,AR9)</f>
        <v/>
      </c>
      <c r="E10" s="24">
        <f>MAX(0,AS9)</f>
        <v/>
      </c>
      <c r="F10" s="24">
        <f>MAX(0,AT9)</f>
        <v/>
      </c>
      <c r="G10" s="24">
        <f>MAX(0,AU9)</f>
        <v/>
      </c>
      <c r="H10" s="24">
        <f>MAX(0,AV9)</f>
        <v/>
      </c>
      <c r="I10" s="24">
        <f>MAX(0,AW9)</f>
        <v/>
      </c>
      <c r="J10" s="24">
        <f>MAX(0,AX9)</f>
        <v/>
      </c>
      <c r="K10" s="24">
        <f>MAX(0,AY9)</f>
        <v/>
      </c>
      <c r="L10" s="24">
        <f>MAX(0,AZ9)</f>
        <v/>
      </c>
      <c r="M10" s="24">
        <f>MAX(0,BA9)</f>
        <v/>
      </c>
      <c r="N10" s="24">
        <f>IF(D10&lt;0.5,0,D10*(1+N('My Loans'!D6)/1200))</f>
        <v/>
      </c>
      <c r="O10" s="24">
        <f>IF(E10&lt;0.5,0,E10*(1+N('My Loans'!D7)/1200))</f>
        <v/>
      </c>
      <c r="P10" s="24">
        <f>IF(F10&lt;0.5,0,F10*(1+N('My Loans'!D8)/1200))</f>
        <v/>
      </c>
      <c r="Q10" s="24">
        <f>IF(G10&lt;0.5,0,G10*(1+N('My Loans'!D9)/1200))</f>
        <v/>
      </c>
      <c r="R10" s="24">
        <f>IF(H10&lt;0.5,0,H10*(1+N('My Loans'!D10)/1200))</f>
        <v/>
      </c>
      <c r="S10" s="24">
        <f>IF(I10&lt;0.5,0,I10*(1+N('My Loans'!D11)/1200))</f>
        <v/>
      </c>
      <c r="T10" s="24">
        <f>IF(J10&lt;0.5,0,J10*(1+N('My Loans'!D12)/1200))</f>
        <v/>
      </c>
      <c r="U10" s="24">
        <f>IF(K10&lt;0.5,0,K10*(1+N('My Loans'!D13)/1200))</f>
        <v/>
      </c>
      <c r="V10" s="24">
        <f>IF(L10&lt;0.5,0,L10*(1+N('My Loans'!D14)/1200))</f>
        <v/>
      </c>
      <c r="W10" s="24">
        <f>IF(M10&lt;0.5,0,M10*(1+N('My Loans'!D15)/1200))</f>
        <v/>
      </c>
      <c r="X10" s="24">
        <f>MIN(N10,N('My Loans'!E6))</f>
        <v/>
      </c>
      <c r="Y10" s="24">
        <f>MIN(O10,N('My Loans'!E7))</f>
        <v/>
      </c>
      <c r="Z10" s="24">
        <f>MIN(P10,N('My Loans'!E8))</f>
        <v/>
      </c>
      <c r="AA10" s="24">
        <f>MIN(Q10,N('My Loans'!E9))</f>
        <v/>
      </c>
      <c r="AB10" s="24">
        <f>MIN(R10,N('My Loans'!E10))</f>
        <v/>
      </c>
      <c r="AC10" s="24">
        <f>MIN(S10,N('My Loans'!E11))</f>
        <v/>
      </c>
      <c r="AD10" s="24">
        <f>MIN(T10,N('My Loans'!E12))</f>
        <v/>
      </c>
      <c r="AE10" s="24">
        <f>MIN(U10,N('My Loans'!E13))</f>
        <v/>
      </c>
      <c r="AF10" s="24">
        <f>MIN(V10,N('My Loans'!E14))</f>
        <v/>
      </c>
      <c r="AG10" s="24">
        <f>MIN(W10,N('My Loans'!E15))</f>
        <v/>
      </c>
      <c r="AH10" s="24">
        <f>MIN(N10-X10,MAX(0,$C10-SUMPRODUCT(($D$3:$M$3&lt;D$3)*($N10:$W10-$X10:$AG10))))</f>
        <v/>
      </c>
      <c r="AI10" s="24">
        <f>MIN(O10-Y10,MAX(0,$C10-SUMPRODUCT(($D$3:$M$3&lt;E$3)*($N10:$W10-$X10:$AG10))))</f>
        <v/>
      </c>
      <c r="AJ10" s="24">
        <f>MIN(P10-Z10,MAX(0,$C10-SUMPRODUCT(($D$3:$M$3&lt;F$3)*($N10:$W10-$X10:$AG10))))</f>
        <v/>
      </c>
      <c r="AK10" s="24">
        <f>MIN(Q10-AA10,MAX(0,$C10-SUMPRODUCT(($D$3:$M$3&lt;G$3)*($N10:$W10-$X10:$AG10))))</f>
        <v/>
      </c>
      <c r="AL10" s="24">
        <f>MIN(R10-AB10,MAX(0,$C10-SUMPRODUCT(($D$3:$M$3&lt;H$3)*($N10:$W10-$X10:$AG10))))</f>
        <v/>
      </c>
      <c r="AM10" s="24">
        <f>MIN(S10-AC10,MAX(0,$C10-SUMPRODUCT(($D$3:$M$3&lt;I$3)*($N10:$W10-$X10:$AG10))))</f>
        <v/>
      </c>
      <c r="AN10" s="24">
        <f>MIN(T10-AD10,MAX(0,$C10-SUMPRODUCT(($D$3:$M$3&lt;J$3)*($N10:$W10-$X10:$AG10))))</f>
        <v/>
      </c>
      <c r="AO10" s="24">
        <f>MIN(U10-AE10,MAX(0,$C10-SUMPRODUCT(($D$3:$M$3&lt;K$3)*($N10:$W10-$X10:$AG10))))</f>
        <v/>
      </c>
      <c r="AP10" s="24">
        <f>MIN(V10-AF10,MAX(0,$C10-SUMPRODUCT(($D$3:$M$3&lt;L$3)*($N10:$W10-$X10:$AG10))))</f>
        <v/>
      </c>
      <c r="AQ10" s="24">
        <f>MIN(W10-AG10,MAX(0,$C10-SUMPRODUCT(($D$3:$M$3&lt;M$3)*($N10:$W10-$X10:$AG10))))</f>
        <v/>
      </c>
      <c r="AR10" s="24">
        <f>ROUND(N10-X10-AH10,2)</f>
        <v/>
      </c>
      <c r="AS10" s="24">
        <f>ROUND(O10-Y10-AI10,2)</f>
        <v/>
      </c>
      <c r="AT10" s="24">
        <f>ROUND(P10-Z10-AJ10,2)</f>
        <v/>
      </c>
      <c r="AU10" s="24">
        <f>ROUND(Q10-AA10-AK10,2)</f>
        <v/>
      </c>
      <c r="AV10" s="24">
        <f>ROUND(R10-AB10-AL10,2)</f>
        <v/>
      </c>
      <c r="AW10" s="24">
        <f>ROUND(S10-AC10-AM10,2)</f>
        <v/>
      </c>
      <c r="AX10" s="24">
        <f>ROUND(T10-AD10-AN10,2)</f>
        <v/>
      </c>
      <c r="AY10" s="24">
        <f>ROUND(U10-AE10-AO10,2)</f>
        <v/>
      </c>
      <c r="AZ10" s="24">
        <f>ROUND(V10-AF10-AP10,2)</f>
        <v/>
      </c>
      <c r="BA10" s="24">
        <f>ROUND(W10-AG10-AQ10,2)</f>
        <v/>
      </c>
      <c r="BB10" s="24">
        <f>SUM(AR10:BA10)</f>
        <v/>
      </c>
    </row>
    <row r="11">
      <c r="A11" t="n">
        <v>7</v>
      </c>
      <c r="B11" s="23">
        <f>EOMONTH(TODAY(),6)</f>
        <v/>
      </c>
      <c r="C11" s="24">
        <f>MAX(0,(SUM('My Loans'!$E$6:$E$15)+'My Loans'!$D$3)-SUM($X11:$AG11))</f>
        <v/>
      </c>
      <c r="D11" s="24">
        <f>MAX(0,AR10)</f>
        <v/>
      </c>
      <c r="E11" s="24">
        <f>MAX(0,AS10)</f>
        <v/>
      </c>
      <c r="F11" s="24">
        <f>MAX(0,AT10)</f>
        <v/>
      </c>
      <c r="G11" s="24">
        <f>MAX(0,AU10)</f>
        <v/>
      </c>
      <c r="H11" s="24">
        <f>MAX(0,AV10)</f>
        <v/>
      </c>
      <c r="I11" s="24">
        <f>MAX(0,AW10)</f>
        <v/>
      </c>
      <c r="J11" s="24">
        <f>MAX(0,AX10)</f>
        <v/>
      </c>
      <c r="K11" s="24">
        <f>MAX(0,AY10)</f>
        <v/>
      </c>
      <c r="L11" s="24">
        <f>MAX(0,AZ10)</f>
        <v/>
      </c>
      <c r="M11" s="24">
        <f>MAX(0,BA10)</f>
        <v/>
      </c>
      <c r="N11" s="24">
        <f>IF(D11&lt;0.5,0,D11*(1+N('My Loans'!D6)/1200))</f>
        <v/>
      </c>
      <c r="O11" s="24">
        <f>IF(E11&lt;0.5,0,E11*(1+N('My Loans'!D7)/1200))</f>
        <v/>
      </c>
      <c r="P11" s="24">
        <f>IF(F11&lt;0.5,0,F11*(1+N('My Loans'!D8)/1200))</f>
        <v/>
      </c>
      <c r="Q11" s="24">
        <f>IF(G11&lt;0.5,0,G11*(1+N('My Loans'!D9)/1200))</f>
        <v/>
      </c>
      <c r="R11" s="24">
        <f>IF(H11&lt;0.5,0,H11*(1+N('My Loans'!D10)/1200))</f>
        <v/>
      </c>
      <c r="S11" s="24">
        <f>IF(I11&lt;0.5,0,I11*(1+N('My Loans'!D11)/1200))</f>
        <v/>
      </c>
      <c r="T11" s="24">
        <f>IF(J11&lt;0.5,0,J11*(1+N('My Loans'!D12)/1200))</f>
        <v/>
      </c>
      <c r="U11" s="24">
        <f>IF(K11&lt;0.5,0,K11*(1+N('My Loans'!D13)/1200))</f>
        <v/>
      </c>
      <c r="V11" s="24">
        <f>IF(L11&lt;0.5,0,L11*(1+N('My Loans'!D14)/1200))</f>
        <v/>
      </c>
      <c r="W11" s="24">
        <f>IF(M11&lt;0.5,0,M11*(1+N('My Loans'!D15)/1200))</f>
        <v/>
      </c>
      <c r="X11" s="24">
        <f>MIN(N11,N('My Loans'!E6))</f>
        <v/>
      </c>
      <c r="Y11" s="24">
        <f>MIN(O11,N('My Loans'!E7))</f>
        <v/>
      </c>
      <c r="Z11" s="24">
        <f>MIN(P11,N('My Loans'!E8))</f>
        <v/>
      </c>
      <c r="AA11" s="24">
        <f>MIN(Q11,N('My Loans'!E9))</f>
        <v/>
      </c>
      <c r="AB11" s="24">
        <f>MIN(R11,N('My Loans'!E10))</f>
        <v/>
      </c>
      <c r="AC11" s="24">
        <f>MIN(S11,N('My Loans'!E11))</f>
        <v/>
      </c>
      <c r="AD11" s="24">
        <f>MIN(T11,N('My Loans'!E12))</f>
        <v/>
      </c>
      <c r="AE11" s="24">
        <f>MIN(U11,N('My Loans'!E13))</f>
        <v/>
      </c>
      <c r="AF11" s="24">
        <f>MIN(V11,N('My Loans'!E14))</f>
        <v/>
      </c>
      <c r="AG11" s="24">
        <f>MIN(W11,N('My Loans'!E15))</f>
        <v/>
      </c>
      <c r="AH11" s="24">
        <f>MIN(N11-X11,MAX(0,$C11-SUMPRODUCT(($D$3:$M$3&lt;D$3)*($N11:$W11-$X11:$AG11))))</f>
        <v/>
      </c>
      <c r="AI11" s="24">
        <f>MIN(O11-Y11,MAX(0,$C11-SUMPRODUCT(($D$3:$M$3&lt;E$3)*($N11:$W11-$X11:$AG11))))</f>
        <v/>
      </c>
      <c r="AJ11" s="24">
        <f>MIN(P11-Z11,MAX(0,$C11-SUMPRODUCT(($D$3:$M$3&lt;F$3)*($N11:$W11-$X11:$AG11))))</f>
        <v/>
      </c>
      <c r="AK11" s="24">
        <f>MIN(Q11-AA11,MAX(0,$C11-SUMPRODUCT(($D$3:$M$3&lt;G$3)*($N11:$W11-$X11:$AG11))))</f>
        <v/>
      </c>
      <c r="AL11" s="24">
        <f>MIN(R11-AB11,MAX(0,$C11-SUMPRODUCT(($D$3:$M$3&lt;H$3)*($N11:$W11-$X11:$AG11))))</f>
        <v/>
      </c>
      <c r="AM11" s="24">
        <f>MIN(S11-AC11,MAX(0,$C11-SUMPRODUCT(($D$3:$M$3&lt;I$3)*($N11:$W11-$X11:$AG11))))</f>
        <v/>
      </c>
      <c r="AN11" s="24">
        <f>MIN(T11-AD11,MAX(0,$C11-SUMPRODUCT(($D$3:$M$3&lt;J$3)*($N11:$W11-$X11:$AG11))))</f>
        <v/>
      </c>
      <c r="AO11" s="24">
        <f>MIN(U11-AE11,MAX(0,$C11-SUMPRODUCT(($D$3:$M$3&lt;K$3)*($N11:$W11-$X11:$AG11))))</f>
        <v/>
      </c>
      <c r="AP11" s="24">
        <f>MIN(V11-AF11,MAX(0,$C11-SUMPRODUCT(($D$3:$M$3&lt;L$3)*($N11:$W11-$X11:$AG11))))</f>
        <v/>
      </c>
      <c r="AQ11" s="24">
        <f>MIN(W11-AG11,MAX(0,$C11-SUMPRODUCT(($D$3:$M$3&lt;M$3)*($N11:$W11-$X11:$AG11))))</f>
        <v/>
      </c>
      <c r="AR11" s="24">
        <f>ROUND(N11-X11-AH11,2)</f>
        <v/>
      </c>
      <c r="AS11" s="24">
        <f>ROUND(O11-Y11-AI11,2)</f>
        <v/>
      </c>
      <c r="AT11" s="24">
        <f>ROUND(P11-Z11-AJ11,2)</f>
        <v/>
      </c>
      <c r="AU11" s="24">
        <f>ROUND(Q11-AA11-AK11,2)</f>
        <v/>
      </c>
      <c r="AV11" s="24">
        <f>ROUND(R11-AB11-AL11,2)</f>
        <v/>
      </c>
      <c r="AW11" s="24">
        <f>ROUND(S11-AC11-AM11,2)</f>
        <v/>
      </c>
      <c r="AX11" s="24">
        <f>ROUND(T11-AD11-AN11,2)</f>
        <v/>
      </c>
      <c r="AY11" s="24">
        <f>ROUND(U11-AE11-AO11,2)</f>
        <v/>
      </c>
      <c r="AZ11" s="24">
        <f>ROUND(V11-AF11-AP11,2)</f>
        <v/>
      </c>
      <c r="BA11" s="24">
        <f>ROUND(W11-AG11-AQ11,2)</f>
        <v/>
      </c>
      <c r="BB11" s="24">
        <f>SUM(AR11:BA11)</f>
        <v/>
      </c>
    </row>
    <row r="12">
      <c r="A12" t="n">
        <v>8</v>
      </c>
      <c r="B12" s="23">
        <f>EOMONTH(TODAY(),7)</f>
        <v/>
      </c>
      <c r="C12" s="24">
        <f>MAX(0,(SUM('My Loans'!$E$6:$E$15)+'My Loans'!$D$3)-SUM($X12:$AG12))</f>
        <v/>
      </c>
      <c r="D12" s="24">
        <f>MAX(0,AR11)</f>
        <v/>
      </c>
      <c r="E12" s="24">
        <f>MAX(0,AS11)</f>
        <v/>
      </c>
      <c r="F12" s="24">
        <f>MAX(0,AT11)</f>
        <v/>
      </c>
      <c r="G12" s="24">
        <f>MAX(0,AU11)</f>
        <v/>
      </c>
      <c r="H12" s="24">
        <f>MAX(0,AV11)</f>
        <v/>
      </c>
      <c r="I12" s="24">
        <f>MAX(0,AW11)</f>
        <v/>
      </c>
      <c r="J12" s="24">
        <f>MAX(0,AX11)</f>
        <v/>
      </c>
      <c r="K12" s="24">
        <f>MAX(0,AY11)</f>
        <v/>
      </c>
      <c r="L12" s="24">
        <f>MAX(0,AZ11)</f>
        <v/>
      </c>
      <c r="M12" s="24">
        <f>MAX(0,BA11)</f>
        <v/>
      </c>
      <c r="N12" s="24">
        <f>IF(D12&lt;0.5,0,D12*(1+N('My Loans'!D6)/1200))</f>
        <v/>
      </c>
      <c r="O12" s="24">
        <f>IF(E12&lt;0.5,0,E12*(1+N('My Loans'!D7)/1200))</f>
        <v/>
      </c>
      <c r="P12" s="24">
        <f>IF(F12&lt;0.5,0,F12*(1+N('My Loans'!D8)/1200))</f>
        <v/>
      </c>
      <c r="Q12" s="24">
        <f>IF(G12&lt;0.5,0,G12*(1+N('My Loans'!D9)/1200))</f>
        <v/>
      </c>
      <c r="R12" s="24">
        <f>IF(H12&lt;0.5,0,H12*(1+N('My Loans'!D10)/1200))</f>
        <v/>
      </c>
      <c r="S12" s="24">
        <f>IF(I12&lt;0.5,0,I12*(1+N('My Loans'!D11)/1200))</f>
        <v/>
      </c>
      <c r="T12" s="24">
        <f>IF(J12&lt;0.5,0,J12*(1+N('My Loans'!D12)/1200))</f>
        <v/>
      </c>
      <c r="U12" s="24">
        <f>IF(K12&lt;0.5,0,K12*(1+N('My Loans'!D13)/1200))</f>
        <v/>
      </c>
      <c r="V12" s="24">
        <f>IF(L12&lt;0.5,0,L12*(1+N('My Loans'!D14)/1200))</f>
        <v/>
      </c>
      <c r="W12" s="24">
        <f>IF(M12&lt;0.5,0,M12*(1+N('My Loans'!D15)/1200))</f>
        <v/>
      </c>
      <c r="X12" s="24">
        <f>MIN(N12,N('My Loans'!E6))</f>
        <v/>
      </c>
      <c r="Y12" s="24">
        <f>MIN(O12,N('My Loans'!E7))</f>
        <v/>
      </c>
      <c r="Z12" s="24">
        <f>MIN(P12,N('My Loans'!E8))</f>
        <v/>
      </c>
      <c r="AA12" s="24">
        <f>MIN(Q12,N('My Loans'!E9))</f>
        <v/>
      </c>
      <c r="AB12" s="24">
        <f>MIN(R12,N('My Loans'!E10))</f>
        <v/>
      </c>
      <c r="AC12" s="24">
        <f>MIN(S12,N('My Loans'!E11))</f>
        <v/>
      </c>
      <c r="AD12" s="24">
        <f>MIN(T12,N('My Loans'!E12))</f>
        <v/>
      </c>
      <c r="AE12" s="24">
        <f>MIN(U12,N('My Loans'!E13))</f>
        <v/>
      </c>
      <c r="AF12" s="24">
        <f>MIN(V12,N('My Loans'!E14))</f>
        <v/>
      </c>
      <c r="AG12" s="24">
        <f>MIN(W12,N('My Loans'!E15))</f>
        <v/>
      </c>
      <c r="AH12" s="24">
        <f>MIN(N12-X12,MAX(0,$C12-SUMPRODUCT(($D$3:$M$3&lt;D$3)*($N12:$W12-$X12:$AG12))))</f>
        <v/>
      </c>
      <c r="AI12" s="24">
        <f>MIN(O12-Y12,MAX(0,$C12-SUMPRODUCT(($D$3:$M$3&lt;E$3)*($N12:$W12-$X12:$AG12))))</f>
        <v/>
      </c>
      <c r="AJ12" s="24">
        <f>MIN(P12-Z12,MAX(0,$C12-SUMPRODUCT(($D$3:$M$3&lt;F$3)*($N12:$W12-$X12:$AG12))))</f>
        <v/>
      </c>
      <c r="AK12" s="24">
        <f>MIN(Q12-AA12,MAX(0,$C12-SUMPRODUCT(($D$3:$M$3&lt;G$3)*($N12:$W12-$X12:$AG12))))</f>
        <v/>
      </c>
      <c r="AL12" s="24">
        <f>MIN(R12-AB12,MAX(0,$C12-SUMPRODUCT(($D$3:$M$3&lt;H$3)*($N12:$W12-$X12:$AG12))))</f>
        <v/>
      </c>
      <c r="AM12" s="24">
        <f>MIN(S12-AC12,MAX(0,$C12-SUMPRODUCT(($D$3:$M$3&lt;I$3)*($N12:$W12-$X12:$AG12))))</f>
        <v/>
      </c>
      <c r="AN12" s="24">
        <f>MIN(T12-AD12,MAX(0,$C12-SUMPRODUCT(($D$3:$M$3&lt;J$3)*($N12:$W12-$X12:$AG12))))</f>
        <v/>
      </c>
      <c r="AO12" s="24">
        <f>MIN(U12-AE12,MAX(0,$C12-SUMPRODUCT(($D$3:$M$3&lt;K$3)*($N12:$W12-$X12:$AG12))))</f>
        <v/>
      </c>
      <c r="AP12" s="24">
        <f>MIN(V12-AF12,MAX(0,$C12-SUMPRODUCT(($D$3:$M$3&lt;L$3)*($N12:$W12-$X12:$AG12))))</f>
        <v/>
      </c>
      <c r="AQ12" s="24">
        <f>MIN(W12-AG12,MAX(0,$C12-SUMPRODUCT(($D$3:$M$3&lt;M$3)*($N12:$W12-$X12:$AG12))))</f>
        <v/>
      </c>
      <c r="AR12" s="24">
        <f>ROUND(N12-X12-AH12,2)</f>
        <v/>
      </c>
      <c r="AS12" s="24">
        <f>ROUND(O12-Y12-AI12,2)</f>
        <v/>
      </c>
      <c r="AT12" s="24">
        <f>ROUND(P12-Z12-AJ12,2)</f>
        <v/>
      </c>
      <c r="AU12" s="24">
        <f>ROUND(Q12-AA12-AK12,2)</f>
        <v/>
      </c>
      <c r="AV12" s="24">
        <f>ROUND(R12-AB12-AL12,2)</f>
        <v/>
      </c>
      <c r="AW12" s="24">
        <f>ROUND(S12-AC12-AM12,2)</f>
        <v/>
      </c>
      <c r="AX12" s="24">
        <f>ROUND(T12-AD12-AN12,2)</f>
        <v/>
      </c>
      <c r="AY12" s="24">
        <f>ROUND(U12-AE12-AO12,2)</f>
        <v/>
      </c>
      <c r="AZ12" s="24">
        <f>ROUND(V12-AF12-AP12,2)</f>
        <v/>
      </c>
      <c r="BA12" s="24">
        <f>ROUND(W12-AG12-AQ12,2)</f>
        <v/>
      </c>
      <c r="BB12" s="24">
        <f>SUM(AR12:BA12)</f>
        <v/>
      </c>
    </row>
    <row r="13">
      <c r="A13" t="n">
        <v>9</v>
      </c>
      <c r="B13" s="23">
        <f>EOMONTH(TODAY(),8)</f>
        <v/>
      </c>
      <c r="C13" s="24">
        <f>MAX(0,(SUM('My Loans'!$E$6:$E$15)+'My Loans'!$D$3)-SUM($X13:$AG13))</f>
        <v/>
      </c>
      <c r="D13" s="24">
        <f>MAX(0,AR12)</f>
        <v/>
      </c>
      <c r="E13" s="24">
        <f>MAX(0,AS12)</f>
        <v/>
      </c>
      <c r="F13" s="24">
        <f>MAX(0,AT12)</f>
        <v/>
      </c>
      <c r="G13" s="24">
        <f>MAX(0,AU12)</f>
        <v/>
      </c>
      <c r="H13" s="24">
        <f>MAX(0,AV12)</f>
        <v/>
      </c>
      <c r="I13" s="24">
        <f>MAX(0,AW12)</f>
        <v/>
      </c>
      <c r="J13" s="24">
        <f>MAX(0,AX12)</f>
        <v/>
      </c>
      <c r="K13" s="24">
        <f>MAX(0,AY12)</f>
        <v/>
      </c>
      <c r="L13" s="24">
        <f>MAX(0,AZ12)</f>
        <v/>
      </c>
      <c r="M13" s="24">
        <f>MAX(0,BA12)</f>
        <v/>
      </c>
      <c r="N13" s="24">
        <f>IF(D13&lt;0.5,0,D13*(1+N('My Loans'!D6)/1200))</f>
        <v/>
      </c>
      <c r="O13" s="24">
        <f>IF(E13&lt;0.5,0,E13*(1+N('My Loans'!D7)/1200))</f>
        <v/>
      </c>
      <c r="P13" s="24">
        <f>IF(F13&lt;0.5,0,F13*(1+N('My Loans'!D8)/1200))</f>
        <v/>
      </c>
      <c r="Q13" s="24">
        <f>IF(G13&lt;0.5,0,G13*(1+N('My Loans'!D9)/1200))</f>
        <v/>
      </c>
      <c r="R13" s="24">
        <f>IF(H13&lt;0.5,0,H13*(1+N('My Loans'!D10)/1200))</f>
        <v/>
      </c>
      <c r="S13" s="24">
        <f>IF(I13&lt;0.5,0,I13*(1+N('My Loans'!D11)/1200))</f>
        <v/>
      </c>
      <c r="T13" s="24">
        <f>IF(J13&lt;0.5,0,J13*(1+N('My Loans'!D12)/1200))</f>
        <v/>
      </c>
      <c r="U13" s="24">
        <f>IF(K13&lt;0.5,0,K13*(1+N('My Loans'!D13)/1200))</f>
        <v/>
      </c>
      <c r="V13" s="24">
        <f>IF(L13&lt;0.5,0,L13*(1+N('My Loans'!D14)/1200))</f>
        <v/>
      </c>
      <c r="W13" s="24">
        <f>IF(M13&lt;0.5,0,M13*(1+N('My Loans'!D15)/1200))</f>
        <v/>
      </c>
      <c r="X13" s="24">
        <f>MIN(N13,N('My Loans'!E6))</f>
        <v/>
      </c>
      <c r="Y13" s="24">
        <f>MIN(O13,N('My Loans'!E7))</f>
        <v/>
      </c>
      <c r="Z13" s="24">
        <f>MIN(P13,N('My Loans'!E8))</f>
        <v/>
      </c>
      <c r="AA13" s="24">
        <f>MIN(Q13,N('My Loans'!E9))</f>
        <v/>
      </c>
      <c r="AB13" s="24">
        <f>MIN(R13,N('My Loans'!E10))</f>
        <v/>
      </c>
      <c r="AC13" s="24">
        <f>MIN(S13,N('My Loans'!E11))</f>
        <v/>
      </c>
      <c r="AD13" s="24">
        <f>MIN(T13,N('My Loans'!E12))</f>
        <v/>
      </c>
      <c r="AE13" s="24">
        <f>MIN(U13,N('My Loans'!E13))</f>
        <v/>
      </c>
      <c r="AF13" s="24">
        <f>MIN(V13,N('My Loans'!E14))</f>
        <v/>
      </c>
      <c r="AG13" s="24">
        <f>MIN(W13,N('My Loans'!E15))</f>
        <v/>
      </c>
      <c r="AH13" s="24">
        <f>MIN(N13-X13,MAX(0,$C13-SUMPRODUCT(($D$3:$M$3&lt;D$3)*($N13:$W13-$X13:$AG13))))</f>
        <v/>
      </c>
      <c r="AI13" s="24">
        <f>MIN(O13-Y13,MAX(0,$C13-SUMPRODUCT(($D$3:$M$3&lt;E$3)*($N13:$W13-$X13:$AG13))))</f>
        <v/>
      </c>
      <c r="AJ13" s="24">
        <f>MIN(P13-Z13,MAX(0,$C13-SUMPRODUCT(($D$3:$M$3&lt;F$3)*($N13:$W13-$X13:$AG13))))</f>
        <v/>
      </c>
      <c r="AK13" s="24">
        <f>MIN(Q13-AA13,MAX(0,$C13-SUMPRODUCT(($D$3:$M$3&lt;G$3)*($N13:$W13-$X13:$AG13))))</f>
        <v/>
      </c>
      <c r="AL13" s="24">
        <f>MIN(R13-AB13,MAX(0,$C13-SUMPRODUCT(($D$3:$M$3&lt;H$3)*($N13:$W13-$X13:$AG13))))</f>
        <v/>
      </c>
      <c r="AM13" s="24">
        <f>MIN(S13-AC13,MAX(0,$C13-SUMPRODUCT(($D$3:$M$3&lt;I$3)*($N13:$W13-$X13:$AG13))))</f>
        <v/>
      </c>
      <c r="AN13" s="24">
        <f>MIN(T13-AD13,MAX(0,$C13-SUMPRODUCT(($D$3:$M$3&lt;J$3)*($N13:$W13-$X13:$AG13))))</f>
        <v/>
      </c>
      <c r="AO13" s="24">
        <f>MIN(U13-AE13,MAX(0,$C13-SUMPRODUCT(($D$3:$M$3&lt;K$3)*($N13:$W13-$X13:$AG13))))</f>
        <v/>
      </c>
      <c r="AP13" s="24">
        <f>MIN(V13-AF13,MAX(0,$C13-SUMPRODUCT(($D$3:$M$3&lt;L$3)*($N13:$W13-$X13:$AG13))))</f>
        <v/>
      </c>
      <c r="AQ13" s="24">
        <f>MIN(W13-AG13,MAX(0,$C13-SUMPRODUCT(($D$3:$M$3&lt;M$3)*($N13:$W13-$X13:$AG13))))</f>
        <v/>
      </c>
      <c r="AR13" s="24">
        <f>ROUND(N13-X13-AH13,2)</f>
        <v/>
      </c>
      <c r="AS13" s="24">
        <f>ROUND(O13-Y13-AI13,2)</f>
        <v/>
      </c>
      <c r="AT13" s="24">
        <f>ROUND(P13-Z13-AJ13,2)</f>
        <v/>
      </c>
      <c r="AU13" s="24">
        <f>ROUND(Q13-AA13-AK13,2)</f>
        <v/>
      </c>
      <c r="AV13" s="24">
        <f>ROUND(R13-AB13-AL13,2)</f>
        <v/>
      </c>
      <c r="AW13" s="24">
        <f>ROUND(S13-AC13-AM13,2)</f>
        <v/>
      </c>
      <c r="AX13" s="24">
        <f>ROUND(T13-AD13-AN13,2)</f>
        <v/>
      </c>
      <c r="AY13" s="24">
        <f>ROUND(U13-AE13-AO13,2)</f>
        <v/>
      </c>
      <c r="AZ13" s="24">
        <f>ROUND(V13-AF13-AP13,2)</f>
        <v/>
      </c>
      <c r="BA13" s="24">
        <f>ROUND(W13-AG13-AQ13,2)</f>
        <v/>
      </c>
      <c r="BB13" s="24">
        <f>SUM(AR13:BA13)</f>
        <v/>
      </c>
    </row>
    <row r="14">
      <c r="A14" t="n">
        <v>10</v>
      </c>
      <c r="B14" s="23">
        <f>EOMONTH(TODAY(),9)</f>
        <v/>
      </c>
      <c r="C14" s="24">
        <f>MAX(0,(SUM('My Loans'!$E$6:$E$15)+'My Loans'!$D$3)-SUM($X14:$AG14))</f>
        <v/>
      </c>
      <c r="D14" s="24">
        <f>MAX(0,AR13)</f>
        <v/>
      </c>
      <c r="E14" s="24">
        <f>MAX(0,AS13)</f>
        <v/>
      </c>
      <c r="F14" s="24">
        <f>MAX(0,AT13)</f>
        <v/>
      </c>
      <c r="G14" s="24">
        <f>MAX(0,AU13)</f>
        <v/>
      </c>
      <c r="H14" s="24">
        <f>MAX(0,AV13)</f>
        <v/>
      </c>
      <c r="I14" s="24">
        <f>MAX(0,AW13)</f>
        <v/>
      </c>
      <c r="J14" s="24">
        <f>MAX(0,AX13)</f>
        <v/>
      </c>
      <c r="K14" s="24">
        <f>MAX(0,AY13)</f>
        <v/>
      </c>
      <c r="L14" s="24">
        <f>MAX(0,AZ13)</f>
        <v/>
      </c>
      <c r="M14" s="24">
        <f>MAX(0,BA13)</f>
        <v/>
      </c>
      <c r="N14" s="24">
        <f>IF(D14&lt;0.5,0,D14*(1+N('My Loans'!D6)/1200))</f>
        <v/>
      </c>
      <c r="O14" s="24">
        <f>IF(E14&lt;0.5,0,E14*(1+N('My Loans'!D7)/1200))</f>
        <v/>
      </c>
      <c r="P14" s="24">
        <f>IF(F14&lt;0.5,0,F14*(1+N('My Loans'!D8)/1200))</f>
        <v/>
      </c>
      <c r="Q14" s="24">
        <f>IF(G14&lt;0.5,0,G14*(1+N('My Loans'!D9)/1200))</f>
        <v/>
      </c>
      <c r="R14" s="24">
        <f>IF(H14&lt;0.5,0,H14*(1+N('My Loans'!D10)/1200))</f>
        <v/>
      </c>
      <c r="S14" s="24">
        <f>IF(I14&lt;0.5,0,I14*(1+N('My Loans'!D11)/1200))</f>
        <v/>
      </c>
      <c r="T14" s="24">
        <f>IF(J14&lt;0.5,0,J14*(1+N('My Loans'!D12)/1200))</f>
        <v/>
      </c>
      <c r="U14" s="24">
        <f>IF(K14&lt;0.5,0,K14*(1+N('My Loans'!D13)/1200))</f>
        <v/>
      </c>
      <c r="V14" s="24">
        <f>IF(L14&lt;0.5,0,L14*(1+N('My Loans'!D14)/1200))</f>
        <v/>
      </c>
      <c r="W14" s="24">
        <f>IF(M14&lt;0.5,0,M14*(1+N('My Loans'!D15)/1200))</f>
        <v/>
      </c>
      <c r="X14" s="24">
        <f>MIN(N14,N('My Loans'!E6))</f>
        <v/>
      </c>
      <c r="Y14" s="24">
        <f>MIN(O14,N('My Loans'!E7))</f>
        <v/>
      </c>
      <c r="Z14" s="24">
        <f>MIN(P14,N('My Loans'!E8))</f>
        <v/>
      </c>
      <c r="AA14" s="24">
        <f>MIN(Q14,N('My Loans'!E9))</f>
        <v/>
      </c>
      <c r="AB14" s="24">
        <f>MIN(R14,N('My Loans'!E10))</f>
        <v/>
      </c>
      <c r="AC14" s="24">
        <f>MIN(S14,N('My Loans'!E11))</f>
        <v/>
      </c>
      <c r="AD14" s="24">
        <f>MIN(T14,N('My Loans'!E12))</f>
        <v/>
      </c>
      <c r="AE14" s="24">
        <f>MIN(U14,N('My Loans'!E13))</f>
        <v/>
      </c>
      <c r="AF14" s="24">
        <f>MIN(V14,N('My Loans'!E14))</f>
        <v/>
      </c>
      <c r="AG14" s="24">
        <f>MIN(W14,N('My Loans'!E15))</f>
        <v/>
      </c>
      <c r="AH14" s="24">
        <f>MIN(N14-X14,MAX(0,$C14-SUMPRODUCT(($D$3:$M$3&lt;D$3)*($N14:$W14-$X14:$AG14))))</f>
        <v/>
      </c>
      <c r="AI14" s="24">
        <f>MIN(O14-Y14,MAX(0,$C14-SUMPRODUCT(($D$3:$M$3&lt;E$3)*($N14:$W14-$X14:$AG14))))</f>
        <v/>
      </c>
      <c r="AJ14" s="24">
        <f>MIN(P14-Z14,MAX(0,$C14-SUMPRODUCT(($D$3:$M$3&lt;F$3)*($N14:$W14-$X14:$AG14))))</f>
        <v/>
      </c>
      <c r="AK14" s="24">
        <f>MIN(Q14-AA14,MAX(0,$C14-SUMPRODUCT(($D$3:$M$3&lt;G$3)*($N14:$W14-$X14:$AG14))))</f>
        <v/>
      </c>
      <c r="AL14" s="24">
        <f>MIN(R14-AB14,MAX(0,$C14-SUMPRODUCT(($D$3:$M$3&lt;H$3)*($N14:$W14-$X14:$AG14))))</f>
        <v/>
      </c>
      <c r="AM14" s="24">
        <f>MIN(S14-AC14,MAX(0,$C14-SUMPRODUCT(($D$3:$M$3&lt;I$3)*($N14:$W14-$X14:$AG14))))</f>
        <v/>
      </c>
      <c r="AN14" s="24">
        <f>MIN(T14-AD14,MAX(0,$C14-SUMPRODUCT(($D$3:$M$3&lt;J$3)*($N14:$W14-$X14:$AG14))))</f>
        <v/>
      </c>
      <c r="AO14" s="24">
        <f>MIN(U14-AE14,MAX(0,$C14-SUMPRODUCT(($D$3:$M$3&lt;K$3)*($N14:$W14-$X14:$AG14))))</f>
        <v/>
      </c>
      <c r="AP14" s="24">
        <f>MIN(V14-AF14,MAX(0,$C14-SUMPRODUCT(($D$3:$M$3&lt;L$3)*($N14:$W14-$X14:$AG14))))</f>
        <v/>
      </c>
      <c r="AQ14" s="24">
        <f>MIN(W14-AG14,MAX(0,$C14-SUMPRODUCT(($D$3:$M$3&lt;M$3)*($N14:$W14-$X14:$AG14))))</f>
        <v/>
      </c>
      <c r="AR14" s="24">
        <f>ROUND(N14-X14-AH14,2)</f>
        <v/>
      </c>
      <c r="AS14" s="24">
        <f>ROUND(O14-Y14-AI14,2)</f>
        <v/>
      </c>
      <c r="AT14" s="24">
        <f>ROUND(P14-Z14-AJ14,2)</f>
        <v/>
      </c>
      <c r="AU14" s="24">
        <f>ROUND(Q14-AA14-AK14,2)</f>
        <v/>
      </c>
      <c r="AV14" s="24">
        <f>ROUND(R14-AB14-AL14,2)</f>
        <v/>
      </c>
      <c r="AW14" s="24">
        <f>ROUND(S14-AC14-AM14,2)</f>
        <v/>
      </c>
      <c r="AX14" s="24">
        <f>ROUND(T14-AD14-AN14,2)</f>
        <v/>
      </c>
      <c r="AY14" s="24">
        <f>ROUND(U14-AE14-AO14,2)</f>
        <v/>
      </c>
      <c r="AZ14" s="24">
        <f>ROUND(V14-AF14-AP14,2)</f>
        <v/>
      </c>
      <c r="BA14" s="24">
        <f>ROUND(W14-AG14-AQ14,2)</f>
        <v/>
      </c>
      <c r="BB14" s="24">
        <f>SUM(AR14:BA14)</f>
        <v/>
      </c>
    </row>
    <row r="15">
      <c r="A15" t="n">
        <v>11</v>
      </c>
      <c r="B15" s="23">
        <f>EOMONTH(TODAY(),10)</f>
        <v/>
      </c>
      <c r="C15" s="24">
        <f>MAX(0,(SUM('My Loans'!$E$6:$E$15)+'My Loans'!$D$3)-SUM($X15:$AG15))</f>
        <v/>
      </c>
      <c r="D15" s="24">
        <f>MAX(0,AR14)</f>
        <v/>
      </c>
      <c r="E15" s="24">
        <f>MAX(0,AS14)</f>
        <v/>
      </c>
      <c r="F15" s="24">
        <f>MAX(0,AT14)</f>
        <v/>
      </c>
      <c r="G15" s="24">
        <f>MAX(0,AU14)</f>
        <v/>
      </c>
      <c r="H15" s="24">
        <f>MAX(0,AV14)</f>
        <v/>
      </c>
      <c r="I15" s="24">
        <f>MAX(0,AW14)</f>
        <v/>
      </c>
      <c r="J15" s="24">
        <f>MAX(0,AX14)</f>
        <v/>
      </c>
      <c r="K15" s="24">
        <f>MAX(0,AY14)</f>
        <v/>
      </c>
      <c r="L15" s="24">
        <f>MAX(0,AZ14)</f>
        <v/>
      </c>
      <c r="M15" s="24">
        <f>MAX(0,BA14)</f>
        <v/>
      </c>
      <c r="N15" s="24">
        <f>IF(D15&lt;0.5,0,D15*(1+N('My Loans'!D6)/1200))</f>
        <v/>
      </c>
      <c r="O15" s="24">
        <f>IF(E15&lt;0.5,0,E15*(1+N('My Loans'!D7)/1200))</f>
        <v/>
      </c>
      <c r="P15" s="24">
        <f>IF(F15&lt;0.5,0,F15*(1+N('My Loans'!D8)/1200))</f>
        <v/>
      </c>
      <c r="Q15" s="24">
        <f>IF(G15&lt;0.5,0,G15*(1+N('My Loans'!D9)/1200))</f>
        <v/>
      </c>
      <c r="R15" s="24">
        <f>IF(H15&lt;0.5,0,H15*(1+N('My Loans'!D10)/1200))</f>
        <v/>
      </c>
      <c r="S15" s="24">
        <f>IF(I15&lt;0.5,0,I15*(1+N('My Loans'!D11)/1200))</f>
        <v/>
      </c>
      <c r="T15" s="24">
        <f>IF(J15&lt;0.5,0,J15*(1+N('My Loans'!D12)/1200))</f>
        <v/>
      </c>
      <c r="U15" s="24">
        <f>IF(K15&lt;0.5,0,K15*(1+N('My Loans'!D13)/1200))</f>
        <v/>
      </c>
      <c r="V15" s="24">
        <f>IF(L15&lt;0.5,0,L15*(1+N('My Loans'!D14)/1200))</f>
        <v/>
      </c>
      <c r="W15" s="24">
        <f>IF(M15&lt;0.5,0,M15*(1+N('My Loans'!D15)/1200))</f>
        <v/>
      </c>
      <c r="X15" s="24">
        <f>MIN(N15,N('My Loans'!E6))</f>
        <v/>
      </c>
      <c r="Y15" s="24">
        <f>MIN(O15,N('My Loans'!E7))</f>
        <v/>
      </c>
      <c r="Z15" s="24">
        <f>MIN(P15,N('My Loans'!E8))</f>
        <v/>
      </c>
      <c r="AA15" s="24">
        <f>MIN(Q15,N('My Loans'!E9))</f>
        <v/>
      </c>
      <c r="AB15" s="24">
        <f>MIN(R15,N('My Loans'!E10))</f>
        <v/>
      </c>
      <c r="AC15" s="24">
        <f>MIN(S15,N('My Loans'!E11))</f>
        <v/>
      </c>
      <c r="AD15" s="24">
        <f>MIN(T15,N('My Loans'!E12))</f>
        <v/>
      </c>
      <c r="AE15" s="24">
        <f>MIN(U15,N('My Loans'!E13))</f>
        <v/>
      </c>
      <c r="AF15" s="24">
        <f>MIN(V15,N('My Loans'!E14))</f>
        <v/>
      </c>
      <c r="AG15" s="24">
        <f>MIN(W15,N('My Loans'!E15))</f>
        <v/>
      </c>
      <c r="AH15" s="24">
        <f>MIN(N15-X15,MAX(0,$C15-SUMPRODUCT(($D$3:$M$3&lt;D$3)*($N15:$W15-$X15:$AG15))))</f>
        <v/>
      </c>
      <c r="AI15" s="24">
        <f>MIN(O15-Y15,MAX(0,$C15-SUMPRODUCT(($D$3:$M$3&lt;E$3)*($N15:$W15-$X15:$AG15))))</f>
        <v/>
      </c>
      <c r="AJ15" s="24">
        <f>MIN(P15-Z15,MAX(0,$C15-SUMPRODUCT(($D$3:$M$3&lt;F$3)*($N15:$W15-$X15:$AG15))))</f>
        <v/>
      </c>
      <c r="AK15" s="24">
        <f>MIN(Q15-AA15,MAX(0,$C15-SUMPRODUCT(($D$3:$M$3&lt;G$3)*($N15:$W15-$X15:$AG15))))</f>
        <v/>
      </c>
      <c r="AL15" s="24">
        <f>MIN(R15-AB15,MAX(0,$C15-SUMPRODUCT(($D$3:$M$3&lt;H$3)*($N15:$W15-$X15:$AG15))))</f>
        <v/>
      </c>
      <c r="AM15" s="24">
        <f>MIN(S15-AC15,MAX(0,$C15-SUMPRODUCT(($D$3:$M$3&lt;I$3)*($N15:$W15-$X15:$AG15))))</f>
        <v/>
      </c>
      <c r="AN15" s="24">
        <f>MIN(T15-AD15,MAX(0,$C15-SUMPRODUCT(($D$3:$M$3&lt;J$3)*($N15:$W15-$X15:$AG15))))</f>
        <v/>
      </c>
      <c r="AO15" s="24">
        <f>MIN(U15-AE15,MAX(0,$C15-SUMPRODUCT(($D$3:$M$3&lt;K$3)*($N15:$W15-$X15:$AG15))))</f>
        <v/>
      </c>
      <c r="AP15" s="24">
        <f>MIN(V15-AF15,MAX(0,$C15-SUMPRODUCT(($D$3:$M$3&lt;L$3)*($N15:$W15-$X15:$AG15))))</f>
        <v/>
      </c>
      <c r="AQ15" s="24">
        <f>MIN(W15-AG15,MAX(0,$C15-SUMPRODUCT(($D$3:$M$3&lt;M$3)*($N15:$W15-$X15:$AG15))))</f>
        <v/>
      </c>
      <c r="AR15" s="24">
        <f>ROUND(N15-X15-AH15,2)</f>
        <v/>
      </c>
      <c r="AS15" s="24">
        <f>ROUND(O15-Y15-AI15,2)</f>
        <v/>
      </c>
      <c r="AT15" s="24">
        <f>ROUND(P15-Z15-AJ15,2)</f>
        <v/>
      </c>
      <c r="AU15" s="24">
        <f>ROUND(Q15-AA15-AK15,2)</f>
        <v/>
      </c>
      <c r="AV15" s="24">
        <f>ROUND(R15-AB15-AL15,2)</f>
        <v/>
      </c>
      <c r="AW15" s="24">
        <f>ROUND(S15-AC15-AM15,2)</f>
        <v/>
      </c>
      <c r="AX15" s="24">
        <f>ROUND(T15-AD15-AN15,2)</f>
        <v/>
      </c>
      <c r="AY15" s="24">
        <f>ROUND(U15-AE15-AO15,2)</f>
        <v/>
      </c>
      <c r="AZ15" s="24">
        <f>ROUND(V15-AF15-AP15,2)</f>
        <v/>
      </c>
      <c r="BA15" s="24">
        <f>ROUND(W15-AG15-AQ15,2)</f>
        <v/>
      </c>
      <c r="BB15" s="24">
        <f>SUM(AR15:BA15)</f>
        <v/>
      </c>
    </row>
    <row r="16">
      <c r="A16" t="n">
        <v>12</v>
      </c>
      <c r="B16" s="23">
        <f>EOMONTH(TODAY(),11)</f>
        <v/>
      </c>
      <c r="C16" s="24">
        <f>MAX(0,(SUM('My Loans'!$E$6:$E$15)+'My Loans'!$D$3)-SUM($X16:$AG16))</f>
        <v/>
      </c>
      <c r="D16" s="24">
        <f>MAX(0,AR15)</f>
        <v/>
      </c>
      <c r="E16" s="24">
        <f>MAX(0,AS15)</f>
        <v/>
      </c>
      <c r="F16" s="24">
        <f>MAX(0,AT15)</f>
        <v/>
      </c>
      <c r="G16" s="24">
        <f>MAX(0,AU15)</f>
        <v/>
      </c>
      <c r="H16" s="24">
        <f>MAX(0,AV15)</f>
        <v/>
      </c>
      <c r="I16" s="24">
        <f>MAX(0,AW15)</f>
        <v/>
      </c>
      <c r="J16" s="24">
        <f>MAX(0,AX15)</f>
        <v/>
      </c>
      <c r="K16" s="24">
        <f>MAX(0,AY15)</f>
        <v/>
      </c>
      <c r="L16" s="24">
        <f>MAX(0,AZ15)</f>
        <v/>
      </c>
      <c r="M16" s="24">
        <f>MAX(0,BA15)</f>
        <v/>
      </c>
      <c r="N16" s="24">
        <f>IF(D16&lt;0.5,0,D16*(1+N('My Loans'!D6)/1200))</f>
        <v/>
      </c>
      <c r="O16" s="24">
        <f>IF(E16&lt;0.5,0,E16*(1+N('My Loans'!D7)/1200))</f>
        <v/>
      </c>
      <c r="P16" s="24">
        <f>IF(F16&lt;0.5,0,F16*(1+N('My Loans'!D8)/1200))</f>
        <v/>
      </c>
      <c r="Q16" s="24">
        <f>IF(G16&lt;0.5,0,G16*(1+N('My Loans'!D9)/1200))</f>
        <v/>
      </c>
      <c r="R16" s="24">
        <f>IF(H16&lt;0.5,0,H16*(1+N('My Loans'!D10)/1200))</f>
        <v/>
      </c>
      <c r="S16" s="24">
        <f>IF(I16&lt;0.5,0,I16*(1+N('My Loans'!D11)/1200))</f>
        <v/>
      </c>
      <c r="T16" s="24">
        <f>IF(J16&lt;0.5,0,J16*(1+N('My Loans'!D12)/1200))</f>
        <v/>
      </c>
      <c r="U16" s="24">
        <f>IF(K16&lt;0.5,0,K16*(1+N('My Loans'!D13)/1200))</f>
        <v/>
      </c>
      <c r="V16" s="24">
        <f>IF(L16&lt;0.5,0,L16*(1+N('My Loans'!D14)/1200))</f>
        <v/>
      </c>
      <c r="W16" s="24">
        <f>IF(M16&lt;0.5,0,M16*(1+N('My Loans'!D15)/1200))</f>
        <v/>
      </c>
      <c r="X16" s="24">
        <f>MIN(N16,N('My Loans'!E6))</f>
        <v/>
      </c>
      <c r="Y16" s="24">
        <f>MIN(O16,N('My Loans'!E7))</f>
        <v/>
      </c>
      <c r="Z16" s="24">
        <f>MIN(P16,N('My Loans'!E8))</f>
        <v/>
      </c>
      <c r="AA16" s="24">
        <f>MIN(Q16,N('My Loans'!E9))</f>
        <v/>
      </c>
      <c r="AB16" s="24">
        <f>MIN(R16,N('My Loans'!E10))</f>
        <v/>
      </c>
      <c r="AC16" s="24">
        <f>MIN(S16,N('My Loans'!E11))</f>
        <v/>
      </c>
      <c r="AD16" s="24">
        <f>MIN(T16,N('My Loans'!E12))</f>
        <v/>
      </c>
      <c r="AE16" s="24">
        <f>MIN(U16,N('My Loans'!E13))</f>
        <v/>
      </c>
      <c r="AF16" s="24">
        <f>MIN(V16,N('My Loans'!E14))</f>
        <v/>
      </c>
      <c r="AG16" s="24">
        <f>MIN(W16,N('My Loans'!E15))</f>
        <v/>
      </c>
      <c r="AH16" s="24">
        <f>MIN(N16-X16,MAX(0,$C16-SUMPRODUCT(($D$3:$M$3&lt;D$3)*($N16:$W16-$X16:$AG16))))</f>
        <v/>
      </c>
      <c r="AI16" s="24">
        <f>MIN(O16-Y16,MAX(0,$C16-SUMPRODUCT(($D$3:$M$3&lt;E$3)*($N16:$W16-$X16:$AG16))))</f>
        <v/>
      </c>
      <c r="AJ16" s="24">
        <f>MIN(P16-Z16,MAX(0,$C16-SUMPRODUCT(($D$3:$M$3&lt;F$3)*($N16:$W16-$X16:$AG16))))</f>
        <v/>
      </c>
      <c r="AK16" s="24">
        <f>MIN(Q16-AA16,MAX(0,$C16-SUMPRODUCT(($D$3:$M$3&lt;G$3)*($N16:$W16-$X16:$AG16))))</f>
        <v/>
      </c>
      <c r="AL16" s="24">
        <f>MIN(R16-AB16,MAX(0,$C16-SUMPRODUCT(($D$3:$M$3&lt;H$3)*($N16:$W16-$X16:$AG16))))</f>
        <v/>
      </c>
      <c r="AM16" s="24">
        <f>MIN(S16-AC16,MAX(0,$C16-SUMPRODUCT(($D$3:$M$3&lt;I$3)*($N16:$W16-$X16:$AG16))))</f>
        <v/>
      </c>
      <c r="AN16" s="24">
        <f>MIN(T16-AD16,MAX(0,$C16-SUMPRODUCT(($D$3:$M$3&lt;J$3)*($N16:$W16-$X16:$AG16))))</f>
        <v/>
      </c>
      <c r="AO16" s="24">
        <f>MIN(U16-AE16,MAX(0,$C16-SUMPRODUCT(($D$3:$M$3&lt;K$3)*($N16:$W16-$X16:$AG16))))</f>
        <v/>
      </c>
      <c r="AP16" s="24">
        <f>MIN(V16-AF16,MAX(0,$C16-SUMPRODUCT(($D$3:$M$3&lt;L$3)*($N16:$W16-$X16:$AG16))))</f>
        <v/>
      </c>
      <c r="AQ16" s="24">
        <f>MIN(W16-AG16,MAX(0,$C16-SUMPRODUCT(($D$3:$M$3&lt;M$3)*($N16:$W16-$X16:$AG16))))</f>
        <v/>
      </c>
      <c r="AR16" s="24">
        <f>ROUND(N16-X16-AH16,2)</f>
        <v/>
      </c>
      <c r="AS16" s="24">
        <f>ROUND(O16-Y16-AI16,2)</f>
        <v/>
      </c>
      <c r="AT16" s="24">
        <f>ROUND(P16-Z16-AJ16,2)</f>
        <v/>
      </c>
      <c r="AU16" s="24">
        <f>ROUND(Q16-AA16-AK16,2)</f>
        <v/>
      </c>
      <c r="AV16" s="24">
        <f>ROUND(R16-AB16-AL16,2)</f>
        <v/>
      </c>
      <c r="AW16" s="24">
        <f>ROUND(S16-AC16-AM16,2)</f>
        <v/>
      </c>
      <c r="AX16" s="24">
        <f>ROUND(T16-AD16-AN16,2)</f>
        <v/>
      </c>
      <c r="AY16" s="24">
        <f>ROUND(U16-AE16-AO16,2)</f>
        <v/>
      </c>
      <c r="AZ16" s="24">
        <f>ROUND(V16-AF16-AP16,2)</f>
        <v/>
      </c>
      <c r="BA16" s="24">
        <f>ROUND(W16-AG16-AQ16,2)</f>
        <v/>
      </c>
      <c r="BB16" s="24">
        <f>SUM(AR16:BA16)</f>
        <v/>
      </c>
    </row>
    <row r="17">
      <c r="A17" t="n">
        <v>13</v>
      </c>
      <c r="B17" s="23">
        <f>EOMONTH(TODAY(),12)</f>
        <v/>
      </c>
      <c r="C17" s="24">
        <f>MAX(0,(SUM('My Loans'!$E$6:$E$15)+'My Loans'!$D$3)-SUM($X17:$AG17))</f>
        <v/>
      </c>
      <c r="D17" s="24">
        <f>MAX(0,AR16)</f>
        <v/>
      </c>
      <c r="E17" s="24">
        <f>MAX(0,AS16)</f>
        <v/>
      </c>
      <c r="F17" s="24">
        <f>MAX(0,AT16)</f>
        <v/>
      </c>
      <c r="G17" s="24">
        <f>MAX(0,AU16)</f>
        <v/>
      </c>
      <c r="H17" s="24">
        <f>MAX(0,AV16)</f>
        <v/>
      </c>
      <c r="I17" s="24">
        <f>MAX(0,AW16)</f>
        <v/>
      </c>
      <c r="J17" s="24">
        <f>MAX(0,AX16)</f>
        <v/>
      </c>
      <c r="K17" s="24">
        <f>MAX(0,AY16)</f>
        <v/>
      </c>
      <c r="L17" s="24">
        <f>MAX(0,AZ16)</f>
        <v/>
      </c>
      <c r="M17" s="24">
        <f>MAX(0,BA16)</f>
        <v/>
      </c>
      <c r="N17" s="24">
        <f>IF(D17&lt;0.5,0,D17*(1+N('My Loans'!D6)/1200))</f>
        <v/>
      </c>
      <c r="O17" s="24">
        <f>IF(E17&lt;0.5,0,E17*(1+N('My Loans'!D7)/1200))</f>
        <v/>
      </c>
      <c r="P17" s="24">
        <f>IF(F17&lt;0.5,0,F17*(1+N('My Loans'!D8)/1200))</f>
        <v/>
      </c>
      <c r="Q17" s="24">
        <f>IF(G17&lt;0.5,0,G17*(1+N('My Loans'!D9)/1200))</f>
        <v/>
      </c>
      <c r="R17" s="24">
        <f>IF(H17&lt;0.5,0,H17*(1+N('My Loans'!D10)/1200))</f>
        <v/>
      </c>
      <c r="S17" s="24">
        <f>IF(I17&lt;0.5,0,I17*(1+N('My Loans'!D11)/1200))</f>
        <v/>
      </c>
      <c r="T17" s="24">
        <f>IF(J17&lt;0.5,0,J17*(1+N('My Loans'!D12)/1200))</f>
        <v/>
      </c>
      <c r="U17" s="24">
        <f>IF(K17&lt;0.5,0,K17*(1+N('My Loans'!D13)/1200))</f>
        <v/>
      </c>
      <c r="V17" s="24">
        <f>IF(L17&lt;0.5,0,L17*(1+N('My Loans'!D14)/1200))</f>
        <v/>
      </c>
      <c r="W17" s="24">
        <f>IF(M17&lt;0.5,0,M17*(1+N('My Loans'!D15)/1200))</f>
        <v/>
      </c>
      <c r="X17" s="24">
        <f>MIN(N17,N('My Loans'!E6))</f>
        <v/>
      </c>
      <c r="Y17" s="24">
        <f>MIN(O17,N('My Loans'!E7))</f>
        <v/>
      </c>
      <c r="Z17" s="24">
        <f>MIN(P17,N('My Loans'!E8))</f>
        <v/>
      </c>
      <c r="AA17" s="24">
        <f>MIN(Q17,N('My Loans'!E9))</f>
        <v/>
      </c>
      <c r="AB17" s="24">
        <f>MIN(R17,N('My Loans'!E10))</f>
        <v/>
      </c>
      <c r="AC17" s="24">
        <f>MIN(S17,N('My Loans'!E11))</f>
        <v/>
      </c>
      <c r="AD17" s="24">
        <f>MIN(T17,N('My Loans'!E12))</f>
        <v/>
      </c>
      <c r="AE17" s="24">
        <f>MIN(U17,N('My Loans'!E13))</f>
        <v/>
      </c>
      <c r="AF17" s="24">
        <f>MIN(V17,N('My Loans'!E14))</f>
        <v/>
      </c>
      <c r="AG17" s="24">
        <f>MIN(W17,N('My Loans'!E15))</f>
        <v/>
      </c>
      <c r="AH17" s="24">
        <f>MIN(N17-X17,MAX(0,$C17-SUMPRODUCT(($D$3:$M$3&lt;D$3)*($N17:$W17-$X17:$AG17))))</f>
        <v/>
      </c>
      <c r="AI17" s="24">
        <f>MIN(O17-Y17,MAX(0,$C17-SUMPRODUCT(($D$3:$M$3&lt;E$3)*($N17:$W17-$X17:$AG17))))</f>
        <v/>
      </c>
      <c r="AJ17" s="24">
        <f>MIN(P17-Z17,MAX(0,$C17-SUMPRODUCT(($D$3:$M$3&lt;F$3)*($N17:$W17-$X17:$AG17))))</f>
        <v/>
      </c>
      <c r="AK17" s="24">
        <f>MIN(Q17-AA17,MAX(0,$C17-SUMPRODUCT(($D$3:$M$3&lt;G$3)*($N17:$W17-$X17:$AG17))))</f>
        <v/>
      </c>
      <c r="AL17" s="24">
        <f>MIN(R17-AB17,MAX(0,$C17-SUMPRODUCT(($D$3:$M$3&lt;H$3)*($N17:$W17-$X17:$AG17))))</f>
        <v/>
      </c>
      <c r="AM17" s="24">
        <f>MIN(S17-AC17,MAX(0,$C17-SUMPRODUCT(($D$3:$M$3&lt;I$3)*($N17:$W17-$X17:$AG17))))</f>
        <v/>
      </c>
      <c r="AN17" s="24">
        <f>MIN(T17-AD17,MAX(0,$C17-SUMPRODUCT(($D$3:$M$3&lt;J$3)*($N17:$W17-$X17:$AG17))))</f>
        <v/>
      </c>
      <c r="AO17" s="24">
        <f>MIN(U17-AE17,MAX(0,$C17-SUMPRODUCT(($D$3:$M$3&lt;K$3)*($N17:$W17-$X17:$AG17))))</f>
        <v/>
      </c>
      <c r="AP17" s="24">
        <f>MIN(V17-AF17,MAX(0,$C17-SUMPRODUCT(($D$3:$M$3&lt;L$3)*($N17:$W17-$X17:$AG17))))</f>
        <v/>
      </c>
      <c r="AQ17" s="24">
        <f>MIN(W17-AG17,MAX(0,$C17-SUMPRODUCT(($D$3:$M$3&lt;M$3)*($N17:$W17-$X17:$AG17))))</f>
        <v/>
      </c>
      <c r="AR17" s="24">
        <f>ROUND(N17-X17-AH17,2)</f>
        <v/>
      </c>
      <c r="AS17" s="24">
        <f>ROUND(O17-Y17-AI17,2)</f>
        <v/>
      </c>
      <c r="AT17" s="24">
        <f>ROUND(P17-Z17-AJ17,2)</f>
        <v/>
      </c>
      <c r="AU17" s="24">
        <f>ROUND(Q17-AA17-AK17,2)</f>
        <v/>
      </c>
      <c r="AV17" s="24">
        <f>ROUND(R17-AB17-AL17,2)</f>
        <v/>
      </c>
      <c r="AW17" s="24">
        <f>ROUND(S17-AC17-AM17,2)</f>
        <v/>
      </c>
      <c r="AX17" s="24">
        <f>ROUND(T17-AD17-AN17,2)</f>
        <v/>
      </c>
      <c r="AY17" s="24">
        <f>ROUND(U17-AE17-AO17,2)</f>
        <v/>
      </c>
      <c r="AZ17" s="24">
        <f>ROUND(V17-AF17-AP17,2)</f>
        <v/>
      </c>
      <c r="BA17" s="24">
        <f>ROUND(W17-AG17-AQ17,2)</f>
        <v/>
      </c>
      <c r="BB17" s="24">
        <f>SUM(AR17:BA17)</f>
        <v/>
      </c>
    </row>
    <row r="18">
      <c r="A18" t="n">
        <v>14</v>
      </c>
      <c r="B18" s="23">
        <f>EOMONTH(TODAY(),13)</f>
        <v/>
      </c>
      <c r="C18" s="24">
        <f>MAX(0,(SUM('My Loans'!$E$6:$E$15)+'My Loans'!$D$3)-SUM($X18:$AG18))</f>
        <v/>
      </c>
      <c r="D18" s="24">
        <f>MAX(0,AR17)</f>
        <v/>
      </c>
      <c r="E18" s="24">
        <f>MAX(0,AS17)</f>
        <v/>
      </c>
      <c r="F18" s="24">
        <f>MAX(0,AT17)</f>
        <v/>
      </c>
      <c r="G18" s="24">
        <f>MAX(0,AU17)</f>
        <v/>
      </c>
      <c r="H18" s="24">
        <f>MAX(0,AV17)</f>
        <v/>
      </c>
      <c r="I18" s="24">
        <f>MAX(0,AW17)</f>
        <v/>
      </c>
      <c r="J18" s="24">
        <f>MAX(0,AX17)</f>
        <v/>
      </c>
      <c r="K18" s="24">
        <f>MAX(0,AY17)</f>
        <v/>
      </c>
      <c r="L18" s="24">
        <f>MAX(0,AZ17)</f>
        <v/>
      </c>
      <c r="M18" s="24">
        <f>MAX(0,BA17)</f>
        <v/>
      </c>
      <c r="N18" s="24">
        <f>IF(D18&lt;0.5,0,D18*(1+N('My Loans'!D6)/1200))</f>
        <v/>
      </c>
      <c r="O18" s="24">
        <f>IF(E18&lt;0.5,0,E18*(1+N('My Loans'!D7)/1200))</f>
        <v/>
      </c>
      <c r="P18" s="24">
        <f>IF(F18&lt;0.5,0,F18*(1+N('My Loans'!D8)/1200))</f>
        <v/>
      </c>
      <c r="Q18" s="24">
        <f>IF(G18&lt;0.5,0,G18*(1+N('My Loans'!D9)/1200))</f>
        <v/>
      </c>
      <c r="R18" s="24">
        <f>IF(H18&lt;0.5,0,H18*(1+N('My Loans'!D10)/1200))</f>
        <v/>
      </c>
      <c r="S18" s="24">
        <f>IF(I18&lt;0.5,0,I18*(1+N('My Loans'!D11)/1200))</f>
        <v/>
      </c>
      <c r="T18" s="24">
        <f>IF(J18&lt;0.5,0,J18*(1+N('My Loans'!D12)/1200))</f>
        <v/>
      </c>
      <c r="U18" s="24">
        <f>IF(K18&lt;0.5,0,K18*(1+N('My Loans'!D13)/1200))</f>
        <v/>
      </c>
      <c r="V18" s="24">
        <f>IF(L18&lt;0.5,0,L18*(1+N('My Loans'!D14)/1200))</f>
        <v/>
      </c>
      <c r="W18" s="24">
        <f>IF(M18&lt;0.5,0,M18*(1+N('My Loans'!D15)/1200))</f>
        <v/>
      </c>
      <c r="X18" s="24">
        <f>MIN(N18,N('My Loans'!E6))</f>
        <v/>
      </c>
      <c r="Y18" s="24">
        <f>MIN(O18,N('My Loans'!E7))</f>
        <v/>
      </c>
      <c r="Z18" s="24">
        <f>MIN(P18,N('My Loans'!E8))</f>
        <v/>
      </c>
      <c r="AA18" s="24">
        <f>MIN(Q18,N('My Loans'!E9))</f>
        <v/>
      </c>
      <c r="AB18" s="24">
        <f>MIN(R18,N('My Loans'!E10))</f>
        <v/>
      </c>
      <c r="AC18" s="24">
        <f>MIN(S18,N('My Loans'!E11))</f>
        <v/>
      </c>
      <c r="AD18" s="24">
        <f>MIN(T18,N('My Loans'!E12))</f>
        <v/>
      </c>
      <c r="AE18" s="24">
        <f>MIN(U18,N('My Loans'!E13))</f>
        <v/>
      </c>
      <c r="AF18" s="24">
        <f>MIN(V18,N('My Loans'!E14))</f>
        <v/>
      </c>
      <c r="AG18" s="24">
        <f>MIN(W18,N('My Loans'!E15))</f>
        <v/>
      </c>
      <c r="AH18" s="24">
        <f>MIN(N18-X18,MAX(0,$C18-SUMPRODUCT(($D$3:$M$3&lt;D$3)*($N18:$W18-$X18:$AG18))))</f>
        <v/>
      </c>
      <c r="AI18" s="24">
        <f>MIN(O18-Y18,MAX(0,$C18-SUMPRODUCT(($D$3:$M$3&lt;E$3)*($N18:$W18-$X18:$AG18))))</f>
        <v/>
      </c>
      <c r="AJ18" s="24">
        <f>MIN(P18-Z18,MAX(0,$C18-SUMPRODUCT(($D$3:$M$3&lt;F$3)*($N18:$W18-$X18:$AG18))))</f>
        <v/>
      </c>
      <c r="AK18" s="24">
        <f>MIN(Q18-AA18,MAX(0,$C18-SUMPRODUCT(($D$3:$M$3&lt;G$3)*($N18:$W18-$X18:$AG18))))</f>
        <v/>
      </c>
      <c r="AL18" s="24">
        <f>MIN(R18-AB18,MAX(0,$C18-SUMPRODUCT(($D$3:$M$3&lt;H$3)*($N18:$W18-$X18:$AG18))))</f>
        <v/>
      </c>
      <c r="AM18" s="24">
        <f>MIN(S18-AC18,MAX(0,$C18-SUMPRODUCT(($D$3:$M$3&lt;I$3)*($N18:$W18-$X18:$AG18))))</f>
        <v/>
      </c>
      <c r="AN18" s="24">
        <f>MIN(T18-AD18,MAX(0,$C18-SUMPRODUCT(($D$3:$M$3&lt;J$3)*($N18:$W18-$X18:$AG18))))</f>
        <v/>
      </c>
      <c r="AO18" s="24">
        <f>MIN(U18-AE18,MAX(0,$C18-SUMPRODUCT(($D$3:$M$3&lt;K$3)*($N18:$W18-$X18:$AG18))))</f>
        <v/>
      </c>
      <c r="AP18" s="24">
        <f>MIN(V18-AF18,MAX(0,$C18-SUMPRODUCT(($D$3:$M$3&lt;L$3)*($N18:$W18-$X18:$AG18))))</f>
        <v/>
      </c>
      <c r="AQ18" s="24">
        <f>MIN(W18-AG18,MAX(0,$C18-SUMPRODUCT(($D$3:$M$3&lt;M$3)*($N18:$W18-$X18:$AG18))))</f>
        <v/>
      </c>
      <c r="AR18" s="24">
        <f>ROUND(N18-X18-AH18,2)</f>
        <v/>
      </c>
      <c r="AS18" s="24">
        <f>ROUND(O18-Y18-AI18,2)</f>
        <v/>
      </c>
      <c r="AT18" s="24">
        <f>ROUND(P18-Z18-AJ18,2)</f>
        <v/>
      </c>
      <c r="AU18" s="24">
        <f>ROUND(Q18-AA18-AK18,2)</f>
        <v/>
      </c>
      <c r="AV18" s="24">
        <f>ROUND(R18-AB18-AL18,2)</f>
        <v/>
      </c>
      <c r="AW18" s="24">
        <f>ROUND(S18-AC18-AM18,2)</f>
        <v/>
      </c>
      <c r="AX18" s="24">
        <f>ROUND(T18-AD18-AN18,2)</f>
        <v/>
      </c>
      <c r="AY18" s="24">
        <f>ROUND(U18-AE18-AO18,2)</f>
        <v/>
      </c>
      <c r="AZ18" s="24">
        <f>ROUND(V18-AF18-AP18,2)</f>
        <v/>
      </c>
      <c r="BA18" s="24">
        <f>ROUND(W18-AG18-AQ18,2)</f>
        <v/>
      </c>
      <c r="BB18" s="24">
        <f>SUM(AR18:BA18)</f>
        <v/>
      </c>
    </row>
    <row r="19">
      <c r="A19" t="n">
        <v>15</v>
      </c>
      <c r="B19" s="23">
        <f>EOMONTH(TODAY(),14)</f>
        <v/>
      </c>
      <c r="C19" s="24">
        <f>MAX(0,(SUM('My Loans'!$E$6:$E$15)+'My Loans'!$D$3)-SUM($X19:$AG19))</f>
        <v/>
      </c>
      <c r="D19" s="24">
        <f>MAX(0,AR18)</f>
        <v/>
      </c>
      <c r="E19" s="24">
        <f>MAX(0,AS18)</f>
        <v/>
      </c>
      <c r="F19" s="24">
        <f>MAX(0,AT18)</f>
        <v/>
      </c>
      <c r="G19" s="24">
        <f>MAX(0,AU18)</f>
        <v/>
      </c>
      <c r="H19" s="24">
        <f>MAX(0,AV18)</f>
        <v/>
      </c>
      <c r="I19" s="24">
        <f>MAX(0,AW18)</f>
        <v/>
      </c>
      <c r="J19" s="24">
        <f>MAX(0,AX18)</f>
        <v/>
      </c>
      <c r="K19" s="24">
        <f>MAX(0,AY18)</f>
        <v/>
      </c>
      <c r="L19" s="24">
        <f>MAX(0,AZ18)</f>
        <v/>
      </c>
      <c r="M19" s="24">
        <f>MAX(0,BA18)</f>
        <v/>
      </c>
      <c r="N19" s="24">
        <f>IF(D19&lt;0.5,0,D19*(1+N('My Loans'!D6)/1200))</f>
        <v/>
      </c>
      <c r="O19" s="24">
        <f>IF(E19&lt;0.5,0,E19*(1+N('My Loans'!D7)/1200))</f>
        <v/>
      </c>
      <c r="P19" s="24">
        <f>IF(F19&lt;0.5,0,F19*(1+N('My Loans'!D8)/1200))</f>
        <v/>
      </c>
      <c r="Q19" s="24">
        <f>IF(G19&lt;0.5,0,G19*(1+N('My Loans'!D9)/1200))</f>
        <v/>
      </c>
      <c r="R19" s="24">
        <f>IF(H19&lt;0.5,0,H19*(1+N('My Loans'!D10)/1200))</f>
        <v/>
      </c>
      <c r="S19" s="24">
        <f>IF(I19&lt;0.5,0,I19*(1+N('My Loans'!D11)/1200))</f>
        <v/>
      </c>
      <c r="T19" s="24">
        <f>IF(J19&lt;0.5,0,J19*(1+N('My Loans'!D12)/1200))</f>
        <v/>
      </c>
      <c r="U19" s="24">
        <f>IF(K19&lt;0.5,0,K19*(1+N('My Loans'!D13)/1200))</f>
        <v/>
      </c>
      <c r="V19" s="24">
        <f>IF(L19&lt;0.5,0,L19*(1+N('My Loans'!D14)/1200))</f>
        <v/>
      </c>
      <c r="W19" s="24">
        <f>IF(M19&lt;0.5,0,M19*(1+N('My Loans'!D15)/1200))</f>
        <v/>
      </c>
      <c r="X19" s="24">
        <f>MIN(N19,N('My Loans'!E6))</f>
        <v/>
      </c>
      <c r="Y19" s="24">
        <f>MIN(O19,N('My Loans'!E7))</f>
        <v/>
      </c>
      <c r="Z19" s="24">
        <f>MIN(P19,N('My Loans'!E8))</f>
        <v/>
      </c>
      <c r="AA19" s="24">
        <f>MIN(Q19,N('My Loans'!E9))</f>
        <v/>
      </c>
      <c r="AB19" s="24">
        <f>MIN(R19,N('My Loans'!E10))</f>
        <v/>
      </c>
      <c r="AC19" s="24">
        <f>MIN(S19,N('My Loans'!E11))</f>
        <v/>
      </c>
      <c r="AD19" s="24">
        <f>MIN(T19,N('My Loans'!E12))</f>
        <v/>
      </c>
      <c r="AE19" s="24">
        <f>MIN(U19,N('My Loans'!E13))</f>
        <v/>
      </c>
      <c r="AF19" s="24">
        <f>MIN(V19,N('My Loans'!E14))</f>
        <v/>
      </c>
      <c r="AG19" s="24">
        <f>MIN(W19,N('My Loans'!E15))</f>
        <v/>
      </c>
      <c r="AH19" s="24">
        <f>MIN(N19-X19,MAX(0,$C19-SUMPRODUCT(($D$3:$M$3&lt;D$3)*($N19:$W19-$X19:$AG19))))</f>
        <v/>
      </c>
      <c r="AI19" s="24">
        <f>MIN(O19-Y19,MAX(0,$C19-SUMPRODUCT(($D$3:$M$3&lt;E$3)*($N19:$W19-$X19:$AG19))))</f>
        <v/>
      </c>
      <c r="AJ19" s="24">
        <f>MIN(P19-Z19,MAX(0,$C19-SUMPRODUCT(($D$3:$M$3&lt;F$3)*($N19:$W19-$X19:$AG19))))</f>
        <v/>
      </c>
      <c r="AK19" s="24">
        <f>MIN(Q19-AA19,MAX(0,$C19-SUMPRODUCT(($D$3:$M$3&lt;G$3)*($N19:$W19-$X19:$AG19))))</f>
        <v/>
      </c>
      <c r="AL19" s="24">
        <f>MIN(R19-AB19,MAX(0,$C19-SUMPRODUCT(($D$3:$M$3&lt;H$3)*($N19:$W19-$X19:$AG19))))</f>
        <v/>
      </c>
      <c r="AM19" s="24">
        <f>MIN(S19-AC19,MAX(0,$C19-SUMPRODUCT(($D$3:$M$3&lt;I$3)*($N19:$W19-$X19:$AG19))))</f>
        <v/>
      </c>
      <c r="AN19" s="24">
        <f>MIN(T19-AD19,MAX(0,$C19-SUMPRODUCT(($D$3:$M$3&lt;J$3)*($N19:$W19-$X19:$AG19))))</f>
        <v/>
      </c>
      <c r="AO19" s="24">
        <f>MIN(U19-AE19,MAX(0,$C19-SUMPRODUCT(($D$3:$M$3&lt;K$3)*($N19:$W19-$X19:$AG19))))</f>
        <v/>
      </c>
      <c r="AP19" s="24">
        <f>MIN(V19-AF19,MAX(0,$C19-SUMPRODUCT(($D$3:$M$3&lt;L$3)*($N19:$W19-$X19:$AG19))))</f>
        <v/>
      </c>
      <c r="AQ19" s="24">
        <f>MIN(W19-AG19,MAX(0,$C19-SUMPRODUCT(($D$3:$M$3&lt;M$3)*($N19:$W19-$X19:$AG19))))</f>
        <v/>
      </c>
      <c r="AR19" s="24">
        <f>ROUND(N19-X19-AH19,2)</f>
        <v/>
      </c>
      <c r="AS19" s="24">
        <f>ROUND(O19-Y19-AI19,2)</f>
        <v/>
      </c>
      <c r="AT19" s="24">
        <f>ROUND(P19-Z19-AJ19,2)</f>
        <v/>
      </c>
      <c r="AU19" s="24">
        <f>ROUND(Q19-AA19-AK19,2)</f>
        <v/>
      </c>
      <c r="AV19" s="24">
        <f>ROUND(R19-AB19-AL19,2)</f>
        <v/>
      </c>
      <c r="AW19" s="24">
        <f>ROUND(S19-AC19-AM19,2)</f>
        <v/>
      </c>
      <c r="AX19" s="24">
        <f>ROUND(T19-AD19-AN19,2)</f>
        <v/>
      </c>
      <c r="AY19" s="24">
        <f>ROUND(U19-AE19-AO19,2)</f>
        <v/>
      </c>
      <c r="AZ19" s="24">
        <f>ROUND(V19-AF19-AP19,2)</f>
        <v/>
      </c>
      <c r="BA19" s="24">
        <f>ROUND(W19-AG19-AQ19,2)</f>
        <v/>
      </c>
      <c r="BB19" s="24">
        <f>SUM(AR19:BA19)</f>
        <v/>
      </c>
    </row>
    <row r="20">
      <c r="A20" t="n">
        <v>16</v>
      </c>
      <c r="B20" s="23">
        <f>EOMONTH(TODAY(),15)</f>
        <v/>
      </c>
      <c r="C20" s="24">
        <f>MAX(0,(SUM('My Loans'!$E$6:$E$15)+'My Loans'!$D$3)-SUM($X20:$AG20))</f>
        <v/>
      </c>
      <c r="D20" s="24">
        <f>MAX(0,AR19)</f>
        <v/>
      </c>
      <c r="E20" s="24">
        <f>MAX(0,AS19)</f>
        <v/>
      </c>
      <c r="F20" s="24">
        <f>MAX(0,AT19)</f>
        <v/>
      </c>
      <c r="G20" s="24">
        <f>MAX(0,AU19)</f>
        <v/>
      </c>
      <c r="H20" s="24">
        <f>MAX(0,AV19)</f>
        <v/>
      </c>
      <c r="I20" s="24">
        <f>MAX(0,AW19)</f>
        <v/>
      </c>
      <c r="J20" s="24">
        <f>MAX(0,AX19)</f>
        <v/>
      </c>
      <c r="K20" s="24">
        <f>MAX(0,AY19)</f>
        <v/>
      </c>
      <c r="L20" s="24">
        <f>MAX(0,AZ19)</f>
        <v/>
      </c>
      <c r="M20" s="24">
        <f>MAX(0,BA19)</f>
        <v/>
      </c>
      <c r="N20" s="24">
        <f>IF(D20&lt;0.5,0,D20*(1+N('My Loans'!D6)/1200))</f>
        <v/>
      </c>
      <c r="O20" s="24">
        <f>IF(E20&lt;0.5,0,E20*(1+N('My Loans'!D7)/1200))</f>
        <v/>
      </c>
      <c r="P20" s="24">
        <f>IF(F20&lt;0.5,0,F20*(1+N('My Loans'!D8)/1200))</f>
        <v/>
      </c>
      <c r="Q20" s="24">
        <f>IF(G20&lt;0.5,0,G20*(1+N('My Loans'!D9)/1200))</f>
        <v/>
      </c>
      <c r="R20" s="24">
        <f>IF(H20&lt;0.5,0,H20*(1+N('My Loans'!D10)/1200))</f>
        <v/>
      </c>
      <c r="S20" s="24">
        <f>IF(I20&lt;0.5,0,I20*(1+N('My Loans'!D11)/1200))</f>
        <v/>
      </c>
      <c r="T20" s="24">
        <f>IF(J20&lt;0.5,0,J20*(1+N('My Loans'!D12)/1200))</f>
        <v/>
      </c>
      <c r="U20" s="24">
        <f>IF(K20&lt;0.5,0,K20*(1+N('My Loans'!D13)/1200))</f>
        <v/>
      </c>
      <c r="V20" s="24">
        <f>IF(L20&lt;0.5,0,L20*(1+N('My Loans'!D14)/1200))</f>
        <v/>
      </c>
      <c r="W20" s="24">
        <f>IF(M20&lt;0.5,0,M20*(1+N('My Loans'!D15)/1200))</f>
        <v/>
      </c>
      <c r="X20" s="24">
        <f>MIN(N20,N('My Loans'!E6))</f>
        <v/>
      </c>
      <c r="Y20" s="24">
        <f>MIN(O20,N('My Loans'!E7))</f>
        <v/>
      </c>
      <c r="Z20" s="24">
        <f>MIN(P20,N('My Loans'!E8))</f>
        <v/>
      </c>
      <c r="AA20" s="24">
        <f>MIN(Q20,N('My Loans'!E9))</f>
        <v/>
      </c>
      <c r="AB20" s="24">
        <f>MIN(R20,N('My Loans'!E10))</f>
        <v/>
      </c>
      <c r="AC20" s="24">
        <f>MIN(S20,N('My Loans'!E11))</f>
        <v/>
      </c>
      <c r="AD20" s="24">
        <f>MIN(T20,N('My Loans'!E12))</f>
        <v/>
      </c>
      <c r="AE20" s="24">
        <f>MIN(U20,N('My Loans'!E13))</f>
        <v/>
      </c>
      <c r="AF20" s="24">
        <f>MIN(V20,N('My Loans'!E14))</f>
        <v/>
      </c>
      <c r="AG20" s="24">
        <f>MIN(W20,N('My Loans'!E15))</f>
        <v/>
      </c>
      <c r="AH20" s="24">
        <f>MIN(N20-X20,MAX(0,$C20-SUMPRODUCT(($D$3:$M$3&lt;D$3)*($N20:$W20-$X20:$AG20))))</f>
        <v/>
      </c>
      <c r="AI20" s="24">
        <f>MIN(O20-Y20,MAX(0,$C20-SUMPRODUCT(($D$3:$M$3&lt;E$3)*($N20:$W20-$X20:$AG20))))</f>
        <v/>
      </c>
      <c r="AJ20" s="24">
        <f>MIN(P20-Z20,MAX(0,$C20-SUMPRODUCT(($D$3:$M$3&lt;F$3)*($N20:$W20-$X20:$AG20))))</f>
        <v/>
      </c>
      <c r="AK20" s="24">
        <f>MIN(Q20-AA20,MAX(0,$C20-SUMPRODUCT(($D$3:$M$3&lt;G$3)*($N20:$W20-$X20:$AG20))))</f>
        <v/>
      </c>
      <c r="AL20" s="24">
        <f>MIN(R20-AB20,MAX(0,$C20-SUMPRODUCT(($D$3:$M$3&lt;H$3)*($N20:$W20-$X20:$AG20))))</f>
        <v/>
      </c>
      <c r="AM20" s="24">
        <f>MIN(S20-AC20,MAX(0,$C20-SUMPRODUCT(($D$3:$M$3&lt;I$3)*($N20:$W20-$X20:$AG20))))</f>
        <v/>
      </c>
      <c r="AN20" s="24">
        <f>MIN(T20-AD20,MAX(0,$C20-SUMPRODUCT(($D$3:$M$3&lt;J$3)*($N20:$W20-$X20:$AG20))))</f>
        <v/>
      </c>
      <c r="AO20" s="24">
        <f>MIN(U20-AE20,MAX(0,$C20-SUMPRODUCT(($D$3:$M$3&lt;K$3)*($N20:$W20-$X20:$AG20))))</f>
        <v/>
      </c>
      <c r="AP20" s="24">
        <f>MIN(V20-AF20,MAX(0,$C20-SUMPRODUCT(($D$3:$M$3&lt;L$3)*($N20:$W20-$X20:$AG20))))</f>
        <v/>
      </c>
      <c r="AQ20" s="24">
        <f>MIN(W20-AG20,MAX(0,$C20-SUMPRODUCT(($D$3:$M$3&lt;M$3)*($N20:$W20-$X20:$AG20))))</f>
        <v/>
      </c>
      <c r="AR20" s="24">
        <f>ROUND(N20-X20-AH20,2)</f>
        <v/>
      </c>
      <c r="AS20" s="24">
        <f>ROUND(O20-Y20-AI20,2)</f>
        <v/>
      </c>
      <c r="AT20" s="24">
        <f>ROUND(P20-Z20-AJ20,2)</f>
        <v/>
      </c>
      <c r="AU20" s="24">
        <f>ROUND(Q20-AA20-AK20,2)</f>
        <v/>
      </c>
      <c r="AV20" s="24">
        <f>ROUND(R20-AB20-AL20,2)</f>
        <v/>
      </c>
      <c r="AW20" s="24">
        <f>ROUND(S20-AC20-AM20,2)</f>
        <v/>
      </c>
      <c r="AX20" s="24">
        <f>ROUND(T20-AD20-AN20,2)</f>
        <v/>
      </c>
      <c r="AY20" s="24">
        <f>ROUND(U20-AE20-AO20,2)</f>
        <v/>
      </c>
      <c r="AZ20" s="24">
        <f>ROUND(V20-AF20-AP20,2)</f>
        <v/>
      </c>
      <c r="BA20" s="24">
        <f>ROUND(W20-AG20-AQ20,2)</f>
        <v/>
      </c>
      <c r="BB20" s="24">
        <f>SUM(AR20:BA20)</f>
        <v/>
      </c>
    </row>
    <row r="21">
      <c r="A21" t="n">
        <v>17</v>
      </c>
      <c r="B21" s="23">
        <f>EOMONTH(TODAY(),16)</f>
        <v/>
      </c>
      <c r="C21" s="24">
        <f>MAX(0,(SUM('My Loans'!$E$6:$E$15)+'My Loans'!$D$3)-SUM($X21:$AG21))</f>
        <v/>
      </c>
      <c r="D21" s="24">
        <f>MAX(0,AR20)</f>
        <v/>
      </c>
      <c r="E21" s="24">
        <f>MAX(0,AS20)</f>
        <v/>
      </c>
      <c r="F21" s="24">
        <f>MAX(0,AT20)</f>
        <v/>
      </c>
      <c r="G21" s="24">
        <f>MAX(0,AU20)</f>
        <v/>
      </c>
      <c r="H21" s="24">
        <f>MAX(0,AV20)</f>
        <v/>
      </c>
      <c r="I21" s="24">
        <f>MAX(0,AW20)</f>
        <v/>
      </c>
      <c r="J21" s="24">
        <f>MAX(0,AX20)</f>
        <v/>
      </c>
      <c r="K21" s="24">
        <f>MAX(0,AY20)</f>
        <v/>
      </c>
      <c r="L21" s="24">
        <f>MAX(0,AZ20)</f>
        <v/>
      </c>
      <c r="M21" s="24">
        <f>MAX(0,BA20)</f>
        <v/>
      </c>
      <c r="N21" s="24">
        <f>IF(D21&lt;0.5,0,D21*(1+N('My Loans'!D6)/1200))</f>
        <v/>
      </c>
      <c r="O21" s="24">
        <f>IF(E21&lt;0.5,0,E21*(1+N('My Loans'!D7)/1200))</f>
        <v/>
      </c>
      <c r="P21" s="24">
        <f>IF(F21&lt;0.5,0,F21*(1+N('My Loans'!D8)/1200))</f>
        <v/>
      </c>
      <c r="Q21" s="24">
        <f>IF(G21&lt;0.5,0,G21*(1+N('My Loans'!D9)/1200))</f>
        <v/>
      </c>
      <c r="R21" s="24">
        <f>IF(H21&lt;0.5,0,H21*(1+N('My Loans'!D10)/1200))</f>
        <v/>
      </c>
      <c r="S21" s="24">
        <f>IF(I21&lt;0.5,0,I21*(1+N('My Loans'!D11)/1200))</f>
        <v/>
      </c>
      <c r="T21" s="24">
        <f>IF(J21&lt;0.5,0,J21*(1+N('My Loans'!D12)/1200))</f>
        <v/>
      </c>
      <c r="U21" s="24">
        <f>IF(K21&lt;0.5,0,K21*(1+N('My Loans'!D13)/1200))</f>
        <v/>
      </c>
      <c r="V21" s="24">
        <f>IF(L21&lt;0.5,0,L21*(1+N('My Loans'!D14)/1200))</f>
        <v/>
      </c>
      <c r="W21" s="24">
        <f>IF(M21&lt;0.5,0,M21*(1+N('My Loans'!D15)/1200))</f>
        <v/>
      </c>
      <c r="X21" s="24">
        <f>MIN(N21,N('My Loans'!E6))</f>
        <v/>
      </c>
      <c r="Y21" s="24">
        <f>MIN(O21,N('My Loans'!E7))</f>
        <v/>
      </c>
      <c r="Z21" s="24">
        <f>MIN(P21,N('My Loans'!E8))</f>
        <v/>
      </c>
      <c r="AA21" s="24">
        <f>MIN(Q21,N('My Loans'!E9))</f>
        <v/>
      </c>
      <c r="AB21" s="24">
        <f>MIN(R21,N('My Loans'!E10))</f>
        <v/>
      </c>
      <c r="AC21" s="24">
        <f>MIN(S21,N('My Loans'!E11))</f>
        <v/>
      </c>
      <c r="AD21" s="24">
        <f>MIN(T21,N('My Loans'!E12))</f>
        <v/>
      </c>
      <c r="AE21" s="24">
        <f>MIN(U21,N('My Loans'!E13))</f>
        <v/>
      </c>
      <c r="AF21" s="24">
        <f>MIN(V21,N('My Loans'!E14))</f>
        <v/>
      </c>
      <c r="AG21" s="24">
        <f>MIN(W21,N('My Loans'!E15))</f>
        <v/>
      </c>
      <c r="AH21" s="24">
        <f>MIN(N21-X21,MAX(0,$C21-SUMPRODUCT(($D$3:$M$3&lt;D$3)*($N21:$W21-$X21:$AG21))))</f>
        <v/>
      </c>
      <c r="AI21" s="24">
        <f>MIN(O21-Y21,MAX(0,$C21-SUMPRODUCT(($D$3:$M$3&lt;E$3)*($N21:$W21-$X21:$AG21))))</f>
        <v/>
      </c>
      <c r="AJ21" s="24">
        <f>MIN(P21-Z21,MAX(0,$C21-SUMPRODUCT(($D$3:$M$3&lt;F$3)*($N21:$W21-$X21:$AG21))))</f>
        <v/>
      </c>
      <c r="AK21" s="24">
        <f>MIN(Q21-AA21,MAX(0,$C21-SUMPRODUCT(($D$3:$M$3&lt;G$3)*($N21:$W21-$X21:$AG21))))</f>
        <v/>
      </c>
      <c r="AL21" s="24">
        <f>MIN(R21-AB21,MAX(0,$C21-SUMPRODUCT(($D$3:$M$3&lt;H$3)*($N21:$W21-$X21:$AG21))))</f>
        <v/>
      </c>
      <c r="AM21" s="24">
        <f>MIN(S21-AC21,MAX(0,$C21-SUMPRODUCT(($D$3:$M$3&lt;I$3)*($N21:$W21-$X21:$AG21))))</f>
        <v/>
      </c>
      <c r="AN21" s="24">
        <f>MIN(T21-AD21,MAX(0,$C21-SUMPRODUCT(($D$3:$M$3&lt;J$3)*($N21:$W21-$X21:$AG21))))</f>
        <v/>
      </c>
      <c r="AO21" s="24">
        <f>MIN(U21-AE21,MAX(0,$C21-SUMPRODUCT(($D$3:$M$3&lt;K$3)*($N21:$W21-$X21:$AG21))))</f>
        <v/>
      </c>
      <c r="AP21" s="24">
        <f>MIN(V21-AF21,MAX(0,$C21-SUMPRODUCT(($D$3:$M$3&lt;L$3)*($N21:$W21-$X21:$AG21))))</f>
        <v/>
      </c>
      <c r="AQ21" s="24">
        <f>MIN(W21-AG21,MAX(0,$C21-SUMPRODUCT(($D$3:$M$3&lt;M$3)*($N21:$W21-$X21:$AG21))))</f>
        <v/>
      </c>
      <c r="AR21" s="24">
        <f>ROUND(N21-X21-AH21,2)</f>
        <v/>
      </c>
      <c r="AS21" s="24">
        <f>ROUND(O21-Y21-AI21,2)</f>
        <v/>
      </c>
      <c r="AT21" s="24">
        <f>ROUND(P21-Z21-AJ21,2)</f>
        <v/>
      </c>
      <c r="AU21" s="24">
        <f>ROUND(Q21-AA21-AK21,2)</f>
        <v/>
      </c>
      <c r="AV21" s="24">
        <f>ROUND(R21-AB21-AL21,2)</f>
        <v/>
      </c>
      <c r="AW21" s="24">
        <f>ROUND(S21-AC21-AM21,2)</f>
        <v/>
      </c>
      <c r="AX21" s="24">
        <f>ROUND(T21-AD21-AN21,2)</f>
        <v/>
      </c>
      <c r="AY21" s="24">
        <f>ROUND(U21-AE21-AO21,2)</f>
        <v/>
      </c>
      <c r="AZ21" s="24">
        <f>ROUND(V21-AF21-AP21,2)</f>
        <v/>
      </c>
      <c r="BA21" s="24">
        <f>ROUND(W21-AG21-AQ21,2)</f>
        <v/>
      </c>
      <c r="BB21" s="24">
        <f>SUM(AR21:BA21)</f>
        <v/>
      </c>
    </row>
    <row r="22">
      <c r="A22" t="n">
        <v>18</v>
      </c>
      <c r="B22" s="23">
        <f>EOMONTH(TODAY(),17)</f>
        <v/>
      </c>
      <c r="C22" s="24">
        <f>MAX(0,(SUM('My Loans'!$E$6:$E$15)+'My Loans'!$D$3)-SUM($X22:$AG22))</f>
        <v/>
      </c>
      <c r="D22" s="24">
        <f>MAX(0,AR21)</f>
        <v/>
      </c>
      <c r="E22" s="24">
        <f>MAX(0,AS21)</f>
        <v/>
      </c>
      <c r="F22" s="24">
        <f>MAX(0,AT21)</f>
        <v/>
      </c>
      <c r="G22" s="24">
        <f>MAX(0,AU21)</f>
        <v/>
      </c>
      <c r="H22" s="24">
        <f>MAX(0,AV21)</f>
        <v/>
      </c>
      <c r="I22" s="24">
        <f>MAX(0,AW21)</f>
        <v/>
      </c>
      <c r="J22" s="24">
        <f>MAX(0,AX21)</f>
        <v/>
      </c>
      <c r="K22" s="24">
        <f>MAX(0,AY21)</f>
        <v/>
      </c>
      <c r="L22" s="24">
        <f>MAX(0,AZ21)</f>
        <v/>
      </c>
      <c r="M22" s="24">
        <f>MAX(0,BA21)</f>
        <v/>
      </c>
      <c r="N22" s="24">
        <f>IF(D22&lt;0.5,0,D22*(1+N('My Loans'!D6)/1200))</f>
        <v/>
      </c>
      <c r="O22" s="24">
        <f>IF(E22&lt;0.5,0,E22*(1+N('My Loans'!D7)/1200))</f>
        <v/>
      </c>
      <c r="P22" s="24">
        <f>IF(F22&lt;0.5,0,F22*(1+N('My Loans'!D8)/1200))</f>
        <v/>
      </c>
      <c r="Q22" s="24">
        <f>IF(G22&lt;0.5,0,G22*(1+N('My Loans'!D9)/1200))</f>
        <v/>
      </c>
      <c r="R22" s="24">
        <f>IF(H22&lt;0.5,0,H22*(1+N('My Loans'!D10)/1200))</f>
        <v/>
      </c>
      <c r="S22" s="24">
        <f>IF(I22&lt;0.5,0,I22*(1+N('My Loans'!D11)/1200))</f>
        <v/>
      </c>
      <c r="T22" s="24">
        <f>IF(J22&lt;0.5,0,J22*(1+N('My Loans'!D12)/1200))</f>
        <v/>
      </c>
      <c r="U22" s="24">
        <f>IF(K22&lt;0.5,0,K22*(1+N('My Loans'!D13)/1200))</f>
        <v/>
      </c>
      <c r="V22" s="24">
        <f>IF(L22&lt;0.5,0,L22*(1+N('My Loans'!D14)/1200))</f>
        <v/>
      </c>
      <c r="W22" s="24">
        <f>IF(M22&lt;0.5,0,M22*(1+N('My Loans'!D15)/1200))</f>
        <v/>
      </c>
      <c r="X22" s="24">
        <f>MIN(N22,N('My Loans'!E6))</f>
        <v/>
      </c>
      <c r="Y22" s="24">
        <f>MIN(O22,N('My Loans'!E7))</f>
        <v/>
      </c>
      <c r="Z22" s="24">
        <f>MIN(P22,N('My Loans'!E8))</f>
        <v/>
      </c>
      <c r="AA22" s="24">
        <f>MIN(Q22,N('My Loans'!E9))</f>
        <v/>
      </c>
      <c r="AB22" s="24">
        <f>MIN(R22,N('My Loans'!E10))</f>
        <v/>
      </c>
      <c r="AC22" s="24">
        <f>MIN(S22,N('My Loans'!E11))</f>
        <v/>
      </c>
      <c r="AD22" s="24">
        <f>MIN(T22,N('My Loans'!E12))</f>
        <v/>
      </c>
      <c r="AE22" s="24">
        <f>MIN(U22,N('My Loans'!E13))</f>
        <v/>
      </c>
      <c r="AF22" s="24">
        <f>MIN(V22,N('My Loans'!E14))</f>
        <v/>
      </c>
      <c r="AG22" s="24">
        <f>MIN(W22,N('My Loans'!E15))</f>
        <v/>
      </c>
      <c r="AH22" s="24">
        <f>MIN(N22-X22,MAX(0,$C22-SUMPRODUCT(($D$3:$M$3&lt;D$3)*($N22:$W22-$X22:$AG22))))</f>
        <v/>
      </c>
      <c r="AI22" s="24">
        <f>MIN(O22-Y22,MAX(0,$C22-SUMPRODUCT(($D$3:$M$3&lt;E$3)*($N22:$W22-$X22:$AG22))))</f>
        <v/>
      </c>
      <c r="AJ22" s="24">
        <f>MIN(P22-Z22,MAX(0,$C22-SUMPRODUCT(($D$3:$M$3&lt;F$3)*($N22:$W22-$X22:$AG22))))</f>
        <v/>
      </c>
      <c r="AK22" s="24">
        <f>MIN(Q22-AA22,MAX(0,$C22-SUMPRODUCT(($D$3:$M$3&lt;G$3)*($N22:$W22-$X22:$AG22))))</f>
        <v/>
      </c>
      <c r="AL22" s="24">
        <f>MIN(R22-AB22,MAX(0,$C22-SUMPRODUCT(($D$3:$M$3&lt;H$3)*($N22:$W22-$X22:$AG22))))</f>
        <v/>
      </c>
      <c r="AM22" s="24">
        <f>MIN(S22-AC22,MAX(0,$C22-SUMPRODUCT(($D$3:$M$3&lt;I$3)*($N22:$W22-$X22:$AG22))))</f>
        <v/>
      </c>
      <c r="AN22" s="24">
        <f>MIN(T22-AD22,MAX(0,$C22-SUMPRODUCT(($D$3:$M$3&lt;J$3)*($N22:$W22-$X22:$AG22))))</f>
        <v/>
      </c>
      <c r="AO22" s="24">
        <f>MIN(U22-AE22,MAX(0,$C22-SUMPRODUCT(($D$3:$M$3&lt;K$3)*($N22:$W22-$X22:$AG22))))</f>
        <v/>
      </c>
      <c r="AP22" s="24">
        <f>MIN(V22-AF22,MAX(0,$C22-SUMPRODUCT(($D$3:$M$3&lt;L$3)*($N22:$W22-$X22:$AG22))))</f>
        <v/>
      </c>
      <c r="AQ22" s="24">
        <f>MIN(W22-AG22,MAX(0,$C22-SUMPRODUCT(($D$3:$M$3&lt;M$3)*($N22:$W22-$X22:$AG22))))</f>
        <v/>
      </c>
      <c r="AR22" s="24">
        <f>ROUND(N22-X22-AH22,2)</f>
        <v/>
      </c>
      <c r="AS22" s="24">
        <f>ROUND(O22-Y22-AI22,2)</f>
        <v/>
      </c>
      <c r="AT22" s="24">
        <f>ROUND(P22-Z22-AJ22,2)</f>
        <v/>
      </c>
      <c r="AU22" s="24">
        <f>ROUND(Q22-AA22-AK22,2)</f>
        <v/>
      </c>
      <c r="AV22" s="24">
        <f>ROUND(R22-AB22-AL22,2)</f>
        <v/>
      </c>
      <c r="AW22" s="24">
        <f>ROUND(S22-AC22-AM22,2)</f>
        <v/>
      </c>
      <c r="AX22" s="24">
        <f>ROUND(T22-AD22-AN22,2)</f>
        <v/>
      </c>
      <c r="AY22" s="24">
        <f>ROUND(U22-AE22-AO22,2)</f>
        <v/>
      </c>
      <c r="AZ22" s="24">
        <f>ROUND(V22-AF22-AP22,2)</f>
        <v/>
      </c>
      <c r="BA22" s="24">
        <f>ROUND(W22-AG22-AQ22,2)</f>
        <v/>
      </c>
      <c r="BB22" s="24">
        <f>SUM(AR22:BA22)</f>
        <v/>
      </c>
    </row>
    <row r="23">
      <c r="A23" t="n">
        <v>19</v>
      </c>
      <c r="B23" s="23">
        <f>EOMONTH(TODAY(),18)</f>
        <v/>
      </c>
      <c r="C23" s="24">
        <f>MAX(0,(SUM('My Loans'!$E$6:$E$15)+'My Loans'!$D$3)-SUM($X23:$AG23))</f>
        <v/>
      </c>
      <c r="D23" s="24">
        <f>MAX(0,AR22)</f>
        <v/>
      </c>
      <c r="E23" s="24">
        <f>MAX(0,AS22)</f>
        <v/>
      </c>
      <c r="F23" s="24">
        <f>MAX(0,AT22)</f>
        <v/>
      </c>
      <c r="G23" s="24">
        <f>MAX(0,AU22)</f>
        <v/>
      </c>
      <c r="H23" s="24">
        <f>MAX(0,AV22)</f>
        <v/>
      </c>
      <c r="I23" s="24">
        <f>MAX(0,AW22)</f>
        <v/>
      </c>
      <c r="J23" s="24">
        <f>MAX(0,AX22)</f>
        <v/>
      </c>
      <c r="K23" s="24">
        <f>MAX(0,AY22)</f>
        <v/>
      </c>
      <c r="L23" s="24">
        <f>MAX(0,AZ22)</f>
        <v/>
      </c>
      <c r="M23" s="24">
        <f>MAX(0,BA22)</f>
        <v/>
      </c>
      <c r="N23" s="24">
        <f>IF(D23&lt;0.5,0,D23*(1+N('My Loans'!D6)/1200))</f>
        <v/>
      </c>
      <c r="O23" s="24">
        <f>IF(E23&lt;0.5,0,E23*(1+N('My Loans'!D7)/1200))</f>
        <v/>
      </c>
      <c r="P23" s="24">
        <f>IF(F23&lt;0.5,0,F23*(1+N('My Loans'!D8)/1200))</f>
        <v/>
      </c>
      <c r="Q23" s="24">
        <f>IF(G23&lt;0.5,0,G23*(1+N('My Loans'!D9)/1200))</f>
        <v/>
      </c>
      <c r="R23" s="24">
        <f>IF(H23&lt;0.5,0,H23*(1+N('My Loans'!D10)/1200))</f>
        <v/>
      </c>
      <c r="S23" s="24">
        <f>IF(I23&lt;0.5,0,I23*(1+N('My Loans'!D11)/1200))</f>
        <v/>
      </c>
      <c r="T23" s="24">
        <f>IF(J23&lt;0.5,0,J23*(1+N('My Loans'!D12)/1200))</f>
        <v/>
      </c>
      <c r="U23" s="24">
        <f>IF(K23&lt;0.5,0,K23*(1+N('My Loans'!D13)/1200))</f>
        <v/>
      </c>
      <c r="V23" s="24">
        <f>IF(L23&lt;0.5,0,L23*(1+N('My Loans'!D14)/1200))</f>
        <v/>
      </c>
      <c r="W23" s="24">
        <f>IF(M23&lt;0.5,0,M23*(1+N('My Loans'!D15)/1200))</f>
        <v/>
      </c>
      <c r="X23" s="24">
        <f>MIN(N23,N('My Loans'!E6))</f>
        <v/>
      </c>
      <c r="Y23" s="24">
        <f>MIN(O23,N('My Loans'!E7))</f>
        <v/>
      </c>
      <c r="Z23" s="24">
        <f>MIN(P23,N('My Loans'!E8))</f>
        <v/>
      </c>
      <c r="AA23" s="24">
        <f>MIN(Q23,N('My Loans'!E9))</f>
        <v/>
      </c>
      <c r="AB23" s="24">
        <f>MIN(R23,N('My Loans'!E10))</f>
        <v/>
      </c>
      <c r="AC23" s="24">
        <f>MIN(S23,N('My Loans'!E11))</f>
        <v/>
      </c>
      <c r="AD23" s="24">
        <f>MIN(T23,N('My Loans'!E12))</f>
        <v/>
      </c>
      <c r="AE23" s="24">
        <f>MIN(U23,N('My Loans'!E13))</f>
        <v/>
      </c>
      <c r="AF23" s="24">
        <f>MIN(V23,N('My Loans'!E14))</f>
        <v/>
      </c>
      <c r="AG23" s="24">
        <f>MIN(W23,N('My Loans'!E15))</f>
        <v/>
      </c>
      <c r="AH23" s="24">
        <f>MIN(N23-X23,MAX(0,$C23-SUMPRODUCT(($D$3:$M$3&lt;D$3)*($N23:$W23-$X23:$AG23))))</f>
        <v/>
      </c>
      <c r="AI23" s="24">
        <f>MIN(O23-Y23,MAX(0,$C23-SUMPRODUCT(($D$3:$M$3&lt;E$3)*($N23:$W23-$X23:$AG23))))</f>
        <v/>
      </c>
      <c r="AJ23" s="24">
        <f>MIN(P23-Z23,MAX(0,$C23-SUMPRODUCT(($D$3:$M$3&lt;F$3)*($N23:$W23-$X23:$AG23))))</f>
        <v/>
      </c>
      <c r="AK23" s="24">
        <f>MIN(Q23-AA23,MAX(0,$C23-SUMPRODUCT(($D$3:$M$3&lt;G$3)*($N23:$W23-$X23:$AG23))))</f>
        <v/>
      </c>
      <c r="AL23" s="24">
        <f>MIN(R23-AB23,MAX(0,$C23-SUMPRODUCT(($D$3:$M$3&lt;H$3)*($N23:$W23-$X23:$AG23))))</f>
        <v/>
      </c>
      <c r="AM23" s="24">
        <f>MIN(S23-AC23,MAX(0,$C23-SUMPRODUCT(($D$3:$M$3&lt;I$3)*($N23:$W23-$X23:$AG23))))</f>
        <v/>
      </c>
      <c r="AN23" s="24">
        <f>MIN(T23-AD23,MAX(0,$C23-SUMPRODUCT(($D$3:$M$3&lt;J$3)*($N23:$W23-$X23:$AG23))))</f>
        <v/>
      </c>
      <c r="AO23" s="24">
        <f>MIN(U23-AE23,MAX(0,$C23-SUMPRODUCT(($D$3:$M$3&lt;K$3)*($N23:$W23-$X23:$AG23))))</f>
        <v/>
      </c>
      <c r="AP23" s="24">
        <f>MIN(V23-AF23,MAX(0,$C23-SUMPRODUCT(($D$3:$M$3&lt;L$3)*($N23:$W23-$X23:$AG23))))</f>
        <v/>
      </c>
      <c r="AQ23" s="24">
        <f>MIN(W23-AG23,MAX(0,$C23-SUMPRODUCT(($D$3:$M$3&lt;M$3)*($N23:$W23-$X23:$AG23))))</f>
        <v/>
      </c>
      <c r="AR23" s="24">
        <f>ROUND(N23-X23-AH23,2)</f>
        <v/>
      </c>
      <c r="AS23" s="24">
        <f>ROUND(O23-Y23-AI23,2)</f>
        <v/>
      </c>
      <c r="AT23" s="24">
        <f>ROUND(P23-Z23-AJ23,2)</f>
        <v/>
      </c>
      <c r="AU23" s="24">
        <f>ROUND(Q23-AA23-AK23,2)</f>
        <v/>
      </c>
      <c r="AV23" s="24">
        <f>ROUND(R23-AB23-AL23,2)</f>
        <v/>
      </c>
      <c r="AW23" s="24">
        <f>ROUND(S23-AC23-AM23,2)</f>
        <v/>
      </c>
      <c r="AX23" s="24">
        <f>ROUND(T23-AD23-AN23,2)</f>
        <v/>
      </c>
      <c r="AY23" s="24">
        <f>ROUND(U23-AE23-AO23,2)</f>
        <v/>
      </c>
      <c r="AZ23" s="24">
        <f>ROUND(V23-AF23-AP23,2)</f>
        <v/>
      </c>
      <c r="BA23" s="24">
        <f>ROUND(W23-AG23-AQ23,2)</f>
        <v/>
      </c>
      <c r="BB23" s="24">
        <f>SUM(AR23:BA23)</f>
        <v/>
      </c>
    </row>
    <row r="24">
      <c r="A24" t="n">
        <v>20</v>
      </c>
      <c r="B24" s="23">
        <f>EOMONTH(TODAY(),19)</f>
        <v/>
      </c>
      <c r="C24" s="24">
        <f>MAX(0,(SUM('My Loans'!$E$6:$E$15)+'My Loans'!$D$3)-SUM($X24:$AG24))</f>
        <v/>
      </c>
      <c r="D24" s="24">
        <f>MAX(0,AR23)</f>
        <v/>
      </c>
      <c r="E24" s="24">
        <f>MAX(0,AS23)</f>
        <v/>
      </c>
      <c r="F24" s="24">
        <f>MAX(0,AT23)</f>
        <v/>
      </c>
      <c r="G24" s="24">
        <f>MAX(0,AU23)</f>
        <v/>
      </c>
      <c r="H24" s="24">
        <f>MAX(0,AV23)</f>
        <v/>
      </c>
      <c r="I24" s="24">
        <f>MAX(0,AW23)</f>
        <v/>
      </c>
      <c r="J24" s="24">
        <f>MAX(0,AX23)</f>
        <v/>
      </c>
      <c r="K24" s="24">
        <f>MAX(0,AY23)</f>
        <v/>
      </c>
      <c r="L24" s="24">
        <f>MAX(0,AZ23)</f>
        <v/>
      </c>
      <c r="M24" s="24">
        <f>MAX(0,BA23)</f>
        <v/>
      </c>
      <c r="N24" s="24">
        <f>IF(D24&lt;0.5,0,D24*(1+N('My Loans'!D6)/1200))</f>
        <v/>
      </c>
      <c r="O24" s="24">
        <f>IF(E24&lt;0.5,0,E24*(1+N('My Loans'!D7)/1200))</f>
        <v/>
      </c>
      <c r="P24" s="24">
        <f>IF(F24&lt;0.5,0,F24*(1+N('My Loans'!D8)/1200))</f>
        <v/>
      </c>
      <c r="Q24" s="24">
        <f>IF(G24&lt;0.5,0,G24*(1+N('My Loans'!D9)/1200))</f>
        <v/>
      </c>
      <c r="R24" s="24">
        <f>IF(H24&lt;0.5,0,H24*(1+N('My Loans'!D10)/1200))</f>
        <v/>
      </c>
      <c r="S24" s="24">
        <f>IF(I24&lt;0.5,0,I24*(1+N('My Loans'!D11)/1200))</f>
        <v/>
      </c>
      <c r="T24" s="24">
        <f>IF(J24&lt;0.5,0,J24*(1+N('My Loans'!D12)/1200))</f>
        <v/>
      </c>
      <c r="U24" s="24">
        <f>IF(K24&lt;0.5,0,K24*(1+N('My Loans'!D13)/1200))</f>
        <v/>
      </c>
      <c r="V24" s="24">
        <f>IF(L24&lt;0.5,0,L24*(1+N('My Loans'!D14)/1200))</f>
        <v/>
      </c>
      <c r="W24" s="24">
        <f>IF(M24&lt;0.5,0,M24*(1+N('My Loans'!D15)/1200))</f>
        <v/>
      </c>
      <c r="X24" s="24">
        <f>MIN(N24,N('My Loans'!E6))</f>
        <v/>
      </c>
      <c r="Y24" s="24">
        <f>MIN(O24,N('My Loans'!E7))</f>
        <v/>
      </c>
      <c r="Z24" s="24">
        <f>MIN(P24,N('My Loans'!E8))</f>
        <v/>
      </c>
      <c r="AA24" s="24">
        <f>MIN(Q24,N('My Loans'!E9))</f>
        <v/>
      </c>
      <c r="AB24" s="24">
        <f>MIN(R24,N('My Loans'!E10))</f>
        <v/>
      </c>
      <c r="AC24" s="24">
        <f>MIN(S24,N('My Loans'!E11))</f>
        <v/>
      </c>
      <c r="AD24" s="24">
        <f>MIN(T24,N('My Loans'!E12))</f>
        <v/>
      </c>
      <c r="AE24" s="24">
        <f>MIN(U24,N('My Loans'!E13))</f>
        <v/>
      </c>
      <c r="AF24" s="24">
        <f>MIN(V24,N('My Loans'!E14))</f>
        <v/>
      </c>
      <c r="AG24" s="24">
        <f>MIN(W24,N('My Loans'!E15))</f>
        <v/>
      </c>
      <c r="AH24" s="24">
        <f>MIN(N24-X24,MAX(0,$C24-SUMPRODUCT(($D$3:$M$3&lt;D$3)*($N24:$W24-$X24:$AG24))))</f>
        <v/>
      </c>
      <c r="AI24" s="24">
        <f>MIN(O24-Y24,MAX(0,$C24-SUMPRODUCT(($D$3:$M$3&lt;E$3)*($N24:$W24-$X24:$AG24))))</f>
        <v/>
      </c>
      <c r="AJ24" s="24">
        <f>MIN(P24-Z24,MAX(0,$C24-SUMPRODUCT(($D$3:$M$3&lt;F$3)*($N24:$W24-$X24:$AG24))))</f>
        <v/>
      </c>
      <c r="AK24" s="24">
        <f>MIN(Q24-AA24,MAX(0,$C24-SUMPRODUCT(($D$3:$M$3&lt;G$3)*($N24:$W24-$X24:$AG24))))</f>
        <v/>
      </c>
      <c r="AL24" s="24">
        <f>MIN(R24-AB24,MAX(0,$C24-SUMPRODUCT(($D$3:$M$3&lt;H$3)*($N24:$W24-$X24:$AG24))))</f>
        <v/>
      </c>
      <c r="AM24" s="24">
        <f>MIN(S24-AC24,MAX(0,$C24-SUMPRODUCT(($D$3:$M$3&lt;I$3)*($N24:$W24-$X24:$AG24))))</f>
        <v/>
      </c>
      <c r="AN24" s="24">
        <f>MIN(T24-AD24,MAX(0,$C24-SUMPRODUCT(($D$3:$M$3&lt;J$3)*($N24:$W24-$X24:$AG24))))</f>
        <v/>
      </c>
      <c r="AO24" s="24">
        <f>MIN(U24-AE24,MAX(0,$C24-SUMPRODUCT(($D$3:$M$3&lt;K$3)*($N24:$W24-$X24:$AG24))))</f>
        <v/>
      </c>
      <c r="AP24" s="24">
        <f>MIN(V24-AF24,MAX(0,$C24-SUMPRODUCT(($D$3:$M$3&lt;L$3)*($N24:$W24-$X24:$AG24))))</f>
        <v/>
      </c>
      <c r="AQ24" s="24">
        <f>MIN(W24-AG24,MAX(0,$C24-SUMPRODUCT(($D$3:$M$3&lt;M$3)*($N24:$W24-$X24:$AG24))))</f>
        <v/>
      </c>
      <c r="AR24" s="24">
        <f>ROUND(N24-X24-AH24,2)</f>
        <v/>
      </c>
      <c r="AS24" s="24">
        <f>ROUND(O24-Y24-AI24,2)</f>
        <v/>
      </c>
      <c r="AT24" s="24">
        <f>ROUND(P24-Z24-AJ24,2)</f>
        <v/>
      </c>
      <c r="AU24" s="24">
        <f>ROUND(Q24-AA24-AK24,2)</f>
        <v/>
      </c>
      <c r="AV24" s="24">
        <f>ROUND(R24-AB24-AL24,2)</f>
        <v/>
      </c>
      <c r="AW24" s="24">
        <f>ROUND(S24-AC24-AM24,2)</f>
        <v/>
      </c>
      <c r="AX24" s="24">
        <f>ROUND(T24-AD24-AN24,2)</f>
        <v/>
      </c>
      <c r="AY24" s="24">
        <f>ROUND(U24-AE24-AO24,2)</f>
        <v/>
      </c>
      <c r="AZ24" s="24">
        <f>ROUND(V24-AF24-AP24,2)</f>
        <v/>
      </c>
      <c r="BA24" s="24">
        <f>ROUND(W24-AG24-AQ24,2)</f>
        <v/>
      </c>
      <c r="BB24" s="24">
        <f>SUM(AR24:BA24)</f>
        <v/>
      </c>
    </row>
    <row r="25">
      <c r="A25" t="n">
        <v>21</v>
      </c>
      <c r="B25" s="23">
        <f>EOMONTH(TODAY(),20)</f>
        <v/>
      </c>
      <c r="C25" s="24">
        <f>MAX(0,(SUM('My Loans'!$E$6:$E$15)+'My Loans'!$D$3)-SUM($X25:$AG25))</f>
        <v/>
      </c>
      <c r="D25" s="24">
        <f>MAX(0,AR24)</f>
        <v/>
      </c>
      <c r="E25" s="24">
        <f>MAX(0,AS24)</f>
        <v/>
      </c>
      <c r="F25" s="24">
        <f>MAX(0,AT24)</f>
        <v/>
      </c>
      <c r="G25" s="24">
        <f>MAX(0,AU24)</f>
        <v/>
      </c>
      <c r="H25" s="24">
        <f>MAX(0,AV24)</f>
        <v/>
      </c>
      <c r="I25" s="24">
        <f>MAX(0,AW24)</f>
        <v/>
      </c>
      <c r="J25" s="24">
        <f>MAX(0,AX24)</f>
        <v/>
      </c>
      <c r="K25" s="24">
        <f>MAX(0,AY24)</f>
        <v/>
      </c>
      <c r="L25" s="24">
        <f>MAX(0,AZ24)</f>
        <v/>
      </c>
      <c r="M25" s="24">
        <f>MAX(0,BA24)</f>
        <v/>
      </c>
      <c r="N25" s="24">
        <f>IF(D25&lt;0.5,0,D25*(1+N('My Loans'!D6)/1200))</f>
        <v/>
      </c>
      <c r="O25" s="24">
        <f>IF(E25&lt;0.5,0,E25*(1+N('My Loans'!D7)/1200))</f>
        <v/>
      </c>
      <c r="P25" s="24">
        <f>IF(F25&lt;0.5,0,F25*(1+N('My Loans'!D8)/1200))</f>
        <v/>
      </c>
      <c r="Q25" s="24">
        <f>IF(G25&lt;0.5,0,G25*(1+N('My Loans'!D9)/1200))</f>
        <v/>
      </c>
      <c r="R25" s="24">
        <f>IF(H25&lt;0.5,0,H25*(1+N('My Loans'!D10)/1200))</f>
        <v/>
      </c>
      <c r="S25" s="24">
        <f>IF(I25&lt;0.5,0,I25*(1+N('My Loans'!D11)/1200))</f>
        <v/>
      </c>
      <c r="T25" s="24">
        <f>IF(J25&lt;0.5,0,J25*(1+N('My Loans'!D12)/1200))</f>
        <v/>
      </c>
      <c r="U25" s="24">
        <f>IF(K25&lt;0.5,0,K25*(1+N('My Loans'!D13)/1200))</f>
        <v/>
      </c>
      <c r="V25" s="24">
        <f>IF(L25&lt;0.5,0,L25*(1+N('My Loans'!D14)/1200))</f>
        <v/>
      </c>
      <c r="W25" s="24">
        <f>IF(M25&lt;0.5,0,M25*(1+N('My Loans'!D15)/1200))</f>
        <v/>
      </c>
      <c r="X25" s="24">
        <f>MIN(N25,N('My Loans'!E6))</f>
        <v/>
      </c>
      <c r="Y25" s="24">
        <f>MIN(O25,N('My Loans'!E7))</f>
        <v/>
      </c>
      <c r="Z25" s="24">
        <f>MIN(P25,N('My Loans'!E8))</f>
        <v/>
      </c>
      <c r="AA25" s="24">
        <f>MIN(Q25,N('My Loans'!E9))</f>
        <v/>
      </c>
      <c r="AB25" s="24">
        <f>MIN(R25,N('My Loans'!E10))</f>
        <v/>
      </c>
      <c r="AC25" s="24">
        <f>MIN(S25,N('My Loans'!E11))</f>
        <v/>
      </c>
      <c r="AD25" s="24">
        <f>MIN(T25,N('My Loans'!E12))</f>
        <v/>
      </c>
      <c r="AE25" s="24">
        <f>MIN(U25,N('My Loans'!E13))</f>
        <v/>
      </c>
      <c r="AF25" s="24">
        <f>MIN(V25,N('My Loans'!E14))</f>
        <v/>
      </c>
      <c r="AG25" s="24">
        <f>MIN(W25,N('My Loans'!E15))</f>
        <v/>
      </c>
      <c r="AH25" s="24">
        <f>MIN(N25-X25,MAX(0,$C25-SUMPRODUCT(($D$3:$M$3&lt;D$3)*($N25:$W25-$X25:$AG25))))</f>
        <v/>
      </c>
      <c r="AI25" s="24">
        <f>MIN(O25-Y25,MAX(0,$C25-SUMPRODUCT(($D$3:$M$3&lt;E$3)*($N25:$W25-$X25:$AG25))))</f>
        <v/>
      </c>
      <c r="AJ25" s="24">
        <f>MIN(P25-Z25,MAX(0,$C25-SUMPRODUCT(($D$3:$M$3&lt;F$3)*($N25:$W25-$X25:$AG25))))</f>
        <v/>
      </c>
      <c r="AK25" s="24">
        <f>MIN(Q25-AA25,MAX(0,$C25-SUMPRODUCT(($D$3:$M$3&lt;G$3)*($N25:$W25-$X25:$AG25))))</f>
        <v/>
      </c>
      <c r="AL25" s="24">
        <f>MIN(R25-AB25,MAX(0,$C25-SUMPRODUCT(($D$3:$M$3&lt;H$3)*($N25:$W25-$X25:$AG25))))</f>
        <v/>
      </c>
      <c r="AM25" s="24">
        <f>MIN(S25-AC25,MAX(0,$C25-SUMPRODUCT(($D$3:$M$3&lt;I$3)*($N25:$W25-$X25:$AG25))))</f>
        <v/>
      </c>
      <c r="AN25" s="24">
        <f>MIN(T25-AD25,MAX(0,$C25-SUMPRODUCT(($D$3:$M$3&lt;J$3)*($N25:$W25-$X25:$AG25))))</f>
        <v/>
      </c>
      <c r="AO25" s="24">
        <f>MIN(U25-AE25,MAX(0,$C25-SUMPRODUCT(($D$3:$M$3&lt;K$3)*($N25:$W25-$X25:$AG25))))</f>
        <v/>
      </c>
      <c r="AP25" s="24">
        <f>MIN(V25-AF25,MAX(0,$C25-SUMPRODUCT(($D$3:$M$3&lt;L$3)*($N25:$W25-$X25:$AG25))))</f>
        <v/>
      </c>
      <c r="AQ25" s="24">
        <f>MIN(W25-AG25,MAX(0,$C25-SUMPRODUCT(($D$3:$M$3&lt;M$3)*($N25:$W25-$X25:$AG25))))</f>
        <v/>
      </c>
      <c r="AR25" s="24">
        <f>ROUND(N25-X25-AH25,2)</f>
        <v/>
      </c>
      <c r="AS25" s="24">
        <f>ROUND(O25-Y25-AI25,2)</f>
        <v/>
      </c>
      <c r="AT25" s="24">
        <f>ROUND(P25-Z25-AJ25,2)</f>
        <v/>
      </c>
      <c r="AU25" s="24">
        <f>ROUND(Q25-AA25-AK25,2)</f>
        <v/>
      </c>
      <c r="AV25" s="24">
        <f>ROUND(R25-AB25-AL25,2)</f>
        <v/>
      </c>
      <c r="AW25" s="24">
        <f>ROUND(S25-AC25-AM25,2)</f>
        <v/>
      </c>
      <c r="AX25" s="24">
        <f>ROUND(T25-AD25-AN25,2)</f>
        <v/>
      </c>
      <c r="AY25" s="24">
        <f>ROUND(U25-AE25-AO25,2)</f>
        <v/>
      </c>
      <c r="AZ25" s="24">
        <f>ROUND(V25-AF25-AP25,2)</f>
        <v/>
      </c>
      <c r="BA25" s="24">
        <f>ROUND(W25-AG25-AQ25,2)</f>
        <v/>
      </c>
      <c r="BB25" s="24">
        <f>SUM(AR25:BA25)</f>
        <v/>
      </c>
    </row>
    <row r="26">
      <c r="A26" t="n">
        <v>22</v>
      </c>
      <c r="B26" s="23">
        <f>EOMONTH(TODAY(),21)</f>
        <v/>
      </c>
      <c r="C26" s="24">
        <f>MAX(0,(SUM('My Loans'!$E$6:$E$15)+'My Loans'!$D$3)-SUM($X26:$AG26))</f>
        <v/>
      </c>
      <c r="D26" s="24">
        <f>MAX(0,AR25)</f>
        <v/>
      </c>
      <c r="E26" s="24">
        <f>MAX(0,AS25)</f>
        <v/>
      </c>
      <c r="F26" s="24">
        <f>MAX(0,AT25)</f>
        <v/>
      </c>
      <c r="G26" s="24">
        <f>MAX(0,AU25)</f>
        <v/>
      </c>
      <c r="H26" s="24">
        <f>MAX(0,AV25)</f>
        <v/>
      </c>
      <c r="I26" s="24">
        <f>MAX(0,AW25)</f>
        <v/>
      </c>
      <c r="J26" s="24">
        <f>MAX(0,AX25)</f>
        <v/>
      </c>
      <c r="K26" s="24">
        <f>MAX(0,AY25)</f>
        <v/>
      </c>
      <c r="L26" s="24">
        <f>MAX(0,AZ25)</f>
        <v/>
      </c>
      <c r="M26" s="24">
        <f>MAX(0,BA25)</f>
        <v/>
      </c>
      <c r="N26" s="24">
        <f>IF(D26&lt;0.5,0,D26*(1+N('My Loans'!D6)/1200))</f>
        <v/>
      </c>
      <c r="O26" s="24">
        <f>IF(E26&lt;0.5,0,E26*(1+N('My Loans'!D7)/1200))</f>
        <v/>
      </c>
      <c r="P26" s="24">
        <f>IF(F26&lt;0.5,0,F26*(1+N('My Loans'!D8)/1200))</f>
        <v/>
      </c>
      <c r="Q26" s="24">
        <f>IF(G26&lt;0.5,0,G26*(1+N('My Loans'!D9)/1200))</f>
        <v/>
      </c>
      <c r="R26" s="24">
        <f>IF(H26&lt;0.5,0,H26*(1+N('My Loans'!D10)/1200))</f>
        <v/>
      </c>
      <c r="S26" s="24">
        <f>IF(I26&lt;0.5,0,I26*(1+N('My Loans'!D11)/1200))</f>
        <v/>
      </c>
      <c r="T26" s="24">
        <f>IF(J26&lt;0.5,0,J26*(1+N('My Loans'!D12)/1200))</f>
        <v/>
      </c>
      <c r="U26" s="24">
        <f>IF(K26&lt;0.5,0,K26*(1+N('My Loans'!D13)/1200))</f>
        <v/>
      </c>
      <c r="V26" s="24">
        <f>IF(L26&lt;0.5,0,L26*(1+N('My Loans'!D14)/1200))</f>
        <v/>
      </c>
      <c r="W26" s="24">
        <f>IF(M26&lt;0.5,0,M26*(1+N('My Loans'!D15)/1200))</f>
        <v/>
      </c>
      <c r="X26" s="24">
        <f>MIN(N26,N('My Loans'!E6))</f>
        <v/>
      </c>
      <c r="Y26" s="24">
        <f>MIN(O26,N('My Loans'!E7))</f>
        <v/>
      </c>
      <c r="Z26" s="24">
        <f>MIN(P26,N('My Loans'!E8))</f>
        <v/>
      </c>
      <c r="AA26" s="24">
        <f>MIN(Q26,N('My Loans'!E9))</f>
        <v/>
      </c>
      <c r="AB26" s="24">
        <f>MIN(R26,N('My Loans'!E10))</f>
        <v/>
      </c>
      <c r="AC26" s="24">
        <f>MIN(S26,N('My Loans'!E11))</f>
        <v/>
      </c>
      <c r="AD26" s="24">
        <f>MIN(T26,N('My Loans'!E12))</f>
        <v/>
      </c>
      <c r="AE26" s="24">
        <f>MIN(U26,N('My Loans'!E13))</f>
        <v/>
      </c>
      <c r="AF26" s="24">
        <f>MIN(V26,N('My Loans'!E14))</f>
        <v/>
      </c>
      <c r="AG26" s="24">
        <f>MIN(W26,N('My Loans'!E15))</f>
        <v/>
      </c>
      <c r="AH26" s="24">
        <f>MIN(N26-X26,MAX(0,$C26-SUMPRODUCT(($D$3:$M$3&lt;D$3)*($N26:$W26-$X26:$AG26))))</f>
        <v/>
      </c>
      <c r="AI26" s="24">
        <f>MIN(O26-Y26,MAX(0,$C26-SUMPRODUCT(($D$3:$M$3&lt;E$3)*($N26:$W26-$X26:$AG26))))</f>
        <v/>
      </c>
      <c r="AJ26" s="24">
        <f>MIN(P26-Z26,MAX(0,$C26-SUMPRODUCT(($D$3:$M$3&lt;F$3)*($N26:$W26-$X26:$AG26))))</f>
        <v/>
      </c>
      <c r="AK26" s="24">
        <f>MIN(Q26-AA26,MAX(0,$C26-SUMPRODUCT(($D$3:$M$3&lt;G$3)*($N26:$W26-$X26:$AG26))))</f>
        <v/>
      </c>
      <c r="AL26" s="24">
        <f>MIN(R26-AB26,MAX(0,$C26-SUMPRODUCT(($D$3:$M$3&lt;H$3)*($N26:$W26-$X26:$AG26))))</f>
        <v/>
      </c>
      <c r="AM26" s="24">
        <f>MIN(S26-AC26,MAX(0,$C26-SUMPRODUCT(($D$3:$M$3&lt;I$3)*($N26:$W26-$X26:$AG26))))</f>
        <v/>
      </c>
      <c r="AN26" s="24">
        <f>MIN(T26-AD26,MAX(0,$C26-SUMPRODUCT(($D$3:$M$3&lt;J$3)*($N26:$W26-$X26:$AG26))))</f>
        <v/>
      </c>
      <c r="AO26" s="24">
        <f>MIN(U26-AE26,MAX(0,$C26-SUMPRODUCT(($D$3:$M$3&lt;K$3)*($N26:$W26-$X26:$AG26))))</f>
        <v/>
      </c>
      <c r="AP26" s="24">
        <f>MIN(V26-AF26,MAX(0,$C26-SUMPRODUCT(($D$3:$M$3&lt;L$3)*($N26:$W26-$X26:$AG26))))</f>
        <v/>
      </c>
      <c r="AQ26" s="24">
        <f>MIN(W26-AG26,MAX(0,$C26-SUMPRODUCT(($D$3:$M$3&lt;M$3)*($N26:$W26-$X26:$AG26))))</f>
        <v/>
      </c>
      <c r="AR26" s="24">
        <f>ROUND(N26-X26-AH26,2)</f>
        <v/>
      </c>
      <c r="AS26" s="24">
        <f>ROUND(O26-Y26-AI26,2)</f>
        <v/>
      </c>
      <c r="AT26" s="24">
        <f>ROUND(P26-Z26-AJ26,2)</f>
        <v/>
      </c>
      <c r="AU26" s="24">
        <f>ROUND(Q26-AA26-AK26,2)</f>
        <v/>
      </c>
      <c r="AV26" s="24">
        <f>ROUND(R26-AB26-AL26,2)</f>
        <v/>
      </c>
      <c r="AW26" s="24">
        <f>ROUND(S26-AC26-AM26,2)</f>
        <v/>
      </c>
      <c r="AX26" s="24">
        <f>ROUND(T26-AD26-AN26,2)</f>
        <v/>
      </c>
      <c r="AY26" s="24">
        <f>ROUND(U26-AE26-AO26,2)</f>
        <v/>
      </c>
      <c r="AZ26" s="24">
        <f>ROUND(V26-AF26-AP26,2)</f>
        <v/>
      </c>
      <c r="BA26" s="24">
        <f>ROUND(W26-AG26-AQ26,2)</f>
        <v/>
      </c>
      <c r="BB26" s="24">
        <f>SUM(AR26:BA26)</f>
        <v/>
      </c>
    </row>
    <row r="27">
      <c r="A27" t="n">
        <v>23</v>
      </c>
      <c r="B27" s="23">
        <f>EOMONTH(TODAY(),22)</f>
        <v/>
      </c>
      <c r="C27" s="24">
        <f>MAX(0,(SUM('My Loans'!$E$6:$E$15)+'My Loans'!$D$3)-SUM($X27:$AG27))</f>
        <v/>
      </c>
      <c r="D27" s="24">
        <f>MAX(0,AR26)</f>
        <v/>
      </c>
      <c r="E27" s="24">
        <f>MAX(0,AS26)</f>
        <v/>
      </c>
      <c r="F27" s="24">
        <f>MAX(0,AT26)</f>
        <v/>
      </c>
      <c r="G27" s="24">
        <f>MAX(0,AU26)</f>
        <v/>
      </c>
      <c r="H27" s="24">
        <f>MAX(0,AV26)</f>
        <v/>
      </c>
      <c r="I27" s="24">
        <f>MAX(0,AW26)</f>
        <v/>
      </c>
      <c r="J27" s="24">
        <f>MAX(0,AX26)</f>
        <v/>
      </c>
      <c r="K27" s="24">
        <f>MAX(0,AY26)</f>
        <v/>
      </c>
      <c r="L27" s="24">
        <f>MAX(0,AZ26)</f>
        <v/>
      </c>
      <c r="M27" s="24">
        <f>MAX(0,BA26)</f>
        <v/>
      </c>
      <c r="N27" s="24">
        <f>IF(D27&lt;0.5,0,D27*(1+N('My Loans'!D6)/1200))</f>
        <v/>
      </c>
      <c r="O27" s="24">
        <f>IF(E27&lt;0.5,0,E27*(1+N('My Loans'!D7)/1200))</f>
        <v/>
      </c>
      <c r="P27" s="24">
        <f>IF(F27&lt;0.5,0,F27*(1+N('My Loans'!D8)/1200))</f>
        <v/>
      </c>
      <c r="Q27" s="24">
        <f>IF(G27&lt;0.5,0,G27*(1+N('My Loans'!D9)/1200))</f>
        <v/>
      </c>
      <c r="R27" s="24">
        <f>IF(H27&lt;0.5,0,H27*(1+N('My Loans'!D10)/1200))</f>
        <v/>
      </c>
      <c r="S27" s="24">
        <f>IF(I27&lt;0.5,0,I27*(1+N('My Loans'!D11)/1200))</f>
        <v/>
      </c>
      <c r="T27" s="24">
        <f>IF(J27&lt;0.5,0,J27*(1+N('My Loans'!D12)/1200))</f>
        <v/>
      </c>
      <c r="U27" s="24">
        <f>IF(K27&lt;0.5,0,K27*(1+N('My Loans'!D13)/1200))</f>
        <v/>
      </c>
      <c r="V27" s="24">
        <f>IF(L27&lt;0.5,0,L27*(1+N('My Loans'!D14)/1200))</f>
        <v/>
      </c>
      <c r="W27" s="24">
        <f>IF(M27&lt;0.5,0,M27*(1+N('My Loans'!D15)/1200))</f>
        <v/>
      </c>
      <c r="X27" s="24">
        <f>MIN(N27,N('My Loans'!E6))</f>
        <v/>
      </c>
      <c r="Y27" s="24">
        <f>MIN(O27,N('My Loans'!E7))</f>
        <v/>
      </c>
      <c r="Z27" s="24">
        <f>MIN(P27,N('My Loans'!E8))</f>
        <v/>
      </c>
      <c r="AA27" s="24">
        <f>MIN(Q27,N('My Loans'!E9))</f>
        <v/>
      </c>
      <c r="AB27" s="24">
        <f>MIN(R27,N('My Loans'!E10))</f>
        <v/>
      </c>
      <c r="AC27" s="24">
        <f>MIN(S27,N('My Loans'!E11))</f>
        <v/>
      </c>
      <c r="AD27" s="24">
        <f>MIN(T27,N('My Loans'!E12))</f>
        <v/>
      </c>
      <c r="AE27" s="24">
        <f>MIN(U27,N('My Loans'!E13))</f>
        <v/>
      </c>
      <c r="AF27" s="24">
        <f>MIN(V27,N('My Loans'!E14))</f>
        <v/>
      </c>
      <c r="AG27" s="24">
        <f>MIN(W27,N('My Loans'!E15))</f>
        <v/>
      </c>
      <c r="AH27" s="24">
        <f>MIN(N27-X27,MAX(0,$C27-SUMPRODUCT(($D$3:$M$3&lt;D$3)*($N27:$W27-$X27:$AG27))))</f>
        <v/>
      </c>
      <c r="AI27" s="24">
        <f>MIN(O27-Y27,MAX(0,$C27-SUMPRODUCT(($D$3:$M$3&lt;E$3)*($N27:$W27-$X27:$AG27))))</f>
        <v/>
      </c>
      <c r="AJ27" s="24">
        <f>MIN(P27-Z27,MAX(0,$C27-SUMPRODUCT(($D$3:$M$3&lt;F$3)*($N27:$W27-$X27:$AG27))))</f>
        <v/>
      </c>
      <c r="AK27" s="24">
        <f>MIN(Q27-AA27,MAX(0,$C27-SUMPRODUCT(($D$3:$M$3&lt;G$3)*($N27:$W27-$X27:$AG27))))</f>
        <v/>
      </c>
      <c r="AL27" s="24">
        <f>MIN(R27-AB27,MAX(0,$C27-SUMPRODUCT(($D$3:$M$3&lt;H$3)*($N27:$W27-$X27:$AG27))))</f>
        <v/>
      </c>
      <c r="AM27" s="24">
        <f>MIN(S27-AC27,MAX(0,$C27-SUMPRODUCT(($D$3:$M$3&lt;I$3)*($N27:$W27-$X27:$AG27))))</f>
        <v/>
      </c>
      <c r="AN27" s="24">
        <f>MIN(T27-AD27,MAX(0,$C27-SUMPRODUCT(($D$3:$M$3&lt;J$3)*($N27:$W27-$X27:$AG27))))</f>
        <v/>
      </c>
      <c r="AO27" s="24">
        <f>MIN(U27-AE27,MAX(0,$C27-SUMPRODUCT(($D$3:$M$3&lt;K$3)*($N27:$W27-$X27:$AG27))))</f>
        <v/>
      </c>
      <c r="AP27" s="24">
        <f>MIN(V27-AF27,MAX(0,$C27-SUMPRODUCT(($D$3:$M$3&lt;L$3)*($N27:$W27-$X27:$AG27))))</f>
        <v/>
      </c>
      <c r="AQ27" s="24">
        <f>MIN(W27-AG27,MAX(0,$C27-SUMPRODUCT(($D$3:$M$3&lt;M$3)*($N27:$W27-$X27:$AG27))))</f>
        <v/>
      </c>
      <c r="AR27" s="24">
        <f>ROUND(N27-X27-AH27,2)</f>
        <v/>
      </c>
      <c r="AS27" s="24">
        <f>ROUND(O27-Y27-AI27,2)</f>
        <v/>
      </c>
      <c r="AT27" s="24">
        <f>ROUND(P27-Z27-AJ27,2)</f>
        <v/>
      </c>
      <c r="AU27" s="24">
        <f>ROUND(Q27-AA27-AK27,2)</f>
        <v/>
      </c>
      <c r="AV27" s="24">
        <f>ROUND(R27-AB27-AL27,2)</f>
        <v/>
      </c>
      <c r="AW27" s="24">
        <f>ROUND(S27-AC27-AM27,2)</f>
        <v/>
      </c>
      <c r="AX27" s="24">
        <f>ROUND(T27-AD27-AN27,2)</f>
        <v/>
      </c>
      <c r="AY27" s="24">
        <f>ROUND(U27-AE27-AO27,2)</f>
        <v/>
      </c>
      <c r="AZ27" s="24">
        <f>ROUND(V27-AF27-AP27,2)</f>
        <v/>
      </c>
      <c r="BA27" s="24">
        <f>ROUND(W27-AG27-AQ27,2)</f>
        <v/>
      </c>
      <c r="BB27" s="24">
        <f>SUM(AR27:BA27)</f>
        <v/>
      </c>
    </row>
    <row r="28">
      <c r="A28" t="n">
        <v>24</v>
      </c>
      <c r="B28" s="23">
        <f>EOMONTH(TODAY(),23)</f>
        <v/>
      </c>
      <c r="C28" s="24">
        <f>MAX(0,(SUM('My Loans'!$E$6:$E$15)+'My Loans'!$D$3)-SUM($X28:$AG28))</f>
        <v/>
      </c>
      <c r="D28" s="24">
        <f>MAX(0,AR27)</f>
        <v/>
      </c>
      <c r="E28" s="24">
        <f>MAX(0,AS27)</f>
        <v/>
      </c>
      <c r="F28" s="24">
        <f>MAX(0,AT27)</f>
        <v/>
      </c>
      <c r="G28" s="24">
        <f>MAX(0,AU27)</f>
        <v/>
      </c>
      <c r="H28" s="24">
        <f>MAX(0,AV27)</f>
        <v/>
      </c>
      <c r="I28" s="24">
        <f>MAX(0,AW27)</f>
        <v/>
      </c>
      <c r="J28" s="24">
        <f>MAX(0,AX27)</f>
        <v/>
      </c>
      <c r="K28" s="24">
        <f>MAX(0,AY27)</f>
        <v/>
      </c>
      <c r="L28" s="24">
        <f>MAX(0,AZ27)</f>
        <v/>
      </c>
      <c r="M28" s="24">
        <f>MAX(0,BA27)</f>
        <v/>
      </c>
      <c r="N28" s="24">
        <f>IF(D28&lt;0.5,0,D28*(1+N('My Loans'!D6)/1200))</f>
        <v/>
      </c>
      <c r="O28" s="24">
        <f>IF(E28&lt;0.5,0,E28*(1+N('My Loans'!D7)/1200))</f>
        <v/>
      </c>
      <c r="P28" s="24">
        <f>IF(F28&lt;0.5,0,F28*(1+N('My Loans'!D8)/1200))</f>
        <v/>
      </c>
      <c r="Q28" s="24">
        <f>IF(G28&lt;0.5,0,G28*(1+N('My Loans'!D9)/1200))</f>
        <v/>
      </c>
      <c r="R28" s="24">
        <f>IF(H28&lt;0.5,0,H28*(1+N('My Loans'!D10)/1200))</f>
        <v/>
      </c>
      <c r="S28" s="24">
        <f>IF(I28&lt;0.5,0,I28*(1+N('My Loans'!D11)/1200))</f>
        <v/>
      </c>
      <c r="T28" s="24">
        <f>IF(J28&lt;0.5,0,J28*(1+N('My Loans'!D12)/1200))</f>
        <v/>
      </c>
      <c r="U28" s="24">
        <f>IF(K28&lt;0.5,0,K28*(1+N('My Loans'!D13)/1200))</f>
        <v/>
      </c>
      <c r="V28" s="24">
        <f>IF(L28&lt;0.5,0,L28*(1+N('My Loans'!D14)/1200))</f>
        <v/>
      </c>
      <c r="W28" s="24">
        <f>IF(M28&lt;0.5,0,M28*(1+N('My Loans'!D15)/1200))</f>
        <v/>
      </c>
      <c r="X28" s="24">
        <f>MIN(N28,N('My Loans'!E6))</f>
        <v/>
      </c>
      <c r="Y28" s="24">
        <f>MIN(O28,N('My Loans'!E7))</f>
        <v/>
      </c>
      <c r="Z28" s="24">
        <f>MIN(P28,N('My Loans'!E8))</f>
        <v/>
      </c>
      <c r="AA28" s="24">
        <f>MIN(Q28,N('My Loans'!E9))</f>
        <v/>
      </c>
      <c r="AB28" s="24">
        <f>MIN(R28,N('My Loans'!E10))</f>
        <v/>
      </c>
      <c r="AC28" s="24">
        <f>MIN(S28,N('My Loans'!E11))</f>
        <v/>
      </c>
      <c r="AD28" s="24">
        <f>MIN(T28,N('My Loans'!E12))</f>
        <v/>
      </c>
      <c r="AE28" s="24">
        <f>MIN(U28,N('My Loans'!E13))</f>
        <v/>
      </c>
      <c r="AF28" s="24">
        <f>MIN(V28,N('My Loans'!E14))</f>
        <v/>
      </c>
      <c r="AG28" s="24">
        <f>MIN(W28,N('My Loans'!E15))</f>
        <v/>
      </c>
      <c r="AH28" s="24">
        <f>MIN(N28-X28,MAX(0,$C28-SUMPRODUCT(($D$3:$M$3&lt;D$3)*($N28:$W28-$X28:$AG28))))</f>
        <v/>
      </c>
      <c r="AI28" s="24">
        <f>MIN(O28-Y28,MAX(0,$C28-SUMPRODUCT(($D$3:$M$3&lt;E$3)*($N28:$W28-$X28:$AG28))))</f>
        <v/>
      </c>
      <c r="AJ28" s="24">
        <f>MIN(P28-Z28,MAX(0,$C28-SUMPRODUCT(($D$3:$M$3&lt;F$3)*($N28:$W28-$X28:$AG28))))</f>
        <v/>
      </c>
      <c r="AK28" s="24">
        <f>MIN(Q28-AA28,MAX(0,$C28-SUMPRODUCT(($D$3:$M$3&lt;G$3)*($N28:$W28-$X28:$AG28))))</f>
        <v/>
      </c>
      <c r="AL28" s="24">
        <f>MIN(R28-AB28,MAX(0,$C28-SUMPRODUCT(($D$3:$M$3&lt;H$3)*($N28:$W28-$X28:$AG28))))</f>
        <v/>
      </c>
      <c r="AM28" s="24">
        <f>MIN(S28-AC28,MAX(0,$C28-SUMPRODUCT(($D$3:$M$3&lt;I$3)*($N28:$W28-$X28:$AG28))))</f>
        <v/>
      </c>
      <c r="AN28" s="24">
        <f>MIN(T28-AD28,MAX(0,$C28-SUMPRODUCT(($D$3:$M$3&lt;J$3)*($N28:$W28-$X28:$AG28))))</f>
        <v/>
      </c>
      <c r="AO28" s="24">
        <f>MIN(U28-AE28,MAX(0,$C28-SUMPRODUCT(($D$3:$M$3&lt;K$3)*($N28:$W28-$X28:$AG28))))</f>
        <v/>
      </c>
      <c r="AP28" s="24">
        <f>MIN(V28-AF28,MAX(0,$C28-SUMPRODUCT(($D$3:$M$3&lt;L$3)*($N28:$W28-$X28:$AG28))))</f>
        <v/>
      </c>
      <c r="AQ28" s="24">
        <f>MIN(W28-AG28,MAX(0,$C28-SUMPRODUCT(($D$3:$M$3&lt;M$3)*($N28:$W28-$X28:$AG28))))</f>
        <v/>
      </c>
      <c r="AR28" s="24">
        <f>ROUND(N28-X28-AH28,2)</f>
        <v/>
      </c>
      <c r="AS28" s="24">
        <f>ROUND(O28-Y28-AI28,2)</f>
        <v/>
      </c>
      <c r="AT28" s="24">
        <f>ROUND(P28-Z28-AJ28,2)</f>
        <v/>
      </c>
      <c r="AU28" s="24">
        <f>ROUND(Q28-AA28-AK28,2)</f>
        <v/>
      </c>
      <c r="AV28" s="24">
        <f>ROUND(R28-AB28-AL28,2)</f>
        <v/>
      </c>
      <c r="AW28" s="24">
        <f>ROUND(S28-AC28-AM28,2)</f>
        <v/>
      </c>
      <c r="AX28" s="24">
        <f>ROUND(T28-AD28-AN28,2)</f>
        <v/>
      </c>
      <c r="AY28" s="24">
        <f>ROUND(U28-AE28-AO28,2)</f>
        <v/>
      </c>
      <c r="AZ28" s="24">
        <f>ROUND(V28-AF28-AP28,2)</f>
        <v/>
      </c>
      <c r="BA28" s="24">
        <f>ROUND(W28-AG28-AQ28,2)</f>
        <v/>
      </c>
      <c r="BB28" s="24">
        <f>SUM(AR28:BA28)</f>
        <v/>
      </c>
    </row>
    <row r="29">
      <c r="A29" t="n">
        <v>25</v>
      </c>
      <c r="B29" s="23">
        <f>EOMONTH(TODAY(),24)</f>
        <v/>
      </c>
      <c r="C29" s="24">
        <f>MAX(0,(SUM('My Loans'!$E$6:$E$15)+'My Loans'!$D$3)-SUM($X29:$AG29))</f>
        <v/>
      </c>
      <c r="D29" s="24">
        <f>MAX(0,AR28)</f>
        <v/>
      </c>
      <c r="E29" s="24">
        <f>MAX(0,AS28)</f>
        <v/>
      </c>
      <c r="F29" s="24">
        <f>MAX(0,AT28)</f>
        <v/>
      </c>
      <c r="G29" s="24">
        <f>MAX(0,AU28)</f>
        <v/>
      </c>
      <c r="H29" s="24">
        <f>MAX(0,AV28)</f>
        <v/>
      </c>
      <c r="I29" s="24">
        <f>MAX(0,AW28)</f>
        <v/>
      </c>
      <c r="J29" s="24">
        <f>MAX(0,AX28)</f>
        <v/>
      </c>
      <c r="K29" s="24">
        <f>MAX(0,AY28)</f>
        <v/>
      </c>
      <c r="L29" s="24">
        <f>MAX(0,AZ28)</f>
        <v/>
      </c>
      <c r="M29" s="24">
        <f>MAX(0,BA28)</f>
        <v/>
      </c>
      <c r="N29" s="24">
        <f>IF(D29&lt;0.5,0,D29*(1+N('My Loans'!D6)/1200))</f>
        <v/>
      </c>
      <c r="O29" s="24">
        <f>IF(E29&lt;0.5,0,E29*(1+N('My Loans'!D7)/1200))</f>
        <v/>
      </c>
      <c r="P29" s="24">
        <f>IF(F29&lt;0.5,0,F29*(1+N('My Loans'!D8)/1200))</f>
        <v/>
      </c>
      <c r="Q29" s="24">
        <f>IF(G29&lt;0.5,0,G29*(1+N('My Loans'!D9)/1200))</f>
        <v/>
      </c>
      <c r="R29" s="24">
        <f>IF(H29&lt;0.5,0,H29*(1+N('My Loans'!D10)/1200))</f>
        <v/>
      </c>
      <c r="S29" s="24">
        <f>IF(I29&lt;0.5,0,I29*(1+N('My Loans'!D11)/1200))</f>
        <v/>
      </c>
      <c r="T29" s="24">
        <f>IF(J29&lt;0.5,0,J29*(1+N('My Loans'!D12)/1200))</f>
        <v/>
      </c>
      <c r="U29" s="24">
        <f>IF(K29&lt;0.5,0,K29*(1+N('My Loans'!D13)/1200))</f>
        <v/>
      </c>
      <c r="V29" s="24">
        <f>IF(L29&lt;0.5,0,L29*(1+N('My Loans'!D14)/1200))</f>
        <v/>
      </c>
      <c r="W29" s="24">
        <f>IF(M29&lt;0.5,0,M29*(1+N('My Loans'!D15)/1200))</f>
        <v/>
      </c>
      <c r="X29" s="24">
        <f>MIN(N29,N('My Loans'!E6))</f>
        <v/>
      </c>
      <c r="Y29" s="24">
        <f>MIN(O29,N('My Loans'!E7))</f>
        <v/>
      </c>
      <c r="Z29" s="24">
        <f>MIN(P29,N('My Loans'!E8))</f>
        <v/>
      </c>
      <c r="AA29" s="24">
        <f>MIN(Q29,N('My Loans'!E9))</f>
        <v/>
      </c>
      <c r="AB29" s="24">
        <f>MIN(R29,N('My Loans'!E10))</f>
        <v/>
      </c>
      <c r="AC29" s="24">
        <f>MIN(S29,N('My Loans'!E11))</f>
        <v/>
      </c>
      <c r="AD29" s="24">
        <f>MIN(T29,N('My Loans'!E12))</f>
        <v/>
      </c>
      <c r="AE29" s="24">
        <f>MIN(U29,N('My Loans'!E13))</f>
        <v/>
      </c>
      <c r="AF29" s="24">
        <f>MIN(V29,N('My Loans'!E14))</f>
        <v/>
      </c>
      <c r="AG29" s="24">
        <f>MIN(W29,N('My Loans'!E15))</f>
        <v/>
      </c>
      <c r="AH29" s="24">
        <f>MIN(N29-X29,MAX(0,$C29-SUMPRODUCT(($D$3:$M$3&lt;D$3)*($N29:$W29-$X29:$AG29))))</f>
        <v/>
      </c>
      <c r="AI29" s="24">
        <f>MIN(O29-Y29,MAX(0,$C29-SUMPRODUCT(($D$3:$M$3&lt;E$3)*($N29:$W29-$X29:$AG29))))</f>
        <v/>
      </c>
      <c r="AJ29" s="24">
        <f>MIN(P29-Z29,MAX(0,$C29-SUMPRODUCT(($D$3:$M$3&lt;F$3)*($N29:$W29-$X29:$AG29))))</f>
        <v/>
      </c>
      <c r="AK29" s="24">
        <f>MIN(Q29-AA29,MAX(0,$C29-SUMPRODUCT(($D$3:$M$3&lt;G$3)*($N29:$W29-$X29:$AG29))))</f>
        <v/>
      </c>
      <c r="AL29" s="24">
        <f>MIN(R29-AB29,MAX(0,$C29-SUMPRODUCT(($D$3:$M$3&lt;H$3)*($N29:$W29-$X29:$AG29))))</f>
        <v/>
      </c>
      <c r="AM29" s="24">
        <f>MIN(S29-AC29,MAX(0,$C29-SUMPRODUCT(($D$3:$M$3&lt;I$3)*($N29:$W29-$X29:$AG29))))</f>
        <v/>
      </c>
      <c r="AN29" s="24">
        <f>MIN(T29-AD29,MAX(0,$C29-SUMPRODUCT(($D$3:$M$3&lt;J$3)*($N29:$W29-$X29:$AG29))))</f>
        <v/>
      </c>
      <c r="AO29" s="24">
        <f>MIN(U29-AE29,MAX(0,$C29-SUMPRODUCT(($D$3:$M$3&lt;K$3)*($N29:$W29-$X29:$AG29))))</f>
        <v/>
      </c>
      <c r="AP29" s="24">
        <f>MIN(V29-AF29,MAX(0,$C29-SUMPRODUCT(($D$3:$M$3&lt;L$3)*($N29:$W29-$X29:$AG29))))</f>
        <v/>
      </c>
      <c r="AQ29" s="24">
        <f>MIN(W29-AG29,MAX(0,$C29-SUMPRODUCT(($D$3:$M$3&lt;M$3)*($N29:$W29-$X29:$AG29))))</f>
        <v/>
      </c>
      <c r="AR29" s="24">
        <f>ROUND(N29-X29-AH29,2)</f>
        <v/>
      </c>
      <c r="AS29" s="24">
        <f>ROUND(O29-Y29-AI29,2)</f>
        <v/>
      </c>
      <c r="AT29" s="24">
        <f>ROUND(P29-Z29-AJ29,2)</f>
        <v/>
      </c>
      <c r="AU29" s="24">
        <f>ROUND(Q29-AA29-AK29,2)</f>
        <v/>
      </c>
      <c r="AV29" s="24">
        <f>ROUND(R29-AB29-AL29,2)</f>
        <v/>
      </c>
      <c r="AW29" s="24">
        <f>ROUND(S29-AC29-AM29,2)</f>
        <v/>
      </c>
      <c r="AX29" s="24">
        <f>ROUND(T29-AD29-AN29,2)</f>
        <v/>
      </c>
      <c r="AY29" s="24">
        <f>ROUND(U29-AE29-AO29,2)</f>
        <v/>
      </c>
      <c r="AZ29" s="24">
        <f>ROUND(V29-AF29-AP29,2)</f>
        <v/>
      </c>
      <c r="BA29" s="24">
        <f>ROUND(W29-AG29-AQ29,2)</f>
        <v/>
      </c>
      <c r="BB29" s="24">
        <f>SUM(AR29:BA29)</f>
        <v/>
      </c>
    </row>
    <row r="30">
      <c r="A30" t="n">
        <v>26</v>
      </c>
      <c r="B30" s="23">
        <f>EOMONTH(TODAY(),25)</f>
        <v/>
      </c>
      <c r="C30" s="24">
        <f>MAX(0,(SUM('My Loans'!$E$6:$E$15)+'My Loans'!$D$3)-SUM($X30:$AG30))</f>
        <v/>
      </c>
      <c r="D30" s="24">
        <f>MAX(0,AR29)</f>
        <v/>
      </c>
      <c r="E30" s="24">
        <f>MAX(0,AS29)</f>
        <v/>
      </c>
      <c r="F30" s="24">
        <f>MAX(0,AT29)</f>
        <v/>
      </c>
      <c r="G30" s="24">
        <f>MAX(0,AU29)</f>
        <v/>
      </c>
      <c r="H30" s="24">
        <f>MAX(0,AV29)</f>
        <v/>
      </c>
      <c r="I30" s="24">
        <f>MAX(0,AW29)</f>
        <v/>
      </c>
      <c r="J30" s="24">
        <f>MAX(0,AX29)</f>
        <v/>
      </c>
      <c r="K30" s="24">
        <f>MAX(0,AY29)</f>
        <v/>
      </c>
      <c r="L30" s="24">
        <f>MAX(0,AZ29)</f>
        <v/>
      </c>
      <c r="M30" s="24">
        <f>MAX(0,BA29)</f>
        <v/>
      </c>
      <c r="N30" s="24">
        <f>IF(D30&lt;0.5,0,D30*(1+N('My Loans'!D6)/1200))</f>
        <v/>
      </c>
      <c r="O30" s="24">
        <f>IF(E30&lt;0.5,0,E30*(1+N('My Loans'!D7)/1200))</f>
        <v/>
      </c>
      <c r="P30" s="24">
        <f>IF(F30&lt;0.5,0,F30*(1+N('My Loans'!D8)/1200))</f>
        <v/>
      </c>
      <c r="Q30" s="24">
        <f>IF(G30&lt;0.5,0,G30*(1+N('My Loans'!D9)/1200))</f>
        <v/>
      </c>
      <c r="R30" s="24">
        <f>IF(H30&lt;0.5,0,H30*(1+N('My Loans'!D10)/1200))</f>
        <v/>
      </c>
      <c r="S30" s="24">
        <f>IF(I30&lt;0.5,0,I30*(1+N('My Loans'!D11)/1200))</f>
        <v/>
      </c>
      <c r="T30" s="24">
        <f>IF(J30&lt;0.5,0,J30*(1+N('My Loans'!D12)/1200))</f>
        <v/>
      </c>
      <c r="U30" s="24">
        <f>IF(K30&lt;0.5,0,K30*(1+N('My Loans'!D13)/1200))</f>
        <v/>
      </c>
      <c r="V30" s="24">
        <f>IF(L30&lt;0.5,0,L30*(1+N('My Loans'!D14)/1200))</f>
        <v/>
      </c>
      <c r="W30" s="24">
        <f>IF(M30&lt;0.5,0,M30*(1+N('My Loans'!D15)/1200))</f>
        <v/>
      </c>
      <c r="X30" s="24">
        <f>MIN(N30,N('My Loans'!E6))</f>
        <v/>
      </c>
      <c r="Y30" s="24">
        <f>MIN(O30,N('My Loans'!E7))</f>
        <v/>
      </c>
      <c r="Z30" s="24">
        <f>MIN(P30,N('My Loans'!E8))</f>
        <v/>
      </c>
      <c r="AA30" s="24">
        <f>MIN(Q30,N('My Loans'!E9))</f>
        <v/>
      </c>
      <c r="AB30" s="24">
        <f>MIN(R30,N('My Loans'!E10))</f>
        <v/>
      </c>
      <c r="AC30" s="24">
        <f>MIN(S30,N('My Loans'!E11))</f>
        <v/>
      </c>
      <c r="AD30" s="24">
        <f>MIN(T30,N('My Loans'!E12))</f>
        <v/>
      </c>
      <c r="AE30" s="24">
        <f>MIN(U30,N('My Loans'!E13))</f>
        <v/>
      </c>
      <c r="AF30" s="24">
        <f>MIN(V30,N('My Loans'!E14))</f>
        <v/>
      </c>
      <c r="AG30" s="24">
        <f>MIN(W30,N('My Loans'!E15))</f>
        <v/>
      </c>
      <c r="AH30" s="24">
        <f>MIN(N30-X30,MAX(0,$C30-SUMPRODUCT(($D$3:$M$3&lt;D$3)*($N30:$W30-$X30:$AG30))))</f>
        <v/>
      </c>
      <c r="AI30" s="24">
        <f>MIN(O30-Y30,MAX(0,$C30-SUMPRODUCT(($D$3:$M$3&lt;E$3)*($N30:$W30-$X30:$AG30))))</f>
        <v/>
      </c>
      <c r="AJ30" s="24">
        <f>MIN(P30-Z30,MAX(0,$C30-SUMPRODUCT(($D$3:$M$3&lt;F$3)*($N30:$W30-$X30:$AG30))))</f>
        <v/>
      </c>
      <c r="AK30" s="24">
        <f>MIN(Q30-AA30,MAX(0,$C30-SUMPRODUCT(($D$3:$M$3&lt;G$3)*($N30:$W30-$X30:$AG30))))</f>
        <v/>
      </c>
      <c r="AL30" s="24">
        <f>MIN(R30-AB30,MAX(0,$C30-SUMPRODUCT(($D$3:$M$3&lt;H$3)*($N30:$W30-$X30:$AG30))))</f>
        <v/>
      </c>
      <c r="AM30" s="24">
        <f>MIN(S30-AC30,MAX(0,$C30-SUMPRODUCT(($D$3:$M$3&lt;I$3)*($N30:$W30-$X30:$AG30))))</f>
        <v/>
      </c>
      <c r="AN30" s="24">
        <f>MIN(T30-AD30,MAX(0,$C30-SUMPRODUCT(($D$3:$M$3&lt;J$3)*($N30:$W30-$X30:$AG30))))</f>
        <v/>
      </c>
      <c r="AO30" s="24">
        <f>MIN(U30-AE30,MAX(0,$C30-SUMPRODUCT(($D$3:$M$3&lt;K$3)*($N30:$W30-$X30:$AG30))))</f>
        <v/>
      </c>
      <c r="AP30" s="24">
        <f>MIN(V30-AF30,MAX(0,$C30-SUMPRODUCT(($D$3:$M$3&lt;L$3)*($N30:$W30-$X30:$AG30))))</f>
        <v/>
      </c>
      <c r="AQ30" s="24">
        <f>MIN(W30-AG30,MAX(0,$C30-SUMPRODUCT(($D$3:$M$3&lt;M$3)*($N30:$W30-$X30:$AG30))))</f>
        <v/>
      </c>
      <c r="AR30" s="24">
        <f>ROUND(N30-X30-AH30,2)</f>
        <v/>
      </c>
      <c r="AS30" s="24">
        <f>ROUND(O30-Y30-AI30,2)</f>
        <v/>
      </c>
      <c r="AT30" s="24">
        <f>ROUND(P30-Z30-AJ30,2)</f>
        <v/>
      </c>
      <c r="AU30" s="24">
        <f>ROUND(Q30-AA30-AK30,2)</f>
        <v/>
      </c>
      <c r="AV30" s="24">
        <f>ROUND(R30-AB30-AL30,2)</f>
        <v/>
      </c>
      <c r="AW30" s="24">
        <f>ROUND(S30-AC30-AM30,2)</f>
        <v/>
      </c>
      <c r="AX30" s="24">
        <f>ROUND(T30-AD30-AN30,2)</f>
        <v/>
      </c>
      <c r="AY30" s="24">
        <f>ROUND(U30-AE30-AO30,2)</f>
        <v/>
      </c>
      <c r="AZ30" s="24">
        <f>ROUND(V30-AF30-AP30,2)</f>
        <v/>
      </c>
      <c r="BA30" s="24">
        <f>ROUND(W30-AG30-AQ30,2)</f>
        <v/>
      </c>
      <c r="BB30" s="24">
        <f>SUM(AR30:BA30)</f>
        <v/>
      </c>
    </row>
    <row r="31">
      <c r="A31" t="n">
        <v>27</v>
      </c>
      <c r="B31" s="23">
        <f>EOMONTH(TODAY(),26)</f>
        <v/>
      </c>
      <c r="C31" s="24">
        <f>MAX(0,(SUM('My Loans'!$E$6:$E$15)+'My Loans'!$D$3)-SUM($X31:$AG31))</f>
        <v/>
      </c>
      <c r="D31" s="24">
        <f>MAX(0,AR30)</f>
        <v/>
      </c>
      <c r="E31" s="24">
        <f>MAX(0,AS30)</f>
        <v/>
      </c>
      <c r="F31" s="24">
        <f>MAX(0,AT30)</f>
        <v/>
      </c>
      <c r="G31" s="24">
        <f>MAX(0,AU30)</f>
        <v/>
      </c>
      <c r="H31" s="24">
        <f>MAX(0,AV30)</f>
        <v/>
      </c>
      <c r="I31" s="24">
        <f>MAX(0,AW30)</f>
        <v/>
      </c>
      <c r="J31" s="24">
        <f>MAX(0,AX30)</f>
        <v/>
      </c>
      <c r="K31" s="24">
        <f>MAX(0,AY30)</f>
        <v/>
      </c>
      <c r="L31" s="24">
        <f>MAX(0,AZ30)</f>
        <v/>
      </c>
      <c r="M31" s="24">
        <f>MAX(0,BA30)</f>
        <v/>
      </c>
      <c r="N31" s="24">
        <f>IF(D31&lt;0.5,0,D31*(1+N('My Loans'!D6)/1200))</f>
        <v/>
      </c>
      <c r="O31" s="24">
        <f>IF(E31&lt;0.5,0,E31*(1+N('My Loans'!D7)/1200))</f>
        <v/>
      </c>
      <c r="P31" s="24">
        <f>IF(F31&lt;0.5,0,F31*(1+N('My Loans'!D8)/1200))</f>
        <v/>
      </c>
      <c r="Q31" s="24">
        <f>IF(G31&lt;0.5,0,G31*(1+N('My Loans'!D9)/1200))</f>
        <v/>
      </c>
      <c r="R31" s="24">
        <f>IF(H31&lt;0.5,0,H31*(1+N('My Loans'!D10)/1200))</f>
        <v/>
      </c>
      <c r="S31" s="24">
        <f>IF(I31&lt;0.5,0,I31*(1+N('My Loans'!D11)/1200))</f>
        <v/>
      </c>
      <c r="T31" s="24">
        <f>IF(J31&lt;0.5,0,J31*(1+N('My Loans'!D12)/1200))</f>
        <v/>
      </c>
      <c r="U31" s="24">
        <f>IF(K31&lt;0.5,0,K31*(1+N('My Loans'!D13)/1200))</f>
        <v/>
      </c>
      <c r="V31" s="24">
        <f>IF(L31&lt;0.5,0,L31*(1+N('My Loans'!D14)/1200))</f>
        <v/>
      </c>
      <c r="W31" s="24">
        <f>IF(M31&lt;0.5,0,M31*(1+N('My Loans'!D15)/1200))</f>
        <v/>
      </c>
      <c r="X31" s="24">
        <f>MIN(N31,N('My Loans'!E6))</f>
        <v/>
      </c>
      <c r="Y31" s="24">
        <f>MIN(O31,N('My Loans'!E7))</f>
        <v/>
      </c>
      <c r="Z31" s="24">
        <f>MIN(P31,N('My Loans'!E8))</f>
        <v/>
      </c>
      <c r="AA31" s="24">
        <f>MIN(Q31,N('My Loans'!E9))</f>
        <v/>
      </c>
      <c r="AB31" s="24">
        <f>MIN(R31,N('My Loans'!E10))</f>
        <v/>
      </c>
      <c r="AC31" s="24">
        <f>MIN(S31,N('My Loans'!E11))</f>
        <v/>
      </c>
      <c r="AD31" s="24">
        <f>MIN(T31,N('My Loans'!E12))</f>
        <v/>
      </c>
      <c r="AE31" s="24">
        <f>MIN(U31,N('My Loans'!E13))</f>
        <v/>
      </c>
      <c r="AF31" s="24">
        <f>MIN(V31,N('My Loans'!E14))</f>
        <v/>
      </c>
      <c r="AG31" s="24">
        <f>MIN(W31,N('My Loans'!E15))</f>
        <v/>
      </c>
      <c r="AH31" s="24">
        <f>MIN(N31-X31,MAX(0,$C31-SUMPRODUCT(($D$3:$M$3&lt;D$3)*($N31:$W31-$X31:$AG31))))</f>
        <v/>
      </c>
      <c r="AI31" s="24">
        <f>MIN(O31-Y31,MAX(0,$C31-SUMPRODUCT(($D$3:$M$3&lt;E$3)*($N31:$W31-$X31:$AG31))))</f>
        <v/>
      </c>
      <c r="AJ31" s="24">
        <f>MIN(P31-Z31,MAX(0,$C31-SUMPRODUCT(($D$3:$M$3&lt;F$3)*($N31:$W31-$X31:$AG31))))</f>
        <v/>
      </c>
      <c r="AK31" s="24">
        <f>MIN(Q31-AA31,MAX(0,$C31-SUMPRODUCT(($D$3:$M$3&lt;G$3)*($N31:$W31-$X31:$AG31))))</f>
        <v/>
      </c>
      <c r="AL31" s="24">
        <f>MIN(R31-AB31,MAX(0,$C31-SUMPRODUCT(($D$3:$M$3&lt;H$3)*($N31:$W31-$X31:$AG31))))</f>
        <v/>
      </c>
      <c r="AM31" s="24">
        <f>MIN(S31-AC31,MAX(0,$C31-SUMPRODUCT(($D$3:$M$3&lt;I$3)*($N31:$W31-$X31:$AG31))))</f>
        <v/>
      </c>
      <c r="AN31" s="24">
        <f>MIN(T31-AD31,MAX(0,$C31-SUMPRODUCT(($D$3:$M$3&lt;J$3)*($N31:$W31-$X31:$AG31))))</f>
        <v/>
      </c>
      <c r="AO31" s="24">
        <f>MIN(U31-AE31,MAX(0,$C31-SUMPRODUCT(($D$3:$M$3&lt;K$3)*($N31:$W31-$X31:$AG31))))</f>
        <v/>
      </c>
      <c r="AP31" s="24">
        <f>MIN(V31-AF31,MAX(0,$C31-SUMPRODUCT(($D$3:$M$3&lt;L$3)*($N31:$W31-$X31:$AG31))))</f>
        <v/>
      </c>
      <c r="AQ31" s="24">
        <f>MIN(W31-AG31,MAX(0,$C31-SUMPRODUCT(($D$3:$M$3&lt;M$3)*($N31:$W31-$X31:$AG31))))</f>
        <v/>
      </c>
      <c r="AR31" s="24">
        <f>ROUND(N31-X31-AH31,2)</f>
        <v/>
      </c>
      <c r="AS31" s="24">
        <f>ROUND(O31-Y31-AI31,2)</f>
        <v/>
      </c>
      <c r="AT31" s="24">
        <f>ROUND(P31-Z31-AJ31,2)</f>
        <v/>
      </c>
      <c r="AU31" s="24">
        <f>ROUND(Q31-AA31-AK31,2)</f>
        <v/>
      </c>
      <c r="AV31" s="24">
        <f>ROUND(R31-AB31-AL31,2)</f>
        <v/>
      </c>
      <c r="AW31" s="24">
        <f>ROUND(S31-AC31-AM31,2)</f>
        <v/>
      </c>
      <c r="AX31" s="24">
        <f>ROUND(T31-AD31-AN31,2)</f>
        <v/>
      </c>
      <c r="AY31" s="24">
        <f>ROUND(U31-AE31-AO31,2)</f>
        <v/>
      </c>
      <c r="AZ31" s="24">
        <f>ROUND(V31-AF31-AP31,2)</f>
        <v/>
      </c>
      <c r="BA31" s="24">
        <f>ROUND(W31-AG31-AQ31,2)</f>
        <v/>
      </c>
      <c r="BB31" s="24">
        <f>SUM(AR31:BA31)</f>
        <v/>
      </c>
    </row>
    <row r="32">
      <c r="A32" t="n">
        <v>28</v>
      </c>
      <c r="B32" s="23">
        <f>EOMONTH(TODAY(),27)</f>
        <v/>
      </c>
      <c r="C32" s="24">
        <f>MAX(0,(SUM('My Loans'!$E$6:$E$15)+'My Loans'!$D$3)-SUM($X32:$AG32))</f>
        <v/>
      </c>
      <c r="D32" s="24">
        <f>MAX(0,AR31)</f>
        <v/>
      </c>
      <c r="E32" s="24">
        <f>MAX(0,AS31)</f>
        <v/>
      </c>
      <c r="F32" s="24">
        <f>MAX(0,AT31)</f>
        <v/>
      </c>
      <c r="G32" s="24">
        <f>MAX(0,AU31)</f>
        <v/>
      </c>
      <c r="H32" s="24">
        <f>MAX(0,AV31)</f>
        <v/>
      </c>
      <c r="I32" s="24">
        <f>MAX(0,AW31)</f>
        <v/>
      </c>
      <c r="J32" s="24">
        <f>MAX(0,AX31)</f>
        <v/>
      </c>
      <c r="K32" s="24">
        <f>MAX(0,AY31)</f>
        <v/>
      </c>
      <c r="L32" s="24">
        <f>MAX(0,AZ31)</f>
        <v/>
      </c>
      <c r="M32" s="24">
        <f>MAX(0,BA31)</f>
        <v/>
      </c>
      <c r="N32" s="24">
        <f>IF(D32&lt;0.5,0,D32*(1+N('My Loans'!D6)/1200))</f>
        <v/>
      </c>
      <c r="O32" s="24">
        <f>IF(E32&lt;0.5,0,E32*(1+N('My Loans'!D7)/1200))</f>
        <v/>
      </c>
      <c r="P32" s="24">
        <f>IF(F32&lt;0.5,0,F32*(1+N('My Loans'!D8)/1200))</f>
        <v/>
      </c>
      <c r="Q32" s="24">
        <f>IF(G32&lt;0.5,0,G32*(1+N('My Loans'!D9)/1200))</f>
        <v/>
      </c>
      <c r="R32" s="24">
        <f>IF(H32&lt;0.5,0,H32*(1+N('My Loans'!D10)/1200))</f>
        <v/>
      </c>
      <c r="S32" s="24">
        <f>IF(I32&lt;0.5,0,I32*(1+N('My Loans'!D11)/1200))</f>
        <v/>
      </c>
      <c r="T32" s="24">
        <f>IF(J32&lt;0.5,0,J32*(1+N('My Loans'!D12)/1200))</f>
        <v/>
      </c>
      <c r="U32" s="24">
        <f>IF(K32&lt;0.5,0,K32*(1+N('My Loans'!D13)/1200))</f>
        <v/>
      </c>
      <c r="V32" s="24">
        <f>IF(L32&lt;0.5,0,L32*(1+N('My Loans'!D14)/1200))</f>
        <v/>
      </c>
      <c r="W32" s="24">
        <f>IF(M32&lt;0.5,0,M32*(1+N('My Loans'!D15)/1200))</f>
        <v/>
      </c>
      <c r="X32" s="24">
        <f>MIN(N32,N('My Loans'!E6))</f>
        <v/>
      </c>
      <c r="Y32" s="24">
        <f>MIN(O32,N('My Loans'!E7))</f>
        <v/>
      </c>
      <c r="Z32" s="24">
        <f>MIN(P32,N('My Loans'!E8))</f>
        <v/>
      </c>
      <c r="AA32" s="24">
        <f>MIN(Q32,N('My Loans'!E9))</f>
        <v/>
      </c>
      <c r="AB32" s="24">
        <f>MIN(R32,N('My Loans'!E10))</f>
        <v/>
      </c>
      <c r="AC32" s="24">
        <f>MIN(S32,N('My Loans'!E11))</f>
        <v/>
      </c>
      <c r="AD32" s="24">
        <f>MIN(T32,N('My Loans'!E12))</f>
        <v/>
      </c>
      <c r="AE32" s="24">
        <f>MIN(U32,N('My Loans'!E13))</f>
        <v/>
      </c>
      <c r="AF32" s="24">
        <f>MIN(V32,N('My Loans'!E14))</f>
        <v/>
      </c>
      <c r="AG32" s="24">
        <f>MIN(W32,N('My Loans'!E15))</f>
        <v/>
      </c>
      <c r="AH32" s="24">
        <f>MIN(N32-X32,MAX(0,$C32-SUMPRODUCT(($D$3:$M$3&lt;D$3)*($N32:$W32-$X32:$AG32))))</f>
        <v/>
      </c>
      <c r="AI32" s="24">
        <f>MIN(O32-Y32,MAX(0,$C32-SUMPRODUCT(($D$3:$M$3&lt;E$3)*($N32:$W32-$X32:$AG32))))</f>
        <v/>
      </c>
      <c r="AJ32" s="24">
        <f>MIN(P32-Z32,MAX(0,$C32-SUMPRODUCT(($D$3:$M$3&lt;F$3)*($N32:$W32-$X32:$AG32))))</f>
        <v/>
      </c>
      <c r="AK32" s="24">
        <f>MIN(Q32-AA32,MAX(0,$C32-SUMPRODUCT(($D$3:$M$3&lt;G$3)*($N32:$W32-$X32:$AG32))))</f>
        <v/>
      </c>
      <c r="AL32" s="24">
        <f>MIN(R32-AB32,MAX(0,$C32-SUMPRODUCT(($D$3:$M$3&lt;H$3)*($N32:$W32-$X32:$AG32))))</f>
        <v/>
      </c>
      <c r="AM32" s="24">
        <f>MIN(S32-AC32,MAX(0,$C32-SUMPRODUCT(($D$3:$M$3&lt;I$3)*($N32:$W32-$X32:$AG32))))</f>
        <v/>
      </c>
      <c r="AN32" s="24">
        <f>MIN(T32-AD32,MAX(0,$C32-SUMPRODUCT(($D$3:$M$3&lt;J$3)*($N32:$W32-$X32:$AG32))))</f>
        <v/>
      </c>
      <c r="AO32" s="24">
        <f>MIN(U32-AE32,MAX(0,$C32-SUMPRODUCT(($D$3:$M$3&lt;K$3)*($N32:$W32-$X32:$AG32))))</f>
        <v/>
      </c>
      <c r="AP32" s="24">
        <f>MIN(V32-AF32,MAX(0,$C32-SUMPRODUCT(($D$3:$M$3&lt;L$3)*($N32:$W32-$X32:$AG32))))</f>
        <v/>
      </c>
      <c r="AQ32" s="24">
        <f>MIN(W32-AG32,MAX(0,$C32-SUMPRODUCT(($D$3:$M$3&lt;M$3)*($N32:$W32-$X32:$AG32))))</f>
        <v/>
      </c>
      <c r="AR32" s="24">
        <f>ROUND(N32-X32-AH32,2)</f>
        <v/>
      </c>
      <c r="AS32" s="24">
        <f>ROUND(O32-Y32-AI32,2)</f>
        <v/>
      </c>
      <c r="AT32" s="24">
        <f>ROUND(P32-Z32-AJ32,2)</f>
        <v/>
      </c>
      <c r="AU32" s="24">
        <f>ROUND(Q32-AA32-AK32,2)</f>
        <v/>
      </c>
      <c r="AV32" s="24">
        <f>ROUND(R32-AB32-AL32,2)</f>
        <v/>
      </c>
      <c r="AW32" s="24">
        <f>ROUND(S32-AC32-AM32,2)</f>
        <v/>
      </c>
      <c r="AX32" s="24">
        <f>ROUND(T32-AD32-AN32,2)</f>
        <v/>
      </c>
      <c r="AY32" s="24">
        <f>ROUND(U32-AE32-AO32,2)</f>
        <v/>
      </c>
      <c r="AZ32" s="24">
        <f>ROUND(V32-AF32-AP32,2)</f>
        <v/>
      </c>
      <c r="BA32" s="24">
        <f>ROUND(W32-AG32-AQ32,2)</f>
        <v/>
      </c>
      <c r="BB32" s="24">
        <f>SUM(AR32:BA32)</f>
        <v/>
      </c>
    </row>
    <row r="33">
      <c r="A33" t="n">
        <v>29</v>
      </c>
      <c r="B33" s="23">
        <f>EOMONTH(TODAY(),28)</f>
        <v/>
      </c>
      <c r="C33" s="24">
        <f>MAX(0,(SUM('My Loans'!$E$6:$E$15)+'My Loans'!$D$3)-SUM($X33:$AG33))</f>
        <v/>
      </c>
      <c r="D33" s="24">
        <f>MAX(0,AR32)</f>
        <v/>
      </c>
      <c r="E33" s="24">
        <f>MAX(0,AS32)</f>
        <v/>
      </c>
      <c r="F33" s="24">
        <f>MAX(0,AT32)</f>
        <v/>
      </c>
      <c r="G33" s="24">
        <f>MAX(0,AU32)</f>
        <v/>
      </c>
      <c r="H33" s="24">
        <f>MAX(0,AV32)</f>
        <v/>
      </c>
      <c r="I33" s="24">
        <f>MAX(0,AW32)</f>
        <v/>
      </c>
      <c r="J33" s="24">
        <f>MAX(0,AX32)</f>
        <v/>
      </c>
      <c r="K33" s="24">
        <f>MAX(0,AY32)</f>
        <v/>
      </c>
      <c r="L33" s="24">
        <f>MAX(0,AZ32)</f>
        <v/>
      </c>
      <c r="M33" s="24">
        <f>MAX(0,BA32)</f>
        <v/>
      </c>
      <c r="N33" s="24">
        <f>IF(D33&lt;0.5,0,D33*(1+N('My Loans'!D6)/1200))</f>
        <v/>
      </c>
      <c r="O33" s="24">
        <f>IF(E33&lt;0.5,0,E33*(1+N('My Loans'!D7)/1200))</f>
        <v/>
      </c>
      <c r="P33" s="24">
        <f>IF(F33&lt;0.5,0,F33*(1+N('My Loans'!D8)/1200))</f>
        <v/>
      </c>
      <c r="Q33" s="24">
        <f>IF(G33&lt;0.5,0,G33*(1+N('My Loans'!D9)/1200))</f>
        <v/>
      </c>
      <c r="R33" s="24">
        <f>IF(H33&lt;0.5,0,H33*(1+N('My Loans'!D10)/1200))</f>
        <v/>
      </c>
      <c r="S33" s="24">
        <f>IF(I33&lt;0.5,0,I33*(1+N('My Loans'!D11)/1200))</f>
        <v/>
      </c>
      <c r="T33" s="24">
        <f>IF(J33&lt;0.5,0,J33*(1+N('My Loans'!D12)/1200))</f>
        <v/>
      </c>
      <c r="U33" s="24">
        <f>IF(K33&lt;0.5,0,K33*(1+N('My Loans'!D13)/1200))</f>
        <v/>
      </c>
      <c r="V33" s="24">
        <f>IF(L33&lt;0.5,0,L33*(1+N('My Loans'!D14)/1200))</f>
        <v/>
      </c>
      <c r="W33" s="24">
        <f>IF(M33&lt;0.5,0,M33*(1+N('My Loans'!D15)/1200))</f>
        <v/>
      </c>
      <c r="X33" s="24">
        <f>MIN(N33,N('My Loans'!E6))</f>
        <v/>
      </c>
      <c r="Y33" s="24">
        <f>MIN(O33,N('My Loans'!E7))</f>
        <v/>
      </c>
      <c r="Z33" s="24">
        <f>MIN(P33,N('My Loans'!E8))</f>
        <v/>
      </c>
      <c r="AA33" s="24">
        <f>MIN(Q33,N('My Loans'!E9))</f>
        <v/>
      </c>
      <c r="AB33" s="24">
        <f>MIN(R33,N('My Loans'!E10))</f>
        <v/>
      </c>
      <c r="AC33" s="24">
        <f>MIN(S33,N('My Loans'!E11))</f>
        <v/>
      </c>
      <c r="AD33" s="24">
        <f>MIN(T33,N('My Loans'!E12))</f>
        <v/>
      </c>
      <c r="AE33" s="24">
        <f>MIN(U33,N('My Loans'!E13))</f>
        <v/>
      </c>
      <c r="AF33" s="24">
        <f>MIN(V33,N('My Loans'!E14))</f>
        <v/>
      </c>
      <c r="AG33" s="24">
        <f>MIN(W33,N('My Loans'!E15))</f>
        <v/>
      </c>
      <c r="AH33" s="24">
        <f>MIN(N33-X33,MAX(0,$C33-SUMPRODUCT(($D$3:$M$3&lt;D$3)*($N33:$W33-$X33:$AG33))))</f>
        <v/>
      </c>
      <c r="AI33" s="24">
        <f>MIN(O33-Y33,MAX(0,$C33-SUMPRODUCT(($D$3:$M$3&lt;E$3)*($N33:$W33-$X33:$AG33))))</f>
        <v/>
      </c>
      <c r="AJ33" s="24">
        <f>MIN(P33-Z33,MAX(0,$C33-SUMPRODUCT(($D$3:$M$3&lt;F$3)*($N33:$W33-$X33:$AG33))))</f>
        <v/>
      </c>
      <c r="AK33" s="24">
        <f>MIN(Q33-AA33,MAX(0,$C33-SUMPRODUCT(($D$3:$M$3&lt;G$3)*($N33:$W33-$X33:$AG33))))</f>
        <v/>
      </c>
      <c r="AL33" s="24">
        <f>MIN(R33-AB33,MAX(0,$C33-SUMPRODUCT(($D$3:$M$3&lt;H$3)*($N33:$W33-$X33:$AG33))))</f>
        <v/>
      </c>
      <c r="AM33" s="24">
        <f>MIN(S33-AC33,MAX(0,$C33-SUMPRODUCT(($D$3:$M$3&lt;I$3)*($N33:$W33-$X33:$AG33))))</f>
        <v/>
      </c>
      <c r="AN33" s="24">
        <f>MIN(T33-AD33,MAX(0,$C33-SUMPRODUCT(($D$3:$M$3&lt;J$3)*($N33:$W33-$X33:$AG33))))</f>
        <v/>
      </c>
      <c r="AO33" s="24">
        <f>MIN(U33-AE33,MAX(0,$C33-SUMPRODUCT(($D$3:$M$3&lt;K$3)*($N33:$W33-$X33:$AG33))))</f>
        <v/>
      </c>
      <c r="AP33" s="24">
        <f>MIN(V33-AF33,MAX(0,$C33-SUMPRODUCT(($D$3:$M$3&lt;L$3)*($N33:$W33-$X33:$AG33))))</f>
        <v/>
      </c>
      <c r="AQ33" s="24">
        <f>MIN(W33-AG33,MAX(0,$C33-SUMPRODUCT(($D$3:$M$3&lt;M$3)*($N33:$W33-$X33:$AG33))))</f>
        <v/>
      </c>
      <c r="AR33" s="24">
        <f>ROUND(N33-X33-AH33,2)</f>
        <v/>
      </c>
      <c r="AS33" s="24">
        <f>ROUND(O33-Y33-AI33,2)</f>
        <v/>
      </c>
      <c r="AT33" s="24">
        <f>ROUND(P33-Z33-AJ33,2)</f>
        <v/>
      </c>
      <c r="AU33" s="24">
        <f>ROUND(Q33-AA33-AK33,2)</f>
        <v/>
      </c>
      <c r="AV33" s="24">
        <f>ROUND(R33-AB33-AL33,2)</f>
        <v/>
      </c>
      <c r="AW33" s="24">
        <f>ROUND(S33-AC33-AM33,2)</f>
        <v/>
      </c>
      <c r="AX33" s="24">
        <f>ROUND(T33-AD33-AN33,2)</f>
        <v/>
      </c>
      <c r="AY33" s="24">
        <f>ROUND(U33-AE33-AO33,2)</f>
        <v/>
      </c>
      <c r="AZ33" s="24">
        <f>ROUND(V33-AF33-AP33,2)</f>
        <v/>
      </c>
      <c r="BA33" s="24">
        <f>ROUND(W33-AG33-AQ33,2)</f>
        <v/>
      </c>
      <c r="BB33" s="24">
        <f>SUM(AR33:BA33)</f>
        <v/>
      </c>
    </row>
    <row r="34">
      <c r="A34" t="n">
        <v>30</v>
      </c>
      <c r="B34" s="23">
        <f>EOMONTH(TODAY(),29)</f>
        <v/>
      </c>
      <c r="C34" s="24">
        <f>MAX(0,(SUM('My Loans'!$E$6:$E$15)+'My Loans'!$D$3)-SUM($X34:$AG34))</f>
        <v/>
      </c>
      <c r="D34" s="24">
        <f>MAX(0,AR33)</f>
        <v/>
      </c>
      <c r="E34" s="24">
        <f>MAX(0,AS33)</f>
        <v/>
      </c>
      <c r="F34" s="24">
        <f>MAX(0,AT33)</f>
        <v/>
      </c>
      <c r="G34" s="24">
        <f>MAX(0,AU33)</f>
        <v/>
      </c>
      <c r="H34" s="24">
        <f>MAX(0,AV33)</f>
        <v/>
      </c>
      <c r="I34" s="24">
        <f>MAX(0,AW33)</f>
        <v/>
      </c>
      <c r="J34" s="24">
        <f>MAX(0,AX33)</f>
        <v/>
      </c>
      <c r="K34" s="24">
        <f>MAX(0,AY33)</f>
        <v/>
      </c>
      <c r="L34" s="24">
        <f>MAX(0,AZ33)</f>
        <v/>
      </c>
      <c r="M34" s="24">
        <f>MAX(0,BA33)</f>
        <v/>
      </c>
      <c r="N34" s="24">
        <f>IF(D34&lt;0.5,0,D34*(1+N('My Loans'!D6)/1200))</f>
        <v/>
      </c>
      <c r="O34" s="24">
        <f>IF(E34&lt;0.5,0,E34*(1+N('My Loans'!D7)/1200))</f>
        <v/>
      </c>
      <c r="P34" s="24">
        <f>IF(F34&lt;0.5,0,F34*(1+N('My Loans'!D8)/1200))</f>
        <v/>
      </c>
      <c r="Q34" s="24">
        <f>IF(G34&lt;0.5,0,G34*(1+N('My Loans'!D9)/1200))</f>
        <v/>
      </c>
      <c r="R34" s="24">
        <f>IF(H34&lt;0.5,0,H34*(1+N('My Loans'!D10)/1200))</f>
        <v/>
      </c>
      <c r="S34" s="24">
        <f>IF(I34&lt;0.5,0,I34*(1+N('My Loans'!D11)/1200))</f>
        <v/>
      </c>
      <c r="T34" s="24">
        <f>IF(J34&lt;0.5,0,J34*(1+N('My Loans'!D12)/1200))</f>
        <v/>
      </c>
      <c r="U34" s="24">
        <f>IF(K34&lt;0.5,0,K34*(1+N('My Loans'!D13)/1200))</f>
        <v/>
      </c>
      <c r="V34" s="24">
        <f>IF(L34&lt;0.5,0,L34*(1+N('My Loans'!D14)/1200))</f>
        <v/>
      </c>
      <c r="W34" s="24">
        <f>IF(M34&lt;0.5,0,M34*(1+N('My Loans'!D15)/1200))</f>
        <v/>
      </c>
      <c r="X34" s="24">
        <f>MIN(N34,N('My Loans'!E6))</f>
        <v/>
      </c>
      <c r="Y34" s="24">
        <f>MIN(O34,N('My Loans'!E7))</f>
        <v/>
      </c>
      <c r="Z34" s="24">
        <f>MIN(P34,N('My Loans'!E8))</f>
        <v/>
      </c>
      <c r="AA34" s="24">
        <f>MIN(Q34,N('My Loans'!E9))</f>
        <v/>
      </c>
      <c r="AB34" s="24">
        <f>MIN(R34,N('My Loans'!E10))</f>
        <v/>
      </c>
      <c r="AC34" s="24">
        <f>MIN(S34,N('My Loans'!E11))</f>
        <v/>
      </c>
      <c r="AD34" s="24">
        <f>MIN(T34,N('My Loans'!E12))</f>
        <v/>
      </c>
      <c r="AE34" s="24">
        <f>MIN(U34,N('My Loans'!E13))</f>
        <v/>
      </c>
      <c r="AF34" s="24">
        <f>MIN(V34,N('My Loans'!E14))</f>
        <v/>
      </c>
      <c r="AG34" s="24">
        <f>MIN(W34,N('My Loans'!E15))</f>
        <v/>
      </c>
      <c r="AH34" s="24">
        <f>MIN(N34-X34,MAX(0,$C34-SUMPRODUCT(($D$3:$M$3&lt;D$3)*($N34:$W34-$X34:$AG34))))</f>
        <v/>
      </c>
      <c r="AI34" s="24">
        <f>MIN(O34-Y34,MAX(0,$C34-SUMPRODUCT(($D$3:$M$3&lt;E$3)*($N34:$W34-$X34:$AG34))))</f>
        <v/>
      </c>
      <c r="AJ34" s="24">
        <f>MIN(P34-Z34,MAX(0,$C34-SUMPRODUCT(($D$3:$M$3&lt;F$3)*($N34:$W34-$X34:$AG34))))</f>
        <v/>
      </c>
      <c r="AK34" s="24">
        <f>MIN(Q34-AA34,MAX(0,$C34-SUMPRODUCT(($D$3:$M$3&lt;G$3)*($N34:$W34-$X34:$AG34))))</f>
        <v/>
      </c>
      <c r="AL34" s="24">
        <f>MIN(R34-AB34,MAX(0,$C34-SUMPRODUCT(($D$3:$M$3&lt;H$3)*($N34:$W34-$X34:$AG34))))</f>
        <v/>
      </c>
      <c r="AM34" s="24">
        <f>MIN(S34-AC34,MAX(0,$C34-SUMPRODUCT(($D$3:$M$3&lt;I$3)*($N34:$W34-$X34:$AG34))))</f>
        <v/>
      </c>
      <c r="AN34" s="24">
        <f>MIN(T34-AD34,MAX(0,$C34-SUMPRODUCT(($D$3:$M$3&lt;J$3)*($N34:$W34-$X34:$AG34))))</f>
        <v/>
      </c>
      <c r="AO34" s="24">
        <f>MIN(U34-AE34,MAX(0,$C34-SUMPRODUCT(($D$3:$M$3&lt;K$3)*($N34:$W34-$X34:$AG34))))</f>
        <v/>
      </c>
      <c r="AP34" s="24">
        <f>MIN(V34-AF34,MAX(0,$C34-SUMPRODUCT(($D$3:$M$3&lt;L$3)*($N34:$W34-$X34:$AG34))))</f>
        <v/>
      </c>
      <c r="AQ34" s="24">
        <f>MIN(W34-AG34,MAX(0,$C34-SUMPRODUCT(($D$3:$M$3&lt;M$3)*($N34:$W34-$X34:$AG34))))</f>
        <v/>
      </c>
      <c r="AR34" s="24">
        <f>ROUND(N34-X34-AH34,2)</f>
        <v/>
      </c>
      <c r="AS34" s="24">
        <f>ROUND(O34-Y34-AI34,2)</f>
        <v/>
      </c>
      <c r="AT34" s="24">
        <f>ROUND(P34-Z34-AJ34,2)</f>
        <v/>
      </c>
      <c r="AU34" s="24">
        <f>ROUND(Q34-AA34-AK34,2)</f>
        <v/>
      </c>
      <c r="AV34" s="24">
        <f>ROUND(R34-AB34-AL34,2)</f>
        <v/>
      </c>
      <c r="AW34" s="24">
        <f>ROUND(S34-AC34-AM34,2)</f>
        <v/>
      </c>
      <c r="AX34" s="24">
        <f>ROUND(T34-AD34-AN34,2)</f>
        <v/>
      </c>
      <c r="AY34" s="24">
        <f>ROUND(U34-AE34-AO34,2)</f>
        <v/>
      </c>
      <c r="AZ34" s="24">
        <f>ROUND(V34-AF34-AP34,2)</f>
        <v/>
      </c>
      <c r="BA34" s="24">
        <f>ROUND(W34-AG34-AQ34,2)</f>
        <v/>
      </c>
      <c r="BB34" s="24">
        <f>SUM(AR34:BA34)</f>
        <v/>
      </c>
    </row>
    <row r="35">
      <c r="A35" t="n">
        <v>31</v>
      </c>
      <c r="B35" s="23">
        <f>EOMONTH(TODAY(),30)</f>
        <v/>
      </c>
      <c r="C35" s="24">
        <f>MAX(0,(SUM('My Loans'!$E$6:$E$15)+'My Loans'!$D$3)-SUM($X35:$AG35))</f>
        <v/>
      </c>
      <c r="D35" s="24">
        <f>MAX(0,AR34)</f>
        <v/>
      </c>
      <c r="E35" s="24">
        <f>MAX(0,AS34)</f>
        <v/>
      </c>
      <c r="F35" s="24">
        <f>MAX(0,AT34)</f>
        <v/>
      </c>
      <c r="G35" s="24">
        <f>MAX(0,AU34)</f>
        <v/>
      </c>
      <c r="H35" s="24">
        <f>MAX(0,AV34)</f>
        <v/>
      </c>
      <c r="I35" s="24">
        <f>MAX(0,AW34)</f>
        <v/>
      </c>
      <c r="J35" s="24">
        <f>MAX(0,AX34)</f>
        <v/>
      </c>
      <c r="K35" s="24">
        <f>MAX(0,AY34)</f>
        <v/>
      </c>
      <c r="L35" s="24">
        <f>MAX(0,AZ34)</f>
        <v/>
      </c>
      <c r="M35" s="24">
        <f>MAX(0,BA34)</f>
        <v/>
      </c>
      <c r="N35" s="24">
        <f>IF(D35&lt;0.5,0,D35*(1+N('My Loans'!D6)/1200))</f>
        <v/>
      </c>
      <c r="O35" s="24">
        <f>IF(E35&lt;0.5,0,E35*(1+N('My Loans'!D7)/1200))</f>
        <v/>
      </c>
      <c r="P35" s="24">
        <f>IF(F35&lt;0.5,0,F35*(1+N('My Loans'!D8)/1200))</f>
        <v/>
      </c>
      <c r="Q35" s="24">
        <f>IF(G35&lt;0.5,0,G35*(1+N('My Loans'!D9)/1200))</f>
        <v/>
      </c>
      <c r="R35" s="24">
        <f>IF(H35&lt;0.5,0,H35*(1+N('My Loans'!D10)/1200))</f>
        <v/>
      </c>
      <c r="S35" s="24">
        <f>IF(I35&lt;0.5,0,I35*(1+N('My Loans'!D11)/1200))</f>
        <v/>
      </c>
      <c r="T35" s="24">
        <f>IF(J35&lt;0.5,0,J35*(1+N('My Loans'!D12)/1200))</f>
        <v/>
      </c>
      <c r="U35" s="24">
        <f>IF(K35&lt;0.5,0,K35*(1+N('My Loans'!D13)/1200))</f>
        <v/>
      </c>
      <c r="V35" s="24">
        <f>IF(L35&lt;0.5,0,L35*(1+N('My Loans'!D14)/1200))</f>
        <v/>
      </c>
      <c r="W35" s="24">
        <f>IF(M35&lt;0.5,0,M35*(1+N('My Loans'!D15)/1200))</f>
        <v/>
      </c>
      <c r="X35" s="24">
        <f>MIN(N35,N('My Loans'!E6))</f>
        <v/>
      </c>
      <c r="Y35" s="24">
        <f>MIN(O35,N('My Loans'!E7))</f>
        <v/>
      </c>
      <c r="Z35" s="24">
        <f>MIN(P35,N('My Loans'!E8))</f>
        <v/>
      </c>
      <c r="AA35" s="24">
        <f>MIN(Q35,N('My Loans'!E9))</f>
        <v/>
      </c>
      <c r="AB35" s="24">
        <f>MIN(R35,N('My Loans'!E10))</f>
        <v/>
      </c>
      <c r="AC35" s="24">
        <f>MIN(S35,N('My Loans'!E11))</f>
        <v/>
      </c>
      <c r="AD35" s="24">
        <f>MIN(T35,N('My Loans'!E12))</f>
        <v/>
      </c>
      <c r="AE35" s="24">
        <f>MIN(U35,N('My Loans'!E13))</f>
        <v/>
      </c>
      <c r="AF35" s="24">
        <f>MIN(V35,N('My Loans'!E14))</f>
        <v/>
      </c>
      <c r="AG35" s="24">
        <f>MIN(W35,N('My Loans'!E15))</f>
        <v/>
      </c>
      <c r="AH35" s="24">
        <f>MIN(N35-X35,MAX(0,$C35-SUMPRODUCT(($D$3:$M$3&lt;D$3)*($N35:$W35-$X35:$AG35))))</f>
        <v/>
      </c>
      <c r="AI35" s="24">
        <f>MIN(O35-Y35,MAX(0,$C35-SUMPRODUCT(($D$3:$M$3&lt;E$3)*($N35:$W35-$X35:$AG35))))</f>
        <v/>
      </c>
      <c r="AJ35" s="24">
        <f>MIN(P35-Z35,MAX(0,$C35-SUMPRODUCT(($D$3:$M$3&lt;F$3)*($N35:$W35-$X35:$AG35))))</f>
        <v/>
      </c>
      <c r="AK35" s="24">
        <f>MIN(Q35-AA35,MAX(0,$C35-SUMPRODUCT(($D$3:$M$3&lt;G$3)*($N35:$W35-$X35:$AG35))))</f>
        <v/>
      </c>
      <c r="AL35" s="24">
        <f>MIN(R35-AB35,MAX(0,$C35-SUMPRODUCT(($D$3:$M$3&lt;H$3)*($N35:$W35-$X35:$AG35))))</f>
        <v/>
      </c>
      <c r="AM35" s="24">
        <f>MIN(S35-AC35,MAX(0,$C35-SUMPRODUCT(($D$3:$M$3&lt;I$3)*($N35:$W35-$X35:$AG35))))</f>
        <v/>
      </c>
      <c r="AN35" s="24">
        <f>MIN(T35-AD35,MAX(0,$C35-SUMPRODUCT(($D$3:$M$3&lt;J$3)*($N35:$W35-$X35:$AG35))))</f>
        <v/>
      </c>
      <c r="AO35" s="24">
        <f>MIN(U35-AE35,MAX(0,$C35-SUMPRODUCT(($D$3:$M$3&lt;K$3)*($N35:$W35-$X35:$AG35))))</f>
        <v/>
      </c>
      <c r="AP35" s="24">
        <f>MIN(V35-AF35,MAX(0,$C35-SUMPRODUCT(($D$3:$M$3&lt;L$3)*($N35:$W35-$X35:$AG35))))</f>
        <v/>
      </c>
      <c r="AQ35" s="24">
        <f>MIN(W35-AG35,MAX(0,$C35-SUMPRODUCT(($D$3:$M$3&lt;M$3)*($N35:$W35-$X35:$AG35))))</f>
        <v/>
      </c>
      <c r="AR35" s="24">
        <f>ROUND(N35-X35-AH35,2)</f>
        <v/>
      </c>
      <c r="AS35" s="24">
        <f>ROUND(O35-Y35-AI35,2)</f>
        <v/>
      </c>
      <c r="AT35" s="24">
        <f>ROUND(P35-Z35-AJ35,2)</f>
        <v/>
      </c>
      <c r="AU35" s="24">
        <f>ROUND(Q35-AA35-AK35,2)</f>
        <v/>
      </c>
      <c r="AV35" s="24">
        <f>ROUND(R35-AB35-AL35,2)</f>
        <v/>
      </c>
      <c r="AW35" s="24">
        <f>ROUND(S35-AC35-AM35,2)</f>
        <v/>
      </c>
      <c r="AX35" s="24">
        <f>ROUND(T35-AD35-AN35,2)</f>
        <v/>
      </c>
      <c r="AY35" s="24">
        <f>ROUND(U35-AE35-AO35,2)</f>
        <v/>
      </c>
      <c r="AZ35" s="24">
        <f>ROUND(V35-AF35-AP35,2)</f>
        <v/>
      </c>
      <c r="BA35" s="24">
        <f>ROUND(W35-AG35-AQ35,2)</f>
        <v/>
      </c>
      <c r="BB35" s="24">
        <f>SUM(AR35:BA35)</f>
        <v/>
      </c>
    </row>
    <row r="36">
      <c r="A36" t="n">
        <v>32</v>
      </c>
      <c r="B36" s="23">
        <f>EOMONTH(TODAY(),31)</f>
        <v/>
      </c>
      <c r="C36" s="24">
        <f>MAX(0,(SUM('My Loans'!$E$6:$E$15)+'My Loans'!$D$3)-SUM($X36:$AG36))</f>
        <v/>
      </c>
      <c r="D36" s="24">
        <f>MAX(0,AR35)</f>
        <v/>
      </c>
      <c r="E36" s="24">
        <f>MAX(0,AS35)</f>
        <v/>
      </c>
      <c r="F36" s="24">
        <f>MAX(0,AT35)</f>
        <v/>
      </c>
      <c r="G36" s="24">
        <f>MAX(0,AU35)</f>
        <v/>
      </c>
      <c r="H36" s="24">
        <f>MAX(0,AV35)</f>
        <v/>
      </c>
      <c r="I36" s="24">
        <f>MAX(0,AW35)</f>
        <v/>
      </c>
      <c r="J36" s="24">
        <f>MAX(0,AX35)</f>
        <v/>
      </c>
      <c r="K36" s="24">
        <f>MAX(0,AY35)</f>
        <v/>
      </c>
      <c r="L36" s="24">
        <f>MAX(0,AZ35)</f>
        <v/>
      </c>
      <c r="M36" s="24">
        <f>MAX(0,BA35)</f>
        <v/>
      </c>
      <c r="N36" s="24">
        <f>IF(D36&lt;0.5,0,D36*(1+N('My Loans'!D6)/1200))</f>
        <v/>
      </c>
      <c r="O36" s="24">
        <f>IF(E36&lt;0.5,0,E36*(1+N('My Loans'!D7)/1200))</f>
        <v/>
      </c>
      <c r="P36" s="24">
        <f>IF(F36&lt;0.5,0,F36*(1+N('My Loans'!D8)/1200))</f>
        <v/>
      </c>
      <c r="Q36" s="24">
        <f>IF(G36&lt;0.5,0,G36*(1+N('My Loans'!D9)/1200))</f>
        <v/>
      </c>
      <c r="R36" s="24">
        <f>IF(H36&lt;0.5,0,H36*(1+N('My Loans'!D10)/1200))</f>
        <v/>
      </c>
      <c r="S36" s="24">
        <f>IF(I36&lt;0.5,0,I36*(1+N('My Loans'!D11)/1200))</f>
        <v/>
      </c>
      <c r="T36" s="24">
        <f>IF(J36&lt;0.5,0,J36*(1+N('My Loans'!D12)/1200))</f>
        <v/>
      </c>
      <c r="U36" s="24">
        <f>IF(K36&lt;0.5,0,K36*(1+N('My Loans'!D13)/1200))</f>
        <v/>
      </c>
      <c r="V36" s="24">
        <f>IF(L36&lt;0.5,0,L36*(1+N('My Loans'!D14)/1200))</f>
        <v/>
      </c>
      <c r="W36" s="24">
        <f>IF(M36&lt;0.5,0,M36*(1+N('My Loans'!D15)/1200))</f>
        <v/>
      </c>
      <c r="X36" s="24">
        <f>MIN(N36,N('My Loans'!E6))</f>
        <v/>
      </c>
      <c r="Y36" s="24">
        <f>MIN(O36,N('My Loans'!E7))</f>
        <v/>
      </c>
      <c r="Z36" s="24">
        <f>MIN(P36,N('My Loans'!E8))</f>
        <v/>
      </c>
      <c r="AA36" s="24">
        <f>MIN(Q36,N('My Loans'!E9))</f>
        <v/>
      </c>
      <c r="AB36" s="24">
        <f>MIN(R36,N('My Loans'!E10))</f>
        <v/>
      </c>
      <c r="AC36" s="24">
        <f>MIN(S36,N('My Loans'!E11))</f>
        <v/>
      </c>
      <c r="AD36" s="24">
        <f>MIN(T36,N('My Loans'!E12))</f>
        <v/>
      </c>
      <c r="AE36" s="24">
        <f>MIN(U36,N('My Loans'!E13))</f>
        <v/>
      </c>
      <c r="AF36" s="24">
        <f>MIN(V36,N('My Loans'!E14))</f>
        <v/>
      </c>
      <c r="AG36" s="24">
        <f>MIN(W36,N('My Loans'!E15))</f>
        <v/>
      </c>
      <c r="AH36" s="24">
        <f>MIN(N36-X36,MAX(0,$C36-SUMPRODUCT(($D$3:$M$3&lt;D$3)*($N36:$W36-$X36:$AG36))))</f>
        <v/>
      </c>
      <c r="AI36" s="24">
        <f>MIN(O36-Y36,MAX(0,$C36-SUMPRODUCT(($D$3:$M$3&lt;E$3)*($N36:$W36-$X36:$AG36))))</f>
        <v/>
      </c>
      <c r="AJ36" s="24">
        <f>MIN(P36-Z36,MAX(0,$C36-SUMPRODUCT(($D$3:$M$3&lt;F$3)*($N36:$W36-$X36:$AG36))))</f>
        <v/>
      </c>
      <c r="AK36" s="24">
        <f>MIN(Q36-AA36,MAX(0,$C36-SUMPRODUCT(($D$3:$M$3&lt;G$3)*($N36:$W36-$X36:$AG36))))</f>
        <v/>
      </c>
      <c r="AL36" s="24">
        <f>MIN(R36-AB36,MAX(0,$C36-SUMPRODUCT(($D$3:$M$3&lt;H$3)*($N36:$W36-$X36:$AG36))))</f>
        <v/>
      </c>
      <c r="AM36" s="24">
        <f>MIN(S36-AC36,MAX(0,$C36-SUMPRODUCT(($D$3:$M$3&lt;I$3)*($N36:$W36-$X36:$AG36))))</f>
        <v/>
      </c>
      <c r="AN36" s="24">
        <f>MIN(T36-AD36,MAX(0,$C36-SUMPRODUCT(($D$3:$M$3&lt;J$3)*($N36:$W36-$X36:$AG36))))</f>
        <v/>
      </c>
      <c r="AO36" s="24">
        <f>MIN(U36-AE36,MAX(0,$C36-SUMPRODUCT(($D$3:$M$3&lt;K$3)*($N36:$W36-$X36:$AG36))))</f>
        <v/>
      </c>
      <c r="AP36" s="24">
        <f>MIN(V36-AF36,MAX(0,$C36-SUMPRODUCT(($D$3:$M$3&lt;L$3)*($N36:$W36-$X36:$AG36))))</f>
        <v/>
      </c>
      <c r="AQ36" s="24">
        <f>MIN(W36-AG36,MAX(0,$C36-SUMPRODUCT(($D$3:$M$3&lt;M$3)*($N36:$W36-$X36:$AG36))))</f>
        <v/>
      </c>
      <c r="AR36" s="24">
        <f>ROUND(N36-X36-AH36,2)</f>
        <v/>
      </c>
      <c r="AS36" s="24">
        <f>ROUND(O36-Y36-AI36,2)</f>
        <v/>
      </c>
      <c r="AT36" s="24">
        <f>ROUND(P36-Z36-AJ36,2)</f>
        <v/>
      </c>
      <c r="AU36" s="24">
        <f>ROUND(Q36-AA36-AK36,2)</f>
        <v/>
      </c>
      <c r="AV36" s="24">
        <f>ROUND(R36-AB36-AL36,2)</f>
        <v/>
      </c>
      <c r="AW36" s="24">
        <f>ROUND(S36-AC36-AM36,2)</f>
        <v/>
      </c>
      <c r="AX36" s="24">
        <f>ROUND(T36-AD36-AN36,2)</f>
        <v/>
      </c>
      <c r="AY36" s="24">
        <f>ROUND(U36-AE36-AO36,2)</f>
        <v/>
      </c>
      <c r="AZ36" s="24">
        <f>ROUND(V36-AF36-AP36,2)</f>
        <v/>
      </c>
      <c r="BA36" s="24">
        <f>ROUND(W36-AG36-AQ36,2)</f>
        <v/>
      </c>
      <c r="BB36" s="24">
        <f>SUM(AR36:BA36)</f>
        <v/>
      </c>
    </row>
    <row r="37">
      <c r="A37" t="n">
        <v>33</v>
      </c>
      <c r="B37" s="23">
        <f>EOMONTH(TODAY(),32)</f>
        <v/>
      </c>
      <c r="C37" s="24">
        <f>MAX(0,(SUM('My Loans'!$E$6:$E$15)+'My Loans'!$D$3)-SUM($X37:$AG37))</f>
        <v/>
      </c>
      <c r="D37" s="24">
        <f>MAX(0,AR36)</f>
        <v/>
      </c>
      <c r="E37" s="24">
        <f>MAX(0,AS36)</f>
        <v/>
      </c>
      <c r="F37" s="24">
        <f>MAX(0,AT36)</f>
        <v/>
      </c>
      <c r="G37" s="24">
        <f>MAX(0,AU36)</f>
        <v/>
      </c>
      <c r="H37" s="24">
        <f>MAX(0,AV36)</f>
        <v/>
      </c>
      <c r="I37" s="24">
        <f>MAX(0,AW36)</f>
        <v/>
      </c>
      <c r="J37" s="24">
        <f>MAX(0,AX36)</f>
        <v/>
      </c>
      <c r="K37" s="24">
        <f>MAX(0,AY36)</f>
        <v/>
      </c>
      <c r="L37" s="24">
        <f>MAX(0,AZ36)</f>
        <v/>
      </c>
      <c r="M37" s="24">
        <f>MAX(0,BA36)</f>
        <v/>
      </c>
      <c r="N37" s="24">
        <f>IF(D37&lt;0.5,0,D37*(1+N('My Loans'!D6)/1200))</f>
        <v/>
      </c>
      <c r="O37" s="24">
        <f>IF(E37&lt;0.5,0,E37*(1+N('My Loans'!D7)/1200))</f>
        <v/>
      </c>
      <c r="P37" s="24">
        <f>IF(F37&lt;0.5,0,F37*(1+N('My Loans'!D8)/1200))</f>
        <v/>
      </c>
      <c r="Q37" s="24">
        <f>IF(G37&lt;0.5,0,G37*(1+N('My Loans'!D9)/1200))</f>
        <v/>
      </c>
      <c r="R37" s="24">
        <f>IF(H37&lt;0.5,0,H37*(1+N('My Loans'!D10)/1200))</f>
        <v/>
      </c>
      <c r="S37" s="24">
        <f>IF(I37&lt;0.5,0,I37*(1+N('My Loans'!D11)/1200))</f>
        <v/>
      </c>
      <c r="T37" s="24">
        <f>IF(J37&lt;0.5,0,J37*(1+N('My Loans'!D12)/1200))</f>
        <v/>
      </c>
      <c r="U37" s="24">
        <f>IF(K37&lt;0.5,0,K37*(1+N('My Loans'!D13)/1200))</f>
        <v/>
      </c>
      <c r="V37" s="24">
        <f>IF(L37&lt;0.5,0,L37*(1+N('My Loans'!D14)/1200))</f>
        <v/>
      </c>
      <c r="W37" s="24">
        <f>IF(M37&lt;0.5,0,M37*(1+N('My Loans'!D15)/1200))</f>
        <v/>
      </c>
      <c r="X37" s="24">
        <f>MIN(N37,N('My Loans'!E6))</f>
        <v/>
      </c>
      <c r="Y37" s="24">
        <f>MIN(O37,N('My Loans'!E7))</f>
        <v/>
      </c>
      <c r="Z37" s="24">
        <f>MIN(P37,N('My Loans'!E8))</f>
        <v/>
      </c>
      <c r="AA37" s="24">
        <f>MIN(Q37,N('My Loans'!E9))</f>
        <v/>
      </c>
      <c r="AB37" s="24">
        <f>MIN(R37,N('My Loans'!E10))</f>
        <v/>
      </c>
      <c r="AC37" s="24">
        <f>MIN(S37,N('My Loans'!E11))</f>
        <v/>
      </c>
      <c r="AD37" s="24">
        <f>MIN(T37,N('My Loans'!E12))</f>
        <v/>
      </c>
      <c r="AE37" s="24">
        <f>MIN(U37,N('My Loans'!E13))</f>
        <v/>
      </c>
      <c r="AF37" s="24">
        <f>MIN(V37,N('My Loans'!E14))</f>
        <v/>
      </c>
      <c r="AG37" s="24">
        <f>MIN(W37,N('My Loans'!E15))</f>
        <v/>
      </c>
      <c r="AH37" s="24">
        <f>MIN(N37-X37,MAX(0,$C37-SUMPRODUCT(($D$3:$M$3&lt;D$3)*($N37:$W37-$X37:$AG37))))</f>
        <v/>
      </c>
      <c r="AI37" s="24">
        <f>MIN(O37-Y37,MAX(0,$C37-SUMPRODUCT(($D$3:$M$3&lt;E$3)*($N37:$W37-$X37:$AG37))))</f>
        <v/>
      </c>
      <c r="AJ37" s="24">
        <f>MIN(P37-Z37,MAX(0,$C37-SUMPRODUCT(($D$3:$M$3&lt;F$3)*($N37:$W37-$X37:$AG37))))</f>
        <v/>
      </c>
      <c r="AK37" s="24">
        <f>MIN(Q37-AA37,MAX(0,$C37-SUMPRODUCT(($D$3:$M$3&lt;G$3)*($N37:$W37-$X37:$AG37))))</f>
        <v/>
      </c>
      <c r="AL37" s="24">
        <f>MIN(R37-AB37,MAX(0,$C37-SUMPRODUCT(($D$3:$M$3&lt;H$3)*($N37:$W37-$X37:$AG37))))</f>
        <v/>
      </c>
      <c r="AM37" s="24">
        <f>MIN(S37-AC37,MAX(0,$C37-SUMPRODUCT(($D$3:$M$3&lt;I$3)*($N37:$W37-$X37:$AG37))))</f>
        <v/>
      </c>
      <c r="AN37" s="24">
        <f>MIN(T37-AD37,MAX(0,$C37-SUMPRODUCT(($D$3:$M$3&lt;J$3)*($N37:$W37-$X37:$AG37))))</f>
        <v/>
      </c>
      <c r="AO37" s="24">
        <f>MIN(U37-AE37,MAX(0,$C37-SUMPRODUCT(($D$3:$M$3&lt;K$3)*($N37:$W37-$X37:$AG37))))</f>
        <v/>
      </c>
      <c r="AP37" s="24">
        <f>MIN(V37-AF37,MAX(0,$C37-SUMPRODUCT(($D$3:$M$3&lt;L$3)*($N37:$W37-$X37:$AG37))))</f>
        <v/>
      </c>
      <c r="AQ37" s="24">
        <f>MIN(W37-AG37,MAX(0,$C37-SUMPRODUCT(($D$3:$M$3&lt;M$3)*($N37:$W37-$X37:$AG37))))</f>
        <v/>
      </c>
      <c r="AR37" s="24">
        <f>ROUND(N37-X37-AH37,2)</f>
        <v/>
      </c>
      <c r="AS37" s="24">
        <f>ROUND(O37-Y37-AI37,2)</f>
        <v/>
      </c>
      <c r="AT37" s="24">
        <f>ROUND(P37-Z37-AJ37,2)</f>
        <v/>
      </c>
      <c r="AU37" s="24">
        <f>ROUND(Q37-AA37-AK37,2)</f>
        <v/>
      </c>
      <c r="AV37" s="24">
        <f>ROUND(R37-AB37-AL37,2)</f>
        <v/>
      </c>
      <c r="AW37" s="24">
        <f>ROUND(S37-AC37-AM37,2)</f>
        <v/>
      </c>
      <c r="AX37" s="24">
        <f>ROUND(T37-AD37-AN37,2)</f>
        <v/>
      </c>
      <c r="AY37" s="24">
        <f>ROUND(U37-AE37-AO37,2)</f>
        <v/>
      </c>
      <c r="AZ37" s="24">
        <f>ROUND(V37-AF37-AP37,2)</f>
        <v/>
      </c>
      <c r="BA37" s="24">
        <f>ROUND(W37-AG37-AQ37,2)</f>
        <v/>
      </c>
      <c r="BB37" s="24">
        <f>SUM(AR37:BA37)</f>
        <v/>
      </c>
    </row>
    <row r="38">
      <c r="A38" t="n">
        <v>34</v>
      </c>
      <c r="B38" s="23">
        <f>EOMONTH(TODAY(),33)</f>
        <v/>
      </c>
      <c r="C38" s="24">
        <f>MAX(0,(SUM('My Loans'!$E$6:$E$15)+'My Loans'!$D$3)-SUM($X38:$AG38))</f>
        <v/>
      </c>
      <c r="D38" s="24">
        <f>MAX(0,AR37)</f>
        <v/>
      </c>
      <c r="E38" s="24">
        <f>MAX(0,AS37)</f>
        <v/>
      </c>
      <c r="F38" s="24">
        <f>MAX(0,AT37)</f>
        <v/>
      </c>
      <c r="G38" s="24">
        <f>MAX(0,AU37)</f>
        <v/>
      </c>
      <c r="H38" s="24">
        <f>MAX(0,AV37)</f>
        <v/>
      </c>
      <c r="I38" s="24">
        <f>MAX(0,AW37)</f>
        <v/>
      </c>
      <c r="J38" s="24">
        <f>MAX(0,AX37)</f>
        <v/>
      </c>
      <c r="K38" s="24">
        <f>MAX(0,AY37)</f>
        <v/>
      </c>
      <c r="L38" s="24">
        <f>MAX(0,AZ37)</f>
        <v/>
      </c>
      <c r="M38" s="24">
        <f>MAX(0,BA37)</f>
        <v/>
      </c>
      <c r="N38" s="24">
        <f>IF(D38&lt;0.5,0,D38*(1+N('My Loans'!D6)/1200))</f>
        <v/>
      </c>
      <c r="O38" s="24">
        <f>IF(E38&lt;0.5,0,E38*(1+N('My Loans'!D7)/1200))</f>
        <v/>
      </c>
      <c r="P38" s="24">
        <f>IF(F38&lt;0.5,0,F38*(1+N('My Loans'!D8)/1200))</f>
        <v/>
      </c>
      <c r="Q38" s="24">
        <f>IF(G38&lt;0.5,0,G38*(1+N('My Loans'!D9)/1200))</f>
        <v/>
      </c>
      <c r="R38" s="24">
        <f>IF(H38&lt;0.5,0,H38*(1+N('My Loans'!D10)/1200))</f>
        <v/>
      </c>
      <c r="S38" s="24">
        <f>IF(I38&lt;0.5,0,I38*(1+N('My Loans'!D11)/1200))</f>
        <v/>
      </c>
      <c r="T38" s="24">
        <f>IF(J38&lt;0.5,0,J38*(1+N('My Loans'!D12)/1200))</f>
        <v/>
      </c>
      <c r="U38" s="24">
        <f>IF(K38&lt;0.5,0,K38*(1+N('My Loans'!D13)/1200))</f>
        <v/>
      </c>
      <c r="V38" s="24">
        <f>IF(L38&lt;0.5,0,L38*(1+N('My Loans'!D14)/1200))</f>
        <v/>
      </c>
      <c r="W38" s="24">
        <f>IF(M38&lt;0.5,0,M38*(1+N('My Loans'!D15)/1200))</f>
        <v/>
      </c>
      <c r="X38" s="24">
        <f>MIN(N38,N('My Loans'!E6))</f>
        <v/>
      </c>
      <c r="Y38" s="24">
        <f>MIN(O38,N('My Loans'!E7))</f>
        <v/>
      </c>
      <c r="Z38" s="24">
        <f>MIN(P38,N('My Loans'!E8))</f>
        <v/>
      </c>
      <c r="AA38" s="24">
        <f>MIN(Q38,N('My Loans'!E9))</f>
        <v/>
      </c>
      <c r="AB38" s="24">
        <f>MIN(R38,N('My Loans'!E10))</f>
        <v/>
      </c>
      <c r="AC38" s="24">
        <f>MIN(S38,N('My Loans'!E11))</f>
        <v/>
      </c>
      <c r="AD38" s="24">
        <f>MIN(T38,N('My Loans'!E12))</f>
        <v/>
      </c>
      <c r="AE38" s="24">
        <f>MIN(U38,N('My Loans'!E13))</f>
        <v/>
      </c>
      <c r="AF38" s="24">
        <f>MIN(V38,N('My Loans'!E14))</f>
        <v/>
      </c>
      <c r="AG38" s="24">
        <f>MIN(W38,N('My Loans'!E15))</f>
        <v/>
      </c>
      <c r="AH38" s="24">
        <f>MIN(N38-X38,MAX(0,$C38-SUMPRODUCT(($D$3:$M$3&lt;D$3)*($N38:$W38-$X38:$AG38))))</f>
        <v/>
      </c>
      <c r="AI38" s="24">
        <f>MIN(O38-Y38,MAX(0,$C38-SUMPRODUCT(($D$3:$M$3&lt;E$3)*($N38:$W38-$X38:$AG38))))</f>
        <v/>
      </c>
      <c r="AJ38" s="24">
        <f>MIN(P38-Z38,MAX(0,$C38-SUMPRODUCT(($D$3:$M$3&lt;F$3)*($N38:$W38-$X38:$AG38))))</f>
        <v/>
      </c>
      <c r="AK38" s="24">
        <f>MIN(Q38-AA38,MAX(0,$C38-SUMPRODUCT(($D$3:$M$3&lt;G$3)*($N38:$W38-$X38:$AG38))))</f>
        <v/>
      </c>
      <c r="AL38" s="24">
        <f>MIN(R38-AB38,MAX(0,$C38-SUMPRODUCT(($D$3:$M$3&lt;H$3)*($N38:$W38-$X38:$AG38))))</f>
        <v/>
      </c>
      <c r="AM38" s="24">
        <f>MIN(S38-AC38,MAX(0,$C38-SUMPRODUCT(($D$3:$M$3&lt;I$3)*($N38:$W38-$X38:$AG38))))</f>
        <v/>
      </c>
      <c r="AN38" s="24">
        <f>MIN(T38-AD38,MAX(0,$C38-SUMPRODUCT(($D$3:$M$3&lt;J$3)*($N38:$W38-$X38:$AG38))))</f>
        <v/>
      </c>
      <c r="AO38" s="24">
        <f>MIN(U38-AE38,MAX(0,$C38-SUMPRODUCT(($D$3:$M$3&lt;K$3)*($N38:$W38-$X38:$AG38))))</f>
        <v/>
      </c>
      <c r="AP38" s="24">
        <f>MIN(V38-AF38,MAX(0,$C38-SUMPRODUCT(($D$3:$M$3&lt;L$3)*($N38:$W38-$X38:$AG38))))</f>
        <v/>
      </c>
      <c r="AQ38" s="24">
        <f>MIN(W38-AG38,MAX(0,$C38-SUMPRODUCT(($D$3:$M$3&lt;M$3)*($N38:$W38-$X38:$AG38))))</f>
        <v/>
      </c>
      <c r="AR38" s="24">
        <f>ROUND(N38-X38-AH38,2)</f>
        <v/>
      </c>
      <c r="AS38" s="24">
        <f>ROUND(O38-Y38-AI38,2)</f>
        <v/>
      </c>
      <c r="AT38" s="24">
        <f>ROUND(P38-Z38-AJ38,2)</f>
        <v/>
      </c>
      <c r="AU38" s="24">
        <f>ROUND(Q38-AA38-AK38,2)</f>
        <v/>
      </c>
      <c r="AV38" s="24">
        <f>ROUND(R38-AB38-AL38,2)</f>
        <v/>
      </c>
      <c r="AW38" s="24">
        <f>ROUND(S38-AC38-AM38,2)</f>
        <v/>
      </c>
      <c r="AX38" s="24">
        <f>ROUND(T38-AD38-AN38,2)</f>
        <v/>
      </c>
      <c r="AY38" s="24">
        <f>ROUND(U38-AE38-AO38,2)</f>
        <v/>
      </c>
      <c r="AZ38" s="24">
        <f>ROUND(V38-AF38-AP38,2)</f>
        <v/>
      </c>
      <c r="BA38" s="24">
        <f>ROUND(W38-AG38-AQ38,2)</f>
        <v/>
      </c>
      <c r="BB38" s="24">
        <f>SUM(AR38:BA38)</f>
        <v/>
      </c>
    </row>
    <row r="39">
      <c r="A39" t="n">
        <v>35</v>
      </c>
      <c r="B39" s="23">
        <f>EOMONTH(TODAY(),34)</f>
        <v/>
      </c>
      <c r="C39" s="24">
        <f>MAX(0,(SUM('My Loans'!$E$6:$E$15)+'My Loans'!$D$3)-SUM($X39:$AG39))</f>
        <v/>
      </c>
      <c r="D39" s="24">
        <f>MAX(0,AR38)</f>
        <v/>
      </c>
      <c r="E39" s="24">
        <f>MAX(0,AS38)</f>
        <v/>
      </c>
      <c r="F39" s="24">
        <f>MAX(0,AT38)</f>
        <v/>
      </c>
      <c r="G39" s="24">
        <f>MAX(0,AU38)</f>
        <v/>
      </c>
      <c r="H39" s="24">
        <f>MAX(0,AV38)</f>
        <v/>
      </c>
      <c r="I39" s="24">
        <f>MAX(0,AW38)</f>
        <v/>
      </c>
      <c r="J39" s="24">
        <f>MAX(0,AX38)</f>
        <v/>
      </c>
      <c r="K39" s="24">
        <f>MAX(0,AY38)</f>
        <v/>
      </c>
      <c r="L39" s="24">
        <f>MAX(0,AZ38)</f>
        <v/>
      </c>
      <c r="M39" s="24">
        <f>MAX(0,BA38)</f>
        <v/>
      </c>
      <c r="N39" s="24">
        <f>IF(D39&lt;0.5,0,D39*(1+N('My Loans'!D6)/1200))</f>
        <v/>
      </c>
      <c r="O39" s="24">
        <f>IF(E39&lt;0.5,0,E39*(1+N('My Loans'!D7)/1200))</f>
        <v/>
      </c>
      <c r="P39" s="24">
        <f>IF(F39&lt;0.5,0,F39*(1+N('My Loans'!D8)/1200))</f>
        <v/>
      </c>
      <c r="Q39" s="24">
        <f>IF(G39&lt;0.5,0,G39*(1+N('My Loans'!D9)/1200))</f>
        <v/>
      </c>
      <c r="R39" s="24">
        <f>IF(H39&lt;0.5,0,H39*(1+N('My Loans'!D10)/1200))</f>
        <v/>
      </c>
      <c r="S39" s="24">
        <f>IF(I39&lt;0.5,0,I39*(1+N('My Loans'!D11)/1200))</f>
        <v/>
      </c>
      <c r="T39" s="24">
        <f>IF(J39&lt;0.5,0,J39*(1+N('My Loans'!D12)/1200))</f>
        <v/>
      </c>
      <c r="U39" s="24">
        <f>IF(K39&lt;0.5,0,K39*(1+N('My Loans'!D13)/1200))</f>
        <v/>
      </c>
      <c r="V39" s="24">
        <f>IF(L39&lt;0.5,0,L39*(1+N('My Loans'!D14)/1200))</f>
        <v/>
      </c>
      <c r="W39" s="24">
        <f>IF(M39&lt;0.5,0,M39*(1+N('My Loans'!D15)/1200))</f>
        <v/>
      </c>
      <c r="X39" s="24">
        <f>MIN(N39,N('My Loans'!E6))</f>
        <v/>
      </c>
      <c r="Y39" s="24">
        <f>MIN(O39,N('My Loans'!E7))</f>
        <v/>
      </c>
      <c r="Z39" s="24">
        <f>MIN(P39,N('My Loans'!E8))</f>
        <v/>
      </c>
      <c r="AA39" s="24">
        <f>MIN(Q39,N('My Loans'!E9))</f>
        <v/>
      </c>
      <c r="AB39" s="24">
        <f>MIN(R39,N('My Loans'!E10))</f>
        <v/>
      </c>
      <c r="AC39" s="24">
        <f>MIN(S39,N('My Loans'!E11))</f>
        <v/>
      </c>
      <c r="AD39" s="24">
        <f>MIN(T39,N('My Loans'!E12))</f>
        <v/>
      </c>
      <c r="AE39" s="24">
        <f>MIN(U39,N('My Loans'!E13))</f>
        <v/>
      </c>
      <c r="AF39" s="24">
        <f>MIN(V39,N('My Loans'!E14))</f>
        <v/>
      </c>
      <c r="AG39" s="24">
        <f>MIN(W39,N('My Loans'!E15))</f>
        <v/>
      </c>
      <c r="AH39" s="24">
        <f>MIN(N39-X39,MAX(0,$C39-SUMPRODUCT(($D$3:$M$3&lt;D$3)*($N39:$W39-$X39:$AG39))))</f>
        <v/>
      </c>
      <c r="AI39" s="24">
        <f>MIN(O39-Y39,MAX(0,$C39-SUMPRODUCT(($D$3:$M$3&lt;E$3)*($N39:$W39-$X39:$AG39))))</f>
        <v/>
      </c>
      <c r="AJ39" s="24">
        <f>MIN(P39-Z39,MAX(0,$C39-SUMPRODUCT(($D$3:$M$3&lt;F$3)*($N39:$W39-$X39:$AG39))))</f>
        <v/>
      </c>
      <c r="AK39" s="24">
        <f>MIN(Q39-AA39,MAX(0,$C39-SUMPRODUCT(($D$3:$M$3&lt;G$3)*($N39:$W39-$X39:$AG39))))</f>
        <v/>
      </c>
      <c r="AL39" s="24">
        <f>MIN(R39-AB39,MAX(0,$C39-SUMPRODUCT(($D$3:$M$3&lt;H$3)*($N39:$W39-$X39:$AG39))))</f>
        <v/>
      </c>
      <c r="AM39" s="24">
        <f>MIN(S39-AC39,MAX(0,$C39-SUMPRODUCT(($D$3:$M$3&lt;I$3)*($N39:$W39-$X39:$AG39))))</f>
        <v/>
      </c>
      <c r="AN39" s="24">
        <f>MIN(T39-AD39,MAX(0,$C39-SUMPRODUCT(($D$3:$M$3&lt;J$3)*($N39:$W39-$X39:$AG39))))</f>
        <v/>
      </c>
      <c r="AO39" s="24">
        <f>MIN(U39-AE39,MAX(0,$C39-SUMPRODUCT(($D$3:$M$3&lt;K$3)*($N39:$W39-$X39:$AG39))))</f>
        <v/>
      </c>
      <c r="AP39" s="24">
        <f>MIN(V39-AF39,MAX(0,$C39-SUMPRODUCT(($D$3:$M$3&lt;L$3)*($N39:$W39-$X39:$AG39))))</f>
        <v/>
      </c>
      <c r="AQ39" s="24">
        <f>MIN(W39-AG39,MAX(0,$C39-SUMPRODUCT(($D$3:$M$3&lt;M$3)*($N39:$W39-$X39:$AG39))))</f>
        <v/>
      </c>
      <c r="AR39" s="24">
        <f>ROUND(N39-X39-AH39,2)</f>
        <v/>
      </c>
      <c r="AS39" s="24">
        <f>ROUND(O39-Y39-AI39,2)</f>
        <v/>
      </c>
      <c r="AT39" s="24">
        <f>ROUND(P39-Z39-AJ39,2)</f>
        <v/>
      </c>
      <c r="AU39" s="24">
        <f>ROUND(Q39-AA39-AK39,2)</f>
        <v/>
      </c>
      <c r="AV39" s="24">
        <f>ROUND(R39-AB39-AL39,2)</f>
        <v/>
      </c>
      <c r="AW39" s="24">
        <f>ROUND(S39-AC39-AM39,2)</f>
        <v/>
      </c>
      <c r="AX39" s="24">
        <f>ROUND(T39-AD39-AN39,2)</f>
        <v/>
      </c>
      <c r="AY39" s="24">
        <f>ROUND(U39-AE39-AO39,2)</f>
        <v/>
      </c>
      <c r="AZ39" s="24">
        <f>ROUND(V39-AF39-AP39,2)</f>
        <v/>
      </c>
      <c r="BA39" s="24">
        <f>ROUND(W39-AG39-AQ39,2)</f>
        <v/>
      </c>
      <c r="BB39" s="24">
        <f>SUM(AR39:BA39)</f>
        <v/>
      </c>
    </row>
    <row r="40">
      <c r="A40" t="n">
        <v>36</v>
      </c>
      <c r="B40" s="23">
        <f>EOMONTH(TODAY(),35)</f>
        <v/>
      </c>
      <c r="C40" s="24">
        <f>MAX(0,(SUM('My Loans'!$E$6:$E$15)+'My Loans'!$D$3)-SUM($X40:$AG40))</f>
        <v/>
      </c>
      <c r="D40" s="24">
        <f>MAX(0,AR39)</f>
        <v/>
      </c>
      <c r="E40" s="24">
        <f>MAX(0,AS39)</f>
        <v/>
      </c>
      <c r="F40" s="24">
        <f>MAX(0,AT39)</f>
        <v/>
      </c>
      <c r="G40" s="24">
        <f>MAX(0,AU39)</f>
        <v/>
      </c>
      <c r="H40" s="24">
        <f>MAX(0,AV39)</f>
        <v/>
      </c>
      <c r="I40" s="24">
        <f>MAX(0,AW39)</f>
        <v/>
      </c>
      <c r="J40" s="24">
        <f>MAX(0,AX39)</f>
        <v/>
      </c>
      <c r="K40" s="24">
        <f>MAX(0,AY39)</f>
        <v/>
      </c>
      <c r="L40" s="24">
        <f>MAX(0,AZ39)</f>
        <v/>
      </c>
      <c r="M40" s="24">
        <f>MAX(0,BA39)</f>
        <v/>
      </c>
      <c r="N40" s="24">
        <f>IF(D40&lt;0.5,0,D40*(1+N('My Loans'!D6)/1200))</f>
        <v/>
      </c>
      <c r="O40" s="24">
        <f>IF(E40&lt;0.5,0,E40*(1+N('My Loans'!D7)/1200))</f>
        <v/>
      </c>
      <c r="P40" s="24">
        <f>IF(F40&lt;0.5,0,F40*(1+N('My Loans'!D8)/1200))</f>
        <v/>
      </c>
      <c r="Q40" s="24">
        <f>IF(G40&lt;0.5,0,G40*(1+N('My Loans'!D9)/1200))</f>
        <v/>
      </c>
      <c r="R40" s="24">
        <f>IF(H40&lt;0.5,0,H40*(1+N('My Loans'!D10)/1200))</f>
        <v/>
      </c>
      <c r="S40" s="24">
        <f>IF(I40&lt;0.5,0,I40*(1+N('My Loans'!D11)/1200))</f>
        <v/>
      </c>
      <c r="T40" s="24">
        <f>IF(J40&lt;0.5,0,J40*(1+N('My Loans'!D12)/1200))</f>
        <v/>
      </c>
      <c r="U40" s="24">
        <f>IF(K40&lt;0.5,0,K40*(1+N('My Loans'!D13)/1200))</f>
        <v/>
      </c>
      <c r="V40" s="24">
        <f>IF(L40&lt;0.5,0,L40*(1+N('My Loans'!D14)/1200))</f>
        <v/>
      </c>
      <c r="W40" s="24">
        <f>IF(M40&lt;0.5,0,M40*(1+N('My Loans'!D15)/1200))</f>
        <v/>
      </c>
      <c r="X40" s="24">
        <f>MIN(N40,N('My Loans'!E6))</f>
        <v/>
      </c>
      <c r="Y40" s="24">
        <f>MIN(O40,N('My Loans'!E7))</f>
        <v/>
      </c>
      <c r="Z40" s="24">
        <f>MIN(P40,N('My Loans'!E8))</f>
        <v/>
      </c>
      <c r="AA40" s="24">
        <f>MIN(Q40,N('My Loans'!E9))</f>
        <v/>
      </c>
      <c r="AB40" s="24">
        <f>MIN(R40,N('My Loans'!E10))</f>
        <v/>
      </c>
      <c r="AC40" s="24">
        <f>MIN(S40,N('My Loans'!E11))</f>
        <v/>
      </c>
      <c r="AD40" s="24">
        <f>MIN(T40,N('My Loans'!E12))</f>
        <v/>
      </c>
      <c r="AE40" s="24">
        <f>MIN(U40,N('My Loans'!E13))</f>
        <v/>
      </c>
      <c r="AF40" s="24">
        <f>MIN(V40,N('My Loans'!E14))</f>
        <v/>
      </c>
      <c r="AG40" s="24">
        <f>MIN(W40,N('My Loans'!E15))</f>
        <v/>
      </c>
      <c r="AH40" s="24">
        <f>MIN(N40-X40,MAX(0,$C40-SUMPRODUCT(($D$3:$M$3&lt;D$3)*($N40:$W40-$X40:$AG40))))</f>
        <v/>
      </c>
      <c r="AI40" s="24">
        <f>MIN(O40-Y40,MAX(0,$C40-SUMPRODUCT(($D$3:$M$3&lt;E$3)*($N40:$W40-$X40:$AG40))))</f>
        <v/>
      </c>
      <c r="AJ40" s="24">
        <f>MIN(P40-Z40,MAX(0,$C40-SUMPRODUCT(($D$3:$M$3&lt;F$3)*($N40:$W40-$X40:$AG40))))</f>
        <v/>
      </c>
      <c r="AK40" s="24">
        <f>MIN(Q40-AA40,MAX(0,$C40-SUMPRODUCT(($D$3:$M$3&lt;G$3)*($N40:$W40-$X40:$AG40))))</f>
        <v/>
      </c>
      <c r="AL40" s="24">
        <f>MIN(R40-AB40,MAX(0,$C40-SUMPRODUCT(($D$3:$M$3&lt;H$3)*($N40:$W40-$X40:$AG40))))</f>
        <v/>
      </c>
      <c r="AM40" s="24">
        <f>MIN(S40-AC40,MAX(0,$C40-SUMPRODUCT(($D$3:$M$3&lt;I$3)*($N40:$W40-$X40:$AG40))))</f>
        <v/>
      </c>
      <c r="AN40" s="24">
        <f>MIN(T40-AD40,MAX(0,$C40-SUMPRODUCT(($D$3:$M$3&lt;J$3)*($N40:$W40-$X40:$AG40))))</f>
        <v/>
      </c>
      <c r="AO40" s="24">
        <f>MIN(U40-AE40,MAX(0,$C40-SUMPRODUCT(($D$3:$M$3&lt;K$3)*($N40:$W40-$X40:$AG40))))</f>
        <v/>
      </c>
      <c r="AP40" s="24">
        <f>MIN(V40-AF40,MAX(0,$C40-SUMPRODUCT(($D$3:$M$3&lt;L$3)*($N40:$W40-$X40:$AG40))))</f>
        <v/>
      </c>
      <c r="AQ40" s="24">
        <f>MIN(W40-AG40,MAX(0,$C40-SUMPRODUCT(($D$3:$M$3&lt;M$3)*($N40:$W40-$X40:$AG40))))</f>
        <v/>
      </c>
      <c r="AR40" s="24">
        <f>ROUND(N40-X40-AH40,2)</f>
        <v/>
      </c>
      <c r="AS40" s="24">
        <f>ROUND(O40-Y40-AI40,2)</f>
        <v/>
      </c>
      <c r="AT40" s="24">
        <f>ROUND(P40-Z40-AJ40,2)</f>
        <v/>
      </c>
      <c r="AU40" s="24">
        <f>ROUND(Q40-AA40-AK40,2)</f>
        <v/>
      </c>
      <c r="AV40" s="24">
        <f>ROUND(R40-AB40-AL40,2)</f>
        <v/>
      </c>
      <c r="AW40" s="24">
        <f>ROUND(S40-AC40-AM40,2)</f>
        <v/>
      </c>
      <c r="AX40" s="24">
        <f>ROUND(T40-AD40-AN40,2)</f>
        <v/>
      </c>
      <c r="AY40" s="24">
        <f>ROUND(U40-AE40-AO40,2)</f>
        <v/>
      </c>
      <c r="AZ40" s="24">
        <f>ROUND(V40-AF40-AP40,2)</f>
        <v/>
      </c>
      <c r="BA40" s="24">
        <f>ROUND(W40-AG40-AQ40,2)</f>
        <v/>
      </c>
      <c r="BB40" s="24">
        <f>SUM(AR40:BA40)</f>
        <v/>
      </c>
    </row>
    <row r="41">
      <c r="A41" t="n">
        <v>37</v>
      </c>
      <c r="B41" s="23">
        <f>EOMONTH(TODAY(),36)</f>
        <v/>
      </c>
      <c r="C41" s="24">
        <f>MAX(0,(SUM('My Loans'!$E$6:$E$15)+'My Loans'!$D$3)-SUM($X41:$AG41))</f>
        <v/>
      </c>
      <c r="D41" s="24">
        <f>MAX(0,AR40)</f>
        <v/>
      </c>
      <c r="E41" s="24">
        <f>MAX(0,AS40)</f>
        <v/>
      </c>
      <c r="F41" s="24">
        <f>MAX(0,AT40)</f>
        <v/>
      </c>
      <c r="G41" s="24">
        <f>MAX(0,AU40)</f>
        <v/>
      </c>
      <c r="H41" s="24">
        <f>MAX(0,AV40)</f>
        <v/>
      </c>
      <c r="I41" s="24">
        <f>MAX(0,AW40)</f>
        <v/>
      </c>
      <c r="J41" s="24">
        <f>MAX(0,AX40)</f>
        <v/>
      </c>
      <c r="K41" s="24">
        <f>MAX(0,AY40)</f>
        <v/>
      </c>
      <c r="L41" s="24">
        <f>MAX(0,AZ40)</f>
        <v/>
      </c>
      <c r="M41" s="24">
        <f>MAX(0,BA40)</f>
        <v/>
      </c>
      <c r="N41" s="24">
        <f>IF(D41&lt;0.5,0,D41*(1+N('My Loans'!D6)/1200))</f>
        <v/>
      </c>
      <c r="O41" s="24">
        <f>IF(E41&lt;0.5,0,E41*(1+N('My Loans'!D7)/1200))</f>
        <v/>
      </c>
      <c r="P41" s="24">
        <f>IF(F41&lt;0.5,0,F41*(1+N('My Loans'!D8)/1200))</f>
        <v/>
      </c>
      <c r="Q41" s="24">
        <f>IF(G41&lt;0.5,0,G41*(1+N('My Loans'!D9)/1200))</f>
        <v/>
      </c>
      <c r="R41" s="24">
        <f>IF(H41&lt;0.5,0,H41*(1+N('My Loans'!D10)/1200))</f>
        <v/>
      </c>
      <c r="S41" s="24">
        <f>IF(I41&lt;0.5,0,I41*(1+N('My Loans'!D11)/1200))</f>
        <v/>
      </c>
      <c r="T41" s="24">
        <f>IF(J41&lt;0.5,0,J41*(1+N('My Loans'!D12)/1200))</f>
        <v/>
      </c>
      <c r="U41" s="24">
        <f>IF(K41&lt;0.5,0,K41*(1+N('My Loans'!D13)/1200))</f>
        <v/>
      </c>
      <c r="V41" s="24">
        <f>IF(L41&lt;0.5,0,L41*(1+N('My Loans'!D14)/1200))</f>
        <v/>
      </c>
      <c r="W41" s="24">
        <f>IF(M41&lt;0.5,0,M41*(1+N('My Loans'!D15)/1200))</f>
        <v/>
      </c>
      <c r="X41" s="24">
        <f>MIN(N41,N('My Loans'!E6))</f>
        <v/>
      </c>
      <c r="Y41" s="24">
        <f>MIN(O41,N('My Loans'!E7))</f>
        <v/>
      </c>
      <c r="Z41" s="24">
        <f>MIN(P41,N('My Loans'!E8))</f>
        <v/>
      </c>
      <c r="AA41" s="24">
        <f>MIN(Q41,N('My Loans'!E9))</f>
        <v/>
      </c>
      <c r="AB41" s="24">
        <f>MIN(R41,N('My Loans'!E10))</f>
        <v/>
      </c>
      <c r="AC41" s="24">
        <f>MIN(S41,N('My Loans'!E11))</f>
        <v/>
      </c>
      <c r="AD41" s="24">
        <f>MIN(T41,N('My Loans'!E12))</f>
        <v/>
      </c>
      <c r="AE41" s="24">
        <f>MIN(U41,N('My Loans'!E13))</f>
        <v/>
      </c>
      <c r="AF41" s="24">
        <f>MIN(V41,N('My Loans'!E14))</f>
        <v/>
      </c>
      <c r="AG41" s="24">
        <f>MIN(W41,N('My Loans'!E15))</f>
        <v/>
      </c>
      <c r="AH41" s="24">
        <f>MIN(N41-X41,MAX(0,$C41-SUMPRODUCT(($D$3:$M$3&lt;D$3)*($N41:$W41-$X41:$AG41))))</f>
        <v/>
      </c>
      <c r="AI41" s="24">
        <f>MIN(O41-Y41,MAX(0,$C41-SUMPRODUCT(($D$3:$M$3&lt;E$3)*($N41:$W41-$X41:$AG41))))</f>
        <v/>
      </c>
      <c r="AJ41" s="24">
        <f>MIN(P41-Z41,MAX(0,$C41-SUMPRODUCT(($D$3:$M$3&lt;F$3)*($N41:$W41-$X41:$AG41))))</f>
        <v/>
      </c>
      <c r="AK41" s="24">
        <f>MIN(Q41-AA41,MAX(0,$C41-SUMPRODUCT(($D$3:$M$3&lt;G$3)*($N41:$W41-$X41:$AG41))))</f>
        <v/>
      </c>
      <c r="AL41" s="24">
        <f>MIN(R41-AB41,MAX(0,$C41-SUMPRODUCT(($D$3:$M$3&lt;H$3)*($N41:$W41-$X41:$AG41))))</f>
        <v/>
      </c>
      <c r="AM41" s="24">
        <f>MIN(S41-AC41,MAX(0,$C41-SUMPRODUCT(($D$3:$M$3&lt;I$3)*($N41:$W41-$X41:$AG41))))</f>
        <v/>
      </c>
      <c r="AN41" s="24">
        <f>MIN(T41-AD41,MAX(0,$C41-SUMPRODUCT(($D$3:$M$3&lt;J$3)*($N41:$W41-$X41:$AG41))))</f>
        <v/>
      </c>
      <c r="AO41" s="24">
        <f>MIN(U41-AE41,MAX(0,$C41-SUMPRODUCT(($D$3:$M$3&lt;K$3)*($N41:$W41-$X41:$AG41))))</f>
        <v/>
      </c>
      <c r="AP41" s="24">
        <f>MIN(V41-AF41,MAX(0,$C41-SUMPRODUCT(($D$3:$M$3&lt;L$3)*($N41:$W41-$X41:$AG41))))</f>
        <v/>
      </c>
      <c r="AQ41" s="24">
        <f>MIN(W41-AG41,MAX(0,$C41-SUMPRODUCT(($D$3:$M$3&lt;M$3)*($N41:$W41-$X41:$AG41))))</f>
        <v/>
      </c>
      <c r="AR41" s="24">
        <f>ROUND(N41-X41-AH41,2)</f>
        <v/>
      </c>
      <c r="AS41" s="24">
        <f>ROUND(O41-Y41-AI41,2)</f>
        <v/>
      </c>
      <c r="AT41" s="24">
        <f>ROUND(P41-Z41-AJ41,2)</f>
        <v/>
      </c>
      <c r="AU41" s="24">
        <f>ROUND(Q41-AA41-AK41,2)</f>
        <v/>
      </c>
      <c r="AV41" s="24">
        <f>ROUND(R41-AB41-AL41,2)</f>
        <v/>
      </c>
      <c r="AW41" s="24">
        <f>ROUND(S41-AC41-AM41,2)</f>
        <v/>
      </c>
      <c r="AX41" s="24">
        <f>ROUND(T41-AD41-AN41,2)</f>
        <v/>
      </c>
      <c r="AY41" s="24">
        <f>ROUND(U41-AE41-AO41,2)</f>
        <v/>
      </c>
      <c r="AZ41" s="24">
        <f>ROUND(V41-AF41-AP41,2)</f>
        <v/>
      </c>
      <c r="BA41" s="24">
        <f>ROUND(W41-AG41-AQ41,2)</f>
        <v/>
      </c>
      <c r="BB41" s="24">
        <f>SUM(AR41:BA41)</f>
        <v/>
      </c>
    </row>
    <row r="42">
      <c r="A42" t="n">
        <v>38</v>
      </c>
      <c r="B42" s="23">
        <f>EOMONTH(TODAY(),37)</f>
        <v/>
      </c>
      <c r="C42" s="24">
        <f>MAX(0,(SUM('My Loans'!$E$6:$E$15)+'My Loans'!$D$3)-SUM($X42:$AG42))</f>
        <v/>
      </c>
      <c r="D42" s="24">
        <f>MAX(0,AR41)</f>
        <v/>
      </c>
      <c r="E42" s="24">
        <f>MAX(0,AS41)</f>
        <v/>
      </c>
      <c r="F42" s="24">
        <f>MAX(0,AT41)</f>
        <v/>
      </c>
      <c r="G42" s="24">
        <f>MAX(0,AU41)</f>
        <v/>
      </c>
      <c r="H42" s="24">
        <f>MAX(0,AV41)</f>
        <v/>
      </c>
      <c r="I42" s="24">
        <f>MAX(0,AW41)</f>
        <v/>
      </c>
      <c r="J42" s="24">
        <f>MAX(0,AX41)</f>
        <v/>
      </c>
      <c r="K42" s="24">
        <f>MAX(0,AY41)</f>
        <v/>
      </c>
      <c r="L42" s="24">
        <f>MAX(0,AZ41)</f>
        <v/>
      </c>
      <c r="M42" s="24">
        <f>MAX(0,BA41)</f>
        <v/>
      </c>
      <c r="N42" s="24">
        <f>IF(D42&lt;0.5,0,D42*(1+N('My Loans'!D6)/1200))</f>
        <v/>
      </c>
      <c r="O42" s="24">
        <f>IF(E42&lt;0.5,0,E42*(1+N('My Loans'!D7)/1200))</f>
        <v/>
      </c>
      <c r="P42" s="24">
        <f>IF(F42&lt;0.5,0,F42*(1+N('My Loans'!D8)/1200))</f>
        <v/>
      </c>
      <c r="Q42" s="24">
        <f>IF(G42&lt;0.5,0,G42*(1+N('My Loans'!D9)/1200))</f>
        <v/>
      </c>
      <c r="R42" s="24">
        <f>IF(H42&lt;0.5,0,H42*(1+N('My Loans'!D10)/1200))</f>
        <v/>
      </c>
      <c r="S42" s="24">
        <f>IF(I42&lt;0.5,0,I42*(1+N('My Loans'!D11)/1200))</f>
        <v/>
      </c>
      <c r="T42" s="24">
        <f>IF(J42&lt;0.5,0,J42*(1+N('My Loans'!D12)/1200))</f>
        <v/>
      </c>
      <c r="U42" s="24">
        <f>IF(K42&lt;0.5,0,K42*(1+N('My Loans'!D13)/1200))</f>
        <v/>
      </c>
      <c r="V42" s="24">
        <f>IF(L42&lt;0.5,0,L42*(1+N('My Loans'!D14)/1200))</f>
        <v/>
      </c>
      <c r="W42" s="24">
        <f>IF(M42&lt;0.5,0,M42*(1+N('My Loans'!D15)/1200))</f>
        <v/>
      </c>
      <c r="X42" s="24">
        <f>MIN(N42,N('My Loans'!E6))</f>
        <v/>
      </c>
      <c r="Y42" s="24">
        <f>MIN(O42,N('My Loans'!E7))</f>
        <v/>
      </c>
      <c r="Z42" s="24">
        <f>MIN(P42,N('My Loans'!E8))</f>
        <v/>
      </c>
      <c r="AA42" s="24">
        <f>MIN(Q42,N('My Loans'!E9))</f>
        <v/>
      </c>
      <c r="AB42" s="24">
        <f>MIN(R42,N('My Loans'!E10))</f>
        <v/>
      </c>
      <c r="AC42" s="24">
        <f>MIN(S42,N('My Loans'!E11))</f>
        <v/>
      </c>
      <c r="AD42" s="24">
        <f>MIN(T42,N('My Loans'!E12))</f>
        <v/>
      </c>
      <c r="AE42" s="24">
        <f>MIN(U42,N('My Loans'!E13))</f>
        <v/>
      </c>
      <c r="AF42" s="24">
        <f>MIN(V42,N('My Loans'!E14))</f>
        <v/>
      </c>
      <c r="AG42" s="24">
        <f>MIN(W42,N('My Loans'!E15))</f>
        <v/>
      </c>
      <c r="AH42" s="24">
        <f>MIN(N42-X42,MAX(0,$C42-SUMPRODUCT(($D$3:$M$3&lt;D$3)*($N42:$W42-$X42:$AG42))))</f>
        <v/>
      </c>
      <c r="AI42" s="24">
        <f>MIN(O42-Y42,MAX(0,$C42-SUMPRODUCT(($D$3:$M$3&lt;E$3)*($N42:$W42-$X42:$AG42))))</f>
        <v/>
      </c>
      <c r="AJ42" s="24">
        <f>MIN(P42-Z42,MAX(0,$C42-SUMPRODUCT(($D$3:$M$3&lt;F$3)*($N42:$W42-$X42:$AG42))))</f>
        <v/>
      </c>
      <c r="AK42" s="24">
        <f>MIN(Q42-AA42,MAX(0,$C42-SUMPRODUCT(($D$3:$M$3&lt;G$3)*($N42:$W42-$X42:$AG42))))</f>
        <v/>
      </c>
      <c r="AL42" s="24">
        <f>MIN(R42-AB42,MAX(0,$C42-SUMPRODUCT(($D$3:$M$3&lt;H$3)*($N42:$W42-$X42:$AG42))))</f>
        <v/>
      </c>
      <c r="AM42" s="24">
        <f>MIN(S42-AC42,MAX(0,$C42-SUMPRODUCT(($D$3:$M$3&lt;I$3)*($N42:$W42-$X42:$AG42))))</f>
        <v/>
      </c>
      <c r="AN42" s="24">
        <f>MIN(T42-AD42,MAX(0,$C42-SUMPRODUCT(($D$3:$M$3&lt;J$3)*($N42:$W42-$X42:$AG42))))</f>
        <v/>
      </c>
      <c r="AO42" s="24">
        <f>MIN(U42-AE42,MAX(0,$C42-SUMPRODUCT(($D$3:$M$3&lt;K$3)*($N42:$W42-$X42:$AG42))))</f>
        <v/>
      </c>
      <c r="AP42" s="24">
        <f>MIN(V42-AF42,MAX(0,$C42-SUMPRODUCT(($D$3:$M$3&lt;L$3)*($N42:$W42-$X42:$AG42))))</f>
        <v/>
      </c>
      <c r="AQ42" s="24">
        <f>MIN(W42-AG42,MAX(0,$C42-SUMPRODUCT(($D$3:$M$3&lt;M$3)*($N42:$W42-$X42:$AG42))))</f>
        <v/>
      </c>
      <c r="AR42" s="24">
        <f>ROUND(N42-X42-AH42,2)</f>
        <v/>
      </c>
      <c r="AS42" s="24">
        <f>ROUND(O42-Y42-AI42,2)</f>
        <v/>
      </c>
      <c r="AT42" s="24">
        <f>ROUND(P42-Z42-AJ42,2)</f>
        <v/>
      </c>
      <c r="AU42" s="24">
        <f>ROUND(Q42-AA42-AK42,2)</f>
        <v/>
      </c>
      <c r="AV42" s="24">
        <f>ROUND(R42-AB42-AL42,2)</f>
        <v/>
      </c>
      <c r="AW42" s="24">
        <f>ROUND(S42-AC42-AM42,2)</f>
        <v/>
      </c>
      <c r="AX42" s="24">
        <f>ROUND(T42-AD42-AN42,2)</f>
        <v/>
      </c>
      <c r="AY42" s="24">
        <f>ROUND(U42-AE42-AO42,2)</f>
        <v/>
      </c>
      <c r="AZ42" s="24">
        <f>ROUND(V42-AF42-AP42,2)</f>
        <v/>
      </c>
      <c r="BA42" s="24">
        <f>ROUND(W42-AG42-AQ42,2)</f>
        <v/>
      </c>
      <c r="BB42" s="24">
        <f>SUM(AR42:BA42)</f>
        <v/>
      </c>
    </row>
    <row r="43">
      <c r="A43" t="n">
        <v>39</v>
      </c>
      <c r="B43" s="23">
        <f>EOMONTH(TODAY(),38)</f>
        <v/>
      </c>
      <c r="C43" s="24">
        <f>MAX(0,(SUM('My Loans'!$E$6:$E$15)+'My Loans'!$D$3)-SUM($X43:$AG43))</f>
        <v/>
      </c>
      <c r="D43" s="24">
        <f>MAX(0,AR42)</f>
        <v/>
      </c>
      <c r="E43" s="24">
        <f>MAX(0,AS42)</f>
        <v/>
      </c>
      <c r="F43" s="24">
        <f>MAX(0,AT42)</f>
        <v/>
      </c>
      <c r="G43" s="24">
        <f>MAX(0,AU42)</f>
        <v/>
      </c>
      <c r="H43" s="24">
        <f>MAX(0,AV42)</f>
        <v/>
      </c>
      <c r="I43" s="24">
        <f>MAX(0,AW42)</f>
        <v/>
      </c>
      <c r="J43" s="24">
        <f>MAX(0,AX42)</f>
        <v/>
      </c>
      <c r="K43" s="24">
        <f>MAX(0,AY42)</f>
        <v/>
      </c>
      <c r="L43" s="24">
        <f>MAX(0,AZ42)</f>
        <v/>
      </c>
      <c r="M43" s="24">
        <f>MAX(0,BA42)</f>
        <v/>
      </c>
      <c r="N43" s="24">
        <f>IF(D43&lt;0.5,0,D43*(1+N('My Loans'!D6)/1200))</f>
        <v/>
      </c>
      <c r="O43" s="24">
        <f>IF(E43&lt;0.5,0,E43*(1+N('My Loans'!D7)/1200))</f>
        <v/>
      </c>
      <c r="P43" s="24">
        <f>IF(F43&lt;0.5,0,F43*(1+N('My Loans'!D8)/1200))</f>
        <v/>
      </c>
      <c r="Q43" s="24">
        <f>IF(G43&lt;0.5,0,G43*(1+N('My Loans'!D9)/1200))</f>
        <v/>
      </c>
      <c r="R43" s="24">
        <f>IF(H43&lt;0.5,0,H43*(1+N('My Loans'!D10)/1200))</f>
        <v/>
      </c>
      <c r="S43" s="24">
        <f>IF(I43&lt;0.5,0,I43*(1+N('My Loans'!D11)/1200))</f>
        <v/>
      </c>
      <c r="T43" s="24">
        <f>IF(J43&lt;0.5,0,J43*(1+N('My Loans'!D12)/1200))</f>
        <v/>
      </c>
      <c r="U43" s="24">
        <f>IF(K43&lt;0.5,0,K43*(1+N('My Loans'!D13)/1200))</f>
        <v/>
      </c>
      <c r="V43" s="24">
        <f>IF(L43&lt;0.5,0,L43*(1+N('My Loans'!D14)/1200))</f>
        <v/>
      </c>
      <c r="W43" s="24">
        <f>IF(M43&lt;0.5,0,M43*(1+N('My Loans'!D15)/1200))</f>
        <v/>
      </c>
      <c r="X43" s="24">
        <f>MIN(N43,N('My Loans'!E6))</f>
        <v/>
      </c>
      <c r="Y43" s="24">
        <f>MIN(O43,N('My Loans'!E7))</f>
        <v/>
      </c>
      <c r="Z43" s="24">
        <f>MIN(P43,N('My Loans'!E8))</f>
        <v/>
      </c>
      <c r="AA43" s="24">
        <f>MIN(Q43,N('My Loans'!E9))</f>
        <v/>
      </c>
      <c r="AB43" s="24">
        <f>MIN(R43,N('My Loans'!E10))</f>
        <v/>
      </c>
      <c r="AC43" s="24">
        <f>MIN(S43,N('My Loans'!E11))</f>
        <v/>
      </c>
      <c r="AD43" s="24">
        <f>MIN(T43,N('My Loans'!E12))</f>
        <v/>
      </c>
      <c r="AE43" s="24">
        <f>MIN(U43,N('My Loans'!E13))</f>
        <v/>
      </c>
      <c r="AF43" s="24">
        <f>MIN(V43,N('My Loans'!E14))</f>
        <v/>
      </c>
      <c r="AG43" s="24">
        <f>MIN(W43,N('My Loans'!E15))</f>
        <v/>
      </c>
      <c r="AH43" s="24">
        <f>MIN(N43-X43,MAX(0,$C43-SUMPRODUCT(($D$3:$M$3&lt;D$3)*($N43:$W43-$X43:$AG43))))</f>
        <v/>
      </c>
      <c r="AI43" s="24">
        <f>MIN(O43-Y43,MAX(0,$C43-SUMPRODUCT(($D$3:$M$3&lt;E$3)*($N43:$W43-$X43:$AG43))))</f>
        <v/>
      </c>
      <c r="AJ43" s="24">
        <f>MIN(P43-Z43,MAX(0,$C43-SUMPRODUCT(($D$3:$M$3&lt;F$3)*($N43:$W43-$X43:$AG43))))</f>
        <v/>
      </c>
      <c r="AK43" s="24">
        <f>MIN(Q43-AA43,MAX(0,$C43-SUMPRODUCT(($D$3:$M$3&lt;G$3)*($N43:$W43-$X43:$AG43))))</f>
        <v/>
      </c>
      <c r="AL43" s="24">
        <f>MIN(R43-AB43,MAX(0,$C43-SUMPRODUCT(($D$3:$M$3&lt;H$3)*($N43:$W43-$X43:$AG43))))</f>
        <v/>
      </c>
      <c r="AM43" s="24">
        <f>MIN(S43-AC43,MAX(0,$C43-SUMPRODUCT(($D$3:$M$3&lt;I$3)*($N43:$W43-$X43:$AG43))))</f>
        <v/>
      </c>
      <c r="AN43" s="24">
        <f>MIN(T43-AD43,MAX(0,$C43-SUMPRODUCT(($D$3:$M$3&lt;J$3)*($N43:$W43-$X43:$AG43))))</f>
        <v/>
      </c>
      <c r="AO43" s="24">
        <f>MIN(U43-AE43,MAX(0,$C43-SUMPRODUCT(($D$3:$M$3&lt;K$3)*($N43:$W43-$X43:$AG43))))</f>
        <v/>
      </c>
      <c r="AP43" s="24">
        <f>MIN(V43-AF43,MAX(0,$C43-SUMPRODUCT(($D$3:$M$3&lt;L$3)*($N43:$W43-$X43:$AG43))))</f>
        <v/>
      </c>
      <c r="AQ43" s="24">
        <f>MIN(W43-AG43,MAX(0,$C43-SUMPRODUCT(($D$3:$M$3&lt;M$3)*($N43:$W43-$X43:$AG43))))</f>
        <v/>
      </c>
      <c r="AR43" s="24">
        <f>ROUND(N43-X43-AH43,2)</f>
        <v/>
      </c>
      <c r="AS43" s="24">
        <f>ROUND(O43-Y43-AI43,2)</f>
        <v/>
      </c>
      <c r="AT43" s="24">
        <f>ROUND(P43-Z43-AJ43,2)</f>
        <v/>
      </c>
      <c r="AU43" s="24">
        <f>ROUND(Q43-AA43-AK43,2)</f>
        <v/>
      </c>
      <c r="AV43" s="24">
        <f>ROUND(R43-AB43-AL43,2)</f>
        <v/>
      </c>
      <c r="AW43" s="24">
        <f>ROUND(S43-AC43-AM43,2)</f>
        <v/>
      </c>
      <c r="AX43" s="24">
        <f>ROUND(T43-AD43-AN43,2)</f>
        <v/>
      </c>
      <c r="AY43" s="24">
        <f>ROUND(U43-AE43-AO43,2)</f>
        <v/>
      </c>
      <c r="AZ43" s="24">
        <f>ROUND(V43-AF43-AP43,2)</f>
        <v/>
      </c>
      <c r="BA43" s="24">
        <f>ROUND(W43-AG43-AQ43,2)</f>
        <v/>
      </c>
      <c r="BB43" s="24">
        <f>SUM(AR43:BA43)</f>
        <v/>
      </c>
    </row>
    <row r="44">
      <c r="A44" t="n">
        <v>40</v>
      </c>
      <c r="B44" s="23">
        <f>EOMONTH(TODAY(),39)</f>
        <v/>
      </c>
      <c r="C44" s="24">
        <f>MAX(0,(SUM('My Loans'!$E$6:$E$15)+'My Loans'!$D$3)-SUM($X44:$AG44))</f>
        <v/>
      </c>
      <c r="D44" s="24">
        <f>MAX(0,AR43)</f>
        <v/>
      </c>
      <c r="E44" s="24">
        <f>MAX(0,AS43)</f>
        <v/>
      </c>
      <c r="F44" s="24">
        <f>MAX(0,AT43)</f>
        <v/>
      </c>
      <c r="G44" s="24">
        <f>MAX(0,AU43)</f>
        <v/>
      </c>
      <c r="H44" s="24">
        <f>MAX(0,AV43)</f>
        <v/>
      </c>
      <c r="I44" s="24">
        <f>MAX(0,AW43)</f>
        <v/>
      </c>
      <c r="J44" s="24">
        <f>MAX(0,AX43)</f>
        <v/>
      </c>
      <c r="K44" s="24">
        <f>MAX(0,AY43)</f>
        <v/>
      </c>
      <c r="L44" s="24">
        <f>MAX(0,AZ43)</f>
        <v/>
      </c>
      <c r="M44" s="24">
        <f>MAX(0,BA43)</f>
        <v/>
      </c>
      <c r="N44" s="24">
        <f>IF(D44&lt;0.5,0,D44*(1+N('My Loans'!D6)/1200))</f>
        <v/>
      </c>
      <c r="O44" s="24">
        <f>IF(E44&lt;0.5,0,E44*(1+N('My Loans'!D7)/1200))</f>
        <v/>
      </c>
      <c r="P44" s="24">
        <f>IF(F44&lt;0.5,0,F44*(1+N('My Loans'!D8)/1200))</f>
        <v/>
      </c>
      <c r="Q44" s="24">
        <f>IF(G44&lt;0.5,0,G44*(1+N('My Loans'!D9)/1200))</f>
        <v/>
      </c>
      <c r="R44" s="24">
        <f>IF(H44&lt;0.5,0,H44*(1+N('My Loans'!D10)/1200))</f>
        <v/>
      </c>
      <c r="S44" s="24">
        <f>IF(I44&lt;0.5,0,I44*(1+N('My Loans'!D11)/1200))</f>
        <v/>
      </c>
      <c r="T44" s="24">
        <f>IF(J44&lt;0.5,0,J44*(1+N('My Loans'!D12)/1200))</f>
        <v/>
      </c>
      <c r="U44" s="24">
        <f>IF(K44&lt;0.5,0,K44*(1+N('My Loans'!D13)/1200))</f>
        <v/>
      </c>
      <c r="V44" s="24">
        <f>IF(L44&lt;0.5,0,L44*(1+N('My Loans'!D14)/1200))</f>
        <v/>
      </c>
      <c r="W44" s="24">
        <f>IF(M44&lt;0.5,0,M44*(1+N('My Loans'!D15)/1200))</f>
        <v/>
      </c>
      <c r="X44" s="24">
        <f>MIN(N44,N('My Loans'!E6))</f>
        <v/>
      </c>
      <c r="Y44" s="24">
        <f>MIN(O44,N('My Loans'!E7))</f>
        <v/>
      </c>
      <c r="Z44" s="24">
        <f>MIN(P44,N('My Loans'!E8))</f>
        <v/>
      </c>
      <c r="AA44" s="24">
        <f>MIN(Q44,N('My Loans'!E9))</f>
        <v/>
      </c>
      <c r="AB44" s="24">
        <f>MIN(R44,N('My Loans'!E10))</f>
        <v/>
      </c>
      <c r="AC44" s="24">
        <f>MIN(S44,N('My Loans'!E11))</f>
        <v/>
      </c>
      <c r="AD44" s="24">
        <f>MIN(T44,N('My Loans'!E12))</f>
        <v/>
      </c>
      <c r="AE44" s="24">
        <f>MIN(U44,N('My Loans'!E13))</f>
        <v/>
      </c>
      <c r="AF44" s="24">
        <f>MIN(V44,N('My Loans'!E14))</f>
        <v/>
      </c>
      <c r="AG44" s="24">
        <f>MIN(W44,N('My Loans'!E15))</f>
        <v/>
      </c>
      <c r="AH44" s="24">
        <f>MIN(N44-X44,MAX(0,$C44-SUMPRODUCT(($D$3:$M$3&lt;D$3)*($N44:$W44-$X44:$AG44))))</f>
        <v/>
      </c>
      <c r="AI44" s="24">
        <f>MIN(O44-Y44,MAX(0,$C44-SUMPRODUCT(($D$3:$M$3&lt;E$3)*($N44:$W44-$X44:$AG44))))</f>
        <v/>
      </c>
      <c r="AJ44" s="24">
        <f>MIN(P44-Z44,MAX(0,$C44-SUMPRODUCT(($D$3:$M$3&lt;F$3)*($N44:$W44-$X44:$AG44))))</f>
        <v/>
      </c>
      <c r="AK44" s="24">
        <f>MIN(Q44-AA44,MAX(0,$C44-SUMPRODUCT(($D$3:$M$3&lt;G$3)*($N44:$W44-$X44:$AG44))))</f>
        <v/>
      </c>
      <c r="AL44" s="24">
        <f>MIN(R44-AB44,MAX(0,$C44-SUMPRODUCT(($D$3:$M$3&lt;H$3)*($N44:$W44-$X44:$AG44))))</f>
        <v/>
      </c>
      <c r="AM44" s="24">
        <f>MIN(S44-AC44,MAX(0,$C44-SUMPRODUCT(($D$3:$M$3&lt;I$3)*($N44:$W44-$X44:$AG44))))</f>
        <v/>
      </c>
      <c r="AN44" s="24">
        <f>MIN(T44-AD44,MAX(0,$C44-SUMPRODUCT(($D$3:$M$3&lt;J$3)*($N44:$W44-$X44:$AG44))))</f>
        <v/>
      </c>
      <c r="AO44" s="24">
        <f>MIN(U44-AE44,MAX(0,$C44-SUMPRODUCT(($D$3:$M$3&lt;K$3)*($N44:$W44-$X44:$AG44))))</f>
        <v/>
      </c>
      <c r="AP44" s="24">
        <f>MIN(V44-AF44,MAX(0,$C44-SUMPRODUCT(($D$3:$M$3&lt;L$3)*($N44:$W44-$X44:$AG44))))</f>
        <v/>
      </c>
      <c r="AQ44" s="24">
        <f>MIN(W44-AG44,MAX(0,$C44-SUMPRODUCT(($D$3:$M$3&lt;M$3)*($N44:$W44-$X44:$AG44))))</f>
        <v/>
      </c>
      <c r="AR44" s="24">
        <f>ROUND(N44-X44-AH44,2)</f>
        <v/>
      </c>
      <c r="AS44" s="24">
        <f>ROUND(O44-Y44-AI44,2)</f>
        <v/>
      </c>
      <c r="AT44" s="24">
        <f>ROUND(P44-Z44-AJ44,2)</f>
        <v/>
      </c>
      <c r="AU44" s="24">
        <f>ROUND(Q44-AA44-AK44,2)</f>
        <v/>
      </c>
      <c r="AV44" s="24">
        <f>ROUND(R44-AB44-AL44,2)</f>
        <v/>
      </c>
      <c r="AW44" s="24">
        <f>ROUND(S44-AC44-AM44,2)</f>
        <v/>
      </c>
      <c r="AX44" s="24">
        <f>ROUND(T44-AD44-AN44,2)</f>
        <v/>
      </c>
      <c r="AY44" s="24">
        <f>ROUND(U44-AE44-AO44,2)</f>
        <v/>
      </c>
      <c r="AZ44" s="24">
        <f>ROUND(V44-AF44-AP44,2)</f>
        <v/>
      </c>
      <c r="BA44" s="24">
        <f>ROUND(W44-AG44-AQ44,2)</f>
        <v/>
      </c>
      <c r="BB44" s="24">
        <f>SUM(AR44:BA44)</f>
        <v/>
      </c>
    </row>
    <row r="45">
      <c r="A45" t="n">
        <v>41</v>
      </c>
      <c r="B45" s="23">
        <f>EOMONTH(TODAY(),40)</f>
        <v/>
      </c>
      <c r="C45" s="24">
        <f>MAX(0,(SUM('My Loans'!$E$6:$E$15)+'My Loans'!$D$3)-SUM($X45:$AG45))</f>
        <v/>
      </c>
      <c r="D45" s="24">
        <f>MAX(0,AR44)</f>
        <v/>
      </c>
      <c r="E45" s="24">
        <f>MAX(0,AS44)</f>
        <v/>
      </c>
      <c r="F45" s="24">
        <f>MAX(0,AT44)</f>
        <v/>
      </c>
      <c r="G45" s="24">
        <f>MAX(0,AU44)</f>
        <v/>
      </c>
      <c r="H45" s="24">
        <f>MAX(0,AV44)</f>
        <v/>
      </c>
      <c r="I45" s="24">
        <f>MAX(0,AW44)</f>
        <v/>
      </c>
      <c r="J45" s="24">
        <f>MAX(0,AX44)</f>
        <v/>
      </c>
      <c r="K45" s="24">
        <f>MAX(0,AY44)</f>
        <v/>
      </c>
      <c r="L45" s="24">
        <f>MAX(0,AZ44)</f>
        <v/>
      </c>
      <c r="M45" s="24">
        <f>MAX(0,BA44)</f>
        <v/>
      </c>
      <c r="N45" s="24">
        <f>IF(D45&lt;0.5,0,D45*(1+N('My Loans'!D6)/1200))</f>
        <v/>
      </c>
      <c r="O45" s="24">
        <f>IF(E45&lt;0.5,0,E45*(1+N('My Loans'!D7)/1200))</f>
        <v/>
      </c>
      <c r="P45" s="24">
        <f>IF(F45&lt;0.5,0,F45*(1+N('My Loans'!D8)/1200))</f>
        <v/>
      </c>
      <c r="Q45" s="24">
        <f>IF(G45&lt;0.5,0,G45*(1+N('My Loans'!D9)/1200))</f>
        <v/>
      </c>
      <c r="R45" s="24">
        <f>IF(H45&lt;0.5,0,H45*(1+N('My Loans'!D10)/1200))</f>
        <v/>
      </c>
      <c r="S45" s="24">
        <f>IF(I45&lt;0.5,0,I45*(1+N('My Loans'!D11)/1200))</f>
        <v/>
      </c>
      <c r="T45" s="24">
        <f>IF(J45&lt;0.5,0,J45*(1+N('My Loans'!D12)/1200))</f>
        <v/>
      </c>
      <c r="U45" s="24">
        <f>IF(K45&lt;0.5,0,K45*(1+N('My Loans'!D13)/1200))</f>
        <v/>
      </c>
      <c r="V45" s="24">
        <f>IF(L45&lt;0.5,0,L45*(1+N('My Loans'!D14)/1200))</f>
        <v/>
      </c>
      <c r="W45" s="24">
        <f>IF(M45&lt;0.5,0,M45*(1+N('My Loans'!D15)/1200))</f>
        <v/>
      </c>
      <c r="X45" s="24">
        <f>MIN(N45,N('My Loans'!E6))</f>
        <v/>
      </c>
      <c r="Y45" s="24">
        <f>MIN(O45,N('My Loans'!E7))</f>
        <v/>
      </c>
      <c r="Z45" s="24">
        <f>MIN(P45,N('My Loans'!E8))</f>
        <v/>
      </c>
      <c r="AA45" s="24">
        <f>MIN(Q45,N('My Loans'!E9))</f>
        <v/>
      </c>
      <c r="AB45" s="24">
        <f>MIN(R45,N('My Loans'!E10))</f>
        <v/>
      </c>
      <c r="AC45" s="24">
        <f>MIN(S45,N('My Loans'!E11))</f>
        <v/>
      </c>
      <c r="AD45" s="24">
        <f>MIN(T45,N('My Loans'!E12))</f>
        <v/>
      </c>
      <c r="AE45" s="24">
        <f>MIN(U45,N('My Loans'!E13))</f>
        <v/>
      </c>
      <c r="AF45" s="24">
        <f>MIN(V45,N('My Loans'!E14))</f>
        <v/>
      </c>
      <c r="AG45" s="24">
        <f>MIN(W45,N('My Loans'!E15))</f>
        <v/>
      </c>
      <c r="AH45" s="24">
        <f>MIN(N45-X45,MAX(0,$C45-SUMPRODUCT(($D$3:$M$3&lt;D$3)*($N45:$W45-$X45:$AG45))))</f>
        <v/>
      </c>
      <c r="AI45" s="24">
        <f>MIN(O45-Y45,MAX(0,$C45-SUMPRODUCT(($D$3:$M$3&lt;E$3)*($N45:$W45-$X45:$AG45))))</f>
        <v/>
      </c>
      <c r="AJ45" s="24">
        <f>MIN(P45-Z45,MAX(0,$C45-SUMPRODUCT(($D$3:$M$3&lt;F$3)*($N45:$W45-$X45:$AG45))))</f>
        <v/>
      </c>
      <c r="AK45" s="24">
        <f>MIN(Q45-AA45,MAX(0,$C45-SUMPRODUCT(($D$3:$M$3&lt;G$3)*($N45:$W45-$X45:$AG45))))</f>
        <v/>
      </c>
      <c r="AL45" s="24">
        <f>MIN(R45-AB45,MAX(0,$C45-SUMPRODUCT(($D$3:$M$3&lt;H$3)*($N45:$W45-$X45:$AG45))))</f>
        <v/>
      </c>
      <c r="AM45" s="24">
        <f>MIN(S45-AC45,MAX(0,$C45-SUMPRODUCT(($D$3:$M$3&lt;I$3)*($N45:$W45-$X45:$AG45))))</f>
        <v/>
      </c>
      <c r="AN45" s="24">
        <f>MIN(T45-AD45,MAX(0,$C45-SUMPRODUCT(($D$3:$M$3&lt;J$3)*($N45:$W45-$X45:$AG45))))</f>
        <v/>
      </c>
      <c r="AO45" s="24">
        <f>MIN(U45-AE45,MAX(0,$C45-SUMPRODUCT(($D$3:$M$3&lt;K$3)*($N45:$W45-$X45:$AG45))))</f>
        <v/>
      </c>
      <c r="AP45" s="24">
        <f>MIN(V45-AF45,MAX(0,$C45-SUMPRODUCT(($D$3:$M$3&lt;L$3)*($N45:$W45-$X45:$AG45))))</f>
        <v/>
      </c>
      <c r="AQ45" s="24">
        <f>MIN(W45-AG45,MAX(0,$C45-SUMPRODUCT(($D$3:$M$3&lt;M$3)*($N45:$W45-$X45:$AG45))))</f>
        <v/>
      </c>
      <c r="AR45" s="24">
        <f>ROUND(N45-X45-AH45,2)</f>
        <v/>
      </c>
      <c r="AS45" s="24">
        <f>ROUND(O45-Y45-AI45,2)</f>
        <v/>
      </c>
      <c r="AT45" s="24">
        <f>ROUND(P45-Z45-AJ45,2)</f>
        <v/>
      </c>
      <c r="AU45" s="24">
        <f>ROUND(Q45-AA45-AK45,2)</f>
        <v/>
      </c>
      <c r="AV45" s="24">
        <f>ROUND(R45-AB45-AL45,2)</f>
        <v/>
      </c>
      <c r="AW45" s="24">
        <f>ROUND(S45-AC45-AM45,2)</f>
        <v/>
      </c>
      <c r="AX45" s="24">
        <f>ROUND(T45-AD45-AN45,2)</f>
        <v/>
      </c>
      <c r="AY45" s="24">
        <f>ROUND(U45-AE45-AO45,2)</f>
        <v/>
      </c>
      <c r="AZ45" s="24">
        <f>ROUND(V45-AF45-AP45,2)</f>
        <v/>
      </c>
      <c r="BA45" s="24">
        <f>ROUND(W45-AG45-AQ45,2)</f>
        <v/>
      </c>
      <c r="BB45" s="24">
        <f>SUM(AR45:BA45)</f>
        <v/>
      </c>
    </row>
    <row r="46">
      <c r="A46" t="n">
        <v>42</v>
      </c>
      <c r="B46" s="23">
        <f>EOMONTH(TODAY(),41)</f>
        <v/>
      </c>
      <c r="C46" s="24">
        <f>MAX(0,(SUM('My Loans'!$E$6:$E$15)+'My Loans'!$D$3)-SUM($X46:$AG46))</f>
        <v/>
      </c>
      <c r="D46" s="24">
        <f>MAX(0,AR45)</f>
        <v/>
      </c>
      <c r="E46" s="24">
        <f>MAX(0,AS45)</f>
        <v/>
      </c>
      <c r="F46" s="24">
        <f>MAX(0,AT45)</f>
        <v/>
      </c>
      <c r="G46" s="24">
        <f>MAX(0,AU45)</f>
        <v/>
      </c>
      <c r="H46" s="24">
        <f>MAX(0,AV45)</f>
        <v/>
      </c>
      <c r="I46" s="24">
        <f>MAX(0,AW45)</f>
        <v/>
      </c>
      <c r="J46" s="24">
        <f>MAX(0,AX45)</f>
        <v/>
      </c>
      <c r="K46" s="24">
        <f>MAX(0,AY45)</f>
        <v/>
      </c>
      <c r="L46" s="24">
        <f>MAX(0,AZ45)</f>
        <v/>
      </c>
      <c r="M46" s="24">
        <f>MAX(0,BA45)</f>
        <v/>
      </c>
      <c r="N46" s="24">
        <f>IF(D46&lt;0.5,0,D46*(1+N('My Loans'!D6)/1200))</f>
        <v/>
      </c>
      <c r="O46" s="24">
        <f>IF(E46&lt;0.5,0,E46*(1+N('My Loans'!D7)/1200))</f>
        <v/>
      </c>
      <c r="P46" s="24">
        <f>IF(F46&lt;0.5,0,F46*(1+N('My Loans'!D8)/1200))</f>
        <v/>
      </c>
      <c r="Q46" s="24">
        <f>IF(G46&lt;0.5,0,G46*(1+N('My Loans'!D9)/1200))</f>
        <v/>
      </c>
      <c r="R46" s="24">
        <f>IF(H46&lt;0.5,0,H46*(1+N('My Loans'!D10)/1200))</f>
        <v/>
      </c>
      <c r="S46" s="24">
        <f>IF(I46&lt;0.5,0,I46*(1+N('My Loans'!D11)/1200))</f>
        <v/>
      </c>
      <c r="T46" s="24">
        <f>IF(J46&lt;0.5,0,J46*(1+N('My Loans'!D12)/1200))</f>
        <v/>
      </c>
      <c r="U46" s="24">
        <f>IF(K46&lt;0.5,0,K46*(1+N('My Loans'!D13)/1200))</f>
        <v/>
      </c>
      <c r="V46" s="24">
        <f>IF(L46&lt;0.5,0,L46*(1+N('My Loans'!D14)/1200))</f>
        <v/>
      </c>
      <c r="W46" s="24">
        <f>IF(M46&lt;0.5,0,M46*(1+N('My Loans'!D15)/1200))</f>
        <v/>
      </c>
      <c r="X46" s="24">
        <f>MIN(N46,N('My Loans'!E6))</f>
        <v/>
      </c>
      <c r="Y46" s="24">
        <f>MIN(O46,N('My Loans'!E7))</f>
        <v/>
      </c>
      <c r="Z46" s="24">
        <f>MIN(P46,N('My Loans'!E8))</f>
        <v/>
      </c>
      <c r="AA46" s="24">
        <f>MIN(Q46,N('My Loans'!E9))</f>
        <v/>
      </c>
      <c r="AB46" s="24">
        <f>MIN(R46,N('My Loans'!E10))</f>
        <v/>
      </c>
      <c r="AC46" s="24">
        <f>MIN(S46,N('My Loans'!E11))</f>
        <v/>
      </c>
      <c r="AD46" s="24">
        <f>MIN(T46,N('My Loans'!E12))</f>
        <v/>
      </c>
      <c r="AE46" s="24">
        <f>MIN(U46,N('My Loans'!E13))</f>
        <v/>
      </c>
      <c r="AF46" s="24">
        <f>MIN(V46,N('My Loans'!E14))</f>
        <v/>
      </c>
      <c r="AG46" s="24">
        <f>MIN(W46,N('My Loans'!E15))</f>
        <v/>
      </c>
      <c r="AH46" s="24">
        <f>MIN(N46-X46,MAX(0,$C46-SUMPRODUCT(($D$3:$M$3&lt;D$3)*($N46:$W46-$X46:$AG46))))</f>
        <v/>
      </c>
      <c r="AI46" s="24">
        <f>MIN(O46-Y46,MAX(0,$C46-SUMPRODUCT(($D$3:$M$3&lt;E$3)*($N46:$W46-$X46:$AG46))))</f>
        <v/>
      </c>
      <c r="AJ46" s="24">
        <f>MIN(P46-Z46,MAX(0,$C46-SUMPRODUCT(($D$3:$M$3&lt;F$3)*($N46:$W46-$X46:$AG46))))</f>
        <v/>
      </c>
      <c r="AK46" s="24">
        <f>MIN(Q46-AA46,MAX(0,$C46-SUMPRODUCT(($D$3:$M$3&lt;G$3)*($N46:$W46-$X46:$AG46))))</f>
        <v/>
      </c>
      <c r="AL46" s="24">
        <f>MIN(R46-AB46,MAX(0,$C46-SUMPRODUCT(($D$3:$M$3&lt;H$3)*($N46:$W46-$X46:$AG46))))</f>
        <v/>
      </c>
      <c r="AM46" s="24">
        <f>MIN(S46-AC46,MAX(0,$C46-SUMPRODUCT(($D$3:$M$3&lt;I$3)*($N46:$W46-$X46:$AG46))))</f>
        <v/>
      </c>
      <c r="AN46" s="24">
        <f>MIN(T46-AD46,MAX(0,$C46-SUMPRODUCT(($D$3:$M$3&lt;J$3)*($N46:$W46-$X46:$AG46))))</f>
        <v/>
      </c>
      <c r="AO46" s="24">
        <f>MIN(U46-AE46,MAX(0,$C46-SUMPRODUCT(($D$3:$M$3&lt;K$3)*($N46:$W46-$X46:$AG46))))</f>
        <v/>
      </c>
      <c r="AP46" s="24">
        <f>MIN(V46-AF46,MAX(0,$C46-SUMPRODUCT(($D$3:$M$3&lt;L$3)*($N46:$W46-$X46:$AG46))))</f>
        <v/>
      </c>
      <c r="AQ46" s="24">
        <f>MIN(W46-AG46,MAX(0,$C46-SUMPRODUCT(($D$3:$M$3&lt;M$3)*($N46:$W46-$X46:$AG46))))</f>
        <v/>
      </c>
      <c r="AR46" s="24">
        <f>ROUND(N46-X46-AH46,2)</f>
        <v/>
      </c>
      <c r="AS46" s="24">
        <f>ROUND(O46-Y46-AI46,2)</f>
        <v/>
      </c>
      <c r="AT46" s="24">
        <f>ROUND(P46-Z46-AJ46,2)</f>
        <v/>
      </c>
      <c r="AU46" s="24">
        <f>ROUND(Q46-AA46-AK46,2)</f>
        <v/>
      </c>
      <c r="AV46" s="24">
        <f>ROUND(R46-AB46-AL46,2)</f>
        <v/>
      </c>
      <c r="AW46" s="24">
        <f>ROUND(S46-AC46-AM46,2)</f>
        <v/>
      </c>
      <c r="AX46" s="24">
        <f>ROUND(T46-AD46-AN46,2)</f>
        <v/>
      </c>
      <c r="AY46" s="24">
        <f>ROUND(U46-AE46-AO46,2)</f>
        <v/>
      </c>
      <c r="AZ46" s="24">
        <f>ROUND(V46-AF46-AP46,2)</f>
        <v/>
      </c>
      <c r="BA46" s="24">
        <f>ROUND(W46-AG46-AQ46,2)</f>
        <v/>
      </c>
      <c r="BB46" s="24">
        <f>SUM(AR46:BA46)</f>
        <v/>
      </c>
    </row>
    <row r="47">
      <c r="A47" t="n">
        <v>43</v>
      </c>
      <c r="B47" s="23">
        <f>EOMONTH(TODAY(),42)</f>
        <v/>
      </c>
      <c r="C47" s="24">
        <f>MAX(0,(SUM('My Loans'!$E$6:$E$15)+'My Loans'!$D$3)-SUM($X47:$AG47))</f>
        <v/>
      </c>
      <c r="D47" s="24">
        <f>MAX(0,AR46)</f>
        <v/>
      </c>
      <c r="E47" s="24">
        <f>MAX(0,AS46)</f>
        <v/>
      </c>
      <c r="F47" s="24">
        <f>MAX(0,AT46)</f>
        <v/>
      </c>
      <c r="G47" s="24">
        <f>MAX(0,AU46)</f>
        <v/>
      </c>
      <c r="H47" s="24">
        <f>MAX(0,AV46)</f>
        <v/>
      </c>
      <c r="I47" s="24">
        <f>MAX(0,AW46)</f>
        <v/>
      </c>
      <c r="J47" s="24">
        <f>MAX(0,AX46)</f>
        <v/>
      </c>
      <c r="K47" s="24">
        <f>MAX(0,AY46)</f>
        <v/>
      </c>
      <c r="L47" s="24">
        <f>MAX(0,AZ46)</f>
        <v/>
      </c>
      <c r="M47" s="24">
        <f>MAX(0,BA46)</f>
        <v/>
      </c>
      <c r="N47" s="24">
        <f>IF(D47&lt;0.5,0,D47*(1+N('My Loans'!D6)/1200))</f>
        <v/>
      </c>
      <c r="O47" s="24">
        <f>IF(E47&lt;0.5,0,E47*(1+N('My Loans'!D7)/1200))</f>
        <v/>
      </c>
      <c r="P47" s="24">
        <f>IF(F47&lt;0.5,0,F47*(1+N('My Loans'!D8)/1200))</f>
        <v/>
      </c>
      <c r="Q47" s="24">
        <f>IF(G47&lt;0.5,0,G47*(1+N('My Loans'!D9)/1200))</f>
        <v/>
      </c>
      <c r="R47" s="24">
        <f>IF(H47&lt;0.5,0,H47*(1+N('My Loans'!D10)/1200))</f>
        <v/>
      </c>
      <c r="S47" s="24">
        <f>IF(I47&lt;0.5,0,I47*(1+N('My Loans'!D11)/1200))</f>
        <v/>
      </c>
      <c r="T47" s="24">
        <f>IF(J47&lt;0.5,0,J47*(1+N('My Loans'!D12)/1200))</f>
        <v/>
      </c>
      <c r="U47" s="24">
        <f>IF(K47&lt;0.5,0,K47*(1+N('My Loans'!D13)/1200))</f>
        <v/>
      </c>
      <c r="V47" s="24">
        <f>IF(L47&lt;0.5,0,L47*(1+N('My Loans'!D14)/1200))</f>
        <v/>
      </c>
      <c r="W47" s="24">
        <f>IF(M47&lt;0.5,0,M47*(1+N('My Loans'!D15)/1200))</f>
        <v/>
      </c>
      <c r="X47" s="24">
        <f>MIN(N47,N('My Loans'!E6))</f>
        <v/>
      </c>
      <c r="Y47" s="24">
        <f>MIN(O47,N('My Loans'!E7))</f>
        <v/>
      </c>
      <c r="Z47" s="24">
        <f>MIN(P47,N('My Loans'!E8))</f>
        <v/>
      </c>
      <c r="AA47" s="24">
        <f>MIN(Q47,N('My Loans'!E9))</f>
        <v/>
      </c>
      <c r="AB47" s="24">
        <f>MIN(R47,N('My Loans'!E10))</f>
        <v/>
      </c>
      <c r="AC47" s="24">
        <f>MIN(S47,N('My Loans'!E11))</f>
        <v/>
      </c>
      <c r="AD47" s="24">
        <f>MIN(T47,N('My Loans'!E12))</f>
        <v/>
      </c>
      <c r="AE47" s="24">
        <f>MIN(U47,N('My Loans'!E13))</f>
        <v/>
      </c>
      <c r="AF47" s="24">
        <f>MIN(V47,N('My Loans'!E14))</f>
        <v/>
      </c>
      <c r="AG47" s="24">
        <f>MIN(W47,N('My Loans'!E15))</f>
        <v/>
      </c>
      <c r="AH47" s="24">
        <f>MIN(N47-X47,MAX(0,$C47-SUMPRODUCT(($D$3:$M$3&lt;D$3)*($N47:$W47-$X47:$AG47))))</f>
        <v/>
      </c>
      <c r="AI47" s="24">
        <f>MIN(O47-Y47,MAX(0,$C47-SUMPRODUCT(($D$3:$M$3&lt;E$3)*($N47:$W47-$X47:$AG47))))</f>
        <v/>
      </c>
      <c r="AJ47" s="24">
        <f>MIN(P47-Z47,MAX(0,$C47-SUMPRODUCT(($D$3:$M$3&lt;F$3)*($N47:$W47-$X47:$AG47))))</f>
        <v/>
      </c>
      <c r="AK47" s="24">
        <f>MIN(Q47-AA47,MAX(0,$C47-SUMPRODUCT(($D$3:$M$3&lt;G$3)*($N47:$W47-$X47:$AG47))))</f>
        <v/>
      </c>
      <c r="AL47" s="24">
        <f>MIN(R47-AB47,MAX(0,$C47-SUMPRODUCT(($D$3:$M$3&lt;H$3)*($N47:$W47-$X47:$AG47))))</f>
        <v/>
      </c>
      <c r="AM47" s="24">
        <f>MIN(S47-AC47,MAX(0,$C47-SUMPRODUCT(($D$3:$M$3&lt;I$3)*($N47:$W47-$X47:$AG47))))</f>
        <v/>
      </c>
      <c r="AN47" s="24">
        <f>MIN(T47-AD47,MAX(0,$C47-SUMPRODUCT(($D$3:$M$3&lt;J$3)*($N47:$W47-$X47:$AG47))))</f>
        <v/>
      </c>
      <c r="AO47" s="24">
        <f>MIN(U47-AE47,MAX(0,$C47-SUMPRODUCT(($D$3:$M$3&lt;K$3)*($N47:$W47-$X47:$AG47))))</f>
        <v/>
      </c>
      <c r="AP47" s="24">
        <f>MIN(V47-AF47,MAX(0,$C47-SUMPRODUCT(($D$3:$M$3&lt;L$3)*($N47:$W47-$X47:$AG47))))</f>
        <v/>
      </c>
      <c r="AQ47" s="24">
        <f>MIN(W47-AG47,MAX(0,$C47-SUMPRODUCT(($D$3:$M$3&lt;M$3)*($N47:$W47-$X47:$AG47))))</f>
        <v/>
      </c>
      <c r="AR47" s="24">
        <f>ROUND(N47-X47-AH47,2)</f>
        <v/>
      </c>
      <c r="AS47" s="24">
        <f>ROUND(O47-Y47-AI47,2)</f>
        <v/>
      </c>
      <c r="AT47" s="24">
        <f>ROUND(P47-Z47-AJ47,2)</f>
        <v/>
      </c>
      <c r="AU47" s="24">
        <f>ROUND(Q47-AA47-AK47,2)</f>
        <v/>
      </c>
      <c r="AV47" s="24">
        <f>ROUND(R47-AB47-AL47,2)</f>
        <v/>
      </c>
      <c r="AW47" s="24">
        <f>ROUND(S47-AC47-AM47,2)</f>
        <v/>
      </c>
      <c r="AX47" s="24">
        <f>ROUND(T47-AD47-AN47,2)</f>
        <v/>
      </c>
      <c r="AY47" s="24">
        <f>ROUND(U47-AE47-AO47,2)</f>
        <v/>
      </c>
      <c r="AZ47" s="24">
        <f>ROUND(V47-AF47-AP47,2)</f>
        <v/>
      </c>
      <c r="BA47" s="24">
        <f>ROUND(W47-AG47-AQ47,2)</f>
        <v/>
      </c>
      <c r="BB47" s="24">
        <f>SUM(AR47:BA47)</f>
        <v/>
      </c>
    </row>
    <row r="48">
      <c r="A48" t="n">
        <v>44</v>
      </c>
      <c r="B48" s="23">
        <f>EOMONTH(TODAY(),43)</f>
        <v/>
      </c>
      <c r="C48" s="24">
        <f>MAX(0,(SUM('My Loans'!$E$6:$E$15)+'My Loans'!$D$3)-SUM($X48:$AG48))</f>
        <v/>
      </c>
      <c r="D48" s="24">
        <f>MAX(0,AR47)</f>
        <v/>
      </c>
      <c r="E48" s="24">
        <f>MAX(0,AS47)</f>
        <v/>
      </c>
      <c r="F48" s="24">
        <f>MAX(0,AT47)</f>
        <v/>
      </c>
      <c r="G48" s="24">
        <f>MAX(0,AU47)</f>
        <v/>
      </c>
      <c r="H48" s="24">
        <f>MAX(0,AV47)</f>
        <v/>
      </c>
      <c r="I48" s="24">
        <f>MAX(0,AW47)</f>
        <v/>
      </c>
      <c r="J48" s="24">
        <f>MAX(0,AX47)</f>
        <v/>
      </c>
      <c r="K48" s="24">
        <f>MAX(0,AY47)</f>
        <v/>
      </c>
      <c r="L48" s="24">
        <f>MAX(0,AZ47)</f>
        <v/>
      </c>
      <c r="M48" s="24">
        <f>MAX(0,BA47)</f>
        <v/>
      </c>
      <c r="N48" s="24">
        <f>IF(D48&lt;0.5,0,D48*(1+N('My Loans'!D6)/1200))</f>
        <v/>
      </c>
      <c r="O48" s="24">
        <f>IF(E48&lt;0.5,0,E48*(1+N('My Loans'!D7)/1200))</f>
        <v/>
      </c>
      <c r="P48" s="24">
        <f>IF(F48&lt;0.5,0,F48*(1+N('My Loans'!D8)/1200))</f>
        <v/>
      </c>
      <c r="Q48" s="24">
        <f>IF(G48&lt;0.5,0,G48*(1+N('My Loans'!D9)/1200))</f>
        <v/>
      </c>
      <c r="R48" s="24">
        <f>IF(H48&lt;0.5,0,H48*(1+N('My Loans'!D10)/1200))</f>
        <v/>
      </c>
      <c r="S48" s="24">
        <f>IF(I48&lt;0.5,0,I48*(1+N('My Loans'!D11)/1200))</f>
        <v/>
      </c>
      <c r="T48" s="24">
        <f>IF(J48&lt;0.5,0,J48*(1+N('My Loans'!D12)/1200))</f>
        <v/>
      </c>
      <c r="U48" s="24">
        <f>IF(K48&lt;0.5,0,K48*(1+N('My Loans'!D13)/1200))</f>
        <v/>
      </c>
      <c r="V48" s="24">
        <f>IF(L48&lt;0.5,0,L48*(1+N('My Loans'!D14)/1200))</f>
        <v/>
      </c>
      <c r="W48" s="24">
        <f>IF(M48&lt;0.5,0,M48*(1+N('My Loans'!D15)/1200))</f>
        <v/>
      </c>
      <c r="X48" s="24">
        <f>MIN(N48,N('My Loans'!E6))</f>
        <v/>
      </c>
      <c r="Y48" s="24">
        <f>MIN(O48,N('My Loans'!E7))</f>
        <v/>
      </c>
      <c r="Z48" s="24">
        <f>MIN(P48,N('My Loans'!E8))</f>
        <v/>
      </c>
      <c r="AA48" s="24">
        <f>MIN(Q48,N('My Loans'!E9))</f>
        <v/>
      </c>
      <c r="AB48" s="24">
        <f>MIN(R48,N('My Loans'!E10))</f>
        <v/>
      </c>
      <c r="AC48" s="24">
        <f>MIN(S48,N('My Loans'!E11))</f>
        <v/>
      </c>
      <c r="AD48" s="24">
        <f>MIN(T48,N('My Loans'!E12))</f>
        <v/>
      </c>
      <c r="AE48" s="24">
        <f>MIN(U48,N('My Loans'!E13))</f>
        <v/>
      </c>
      <c r="AF48" s="24">
        <f>MIN(V48,N('My Loans'!E14))</f>
        <v/>
      </c>
      <c r="AG48" s="24">
        <f>MIN(W48,N('My Loans'!E15))</f>
        <v/>
      </c>
      <c r="AH48" s="24">
        <f>MIN(N48-X48,MAX(0,$C48-SUMPRODUCT(($D$3:$M$3&lt;D$3)*($N48:$W48-$X48:$AG48))))</f>
        <v/>
      </c>
      <c r="AI48" s="24">
        <f>MIN(O48-Y48,MAX(0,$C48-SUMPRODUCT(($D$3:$M$3&lt;E$3)*($N48:$W48-$X48:$AG48))))</f>
        <v/>
      </c>
      <c r="AJ48" s="24">
        <f>MIN(P48-Z48,MAX(0,$C48-SUMPRODUCT(($D$3:$M$3&lt;F$3)*($N48:$W48-$X48:$AG48))))</f>
        <v/>
      </c>
      <c r="AK48" s="24">
        <f>MIN(Q48-AA48,MAX(0,$C48-SUMPRODUCT(($D$3:$M$3&lt;G$3)*($N48:$W48-$X48:$AG48))))</f>
        <v/>
      </c>
      <c r="AL48" s="24">
        <f>MIN(R48-AB48,MAX(0,$C48-SUMPRODUCT(($D$3:$M$3&lt;H$3)*($N48:$W48-$X48:$AG48))))</f>
        <v/>
      </c>
      <c r="AM48" s="24">
        <f>MIN(S48-AC48,MAX(0,$C48-SUMPRODUCT(($D$3:$M$3&lt;I$3)*($N48:$W48-$X48:$AG48))))</f>
        <v/>
      </c>
      <c r="AN48" s="24">
        <f>MIN(T48-AD48,MAX(0,$C48-SUMPRODUCT(($D$3:$M$3&lt;J$3)*($N48:$W48-$X48:$AG48))))</f>
        <v/>
      </c>
      <c r="AO48" s="24">
        <f>MIN(U48-AE48,MAX(0,$C48-SUMPRODUCT(($D$3:$M$3&lt;K$3)*($N48:$W48-$X48:$AG48))))</f>
        <v/>
      </c>
      <c r="AP48" s="24">
        <f>MIN(V48-AF48,MAX(0,$C48-SUMPRODUCT(($D$3:$M$3&lt;L$3)*($N48:$W48-$X48:$AG48))))</f>
        <v/>
      </c>
      <c r="AQ48" s="24">
        <f>MIN(W48-AG48,MAX(0,$C48-SUMPRODUCT(($D$3:$M$3&lt;M$3)*($N48:$W48-$X48:$AG48))))</f>
        <v/>
      </c>
      <c r="AR48" s="24">
        <f>ROUND(N48-X48-AH48,2)</f>
        <v/>
      </c>
      <c r="AS48" s="24">
        <f>ROUND(O48-Y48-AI48,2)</f>
        <v/>
      </c>
      <c r="AT48" s="24">
        <f>ROUND(P48-Z48-AJ48,2)</f>
        <v/>
      </c>
      <c r="AU48" s="24">
        <f>ROUND(Q48-AA48-AK48,2)</f>
        <v/>
      </c>
      <c r="AV48" s="24">
        <f>ROUND(R48-AB48-AL48,2)</f>
        <v/>
      </c>
      <c r="AW48" s="24">
        <f>ROUND(S48-AC48-AM48,2)</f>
        <v/>
      </c>
      <c r="AX48" s="24">
        <f>ROUND(T48-AD48-AN48,2)</f>
        <v/>
      </c>
      <c r="AY48" s="24">
        <f>ROUND(U48-AE48-AO48,2)</f>
        <v/>
      </c>
      <c r="AZ48" s="24">
        <f>ROUND(V48-AF48-AP48,2)</f>
        <v/>
      </c>
      <c r="BA48" s="24">
        <f>ROUND(W48-AG48-AQ48,2)</f>
        <v/>
      </c>
      <c r="BB48" s="24">
        <f>SUM(AR48:BA48)</f>
        <v/>
      </c>
    </row>
    <row r="49">
      <c r="A49" t="n">
        <v>45</v>
      </c>
      <c r="B49" s="23">
        <f>EOMONTH(TODAY(),44)</f>
        <v/>
      </c>
      <c r="C49" s="24">
        <f>MAX(0,(SUM('My Loans'!$E$6:$E$15)+'My Loans'!$D$3)-SUM($X49:$AG49))</f>
        <v/>
      </c>
      <c r="D49" s="24">
        <f>MAX(0,AR48)</f>
        <v/>
      </c>
      <c r="E49" s="24">
        <f>MAX(0,AS48)</f>
        <v/>
      </c>
      <c r="F49" s="24">
        <f>MAX(0,AT48)</f>
        <v/>
      </c>
      <c r="G49" s="24">
        <f>MAX(0,AU48)</f>
        <v/>
      </c>
      <c r="H49" s="24">
        <f>MAX(0,AV48)</f>
        <v/>
      </c>
      <c r="I49" s="24">
        <f>MAX(0,AW48)</f>
        <v/>
      </c>
      <c r="J49" s="24">
        <f>MAX(0,AX48)</f>
        <v/>
      </c>
      <c r="K49" s="24">
        <f>MAX(0,AY48)</f>
        <v/>
      </c>
      <c r="L49" s="24">
        <f>MAX(0,AZ48)</f>
        <v/>
      </c>
      <c r="M49" s="24">
        <f>MAX(0,BA48)</f>
        <v/>
      </c>
      <c r="N49" s="24">
        <f>IF(D49&lt;0.5,0,D49*(1+N('My Loans'!D6)/1200))</f>
        <v/>
      </c>
      <c r="O49" s="24">
        <f>IF(E49&lt;0.5,0,E49*(1+N('My Loans'!D7)/1200))</f>
        <v/>
      </c>
      <c r="P49" s="24">
        <f>IF(F49&lt;0.5,0,F49*(1+N('My Loans'!D8)/1200))</f>
        <v/>
      </c>
      <c r="Q49" s="24">
        <f>IF(G49&lt;0.5,0,G49*(1+N('My Loans'!D9)/1200))</f>
        <v/>
      </c>
      <c r="R49" s="24">
        <f>IF(H49&lt;0.5,0,H49*(1+N('My Loans'!D10)/1200))</f>
        <v/>
      </c>
      <c r="S49" s="24">
        <f>IF(I49&lt;0.5,0,I49*(1+N('My Loans'!D11)/1200))</f>
        <v/>
      </c>
      <c r="T49" s="24">
        <f>IF(J49&lt;0.5,0,J49*(1+N('My Loans'!D12)/1200))</f>
        <v/>
      </c>
      <c r="U49" s="24">
        <f>IF(K49&lt;0.5,0,K49*(1+N('My Loans'!D13)/1200))</f>
        <v/>
      </c>
      <c r="V49" s="24">
        <f>IF(L49&lt;0.5,0,L49*(1+N('My Loans'!D14)/1200))</f>
        <v/>
      </c>
      <c r="W49" s="24">
        <f>IF(M49&lt;0.5,0,M49*(1+N('My Loans'!D15)/1200))</f>
        <v/>
      </c>
      <c r="X49" s="24">
        <f>MIN(N49,N('My Loans'!E6))</f>
        <v/>
      </c>
      <c r="Y49" s="24">
        <f>MIN(O49,N('My Loans'!E7))</f>
        <v/>
      </c>
      <c r="Z49" s="24">
        <f>MIN(P49,N('My Loans'!E8))</f>
        <v/>
      </c>
      <c r="AA49" s="24">
        <f>MIN(Q49,N('My Loans'!E9))</f>
        <v/>
      </c>
      <c r="AB49" s="24">
        <f>MIN(R49,N('My Loans'!E10))</f>
        <v/>
      </c>
      <c r="AC49" s="24">
        <f>MIN(S49,N('My Loans'!E11))</f>
        <v/>
      </c>
      <c r="AD49" s="24">
        <f>MIN(T49,N('My Loans'!E12))</f>
        <v/>
      </c>
      <c r="AE49" s="24">
        <f>MIN(U49,N('My Loans'!E13))</f>
        <v/>
      </c>
      <c r="AF49" s="24">
        <f>MIN(V49,N('My Loans'!E14))</f>
        <v/>
      </c>
      <c r="AG49" s="24">
        <f>MIN(W49,N('My Loans'!E15))</f>
        <v/>
      </c>
      <c r="AH49" s="24">
        <f>MIN(N49-X49,MAX(0,$C49-SUMPRODUCT(($D$3:$M$3&lt;D$3)*($N49:$W49-$X49:$AG49))))</f>
        <v/>
      </c>
      <c r="AI49" s="24">
        <f>MIN(O49-Y49,MAX(0,$C49-SUMPRODUCT(($D$3:$M$3&lt;E$3)*($N49:$W49-$X49:$AG49))))</f>
        <v/>
      </c>
      <c r="AJ49" s="24">
        <f>MIN(P49-Z49,MAX(0,$C49-SUMPRODUCT(($D$3:$M$3&lt;F$3)*($N49:$W49-$X49:$AG49))))</f>
        <v/>
      </c>
      <c r="AK49" s="24">
        <f>MIN(Q49-AA49,MAX(0,$C49-SUMPRODUCT(($D$3:$M$3&lt;G$3)*($N49:$W49-$X49:$AG49))))</f>
        <v/>
      </c>
      <c r="AL49" s="24">
        <f>MIN(R49-AB49,MAX(0,$C49-SUMPRODUCT(($D$3:$M$3&lt;H$3)*($N49:$W49-$X49:$AG49))))</f>
        <v/>
      </c>
      <c r="AM49" s="24">
        <f>MIN(S49-AC49,MAX(0,$C49-SUMPRODUCT(($D$3:$M$3&lt;I$3)*($N49:$W49-$X49:$AG49))))</f>
        <v/>
      </c>
      <c r="AN49" s="24">
        <f>MIN(T49-AD49,MAX(0,$C49-SUMPRODUCT(($D$3:$M$3&lt;J$3)*($N49:$W49-$X49:$AG49))))</f>
        <v/>
      </c>
      <c r="AO49" s="24">
        <f>MIN(U49-AE49,MAX(0,$C49-SUMPRODUCT(($D$3:$M$3&lt;K$3)*($N49:$W49-$X49:$AG49))))</f>
        <v/>
      </c>
      <c r="AP49" s="24">
        <f>MIN(V49-AF49,MAX(0,$C49-SUMPRODUCT(($D$3:$M$3&lt;L$3)*($N49:$W49-$X49:$AG49))))</f>
        <v/>
      </c>
      <c r="AQ49" s="24">
        <f>MIN(W49-AG49,MAX(0,$C49-SUMPRODUCT(($D$3:$M$3&lt;M$3)*($N49:$W49-$X49:$AG49))))</f>
        <v/>
      </c>
      <c r="AR49" s="24">
        <f>ROUND(N49-X49-AH49,2)</f>
        <v/>
      </c>
      <c r="AS49" s="24">
        <f>ROUND(O49-Y49-AI49,2)</f>
        <v/>
      </c>
      <c r="AT49" s="24">
        <f>ROUND(P49-Z49-AJ49,2)</f>
        <v/>
      </c>
      <c r="AU49" s="24">
        <f>ROUND(Q49-AA49-AK49,2)</f>
        <v/>
      </c>
      <c r="AV49" s="24">
        <f>ROUND(R49-AB49-AL49,2)</f>
        <v/>
      </c>
      <c r="AW49" s="24">
        <f>ROUND(S49-AC49-AM49,2)</f>
        <v/>
      </c>
      <c r="AX49" s="24">
        <f>ROUND(T49-AD49-AN49,2)</f>
        <v/>
      </c>
      <c r="AY49" s="24">
        <f>ROUND(U49-AE49-AO49,2)</f>
        <v/>
      </c>
      <c r="AZ49" s="24">
        <f>ROUND(V49-AF49-AP49,2)</f>
        <v/>
      </c>
      <c r="BA49" s="24">
        <f>ROUND(W49-AG49-AQ49,2)</f>
        <v/>
      </c>
      <c r="BB49" s="24">
        <f>SUM(AR49:BA49)</f>
        <v/>
      </c>
    </row>
    <row r="50">
      <c r="A50" t="n">
        <v>46</v>
      </c>
      <c r="B50" s="23">
        <f>EOMONTH(TODAY(),45)</f>
        <v/>
      </c>
      <c r="C50" s="24">
        <f>MAX(0,(SUM('My Loans'!$E$6:$E$15)+'My Loans'!$D$3)-SUM($X50:$AG50))</f>
        <v/>
      </c>
      <c r="D50" s="24">
        <f>MAX(0,AR49)</f>
        <v/>
      </c>
      <c r="E50" s="24">
        <f>MAX(0,AS49)</f>
        <v/>
      </c>
      <c r="F50" s="24">
        <f>MAX(0,AT49)</f>
        <v/>
      </c>
      <c r="G50" s="24">
        <f>MAX(0,AU49)</f>
        <v/>
      </c>
      <c r="H50" s="24">
        <f>MAX(0,AV49)</f>
        <v/>
      </c>
      <c r="I50" s="24">
        <f>MAX(0,AW49)</f>
        <v/>
      </c>
      <c r="J50" s="24">
        <f>MAX(0,AX49)</f>
        <v/>
      </c>
      <c r="K50" s="24">
        <f>MAX(0,AY49)</f>
        <v/>
      </c>
      <c r="L50" s="24">
        <f>MAX(0,AZ49)</f>
        <v/>
      </c>
      <c r="M50" s="24">
        <f>MAX(0,BA49)</f>
        <v/>
      </c>
      <c r="N50" s="24">
        <f>IF(D50&lt;0.5,0,D50*(1+N('My Loans'!D6)/1200))</f>
        <v/>
      </c>
      <c r="O50" s="24">
        <f>IF(E50&lt;0.5,0,E50*(1+N('My Loans'!D7)/1200))</f>
        <v/>
      </c>
      <c r="P50" s="24">
        <f>IF(F50&lt;0.5,0,F50*(1+N('My Loans'!D8)/1200))</f>
        <v/>
      </c>
      <c r="Q50" s="24">
        <f>IF(G50&lt;0.5,0,G50*(1+N('My Loans'!D9)/1200))</f>
        <v/>
      </c>
      <c r="R50" s="24">
        <f>IF(H50&lt;0.5,0,H50*(1+N('My Loans'!D10)/1200))</f>
        <v/>
      </c>
      <c r="S50" s="24">
        <f>IF(I50&lt;0.5,0,I50*(1+N('My Loans'!D11)/1200))</f>
        <v/>
      </c>
      <c r="T50" s="24">
        <f>IF(J50&lt;0.5,0,J50*(1+N('My Loans'!D12)/1200))</f>
        <v/>
      </c>
      <c r="U50" s="24">
        <f>IF(K50&lt;0.5,0,K50*(1+N('My Loans'!D13)/1200))</f>
        <v/>
      </c>
      <c r="V50" s="24">
        <f>IF(L50&lt;0.5,0,L50*(1+N('My Loans'!D14)/1200))</f>
        <v/>
      </c>
      <c r="W50" s="24">
        <f>IF(M50&lt;0.5,0,M50*(1+N('My Loans'!D15)/1200))</f>
        <v/>
      </c>
      <c r="X50" s="24">
        <f>MIN(N50,N('My Loans'!E6))</f>
        <v/>
      </c>
      <c r="Y50" s="24">
        <f>MIN(O50,N('My Loans'!E7))</f>
        <v/>
      </c>
      <c r="Z50" s="24">
        <f>MIN(P50,N('My Loans'!E8))</f>
        <v/>
      </c>
      <c r="AA50" s="24">
        <f>MIN(Q50,N('My Loans'!E9))</f>
        <v/>
      </c>
      <c r="AB50" s="24">
        <f>MIN(R50,N('My Loans'!E10))</f>
        <v/>
      </c>
      <c r="AC50" s="24">
        <f>MIN(S50,N('My Loans'!E11))</f>
        <v/>
      </c>
      <c r="AD50" s="24">
        <f>MIN(T50,N('My Loans'!E12))</f>
        <v/>
      </c>
      <c r="AE50" s="24">
        <f>MIN(U50,N('My Loans'!E13))</f>
        <v/>
      </c>
      <c r="AF50" s="24">
        <f>MIN(V50,N('My Loans'!E14))</f>
        <v/>
      </c>
      <c r="AG50" s="24">
        <f>MIN(W50,N('My Loans'!E15))</f>
        <v/>
      </c>
      <c r="AH50" s="24">
        <f>MIN(N50-X50,MAX(0,$C50-SUMPRODUCT(($D$3:$M$3&lt;D$3)*($N50:$W50-$X50:$AG50))))</f>
        <v/>
      </c>
      <c r="AI50" s="24">
        <f>MIN(O50-Y50,MAX(0,$C50-SUMPRODUCT(($D$3:$M$3&lt;E$3)*($N50:$W50-$X50:$AG50))))</f>
        <v/>
      </c>
      <c r="AJ50" s="24">
        <f>MIN(P50-Z50,MAX(0,$C50-SUMPRODUCT(($D$3:$M$3&lt;F$3)*($N50:$W50-$X50:$AG50))))</f>
        <v/>
      </c>
      <c r="AK50" s="24">
        <f>MIN(Q50-AA50,MAX(0,$C50-SUMPRODUCT(($D$3:$M$3&lt;G$3)*($N50:$W50-$X50:$AG50))))</f>
        <v/>
      </c>
      <c r="AL50" s="24">
        <f>MIN(R50-AB50,MAX(0,$C50-SUMPRODUCT(($D$3:$M$3&lt;H$3)*($N50:$W50-$X50:$AG50))))</f>
        <v/>
      </c>
      <c r="AM50" s="24">
        <f>MIN(S50-AC50,MAX(0,$C50-SUMPRODUCT(($D$3:$M$3&lt;I$3)*($N50:$W50-$X50:$AG50))))</f>
        <v/>
      </c>
      <c r="AN50" s="24">
        <f>MIN(T50-AD50,MAX(0,$C50-SUMPRODUCT(($D$3:$M$3&lt;J$3)*($N50:$W50-$X50:$AG50))))</f>
        <v/>
      </c>
      <c r="AO50" s="24">
        <f>MIN(U50-AE50,MAX(0,$C50-SUMPRODUCT(($D$3:$M$3&lt;K$3)*($N50:$W50-$X50:$AG50))))</f>
        <v/>
      </c>
      <c r="AP50" s="24">
        <f>MIN(V50-AF50,MAX(0,$C50-SUMPRODUCT(($D$3:$M$3&lt;L$3)*($N50:$W50-$X50:$AG50))))</f>
        <v/>
      </c>
      <c r="AQ50" s="24">
        <f>MIN(W50-AG50,MAX(0,$C50-SUMPRODUCT(($D$3:$M$3&lt;M$3)*($N50:$W50-$X50:$AG50))))</f>
        <v/>
      </c>
      <c r="AR50" s="24">
        <f>ROUND(N50-X50-AH50,2)</f>
        <v/>
      </c>
      <c r="AS50" s="24">
        <f>ROUND(O50-Y50-AI50,2)</f>
        <v/>
      </c>
      <c r="AT50" s="24">
        <f>ROUND(P50-Z50-AJ50,2)</f>
        <v/>
      </c>
      <c r="AU50" s="24">
        <f>ROUND(Q50-AA50-AK50,2)</f>
        <v/>
      </c>
      <c r="AV50" s="24">
        <f>ROUND(R50-AB50-AL50,2)</f>
        <v/>
      </c>
      <c r="AW50" s="24">
        <f>ROUND(S50-AC50-AM50,2)</f>
        <v/>
      </c>
      <c r="AX50" s="24">
        <f>ROUND(T50-AD50-AN50,2)</f>
        <v/>
      </c>
      <c r="AY50" s="24">
        <f>ROUND(U50-AE50-AO50,2)</f>
        <v/>
      </c>
      <c r="AZ50" s="24">
        <f>ROUND(V50-AF50-AP50,2)</f>
        <v/>
      </c>
      <c r="BA50" s="24">
        <f>ROUND(W50-AG50-AQ50,2)</f>
        <v/>
      </c>
      <c r="BB50" s="24">
        <f>SUM(AR50:BA50)</f>
        <v/>
      </c>
    </row>
    <row r="51">
      <c r="A51" t="n">
        <v>47</v>
      </c>
      <c r="B51" s="23">
        <f>EOMONTH(TODAY(),46)</f>
        <v/>
      </c>
      <c r="C51" s="24">
        <f>MAX(0,(SUM('My Loans'!$E$6:$E$15)+'My Loans'!$D$3)-SUM($X51:$AG51))</f>
        <v/>
      </c>
      <c r="D51" s="24">
        <f>MAX(0,AR50)</f>
        <v/>
      </c>
      <c r="E51" s="24">
        <f>MAX(0,AS50)</f>
        <v/>
      </c>
      <c r="F51" s="24">
        <f>MAX(0,AT50)</f>
        <v/>
      </c>
      <c r="G51" s="24">
        <f>MAX(0,AU50)</f>
        <v/>
      </c>
      <c r="H51" s="24">
        <f>MAX(0,AV50)</f>
        <v/>
      </c>
      <c r="I51" s="24">
        <f>MAX(0,AW50)</f>
        <v/>
      </c>
      <c r="J51" s="24">
        <f>MAX(0,AX50)</f>
        <v/>
      </c>
      <c r="K51" s="24">
        <f>MAX(0,AY50)</f>
        <v/>
      </c>
      <c r="L51" s="24">
        <f>MAX(0,AZ50)</f>
        <v/>
      </c>
      <c r="M51" s="24">
        <f>MAX(0,BA50)</f>
        <v/>
      </c>
      <c r="N51" s="24">
        <f>IF(D51&lt;0.5,0,D51*(1+N('My Loans'!D6)/1200))</f>
        <v/>
      </c>
      <c r="O51" s="24">
        <f>IF(E51&lt;0.5,0,E51*(1+N('My Loans'!D7)/1200))</f>
        <v/>
      </c>
      <c r="P51" s="24">
        <f>IF(F51&lt;0.5,0,F51*(1+N('My Loans'!D8)/1200))</f>
        <v/>
      </c>
      <c r="Q51" s="24">
        <f>IF(G51&lt;0.5,0,G51*(1+N('My Loans'!D9)/1200))</f>
        <v/>
      </c>
      <c r="R51" s="24">
        <f>IF(H51&lt;0.5,0,H51*(1+N('My Loans'!D10)/1200))</f>
        <v/>
      </c>
      <c r="S51" s="24">
        <f>IF(I51&lt;0.5,0,I51*(1+N('My Loans'!D11)/1200))</f>
        <v/>
      </c>
      <c r="T51" s="24">
        <f>IF(J51&lt;0.5,0,J51*(1+N('My Loans'!D12)/1200))</f>
        <v/>
      </c>
      <c r="U51" s="24">
        <f>IF(K51&lt;0.5,0,K51*(1+N('My Loans'!D13)/1200))</f>
        <v/>
      </c>
      <c r="V51" s="24">
        <f>IF(L51&lt;0.5,0,L51*(1+N('My Loans'!D14)/1200))</f>
        <v/>
      </c>
      <c r="W51" s="24">
        <f>IF(M51&lt;0.5,0,M51*(1+N('My Loans'!D15)/1200))</f>
        <v/>
      </c>
      <c r="X51" s="24">
        <f>MIN(N51,N('My Loans'!E6))</f>
        <v/>
      </c>
      <c r="Y51" s="24">
        <f>MIN(O51,N('My Loans'!E7))</f>
        <v/>
      </c>
      <c r="Z51" s="24">
        <f>MIN(P51,N('My Loans'!E8))</f>
        <v/>
      </c>
      <c r="AA51" s="24">
        <f>MIN(Q51,N('My Loans'!E9))</f>
        <v/>
      </c>
      <c r="AB51" s="24">
        <f>MIN(R51,N('My Loans'!E10))</f>
        <v/>
      </c>
      <c r="AC51" s="24">
        <f>MIN(S51,N('My Loans'!E11))</f>
        <v/>
      </c>
      <c r="AD51" s="24">
        <f>MIN(T51,N('My Loans'!E12))</f>
        <v/>
      </c>
      <c r="AE51" s="24">
        <f>MIN(U51,N('My Loans'!E13))</f>
        <v/>
      </c>
      <c r="AF51" s="24">
        <f>MIN(V51,N('My Loans'!E14))</f>
        <v/>
      </c>
      <c r="AG51" s="24">
        <f>MIN(W51,N('My Loans'!E15))</f>
        <v/>
      </c>
      <c r="AH51" s="24">
        <f>MIN(N51-X51,MAX(0,$C51-SUMPRODUCT(($D$3:$M$3&lt;D$3)*($N51:$W51-$X51:$AG51))))</f>
        <v/>
      </c>
      <c r="AI51" s="24">
        <f>MIN(O51-Y51,MAX(0,$C51-SUMPRODUCT(($D$3:$M$3&lt;E$3)*($N51:$W51-$X51:$AG51))))</f>
        <v/>
      </c>
      <c r="AJ51" s="24">
        <f>MIN(P51-Z51,MAX(0,$C51-SUMPRODUCT(($D$3:$M$3&lt;F$3)*($N51:$W51-$X51:$AG51))))</f>
        <v/>
      </c>
      <c r="AK51" s="24">
        <f>MIN(Q51-AA51,MAX(0,$C51-SUMPRODUCT(($D$3:$M$3&lt;G$3)*($N51:$W51-$X51:$AG51))))</f>
        <v/>
      </c>
      <c r="AL51" s="24">
        <f>MIN(R51-AB51,MAX(0,$C51-SUMPRODUCT(($D$3:$M$3&lt;H$3)*($N51:$W51-$X51:$AG51))))</f>
        <v/>
      </c>
      <c r="AM51" s="24">
        <f>MIN(S51-AC51,MAX(0,$C51-SUMPRODUCT(($D$3:$M$3&lt;I$3)*($N51:$W51-$X51:$AG51))))</f>
        <v/>
      </c>
      <c r="AN51" s="24">
        <f>MIN(T51-AD51,MAX(0,$C51-SUMPRODUCT(($D$3:$M$3&lt;J$3)*($N51:$W51-$X51:$AG51))))</f>
        <v/>
      </c>
      <c r="AO51" s="24">
        <f>MIN(U51-AE51,MAX(0,$C51-SUMPRODUCT(($D$3:$M$3&lt;K$3)*($N51:$W51-$X51:$AG51))))</f>
        <v/>
      </c>
      <c r="AP51" s="24">
        <f>MIN(V51-AF51,MAX(0,$C51-SUMPRODUCT(($D$3:$M$3&lt;L$3)*($N51:$W51-$X51:$AG51))))</f>
        <v/>
      </c>
      <c r="AQ51" s="24">
        <f>MIN(W51-AG51,MAX(0,$C51-SUMPRODUCT(($D$3:$M$3&lt;M$3)*($N51:$W51-$X51:$AG51))))</f>
        <v/>
      </c>
      <c r="AR51" s="24">
        <f>ROUND(N51-X51-AH51,2)</f>
        <v/>
      </c>
      <c r="AS51" s="24">
        <f>ROUND(O51-Y51-AI51,2)</f>
        <v/>
      </c>
      <c r="AT51" s="24">
        <f>ROUND(P51-Z51-AJ51,2)</f>
        <v/>
      </c>
      <c r="AU51" s="24">
        <f>ROUND(Q51-AA51-AK51,2)</f>
        <v/>
      </c>
      <c r="AV51" s="24">
        <f>ROUND(R51-AB51-AL51,2)</f>
        <v/>
      </c>
      <c r="AW51" s="24">
        <f>ROUND(S51-AC51-AM51,2)</f>
        <v/>
      </c>
      <c r="AX51" s="24">
        <f>ROUND(T51-AD51-AN51,2)</f>
        <v/>
      </c>
      <c r="AY51" s="24">
        <f>ROUND(U51-AE51-AO51,2)</f>
        <v/>
      </c>
      <c r="AZ51" s="24">
        <f>ROUND(V51-AF51-AP51,2)</f>
        <v/>
      </c>
      <c r="BA51" s="24">
        <f>ROUND(W51-AG51-AQ51,2)</f>
        <v/>
      </c>
      <c r="BB51" s="24">
        <f>SUM(AR51:BA51)</f>
        <v/>
      </c>
    </row>
    <row r="52">
      <c r="A52" t="n">
        <v>48</v>
      </c>
      <c r="B52" s="23">
        <f>EOMONTH(TODAY(),47)</f>
        <v/>
      </c>
      <c r="C52" s="24">
        <f>MAX(0,(SUM('My Loans'!$E$6:$E$15)+'My Loans'!$D$3)-SUM($X52:$AG52))</f>
        <v/>
      </c>
      <c r="D52" s="24">
        <f>MAX(0,AR51)</f>
        <v/>
      </c>
      <c r="E52" s="24">
        <f>MAX(0,AS51)</f>
        <v/>
      </c>
      <c r="F52" s="24">
        <f>MAX(0,AT51)</f>
        <v/>
      </c>
      <c r="G52" s="24">
        <f>MAX(0,AU51)</f>
        <v/>
      </c>
      <c r="H52" s="24">
        <f>MAX(0,AV51)</f>
        <v/>
      </c>
      <c r="I52" s="24">
        <f>MAX(0,AW51)</f>
        <v/>
      </c>
      <c r="J52" s="24">
        <f>MAX(0,AX51)</f>
        <v/>
      </c>
      <c r="K52" s="24">
        <f>MAX(0,AY51)</f>
        <v/>
      </c>
      <c r="L52" s="24">
        <f>MAX(0,AZ51)</f>
        <v/>
      </c>
      <c r="M52" s="24">
        <f>MAX(0,BA51)</f>
        <v/>
      </c>
      <c r="N52" s="24">
        <f>IF(D52&lt;0.5,0,D52*(1+N('My Loans'!D6)/1200))</f>
        <v/>
      </c>
      <c r="O52" s="24">
        <f>IF(E52&lt;0.5,0,E52*(1+N('My Loans'!D7)/1200))</f>
        <v/>
      </c>
      <c r="P52" s="24">
        <f>IF(F52&lt;0.5,0,F52*(1+N('My Loans'!D8)/1200))</f>
        <v/>
      </c>
      <c r="Q52" s="24">
        <f>IF(G52&lt;0.5,0,G52*(1+N('My Loans'!D9)/1200))</f>
        <v/>
      </c>
      <c r="R52" s="24">
        <f>IF(H52&lt;0.5,0,H52*(1+N('My Loans'!D10)/1200))</f>
        <v/>
      </c>
      <c r="S52" s="24">
        <f>IF(I52&lt;0.5,0,I52*(1+N('My Loans'!D11)/1200))</f>
        <v/>
      </c>
      <c r="T52" s="24">
        <f>IF(J52&lt;0.5,0,J52*(1+N('My Loans'!D12)/1200))</f>
        <v/>
      </c>
      <c r="U52" s="24">
        <f>IF(K52&lt;0.5,0,K52*(1+N('My Loans'!D13)/1200))</f>
        <v/>
      </c>
      <c r="V52" s="24">
        <f>IF(L52&lt;0.5,0,L52*(1+N('My Loans'!D14)/1200))</f>
        <v/>
      </c>
      <c r="W52" s="24">
        <f>IF(M52&lt;0.5,0,M52*(1+N('My Loans'!D15)/1200))</f>
        <v/>
      </c>
      <c r="X52" s="24">
        <f>MIN(N52,N('My Loans'!E6))</f>
        <v/>
      </c>
      <c r="Y52" s="24">
        <f>MIN(O52,N('My Loans'!E7))</f>
        <v/>
      </c>
      <c r="Z52" s="24">
        <f>MIN(P52,N('My Loans'!E8))</f>
        <v/>
      </c>
      <c r="AA52" s="24">
        <f>MIN(Q52,N('My Loans'!E9))</f>
        <v/>
      </c>
      <c r="AB52" s="24">
        <f>MIN(R52,N('My Loans'!E10))</f>
        <v/>
      </c>
      <c r="AC52" s="24">
        <f>MIN(S52,N('My Loans'!E11))</f>
        <v/>
      </c>
      <c r="AD52" s="24">
        <f>MIN(T52,N('My Loans'!E12))</f>
        <v/>
      </c>
      <c r="AE52" s="24">
        <f>MIN(U52,N('My Loans'!E13))</f>
        <v/>
      </c>
      <c r="AF52" s="24">
        <f>MIN(V52,N('My Loans'!E14))</f>
        <v/>
      </c>
      <c r="AG52" s="24">
        <f>MIN(W52,N('My Loans'!E15))</f>
        <v/>
      </c>
      <c r="AH52" s="24">
        <f>MIN(N52-X52,MAX(0,$C52-SUMPRODUCT(($D$3:$M$3&lt;D$3)*($N52:$W52-$X52:$AG52))))</f>
        <v/>
      </c>
      <c r="AI52" s="24">
        <f>MIN(O52-Y52,MAX(0,$C52-SUMPRODUCT(($D$3:$M$3&lt;E$3)*($N52:$W52-$X52:$AG52))))</f>
        <v/>
      </c>
      <c r="AJ52" s="24">
        <f>MIN(P52-Z52,MAX(0,$C52-SUMPRODUCT(($D$3:$M$3&lt;F$3)*($N52:$W52-$X52:$AG52))))</f>
        <v/>
      </c>
      <c r="AK52" s="24">
        <f>MIN(Q52-AA52,MAX(0,$C52-SUMPRODUCT(($D$3:$M$3&lt;G$3)*($N52:$W52-$X52:$AG52))))</f>
        <v/>
      </c>
      <c r="AL52" s="24">
        <f>MIN(R52-AB52,MAX(0,$C52-SUMPRODUCT(($D$3:$M$3&lt;H$3)*($N52:$W52-$X52:$AG52))))</f>
        <v/>
      </c>
      <c r="AM52" s="24">
        <f>MIN(S52-AC52,MAX(0,$C52-SUMPRODUCT(($D$3:$M$3&lt;I$3)*($N52:$W52-$X52:$AG52))))</f>
        <v/>
      </c>
      <c r="AN52" s="24">
        <f>MIN(T52-AD52,MAX(0,$C52-SUMPRODUCT(($D$3:$M$3&lt;J$3)*($N52:$W52-$X52:$AG52))))</f>
        <v/>
      </c>
      <c r="AO52" s="24">
        <f>MIN(U52-AE52,MAX(0,$C52-SUMPRODUCT(($D$3:$M$3&lt;K$3)*($N52:$W52-$X52:$AG52))))</f>
        <v/>
      </c>
      <c r="AP52" s="24">
        <f>MIN(V52-AF52,MAX(0,$C52-SUMPRODUCT(($D$3:$M$3&lt;L$3)*($N52:$W52-$X52:$AG52))))</f>
        <v/>
      </c>
      <c r="AQ52" s="24">
        <f>MIN(W52-AG52,MAX(0,$C52-SUMPRODUCT(($D$3:$M$3&lt;M$3)*($N52:$W52-$X52:$AG52))))</f>
        <v/>
      </c>
      <c r="AR52" s="24">
        <f>ROUND(N52-X52-AH52,2)</f>
        <v/>
      </c>
      <c r="AS52" s="24">
        <f>ROUND(O52-Y52-AI52,2)</f>
        <v/>
      </c>
      <c r="AT52" s="24">
        <f>ROUND(P52-Z52-AJ52,2)</f>
        <v/>
      </c>
      <c r="AU52" s="24">
        <f>ROUND(Q52-AA52-AK52,2)</f>
        <v/>
      </c>
      <c r="AV52" s="24">
        <f>ROUND(R52-AB52-AL52,2)</f>
        <v/>
      </c>
      <c r="AW52" s="24">
        <f>ROUND(S52-AC52-AM52,2)</f>
        <v/>
      </c>
      <c r="AX52" s="24">
        <f>ROUND(T52-AD52-AN52,2)</f>
        <v/>
      </c>
      <c r="AY52" s="24">
        <f>ROUND(U52-AE52-AO52,2)</f>
        <v/>
      </c>
      <c r="AZ52" s="24">
        <f>ROUND(V52-AF52-AP52,2)</f>
        <v/>
      </c>
      <c r="BA52" s="24">
        <f>ROUND(W52-AG52-AQ52,2)</f>
        <v/>
      </c>
      <c r="BB52" s="24">
        <f>SUM(AR52:BA52)</f>
        <v/>
      </c>
    </row>
    <row r="53">
      <c r="A53" t="n">
        <v>49</v>
      </c>
      <c r="B53" s="23">
        <f>EOMONTH(TODAY(),48)</f>
        <v/>
      </c>
      <c r="C53" s="24">
        <f>MAX(0,(SUM('My Loans'!$E$6:$E$15)+'My Loans'!$D$3)-SUM($X53:$AG53))</f>
        <v/>
      </c>
      <c r="D53" s="24">
        <f>MAX(0,AR52)</f>
        <v/>
      </c>
      <c r="E53" s="24">
        <f>MAX(0,AS52)</f>
        <v/>
      </c>
      <c r="F53" s="24">
        <f>MAX(0,AT52)</f>
        <v/>
      </c>
      <c r="G53" s="24">
        <f>MAX(0,AU52)</f>
        <v/>
      </c>
      <c r="H53" s="24">
        <f>MAX(0,AV52)</f>
        <v/>
      </c>
      <c r="I53" s="24">
        <f>MAX(0,AW52)</f>
        <v/>
      </c>
      <c r="J53" s="24">
        <f>MAX(0,AX52)</f>
        <v/>
      </c>
      <c r="K53" s="24">
        <f>MAX(0,AY52)</f>
        <v/>
      </c>
      <c r="L53" s="24">
        <f>MAX(0,AZ52)</f>
        <v/>
      </c>
      <c r="M53" s="24">
        <f>MAX(0,BA52)</f>
        <v/>
      </c>
      <c r="N53" s="24">
        <f>IF(D53&lt;0.5,0,D53*(1+N('My Loans'!D6)/1200))</f>
        <v/>
      </c>
      <c r="O53" s="24">
        <f>IF(E53&lt;0.5,0,E53*(1+N('My Loans'!D7)/1200))</f>
        <v/>
      </c>
      <c r="P53" s="24">
        <f>IF(F53&lt;0.5,0,F53*(1+N('My Loans'!D8)/1200))</f>
        <v/>
      </c>
      <c r="Q53" s="24">
        <f>IF(G53&lt;0.5,0,G53*(1+N('My Loans'!D9)/1200))</f>
        <v/>
      </c>
      <c r="R53" s="24">
        <f>IF(H53&lt;0.5,0,H53*(1+N('My Loans'!D10)/1200))</f>
        <v/>
      </c>
      <c r="S53" s="24">
        <f>IF(I53&lt;0.5,0,I53*(1+N('My Loans'!D11)/1200))</f>
        <v/>
      </c>
      <c r="T53" s="24">
        <f>IF(J53&lt;0.5,0,J53*(1+N('My Loans'!D12)/1200))</f>
        <v/>
      </c>
      <c r="U53" s="24">
        <f>IF(K53&lt;0.5,0,K53*(1+N('My Loans'!D13)/1200))</f>
        <v/>
      </c>
      <c r="V53" s="24">
        <f>IF(L53&lt;0.5,0,L53*(1+N('My Loans'!D14)/1200))</f>
        <v/>
      </c>
      <c r="W53" s="24">
        <f>IF(M53&lt;0.5,0,M53*(1+N('My Loans'!D15)/1200))</f>
        <v/>
      </c>
      <c r="X53" s="24">
        <f>MIN(N53,N('My Loans'!E6))</f>
        <v/>
      </c>
      <c r="Y53" s="24">
        <f>MIN(O53,N('My Loans'!E7))</f>
        <v/>
      </c>
      <c r="Z53" s="24">
        <f>MIN(P53,N('My Loans'!E8))</f>
        <v/>
      </c>
      <c r="AA53" s="24">
        <f>MIN(Q53,N('My Loans'!E9))</f>
        <v/>
      </c>
      <c r="AB53" s="24">
        <f>MIN(R53,N('My Loans'!E10))</f>
        <v/>
      </c>
      <c r="AC53" s="24">
        <f>MIN(S53,N('My Loans'!E11))</f>
        <v/>
      </c>
      <c r="AD53" s="24">
        <f>MIN(T53,N('My Loans'!E12))</f>
        <v/>
      </c>
      <c r="AE53" s="24">
        <f>MIN(U53,N('My Loans'!E13))</f>
        <v/>
      </c>
      <c r="AF53" s="24">
        <f>MIN(V53,N('My Loans'!E14))</f>
        <v/>
      </c>
      <c r="AG53" s="24">
        <f>MIN(W53,N('My Loans'!E15))</f>
        <v/>
      </c>
      <c r="AH53" s="24">
        <f>MIN(N53-X53,MAX(0,$C53-SUMPRODUCT(($D$3:$M$3&lt;D$3)*($N53:$W53-$X53:$AG53))))</f>
        <v/>
      </c>
      <c r="AI53" s="24">
        <f>MIN(O53-Y53,MAX(0,$C53-SUMPRODUCT(($D$3:$M$3&lt;E$3)*($N53:$W53-$X53:$AG53))))</f>
        <v/>
      </c>
      <c r="AJ53" s="24">
        <f>MIN(P53-Z53,MAX(0,$C53-SUMPRODUCT(($D$3:$M$3&lt;F$3)*($N53:$W53-$X53:$AG53))))</f>
        <v/>
      </c>
      <c r="AK53" s="24">
        <f>MIN(Q53-AA53,MAX(0,$C53-SUMPRODUCT(($D$3:$M$3&lt;G$3)*($N53:$W53-$X53:$AG53))))</f>
        <v/>
      </c>
      <c r="AL53" s="24">
        <f>MIN(R53-AB53,MAX(0,$C53-SUMPRODUCT(($D$3:$M$3&lt;H$3)*($N53:$W53-$X53:$AG53))))</f>
        <v/>
      </c>
      <c r="AM53" s="24">
        <f>MIN(S53-AC53,MAX(0,$C53-SUMPRODUCT(($D$3:$M$3&lt;I$3)*($N53:$W53-$X53:$AG53))))</f>
        <v/>
      </c>
      <c r="AN53" s="24">
        <f>MIN(T53-AD53,MAX(0,$C53-SUMPRODUCT(($D$3:$M$3&lt;J$3)*($N53:$W53-$X53:$AG53))))</f>
        <v/>
      </c>
      <c r="AO53" s="24">
        <f>MIN(U53-AE53,MAX(0,$C53-SUMPRODUCT(($D$3:$M$3&lt;K$3)*($N53:$W53-$X53:$AG53))))</f>
        <v/>
      </c>
      <c r="AP53" s="24">
        <f>MIN(V53-AF53,MAX(0,$C53-SUMPRODUCT(($D$3:$M$3&lt;L$3)*($N53:$W53-$X53:$AG53))))</f>
        <v/>
      </c>
      <c r="AQ53" s="24">
        <f>MIN(W53-AG53,MAX(0,$C53-SUMPRODUCT(($D$3:$M$3&lt;M$3)*($N53:$W53-$X53:$AG53))))</f>
        <v/>
      </c>
      <c r="AR53" s="24">
        <f>ROUND(N53-X53-AH53,2)</f>
        <v/>
      </c>
      <c r="AS53" s="24">
        <f>ROUND(O53-Y53-AI53,2)</f>
        <v/>
      </c>
      <c r="AT53" s="24">
        <f>ROUND(P53-Z53-AJ53,2)</f>
        <v/>
      </c>
      <c r="AU53" s="24">
        <f>ROUND(Q53-AA53-AK53,2)</f>
        <v/>
      </c>
      <c r="AV53" s="24">
        <f>ROUND(R53-AB53-AL53,2)</f>
        <v/>
      </c>
      <c r="AW53" s="24">
        <f>ROUND(S53-AC53-AM53,2)</f>
        <v/>
      </c>
      <c r="AX53" s="24">
        <f>ROUND(T53-AD53-AN53,2)</f>
        <v/>
      </c>
      <c r="AY53" s="24">
        <f>ROUND(U53-AE53-AO53,2)</f>
        <v/>
      </c>
      <c r="AZ53" s="24">
        <f>ROUND(V53-AF53-AP53,2)</f>
        <v/>
      </c>
      <c r="BA53" s="24">
        <f>ROUND(W53-AG53-AQ53,2)</f>
        <v/>
      </c>
      <c r="BB53" s="24">
        <f>SUM(AR53:BA53)</f>
        <v/>
      </c>
    </row>
    <row r="54">
      <c r="A54" t="n">
        <v>50</v>
      </c>
      <c r="B54" s="23">
        <f>EOMONTH(TODAY(),49)</f>
        <v/>
      </c>
      <c r="C54" s="24">
        <f>MAX(0,(SUM('My Loans'!$E$6:$E$15)+'My Loans'!$D$3)-SUM($X54:$AG54))</f>
        <v/>
      </c>
      <c r="D54" s="24">
        <f>MAX(0,AR53)</f>
        <v/>
      </c>
      <c r="E54" s="24">
        <f>MAX(0,AS53)</f>
        <v/>
      </c>
      <c r="F54" s="24">
        <f>MAX(0,AT53)</f>
        <v/>
      </c>
      <c r="G54" s="24">
        <f>MAX(0,AU53)</f>
        <v/>
      </c>
      <c r="H54" s="24">
        <f>MAX(0,AV53)</f>
        <v/>
      </c>
      <c r="I54" s="24">
        <f>MAX(0,AW53)</f>
        <v/>
      </c>
      <c r="J54" s="24">
        <f>MAX(0,AX53)</f>
        <v/>
      </c>
      <c r="K54" s="24">
        <f>MAX(0,AY53)</f>
        <v/>
      </c>
      <c r="L54" s="24">
        <f>MAX(0,AZ53)</f>
        <v/>
      </c>
      <c r="M54" s="24">
        <f>MAX(0,BA53)</f>
        <v/>
      </c>
      <c r="N54" s="24">
        <f>IF(D54&lt;0.5,0,D54*(1+N('My Loans'!D6)/1200))</f>
        <v/>
      </c>
      <c r="O54" s="24">
        <f>IF(E54&lt;0.5,0,E54*(1+N('My Loans'!D7)/1200))</f>
        <v/>
      </c>
      <c r="P54" s="24">
        <f>IF(F54&lt;0.5,0,F54*(1+N('My Loans'!D8)/1200))</f>
        <v/>
      </c>
      <c r="Q54" s="24">
        <f>IF(G54&lt;0.5,0,G54*(1+N('My Loans'!D9)/1200))</f>
        <v/>
      </c>
      <c r="R54" s="24">
        <f>IF(H54&lt;0.5,0,H54*(1+N('My Loans'!D10)/1200))</f>
        <v/>
      </c>
      <c r="S54" s="24">
        <f>IF(I54&lt;0.5,0,I54*(1+N('My Loans'!D11)/1200))</f>
        <v/>
      </c>
      <c r="T54" s="24">
        <f>IF(J54&lt;0.5,0,J54*(1+N('My Loans'!D12)/1200))</f>
        <v/>
      </c>
      <c r="U54" s="24">
        <f>IF(K54&lt;0.5,0,K54*(1+N('My Loans'!D13)/1200))</f>
        <v/>
      </c>
      <c r="V54" s="24">
        <f>IF(L54&lt;0.5,0,L54*(1+N('My Loans'!D14)/1200))</f>
        <v/>
      </c>
      <c r="W54" s="24">
        <f>IF(M54&lt;0.5,0,M54*(1+N('My Loans'!D15)/1200))</f>
        <v/>
      </c>
      <c r="X54" s="24">
        <f>MIN(N54,N('My Loans'!E6))</f>
        <v/>
      </c>
      <c r="Y54" s="24">
        <f>MIN(O54,N('My Loans'!E7))</f>
        <v/>
      </c>
      <c r="Z54" s="24">
        <f>MIN(P54,N('My Loans'!E8))</f>
        <v/>
      </c>
      <c r="AA54" s="24">
        <f>MIN(Q54,N('My Loans'!E9))</f>
        <v/>
      </c>
      <c r="AB54" s="24">
        <f>MIN(R54,N('My Loans'!E10))</f>
        <v/>
      </c>
      <c r="AC54" s="24">
        <f>MIN(S54,N('My Loans'!E11))</f>
        <v/>
      </c>
      <c r="AD54" s="24">
        <f>MIN(T54,N('My Loans'!E12))</f>
        <v/>
      </c>
      <c r="AE54" s="24">
        <f>MIN(U54,N('My Loans'!E13))</f>
        <v/>
      </c>
      <c r="AF54" s="24">
        <f>MIN(V54,N('My Loans'!E14))</f>
        <v/>
      </c>
      <c r="AG54" s="24">
        <f>MIN(W54,N('My Loans'!E15))</f>
        <v/>
      </c>
      <c r="AH54" s="24">
        <f>MIN(N54-X54,MAX(0,$C54-SUMPRODUCT(($D$3:$M$3&lt;D$3)*($N54:$W54-$X54:$AG54))))</f>
        <v/>
      </c>
      <c r="AI54" s="24">
        <f>MIN(O54-Y54,MAX(0,$C54-SUMPRODUCT(($D$3:$M$3&lt;E$3)*($N54:$W54-$X54:$AG54))))</f>
        <v/>
      </c>
      <c r="AJ54" s="24">
        <f>MIN(P54-Z54,MAX(0,$C54-SUMPRODUCT(($D$3:$M$3&lt;F$3)*($N54:$W54-$X54:$AG54))))</f>
        <v/>
      </c>
      <c r="AK54" s="24">
        <f>MIN(Q54-AA54,MAX(0,$C54-SUMPRODUCT(($D$3:$M$3&lt;G$3)*($N54:$W54-$X54:$AG54))))</f>
        <v/>
      </c>
      <c r="AL54" s="24">
        <f>MIN(R54-AB54,MAX(0,$C54-SUMPRODUCT(($D$3:$M$3&lt;H$3)*($N54:$W54-$X54:$AG54))))</f>
        <v/>
      </c>
      <c r="AM54" s="24">
        <f>MIN(S54-AC54,MAX(0,$C54-SUMPRODUCT(($D$3:$M$3&lt;I$3)*($N54:$W54-$X54:$AG54))))</f>
        <v/>
      </c>
      <c r="AN54" s="24">
        <f>MIN(T54-AD54,MAX(0,$C54-SUMPRODUCT(($D$3:$M$3&lt;J$3)*($N54:$W54-$X54:$AG54))))</f>
        <v/>
      </c>
      <c r="AO54" s="24">
        <f>MIN(U54-AE54,MAX(0,$C54-SUMPRODUCT(($D$3:$M$3&lt;K$3)*($N54:$W54-$X54:$AG54))))</f>
        <v/>
      </c>
      <c r="AP54" s="24">
        <f>MIN(V54-AF54,MAX(0,$C54-SUMPRODUCT(($D$3:$M$3&lt;L$3)*($N54:$W54-$X54:$AG54))))</f>
        <v/>
      </c>
      <c r="AQ54" s="24">
        <f>MIN(W54-AG54,MAX(0,$C54-SUMPRODUCT(($D$3:$M$3&lt;M$3)*($N54:$W54-$X54:$AG54))))</f>
        <v/>
      </c>
      <c r="AR54" s="24">
        <f>ROUND(N54-X54-AH54,2)</f>
        <v/>
      </c>
      <c r="AS54" s="24">
        <f>ROUND(O54-Y54-AI54,2)</f>
        <v/>
      </c>
      <c r="AT54" s="24">
        <f>ROUND(P54-Z54-AJ54,2)</f>
        <v/>
      </c>
      <c r="AU54" s="24">
        <f>ROUND(Q54-AA54-AK54,2)</f>
        <v/>
      </c>
      <c r="AV54" s="24">
        <f>ROUND(R54-AB54-AL54,2)</f>
        <v/>
      </c>
      <c r="AW54" s="24">
        <f>ROUND(S54-AC54-AM54,2)</f>
        <v/>
      </c>
      <c r="AX54" s="24">
        <f>ROUND(T54-AD54-AN54,2)</f>
        <v/>
      </c>
      <c r="AY54" s="24">
        <f>ROUND(U54-AE54-AO54,2)</f>
        <v/>
      </c>
      <c r="AZ54" s="24">
        <f>ROUND(V54-AF54-AP54,2)</f>
        <v/>
      </c>
      <c r="BA54" s="24">
        <f>ROUND(W54-AG54-AQ54,2)</f>
        <v/>
      </c>
      <c r="BB54" s="24">
        <f>SUM(AR54:BA54)</f>
        <v/>
      </c>
    </row>
    <row r="55">
      <c r="A55" t="n">
        <v>51</v>
      </c>
      <c r="B55" s="23">
        <f>EOMONTH(TODAY(),50)</f>
        <v/>
      </c>
      <c r="C55" s="24">
        <f>MAX(0,(SUM('My Loans'!$E$6:$E$15)+'My Loans'!$D$3)-SUM($X55:$AG55))</f>
        <v/>
      </c>
      <c r="D55" s="24">
        <f>MAX(0,AR54)</f>
        <v/>
      </c>
      <c r="E55" s="24">
        <f>MAX(0,AS54)</f>
        <v/>
      </c>
      <c r="F55" s="24">
        <f>MAX(0,AT54)</f>
        <v/>
      </c>
      <c r="G55" s="24">
        <f>MAX(0,AU54)</f>
        <v/>
      </c>
      <c r="H55" s="24">
        <f>MAX(0,AV54)</f>
        <v/>
      </c>
      <c r="I55" s="24">
        <f>MAX(0,AW54)</f>
        <v/>
      </c>
      <c r="J55" s="24">
        <f>MAX(0,AX54)</f>
        <v/>
      </c>
      <c r="K55" s="24">
        <f>MAX(0,AY54)</f>
        <v/>
      </c>
      <c r="L55" s="24">
        <f>MAX(0,AZ54)</f>
        <v/>
      </c>
      <c r="M55" s="24">
        <f>MAX(0,BA54)</f>
        <v/>
      </c>
      <c r="N55" s="24">
        <f>IF(D55&lt;0.5,0,D55*(1+N('My Loans'!D6)/1200))</f>
        <v/>
      </c>
      <c r="O55" s="24">
        <f>IF(E55&lt;0.5,0,E55*(1+N('My Loans'!D7)/1200))</f>
        <v/>
      </c>
      <c r="P55" s="24">
        <f>IF(F55&lt;0.5,0,F55*(1+N('My Loans'!D8)/1200))</f>
        <v/>
      </c>
      <c r="Q55" s="24">
        <f>IF(G55&lt;0.5,0,G55*(1+N('My Loans'!D9)/1200))</f>
        <v/>
      </c>
      <c r="R55" s="24">
        <f>IF(H55&lt;0.5,0,H55*(1+N('My Loans'!D10)/1200))</f>
        <v/>
      </c>
      <c r="S55" s="24">
        <f>IF(I55&lt;0.5,0,I55*(1+N('My Loans'!D11)/1200))</f>
        <v/>
      </c>
      <c r="T55" s="24">
        <f>IF(J55&lt;0.5,0,J55*(1+N('My Loans'!D12)/1200))</f>
        <v/>
      </c>
      <c r="U55" s="24">
        <f>IF(K55&lt;0.5,0,K55*(1+N('My Loans'!D13)/1200))</f>
        <v/>
      </c>
      <c r="V55" s="24">
        <f>IF(L55&lt;0.5,0,L55*(1+N('My Loans'!D14)/1200))</f>
        <v/>
      </c>
      <c r="W55" s="24">
        <f>IF(M55&lt;0.5,0,M55*(1+N('My Loans'!D15)/1200))</f>
        <v/>
      </c>
      <c r="X55" s="24">
        <f>MIN(N55,N('My Loans'!E6))</f>
        <v/>
      </c>
      <c r="Y55" s="24">
        <f>MIN(O55,N('My Loans'!E7))</f>
        <v/>
      </c>
      <c r="Z55" s="24">
        <f>MIN(P55,N('My Loans'!E8))</f>
        <v/>
      </c>
      <c r="AA55" s="24">
        <f>MIN(Q55,N('My Loans'!E9))</f>
        <v/>
      </c>
      <c r="AB55" s="24">
        <f>MIN(R55,N('My Loans'!E10))</f>
        <v/>
      </c>
      <c r="AC55" s="24">
        <f>MIN(S55,N('My Loans'!E11))</f>
        <v/>
      </c>
      <c r="AD55" s="24">
        <f>MIN(T55,N('My Loans'!E12))</f>
        <v/>
      </c>
      <c r="AE55" s="24">
        <f>MIN(U55,N('My Loans'!E13))</f>
        <v/>
      </c>
      <c r="AF55" s="24">
        <f>MIN(V55,N('My Loans'!E14))</f>
        <v/>
      </c>
      <c r="AG55" s="24">
        <f>MIN(W55,N('My Loans'!E15))</f>
        <v/>
      </c>
      <c r="AH55" s="24">
        <f>MIN(N55-X55,MAX(0,$C55-SUMPRODUCT(($D$3:$M$3&lt;D$3)*($N55:$W55-$X55:$AG55))))</f>
        <v/>
      </c>
      <c r="AI55" s="24">
        <f>MIN(O55-Y55,MAX(0,$C55-SUMPRODUCT(($D$3:$M$3&lt;E$3)*($N55:$W55-$X55:$AG55))))</f>
        <v/>
      </c>
      <c r="AJ55" s="24">
        <f>MIN(P55-Z55,MAX(0,$C55-SUMPRODUCT(($D$3:$M$3&lt;F$3)*($N55:$W55-$X55:$AG55))))</f>
        <v/>
      </c>
      <c r="AK55" s="24">
        <f>MIN(Q55-AA55,MAX(0,$C55-SUMPRODUCT(($D$3:$M$3&lt;G$3)*($N55:$W55-$X55:$AG55))))</f>
        <v/>
      </c>
      <c r="AL55" s="24">
        <f>MIN(R55-AB55,MAX(0,$C55-SUMPRODUCT(($D$3:$M$3&lt;H$3)*($N55:$W55-$X55:$AG55))))</f>
        <v/>
      </c>
      <c r="AM55" s="24">
        <f>MIN(S55-AC55,MAX(0,$C55-SUMPRODUCT(($D$3:$M$3&lt;I$3)*($N55:$W55-$X55:$AG55))))</f>
        <v/>
      </c>
      <c r="AN55" s="24">
        <f>MIN(T55-AD55,MAX(0,$C55-SUMPRODUCT(($D$3:$M$3&lt;J$3)*($N55:$W55-$X55:$AG55))))</f>
        <v/>
      </c>
      <c r="AO55" s="24">
        <f>MIN(U55-AE55,MAX(0,$C55-SUMPRODUCT(($D$3:$M$3&lt;K$3)*($N55:$W55-$X55:$AG55))))</f>
        <v/>
      </c>
      <c r="AP55" s="24">
        <f>MIN(V55-AF55,MAX(0,$C55-SUMPRODUCT(($D$3:$M$3&lt;L$3)*($N55:$W55-$X55:$AG55))))</f>
        <v/>
      </c>
      <c r="AQ55" s="24">
        <f>MIN(W55-AG55,MAX(0,$C55-SUMPRODUCT(($D$3:$M$3&lt;M$3)*($N55:$W55-$X55:$AG55))))</f>
        <v/>
      </c>
      <c r="AR55" s="24">
        <f>ROUND(N55-X55-AH55,2)</f>
        <v/>
      </c>
      <c r="AS55" s="24">
        <f>ROUND(O55-Y55-AI55,2)</f>
        <v/>
      </c>
      <c r="AT55" s="24">
        <f>ROUND(P55-Z55-AJ55,2)</f>
        <v/>
      </c>
      <c r="AU55" s="24">
        <f>ROUND(Q55-AA55-AK55,2)</f>
        <v/>
      </c>
      <c r="AV55" s="24">
        <f>ROUND(R55-AB55-AL55,2)</f>
        <v/>
      </c>
      <c r="AW55" s="24">
        <f>ROUND(S55-AC55-AM55,2)</f>
        <v/>
      </c>
      <c r="AX55" s="24">
        <f>ROUND(T55-AD55-AN55,2)</f>
        <v/>
      </c>
      <c r="AY55" s="24">
        <f>ROUND(U55-AE55-AO55,2)</f>
        <v/>
      </c>
      <c r="AZ55" s="24">
        <f>ROUND(V55-AF55-AP55,2)</f>
        <v/>
      </c>
      <c r="BA55" s="24">
        <f>ROUND(W55-AG55-AQ55,2)</f>
        <v/>
      </c>
      <c r="BB55" s="24">
        <f>SUM(AR55:BA55)</f>
        <v/>
      </c>
    </row>
    <row r="56">
      <c r="A56" t="n">
        <v>52</v>
      </c>
      <c r="B56" s="23">
        <f>EOMONTH(TODAY(),51)</f>
        <v/>
      </c>
      <c r="C56" s="24">
        <f>MAX(0,(SUM('My Loans'!$E$6:$E$15)+'My Loans'!$D$3)-SUM($X56:$AG56))</f>
        <v/>
      </c>
      <c r="D56" s="24">
        <f>MAX(0,AR55)</f>
        <v/>
      </c>
      <c r="E56" s="24">
        <f>MAX(0,AS55)</f>
        <v/>
      </c>
      <c r="F56" s="24">
        <f>MAX(0,AT55)</f>
        <v/>
      </c>
      <c r="G56" s="24">
        <f>MAX(0,AU55)</f>
        <v/>
      </c>
      <c r="H56" s="24">
        <f>MAX(0,AV55)</f>
        <v/>
      </c>
      <c r="I56" s="24">
        <f>MAX(0,AW55)</f>
        <v/>
      </c>
      <c r="J56" s="24">
        <f>MAX(0,AX55)</f>
        <v/>
      </c>
      <c r="K56" s="24">
        <f>MAX(0,AY55)</f>
        <v/>
      </c>
      <c r="L56" s="24">
        <f>MAX(0,AZ55)</f>
        <v/>
      </c>
      <c r="M56" s="24">
        <f>MAX(0,BA55)</f>
        <v/>
      </c>
      <c r="N56" s="24">
        <f>IF(D56&lt;0.5,0,D56*(1+N('My Loans'!D6)/1200))</f>
        <v/>
      </c>
      <c r="O56" s="24">
        <f>IF(E56&lt;0.5,0,E56*(1+N('My Loans'!D7)/1200))</f>
        <v/>
      </c>
      <c r="P56" s="24">
        <f>IF(F56&lt;0.5,0,F56*(1+N('My Loans'!D8)/1200))</f>
        <v/>
      </c>
      <c r="Q56" s="24">
        <f>IF(G56&lt;0.5,0,G56*(1+N('My Loans'!D9)/1200))</f>
        <v/>
      </c>
      <c r="R56" s="24">
        <f>IF(H56&lt;0.5,0,H56*(1+N('My Loans'!D10)/1200))</f>
        <v/>
      </c>
      <c r="S56" s="24">
        <f>IF(I56&lt;0.5,0,I56*(1+N('My Loans'!D11)/1200))</f>
        <v/>
      </c>
      <c r="T56" s="24">
        <f>IF(J56&lt;0.5,0,J56*(1+N('My Loans'!D12)/1200))</f>
        <v/>
      </c>
      <c r="U56" s="24">
        <f>IF(K56&lt;0.5,0,K56*(1+N('My Loans'!D13)/1200))</f>
        <v/>
      </c>
      <c r="V56" s="24">
        <f>IF(L56&lt;0.5,0,L56*(1+N('My Loans'!D14)/1200))</f>
        <v/>
      </c>
      <c r="W56" s="24">
        <f>IF(M56&lt;0.5,0,M56*(1+N('My Loans'!D15)/1200))</f>
        <v/>
      </c>
      <c r="X56" s="24">
        <f>MIN(N56,N('My Loans'!E6))</f>
        <v/>
      </c>
      <c r="Y56" s="24">
        <f>MIN(O56,N('My Loans'!E7))</f>
        <v/>
      </c>
      <c r="Z56" s="24">
        <f>MIN(P56,N('My Loans'!E8))</f>
        <v/>
      </c>
      <c r="AA56" s="24">
        <f>MIN(Q56,N('My Loans'!E9))</f>
        <v/>
      </c>
      <c r="AB56" s="24">
        <f>MIN(R56,N('My Loans'!E10))</f>
        <v/>
      </c>
      <c r="AC56" s="24">
        <f>MIN(S56,N('My Loans'!E11))</f>
        <v/>
      </c>
      <c r="AD56" s="24">
        <f>MIN(T56,N('My Loans'!E12))</f>
        <v/>
      </c>
      <c r="AE56" s="24">
        <f>MIN(U56,N('My Loans'!E13))</f>
        <v/>
      </c>
      <c r="AF56" s="24">
        <f>MIN(V56,N('My Loans'!E14))</f>
        <v/>
      </c>
      <c r="AG56" s="24">
        <f>MIN(W56,N('My Loans'!E15))</f>
        <v/>
      </c>
      <c r="AH56" s="24">
        <f>MIN(N56-X56,MAX(0,$C56-SUMPRODUCT(($D$3:$M$3&lt;D$3)*($N56:$W56-$X56:$AG56))))</f>
        <v/>
      </c>
      <c r="AI56" s="24">
        <f>MIN(O56-Y56,MAX(0,$C56-SUMPRODUCT(($D$3:$M$3&lt;E$3)*($N56:$W56-$X56:$AG56))))</f>
        <v/>
      </c>
      <c r="AJ56" s="24">
        <f>MIN(P56-Z56,MAX(0,$C56-SUMPRODUCT(($D$3:$M$3&lt;F$3)*($N56:$W56-$X56:$AG56))))</f>
        <v/>
      </c>
      <c r="AK56" s="24">
        <f>MIN(Q56-AA56,MAX(0,$C56-SUMPRODUCT(($D$3:$M$3&lt;G$3)*($N56:$W56-$X56:$AG56))))</f>
        <v/>
      </c>
      <c r="AL56" s="24">
        <f>MIN(R56-AB56,MAX(0,$C56-SUMPRODUCT(($D$3:$M$3&lt;H$3)*($N56:$W56-$X56:$AG56))))</f>
        <v/>
      </c>
      <c r="AM56" s="24">
        <f>MIN(S56-AC56,MAX(0,$C56-SUMPRODUCT(($D$3:$M$3&lt;I$3)*($N56:$W56-$X56:$AG56))))</f>
        <v/>
      </c>
      <c r="AN56" s="24">
        <f>MIN(T56-AD56,MAX(0,$C56-SUMPRODUCT(($D$3:$M$3&lt;J$3)*($N56:$W56-$X56:$AG56))))</f>
        <v/>
      </c>
      <c r="AO56" s="24">
        <f>MIN(U56-AE56,MAX(0,$C56-SUMPRODUCT(($D$3:$M$3&lt;K$3)*($N56:$W56-$X56:$AG56))))</f>
        <v/>
      </c>
      <c r="AP56" s="24">
        <f>MIN(V56-AF56,MAX(0,$C56-SUMPRODUCT(($D$3:$M$3&lt;L$3)*($N56:$W56-$X56:$AG56))))</f>
        <v/>
      </c>
      <c r="AQ56" s="24">
        <f>MIN(W56-AG56,MAX(0,$C56-SUMPRODUCT(($D$3:$M$3&lt;M$3)*($N56:$W56-$X56:$AG56))))</f>
        <v/>
      </c>
      <c r="AR56" s="24">
        <f>ROUND(N56-X56-AH56,2)</f>
        <v/>
      </c>
      <c r="AS56" s="24">
        <f>ROUND(O56-Y56-AI56,2)</f>
        <v/>
      </c>
      <c r="AT56" s="24">
        <f>ROUND(P56-Z56-AJ56,2)</f>
        <v/>
      </c>
      <c r="AU56" s="24">
        <f>ROUND(Q56-AA56-AK56,2)</f>
        <v/>
      </c>
      <c r="AV56" s="24">
        <f>ROUND(R56-AB56-AL56,2)</f>
        <v/>
      </c>
      <c r="AW56" s="24">
        <f>ROUND(S56-AC56-AM56,2)</f>
        <v/>
      </c>
      <c r="AX56" s="24">
        <f>ROUND(T56-AD56-AN56,2)</f>
        <v/>
      </c>
      <c r="AY56" s="24">
        <f>ROUND(U56-AE56-AO56,2)</f>
        <v/>
      </c>
      <c r="AZ56" s="24">
        <f>ROUND(V56-AF56-AP56,2)</f>
        <v/>
      </c>
      <c r="BA56" s="24">
        <f>ROUND(W56-AG56-AQ56,2)</f>
        <v/>
      </c>
      <c r="BB56" s="24">
        <f>SUM(AR56:BA56)</f>
        <v/>
      </c>
    </row>
    <row r="57">
      <c r="A57" t="n">
        <v>53</v>
      </c>
      <c r="B57" s="23">
        <f>EOMONTH(TODAY(),52)</f>
        <v/>
      </c>
      <c r="C57" s="24">
        <f>MAX(0,(SUM('My Loans'!$E$6:$E$15)+'My Loans'!$D$3)-SUM($X57:$AG57))</f>
        <v/>
      </c>
      <c r="D57" s="24">
        <f>MAX(0,AR56)</f>
        <v/>
      </c>
      <c r="E57" s="24">
        <f>MAX(0,AS56)</f>
        <v/>
      </c>
      <c r="F57" s="24">
        <f>MAX(0,AT56)</f>
        <v/>
      </c>
      <c r="G57" s="24">
        <f>MAX(0,AU56)</f>
        <v/>
      </c>
      <c r="H57" s="24">
        <f>MAX(0,AV56)</f>
        <v/>
      </c>
      <c r="I57" s="24">
        <f>MAX(0,AW56)</f>
        <v/>
      </c>
      <c r="J57" s="24">
        <f>MAX(0,AX56)</f>
        <v/>
      </c>
      <c r="K57" s="24">
        <f>MAX(0,AY56)</f>
        <v/>
      </c>
      <c r="L57" s="24">
        <f>MAX(0,AZ56)</f>
        <v/>
      </c>
      <c r="M57" s="24">
        <f>MAX(0,BA56)</f>
        <v/>
      </c>
      <c r="N57" s="24">
        <f>IF(D57&lt;0.5,0,D57*(1+N('My Loans'!D6)/1200))</f>
        <v/>
      </c>
      <c r="O57" s="24">
        <f>IF(E57&lt;0.5,0,E57*(1+N('My Loans'!D7)/1200))</f>
        <v/>
      </c>
      <c r="P57" s="24">
        <f>IF(F57&lt;0.5,0,F57*(1+N('My Loans'!D8)/1200))</f>
        <v/>
      </c>
      <c r="Q57" s="24">
        <f>IF(G57&lt;0.5,0,G57*(1+N('My Loans'!D9)/1200))</f>
        <v/>
      </c>
      <c r="R57" s="24">
        <f>IF(H57&lt;0.5,0,H57*(1+N('My Loans'!D10)/1200))</f>
        <v/>
      </c>
      <c r="S57" s="24">
        <f>IF(I57&lt;0.5,0,I57*(1+N('My Loans'!D11)/1200))</f>
        <v/>
      </c>
      <c r="T57" s="24">
        <f>IF(J57&lt;0.5,0,J57*(1+N('My Loans'!D12)/1200))</f>
        <v/>
      </c>
      <c r="U57" s="24">
        <f>IF(K57&lt;0.5,0,K57*(1+N('My Loans'!D13)/1200))</f>
        <v/>
      </c>
      <c r="V57" s="24">
        <f>IF(L57&lt;0.5,0,L57*(1+N('My Loans'!D14)/1200))</f>
        <v/>
      </c>
      <c r="W57" s="24">
        <f>IF(M57&lt;0.5,0,M57*(1+N('My Loans'!D15)/1200))</f>
        <v/>
      </c>
      <c r="X57" s="24">
        <f>MIN(N57,N('My Loans'!E6))</f>
        <v/>
      </c>
      <c r="Y57" s="24">
        <f>MIN(O57,N('My Loans'!E7))</f>
        <v/>
      </c>
      <c r="Z57" s="24">
        <f>MIN(P57,N('My Loans'!E8))</f>
        <v/>
      </c>
      <c r="AA57" s="24">
        <f>MIN(Q57,N('My Loans'!E9))</f>
        <v/>
      </c>
      <c r="AB57" s="24">
        <f>MIN(R57,N('My Loans'!E10))</f>
        <v/>
      </c>
      <c r="AC57" s="24">
        <f>MIN(S57,N('My Loans'!E11))</f>
        <v/>
      </c>
      <c r="AD57" s="24">
        <f>MIN(T57,N('My Loans'!E12))</f>
        <v/>
      </c>
      <c r="AE57" s="24">
        <f>MIN(U57,N('My Loans'!E13))</f>
        <v/>
      </c>
      <c r="AF57" s="24">
        <f>MIN(V57,N('My Loans'!E14))</f>
        <v/>
      </c>
      <c r="AG57" s="24">
        <f>MIN(W57,N('My Loans'!E15))</f>
        <v/>
      </c>
      <c r="AH57" s="24">
        <f>MIN(N57-X57,MAX(0,$C57-SUMPRODUCT(($D$3:$M$3&lt;D$3)*($N57:$W57-$X57:$AG57))))</f>
        <v/>
      </c>
      <c r="AI57" s="24">
        <f>MIN(O57-Y57,MAX(0,$C57-SUMPRODUCT(($D$3:$M$3&lt;E$3)*($N57:$W57-$X57:$AG57))))</f>
        <v/>
      </c>
      <c r="AJ57" s="24">
        <f>MIN(P57-Z57,MAX(0,$C57-SUMPRODUCT(($D$3:$M$3&lt;F$3)*($N57:$W57-$X57:$AG57))))</f>
        <v/>
      </c>
      <c r="AK57" s="24">
        <f>MIN(Q57-AA57,MAX(0,$C57-SUMPRODUCT(($D$3:$M$3&lt;G$3)*($N57:$W57-$X57:$AG57))))</f>
        <v/>
      </c>
      <c r="AL57" s="24">
        <f>MIN(R57-AB57,MAX(0,$C57-SUMPRODUCT(($D$3:$M$3&lt;H$3)*($N57:$W57-$X57:$AG57))))</f>
        <v/>
      </c>
      <c r="AM57" s="24">
        <f>MIN(S57-AC57,MAX(0,$C57-SUMPRODUCT(($D$3:$M$3&lt;I$3)*($N57:$W57-$X57:$AG57))))</f>
        <v/>
      </c>
      <c r="AN57" s="24">
        <f>MIN(T57-AD57,MAX(0,$C57-SUMPRODUCT(($D$3:$M$3&lt;J$3)*($N57:$W57-$X57:$AG57))))</f>
        <v/>
      </c>
      <c r="AO57" s="24">
        <f>MIN(U57-AE57,MAX(0,$C57-SUMPRODUCT(($D$3:$M$3&lt;K$3)*($N57:$W57-$X57:$AG57))))</f>
        <v/>
      </c>
      <c r="AP57" s="24">
        <f>MIN(V57-AF57,MAX(0,$C57-SUMPRODUCT(($D$3:$M$3&lt;L$3)*($N57:$W57-$X57:$AG57))))</f>
        <v/>
      </c>
      <c r="AQ57" s="24">
        <f>MIN(W57-AG57,MAX(0,$C57-SUMPRODUCT(($D$3:$M$3&lt;M$3)*($N57:$W57-$X57:$AG57))))</f>
        <v/>
      </c>
      <c r="AR57" s="24">
        <f>ROUND(N57-X57-AH57,2)</f>
        <v/>
      </c>
      <c r="AS57" s="24">
        <f>ROUND(O57-Y57-AI57,2)</f>
        <v/>
      </c>
      <c r="AT57" s="24">
        <f>ROUND(P57-Z57-AJ57,2)</f>
        <v/>
      </c>
      <c r="AU57" s="24">
        <f>ROUND(Q57-AA57-AK57,2)</f>
        <v/>
      </c>
      <c r="AV57" s="24">
        <f>ROUND(R57-AB57-AL57,2)</f>
        <v/>
      </c>
      <c r="AW57" s="24">
        <f>ROUND(S57-AC57-AM57,2)</f>
        <v/>
      </c>
      <c r="AX57" s="24">
        <f>ROUND(T57-AD57-AN57,2)</f>
        <v/>
      </c>
      <c r="AY57" s="24">
        <f>ROUND(U57-AE57-AO57,2)</f>
        <v/>
      </c>
      <c r="AZ57" s="24">
        <f>ROUND(V57-AF57-AP57,2)</f>
        <v/>
      </c>
      <c r="BA57" s="24">
        <f>ROUND(W57-AG57-AQ57,2)</f>
        <v/>
      </c>
      <c r="BB57" s="24">
        <f>SUM(AR57:BA57)</f>
        <v/>
      </c>
    </row>
    <row r="58">
      <c r="A58" t="n">
        <v>54</v>
      </c>
      <c r="B58" s="23">
        <f>EOMONTH(TODAY(),53)</f>
        <v/>
      </c>
      <c r="C58" s="24">
        <f>MAX(0,(SUM('My Loans'!$E$6:$E$15)+'My Loans'!$D$3)-SUM($X58:$AG58))</f>
        <v/>
      </c>
      <c r="D58" s="24">
        <f>MAX(0,AR57)</f>
        <v/>
      </c>
      <c r="E58" s="24">
        <f>MAX(0,AS57)</f>
        <v/>
      </c>
      <c r="F58" s="24">
        <f>MAX(0,AT57)</f>
        <v/>
      </c>
      <c r="G58" s="24">
        <f>MAX(0,AU57)</f>
        <v/>
      </c>
      <c r="H58" s="24">
        <f>MAX(0,AV57)</f>
        <v/>
      </c>
      <c r="I58" s="24">
        <f>MAX(0,AW57)</f>
        <v/>
      </c>
      <c r="J58" s="24">
        <f>MAX(0,AX57)</f>
        <v/>
      </c>
      <c r="K58" s="24">
        <f>MAX(0,AY57)</f>
        <v/>
      </c>
      <c r="L58" s="24">
        <f>MAX(0,AZ57)</f>
        <v/>
      </c>
      <c r="M58" s="24">
        <f>MAX(0,BA57)</f>
        <v/>
      </c>
      <c r="N58" s="24">
        <f>IF(D58&lt;0.5,0,D58*(1+N('My Loans'!D6)/1200))</f>
        <v/>
      </c>
      <c r="O58" s="24">
        <f>IF(E58&lt;0.5,0,E58*(1+N('My Loans'!D7)/1200))</f>
        <v/>
      </c>
      <c r="P58" s="24">
        <f>IF(F58&lt;0.5,0,F58*(1+N('My Loans'!D8)/1200))</f>
        <v/>
      </c>
      <c r="Q58" s="24">
        <f>IF(G58&lt;0.5,0,G58*(1+N('My Loans'!D9)/1200))</f>
        <v/>
      </c>
      <c r="R58" s="24">
        <f>IF(H58&lt;0.5,0,H58*(1+N('My Loans'!D10)/1200))</f>
        <v/>
      </c>
      <c r="S58" s="24">
        <f>IF(I58&lt;0.5,0,I58*(1+N('My Loans'!D11)/1200))</f>
        <v/>
      </c>
      <c r="T58" s="24">
        <f>IF(J58&lt;0.5,0,J58*(1+N('My Loans'!D12)/1200))</f>
        <v/>
      </c>
      <c r="U58" s="24">
        <f>IF(K58&lt;0.5,0,K58*(1+N('My Loans'!D13)/1200))</f>
        <v/>
      </c>
      <c r="V58" s="24">
        <f>IF(L58&lt;0.5,0,L58*(1+N('My Loans'!D14)/1200))</f>
        <v/>
      </c>
      <c r="W58" s="24">
        <f>IF(M58&lt;0.5,0,M58*(1+N('My Loans'!D15)/1200))</f>
        <v/>
      </c>
      <c r="X58" s="24">
        <f>MIN(N58,N('My Loans'!E6))</f>
        <v/>
      </c>
      <c r="Y58" s="24">
        <f>MIN(O58,N('My Loans'!E7))</f>
        <v/>
      </c>
      <c r="Z58" s="24">
        <f>MIN(P58,N('My Loans'!E8))</f>
        <v/>
      </c>
      <c r="AA58" s="24">
        <f>MIN(Q58,N('My Loans'!E9))</f>
        <v/>
      </c>
      <c r="AB58" s="24">
        <f>MIN(R58,N('My Loans'!E10))</f>
        <v/>
      </c>
      <c r="AC58" s="24">
        <f>MIN(S58,N('My Loans'!E11))</f>
        <v/>
      </c>
      <c r="AD58" s="24">
        <f>MIN(T58,N('My Loans'!E12))</f>
        <v/>
      </c>
      <c r="AE58" s="24">
        <f>MIN(U58,N('My Loans'!E13))</f>
        <v/>
      </c>
      <c r="AF58" s="24">
        <f>MIN(V58,N('My Loans'!E14))</f>
        <v/>
      </c>
      <c r="AG58" s="24">
        <f>MIN(W58,N('My Loans'!E15))</f>
        <v/>
      </c>
      <c r="AH58" s="24">
        <f>MIN(N58-X58,MAX(0,$C58-SUMPRODUCT(($D$3:$M$3&lt;D$3)*($N58:$W58-$X58:$AG58))))</f>
        <v/>
      </c>
      <c r="AI58" s="24">
        <f>MIN(O58-Y58,MAX(0,$C58-SUMPRODUCT(($D$3:$M$3&lt;E$3)*($N58:$W58-$X58:$AG58))))</f>
        <v/>
      </c>
      <c r="AJ58" s="24">
        <f>MIN(P58-Z58,MAX(0,$C58-SUMPRODUCT(($D$3:$M$3&lt;F$3)*($N58:$W58-$X58:$AG58))))</f>
        <v/>
      </c>
      <c r="AK58" s="24">
        <f>MIN(Q58-AA58,MAX(0,$C58-SUMPRODUCT(($D$3:$M$3&lt;G$3)*($N58:$W58-$X58:$AG58))))</f>
        <v/>
      </c>
      <c r="AL58" s="24">
        <f>MIN(R58-AB58,MAX(0,$C58-SUMPRODUCT(($D$3:$M$3&lt;H$3)*($N58:$W58-$X58:$AG58))))</f>
        <v/>
      </c>
      <c r="AM58" s="24">
        <f>MIN(S58-AC58,MAX(0,$C58-SUMPRODUCT(($D$3:$M$3&lt;I$3)*($N58:$W58-$X58:$AG58))))</f>
        <v/>
      </c>
      <c r="AN58" s="24">
        <f>MIN(T58-AD58,MAX(0,$C58-SUMPRODUCT(($D$3:$M$3&lt;J$3)*($N58:$W58-$X58:$AG58))))</f>
        <v/>
      </c>
      <c r="AO58" s="24">
        <f>MIN(U58-AE58,MAX(0,$C58-SUMPRODUCT(($D$3:$M$3&lt;K$3)*($N58:$W58-$X58:$AG58))))</f>
        <v/>
      </c>
      <c r="AP58" s="24">
        <f>MIN(V58-AF58,MAX(0,$C58-SUMPRODUCT(($D$3:$M$3&lt;L$3)*($N58:$W58-$X58:$AG58))))</f>
        <v/>
      </c>
      <c r="AQ58" s="24">
        <f>MIN(W58-AG58,MAX(0,$C58-SUMPRODUCT(($D$3:$M$3&lt;M$3)*($N58:$W58-$X58:$AG58))))</f>
        <v/>
      </c>
      <c r="AR58" s="24">
        <f>ROUND(N58-X58-AH58,2)</f>
        <v/>
      </c>
      <c r="AS58" s="24">
        <f>ROUND(O58-Y58-AI58,2)</f>
        <v/>
      </c>
      <c r="AT58" s="24">
        <f>ROUND(P58-Z58-AJ58,2)</f>
        <v/>
      </c>
      <c r="AU58" s="24">
        <f>ROUND(Q58-AA58-AK58,2)</f>
        <v/>
      </c>
      <c r="AV58" s="24">
        <f>ROUND(R58-AB58-AL58,2)</f>
        <v/>
      </c>
      <c r="AW58" s="24">
        <f>ROUND(S58-AC58-AM58,2)</f>
        <v/>
      </c>
      <c r="AX58" s="24">
        <f>ROUND(T58-AD58-AN58,2)</f>
        <v/>
      </c>
      <c r="AY58" s="24">
        <f>ROUND(U58-AE58-AO58,2)</f>
        <v/>
      </c>
      <c r="AZ58" s="24">
        <f>ROUND(V58-AF58-AP58,2)</f>
        <v/>
      </c>
      <c r="BA58" s="24">
        <f>ROUND(W58-AG58-AQ58,2)</f>
        <v/>
      </c>
      <c r="BB58" s="24">
        <f>SUM(AR58:BA58)</f>
        <v/>
      </c>
    </row>
    <row r="59">
      <c r="A59" t="n">
        <v>55</v>
      </c>
      <c r="B59" s="23">
        <f>EOMONTH(TODAY(),54)</f>
        <v/>
      </c>
      <c r="C59" s="24">
        <f>MAX(0,(SUM('My Loans'!$E$6:$E$15)+'My Loans'!$D$3)-SUM($X59:$AG59))</f>
        <v/>
      </c>
      <c r="D59" s="24">
        <f>MAX(0,AR58)</f>
        <v/>
      </c>
      <c r="E59" s="24">
        <f>MAX(0,AS58)</f>
        <v/>
      </c>
      <c r="F59" s="24">
        <f>MAX(0,AT58)</f>
        <v/>
      </c>
      <c r="G59" s="24">
        <f>MAX(0,AU58)</f>
        <v/>
      </c>
      <c r="H59" s="24">
        <f>MAX(0,AV58)</f>
        <v/>
      </c>
      <c r="I59" s="24">
        <f>MAX(0,AW58)</f>
        <v/>
      </c>
      <c r="J59" s="24">
        <f>MAX(0,AX58)</f>
        <v/>
      </c>
      <c r="K59" s="24">
        <f>MAX(0,AY58)</f>
        <v/>
      </c>
      <c r="L59" s="24">
        <f>MAX(0,AZ58)</f>
        <v/>
      </c>
      <c r="M59" s="24">
        <f>MAX(0,BA58)</f>
        <v/>
      </c>
      <c r="N59" s="24">
        <f>IF(D59&lt;0.5,0,D59*(1+N('My Loans'!D6)/1200))</f>
        <v/>
      </c>
      <c r="O59" s="24">
        <f>IF(E59&lt;0.5,0,E59*(1+N('My Loans'!D7)/1200))</f>
        <v/>
      </c>
      <c r="P59" s="24">
        <f>IF(F59&lt;0.5,0,F59*(1+N('My Loans'!D8)/1200))</f>
        <v/>
      </c>
      <c r="Q59" s="24">
        <f>IF(G59&lt;0.5,0,G59*(1+N('My Loans'!D9)/1200))</f>
        <v/>
      </c>
      <c r="R59" s="24">
        <f>IF(H59&lt;0.5,0,H59*(1+N('My Loans'!D10)/1200))</f>
        <v/>
      </c>
      <c r="S59" s="24">
        <f>IF(I59&lt;0.5,0,I59*(1+N('My Loans'!D11)/1200))</f>
        <v/>
      </c>
      <c r="T59" s="24">
        <f>IF(J59&lt;0.5,0,J59*(1+N('My Loans'!D12)/1200))</f>
        <v/>
      </c>
      <c r="U59" s="24">
        <f>IF(K59&lt;0.5,0,K59*(1+N('My Loans'!D13)/1200))</f>
        <v/>
      </c>
      <c r="V59" s="24">
        <f>IF(L59&lt;0.5,0,L59*(1+N('My Loans'!D14)/1200))</f>
        <v/>
      </c>
      <c r="W59" s="24">
        <f>IF(M59&lt;0.5,0,M59*(1+N('My Loans'!D15)/1200))</f>
        <v/>
      </c>
      <c r="X59" s="24">
        <f>MIN(N59,N('My Loans'!E6))</f>
        <v/>
      </c>
      <c r="Y59" s="24">
        <f>MIN(O59,N('My Loans'!E7))</f>
        <v/>
      </c>
      <c r="Z59" s="24">
        <f>MIN(P59,N('My Loans'!E8))</f>
        <v/>
      </c>
      <c r="AA59" s="24">
        <f>MIN(Q59,N('My Loans'!E9))</f>
        <v/>
      </c>
      <c r="AB59" s="24">
        <f>MIN(R59,N('My Loans'!E10))</f>
        <v/>
      </c>
      <c r="AC59" s="24">
        <f>MIN(S59,N('My Loans'!E11))</f>
        <v/>
      </c>
      <c r="AD59" s="24">
        <f>MIN(T59,N('My Loans'!E12))</f>
        <v/>
      </c>
      <c r="AE59" s="24">
        <f>MIN(U59,N('My Loans'!E13))</f>
        <v/>
      </c>
      <c r="AF59" s="24">
        <f>MIN(V59,N('My Loans'!E14))</f>
        <v/>
      </c>
      <c r="AG59" s="24">
        <f>MIN(W59,N('My Loans'!E15))</f>
        <v/>
      </c>
      <c r="AH59" s="24">
        <f>MIN(N59-X59,MAX(0,$C59-SUMPRODUCT(($D$3:$M$3&lt;D$3)*($N59:$W59-$X59:$AG59))))</f>
        <v/>
      </c>
      <c r="AI59" s="24">
        <f>MIN(O59-Y59,MAX(0,$C59-SUMPRODUCT(($D$3:$M$3&lt;E$3)*($N59:$W59-$X59:$AG59))))</f>
        <v/>
      </c>
      <c r="AJ59" s="24">
        <f>MIN(P59-Z59,MAX(0,$C59-SUMPRODUCT(($D$3:$M$3&lt;F$3)*($N59:$W59-$X59:$AG59))))</f>
        <v/>
      </c>
      <c r="AK59" s="24">
        <f>MIN(Q59-AA59,MAX(0,$C59-SUMPRODUCT(($D$3:$M$3&lt;G$3)*($N59:$W59-$X59:$AG59))))</f>
        <v/>
      </c>
      <c r="AL59" s="24">
        <f>MIN(R59-AB59,MAX(0,$C59-SUMPRODUCT(($D$3:$M$3&lt;H$3)*($N59:$W59-$X59:$AG59))))</f>
        <v/>
      </c>
      <c r="AM59" s="24">
        <f>MIN(S59-AC59,MAX(0,$C59-SUMPRODUCT(($D$3:$M$3&lt;I$3)*($N59:$W59-$X59:$AG59))))</f>
        <v/>
      </c>
      <c r="AN59" s="24">
        <f>MIN(T59-AD59,MAX(0,$C59-SUMPRODUCT(($D$3:$M$3&lt;J$3)*($N59:$W59-$X59:$AG59))))</f>
        <v/>
      </c>
      <c r="AO59" s="24">
        <f>MIN(U59-AE59,MAX(0,$C59-SUMPRODUCT(($D$3:$M$3&lt;K$3)*($N59:$W59-$X59:$AG59))))</f>
        <v/>
      </c>
      <c r="AP59" s="24">
        <f>MIN(V59-AF59,MAX(0,$C59-SUMPRODUCT(($D$3:$M$3&lt;L$3)*($N59:$W59-$X59:$AG59))))</f>
        <v/>
      </c>
      <c r="AQ59" s="24">
        <f>MIN(W59-AG59,MAX(0,$C59-SUMPRODUCT(($D$3:$M$3&lt;M$3)*($N59:$W59-$X59:$AG59))))</f>
        <v/>
      </c>
      <c r="AR59" s="24">
        <f>ROUND(N59-X59-AH59,2)</f>
        <v/>
      </c>
      <c r="AS59" s="24">
        <f>ROUND(O59-Y59-AI59,2)</f>
        <v/>
      </c>
      <c r="AT59" s="24">
        <f>ROUND(P59-Z59-AJ59,2)</f>
        <v/>
      </c>
      <c r="AU59" s="24">
        <f>ROUND(Q59-AA59-AK59,2)</f>
        <v/>
      </c>
      <c r="AV59" s="24">
        <f>ROUND(R59-AB59-AL59,2)</f>
        <v/>
      </c>
      <c r="AW59" s="24">
        <f>ROUND(S59-AC59-AM59,2)</f>
        <v/>
      </c>
      <c r="AX59" s="24">
        <f>ROUND(T59-AD59-AN59,2)</f>
        <v/>
      </c>
      <c r="AY59" s="24">
        <f>ROUND(U59-AE59-AO59,2)</f>
        <v/>
      </c>
      <c r="AZ59" s="24">
        <f>ROUND(V59-AF59-AP59,2)</f>
        <v/>
      </c>
      <c r="BA59" s="24">
        <f>ROUND(W59-AG59-AQ59,2)</f>
        <v/>
      </c>
      <c r="BB59" s="24">
        <f>SUM(AR59:BA59)</f>
        <v/>
      </c>
    </row>
    <row r="60">
      <c r="A60" t="n">
        <v>56</v>
      </c>
      <c r="B60" s="23">
        <f>EOMONTH(TODAY(),55)</f>
        <v/>
      </c>
      <c r="C60" s="24">
        <f>MAX(0,(SUM('My Loans'!$E$6:$E$15)+'My Loans'!$D$3)-SUM($X60:$AG60))</f>
        <v/>
      </c>
      <c r="D60" s="24">
        <f>MAX(0,AR59)</f>
        <v/>
      </c>
      <c r="E60" s="24">
        <f>MAX(0,AS59)</f>
        <v/>
      </c>
      <c r="F60" s="24">
        <f>MAX(0,AT59)</f>
        <v/>
      </c>
      <c r="G60" s="24">
        <f>MAX(0,AU59)</f>
        <v/>
      </c>
      <c r="H60" s="24">
        <f>MAX(0,AV59)</f>
        <v/>
      </c>
      <c r="I60" s="24">
        <f>MAX(0,AW59)</f>
        <v/>
      </c>
      <c r="J60" s="24">
        <f>MAX(0,AX59)</f>
        <v/>
      </c>
      <c r="K60" s="24">
        <f>MAX(0,AY59)</f>
        <v/>
      </c>
      <c r="L60" s="24">
        <f>MAX(0,AZ59)</f>
        <v/>
      </c>
      <c r="M60" s="24">
        <f>MAX(0,BA59)</f>
        <v/>
      </c>
      <c r="N60" s="24">
        <f>IF(D60&lt;0.5,0,D60*(1+N('My Loans'!D6)/1200))</f>
        <v/>
      </c>
      <c r="O60" s="24">
        <f>IF(E60&lt;0.5,0,E60*(1+N('My Loans'!D7)/1200))</f>
        <v/>
      </c>
      <c r="P60" s="24">
        <f>IF(F60&lt;0.5,0,F60*(1+N('My Loans'!D8)/1200))</f>
        <v/>
      </c>
      <c r="Q60" s="24">
        <f>IF(G60&lt;0.5,0,G60*(1+N('My Loans'!D9)/1200))</f>
        <v/>
      </c>
      <c r="R60" s="24">
        <f>IF(H60&lt;0.5,0,H60*(1+N('My Loans'!D10)/1200))</f>
        <v/>
      </c>
      <c r="S60" s="24">
        <f>IF(I60&lt;0.5,0,I60*(1+N('My Loans'!D11)/1200))</f>
        <v/>
      </c>
      <c r="T60" s="24">
        <f>IF(J60&lt;0.5,0,J60*(1+N('My Loans'!D12)/1200))</f>
        <v/>
      </c>
      <c r="U60" s="24">
        <f>IF(K60&lt;0.5,0,K60*(1+N('My Loans'!D13)/1200))</f>
        <v/>
      </c>
      <c r="V60" s="24">
        <f>IF(L60&lt;0.5,0,L60*(1+N('My Loans'!D14)/1200))</f>
        <v/>
      </c>
      <c r="W60" s="24">
        <f>IF(M60&lt;0.5,0,M60*(1+N('My Loans'!D15)/1200))</f>
        <v/>
      </c>
      <c r="X60" s="24">
        <f>MIN(N60,N('My Loans'!E6))</f>
        <v/>
      </c>
      <c r="Y60" s="24">
        <f>MIN(O60,N('My Loans'!E7))</f>
        <v/>
      </c>
      <c r="Z60" s="24">
        <f>MIN(P60,N('My Loans'!E8))</f>
        <v/>
      </c>
      <c r="AA60" s="24">
        <f>MIN(Q60,N('My Loans'!E9))</f>
        <v/>
      </c>
      <c r="AB60" s="24">
        <f>MIN(R60,N('My Loans'!E10))</f>
        <v/>
      </c>
      <c r="AC60" s="24">
        <f>MIN(S60,N('My Loans'!E11))</f>
        <v/>
      </c>
      <c r="AD60" s="24">
        <f>MIN(T60,N('My Loans'!E12))</f>
        <v/>
      </c>
      <c r="AE60" s="24">
        <f>MIN(U60,N('My Loans'!E13))</f>
        <v/>
      </c>
      <c r="AF60" s="24">
        <f>MIN(V60,N('My Loans'!E14))</f>
        <v/>
      </c>
      <c r="AG60" s="24">
        <f>MIN(W60,N('My Loans'!E15))</f>
        <v/>
      </c>
      <c r="AH60" s="24">
        <f>MIN(N60-X60,MAX(0,$C60-SUMPRODUCT(($D$3:$M$3&lt;D$3)*($N60:$W60-$X60:$AG60))))</f>
        <v/>
      </c>
      <c r="AI60" s="24">
        <f>MIN(O60-Y60,MAX(0,$C60-SUMPRODUCT(($D$3:$M$3&lt;E$3)*($N60:$W60-$X60:$AG60))))</f>
        <v/>
      </c>
      <c r="AJ60" s="24">
        <f>MIN(P60-Z60,MAX(0,$C60-SUMPRODUCT(($D$3:$M$3&lt;F$3)*($N60:$W60-$X60:$AG60))))</f>
        <v/>
      </c>
      <c r="AK60" s="24">
        <f>MIN(Q60-AA60,MAX(0,$C60-SUMPRODUCT(($D$3:$M$3&lt;G$3)*($N60:$W60-$X60:$AG60))))</f>
        <v/>
      </c>
      <c r="AL60" s="24">
        <f>MIN(R60-AB60,MAX(0,$C60-SUMPRODUCT(($D$3:$M$3&lt;H$3)*($N60:$W60-$X60:$AG60))))</f>
        <v/>
      </c>
      <c r="AM60" s="24">
        <f>MIN(S60-AC60,MAX(0,$C60-SUMPRODUCT(($D$3:$M$3&lt;I$3)*($N60:$W60-$X60:$AG60))))</f>
        <v/>
      </c>
      <c r="AN60" s="24">
        <f>MIN(T60-AD60,MAX(0,$C60-SUMPRODUCT(($D$3:$M$3&lt;J$3)*($N60:$W60-$X60:$AG60))))</f>
        <v/>
      </c>
      <c r="AO60" s="24">
        <f>MIN(U60-AE60,MAX(0,$C60-SUMPRODUCT(($D$3:$M$3&lt;K$3)*($N60:$W60-$X60:$AG60))))</f>
        <v/>
      </c>
      <c r="AP60" s="24">
        <f>MIN(V60-AF60,MAX(0,$C60-SUMPRODUCT(($D$3:$M$3&lt;L$3)*($N60:$W60-$X60:$AG60))))</f>
        <v/>
      </c>
      <c r="AQ60" s="24">
        <f>MIN(W60-AG60,MAX(0,$C60-SUMPRODUCT(($D$3:$M$3&lt;M$3)*($N60:$W60-$X60:$AG60))))</f>
        <v/>
      </c>
      <c r="AR60" s="24">
        <f>ROUND(N60-X60-AH60,2)</f>
        <v/>
      </c>
      <c r="AS60" s="24">
        <f>ROUND(O60-Y60-AI60,2)</f>
        <v/>
      </c>
      <c r="AT60" s="24">
        <f>ROUND(P60-Z60-AJ60,2)</f>
        <v/>
      </c>
      <c r="AU60" s="24">
        <f>ROUND(Q60-AA60-AK60,2)</f>
        <v/>
      </c>
      <c r="AV60" s="24">
        <f>ROUND(R60-AB60-AL60,2)</f>
        <v/>
      </c>
      <c r="AW60" s="24">
        <f>ROUND(S60-AC60-AM60,2)</f>
        <v/>
      </c>
      <c r="AX60" s="24">
        <f>ROUND(T60-AD60-AN60,2)</f>
        <v/>
      </c>
      <c r="AY60" s="24">
        <f>ROUND(U60-AE60-AO60,2)</f>
        <v/>
      </c>
      <c r="AZ60" s="24">
        <f>ROUND(V60-AF60-AP60,2)</f>
        <v/>
      </c>
      <c r="BA60" s="24">
        <f>ROUND(W60-AG60-AQ60,2)</f>
        <v/>
      </c>
      <c r="BB60" s="24">
        <f>SUM(AR60:BA60)</f>
        <v/>
      </c>
    </row>
    <row r="61">
      <c r="A61" t="n">
        <v>57</v>
      </c>
      <c r="B61" s="23">
        <f>EOMONTH(TODAY(),56)</f>
        <v/>
      </c>
      <c r="C61" s="24">
        <f>MAX(0,(SUM('My Loans'!$E$6:$E$15)+'My Loans'!$D$3)-SUM($X61:$AG61))</f>
        <v/>
      </c>
      <c r="D61" s="24">
        <f>MAX(0,AR60)</f>
        <v/>
      </c>
      <c r="E61" s="24">
        <f>MAX(0,AS60)</f>
        <v/>
      </c>
      <c r="F61" s="24">
        <f>MAX(0,AT60)</f>
        <v/>
      </c>
      <c r="G61" s="24">
        <f>MAX(0,AU60)</f>
        <v/>
      </c>
      <c r="H61" s="24">
        <f>MAX(0,AV60)</f>
        <v/>
      </c>
      <c r="I61" s="24">
        <f>MAX(0,AW60)</f>
        <v/>
      </c>
      <c r="J61" s="24">
        <f>MAX(0,AX60)</f>
        <v/>
      </c>
      <c r="K61" s="24">
        <f>MAX(0,AY60)</f>
        <v/>
      </c>
      <c r="L61" s="24">
        <f>MAX(0,AZ60)</f>
        <v/>
      </c>
      <c r="M61" s="24">
        <f>MAX(0,BA60)</f>
        <v/>
      </c>
      <c r="N61" s="24">
        <f>IF(D61&lt;0.5,0,D61*(1+N('My Loans'!D6)/1200))</f>
        <v/>
      </c>
      <c r="O61" s="24">
        <f>IF(E61&lt;0.5,0,E61*(1+N('My Loans'!D7)/1200))</f>
        <v/>
      </c>
      <c r="P61" s="24">
        <f>IF(F61&lt;0.5,0,F61*(1+N('My Loans'!D8)/1200))</f>
        <v/>
      </c>
      <c r="Q61" s="24">
        <f>IF(G61&lt;0.5,0,G61*(1+N('My Loans'!D9)/1200))</f>
        <v/>
      </c>
      <c r="R61" s="24">
        <f>IF(H61&lt;0.5,0,H61*(1+N('My Loans'!D10)/1200))</f>
        <v/>
      </c>
      <c r="S61" s="24">
        <f>IF(I61&lt;0.5,0,I61*(1+N('My Loans'!D11)/1200))</f>
        <v/>
      </c>
      <c r="T61" s="24">
        <f>IF(J61&lt;0.5,0,J61*(1+N('My Loans'!D12)/1200))</f>
        <v/>
      </c>
      <c r="U61" s="24">
        <f>IF(K61&lt;0.5,0,K61*(1+N('My Loans'!D13)/1200))</f>
        <v/>
      </c>
      <c r="V61" s="24">
        <f>IF(L61&lt;0.5,0,L61*(1+N('My Loans'!D14)/1200))</f>
        <v/>
      </c>
      <c r="W61" s="24">
        <f>IF(M61&lt;0.5,0,M61*(1+N('My Loans'!D15)/1200))</f>
        <v/>
      </c>
      <c r="X61" s="24">
        <f>MIN(N61,N('My Loans'!E6))</f>
        <v/>
      </c>
      <c r="Y61" s="24">
        <f>MIN(O61,N('My Loans'!E7))</f>
        <v/>
      </c>
      <c r="Z61" s="24">
        <f>MIN(P61,N('My Loans'!E8))</f>
        <v/>
      </c>
      <c r="AA61" s="24">
        <f>MIN(Q61,N('My Loans'!E9))</f>
        <v/>
      </c>
      <c r="AB61" s="24">
        <f>MIN(R61,N('My Loans'!E10))</f>
        <v/>
      </c>
      <c r="AC61" s="24">
        <f>MIN(S61,N('My Loans'!E11))</f>
        <v/>
      </c>
      <c r="AD61" s="24">
        <f>MIN(T61,N('My Loans'!E12))</f>
        <v/>
      </c>
      <c r="AE61" s="24">
        <f>MIN(U61,N('My Loans'!E13))</f>
        <v/>
      </c>
      <c r="AF61" s="24">
        <f>MIN(V61,N('My Loans'!E14))</f>
        <v/>
      </c>
      <c r="AG61" s="24">
        <f>MIN(W61,N('My Loans'!E15))</f>
        <v/>
      </c>
      <c r="AH61" s="24">
        <f>MIN(N61-X61,MAX(0,$C61-SUMPRODUCT(($D$3:$M$3&lt;D$3)*($N61:$W61-$X61:$AG61))))</f>
        <v/>
      </c>
      <c r="AI61" s="24">
        <f>MIN(O61-Y61,MAX(0,$C61-SUMPRODUCT(($D$3:$M$3&lt;E$3)*($N61:$W61-$X61:$AG61))))</f>
        <v/>
      </c>
      <c r="AJ61" s="24">
        <f>MIN(P61-Z61,MAX(0,$C61-SUMPRODUCT(($D$3:$M$3&lt;F$3)*($N61:$W61-$X61:$AG61))))</f>
        <v/>
      </c>
      <c r="AK61" s="24">
        <f>MIN(Q61-AA61,MAX(0,$C61-SUMPRODUCT(($D$3:$M$3&lt;G$3)*($N61:$W61-$X61:$AG61))))</f>
        <v/>
      </c>
      <c r="AL61" s="24">
        <f>MIN(R61-AB61,MAX(0,$C61-SUMPRODUCT(($D$3:$M$3&lt;H$3)*($N61:$W61-$X61:$AG61))))</f>
        <v/>
      </c>
      <c r="AM61" s="24">
        <f>MIN(S61-AC61,MAX(0,$C61-SUMPRODUCT(($D$3:$M$3&lt;I$3)*($N61:$W61-$X61:$AG61))))</f>
        <v/>
      </c>
      <c r="AN61" s="24">
        <f>MIN(T61-AD61,MAX(0,$C61-SUMPRODUCT(($D$3:$M$3&lt;J$3)*($N61:$W61-$X61:$AG61))))</f>
        <v/>
      </c>
      <c r="AO61" s="24">
        <f>MIN(U61-AE61,MAX(0,$C61-SUMPRODUCT(($D$3:$M$3&lt;K$3)*($N61:$W61-$X61:$AG61))))</f>
        <v/>
      </c>
      <c r="AP61" s="24">
        <f>MIN(V61-AF61,MAX(0,$C61-SUMPRODUCT(($D$3:$M$3&lt;L$3)*($N61:$W61-$X61:$AG61))))</f>
        <v/>
      </c>
      <c r="AQ61" s="24">
        <f>MIN(W61-AG61,MAX(0,$C61-SUMPRODUCT(($D$3:$M$3&lt;M$3)*($N61:$W61-$X61:$AG61))))</f>
        <v/>
      </c>
      <c r="AR61" s="24">
        <f>ROUND(N61-X61-AH61,2)</f>
        <v/>
      </c>
      <c r="AS61" s="24">
        <f>ROUND(O61-Y61-AI61,2)</f>
        <v/>
      </c>
      <c r="AT61" s="24">
        <f>ROUND(P61-Z61-AJ61,2)</f>
        <v/>
      </c>
      <c r="AU61" s="24">
        <f>ROUND(Q61-AA61-AK61,2)</f>
        <v/>
      </c>
      <c r="AV61" s="24">
        <f>ROUND(R61-AB61-AL61,2)</f>
        <v/>
      </c>
      <c r="AW61" s="24">
        <f>ROUND(S61-AC61-AM61,2)</f>
        <v/>
      </c>
      <c r="AX61" s="24">
        <f>ROUND(T61-AD61-AN61,2)</f>
        <v/>
      </c>
      <c r="AY61" s="24">
        <f>ROUND(U61-AE61-AO61,2)</f>
        <v/>
      </c>
      <c r="AZ61" s="24">
        <f>ROUND(V61-AF61-AP61,2)</f>
        <v/>
      </c>
      <c r="BA61" s="24">
        <f>ROUND(W61-AG61-AQ61,2)</f>
        <v/>
      </c>
      <c r="BB61" s="24">
        <f>SUM(AR61:BA61)</f>
        <v/>
      </c>
    </row>
    <row r="62">
      <c r="A62" t="n">
        <v>58</v>
      </c>
      <c r="B62" s="23">
        <f>EOMONTH(TODAY(),57)</f>
        <v/>
      </c>
      <c r="C62" s="24">
        <f>MAX(0,(SUM('My Loans'!$E$6:$E$15)+'My Loans'!$D$3)-SUM($X62:$AG62))</f>
        <v/>
      </c>
      <c r="D62" s="24">
        <f>MAX(0,AR61)</f>
        <v/>
      </c>
      <c r="E62" s="24">
        <f>MAX(0,AS61)</f>
        <v/>
      </c>
      <c r="F62" s="24">
        <f>MAX(0,AT61)</f>
        <v/>
      </c>
      <c r="G62" s="24">
        <f>MAX(0,AU61)</f>
        <v/>
      </c>
      <c r="H62" s="24">
        <f>MAX(0,AV61)</f>
        <v/>
      </c>
      <c r="I62" s="24">
        <f>MAX(0,AW61)</f>
        <v/>
      </c>
      <c r="J62" s="24">
        <f>MAX(0,AX61)</f>
        <v/>
      </c>
      <c r="K62" s="24">
        <f>MAX(0,AY61)</f>
        <v/>
      </c>
      <c r="L62" s="24">
        <f>MAX(0,AZ61)</f>
        <v/>
      </c>
      <c r="M62" s="24">
        <f>MAX(0,BA61)</f>
        <v/>
      </c>
      <c r="N62" s="24">
        <f>IF(D62&lt;0.5,0,D62*(1+N('My Loans'!D6)/1200))</f>
        <v/>
      </c>
      <c r="O62" s="24">
        <f>IF(E62&lt;0.5,0,E62*(1+N('My Loans'!D7)/1200))</f>
        <v/>
      </c>
      <c r="P62" s="24">
        <f>IF(F62&lt;0.5,0,F62*(1+N('My Loans'!D8)/1200))</f>
        <v/>
      </c>
      <c r="Q62" s="24">
        <f>IF(G62&lt;0.5,0,G62*(1+N('My Loans'!D9)/1200))</f>
        <v/>
      </c>
      <c r="R62" s="24">
        <f>IF(H62&lt;0.5,0,H62*(1+N('My Loans'!D10)/1200))</f>
        <v/>
      </c>
      <c r="S62" s="24">
        <f>IF(I62&lt;0.5,0,I62*(1+N('My Loans'!D11)/1200))</f>
        <v/>
      </c>
      <c r="T62" s="24">
        <f>IF(J62&lt;0.5,0,J62*(1+N('My Loans'!D12)/1200))</f>
        <v/>
      </c>
      <c r="U62" s="24">
        <f>IF(K62&lt;0.5,0,K62*(1+N('My Loans'!D13)/1200))</f>
        <v/>
      </c>
      <c r="V62" s="24">
        <f>IF(L62&lt;0.5,0,L62*(1+N('My Loans'!D14)/1200))</f>
        <v/>
      </c>
      <c r="W62" s="24">
        <f>IF(M62&lt;0.5,0,M62*(1+N('My Loans'!D15)/1200))</f>
        <v/>
      </c>
      <c r="X62" s="24">
        <f>MIN(N62,N('My Loans'!E6))</f>
        <v/>
      </c>
      <c r="Y62" s="24">
        <f>MIN(O62,N('My Loans'!E7))</f>
        <v/>
      </c>
      <c r="Z62" s="24">
        <f>MIN(P62,N('My Loans'!E8))</f>
        <v/>
      </c>
      <c r="AA62" s="24">
        <f>MIN(Q62,N('My Loans'!E9))</f>
        <v/>
      </c>
      <c r="AB62" s="24">
        <f>MIN(R62,N('My Loans'!E10))</f>
        <v/>
      </c>
      <c r="AC62" s="24">
        <f>MIN(S62,N('My Loans'!E11))</f>
        <v/>
      </c>
      <c r="AD62" s="24">
        <f>MIN(T62,N('My Loans'!E12))</f>
        <v/>
      </c>
      <c r="AE62" s="24">
        <f>MIN(U62,N('My Loans'!E13))</f>
        <v/>
      </c>
      <c r="AF62" s="24">
        <f>MIN(V62,N('My Loans'!E14))</f>
        <v/>
      </c>
      <c r="AG62" s="24">
        <f>MIN(W62,N('My Loans'!E15))</f>
        <v/>
      </c>
      <c r="AH62" s="24">
        <f>MIN(N62-X62,MAX(0,$C62-SUMPRODUCT(($D$3:$M$3&lt;D$3)*($N62:$W62-$X62:$AG62))))</f>
        <v/>
      </c>
      <c r="AI62" s="24">
        <f>MIN(O62-Y62,MAX(0,$C62-SUMPRODUCT(($D$3:$M$3&lt;E$3)*($N62:$W62-$X62:$AG62))))</f>
        <v/>
      </c>
      <c r="AJ62" s="24">
        <f>MIN(P62-Z62,MAX(0,$C62-SUMPRODUCT(($D$3:$M$3&lt;F$3)*($N62:$W62-$X62:$AG62))))</f>
        <v/>
      </c>
      <c r="AK62" s="24">
        <f>MIN(Q62-AA62,MAX(0,$C62-SUMPRODUCT(($D$3:$M$3&lt;G$3)*($N62:$W62-$X62:$AG62))))</f>
        <v/>
      </c>
      <c r="AL62" s="24">
        <f>MIN(R62-AB62,MAX(0,$C62-SUMPRODUCT(($D$3:$M$3&lt;H$3)*($N62:$W62-$X62:$AG62))))</f>
        <v/>
      </c>
      <c r="AM62" s="24">
        <f>MIN(S62-AC62,MAX(0,$C62-SUMPRODUCT(($D$3:$M$3&lt;I$3)*($N62:$W62-$X62:$AG62))))</f>
        <v/>
      </c>
      <c r="AN62" s="24">
        <f>MIN(T62-AD62,MAX(0,$C62-SUMPRODUCT(($D$3:$M$3&lt;J$3)*($N62:$W62-$X62:$AG62))))</f>
        <v/>
      </c>
      <c r="AO62" s="24">
        <f>MIN(U62-AE62,MAX(0,$C62-SUMPRODUCT(($D$3:$M$3&lt;K$3)*($N62:$W62-$X62:$AG62))))</f>
        <v/>
      </c>
      <c r="AP62" s="24">
        <f>MIN(V62-AF62,MAX(0,$C62-SUMPRODUCT(($D$3:$M$3&lt;L$3)*($N62:$W62-$X62:$AG62))))</f>
        <v/>
      </c>
      <c r="AQ62" s="24">
        <f>MIN(W62-AG62,MAX(0,$C62-SUMPRODUCT(($D$3:$M$3&lt;M$3)*($N62:$W62-$X62:$AG62))))</f>
        <v/>
      </c>
      <c r="AR62" s="24">
        <f>ROUND(N62-X62-AH62,2)</f>
        <v/>
      </c>
      <c r="AS62" s="24">
        <f>ROUND(O62-Y62-AI62,2)</f>
        <v/>
      </c>
      <c r="AT62" s="24">
        <f>ROUND(P62-Z62-AJ62,2)</f>
        <v/>
      </c>
      <c r="AU62" s="24">
        <f>ROUND(Q62-AA62-AK62,2)</f>
        <v/>
      </c>
      <c r="AV62" s="24">
        <f>ROUND(R62-AB62-AL62,2)</f>
        <v/>
      </c>
      <c r="AW62" s="24">
        <f>ROUND(S62-AC62-AM62,2)</f>
        <v/>
      </c>
      <c r="AX62" s="24">
        <f>ROUND(T62-AD62-AN62,2)</f>
        <v/>
      </c>
      <c r="AY62" s="24">
        <f>ROUND(U62-AE62-AO62,2)</f>
        <v/>
      </c>
      <c r="AZ62" s="24">
        <f>ROUND(V62-AF62-AP62,2)</f>
        <v/>
      </c>
      <c r="BA62" s="24">
        <f>ROUND(W62-AG62-AQ62,2)</f>
        <v/>
      </c>
      <c r="BB62" s="24">
        <f>SUM(AR62:BA62)</f>
        <v/>
      </c>
    </row>
    <row r="63">
      <c r="A63" t="n">
        <v>59</v>
      </c>
      <c r="B63" s="23">
        <f>EOMONTH(TODAY(),58)</f>
        <v/>
      </c>
      <c r="C63" s="24">
        <f>MAX(0,(SUM('My Loans'!$E$6:$E$15)+'My Loans'!$D$3)-SUM($X63:$AG63))</f>
        <v/>
      </c>
      <c r="D63" s="24">
        <f>MAX(0,AR62)</f>
        <v/>
      </c>
      <c r="E63" s="24">
        <f>MAX(0,AS62)</f>
        <v/>
      </c>
      <c r="F63" s="24">
        <f>MAX(0,AT62)</f>
        <v/>
      </c>
      <c r="G63" s="24">
        <f>MAX(0,AU62)</f>
        <v/>
      </c>
      <c r="H63" s="24">
        <f>MAX(0,AV62)</f>
        <v/>
      </c>
      <c r="I63" s="24">
        <f>MAX(0,AW62)</f>
        <v/>
      </c>
      <c r="J63" s="24">
        <f>MAX(0,AX62)</f>
        <v/>
      </c>
      <c r="K63" s="24">
        <f>MAX(0,AY62)</f>
        <v/>
      </c>
      <c r="L63" s="24">
        <f>MAX(0,AZ62)</f>
        <v/>
      </c>
      <c r="M63" s="24">
        <f>MAX(0,BA62)</f>
        <v/>
      </c>
      <c r="N63" s="24">
        <f>IF(D63&lt;0.5,0,D63*(1+N('My Loans'!D6)/1200))</f>
        <v/>
      </c>
      <c r="O63" s="24">
        <f>IF(E63&lt;0.5,0,E63*(1+N('My Loans'!D7)/1200))</f>
        <v/>
      </c>
      <c r="P63" s="24">
        <f>IF(F63&lt;0.5,0,F63*(1+N('My Loans'!D8)/1200))</f>
        <v/>
      </c>
      <c r="Q63" s="24">
        <f>IF(G63&lt;0.5,0,G63*(1+N('My Loans'!D9)/1200))</f>
        <v/>
      </c>
      <c r="R63" s="24">
        <f>IF(H63&lt;0.5,0,H63*(1+N('My Loans'!D10)/1200))</f>
        <v/>
      </c>
      <c r="S63" s="24">
        <f>IF(I63&lt;0.5,0,I63*(1+N('My Loans'!D11)/1200))</f>
        <v/>
      </c>
      <c r="T63" s="24">
        <f>IF(J63&lt;0.5,0,J63*(1+N('My Loans'!D12)/1200))</f>
        <v/>
      </c>
      <c r="U63" s="24">
        <f>IF(K63&lt;0.5,0,K63*(1+N('My Loans'!D13)/1200))</f>
        <v/>
      </c>
      <c r="V63" s="24">
        <f>IF(L63&lt;0.5,0,L63*(1+N('My Loans'!D14)/1200))</f>
        <v/>
      </c>
      <c r="W63" s="24">
        <f>IF(M63&lt;0.5,0,M63*(1+N('My Loans'!D15)/1200))</f>
        <v/>
      </c>
      <c r="X63" s="24">
        <f>MIN(N63,N('My Loans'!E6))</f>
        <v/>
      </c>
      <c r="Y63" s="24">
        <f>MIN(O63,N('My Loans'!E7))</f>
        <v/>
      </c>
      <c r="Z63" s="24">
        <f>MIN(P63,N('My Loans'!E8))</f>
        <v/>
      </c>
      <c r="AA63" s="24">
        <f>MIN(Q63,N('My Loans'!E9))</f>
        <v/>
      </c>
      <c r="AB63" s="24">
        <f>MIN(R63,N('My Loans'!E10))</f>
        <v/>
      </c>
      <c r="AC63" s="24">
        <f>MIN(S63,N('My Loans'!E11))</f>
        <v/>
      </c>
      <c r="AD63" s="24">
        <f>MIN(T63,N('My Loans'!E12))</f>
        <v/>
      </c>
      <c r="AE63" s="24">
        <f>MIN(U63,N('My Loans'!E13))</f>
        <v/>
      </c>
      <c r="AF63" s="24">
        <f>MIN(V63,N('My Loans'!E14))</f>
        <v/>
      </c>
      <c r="AG63" s="24">
        <f>MIN(W63,N('My Loans'!E15))</f>
        <v/>
      </c>
      <c r="AH63" s="24">
        <f>MIN(N63-X63,MAX(0,$C63-SUMPRODUCT(($D$3:$M$3&lt;D$3)*($N63:$W63-$X63:$AG63))))</f>
        <v/>
      </c>
      <c r="AI63" s="24">
        <f>MIN(O63-Y63,MAX(0,$C63-SUMPRODUCT(($D$3:$M$3&lt;E$3)*($N63:$W63-$X63:$AG63))))</f>
        <v/>
      </c>
      <c r="AJ63" s="24">
        <f>MIN(P63-Z63,MAX(0,$C63-SUMPRODUCT(($D$3:$M$3&lt;F$3)*($N63:$W63-$X63:$AG63))))</f>
        <v/>
      </c>
      <c r="AK63" s="24">
        <f>MIN(Q63-AA63,MAX(0,$C63-SUMPRODUCT(($D$3:$M$3&lt;G$3)*($N63:$W63-$X63:$AG63))))</f>
        <v/>
      </c>
      <c r="AL63" s="24">
        <f>MIN(R63-AB63,MAX(0,$C63-SUMPRODUCT(($D$3:$M$3&lt;H$3)*($N63:$W63-$X63:$AG63))))</f>
        <v/>
      </c>
      <c r="AM63" s="24">
        <f>MIN(S63-AC63,MAX(0,$C63-SUMPRODUCT(($D$3:$M$3&lt;I$3)*($N63:$W63-$X63:$AG63))))</f>
        <v/>
      </c>
      <c r="AN63" s="24">
        <f>MIN(T63-AD63,MAX(0,$C63-SUMPRODUCT(($D$3:$M$3&lt;J$3)*($N63:$W63-$X63:$AG63))))</f>
        <v/>
      </c>
      <c r="AO63" s="24">
        <f>MIN(U63-AE63,MAX(0,$C63-SUMPRODUCT(($D$3:$M$3&lt;K$3)*($N63:$W63-$X63:$AG63))))</f>
        <v/>
      </c>
      <c r="AP63" s="24">
        <f>MIN(V63-AF63,MAX(0,$C63-SUMPRODUCT(($D$3:$M$3&lt;L$3)*($N63:$W63-$X63:$AG63))))</f>
        <v/>
      </c>
      <c r="AQ63" s="24">
        <f>MIN(W63-AG63,MAX(0,$C63-SUMPRODUCT(($D$3:$M$3&lt;M$3)*($N63:$W63-$X63:$AG63))))</f>
        <v/>
      </c>
      <c r="AR63" s="24">
        <f>ROUND(N63-X63-AH63,2)</f>
        <v/>
      </c>
      <c r="AS63" s="24">
        <f>ROUND(O63-Y63-AI63,2)</f>
        <v/>
      </c>
      <c r="AT63" s="24">
        <f>ROUND(P63-Z63-AJ63,2)</f>
        <v/>
      </c>
      <c r="AU63" s="24">
        <f>ROUND(Q63-AA63-AK63,2)</f>
        <v/>
      </c>
      <c r="AV63" s="24">
        <f>ROUND(R63-AB63-AL63,2)</f>
        <v/>
      </c>
      <c r="AW63" s="24">
        <f>ROUND(S63-AC63-AM63,2)</f>
        <v/>
      </c>
      <c r="AX63" s="24">
        <f>ROUND(T63-AD63-AN63,2)</f>
        <v/>
      </c>
      <c r="AY63" s="24">
        <f>ROUND(U63-AE63-AO63,2)</f>
        <v/>
      </c>
      <c r="AZ63" s="24">
        <f>ROUND(V63-AF63-AP63,2)</f>
        <v/>
      </c>
      <c r="BA63" s="24">
        <f>ROUND(W63-AG63-AQ63,2)</f>
        <v/>
      </c>
      <c r="BB63" s="24">
        <f>SUM(AR63:BA63)</f>
        <v/>
      </c>
    </row>
    <row r="64">
      <c r="A64" t="n">
        <v>60</v>
      </c>
      <c r="B64" s="23">
        <f>EOMONTH(TODAY(),59)</f>
        <v/>
      </c>
      <c r="C64" s="24">
        <f>MAX(0,(SUM('My Loans'!$E$6:$E$15)+'My Loans'!$D$3)-SUM($X64:$AG64))</f>
        <v/>
      </c>
      <c r="D64" s="24">
        <f>MAX(0,AR63)</f>
        <v/>
      </c>
      <c r="E64" s="24">
        <f>MAX(0,AS63)</f>
        <v/>
      </c>
      <c r="F64" s="24">
        <f>MAX(0,AT63)</f>
        <v/>
      </c>
      <c r="G64" s="24">
        <f>MAX(0,AU63)</f>
        <v/>
      </c>
      <c r="H64" s="24">
        <f>MAX(0,AV63)</f>
        <v/>
      </c>
      <c r="I64" s="24">
        <f>MAX(0,AW63)</f>
        <v/>
      </c>
      <c r="J64" s="24">
        <f>MAX(0,AX63)</f>
        <v/>
      </c>
      <c r="K64" s="24">
        <f>MAX(0,AY63)</f>
        <v/>
      </c>
      <c r="L64" s="24">
        <f>MAX(0,AZ63)</f>
        <v/>
      </c>
      <c r="M64" s="24">
        <f>MAX(0,BA63)</f>
        <v/>
      </c>
      <c r="N64" s="24">
        <f>IF(D64&lt;0.5,0,D64*(1+N('My Loans'!D6)/1200))</f>
        <v/>
      </c>
      <c r="O64" s="24">
        <f>IF(E64&lt;0.5,0,E64*(1+N('My Loans'!D7)/1200))</f>
        <v/>
      </c>
      <c r="P64" s="24">
        <f>IF(F64&lt;0.5,0,F64*(1+N('My Loans'!D8)/1200))</f>
        <v/>
      </c>
      <c r="Q64" s="24">
        <f>IF(G64&lt;0.5,0,G64*(1+N('My Loans'!D9)/1200))</f>
        <v/>
      </c>
      <c r="R64" s="24">
        <f>IF(H64&lt;0.5,0,H64*(1+N('My Loans'!D10)/1200))</f>
        <v/>
      </c>
      <c r="S64" s="24">
        <f>IF(I64&lt;0.5,0,I64*(1+N('My Loans'!D11)/1200))</f>
        <v/>
      </c>
      <c r="T64" s="24">
        <f>IF(J64&lt;0.5,0,J64*(1+N('My Loans'!D12)/1200))</f>
        <v/>
      </c>
      <c r="U64" s="24">
        <f>IF(K64&lt;0.5,0,K64*(1+N('My Loans'!D13)/1200))</f>
        <v/>
      </c>
      <c r="V64" s="24">
        <f>IF(L64&lt;0.5,0,L64*(1+N('My Loans'!D14)/1200))</f>
        <v/>
      </c>
      <c r="W64" s="24">
        <f>IF(M64&lt;0.5,0,M64*(1+N('My Loans'!D15)/1200))</f>
        <v/>
      </c>
      <c r="X64" s="24">
        <f>MIN(N64,N('My Loans'!E6))</f>
        <v/>
      </c>
      <c r="Y64" s="24">
        <f>MIN(O64,N('My Loans'!E7))</f>
        <v/>
      </c>
      <c r="Z64" s="24">
        <f>MIN(P64,N('My Loans'!E8))</f>
        <v/>
      </c>
      <c r="AA64" s="24">
        <f>MIN(Q64,N('My Loans'!E9))</f>
        <v/>
      </c>
      <c r="AB64" s="24">
        <f>MIN(R64,N('My Loans'!E10))</f>
        <v/>
      </c>
      <c r="AC64" s="24">
        <f>MIN(S64,N('My Loans'!E11))</f>
        <v/>
      </c>
      <c r="AD64" s="24">
        <f>MIN(T64,N('My Loans'!E12))</f>
        <v/>
      </c>
      <c r="AE64" s="24">
        <f>MIN(U64,N('My Loans'!E13))</f>
        <v/>
      </c>
      <c r="AF64" s="24">
        <f>MIN(V64,N('My Loans'!E14))</f>
        <v/>
      </c>
      <c r="AG64" s="24">
        <f>MIN(W64,N('My Loans'!E15))</f>
        <v/>
      </c>
      <c r="AH64" s="24">
        <f>MIN(N64-X64,MAX(0,$C64-SUMPRODUCT(($D$3:$M$3&lt;D$3)*($N64:$W64-$X64:$AG64))))</f>
        <v/>
      </c>
      <c r="AI64" s="24">
        <f>MIN(O64-Y64,MAX(0,$C64-SUMPRODUCT(($D$3:$M$3&lt;E$3)*($N64:$W64-$X64:$AG64))))</f>
        <v/>
      </c>
      <c r="AJ64" s="24">
        <f>MIN(P64-Z64,MAX(0,$C64-SUMPRODUCT(($D$3:$M$3&lt;F$3)*($N64:$W64-$X64:$AG64))))</f>
        <v/>
      </c>
      <c r="AK64" s="24">
        <f>MIN(Q64-AA64,MAX(0,$C64-SUMPRODUCT(($D$3:$M$3&lt;G$3)*($N64:$W64-$X64:$AG64))))</f>
        <v/>
      </c>
      <c r="AL64" s="24">
        <f>MIN(R64-AB64,MAX(0,$C64-SUMPRODUCT(($D$3:$M$3&lt;H$3)*($N64:$W64-$X64:$AG64))))</f>
        <v/>
      </c>
      <c r="AM64" s="24">
        <f>MIN(S64-AC64,MAX(0,$C64-SUMPRODUCT(($D$3:$M$3&lt;I$3)*($N64:$W64-$X64:$AG64))))</f>
        <v/>
      </c>
      <c r="AN64" s="24">
        <f>MIN(T64-AD64,MAX(0,$C64-SUMPRODUCT(($D$3:$M$3&lt;J$3)*($N64:$W64-$X64:$AG64))))</f>
        <v/>
      </c>
      <c r="AO64" s="24">
        <f>MIN(U64-AE64,MAX(0,$C64-SUMPRODUCT(($D$3:$M$3&lt;K$3)*($N64:$W64-$X64:$AG64))))</f>
        <v/>
      </c>
      <c r="AP64" s="24">
        <f>MIN(V64-AF64,MAX(0,$C64-SUMPRODUCT(($D$3:$M$3&lt;L$3)*($N64:$W64-$X64:$AG64))))</f>
        <v/>
      </c>
      <c r="AQ64" s="24">
        <f>MIN(W64-AG64,MAX(0,$C64-SUMPRODUCT(($D$3:$M$3&lt;M$3)*($N64:$W64-$X64:$AG64))))</f>
        <v/>
      </c>
      <c r="AR64" s="24">
        <f>ROUND(N64-X64-AH64,2)</f>
        <v/>
      </c>
      <c r="AS64" s="24">
        <f>ROUND(O64-Y64-AI64,2)</f>
        <v/>
      </c>
      <c r="AT64" s="24">
        <f>ROUND(P64-Z64-AJ64,2)</f>
        <v/>
      </c>
      <c r="AU64" s="24">
        <f>ROUND(Q64-AA64-AK64,2)</f>
        <v/>
      </c>
      <c r="AV64" s="24">
        <f>ROUND(R64-AB64-AL64,2)</f>
        <v/>
      </c>
      <c r="AW64" s="24">
        <f>ROUND(S64-AC64-AM64,2)</f>
        <v/>
      </c>
      <c r="AX64" s="24">
        <f>ROUND(T64-AD64-AN64,2)</f>
        <v/>
      </c>
      <c r="AY64" s="24">
        <f>ROUND(U64-AE64-AO64,2)</f>
        <v/>
      </c>
      <c r="AZ64" s="24">
        <f>ROUND(V64-AF64-AP64,2)</f>
        <v/>
      </c>
      <c r="BA64" s="24">
        <f>ROUND(W64-AG64-AQ64,2)</f>
        <v/>
      </c>
      <c r="BB64" s="24">
        <f>SUM(AR64:BA64)</f>
        <v/>
      </c>
    </row>
    <row r="65">
      <c r="A65" t="n">
        <v>61</v>
      </c>
      <c r="B65" s="23">
        <f>EOMONTH(TODAY(),60)</f>
        <v/>
      </c>
      <c r="C65" s="24">
        <f>MAX(0,(SUM('My Loans'!$E$6:$E$15)+'My Loans'!$D$3)-SUM($X65:$AG65))</f>
        <v/>
      </c>
      <c r="D65" s="24">
        <f>MAX(0,AR64)</f>
        <v/>
      </c>
      <c r="E65" s="24">
        <f>MAX(0,AS64)</f>
        <v/>
      </c>
      <c r="F65" s="24">
        <f>MAX(0,AT64)</f>
        <v/>
      </c>
      <c r="G65" s="24">
        <f>MAX(0,AU64)</f>
        <v/>
      </c>
      <c r="H65" s="24">
        <f>MAX(0,AV64)</f>
        <v/>
      </c>
      <c r="I65" s="24">
        <f>MAX(0,AW64)</f>
        <v/>
      </c>
      <c r="J65" s="24">
        <f>MAX(0,AX64)</f>
        <v/>
      </c>
      <c r="K65" s="24">
        <f>MAX(0,AY64)</f>
        <v/>
      </c>
      <c r="L65" s="24">
        <f>MAX(0,AZ64)</f>
        <v/>
      </c>
      <c r="M65" s="24">
        <f>MAX(0,BA64)</f>
        <v/>
      </c>
      <c r="N65" s="24">
        <f>IF(D65&lt;0.5,0,D65*(1+N('My Loans'!D6)/1200))</f>
        <v/>
      </c>
      <c r="O65" s="24">
        <f>IF(E65&lt;0.5,0,E65*(1+N('My Loans'!D7)/1200))</f>
        <v/>
      </c>
      <c r="P65" s="24">
        <f>IF(F65&lt;0.5,0,F65*(1+N('My Loans'!D8)/1200))</f>
        <v/>
      </c>
      <c r="Q65" s="24">
        <f>IF(G65&lt;0.5,0,G65*(1+N('My Loans'!D9)/1200))</f>
        <v/>
      </c>
      <c r="R65" s="24">
        <f>IF(H65&lt;0.5,0,H65*(1+N('My Loans'!D10)/1200))</f>
        <v/>
      </c>
      <c r="S65" s="24">
        <f>IF(I65&lt;0.5,0,I65*(1+N('My Loans'!D11)/1200))</f>
        <v/>
      </c>
      <c r="T65" s="24">
        <f>IF(J65&lt;0.5,0,J65*(1+N('My Loans'!D12)/1200))</f>
        <v/>
      </c>
      <c r="U65" s="24">
        <f>IF(K65&lt;0.5,0,K65*(1+N('My Loans'!D13)/1200))</f>
        <v/>
      </c>
      <c r="V65" s="24">
        <f>IF(L65&lt;0.5,0,L65*(1+N('My Loans'!D14)/1200))</f>
        <v/>
      </c>
      <c r="W65" s="24">
        <f>IF(M65&lt;0.5,0,M65*(1+N('My Loans'!D15)/1200))</f>
        <v/>
      </c>
      <c r="X65" s="24">
        <f>MIN(N65,N('My Loans'!E6))</f>
        <v/>
      </c>
      <c r="Y65" s="24">
        <f>MIN(O65,N('My Loans'!E7))</f>
        <v/>
      </c>
      <c r="Z65" s="24">
        <f>MIN(P65,N('My Loans'!E8))</f>
        <v/>
      </c>
      <c r="AA65" s="24">
        <f>MIN(Q65,N('My Loans'!E9))</f>
        <v/>
      </c>
      <c r="AB65" s="24">
        <f>MIN(R65,N('My Loans'!E10))</f>
        <v/>
      </c>
      <c r="AC65" s="24">
        <f>MIN(S65,N('My Loans'!E11))</f>
        <v/>
      </c>
      <c r="AD65" s="24">
        <f>MIN(T65,N('My Loans'!E12))</f>
        <v/>
      </c>
      <c r="AE65" s="24">
        <f>MIN(U65,N('My Loans'!E13))</f>
        <v/>
      </c>
      <c r="AF65" s="24">
        <f>MIN(V65,N('My Loans'!E14))</f>
        <v/>
      </c>
      <c r="AG65" s="24">
        <f>MIN(W65,N('My Loans'!E15))</f>
        <v/>
      </c>
      <c r="AH65" s="24">
        <f>MIN(N65-X65,MAX(0,$C65-SUMPRODUCT(($D$3:$M$3&lt;D$3)*($N65:$W65-$X65:$AG65))))</f>
        <v/>
      </c>
      <c r="AI65" s="24">
        <f>MIN(O65-Y65,MAX(0,$C65-SUMPRODUCT(($D$3:$M$3&lt;E$3)*($N65:$W65-$X65:$AG65))))</f>
        <v/>
      </c>
      <c r="AJ65" s="24">
        <f>MIN(P65-Z65,MAX(0,$C65-SUMPRODUCT(($D$3:$M$3&lt;F$3)*($N65:$W65-$X65:$AG65))))</f>
        <v/>
      </c>
      <c r="AK65" s="24">
        <f>MIN(Q65-AA65,MAX(0,$C65-SUMPRODUCT(($D$3:$M$3&lt;G$3)*($N65:$W65-$X65:$AG65))))</f>
        <v/>
      </c>
      <c r="AL65" s="24">
        <f>MIN(R65-AB65,MAX(0,$C65-SUMPRODUCT(($D$3:$M$3&lt;H$3)*($N65:$W65-$X65:$AG65))))</f>
        <v/>
      </c>
      <c r="AM65" s="24">
        <f>MIN(S65-AC65,MAX(0,$C65-SUMPRODUCT(($D$3:$M$3&lt;I$3)*($N65:$W65-$X65:$AG65))))</f>
        <v/>
      </c>
      <c r="AN65" s="24">
        <f>MIN(T65-AD65,MAX(0,$C65-SUMPRODUCT(($D$3:$M$3&lt;J$3)*($N65:$W65-$X65:$AG65))))</f>
        <v/>
      </c>
      <c r="AO65" s="24">
        <f>MIN(U65-AE65,MAX(0,$C65-SUMPRODUCT(($D$3:$M$3&lt;K$3)*($N65:$W65-$X65:$AG65))))</f>
        <v/>
      </c>
      <c r="AP65" s="24">
        <f>MIN(V65-AF65,MAX(0,$C65-SUMPRODUCT(($D$3:$M$3&lt;L$3)*($N65:$W65-$X65:$AG65))))</f>
        <v/>
      </c>
      <c r="AQ65" s="24">
        <f>MIN(W65-AG65,MAX(0,$C65-SUMPRODUCT(($D$3:$M$3&lt;M$3)*($N65:$W65-$X65:$AG65))))</f>
        <v/>
      </c>
      <c r="AR65" s="24">
        <f>ROUND(N65-X65-AH65,2)</f>
        <v/>
      </c>
      <c r="AS65" s="24">
        <f>ROUND(O65-Y65-AI65,2)</f>
        <v/>
      </c>
      <c r="AT65" s="24">
        <f>ROUND(P65-Z65-AJ65,2)</f>
        <v/>
      </c>
      <c r="AU65" s="24">
        <f>ROUND(Q65-AA65-AK65,2)</f>
        <v/>
      </c>
      <c r="AV65" s="24">
        <f>ROUND(R65-AB65-AL65,2)</f>
        <v/>
      </c>
      <c r="AW65" s="24">
        <f>ROUND(S65-AC65-AM65,2)</f>
        <v/>
      </c>
      <c r="AX65" s="24">
        <f>ROUND(T65-AD65-AN65,2)</f>
        <v/>
      </c>
      <c r="AY65" s="24">
        <f>ROUND(U65-AE65-AO65,2)</f>
        <v/>
      </c>
      <c r="AZ65" s="24">
        <f>ROUND(V65-AF65-AP65,2)</f>
        <v/>
      </c>
      <c r="BA65" s="24">
        <f>ROUND(W65-AG65-AQ65,2)</f>
        <v/>
      </c>
      <c r="BB65" s="24">
        <f>SUM(AR65:BA65)</f>
        <v/>
      </c>
    </row>
    <row r="66">
      <c r="A66" t="n">
        <v>62</v>
      </c>
      <c r="B66" s="23">
        <f>EOMONTH(TODAY(),61)</f>
        <v/>
      </c>
      <c r="C66" s="24">
        <f>MAX(0,(SUM('My Loans'!$E$6:$E$15)+'My Loans'!$D$3)-SUM($X66:$AG66))</f>
        <v/>
      </c>
      <c r="D66" s="24">
        <f>MAX(0,AR65)</f>
        <v/>
      </c>
      <c r="E66" s="24">
        <f>MAX(0,AS65)</f>
        <v/>
      </c>
      <c r="F66" s="24">
        <f>MAX(0,AT65)</f>
        <v/>
      </c>
      <c r="G66" s="24">
        <f>MAX(0,AU65)</f>
        <v/>
      </c>
      <c r="H66" s="24">
        <f>MAX(0,AV65)</f>
        <v/>
      </c>
      <c r="I66" s="24">
        <f>MAX(0,AW65)</f>
        <v/>
      </c>
      <c r="J66" s="24">
        <f>MAX(0,AX65)</f>
        <v/>
      </c>
      <c r="K66" s="24">
        <f>MAX(0,AY65)</f>
        <v/>
      </c>
      <c r="L66" s="24">
        <f>MAX(0,AZ65)</f>
        <v/>
      </c>
      <c r="M66" s="24">
        <f>MAX(0,BA65)</f>
        <v/>
      </c>
      <c r="N66" s="24">
        <f>IF(D66&lt;0.5,0,D66*(1+N('My Loans'!D6)/1200))</f>
        <v/>
      </c>
      <c r="O66" s="24">
        <f>IF(E66&lt;0.5,0,E66*(1+N('My Loans'!D7)/1200))</f>
        <v/>
      </c>
      <c r="P66" s="24">
        <f>IF(F66&lt;0.5,0,F66*(1+N('My Loans'!D8)/1200))</f>
        <v/>
      </c>
      <c r="Q66" s="24">
        <f>IF(G66&lt;0.5,0,G66*(1+N('My Loans'!D9)/1200))</f>
        <v/>
      </c>
      <c r="R66" s="24">
        <f>IF(H66&lt;0.5,0,H66*(1+N('My Loans'!D10)/1200))</f>
        <v/>
      </c>
      <c r="S66" s="24">
        <f>IF(I66&lt;0.5,0,I66*(1+N('My Loans'!D11)/1200))</f>
        <v/>
      </c>
      <c r="T66" s="24">
        <f>IF(J66&lt;0.5,0,J66*(1+N('My Loans'!D12)/1200))</f>
        <v/>
      </c>
      <c r="U66" s="24">
        <f>IF(K66&lt;0.5,0,K66*(1+N('My Loans'!D13)/1200))</f>
        <v/>
      </c>
      <c r="V66" s="24">
        <f>IF(L66&lt;0.5,0,L66*(1+N('My Loans'!D14)/1200))</f>
        <v/>
      </c>
      <c r="W66" s="24">
        <f>IF(M66&lt;0.5,0,M66*(1+N('My Loans'!D15)/1200))</f>
        <v/>
      </c>
      <c r="X66" s="24">
        <f>MIN(N66,N('My Loans'!E6))</f>
        <v/>
      </c>
      <c r="Y66" s="24">
        <f>MIN(O66,N('My Loans'!E7))</f>
        <v/>
      </c>
      <c r="Z66" s="24">
        <f>MIN(P66,N('My Loans'!E8))</f>
        <v/>
      </c>
      <c r="AA66" s="24">
        <f>MIN(Q66,N('My Loans'!E9))</f>
        <v/>
      </c>
      <c r="AB66" s="24">
        <f>MIN(R66,N('My Loans'!E10))</f>
        <v/>
      </c>
      <c r="AC66" s="24">
        <f>MIN(S66,N('My Loans'!E11))</f>
        <v/>
      </c>
      <c r="AD66" s="24">
        <f>MIN(T66,N('My Loans'!E12))</f>
        <v/>
      </c>
      <c r="AE66" s="24">
        <f>MIN(U66,N('My Loans'!E13))</f>
        <v/>
      </c>
      <c r="AF66" s="24">
        <f>MIN(V66,N('My Loans'!E14))</f>
        <v/>
      </c>
      <c r="AG66" s="24">
        <f>MIN(W66,N('My Loans'!E15))</f>
        <v/>
      </c>
      <c r="AH66" s="24">
        <f>MIN(N66-X66,MAX(0,$C66-SUMPRODUCT(($D$3:$M$3&lt;D$3)*($N66:$W66-$X66:$AG66))))</f>
        <v/>
      </c>
      <c r="AI66" s="24">
        <f>MIN(O66-Y66,MAX(0,$C66-SUMPRODUCT(($D$3:$M$3&lt;E$3)*($N66:$W66-$X66:$AG66))))</f>
        <v/>
      </c>
      <c r="AJ66" s="24">
        <f>MIN(P66-Z66,MAX(0,$C66-SUMPRODUCT(($D$3:$M$3&lt;F$3)*($N66:$W66-$X66:$AG66))))</f>
        <v/>
      </c>
      <c r="AK66" s="24">
        <f>MIN(Q66-AA66,MAX(0,$C66-SUMPRODUCT(($D$3:$M$3&lt;G$3)*($N66:$W66-$X66:$AG66))))</f>
        <v/>
      </c>
      <c r="AL66" s="24">
        <f>MIN(R66-AB66,MAX(0,$C66-SUMPRODUCT(($D$3:$M$3&lt;H$3)*($N66:$W66-$X66:$AG66))))</f>
        <v/>
      </c>
      <c r="AM66" s="24">
        <f>MIN(S66-AC66,MAX(0,$C66-SUMPRODUCT(($D$3:$M$3&lt;I$3)*($N66:$W66-$X66:$AG66))))</f>
        <v/>
      </c>
      <c r="AN66" s="24">
        <f>MIN(T66-AD66,MAX(0,$C66-SUMPRODUCT(($D$3:$M$3&lt;J$3)*($N66:$W66-$X66:$AG66))))</f>
        <v/>
      </c>
      <c r="AO66" s="24">
        <f>MIN(U66-AE66,MAX(0,$C66-SUMPRODUCT(($D$3:$M$3&lt;K$3)*($N66:$W66-$X66:$AG66))))</f>
        <v/>
      </c>
      <c r="AP66" s="24">
        <f>MIN(V66-AF66,MAX(0,$C66-SUMPRODUCT(($D$3:$M$3&lt;L$3)*($N66:$W66-$X66:$AG66))))</f>
        <v/>
      </c>
      <c r="AQ66" s="24">
        <f>MIN(W66-AG66,MAX(0,$C66-SUMPRODUCT(($D$3:$M$3&lt;M$3)*($N66:$W66-$X66:$AG66))))</f>
        <v/>
      </c>
      <c r="AR66" s="24">
        <f>ROUND(N66-X66-AH66,2)</f>
        <v/>
      </c>
      <c r="AS66" s="24">
        <f>ROUND(O66-Y66-AI66,2)</f>
        <v/>
      </c>
      <c r="AT66" s="24">
        <f>ROUND(P66-Z66-AJ66,2)</f>
        <v/>
      </c>
      <c r="AU66" s="24">
        <f>ROUND(Q66-AA66-AK66,2)</f>
        <v/>
      </c>
      <c r="AV66" s="24">
        <f>ROUND(R66-AB66-AL66,2)</f>
        <v/>
      </c>
      <c r="AW66" s="24">
        <f>ROUND(S66-AC66-AM66,2)</f>
        <v/>
      </c>
      <c r="AX66" s="24">
        <f>ROUND(T66-AD66-AN66,2)</f>
        <v/>
      </c>
      <c r="AY66" s="24">
        <f>ROUND(U66-AE66-AO66,2)</f>
        <v/>
      </c>
      <c r="AZ66" s="24">
        <f>ROUND(V66-AF66-AP66,2)</f>
        <v/>
      </c>
      <c r="BA66" s="24">
        <f>ROUND(W66-AG66-AQ66,2)</f>
        <v/>
      </c>
      <c r="BB66" s="24">
        <f>SUM(AR66:BA66)</f>
        <v/>
      </c>
    </row>
    <row r="67">
      <c r="A67" t="n">
        <v>63</v>
      </c>
      <c r="B67" s="23">
        <f>EOMONTH(TODAY(),62)</f>
        <v/>
      </c>
      <c r="C67" s="24">
        <f>MAX(0,(SUM('My Loans'!$E$6:$E$15)+'My Loans'!$D$3)-SUM($X67:$AG67))</f>
        <v/>
      </c>
      <c r="D67" s="24">
        <f>MAX(0,AR66)</f>
        <v/>
      </c>
      <c r="E67" s="24">
        <f>MAX(0,AS66)</f>
        <v/>
      </c>
      <c r="F67" s="24">
        <f>MAX(0,AT66)</f>
        <v/>
      </c>
      <c r="G67" s="24">
        <f>MAX(0,AU66)</f>
        <v/>
      </c>
      <c r="H67" s="24">
        <f>MAX(0,AV66)</f>
        <v/>
      </c>
      <c r="I67" s="24">
        <f>MAX(0,AW66)</f>
        <v/>
      </c>
      <c r="J67" s="24">
        <f>MAX(0,AX66)</f>
        <v/>
      </c>
      <c r="K67" s="24">
        <f>MAX(0,AY66)</f>
        <v/>
      </c>
      <c r="L67" s="24">
        <f>MAX(0,AZ66)</f>
        <v/>
      </c>
      <c r="M67" s="24">
        <f>MAX(0,BA66)</f>
        <v/>
      </c>
      <c r="N67" s="24">
        <f>IF(D67&lt;0.5,0,D67*(1+N('My Loans'!D6)/1200))</f>
        <v/>
      </c>
      <c r="O67" s="24">
        <f>IF(E67&lt;0.5,0,E67*(1+N('My Loans'!D7)/1200))</f>
        <v/>
      </c>
      <c r="P67" s="24">
        <f>IF(F67&lt;0.5,0,F67*(1+N('My Loans'!D8)/1200))</f>
        <v/>
      </c>
      <c r="Q67" s="24">
        <f>IF(G67&lt;0.5,0,G67*(1+N('My Loans'!D9)/1200))</f>
        <v/>
      </c>
      <c r="R67" s="24">
        <f>IF(H67&lt;0.5,0,H67*(1+N('My Loans'!D10)/1200))</f>
        <v/>
      </c>
      <c r="S67" s="24">
        <f>IF(I67&lt;0.5,0,I67*(1+N('My Loans'!D11)/1200))</f>
        <v/>
      </c>
      <c r="T67" s="24">
        <f>IF(J67&lt;0.5,0,J67*(1+N('My Loans'!D12)/1200))</f>
        <v/>
      </c>
      <c r="U67" s="24">
        <f>IF(K67&lt;0.5,0,K67*(1+N('My Loans'!D13)/1200))</f>
        <v/>
      </c>
      <c r="V67" s="24">
        <f>IF(L67&lt;0.5,0,L67*(1+N('My Loans'!D14)/1200))</f>
        <v/>
      </c>
      <c r="W67" s="24">
        <f>IF(M67&lt;0.5,0,M67*(1+N('My Loans'!D15)/1200))</f>
        <v/>
      </c>
      <c r="X67" s="24">
        <f>MIN(N67,N('My Loans'!E6))</f>
        <v/>
      </c>
      <c r="Y67" s="24">
        <f>MIN(O67,N('My Loans'!E7))</f>
        <v/>
      </c>
      <c r="Z67" s="24">
        <f>MIN(P67,N('My Loans'!E8))</f>
        <v/>
      </c>
      <c r="AA67" s="24">
        <f>MIN(Q67,N('My Loans'!E9))</f>
        <v/>
      </c>
      <c r="AB67" s="24">
        <f>MIN(R67,N('My Loans'!E10))</f>
        <v/>
      </c>
      <c r="AC67" s="24">
        <f>MIN(S67,N('My Loans'!E11))</f>
        <v/>
      </c>
      <c r="AD67" s="24">
        <f>MIN(T67,N('My Loans'!E12))</f>
        <v/>
      </c>
      <c r="AE67" s="24">
        <f>MIN(U67,N('My Loans'!E13))</f>
        <v/>
      </c>
      <c r="AF67" s="24">
        <f>MIN(V67,N('My Loans'!E14))</f>
        <v/>
      </c>
      <c r="AG67" s="24">
        <f>MIN(W67,N('My Loans'!E15))</f>
        <v/>
      </c>
      <c r="AH67" s="24">
        <f>MIN(N67-X67,MAX(0,$C67-SUMPRODUCT(($D$3:$M$3&lt;D$3)*($N67:$W67-$X67:$AG67))))</f>
        <v/>
      </c>
      <c r="AI67" s="24">
        <f>MIN(O67-Y67,MAX(0,$C67-SUMPRODUCT(($D$3:$M$3&lt;E$3)*($N67:$W67-$X67:$AG67))))</f>
        <v/>
      </c>
      <c r="AJ67" s="24">
        <f>MIN(P67-Z67,MAX(0,$C67-SUMPRODUCT(($D$3:$M$3&lt;F$3)*($N67:$W67-$X67:$AG67))))</f>
        <v/>
      </c>
      <c r="AK67" s="24">
        <f>MIN(Q67-AA67,MAX(0,$C67-SUMPRODUCT(($D$3:$M$3&lt;G$3)*($N67:$W67-$X67:$AG67))))</f>
        <v/>
      </c>
      <c r="AL67" s="24">
        <f>MIN(R67-AB67,MAX(0,$C67-SUMPRODUCT(($D$3:$M$3&lt;H$3)*($N67:$W67-$X67:$AG67))))</f>
        <v/>
      </c>
      <c r="AM67" s="24">
        <f>MIN(S67-AC67,MAX(0,$C67-SUMPRODUCT(($D$3:$M$3&lt;I$3)*($N67:$W67-$X67:$AG67))))</f>
        <v/>
      </c>
      <c r="AN67" s="24">
        <f>MIN(T67-AD67,MAX(0,$C67-SUMPRODUCT(($D$3:$M$3&lt;J$3)*($N67:$W67-$X67:$AG67))))</f>
        <v/>
      </c>
      <c r="AO67" s="24">
        <f>MIN(U67-AE67,MAX(0,$C67-SUMPRODUCT(($D$3:$M$3&lt;K$3)*($N67:$W67-$X67:$AG67))))</f>
        <v/>
      </c>
      <c r="AP67" s="24">
        <f>MIN(V67-AF67,MAX(0,$C67-SUMPRODUCT(($D$3:$M$3&lt;L$3)*($N67:$W67-$X67:$AG67))))</f>
        <v/>
      </c>
      <c r="AQ67" s="24">
        <f>MIN(W67-AG67,MAX(0,$C67-SUMPRODUCT(($D$3:$M$3&lt;M$3)*($N67:$W67-$X67:$AG67))))</f>
        <v/>
      </c>
      <c r="AR67" s="24">
        <f>ROUND(N67-X67-AH67,2)</f>
        <v/>
      </c>
      <c r="AS67" s="24">
        <f>ROUND(O67-Y67-AI67,2)</f>
        <v/>
      </c>
      <c r="AT67" s="24">
        <f>ROUND(P67-Z67-AJ67,2)</f>
        <v/>
      </c>
      <c r="AU67" s="24">
        <f>ROUND(Q67-AA67-AK67,2)</f>
        <v/>
      </c>
      <c r="AV67" s="24">
        <f>ROUND(R67-AB67-AL67,2)</f>
        <v/>
      </c>
      <c r="AW67" s="24">
        <f>ROUND(S67-AC67-AM67,2)</f>
        <v/>
      </c>
      <c r="AX67" s="24">
        <f>ROUND(T67-AD67-AN67,2)</f>
        <v/>
      </c>
      <c r="AY67" s="24">
        <f>ROUND(U67-AE67-AO67,2)</f>
        <v/>
      </c>
      <c r="AZ67" s="24">
        <f>ROUND(V67-AF67-AP67,2)</f>
        <v/>
      </c>
      <c r="BA67" s="24">
        <f>ROUND(W67-AG67-AQ67,2)</f>
        <v/>
      </c>
      <c r="BB67" s="24">
        <f>SUM(AR67:BA67)</f>
        <v/>
      </c>
    </row>
    <row r="68">
      <c r="A68" t="n">
        <v>64</v>
      </c>
      <c r="B68" s="23">
        <f>EOMONTH(TODAY(),63)</f>
        <v/>
      </c>
      <c r="C68" s="24">
        <f>MAX(0,(SUM('My Loans'!$E$6:$E$15)+'My Loans'!$D$3)-SUM($X68:$AG68))</f>
        <v/>
      </c>
      <c r="D68" s="24">
        <f>MAX(0,AR67)</f>
        <v/>
      </c>
      <c r="E68" s="24">
        <f>MAX(0,AS67)</f>
        <v/>
      </c>
      <c r="F68" s="24">
        <f>MAX(0,AT67)</f>
        <v/>
      </c>
      <c r="G68" s="24">
        <f>MAX(0,AU67)</f>
        <v/>
      </c>
      <c r="H68" s="24">
        <f>MAX(0,AV67)</f>
        <v/>
      </c>
      <c r="I68" s="24">
        <f>MAX(0,AW67)</f>
        <v/>
      </c>
      <c r="J68" s="24">
        <f>MAX(0,AX67)</f>
        <v/>
      </c>
      <c r="K68" s="24">
        <f>MAX(0,AY67)</f>
        <v/>
      </c>
      <c r="L68" s="24">
        <f>MAX(0,AZ67)</f>
        <v/>
      </c>
      <c r="M68" s="24">
        <f>MAX(0,BA67)</f>
        <v/>
      </c>
      <c r="N68" s="24">
        <f>IF(D68&lt;0.5,0,D68*(1+N('My Loans'!D6)/1200))</f>
        <v/>
      </c>
      <c r="O68" s="24">
        <f>IF(E68&lt;0.5,0,E68*(1+N('My Loans'!D7)/1200))</f>
        <v/>
      </c>
      <c r="P68" s="24">
        <f>IF(F68&lt;0.5,0,F68*(1+N('My Loans'!D8)/1200))</f>
        <v/>
      </c>
      <c r="Q68" s="24">
        <f>IF(G68&lt;0.5,0,G68*(1+N('My Loans'!D9)/1200))</f>
        <v/>
      </c>
      <c r="R68" s="24">
        <f>IF(H68&lt;0.5,0,H68*(1+N('My Loans'!D10)/1200))</f>
        <v/>
      </c>
      <c r="S68" s="24">
        <f>IF(I68&lt;0.5,0,I68*(1+N('My Loans'!D11)/1200))</f>
        <v/>
      </c>
      <c r="T68" s="24">
        <f>IF(J68&lt;0.5,0,J68*(1+N('My Loans'!D12)/1200))</f>
        <v/>
      </c>
      <c r="U68" s="24">
        <f>IF(K68&lt;0.5,0,K68*(1+N('My Loans'!D13)/1200))</f>
        <v/>
      </c>
      <c r="V68" s="24">
        <f>IF(L68&lt;0.5,0,L68*(1+N('My Loans'!D14)/1200))</f>
        <v/>
      </c>
      <c r="W68" s="24">
        <f>IF(M68&lt;0.5,0,M68*(1+N('My Loans'!D15)/1200))</f>
        <v/>
      </c>
      <c r="X68" s="24">
        <f>MIN(N68,N('My Loans'!E6))</f>
        <v/>
      </c>
      <c r="Y68" s="24">
        <f>MIN(O68,N('My Loans'!E7))</f>
        <v/>
      </c>
      <c r="Z68" s="24">
        <f>MIN(P68,N('My Loans'!E8))</f>
        <v/>
      </c>
      <c r="AA68" s="24">
        <f>MIN(Q68,N('My Loans'!E9))</f>
        <v/>
      </c>
      <c r="AB68" s="24">
        <f>MIN(R68,N('My Loans'!E10))</f>
        <v/>
      </c>
      <c r="AC68" s="24">
        <f>MIN(S68,N('My Loans'!E11))</f>
        <v/>
      </c>
      <c r="AD68" s="24">
        <f>MIN(T68,N('My Loans'!E12))</f>
        <v/>
      </c>
      <c r="AE68" s="24">
        <f>MIN(U68,N('My Loans'!E13))</f>
        <v/>
      </c>
      <c r="AF68" s="24">
        <f>MIN(V68,N('My Loans'!E14))</f>
        <v/>
      </c>
      <c r="AG68" s="24">
        <f>MIN(W68,N('My Loans'!E15))</f>
        <v/>
      </c>
      <c r="AH68" s="24">
        <f>MIN(N68-X68,MAX(0,$C68-SUMPRODUCT(($D$3:$M$3&lt;D$3)*($N68:$W68-$X68:$AG68))))</f>
        <v/>
      </c>
      <c r="AI68" s="24">
        <f>MIN(O68-Y68,MAX(0,$C68-SUMPRODUCT(($D$3:$M$3&lt;E$3)*($N68:$W68-$X68:$AG68))))</f>
        <v/>
      </c>
      <c r="AJ68" s="24">
        <f>MIN(P68-Z68,MAX(0,$C68-SUMPRODUCT(($D$3:$M$3&lt;F$3)*($N68:$W68-$X68:$AG68))))</f>
        <v/>
      </c>
      <c r="AK68" s="24">
        <f>MIN(Q68-AA68,MAX(0,$C68-SUMPRODUCT(($D$3:$M$3&lt;G$3)*($N68:$W68-$X68:$AG68))))</f>
        <v/>
      </c>
      <c r="AL68" s="24">
        <f>MIN(R68-AB68,MAX(0,$C68-SUMPRODUCT(($D$3:$M$3&lt;H$3)*($N68:$W68-$X68:$AG68))))</f>
        <v/>
      </c>
      <c r="AM68" s="24">
        <f>MIN(S68-AC68,MAX(0,$C68-SUMPRODUCT(($D$3:$M$3&lt;I$3)*($N68:$W68-$X68:$AG68))))</f>
        <v/>
      </c>
      <c r="AN68" s="24">
        <f>MIN(T68-AD68,MAX(0,$C68-SUMPRODUCT(($D$3:$M$3&lt;J$3)*($N68:$W68-$X68:$AG68))))</f>
        <v/>
      </c>
      <c r="AO68" s="24">
        <f>MIN(U68-AE68,MAX(0,$C68-SUMPRODUCT(($D$3:$M$3&lt;K$3)*($N68:$W68-$X68:$AG68))))</f>
        <v/>
      </c>
      <c r="AP68" s="24">
        <f>MIN(V68-AF68,MAX(0,$C68-SUMPRODUCT(($D$3:$M$3&lt;L$3)*($N68:$W68-$X68:$AG68))))</f>
        <v/>
      </c>
      <c r="AQ68" s="24">
        <f>MIN(W68-AG68,MAX(0,$C68-SUMPRODUCT(($D$3:$M$3&lt;M$3)*($N68:$W68-$X68:$AG68))))</f>
        <v/>
      </c>
      <c r="AR68" s="24">
        <f>ROUND(N68-X68-AH68,2)</f>
        <v/>
      </c>
      <c r="AS68" s="24">
        <f>ROUND(O68-Y68-AI68,2)</f>
        <v/>
      </c>
      <c r="AT68" s="24">
        <f>ROUND(P68-Z68-AJ68,2)</f>
        <v/>
      </c>
      <c r="AU68" s="24">
        <f>ROUND(Q68-AA68-AK68,2)</f>
        <v/>
      </c>
      <c r="AV68" s="24">
        <f>ROUND(R68-AB68-AL68,2)</f>
        <v/>
      </c>
      <c r="AW68" s="24">
        <f>ROUND(S68-AC68-AM68,2)</f>
        <v/>
      </c>
      <c r="AX68" s="24">
        <f>ROUND(T68-AD68-AN68,2)</f>
        <v/>
      </c>
      <c r="AY68" s="24">
        <f>ROUND(U68-AE68-AO68,2)</f>
        <v/>
      </c>
      <c r="AZ68" s="24">
        <f>ROUND(V68-AF68-AP68,2)</f>
        <v/>
      </c>
      <c r="BA68" s="24">
        <f>ROUND(W68-AG68-AQ68,2)</f>
        <v/>
      </c>
      <c r="BB68" s="24">
        <f>SUM(AR68:BA68)</f>
        <v/>
      </c>
    </row>
    <row r="69">
      <c r="A69" t="n">
        <v>65</v>
      </c>
      <c r="B69" s="23">
        <f>EOMONTH(TODAY(),64)</f>
        <v/>
      </c>
      <c r="C69" s="24">
        <f>MAX(0,(SUM('My Loans'!$E$6:$E$15)+'My Loans'!$D$3)-SUM($X69:$AG69))</f>
        <v/>
      </c>
      <c r="D69" s="24">
        <f>MAX(0,AR68)</f>
        <v/>
      </c>
      <c r="E69" s="24">
        <f>MAX(0,AS68)</f>
        <v/>
      </c>
      <c r="F69" s="24">
        <f>MAX(0,AT68)</f>
        <v/>
      </c>
      <c r="G69" s="24">
        <f>MAX(0,AU68)</f>
        <v/>
      </c>
      <c r="H69" s="24">
        <f>MAX(0,AV68)</f>
        <v/>
      </c>
      <c r="I69" s="24">
        <f>MAX(0,AW68)</f>
        <v/>
      </c>
      <c r="J69" s="24">
        <f>MAX(0,AX68)</f>
        <v/>
      </c>
      <c r="K69" s="24">
        <f>MAX(0,AY68)</f>
        <v/>
      </c>
      <c r="L69" s="24">
        <f>MAX(0,AZ68)</f>
        <v/>
      </c>
      <c r="M69" s="24">
        <f>MAX(0,BA68)</f>
        <v/>
      </c>
      <c r="N69" s="24">
        <f>IF(D69&lt;0.5,0,D69*(1+N('My Loans'!D6)/1200))</f>
        <v/>
      </c>
      <c r="O69" s="24">
        <f>IF(E69&lt;0.5,0,E69*(1+N('My Loans'!D7)/1200))</f>
        <v/>
      </c>
      <c r="P69" s="24">
        <f>IF(F69&lt;0.5,0,F69*(1+N('My Loans'!D8)/1200))</f>
        <v/>
      </c>
      <c r="Q69" s="24">
        <f>IF(G69&lt;0.5,0,G69*(1+N('My Loans'!D9)/1200))</f>
        <v/>
      </c>
      <c r="R69" s="24">
        <f>IF(H69&lt;0.5,0,H69*(1+N('My Loans'!D10)/1200))</f>
        <v/>
      </c>
      <c r="S69" s="24">
        <f>IF(I69&lt;0.5,0,I69*(1+N('My Loans'!D11)/1200))</f>
        <v/>
      </c>
      <c r="T69" s="24">
        <f>IF(J69&lt;0.5,0,J69*(1+N('My Loans'!D12)/1200))</f>
        <v/>
      </c>
      <c r="U69" s="24">
        <f>IF(K69&lt;0.5,0,K69*(1+N('My Loans'!D13)/1200))</f>
        <v/>
      </c>
      <c r="V69" s="24">
        <f>IF(L69&lt;0.5,0,L69*(1+N('My Loans'!D14)/1200))</f>
        <v/>
      </c>
      <c r="W69" s="24">
        <f>IF(M69&lt;0.5,0,M69*(1+N('My Loans'!D15)/1200))</f>
        <v/>
      </c>
      <c r="X69" s="24">
        <f>MIN(N69,N('My Loans'!E6))</f>
        <v/>
      </c>
      <c r="Y69" s="24">
        <f>MIN(O69,N('My Loans'!E7))</f>
        <v/>
      </c>
      <c r="Z69" s="24">
        <f>MIN(P69,N('My Loans'!E8))</f>
        <v/>
      </c>
      <c r="AA69" s="24">
        <f>MIN(Q69,N('My Loans'!E9))</f>
        <v/>
      </c>
      <c r="AB69" s="24">
        <f>MIN(R69,N('My Loans'!E10))</f>
        <v/>
      </c>
      <c r="AC69" s="24">
        <f>MIN(S69,N('My Loans'!E11))</f>
        <v/>
      </c>
      <c r="AD69" s="24">
        <f>MIN(T69,N('My Loans'!E12))</f>
        <v/>
      </c>
      <c r="AE69" s="24">
        <f>MIN(U69,N('My Loans'!E13))</f>
        <v/>
      </c>
      <c r="AF69" s="24">
        <f>MIN(V69,N('My Loans'!E14))</f>
        <v/>
      </c>
      <c r="AG69" s="24">
        <f>MIN(W69,N('My Loans'!E15))</f>
        <v/>
      </c>
      <c r="AH69" s="24">
        <f>MIN(N69-X69,MAX(0,$C69-SUMPRODUCT(($D$3:$M$3&lt;D$3)*($N69:$W69-$X69:$AG69))))</f>
        <v/>
      </c>
      <c r="AI69" s="24">
        <f>MIN(O69-Y69,MAX(0,$C69-SUMPRODUCT(($D$3:$M$3&lt;E$3)*($N69:$W69-$X69:$AG69))))</f>
        <v/>
      </c>
      <c r="AJ69" s="24">
        <f>MIN(P69-Z69,MAX(0,$C69-SUMPRODUCT(($D$3:$M$3&lt;F$3)*($N69:$W69-$X69:$AG69))))</f>
        <v/>
      </c>
      <c r="AK69" s="24">
        <f>MIN(Q69-AA69,MAX(0,$C69-SUMPRODUCT(($D$3:$M$3&lt;G$3)*($N69:$W69-$X69:$AG69))))</f>
        <v/>
      </c>
      <c r="AL69" s="24">
        <f>MIN(R69-AB69,MAX(0,$C69-SUMPRODUCT(($D$3:$M$3&lt;H$3)*($N69:$W69-$X69:$AG69))))</f>
        <v/>
      </c>
      <c r="AM69" s="24">
        <f>MIN(S69-AC69,MAX(0,$C69-SUMPRODUCT(($D$3:$M$3&lt;I$3)*($N69:$W69-$X69:$AG69))))</f>
        <v/>
      </c>
      <c r="AN69" s="24">
        <f>MIN(T69-AD69,MAX(0,$C69-SUMPRODUCT(($D$3:$M$3&lt;J$3)*($N69:$W69-$X69:$AG69))))</f>
        <v/>
      </c>
      <c r="AO69" s="24">
        <f>MIN(U69-AE69,MAX(0,$C69-SUMPRODUCT(($D$3:$M$3&lt;K$3)*($N69:$W69-$X69:$AG69))))</f>
        <v/>
      </c>
      <c r="AP69" s="24">
        <f>MIN(V69-AF69,MAX(0,$C69-SUMPRODUCT(($D$3:$M$3&lt;L$3)*($N69:$W69-$X69:$AG69))))</f>
        <v/>
      </c>
      <c r="AQ69" s="24">
        <f>MIN(W69-AG69,MAX(0,$C69-SUMPRODUCT(($D$3:$M$3&lt;M$3)*($N69:$W69-$X69:$AG69))))</f>
        <v/>
      </c>
      <c r="AR69" s="24">
        <f>ROUND(N69-X69-AH69,2)</f>
        <v/>
      </c>
      <c r="AS69" s="24">
        <f>ROUND(O69-Y69-AI69,2)</f>
        <v/>
      </c>
      <c r="AT69" s="24">
        <f>ROUND(P69-Z69-AJ69,2)</f>
        <v/>
      </c>
      <c r="AU69" s="24">
        <f>ROUND(Q69-AA69-AK69,2)</f>
        <v/>
      </c>
      <c r="AV69" s="24">
        <f>ROUND(R69-AB69-AL69,2)</f>
        <v/>
      </c>
      <c r="AW69" s="24">
        <f>ROUND(S69-AC69-AM69,2)</f>
        <v/>
      </c>
      <c r="AX69" s="24">
        <f>ROUND(T69-AD69-AN69,2)</f>
        <v/>
      </c>
      <c r="AY69" s="24">
        <f>ROUND(U69-AE69-AO69,2)</f>
        <v/>
      </c>
      <c r="AZ69" s="24">
        <f>ROUND(V69-AF69-AP69,2)</f>
        <v/>
      </c>
      <c r="BA69" s="24">
        <f>ROUND(W69-AG69-AQ69,2)</f>
        <v/>
      </c>
      <c r="BB69" s="24">
        <f>SUM(AR69:BA69)</f>
        <v/>
      </c>
    </row>
    <row r="70">
      <c r="A70" t="n">
        <v>66</v>
      </c>
      <c r="B70" s="23">
        <f>EOMONTH(TODAY(),65)</f>
        <v/>
      </c>
      <c r="C70" s="24">
        <f>MAX(0,(SUM('My Loans'!$E$6:$E$15)+'My Loans'!$D$3)-SUM($X70:$AG70))</f>
        <v/>
      </c>
      <c r="D70" s="24">
        <f>MAX(0,AR69)</f>
        <v/>
      </c>
      <c r="E70" s="24">
        <f>MAX(0,AS69)</f>
        <v/>
      </c>
      <c r="F70" s="24">
        <f>MAX(0,AT69)</f>
        <v/>
      </c>
      <c r="G70" s="24">
        <f>MAX(0,AU69)</f>
        <v/>
      </c>
      <c r="H70" s="24">
        <f>MAX(0,AV69)</f>
        <v/>
      </c>
      <c r="I70" s="24">
        <f>MAX(0,AW69)</f>
        <v/>
      </c>
      <c r="J70" s="24">
        <f>MAX(0,AX69)</f>
        <v/>
      </c>
      <c r="K70" s="24">
        <f>MAX(0,AY69)</f>
        <v/>
      </c>
      <c r="L70" s="24">
        <f>MAX(0,AZ69)</f>
        <v/>
      </c>
      <c r="M70" s="24">
        <f>MAX(0,BA69)</f>
        <v/>
      </c>
      <c r="N70" s="24">
        <f>IF(D70&lt;0.5,0,D70*(1+N('My Loans'!D6)/1200))</f>
        <v/>
      </c>
      <c r="O70" s="24">
        <f>IF(E70&lt;0.5,0,E70*(1+N('My Loans'!D7)/1200))</f>
        <v/>
      </c>
      <c r="P70" s="24">
        <f>IF(F70&lt;0.5,0,F70*(1+N('My Loans'!D8)/1200))</f>
        <v/>
      </c>
      <c r="Q70" s="24">
        <f>IF(G70&lt;0.5,0,G70*(1+N('My Loans'!D9)/1200))</f>
        <v/>
      </c>
      <c r="R70" s="24">
        <f>IF(H70&lt;0.5,0,H70*(1+N('My Loans'!D10)/1200))</f>
        <v/>
      </c>
      <c r="S70" s="24">
        <f>IF(I70&lt;0.5,0,I70*(1+N('My Loans'!D11)/1200))</f>
        <v/>
      </c>
      <c r="T70" s="24">
        <f>IF(J70&lt;0.5,0,J70*(1+N('My Loans'!D12)/1200))</f>
        <v/>
      </c>
      <c r="U70" s="24">
        <f>IF(K70&lt;0.5,0,K70*(1+N('My Loans'!D13)/1200))</f>
        <v/>
      </c>
      <c r="V70" s="24">
        <f>IF(L70&lt;0.5,0,L70*(1+N('My Loans'!D14)/1200))</f>
        <v/>
      </c>
      <c r="W70" s="24">
        <f>IF(M70&lt;0.5,0,M70*(1+N('My Loans'!D15)/1200))</f>
        <v/>
      </c>
      <c r="X70" s="24">
        <f>MIN(N70,N('My Loans'!E6))</f>
        <v/>
      </c>
      <c r="Y70" s="24">
        <f>MIN(O70,N('My Loans'!E7))</f>
        <v/>
      </c>
      <c r="Z70" s="24">
        <f>MIN(P70,N('My Loans'!E8))</f>
        <v/>
      </c>
      <c r="AA70" s="24">
        <f>MIN(Q70,N('My Loans'!E9))</f>
        <v/>
      </c>
      <c r="AB70" s="24">
        <f>MIN(R70,N('My Loans'!E10))</f>
        <v/>
      </c>
      <c r="AC70" s="24">
        <f>MIN(S70,N('My Loans'!E11))</f>
        <v/>
      </c>
      <c r="AD70" s="24">
        <f>MIN(T70,N('My Loans'!E12))</f>
        <v/>
      </c>
      <c r="AE70" s="24">
        <f>MIN(U70,N('My Loans'!E13))</f>
        <v/>
      </c>
      <c r="AF70" s="24">
        <f>MIN(V70,N('My Loans'!E14))</f>
        <v/>
      </c>
      <c r="AG70" s="24">
        <f>MIN(W70,N('My Loans'!E15))</f>
        <v/>
      </c>
      <c r="AH70" s="24">
        <f>MIN(N70-X70,MAX(0,$C70-SUMPRODUCT(($D$3:$M$3&lt;D$3)*($N70:$W70-$X70:$AG70))))</f>
        <v/>
      </c>
      <c r="AI70" s="24">
        <f>MIN(O70-Y70,MAX(0,$C70-SUMPRODUCT(($D$3:$M$3&lt;E$3)*($N70:$W70-$X70:$AG70))))</f>
        <v/>
      </c>
      <c r="AJ70" s="24">
        <f>MIN(P70-Z70,MAX(0,$C70-SUMPRODUCT(($D$3:$M$3&lt;F$3)*($N70:$W70-$X70:$AG70))))</f>
        <v/>
      </c>
      <c r="AK70" s="24">
        <f>MIN(Q70-AA70,MAX(0,$C70-SUMPRODUCT(($D$3:$M$3&lt;G$3)*($N70:$W70-$X70:$AG70))))</f>
        <v/>
      </c>
      <c r="AL70" s="24">
        <f>MIN(R70-AB70,MAX(0,$C70-SUMPRODUCT(($D$3:$M$3&lt;H$3)*($N70:$W70-$X70:$AG70))))</f>
        <v/>
      </c>
      <c r="AM70" s="24">
        <f>MIN(S70-AC70,MAX(0,$C70-SUMPRODUCT(($D$3:$M$3&lt;I$3)*($N70:$W70-$X70:$AG70))))</f>
        <v/>
      </c>
      <c r="AN70" s="24">
        <f>MIN(T70-AD70,MAX(0,$C70-SUMPRODUCT(($D$3:$M$3&lt;J$3)*($N70:$W70-$X70:$AG70))))</f>
        <v/>
      </c>
      <c r="AO70" s="24">
        <f>MIN(U70-AE70,MAX(0,$C70-SUMPRODUCT(($D$3:$M$3&lt;K$3)*($N70:$W70-$X70:$AG70))))</f>
        <v/>
      </c>
      <c r="AP70" s="24">
        <f>MIN(V70-AF70,MAX(0,$C70-SUMPRODUCT(($D$3:$M$3&lt;L$3)*($N70:$W70-$X70:$AG70))))</f>
        <v/>
      </c>
      <c r="AQ70" s="24">
        <f>MIN(W70-AG70,MAX(0,$C70-SUMPRODUCT(($D$3:$M$3&lt;M$3)*($N70:$W70-$X70:$AG70))))</f>
        <v/>
      </c>
      <c r="AR70" s="24">
        <f>ROUND(N70-X70-AH70,2)</f>
        <v/>
      </c>
      <c r="AS70" s="24">
        <f>ROUND(O70-Y70-AI70,2)</f>
        <v/>
      </c>
      <c r="AT70" s="24">
        <f>ROUND(P70-Z70-AJ70,2)</f>
        <v/>
      </c>
      <c r="AU70" s="24">
        <f>ROUND(Q70-AA70-AK70,2)</f>
        <v/>
      </c>
      <c r="AV70" s="24">
        <f>ROUND(R70-AB70-AL70,2)</f>
        <v/>
      </c>
      <c r="AW70" s="24">
        <f>ROUND(S70-AC70-AM70,2)</f>
        <v/>
      </c>
      <c r="AX70" s="24">
        <f>ROUND(T70-AD70-AN70,2)</f>
        <v/>
      </c>
      <c r="AY70" s="24">
        <f>ROUND(U70-AE70-AO70,2)</f>
        <v/>
      </c>
      <c r="AZ70" s="24">
        <f>ROUND(V70-AF70-AP70,2)</f>
        <v/>
      </c>
      <c r="BA70" s="24">
        <f>ROUND(W70-AG70-AQ70,2)</f>
        <v/>
      </c>
      <c r="BB70" s="24">
        <f>SUM(AR70:BA70)</f>
        <v/>
      </c>
    </row>
    <row r="71">
      <c r="A71" t="n">
        <v>67</v>
      </c>
      <c r="B71" s="23">
        <f>EOMONTH(TODAY(),66)</f>
        <v/>
      </c>
      <c r="C71" s="24">
        <f>MAX(0,(SUM('My Loans'!$E$6:$E$15)+'My Loans'!$D$3)-SUM($X71:$AG71))</f>
        <v/>
      </c>
      <c r="D71" s="24">
        <f>MAX(0,AR70)</f>
        <v/>
      </c>
      <c r="E71" s="24">
        <f>MAX(0,AS70)</f>
        <v/>
      </c>
      <c r="F71" s="24">
        <f>MAX(0,AT70)</f>
        <v/>
      </c>
      <c r="G71" s="24">
        <f>MAX(0,AU70)</f>
        <v/>
      </c>
      <c r="H71" s="24">
        <f>MAX(0,AV70)</f>
        <v/>
      </c>
      <c r="I71" s="24">
        <f>MAX(0,AW70)</f>
        <v/>
      </c>
      <c r="J71" s="24">
        <f>MAX(0,AX70)</f>
        <v/>
      </c>
      <c r="K71" s="24">
        <f>MAX(0,AY70)</f>
        <v/>
      </c>
      <c r="L71" s="24">
        <f>MAX(0,AZ70)</f>
        <v/>
      </c>
      <c r="M71" s="24">
        <f>MAX(0,BA70)</f>
        <v/>
      </c>
      <c r="N71" s="24">
        <f>IF(D71&lt;0.5,0,D71*(1+N('My Loans'!D6)/1200))</f>
        <v/>
      </c>
      <c r="O71" s="24">
        <f>IF(E71&lt;0.5,0,E71*(1+N('My Loans'!D7)/1200))</f>
        <v/>
      </c>
      <c r="P71" s="24">
        <f>IF(F71&lt;0.5,0,F71*(1+N('My Loans'!D8)/1200))</f>
        <v/>
      </c>
      <c r="Q71" s="24">
        <f>IF(G71&lt;0.5,0,G71*(1+N('My Loans'!D9)/1200))</f>
        <v/>
      </c>
      <c r="R71" s="24">
        <f>IF(H71&lt;0.5,0,H71*(1+N('My Loans'!D10)/1200))</f>
        <v/>
      </c>
      <c r="S71" s="24">
        <f>IF(I71&lt;0.5,0,I71*(1+N('My Loans'!D11)/1200))</f>
        <v/>
      </c>
      <c r="T71" s="24">
        <f>IF(J71&lt;0.5,0,J71*(1+N('My Loans'!D12)/1200))</f>
        <v/>
      </c>
      <c r="U71" s="24">
        <f>IF(K71&lt;0.5,0,K71*(1+N('My Loans'!D13)/1200))</f>
        <v/>
      </c>
      <c r="V71" s="24">
        <f>IF(L71&lt;0.5,0,L71*(1+N('My Loans'!D14)/1200))</f>
        <v/>
      </c>
      <c r="W71" s="24">
        <f>IF(M71&lt;0.5,0,M71*(1+N('My Loans'!D15)/1200))</f>
        <v/>
      </c>
      <c r="X71" s="24">
        <f>MIN(N71,N('My Loans'!E6))</f>
        <v/>
      </c>
      <c r="Y71" s="24">
        <f>MIN(O71,N('My Loans'!E7))</f>
        <v/>
      </c>
      <c r="Z71" s="24">
        <f>MIN(P71,N('My Loans'!E8))</f>
        <v/>
      </c>
      <c r="AA71" s="24">
        <f>MIN(Q71,N('My Loans'!E9))</f>
        <v/>
      </c>
      <c r="AB71" s="24">
        <f>MIN(R71,N('My Loans'!E10))</f>
        <v/>
      </c>
      <c r="AC71" s="24">
        <f>MIN(S71,N('My Loans'!E11))</f>
        <v/>
      </c>
      <c r="AD71" s="24">
        <f>MIN(T71,N('My Loans'!E12))</f>
        <v/>
      </c>
      <c r="AE71" s="24">
        <f>MIN(U71,N('My Loans'!E13))</f>
        <v/>
      </c>
      <c r="AF71" s="24">
        <f>MIN(V71,N('My Loans'!E14))</f>
        <v/>
      </c>
      <c r="AG71" s="24">
        <f>MIN(W71,N('My Loans'!E15))</f>
        <v/>
      </c>
      <c r="AH71" s="24">
        <f>MIN(N71-X71,MAX(0,$C71-SUMPRODUCT(($D$3:$M$3&lt;D$3)*($N71:$W71-$X71:$AG71))))</f>
        <v/>
      </c>
      <c r="AI71" s="24">
        <f>MIN(O71-Y71,MAX(0,$C71-SUMPRODUCT(($D$3:$M$3&lt;E$3)*($N71:$W71-$X71:$AG71))))</f>
        <v/>
      </c>
      <c r="AJ71" s="24">
        <f>MIN(P71-Z71,MAX(0,$C71-SUMPRODUCT(($D$3:$M$3&lt;F$3)*($N71:$W71-$X71:$AG71))))</f>
        <v/>
      </c>
      <c r="AK71" s="24">
        <f>MIN(Q71-AA71,MAX(0,$C71-SUMPRODUCT(($D$3:$M$3&lt;G$3)*($N71:$W71-$X71:$AG71))))</f>
        <v/>
      </c>
      <c r="AL71" s="24">
        <f>MIN(R71-AB71,MAX(0,$C71-SUMPRODUCT(($D$3:$M$3&lt;H$3)*($N71:$W71-$X71:$AG71))))</f>
        <v/>
      </c>
      <c r="AM71" s="24">
        <f>MIN(S71-AC71,MAX(0,$C71-SUMPRODUCT(($D$3:$M$3&lt;I$3)*($N71:$W71-$X71:$AG71))))</f>
        <v/>
      </c>
      <c r="AN71" s="24">
        <f>MIN(T71-AD71,MAX(0,$C71-SUMPRODUCT(($D$3:$M$3&lt;J$3)*($N71:$W71-$X71:$AG71))))</f>
        <v/>
      </c>
      <c r="AO71" s="24">
        <f>MIN(U71-AE71,MAX(0,$C71-SUMPRODUCT(($D$3:$M$3&lt;K$3)*($N71:$W71-$X71:$AG71))))</f>
        <v/>
      </c>
      <c r="AP71" s="24">
        <f>MIN(V71-AF71,MAX(0,$C71-SUMPRODUCT(($D$3:$M$3&lt;L$3)*($N71:$W71-$X71:$AG71))))</f>
        <v/>
      </c>
      <c r="AQ71" s="24">
        <f>MIN(W71-AG71,MAX(0,$C71-SUMPRODUCT(($D$3:$M$3&lt;M$3)*($N71:$W71-$X71:$AG71))))</f>
        <v/>
      </c>
      <c r="AR71" s="24">
        <f>ROUND(N71-X71-AH71,2)</f>
        <v/>
      </c>
      <c r="AS71" s="24">
        <f>ROUND(O71-Y71-AI71,2)</f>
        <v/>
      </c>
      <c r="AT71" s="24">
        <f>ROUND(P71-Z71-AJ71,2)</f>
        <v/>
      </c>
      <c r="AU71" s="24">
        <f>ROUND(Q71-AA71-AK71,2)</f>
        <v/>
      </c>
      <c r="AV71" s="24">
        <f>ROUND(R71-AB71-AL71,2)</f>
        <v/>
      </c>
      <c r="AW71" s="24">
        <f>ROUND(S71-AC71-AM71,2)</f>
        <v/>
      </c>
      <c r="AX71" s="24">
        <f>ROUND(T71-AD71-AN71,2)</f>
        <v/>
      </c>
      <c r="AY71" s="24">
        <f>ROUND(U71-AE71-AO71,2)</f>
        <v/>
      </c>
      <c r="AZ71" s="24">
        <f>ROUND(V71-AF71-AP71,2)</f>
        <v/>
      </c>
      <c r="BA71" s="24">
        <f>ROUND(W71-AG71-AQ71,2)</f>
        <v/>
      </c>
      <c r="BB71" s="24">
        <f>SUM(AR71:BA71)</f>
        <v/>
      </c>
    </row>
    <row r="72">
      <c r="A72" t="n">
        <v>68</v>
      </c>
      <c r="B72" s="23">
        <f>EOMONTH(TODAY(),67)</f>
        <v/>
      </c>
      <c r="C72" s="24">
        <f>MAX(0,(SUM('My Loans'!$E$6:$E$15)+'My Loans'!$D$3)-SUM($X72:$AG72))</f>
        <v/>
      </c>
      <c r="D72" s="24">
        <f>MAX(0,AR71)</f>
        <v/>
      </c>
      <c r="E72" s="24">
        <f>MAX(0,AS71)</f>
        <v/>
      </c>
      <c r="F72" s="24">
        <f>MAX(0,AT71)</f>
        <v/>
      </c>
      <c r="G72" s="24">
        <f>MAX(0,AU71)</f>
        <v/>
      </c>
      <c r="H72" s="24">
        <f>MAX(0,AV71)</f>
        <v/>
      </c>
      <c r="I72" s="24">
        <f>MAX(0,AW71)</f>
        <v/>
      </c>
      <c r="J72" s="24">
        <f>MAX(0,AX71)</f>
        <v/>
      </c>
      <c r="K72" s="24">
        <f>MAX(0,AY71)</f>
        <v/>
      </c>
      <c r="L72" s="24">
        <f>MAX(0,AZ71)</f>
        <v/>
      </c>
      <c r="M72" s="24">
        <f>MAX(0,BA71)</f>
        <v/>
      </c>
      <c r="N72" s="24">
        <f>IF(D72&lt;0.5,0,D72*(1+N('My Loans'!D6)/1200))</f>
        <v/>
      </c>
      <c r="O72" s="24">
        <f>IF(E72&lt;0.5,0,E72*(1+N('My Loans'!D7)/1200))</f>
        <v/>
      </c>
      <c r="P72" s="24">
        <f>IF(F72&lt;0.5,0,F72*(1+N('My Loans'!D8)/1200))</f>
        <v/>
      </c>
      <c r="Q72" s="24">
        <f>IF(G72&lt;0.5,0,G72*(1+N('My Loans'!D9)/1200))</f>
        <v/>
      </c>
      <c r="R72" s="24">
        <f>IF(H72&lt;0.5,0,H72*(1+N('My Loans'!D10)/1200))</f>
        <v/>
      </c>
      <c r="S72" s="24">
        <f>IF(I72&lt;0.5,0,I72*(1+N('My Loans'!D11)/1200))</f>
        <v/>
      </c>
      <c r="T72" s="24">
        <f>IF(J72&lt;0.5,0,J72*(1+N('My Loans'!D12)/1200))</f>
        <v/>
      </c>
      <c r="U72" s="24">
        <f>IF(K72&lt;0.5,0,K72*(1+N('My Loans'!D13)/1200))</f>
        <v/>
      </c>
      <c r="V72" s="24">
        <f>IF(L72&lt;0.5,0,L72*(1+N('My Loans'!D14)/1200))</f>
        <v/>
      </c>
      <c r="W72" s="24">
        <f>IF(M72&lt;0.5,0,M72*(1+N('My Loans'!D15)/1200))</f>
        <v/>
      </c>
      <c r="X72" s="24">
        <f>MIN(N72,N('My Loans'!E6))</f>
        <v/>
      </c>
      <c r="Y72" s="24">
        <f>MIN(O72,N('My Loans'!E7))</f>
        <v/>
      </c>
      <c r="Z72" s="24">
        <f>MIN(P72,N('My Loans'!E8))</f>
        <v/>
      </c>
      <c r="AA72" s="24">
        <f>MIN(Q72,N('My Loans'!E9))</f>
        <v/>
      </c>
      <c r="AB72" s="24">
        <f>MIN(R72,N('My Loans'!E10))</f>
        <v/>
      </c>
      <c r="AC72" s="24">
        <f>MIN(S72,N('My Loans'!E11))</f>
        <v/>
      </c>
      <c r="AD72" s="24">
        <f>MIN(T72,N('My Loans'!E12))</f>
        <v/>
      </c>
      <c r="AE72" s="24">
        <f>MIN(U72,N('My Loans'!E13))</f>
        <v/>
      </c>
      <c r="AF72" s="24">
        <f>MIN(V72,N('My Loans'!E14))</f>
        <v/>
      </c>
      <c r="AG72" s="24">
        <f>MIN(W72,N('My Loans'!E15))</f>
        <v/>
      </c>
      <c r="AH72" s="24">
        <f>MIN(N72-X72,MAX(0,$C72-SUMPRODUCT(($D$3:$M$3&lt;D$3)*($N72:$W72-$X72:$AG72))))</f>
        <v/>
      </c>
      <c r="AI72" s="24">
        <f>MIN(O72-Y72,MAX(0,$C72-SUMPRODUCT(($D$3:$M$3&lt;E$3)*($N72:$W72-$X72:$AG72))))</f>
        <v/>
      </c>
      <c r="AJ72" s="24">
        <f>MIN(P72-Z72,MAX(0,$C72-SUMPRODUCT(($D$3:$M$3&lt;F$3)*($N72:$W72-$X72:$AG72))))</f>
        <v/>
      </c>
      <c r="AK72" s="24">
        <f>MIN(Q72-AA72,MAX(0,$C72-SUMPRODUCT(($D$3:$M$3&lt;G$3)*($N72:$W72-$X72:$AG72))))</f>
        <v/>
      </c>
      <c r="AL72" s="24">
        <f>MIN(R72-AB72,MAX(0,$C72-SUMPRODUCT(($D$3:$M$3&lt;H$3)*($N72:$W72-$X72:$AG72))))</f>
        <v/>
      </c>
      <c r="AM72" s="24">
        <f>MIN(S72-AC72,MAX(0,$C72-SUMPRODUCT(($D$3:$M$3&lt;I$3)*($N72:$W72-$X72:$AG72))))</f>
        <v/>
      </c>
      <c r="AN72" s="24">
        <f>MIN(T72-AD72,MAX(0,$C72-SUMPRODUCT(($D$3:$M$3&lt;J$3)*($N72:$W72-$X72:$AG72))))</f>
        <v/>
      </c>
      <c r="AO72" s="24">
        <f>MIN(U72-AE72,MAX(0,$C72-SUMPRODUCT(($D$3:$M$3&lt;K$3)*($N72:$W72-$X72:$AG72))))</f>
        <v/>
      </c>
      <c r="AP72" s="24">
        <f>MIN(V72-AF72,MAX(0,$C72-SUMPRODUCT(($D$3:$M$3&lt;L$3)*($N72:$W72-$X72:$AG72))))</f>
        <v/>
      </c>
      <c r="AQ72" s="24">
        <f>MIN(W72-AG72,MAX(0,$C72-SUMPRODUCT(($D$3:$M$3&lt;M$3)*($N72:$W72-$X72:$AG72))))</f>
        <v/>
      </c>
      <c r="AR72" s="24">
        <f>ROUND(N72-X72-AH72,2)</f>
        <v/>
      </c>
      <c r="AS72" s="24">
        <f>ROUND(O72-Y72-AI72,2)</f>
        <v/>
      </c>
      <c r="AT72" s="24">
        <f>ROUND(P72-Z72-AJ72,2)</f>
        <v/>
      </c>
      <c r="AU72" s="24">
        <f>ROUND(Q72-AA72-AK72,2)</f>
        <v/>
      </c>
      <c r="AV72" s="24">
        <f>ROUND(R72-AB72-AL72,2)</f>
        <v/>
      </c>
      <c r="AW72" s="24">
        <f>ROUND(S72-AC72-AM72,2)</f>
        <v/>
      </c>
      <c r="AX72" s="24">
        <f>ROUND(T72-AD72-AN72,2)</f>
        <v/>
      </c>
      <c r="AY72" s="24">
        <f>ROUND(U72-AE72-AO72,2)</f>
        <v/>
      </c>
      <c r="AZ72" s="24">
        <f>ROUND(V72-AF72-AP72,2)</f>
        <v/>
      </c>
      <c r="BA72" s="24">
        <f>ROUND(W72-AG72-AQ72,2)</f>
        <v/>
      </c>
      <c r="BB72" s="24">
        <f>SUM(AR72:BA72)</f>
        <v/>
      </c>
    </row>
    <row r="73">
      <c r="A73" t="n">
        <v>69</v>
      </c>
      <c r="B73" s="23">
        <f>EOMONTH(TODAY(),68)</f>
        <v/>
      </c>
      <c r="C73" s="24">
        <f>MAX(0,(SUM('My Loans'!$E$6:$E$15)+'My Loans'!$D$3)-SUM($X73:$AG73))</f>
        <v/>
      </c>
      <c r="D73" s="24">
        <f>MAX(0,AR72)</f>
        <v/>
      </c>
      <c r="E73" s="24">
        <f>MAX(0,AS72)</f>
        <v/>
      </c>
      <c r="F73" s="24">
        <f>MAX(0,AT72)</f>
        <v/>
      </c>
      <c r="G73" s="24">
        <f>MAX(0,AU72)</f>
        <v/>
      </c>
      <c r="H73" s="24">
        <f>MAX(0,AV72)</f>
        <v/>
      </c>
      <c r="I73" s="24">
        <f>MAX(0,AW72)</f>
        <v/>
      </c>
      <c r="J73" s="24">
        <f>MAX(0,AX72)</f>
        <v/>
      </c>
      <c r="K73" s="24">
        <f>MAX(0,AY72)</f>
        <v/>
      </c>
      <c r="L73" s="24">
        <f>MAX(0,AZ72)</f>
        <v/>
      </c>
      <c r="M73" s="24">
        <f>MAX(0,BA72)</f>
        <v/>
      </c>
      <c r="N73" s="24">
        <f>IF(D73&lt;0.5,0,D73*(1+N('My Loans'!D6)/1200))</f>
        <v/>
      </c>
      <c r="O73" s="24">
        <f>IF(E73&lt;0.5,0,E73*(1+N('My Loans'!D7)/1200))</f>
        <v/>
      </c>
      <c r="P73" s="24">
        <f>IF(F73&lt;0.5,0,F73*(1+N('My Loans'!D8)/1200))</f>
        <v/>
      </c>
      <c r="Q73" s="24">
        <f>IF(G73&lt;0.5,0,G73*(1+N('My Loans'!D9)/1200))</f>
        <v/>
      </c>
      <c r="R73" s="24">
        <f>IF(H73&lt;0.5,0,H73*(1+N('My Loans'!D10)/1200))</f>
        <v/>
      </c>
      <c r="S73" s="24">
        <f>IF(I73&lt;0.5,0,I73*(1+N('My Loans'!D11)/1200))</f>
        <v/>
      </c>
      <c r="T73" s="24">
        <f>IF(J73&lt;0.5,0,J73*(1+N('My Loans'!D12)/1200))</f>
        <v/>
      </c>
      <c r="U73" s="24">
        <f>IF(K73&lt;0.5,0,K73*(1+N('My Loans'!D13)/1200))</f>
        <v/>
      </c>
      <c r="V73" s="24">
        <f>IF(L73&lt;0.5,0,L73*(1+N('My Loans'!D14)/1200))</f>
        <v/>
      </c>
      <c r="W73" s="24">
        <f>IF(M73&lt;0.5,0,M73*(1+N('My Loans'!D15)/1200))</f>
        <v/>
      </c>
      <c r="X73" s="24">
        <f>MIN(N73,N('My Loans'!E6))</f>
        <v/>
      </c>
      <c r="Y73" s="24">
        <f>MIN(O73,N('My Loans'!E7))</f>
        <v/>
      </c>
      <c r="Z73" s="24">
        <f>MIN(P73,N('My Loans'!E8))</f>
        <v/>
      </c>
      <c r="AA73" s="24">
        <f>MIN(Q73,N('My Loans'!E9))</f>
        <v/>
      </c>
      <c r="AB73" s="24">
        <f>MIN(R73,N('My Loans'!E10))</f>
        <v/>
      </c>
      <c r="AC73" s="24">
        <f>MIN(S73,N('My Loans'!E11))</f>
        <v/>
      </c>
      <c r="AD73" s="24">
        <f>MIN(T73,N('My Loans'!E12))</f>
        <v/>
      </c>
      <c r="AE73" s="24">
        <f>MIN(U73,N('My Loans'!E13))</f>
        <v/>
      </c>
      <c r="AF73" s="24">
        <f>MIN(V73,N('My Loans'!E14))</f>
        <v/>
      </c>
      <c r="AG73" s="24">
        <f>MIN(W73,N('My Loans'!E15))</f>
        <v/>
      </c>
      <c r="AH73" s="24">
        <f>MIN(N73-X73,MAX(0,$C73-SUMPRODUCT(($D$3:$M$3&lt;D$3)*($N73:$W73-$X73:$AG73))))</f>
        <v/>
      </c>
      <c r="AI73" s="24">
        <f>MIN(O73-Y73,MAX(0,$C73-SUMPRODUCT(($D$3:$M$3&lt;E$3)*($N73:$W73-$X73:$AG73))))</f>
        <v/>
      </c>
      <c r="AJ73" s="24">
        <f>MIN(P73-Z73,MAX(0,$C73-SUMPRODUCT(($D$3:$M$3&lt;F$3)*($N73:$W73-$X73:$AG73))))</f>
        <v/>
      </c>
      <c r="AK73" s="24">
        <f>MIN(Q73-AA73,MAX(0,$C73-SUMPRODUCT(($D$3:$M$3&lt;G$3)*($N73:$W73-$X73:$AG73))))</f>
        <v/>
      </c>
      <c r="AL73" s="24">
        <f>MIN(R73-AB73,MAX(0,$C73-SUMPRODUCT(($D$3:$M$3&lt;H$3)*($N73:$W73-$X73:$AG73))))</f>
        <v/>
      </c>
      <c r="AM73" s="24">
        <f>MIN(S73-AC73,MAX(0,$C73-SUMPRODUCT(($D$3:$M$3&lt;I$3)*($N73:$W73-$X73:$AG73))))</f>
        <v/>
      </c>
      <c r="AN73" s="24">
        <f>MIN(T73-AD73,MAX(0,$C73-SUMPRODUCT(($D$3:$M$3&lt;J$3)*($N73:$W73-$X73:$AG73))))</f>
        <v/>
      </c>
      <c r="AO73" s="24">
        <f>MIN(U73-AE73,MAX(0,$C73-SUMPRODUCT(($D$3:$M$3&lt;K$3)*($N73:$W73-$X73:$AG73))))</f>
        <v/>
      </c>
      <c r="AP73" s="24">
        <f>MIN(V73-AF73,MAX(0,$C73-SUMPRODUCT(($D$3:$M$3&lt;L$3)*($N73:$W73-$X73:$AG73))))</f>
        <v/>
      </c>
      <c r="AQ73" s="24">
        <f>MIN(W73-AG73,MAX(0,$C73-SUMPRODUCT(($D$3:$M$3&lt;M$3)*($N73:$W73-$X73:$AG73))))</f>
        <v/>
      </c>
      <c r="AR73" s="24">
        <f>ROUND(N73-X73-AH73,2)</f>
        <v/>
      </c>
      <c r="AS73" s="24">
        <f>ROUND(O73-Y73-AI73,2)</f>
        <v/>
      </c>
      <c r="AT73" s="24">
        <f>ROUND(P73-Z73-AJ73,2)</f>
        <v/>
      </c>
      <c r="AU73" s="24">
        <f>ROUND(Q73-AA73-AK73,2)</f>
        <v/>
      </c>
      <c r="AV73" s="24">
        <f>ROUND(R73-AB73-AL73,2)</f>
        <v/>
      </c>
      <c r="AW73" s="24">
        <f>ROUND(S73-AC73-AM73,2)</f>
        <v/>
      </c>
      <c r="AX73" s="24">
        <f>ROUND(T73-AD73-AN73,2)</f>
        <v/>
      </c>
      <c r="AY73" s="24">
        <f>ROUND(U73-AE73-AO73,2)</f>
        <v/>
      </c>
      <c r="AZ73" s="24">
        <f>ROUND(V73-AF73-AP73,2)</f>
        <v/>
      </c>
      <c r="BA73" s="24">
        <f>ROUND(W73-AG73-AQ73,2)</f>
        <v/>
      </c>
      <c r="BB73" s="24">
        <f>SUM(AR73:BA73)</f>
        <v/>
      </c>
    </row>
    <row r="74">
      <c r="A74" t="n">
        <v>70</v>
      </c>
      <c r="B74" s="23">
        <f>EOMONTH(TODAY(),69)</f>
        <v/>
      </c>
      <c r="C74" s="24">
        <f>MAX(0,(SUM('My Loans'!$E$6:$E$15)+'My Loans'!$D$3)-SUM($X74:$AG74))</f>
        <v/>
      </c>
      <c r="D74" s="24">
        <f>MAX(0,AR73)</f>
        <v/>
      </c>
      <c r="E74" s="24">
        <f>MAX(0,AS73)</f>
        <v/>
      </c>
      <c r="F74" s="24">
        <f>MAX(0,AT73)</f>
        <v/>
      </c>
      <c r="G74" s="24">
        <f>MAX(0,AU73)</f>
        <v/>
      </c>
      <c r="H74" s="24">
        <f>MAX(0,AV73)</f>
        <v/>
      </c>
      <c r="I74" s="24">
        <f>MAX(0,AW73)</f>
        <v/>
      </c>
      <c r="J74" s="24">
        <f>MAX(0,AX73)</f>
        <v/>
      </c>
      <c r="K74" s="24">
        <f>MAX(0,AY73)</f>
        <v/>
      </c>
      <c r="L74" s="24">
        <f>MAX(0,AZ73)</f>
        <v/>
      </c>
      <c r="M74" s="24">
        <f>MAX(0,BA73)</f>
        <v/>
      </c>
      <c r="N74" s="24">
        <f>IF(D74&lt;0.5,0,D74*(1+N('My Loans'!D6)/1200))</f>
        <v/>
      </c>
      <c r="O74" s="24">
        <f>IF(E74&lt;0.5,0,E74*(1+N('My Loans'!D7)/1200))</f>
        <v/>
      </c>
      <c r="P74" s="24">
        <f>IF(F74&lt;0.5,0,F74*(1+N('My Loans'!D8)/1200))</f>
        <v/>
      </c>
      <c r="Q74" s="24">
        <f>IF(G74&lt;0.5,0,G74*(1+N('My Loans'!D9)/1200))</f>
        <v/>
      </c>
      <c r="R74" s="24">
        <f>IF(H74&lt;0.5,0,H74*(1+N('My Loans'!D10)/1200))</f>
        <v/>
      </c>
      <c r="S74" s="24">
        <f>IF(I74&lt;0.5,0,I74*(1+N('My Loans'!D11)/1200))</f>
        <v/>
      </c>
      <c r="T74" s="24">
        <f>IF(J74&lt;0.5,0,J74*(1+N('My Loans'!D12)/1200))</f>
        <v/>
      </c>
      <c r="U74" s="24">
        <f>IF(K74&lt;0.5,0,K74*(1+N('My Loans'!D13)/1200))</f>
        <v/>
      </c>
      <c r="V74" s="24">
        <f>IF(L74&lt;0.5,0,L74*(1+N('My Loans'!D14)/1200))</f>
        <v/>
      </c>
      <c r="W74" s="24">
        <f>IF(M74&lt;0.5,0,M74*(1+N('My Loans'!D15)/1200))</f>
        <v/>
      </c>
      <c r="X74" s="24">
        <f>MIN(N74,N('My Loans'!E6))</f>
        <v/>
      </c>
      <c r="Y74" s="24">
        <f>MIN(O74,N('My Loans'!E7))</f>
        <v/>
      </c>
      <c r="Z74" s="24">
        <f>MIN(P74,N('My Loans'!E8))</f>
        <v/>
      </c>
      <c r="AA74" s="24">
        <f>MIN(Q74,N('My Loans'!E9))</f>
        <v/>
      </c>
      <c r="AB74" s="24">
        <f>MIN(R74,N('My Loans'!E10))</f>
        <v/>
      </c>
      <c r="AC74" s="24">
        <f>MIN(S74,N('My Loans'!E11))</f>
        <v/>
      </c>
      <c r="AD74" s="24">
        <f>MIN(T74,N('My Loans'!E12))</f>
        <v/>
      </c>
      <c r="AE74" s="24">
        <f>MIN(U74,N('My Loans'!E13))</f>
        <v/>
      </c>
      <c r="AF74" s="24">
        <f>MIN(V74,N('My Loans'!E14))</f>
        <v/>
      </c>
      <c r="AG74" s="24">
        <f>MIN(W74,N('My Loans'!E15))</f>
        <v/>
      </c>
      <c r="AH74" s="24">
        <f>MIN(N74-X74,MAX(0,$C74-SUMPRODUCT(($D$3:$M$3&lt;D$3)*($N74:$W74-$X74:$AG74))))</f>
        <v/>
      </c>
      <c r="AI74" s="24">
        <f>MIN(O74-Y74,MAX(0,$C74-SUMPRODUCT(($D$3:$M$3&lt;E$3)*($N74:$W74-$X74:$AG74))))</f>
        <v/>
      </c>
      <c r="AJ74" s="24">
        <f>MIN(P74-Z74,MAX(0,$C74-SUMPRODUCT(($D$3:$M$3&lt;F$3)*($N74:$W74-$X74:$AG74))))</f>
        <v/>
      </c>
      <c r="AK74" s="24">
        <f>MIN(Q74-AA74,MAX(0,$C74-SUMPRODUCT(($D$3:$M$3&lt;G$3)*($N74:$W74-$X74:$AG74))))</f>
        <v/>
      </c>
      <c r="AL74" s="24">
        <f>MIN(R74-AB74,MAX(0,$C74-SUMPRODUCT(($D$3:$M$3&lt;H$3)*($N74:$W74-$X74:$AG74))))</f>
        <v/>
      </c>
      <c r="AM74" s="24">
        <f>MIN(S74-AC74,MAX(0,$C74-SUMPRODUCT(($D$3:$M$3&lt;I$3)*($N74:$W74-$X74:$AG74))))</f>
        <v/>
      </c>
      <c r="AN74" s="24">
        <f>MIN(T74-AD74,MAX(0,$C74-SUMPRODUCT(($D$3:$M$3&lt;J$3)*($N74:$W74-$X74:$AG74))))</f>
        <v/>
      </c>
      <c r="AO74" s="24">
        <f>MIN(U74-AE74,MAX(0,$C74-SUMPRODUCT(($D$3:$M$3&lt;K$3)*($N74:$W74-$X74:$AG74))))</f>
        <v/>
      </c>
      <c r="AP74" s="24">
        <f>MIN(V74-AF74,MAX(0,$C74-SUMPRODUCT(($D$3:$M$3&lt;L$3)*($N74:$W74-$X74:$AG74))))</f>
        <v/>
      </c>
      <c r="AQ74" s="24">
        <f>MIN(W74-AG74,MAX(0,$C74-SUMPRODUCT(($D$3:$M$3&lt;M$3)*($N74:$W74-$X74:$AG74))))</f>
        <v/>
      </c>
      <c r="AR74" s="24">
        <f>ROUND(N74-X74-AH74,2)</f>
        <v/>
      </c>
      <c r="AS74" s="24">
        <f>ROUND(O74-Y74-AI74,2)</f>
        <v/>
      </c>
      <c r="AT74" s="24">
        <f>ROUND(P74-Z74-AJ74,2)</f>
        <v/>
      </c>
      <c r="AU74" s="24">
        <f>ROUND(Q74-AA74-AK74,2)</f>
        <v/>
      </c>
      <c r="AV74" s="24">
        <f>ROUND(R74-AB74-AL74,2)</f>
        <v/>
      </c>
      <c r="AW74" s="24">
        <f>ROUND(S74-AC74-AM74,2)</f>
        <v/>
      </c>
      <c r="AX74" s="24">
        <f>ROUND(T74-AD74-AN74,2)</f>
        <v/>
      </c>
      <c r="AY74" s="24">
        <f>ROUND(U74-AE74-AO74,2)</f>
        <v/>
      </c>
      <c r="AZ74" s="24">
        <f>ROUND(V74-AF74-AP74,2)</f>
        <v/>
      </c>
      <c r="BA74" s="24">
        <f>ROUND(W74-AG74-AQ74,2)</f>
        <v/>
      </c>
      <c r="BB74" s="24">
        <f>SUM(AR74:BA74)</f>
        <v/>
      </c>
    </row>
    <row r="75">
      <c r="A75" t="n">
        <v>71</v>
      </c>
      <c r="B75" s="23">
        <f>EOMONTH(TODAY(),70)</f>
        <v/>
      </c>
      <c r="C75" s="24">
        <f>MAX(0,(SUM('My Loans'!$E$6:$E$15)+'My Loans'!$D$3)-SUM($X75:$AG75))</f>
        <v/>
      </c>
      <c r="D75" s="24">
        <f>MAX(0,AR74)</f>
        <v/>
      </c>
      <c r="E75" s="24">
        <f>MAX(0,AS74)</f>
        <v/>
      </c>
      <c r="F75" s="24">
        <f>MAX(0,AT74)</f>
        <v/>
      </c>
      <c r="G75" s="24">
        <f>MAX(0,AU74)</f>
        <v/>
      </c>
      <c r="H75" s="24">
        <f>MAX(0,AV74)</f>
        <v/>
      </c>
      <c r="I75" s="24">
        <f>MAX(0,AW74)</f>
        <v/>
      </c>
      <c r="J75" s="24">
        <f>MAX(0,AX74)</f>
        <v/>
      </c>
      <c r="K75" s="24">
        <f>MAX(0,AY74)</f>
        <v/>
      </c>
      <c r="L75" s="24">
        <f>MAX(0,AZ74)</f>
        <v/>
      </c>
      <c r="M75" s="24">
        <f>MAX(0,BA74)</f>
        <v/>
      </c>
      <c r="N75" s="24">
        <f>IF(D75&lt;0.5,0,D75*(1+N('My Loans'!D6)/1200))</f>
        <v/>
      </c>
      <c r="O75" s="24">
        <f>IF(E75&lt;0.5,0,E75*(1+N('My Loans'!D7)/1200))</f>
        <v/>
      </c>
      <c r="P75" s="24">
        <f>IF(F75&lt;0.5,0,F75*(1+N('My Loans'!D8)/1200))</f>
        <v/>
      </c>
      <c r="Q75" s="24">
        <f>IF(G75&lt;0.5,0,G75*(1+N('My Loans'!D9)/1200))</f>
        <v/>
      </c>
      <c r="R75" s="24">
        <f>IF(H75&lt;0.5,0,H75*(1+N('My Loans'!D10)/1200))</f>
        <v/>
      </c>
      <c r="S75" s="24">
        <f>IF(I75&lt;0.5,0,I75*(1+N('My Loans'!D11)/1200))</f>
        <v/>
      </c>
      <c r="T75" s="24">
        <f>IF(J75&lt;0.5,0,J75*(1+N('My Loans'!D12)/1200))</f>
        <v/>
      </c>
      <c r="U75" s="24">
        <f>IF(K75&lt;0.5,0,K75*(1+N('My Loans'!D13)/1200))</f>
        <v/>
      </c>
      <c r="V75" s="24">
        <f>IF(L75&lt;0.5,0,L75*(1+N('My Loans'!D14)/1200))</f>
        <v/>
      </c>
      <c r="W75" s="24">
        <f>IF(M75&lt;0.5,0,M75*(1+N('My Loans'!D15)/1200))</f>
        <v/>
      </c>
      <c r="X75" s="24">
        <f>MIN(N75,N('My Loans'!E6))</f>
        <v/>
      </c>
      <c r="Y75" s="24">
        <f>MIN(O75,N('My Loans'!E7))</f>
        <v/>
      </c>
      <c r="Z75" s="24">
        <f>MIN(P75,N('My Loans'!E8))</f>
        <v/>
      </c>
      <c r="AA75" s="24">
        <f>MIN(Q75,N('My Loans'!E9))</f>
        <v/>
      </c>
      <c r="AB75" s="24">
        <f>MIN(R75,N('My Loans'!E10))</f>
        <v/>
      </c>
      <c r="AC75" s="24">
        <f>MIN(S75,N('My Loans'!E11))</f>
        <v/>
      </c>
      <c r="AD75" s="24">
        <f>MIN(T75,N('My Loans'!E12))</f>
        <v/>
      </c>
      <c r="AE75" s="24">
        <f>MIN(U75,N('My Loans'!E13))</f>
        <v/>
      </c>
      <c r="AF75" s="24">
        <f>MIN(V75,N('My Loans'!E14))</f>
        <v/>
      </c>
      <c r="AG75" s="24">
        <f>MIN(W75,N('My Loans'!E15))</f>
        <v/>
      </c>
      <c r="AH75" s="24">
        <f>MIN(N75-X75,MAX(0,$C75-SUMPRODUCT(($D$3:$M$3&lt;D$3)*($N75:$W75-$X75:$AG75))))</f>
        <v/>
      </c>
      <c r="AI75" s="24">
        <f>MIN(O75-Y75,MAX(0,$C75-SUMPRODUCT(($D$3:$M$3&lt;E$3)*($N75:$W75-$X75:$AG75))))</f>
        <v/>
      </c>
      <c r="AJ75" s="24">
        <f>MIN(P75-Z75,MAX(0,$C75-SUMPRODUCT(($D$3:$M$3&lt;F$3)*($N75:$W75-$X75:$AG75))))</f>
        <v/>
      </c>
      <c r="AK75" s="24">
        <f>MIN(Q75-AA75,MAX(0,$C75-SUMPRODUCT(($D$3:$M$3&lt;G$3)*($N75:$W75-$X75:$AG75))))</f>
        <v/>
      </c>
      <c r="AL75" s="24">
        <f>MIN(R75-AB75,MAX(0,$C75-SUMPRODUCT(($D$3:$M$3&lt;H$3)*($N75:$W75-$X75:$AG75))))</f>
        <v/>
      </c>
      <c r="AM75" s="24">
        <f>MIN(S75-AC75,MAX(0,$C75-SUMPRODUCT(($D$3:$M$3&lt;I$3)*($N75:$W75-$X75:$AG75))))</f>
        <v/>
      </c>
      <c r="AN75" s="24">
        <f>MIN(T75-AD75,MAX(0,$C75-SUMPRODUCT(($D$3:$M$3&lt;J$3)*($N75:$W75-$X75:$AG75))))</f>
        <v/>
      </c>
      <c r="AO75" s="24">
        <f>MIN(U75-AE75,MAX(0,$C75-SUMPRODUCT(($D$3:$M$3&lt;K$3)*($N75:$W75-$X75:$AG75))))</f>
        <v/>
      </c>
      <c r="AP75" s="24">
        <f>MIN(V75-AF75,MAX(0,$C75-SUMPRODUCT(($D$3:$M$3&lt;L$3)*($N75:$W75-$X75:$AG75))))</f>
        <v/>
      </c>
      <c r="AQ75" s="24">
        <f>MIN(W75-AG75,MAX(0,$C75-SUMPRODUCT(($D$3:$M$3&lt;M$3)*($N75:$W75-$X75:$AG75))))</f>
        <v/>
      </c>
      <c r="AR75" s="24">
        <f>ROUND(N75-X75-AH75,2)</f>
        <v/>
      </c>
      <c r="AS75" s="24">
        <f>ROUND(O75-Y75-AI75,2)</f>
        <v/>
      </c>
      <c r="AT75" s="24">
        <f>ROUND(P75-Z75-AJ75,2)</f>
        <v/>
      </c>
      <c r="AU75" s="24">
        <f>ROUND(Q75-AA75-AK75,2)</f>
        <v/>
      </c>
      <c r="AV75" s="24">
        <f>ROUND(R75-AB75-AL75,2)</f>
        <v/>
      </c>
      <c r="AW75" s="24">
        <f>ROUND(S75-AC75-AM75,2)</f>
        <v/>
      </c>
      <c r="AX75" s="24">
        <f>ROUND(T75-AD75-AN75,2)</f>
        <v/>
      </c>
      <c r="AY75" s="24">
        <f>ROUND(U75-AE75-AO75,2)</f>
        <v/>
      </c>
      <c r="AZ75" s="24">
        <f>ROUND(V75-AF75-AP75,2)</f>
        <v/>
      </c>
      <c r="BA75" s="24">
        <f>ROUND(W75-AG75-AQ75,2)</f>
        <v/>
      </c>
      <c r="BB75" s="24">
        <f>SUM(AR75:BA75)</f>
        <v/>
      </c>
    </row>
    <row r="76">
      <c r="A76" t="n">
        <v>72</v>
      </c>
      <c r="B76" s="23">
        <f>EOMONTH(TODAY(),71)</f>
        <v/>
      </c>
      <c r="C76" s="24">
        <f>MAX(0,(SUM('My Loans'!$E$6:$E$15)+'My Loans'!$D$3)-SUM($X76:$AG76))</f>
        <v/>
      </c>
      <c r="D76" s="24">
        <f>MAX(0,AR75)</f>
        <v/>
      </c>
      <c r="E76" s="24">
        <f>MAX(0,AS75)</f>
        <v/>
      </c>
      <c r="F76" s="24">
        <f>MAX(0,AT75)</f>
        <v/>
      </c>
      <c r="G76" s="24">
        <f>MAX(0,AU75)</f>
        <v/>
      </c>
      <c r="H76" s="24">
        <f>MAX(0,AV75)</f>
        <v/>
      </c>
      <c r="I76" s="24">
        <f>MAX(0,AW75)</f>
        <v/>
      </c>
      <c r="J76" s="24">
        <f>MAX(0,AX75)</f>
        <v/>
      </c>
      <c r="K76" s="24">
        <f>MAX(0,AY75)</f>
        <v/>
      </c>
      <c r="L76" s="24">
        <f>MAX(0,AZ75)</f>
        <v/>
      </c>
      <c r="M76" s="24">
        <f>MAX(0,BA75)</f>
        <v/>
      </c>
      <c r="N76" s="24">
        <f>IF(D76&lt;0.5,0,D76*(1+N('My Loans'!D6)/1200))</f>
        <v/>
      </c>
      <c r="O76" s="24">
        <f>IF(E76&lt;0.5,0,E76*(1+N('My Loans'!D7)/1200))</f>
        <v/>
      </c>
      <c r="P76" s="24">
        <f>IF(F76&lt;0.5,0,F76*(1+N('My Loans'!D8)/1200))</f>
        <v/>
      </c>
      <c r="Q76" s="24">
        <f>IF(G76&lt;0.5,0,G76*(1+N('My Loans'!D9)/1200))</f>
        <v/>
      </c>
      <c r="R76" s="24">
        <f>IF(H76&lt;0.5,0,H76*(1+N('My Loans'!D10)/1200))</f>
        <v/>
      </c>
      <c r="S76" s="24">
        <f>IF(I76&lt;0.5,0,I76*(1+N('My Loans'!D11)/1200))</f>
        <v/>
      </c>
      <c r="T76" s="24">
        <f>IF(J76&lt;0.5,0,J76*(1+N('My Loans'!D12)/1200))</f>
        <v/>
      </c>
      <c r="U76" s="24">
        <f>IF(K76&lt;0.5,0,K76*(1+N('My Loans'!D13)/1200))</f>
        <v/>
      </c>
      <c r="V76" s="24">
        <f>IF(L76&lt;0.5,0,L76*(1+N('My Loans'!D14)/1200))</f>
        <v/>
      </c>
      <c r="W76" s="24">
        <f>IF(M76&lt;0.5,0,M76*(1+N('My Loans'!D15)/1200))</f>
        <v/>
      </c>
      <c r="X76" s="24">
        <f>MIN(N76,N('My Loans'!E6))</f>
        <v/>
      </c>
      <c r="Y76" s="24">
        <f>MIN(O76,N('My Loans'!E7))</f>
        <v/>
      </c>
      <c r="Z76" s="24">
        <f>MIN(P76,N('My Loans'!E8))</f>
        <v/>
      </c>
      <c r="AA76" s="24">
        <f>MIN(Q76,N('My Loans'!E9))</f>
        <v/>
      </c>
      <c r="AB76" s="24">
        <f>MIN(R76,N('My Loans'!E10))</f>
        <v/>
      </c>
      <c r="AC76" s="24">
        <f>MIN(S76,N('My Loans'!E11))</f>
        <v/>
      </c>
      <c r="AD76" s="24">
        <f>MIN(T76,N('My Loans'!E12))</f>
        <v/>
      </c>
      <c r="AE76" s="24">
        <f>MIN(U76,N('My Loans'!E13))</f>
        <v/>
      </c>
      <c r="AF76" s="24">
        <f>MIN(V76,N('My Loans'!E14))</f>
        <v/>
      </c>
      <c r="AG76" s="24">
        <f>MIN(W76,N('My Loans'!E15))</f>
        <v/>
      </c>
      <c r="AH76" s="24">
        <f>MIN(N76-X76,MAX(0,$C76-SUMPRODUCT(($D$3:$M$3&lt;D$3)*($N76:$W76-$X76:$AG76))))</f>
        <v/>
      </c>
      <c r="AI76" s="24">
        <f>MIN(O76-Y76,MAX(0,$C76-SUMPRODUCT(($D$3:$M$3&lt;E$3)*($N76:$W76-$X76:$AG76))))</f>
        <v/>
      </c>
      <c r="AJ76" s="24">
        <f>MIN(P76-Z76,MAX(0,$C76-SUMPRODUCT(($D$3:$M$3&lt;F$3)*($N76:$W76-$X76:$AG76))))</f>
        <v/>
      </c>
      <c r="AK76" s="24">
        <f>MIN(Q76-AA76,MAX(0,$C76-SUMPRODUCT(($D$3:$M$3&lt;G$3)*($N76:$W76-$X76:$AG76))))</f>
        <v/>
      </c>
      <c r="AL76" s="24">
        <f>MIN(R76-AB76,MAX(0,$C76-SUMPRODUCT(($D$3:$M$3&lt;H$3)*($N76:$W76-$X76:$AG76))))</f>
        <v/>
      </c>
      <c r="AM76" s="24">
        <f>MIN(S76-AC76,MAX(0,$C76-SUMPRODUCT(($D$3:$M$3&lt;I$3)*($N76:$W76-$X76:$AG76))))</f>
        <v/>
      </c>
      <c r="AN76" s="24">
        <f>MIN(T76-AD76,MAX(0,$C76-SUMPRODUCT(($D$3:$M$3&lt;J$3)*($N76:$W76-$X76:$AG76))))</f>
        <v/>
      </c>
      <c r="AO76" s="24">
        <f>MIN(U76-AE76,MAX(0,$C76-SUMPRODUCT(($D$3:$M$3&lt;K$3)*($N76:$W76-$X76:$AG76))))</f>
        <v/>
      </c>
      <c r="AP76" s="24">
        <f>MIN(V76-AF76,MAX(0,$C76-SUMPRODUCT(($D$3:$M$3&lt;L$3)*($N76:$W76-$X76:$AG76))))</f>
        <v/>
      </c>
      <c r="AQ76" s="24">
        <f>MIN(W76-AG76,MAX(0,$C76-SUMPRODUCT(($D$3:$M$3&lt;M$3)*($N76:$W76-$X76:$AG76))))</f>
        <v/>
      </c>
      <c r="AR76" s="24">
        <f>ROUND(N76-X76-AH76,2)</f>
        <v/>
      </c>
      <c r="AS76" s="24">
        <f>ROUND(O76-Y76-AI76,2)</f>
        <v/>
      </c>
      <c r="AT76" s="24">
        <f>ROUND(P76-Z76-AJ76,2)</f>
        <v/>
      </c>
      <c r="AU76" s="24">
        <f>ROUND(Q76-AA76-AK76,2)</f>
        <v/>
      </c>
      <c r="AV76" s="24">
        <f>ROUND(R76-AB76-AL76,2)</f>
        <v/>
      </c>
      <c r="AW76" s="24">
        <f>ROUND(S76-AC76-AM76,2)</f>
        <v/>
      </c>
      <c r="AX76" s="24">
        <f>ROUND(T76-AD76-AN76,2)</f>
        <v/>
      </c>
      <c r="AY76" s="24">
        <f>ROUND(U76-AE76-AO76,2)</f>
        <v/>
      </c>
      <c r="AZ76" s="24">
        <f>ROUND(V76-AF76-AP76,2)</f>
        <v/>
      </c>
      <c r="BA76" s="24">
        <f>ROUND(W76-AG76-AQ76,2)</f>
        <v/>
      </c>
      <c r="BB76" s="24">
        <f>SUM(AR76:BA76)</f>
        <v/>
      </c>
    </row>
    <row r="77">
      <c r="A77" t="n">
        <v>73</v>
      </c>
      <c r="B77" s="23">
        <f>EOMONTH(TODAY(),72)</f>
        <v/>
      </c>
      <c r="C77" s="24">
        <f>MAX(0,(SUM('My Loans'!$E$6:$E$15)+'My Loans'!$D$3)-SUM($X77:$AG77))</f>
        <v/>
      </c>
      <c r="D77" s="24">
        <f>MAX(0,AR76)</f>
        <v/>
      </c>
      <c r="E77" s="24">
        <f>MAX(0,AS76)</f>
        <v/>
      </c>
      <c r="F77" s="24">
        <f>MAX(0,AT76)</f>
        <v/>
      </c>
      <c r="G77" s="24">
        <f>MAX(0,AU76)</f>
        <v/>
      </c>
      <c r="H77" s="24">
        <f>MAX(0,AV76)</f>
        <v/>
      </c>
      <c r="I77" s="24">
        <f>MAX(0,AW76)</f>
        <v/>
      </c>
      <c r="J77" s="24">
        <f>MAX(0,AX76)</f>
        <v/>
      </c>
      <c r="K77" s="24">
        <f>MAX(0,AY76)</f>
        <v/>
      </c>
      <c r="L77" s="24">
        <f>MAX(0,AZ76)</f>
        <v/>
      </c>
      <c r="M77" s="24">
        <f>MAX(0,BA76)</f>
        <v/>
      </c>
      <c r="N77" s="24">
        <f>IF(D77&lt;0.5,0,D77*(1+N('My Loans'!D6)/1200))</f>
        <v/>
      </c>
      <c r="O77" s="24">
        <f>IF(E77&lt;0.5,0,E77*(1+N('My Loans'!D7)/1200))</f>
        <v/>
      </c>
      <c r="P77" s="24">
        <f>IF(F77&lt;0.5,0,F77*(1+N('My Loans'!D8)/1200))</f>
        <v/>
      </c>
      <c r="Q77" s="24">
        <f>IF(G77&lt;0.5,0,G77*(1+N('My Loans'!D9)/1200))</f>
        <v/>
      </c>
      <c r="R77" s="24">
        <f>IF(H77&lt;0.5,0,H77*(1+N('My Loans'!D10)/1200))</f>
        <v/>
      </c>
      <c r="S77" s="24">
        <f>IF(I77&lt;0.5,0,I77*(1+N('My Loans'!D11)/1200))</f>
        <v/>
      </c>
      <c r="T77" s="24">
        <f>IF(J77&lt;0.5,0,J77*(1+N('My Loans'!D12)/1200))</f>
        <v/>
      </c>
      <c r="U77" s="24">
        <f>IF(K77&lt;0.5,0,K77*(1+N('My Loans'!D13)/1200))</f>
        <v/>
      </c>
      <c r="V77" s="24">
        <f>IF(L77&lt;0.5,0,L77*(1+N('My Loans'!D14)/1200))</f>
        <v/>
      </c>
      <c r="W77" s="24">
        <f>IF(M77&lt;0.5,0,M77*(1+N('My Loans'!D15)/1200))</f>
        <v/>
      </c>
      <c r="X77" s="24">
        <f>MIN(N77,N('My Loans'!E6))</f>
        <v/>
      </c>
      <c r="Y77" s="24">
        <f>MIN(O77,N('My Loans'!E7))</f>
        <v/>
      </c>
      <c r="Z77" s="24">
        <f>MIN(P77,N('My Loans'!E8))</f>
        <v/>
      </c>
      <c r="AA77" s="24">
        <f>MIN(Q77,N('My Loans'!E9))</f>
        <v/>
      </c>
      <c r="AB77" s="24">
        <f>MIN(R77,N('My Loans'!E10))</f>
        <v/>
      </c>
      <c r="AC77" s="24">
        <f>MIN(S77,N('My Loans'!E11))</f>
        <v/>
      </c>
      <c r="AD77" s="24">
        <f>MIN(T77,N('My Loans'!E12))</f>
        <v/>
      </c>
      <c r="AE77" s="24">
        <f>MIN(U77,N('My Loans'!E13))</f>
        <v/>
      </c>
      <c r="AF77" s="24">
        <f>MIN(V77,N('My Loans'!E14))</f>
        <v/>
      </c>
      <c r="AG77" s="24">
        <f>MIN(W77,N('My Loans'!E15))</f>
        <v/>
      </c>
      <c r="AH77" s="24">
        <f>MIN(N77-X77,MAX(0,$C77-SUMPRODUCT(($D$3:$M$3&lt;D$3)*($N77:$W77-$X77:$AG77))))</f>
        <v/>
      </c>
      <c r="AI77" s="24">
        <f>MIN(O77-Y77,MAX(0,$C77-SUMPRODUCT(($D$3:$M$3&lt;E$3)*($N77:$W77-$X77:$AG77))))</f>
        <v/>
      </c>
      <c r="AJ77" s="24">
        <f>MIN(P77-Z77,MAX(0,$C77-SUMPRODUCT(($D$3:$M$3&lt;F$3)*($N77:$W77-$X77:$AG77))))</f>
        <v/>
      </c>
      <c r="AK77" s="24">
        <f>MIN(Q77-AA77,MAX(0,$C77-SUMPRODUCT(($D$3:$M$3&lt;G$3)*($N77:$W77-$X77:$AG77))))</f>
        <v/>
      </c>
      <c r="AL77" s="24">
        <f>MIN(R77-AB77,MAX(0,$C77-SUMPRODUCT(($D$3:$M$3&lt;H$3)*($N77:$W77-$X77:$AG77))))</f>
        <v/>
      </c>
      <c r="AM77" s="24">
        <f>MIN(S77-AC77,MAX(0,$C77-SUMPRODUCT(($D$3:$M$3&lt;I$3)*($N77:$W77-$X77:$AG77))))</f>
        <v/>
      </c>
      <c r="AN77" s="24">
        <f>MIN(T77-AD77,MAX(0,$C77-SUMPRODUCT(($D$3:$M$3&lt;J$3)*($N77:$W77-$X77:$AG77))))</f>
        <v/>
      </c>
      <c r="AO77" s="24">
        <f>MIN(U77-AE77,MAX(0,$C77-SUMPRODUCT(($D$3:$M$3&lt;K$3)*($N77:$W77-$X77:$AG77))))</f>
        <v/>
      </c>
      <c r="AP77" s="24">
        <f>MIN(V77-AF77,MAX(0,$C77-SUMPRODUCT(($D$3:$M$3&lt;L$3)*($N77:$W77-$X77:$AG77))))</f>
        <v/>
      </c>
      <c r="AQ77" s="24">
        <f>MIN(W77-AG77,MAX(0,$C77-SUMPRODUCT(($D$3:$M$3&lt;M$3)*($N77:$W77-$X77:$AG77))))</f>
        <v/>
      </c>
      <c r="AR77" s="24">
        <f>ROUND(N77-X77-AH77,2)</f>
        <v/>
      </c>
      <c r="AS77" s="24">
        <f>ROUND(O77-Y77-AI77,2)</f>
        <v/>
      </c>
      <c r="AT77" s="24">
        <f>ROUND(P77-Z77-AJ77,2)</f>
        <v/>
      </c>
      <c r="AU77" s="24">
        <f>ROUND(Q77-AA77-AK77,2)</f>
        <v/>
      </c>
      <c r="AV77" s="24">
        <f>ROUND(R77-AB77-AL77,2)</f>
        <v/>
      </c>
      <c r="AW77" s="24">
        <f>ROUND(S77-AC77-AM77,2)</f>
        <v/>
      </c>
      <c r="AX77" s="24">
        <f>ROUND(T77-AD77-AN77,2)</f>
        <v/>
      </c>
      <c r="AY77" s="24">
        <f>ROUND(U77-AE77-AO77,2)</f>
        <v/>
      </c>
      <c r="AZ77" s="24">
        <f>ROUND(V77-AF77-AP77,2)</f>
        <v/>
      </c>
      <c r="BA77" s="24">
        <f>ROUND(W77-AG77-AQ77,2)</f>
        <v/>
      </c>
      <c r="BB77" s="24">
        <f>SUM(AR77:BA77)</f>
        <v/>
      </c>
    </row>
    <row r="78">
      <c r="A78" t="n">
        <v>74</v>
      </c>
      <c r="B78" s="23">
        <f>EOMONTH(TODAY(),73)</f>
        <v/>
      </c>
      <c r="C78" s="24">
        <f>MAX(0,(SUM('My Loans'!$E$6:$E$15)+'My Loans'!$D$3)-SUM($X78:$AG78))</f>
        <v/>
      </c>
      <c r="D78" s="24">
        <f>MAX(0,AR77)</f>
        <v/>
      </c>
      <c r="E78" s="24">
        <f>MAX(0,AS77)</f>
        <v/>
      </c>
      <c r="F78" s="24">
        <f>MAX(0,AT77)</f>
        <v/>
      </c>
      <c r="G78" s="24">
        <f>MAX(0,AU77)</f>
        <v/>
      </c>
      <c r="H78" s="24">
        <f>MAX(0,AV77)</f>
        <v/>
      </c>
      <c r="I78" s="24">
        <f>MAX(0,AW77)</f>
        <v/>
      </c>
      <c r="J78" s="24">
        <f>MAX(0,AX77)</f>
        <v/>
      </c>
      <c r="K78" s="24">
        <f>MAX(0,AY77)</f>
        <v/>
      </c>
      <c r="L78" s="24">
        <f>MAX(0,AZ77)</f>
        <v/>
      </c>
      <c r="M78" s="24">
        <f>MAX(0,BA77)</f>
        <v/>
      </c>
      <c r="N78" s="24">
        <f>IF(D78&lt;0.5,0,D78*(1+N('My Loans'!D6)/1200))</f>
        <v/>
      </c>
      <c r="O78" s="24">
        <f>IF(E78&lt;0.5,0,E78*(1+N('My Loans'!D7)/1200))</f>
        <v/>
      </c>
      <c r="P78" s="24">
        <f>IF(F78&lt;0.5,0,F78*(1+N('My Loans'!D8)/1200))</f>
        <v/>
      </c>
      <c r="Q78" s="24">
        <f>IF(G78&lt;0.5,0,G78*(1+N('My Loans'!D9)/1200))</f>
        <v/>
      </c>
      <c r="R78" s="24">
        <f>IF(H78&lt;0.5,0,H78*(1+N('My Loans'!D10)/1200))</f>
        <v/>
      </c>
      <c r="S78" s="24">
        <f>IF(I78&lt;0.5,0,I78*(1+N('My Loans'!D11)/1200))</f>
        <v/>
      </c>
      <c r="T78" s="24">
        <f>IF(J78&lt;0.5,0,J78*(1+N('My Loans'!D12)/1200))</f>
        <v/>
      </c>
      <c r="U78" s="24">
        <f>IF(K78&lt;0.5,0,K78*(1+N('My Loans'!D13)/1200))</f>
        <v/>
      </c>
      <c r="V78" s="24">
        <f>IF(L78&lt;0.5,0,L78*(1+N('My Loans'!D14)/1200))</f>
        <v/>
      </c>
      <c r="W78" s="24">
        <f>IF(M78&lt;0.5,0,M78*(1+N('My Loans'!D15)/1200))</f>
        <v/>
      </c>
      <c r="X78" s="24">
        <f>MIN(N78,N('My Loans'!E6))</f>
        <v/>
      </c>
      <c r="Y78" s="24">
        <f>MIN(O78,N('My Loans'!E7))</f>
        <v/>
      </c>
      <c r="Z78" s="24">
        <f>MIN(P78,N('My Loans'!E8))</f>
        <v/>
      </c>
      <c r="AA78" s="24">
        <f>MIN(Q78,N('My Loans'!E9))</f>
        <v/>
      </c>
      <c r="AB78" s="24">
        <f>MIN(R78,N('My Loans'!E10))</f>
        <v/>
      </c>
      <c r="AC78" s="24">
        <f>MIN(S78,N('My Loans'!E11))</f>
        <v/>
      </c>
      <c r="AD78" s="24">
        <f>MIN(T78,N('My Loans'!E12))</f>
        <v/>
      </c>
      <c r="AE78" s="24">
        <f>MIN(U78,N('My Loans'!E13))</f>
        <v/>
      </c>
      <c r="AF78" s="24">
        <f>MIN(V78,N('My Loans'!E14))</f>
        <v/>
      </c>
      <c r="AG78" s="24">
        <f>MIN(W78,N('My Loans'!E15))</f>
        <v/>
      </c>
      <c r="AH78" s="24">
        <f>MIN(N78-X78,MAX(0,$C78-SUMPRODUCT(($D$3:$M$3&lt;D$3)*($N78:$W78-$X78:$AG78))))</f>
        <v/>
      </c>
      <c r="AI78" s="24">
        <f>MIN(O78-Y78,MAX(0,$C78-SUMPRODUCT(($D$3:$M$3&lt;E$3)*($N78:$W78-$X78:$AG78))))</f>
        <v/>
      </c>
      <c r="AJ78" s="24">
        <f>MIN(P78-Z78,MAX(0,$C78-SUMPRODUCT(($D$3:$M$3&lt;F$3)*($N78:$W78-$X78:$AG78))))</f>
        <v/>
      </c>
      <c r="AK78" s="24">
        <f>MIN(Q78-AA78,MAX(0,$C78-SUMPRODUCT(($D$3:$M$3&lt;G$3)*($N78:$W78-$X78:$AG78))))</f>
        <v/>
      </c>
      <c r="AL78" s="24">
        <f>MIN(R78-AB78,MAX(0,$C78-SUMPRODUCT(($D$3:$M$3&lt;H$3)*($N78:$W78-$X78:$AG78))))</f>
        <v/>
      </c>
      <c r="AM78" s="24">
        <f>MIN(S78-AC78,MAX(0,$C78-SUMPRODUCT(($D$3:$M$3&lt;I$3)*($N78:$W78-$X78:$AG78))))</f>
        <v/>
      </c>
      <c r="AN78" s="24">
        <f>MIN(T78-AD78,MAX(0,$C78-SUMPRODUCT(($D$3:$M$3&lt;J$3)*($N78:$W78-$X78:$AG78))))</f>
        <v/>
      </c>
      <c r="AO78" s="24">
        <f>MIN(U78-AE78,MAX(0,$C78-SUMPRODUCT(($D$3:$M$3&lt;K$3)*($N78:$W78-$X78:$AG78))))</f>
        <v/>
      </c>
      <c r="AP78" s="24">
        <f>MIN(V78-AF78,MAX(0,$C78-SUMPRODUCT(($D$3:$M$3&lt;L$3)*($N78:$W78-$X78:$AG78))))</f>
        <v/>
      </c>
      <c r="AQ78" s="24">
        <f>MIN(W78-AG78,MAX(0,$C78-SUMPRODUCT(($D$3:$M$3&lt;M$3)*($N78:$W78-$X78:$AG78))))</f>
        <v/>
      </c>
      <c r="AR78" s="24">
        <f>ROUND(N78-X78-AH78,2)</f>
        <v/>
      </c>
      <c r="AS78" s="24">
        <f>ROUND(O78-Y78-AI78,2)</f>
        <v/>
      </c>
      <c r="AT78" s="24">
        <f>ROUND(P78-Z78-AJ78,2)</f>
        <v/>
      </c>
      <c r="AU78" s="24">
        <f>ROUND(Q78-AA78-AK78,2)</f>
        <v/>
      </c>
      <c r="AV78" s="24">
        <f>ROUND(R78-AB78-AL78,2)</f>
        <v/>
      </c>
      <c r="AW78" s="24">
        <f>ROUND(S78-AC78-AM78,2)</f>
        <v/>
      </c>
      <c r="AX78" s="24">
        <f>ROUND(T78-AD78-AN78,2)</f>
        <v/>
      </c>
      <c r="AY78" s="24">
        <f>ROUND(U78-AE78-AO78,2)</f>
        <v/>
      </c>
      <c r="AZ78" s="24">
        <f>ROUND(V78-AF78-AP78,2)</f>
        <v/>
      </c>
      <c r="BA78" s="24">
        <f>ROUND(W78-AG78-AQ78,2)</f>
        <v/>
      </c>
      <c r="BB78" s="24">
        <f>SUM(AR78:BA78)</f>
        <v/>
      </c>
    </row>
    <row r="79">
      <c r="A79" t="n">
        <v>75</v>
      </c>
      <c r="B79" s="23">
        <f>EOMONTH(TODAY(),74)</f>
        <v/>
      </c>
      <c r="C79" s="24">
        <f>MAX(0,(SUM('My Loans'!$E$6:$E$15)+'My Loans'!$D$3)-SUM($X79:$AG79))</f>
        <v/>
      </c>
      <c r="D79" s="24">
        <f>MAX(0,AR78)</f>
        <v/>
      </c>
      <c r="E79" s="24">
        <f>MAX(0,AS78)</f>
        <v/>
      </c>
      <c r="F79" s="24">
        <f>MAX(0,AT78)</f>
        <v/>
      </c>
      <c r="G79" s="24">
        <f>MAX(0,AU78)</f>
        <v/>
      </c>
      <c r="H79" s="24">
        <f>MAX(0,AV78)</f>
        <v/>
      </c>
      <c r="I79" s="24">
        <f>MAX(0,AW78)</f>
        <v/>
      </c>
      <c r="J79" s="24">
        <f>MAX(0,AX78)</f>
        <v/>
      </c>
      <c r="K79" s="24">
        <f>MAX(0,AY78)</f>
        <v/>
      </c>
      <c r="L79" s="24">
        <f>MAX(0,AZ78)</f>
        <v/>
      </c>
      <c r="M79" s="24">
        <f>MAX(0,BA78)</f>
        <v/>
      </c>
      <c r="N79" s="24">
        <f>IF(D79&lt;0.5,0,D79*(1+N('My Loans'!D6)/1200))</f>
        <v/>
      </c>
      <c r="O79" s="24">
        <f>IF(E79&lt;0.5,0,E79*(1+N('My Loans'!D7)/1200))</f>
        <v/>
      </c>
      <c r="P79" s="24">
        <f>IF(F79&lt;0.5,0,F79*(1+N('My Loans'!D8)/1200))</f>
        <v/>
      </c>
      <c r="Q79" s="24">
        <f>IF(G79&lt;0.5,0,G79*(1+N('My Loans'!D9)/1200))</f>
        <v/>
      </c>
      <c r="R79" s="24">
        <f>IF(H79&lt;0.5,0,H79*(1+N('My Loans'!D10)/1200))</f>
        <v/>
      </c>
      <c r="S79" s="24">
        <f>IF(I79&lt;0.5,0,I79*(1+N('My Loans'!D11)/1200))</f>
        <v/>
      </c>
      <c r="T79" s="24">
        <f>IF(J79&lt;0.5,0,J79*(1+N('My Loans'!D12)/1200))</f>
        <v/>
      </c>
      <c r="U79" s="24">
        <f>IF(K79&lt;0.5,0,K79*(1+N('My Loans'!D13)/1200))</f>
        <v/>
      </c>
      <c r="V79" s="24">
        <f>IF(L79&lt;0.5,0,L79*(1+N('My Loans'!D14)/1200))</f>
        <v/>
      </c>
      <c r="W79" s="24">
        <f>IF(M79&lt;0.5,0,M79*(1+N('My Loans'!D15)/1200))</f>
        <v/>
      </c>
      <c r="X79" s="24">
        <f>MIN(N79,N('My Loans'!E6))</f>
        <v/>
      </c>
      <c r="Y79" s="24">
        <f>MIN(O79,N('My Loans'!E7))</f>
        <v/>
      </c>
      <c r="Z79" s="24">
        <f>MIN(P79,N('My Loans'!E8))</f>
        <v/>
      </c>
      <c r="AA79" s="24">
        <f>MIN(Q79,N('My Loans'!E9))</f>
        <v/>
      </c>
      <c r="AB79" s="24">
        <f>MIN(R79,N('My Loans'!E10))</f>
        <v/>
      </c>
      <c r="AC79" s="24">
        <f>MIN(S79,N('My Loans'!E11))</f>
        <v/>
      </c>
      <c r="AD79" s="24">
        <f>MIN(T79,N('My Loans'!E12))</f>
        <v/>
      </c>
      <c r="AE79" s="24">
        <f>MIN(U79,N('My Loans'!E13))</f>
        <v/>
      </c>
      <c r="AF79" s="24">
        <f>MIN(V79,N('My Loans'!E14))</f>
        <v/>
      </c>
      <c r="AG79" s="24">
        <f>MIN(W79,N('My Loans'!E15))</f>
        <v/>
      </c>
      <c r="AH79" s="24">
        <f>MIN(N79-X79,MAX(0,$C79-SUMPRODUCT(($D$3:$M$3&lt;D$3)*($N79:$W79-$X79:$AG79))))</f>
        <v/>
      </c>
      <c r="AI79" s="24">
        <f>MIN(O79-Y79,MAX(0,$C79-SUMPRODUCT(($D$3:$M$3&lt;E$3)*($N79:$W79-$X79:$AG79))))</f>
        <v/>
      </c>
      <c r="AJ79" s="24">
        <f>MIN(P79-Z79,MAX(0,$C79-SUMPRODUCT(($D$3:$M$3&lt;F$3)*($N79:$W79-$X79:$AG79))))</f>
        <v/>
      </c>
      <c r="AK79" s="24">
        <f>MIN(Q79-AA79,MAX(0,$C79-SUMPRODUCT(($D$3:$M$3&lt;G$3)*($N79:$W79-$X79:$AG79))))</f>
        <v/>
      </c>
      <c r="AL79" s="24">
        <f>MIN(R79-AB79,MAX(0,$C79-SUMPRODUCT(($D$3:$M$3&lt;H$3)*($N79:$W79-$X79:$AG79))))</f>
        <v/>
      </c>
      <c r="AM79" s="24">
        <f>MIN(S79-AC79,MAX(0,$C79-SUMPRODUCT(($D$3:$M$3&lt;I$3)*($N79:$W79-$X79:$AG79))))</f>
        <v/>
      </c>
      <c r="AN79" s="24">
        <f>MIN(T79-AD79,MAX(0,$C79-SUMPRODUCT(($D$3:$M$3&lt;J$3)*($N79:$W79-$X79:$AG79))))</f>
        <v/>
      </c>
      <c r="AO79" s="24">
        <f>MIN(U79-AE79,MAX(0,$C79-SUMPRODUCT(($D$3:$M$3&lt;K$3)*($N79:$W79-$X79:$AG79))))</f>
        <v/>
      </c>
      <c r="AP79" s="24">
        <f>MIN(V79-AF79,MAX(0,$C79-SUMPRODUCT(($D$3:$M$3&lt;L$3)*($N79:$W79-$X79:$AG79))))</f>
        <v/>
      </c>
      <c r="AQ79" s="24">
        <f>MIN(W79-AG79,MAX(0,$C79-SUMPRODUCT(($D$3:$M$3&lt;M$3)*($N79:$W79-$X79:$AG79))))</f>
        <v/>
      </c>
      <c r="AR79" s="24">
        <f>ROUND(N79-X79-AH79,2)</f>
        <v/>
      </c>
      <c r="AS79" s="24">
        <f>ROUND(O79-Y79-AI79,2)</f>
        <v/>
      </c>
      <c r="AT79" s="24">
        <f>ROUND(P79-Z79-AJ79,2)</f>
        <v/>
      </c>
      <c r="AU79" s="24">
        <f>ROUND(Q79-AA79-AK79,2)</f>
        <v/>
      </c>
      <c r="AV79" s="24">
        <f>ROUND(R79-AB79-AL79,2)</f>
        <v/>
      </c>
      <c r="AW79" s="24">
        <f>ROUND(S79-AC79-AM79,2)</f>
        <v/>
      </c>
      <c r="AX79" s="24">
        <f>ROUND(T79-AD79-AN79,2)</f>
        <v/>
      </c>
      <c r="AY79" s="24">
        <f>ROUND(U79-AE79-AO79,2)</f>
        <v/>
      </c>
      <c r="AZ79" s="24">
        <f>ROUND(V79-AF79-AP79,2)</f>
        <v/>
      </c>
      <c r="BA79" s="24">
        <f>ROUND(W79-AG79-AQ79,2)</f>
        <v/>
      </c>
      <c r="BB79" s="24">
        <f>SUM(AR79:BA79)</f>
        <v/>
      </c>
    </row>
    <row r="80">
      <c r="A80" t="n">
        <v>76</v>
      </c>
      <c r="B80" s="23">
        <f>EOMONTH(TODAY(),75)</f>
        <v/>
      </c>
      <c r="C80" s="24">
        <f>MAX(0,(SUM('My Loans'!$E$6:$E$15)+'My Loans'!$D$3)-SUM($X80:$AG80))</f>
        <v/>
      </c>
      <c r="D80" s="24">
        <f>MAX(0,AR79)</f>
        <v/>
      </c>
      <c r="E80" s="24">
        <f>MAX(0,AS79)</f>
        <v/>
      </c>
      <c r="F80" s="24">
        <f>MAX(0,AT79)</f>
        <v/>
      </c>
      <c r="G80" s="24">
        <f>MAX(0,AU79)</f>
        <v/>
      </c>
      <c r="H80" s="24">
        <f>MAX(0,AV79)</f>
        <v/>
      </c>
      <c r="I80" s="24">
        <f>MAX(0,AW79)</f>
        <v/>
      </c>
      <c r="J80" s="24">
        <f>MAX(0,AX79)</f>
        <v/>
      </c>
      <c r="K80" s="24">
        <f>MAX(0,AY79)</f>
        <v/>
      </c>
      <c r="L80" s="24">
        <f>MAX(0,AZ79)</f>
        <v/>
      </c>
      <c r="M80" s="24">
        <f>MAX(0,BA79)</f>
        <v/>
      </c>
      <c r="N80" s="24">
        <f>IF(D80&lt;0.5,0,D80*(1+N('My Loans'!D6)/1200))</f>
        <v/>
      </c>
      <c r="O80" s="24">
        <f>IF(E80&lt;0.5,0,E80*(1+N('My Loans'!D7)/1200))</f>
        <v/>
      </c>
      <c r="P80" s="24">
        <f>IF(F80&lt;0.5,0,F80*(1+N('My Loans'!D8)/1200))</f>
        <v/>
      </c>
      <c r="Q80" s="24">
        <f>IF(G80&lt;0.5,0,G80*(1+N('My Loans'!D9)/1200))</f>
        <v/>
      </c>
      <c r="R80" s="24">
        <f>IF(H80&lt;0.5,0,H80*(1+N('My Loans'!D10)/1200))</f>
        <v/>
      </c>
      <c r="S80" s="24">
        <f>IF(I80&lt;0.5,0,I80*(1+N('My Loans'!D11)/1200))</f>
        <v/>
      </c>
      <c r="T80" s="24">
        <f>IF(J80&lt;0.5,0,J80*(1+N('My Loans'!D12)/1200))</f>
        <v/>
      </c>
      <c r="U80" s="24">
        <f>IF(K80&lt;0.5,0,K80*(1+N('My Loans'!D13)/1200))</f>
        <v/>
      </c>
      <c r="V80" s="24">
        <f>IF(L80&lt;0.5,0,L80*(1+N('My Loans'!D14)/1200))</f>
        <v/>
      </c>
      <c r="W80" s="24">
        <f>IF(M80&lt;0.5,0,M80*(1+N('My Loans'!D15)/1200))</f>
        <v/>
      </c>
      <c r="X80" s="24">
        <f>MIN(N80,N('My Loans'!E6))</f>
        <v/>
      </c>
      <c r="Y80" s="24">
        <f>MIN(O80,N('My Loans'!E7))</f>
        <v/>
      </c>
      <c r="Z80" s="24">
        <f>MIN(P80,N('My Loans'!E8))</f>
        <v/>
      </c>
      <c r="AA80" s="24">
        <f>MIN(Q80,N('My Loans'!E9))</f>
        <v/>
      </c>
      <c r="AB80" s="24">
        <f>MIN(R80,N('My Loans'!E10))</f>
        <v/>
      </c>
      <c r="AC80" s="24">
        <f>MIN(S80,N('My Loans'!E11))</f>
        <v/>
      </c>
      <c r="AD80" s="24">
        <f>MIN(T80,N('My Loans'!E12))</f>
        <v/>
      </c>
      <c r="AE80" s="24">
        <f>MIN(U80,N('My Loans'!E13))</f>
        <v/>
      </c>
      <c r="AF80" s="24">
        <f>MIN(V80,N('My Loans'!E14))</f>
        <v/>
      </c>
      <c r="AG80" s="24">
        <f>MIN(W80,N('My Loans'!E15))</f>
        <v/>
      </c>
      <c r="AH80" s="24">
        <f>MIN(N80-X80,MAX(0,$C80-SUMPRODUCT(($D$3:$M$3&lt;D$3)*($N80:$W80-$X80:$AG80))))</f>
        <v/>
      </c>
      <c r="AI80" s="24">
        <f>MIN(O80-Y80,MAX(0,$C80-SUMPRODUCT(($D$3:$M$3&lt;E$3)*($N80:$W80-$X80:$AG80))))</f>
        <v/>
      </c>
      <c r="AJ80" s="24">
        <f>MIN(P80-Z80,MAX(0,$C80-SUMPRODUCT(($D$3:$M$3&lt;F$3)*($N80:$W80-$X80:$AG80))))</f>
        <v/>
      </c>
      <c r="AK80" s="24">
        <f>MIN(Q80-AA80,MAX(0,$C80-SUMPRODUCT(($D$3:$M$3&lt;G$3)*($N80:$W80-$X80:$AG80))))</f>
        <v/>
      </c>
      <c r="AL80" s="24">
        <f>MIN(R80-AB80,MAX(0,$C80-SUMPRODUCT(($D$3:$M$3&lt;H$3)*($N80:$W80-$X80:$AG80))))</f>
        <v/>
      </c>
      <c r="AM80" s="24">
        <f>MIN(S80-AC80,MAX(0,$C80-SUMPRODUCT(($D$3:$M$3&lt;I$3)*($N80:$W80-$X80:$AG80))))</f>
        <v/>
      </c>
      <c r="AN80" s="24">
        <f>MIN(T80-AD80,MAX(0,$C80-SUMPRODUCT(($D$3:$M$3&lt;J$3)*($N80:$W80-$X80:$AG80))))</f>
        <v/>
      </c>
      <c r="AO80" s="24">
        <f>MIN(U80-AE80,MAX(0,$C80-SUMPRODUCT(($D$3:$M$3&lt;K$3)*($N80:$W80-$X80:$AG80))))</f>
        <v/>
      </c>
      <c r="AP80" s="24">
        <f>MIN(V80-AF80,MAX(0,$C80-SUMPRODUCT(($D$3:$M$3&lt;L$3)*($N80:$W80-$X80:$AG80))))</f>
        <v/>
      </c>
      <c r="AQ80" s="24">
        <f>MIN(W80-AG80,MAX(0,$C80-SUMPRODUCT(($D$3:$M$3&lt;M$3)*($N80:$W80-$X80:$AG80))))</f>
        <v/>
      </c>
      <c r="AR80" s="24">
        <f>ROUND(N80-X80-AH80,2)</f>
        <v/>
      </c>
      <c r="AS80" s="24">
        <f>ROUND(O80-Y80-AI80,2)</f>
        <v/>
      </c>
      <c r="AT80" s="24">
        <f>ROUND(P80-Z80-AJ80,2)</f>
        <v/>
      </c>
      <c r="AU80" s="24">
        <f>ROUND(Q80-AA80-AK80,2)</f>
        <v/>
      </c>
      <c r="AV80" s="24">
        <f>ROUND(R80-AB80-AL80,2)</f>
        <v/>
      </c>
      <c r="AW80" s="24">
        <f>ROUND(S80-AC80-AM80,2)</f>
        <v/>
      </c>
      <c r="AX80" s="24">
        <f>ROUND(T80-AD80-AN80,2)</f>
        <v/>
      </c>
      <c r="AY80" s="24">
        <f>ROUND(U80-AE80-AO80,2)</f>
        <v/>
      </c>
      <c r="AZ80" s="24">
        <f>ROUND(V80-AF80-AP80,2)</f>
        <v/>
      </c>
      <c r="BA80" s="24">
        <f>ROUND(W80-AG80-AQ80,2)</f>
        <v/>
      </c>
      <c r="BB80" s="24">
        <f>SUM(AR80:BA80)</f>
        <v/>
      </c>
    </row>
    <row r="81">
      <c r="A81" t="n">
        <v>77</v>
      </c>
      <c r="B81" s="23">
        <f>EOMONTH(TODAY(),76)</f>
        <v/>
      </c>
      <c r="C81" s="24">
        <f>MAX(0,(SUM('My Loans'!$E$6:$E$15)+'My Loans'!$D$3)-SUM($X81:$AG81))</f>
        <v/>
      </c>
      <c r="D81" s="24">
        <f>MAX(0,AR80)</f>
        <v/>
      </c>
      <c r="E81" s="24">
        <f>MAX(0,AS80)</f>
        <v/>
      </c>
      <c r="F81" s="24">
        <f>MAX(0,AT80)</f>
        <v/>
      </c>
      <c r="G81" s="24">
        <f>MAX(0,AU80)</f>
        <v/>
      </c>
      <c r="H81" s="24">
        <f>MAX(0,AV80)</f>
        <v/>
      </c>
      <c r="I81" s="24">
        <f>MAX(0,AW80)</f>
        <v/>
      </c>
      <c r="J81" s="24">
        <f>MAX(0,AX80)</f>
        <v/>
      </c>
      <c r="K81" s="24">
        <f>MAX(0,AY80)</f>
        <v/>
      </c>
      <c r="L81" s="24">
        <f>MAX(0,AZ80)</f>
        <v/>
      </c>
      <c r="M81" s="24">
        <f>MAX(0,BA80)</f>
        <v/>
      </c>
      <c r="N81" s="24">
        <f>IF(D81&lt;0.5,0,D81*(1+N('My Loans'!D6)/1200))</f>
        <v/>
      </c>
      <c r="O81" s="24">
        <f>IF(E81&lt;0.5,0,E81*(1+N('My Loans'!D7)/1200))</f>
        <v/>
      </c>
      <c r="P81" s="24">
        <f>IF(F81&lt;0.5,0,F81*(1+N('My Loans'!D8)/1200))</f>
        <v/>
      </c>
      <c r="Q81" s="24">
        <f>IF(G81&lt;0.5,0,G81*(1+N('My Loans'!D9)/1200))</f>
        <v/>
      </c>
      <c r="R81" s="24">
        <f>IF(H81&lt;0.5,0,H81*(1+N('My Loans'!D10)/1200))</f>
        <v/>
      </c>
      <c r="S81" s="24">
        <f>IF(I81&lt;0.5,0,I81*(1+N('My Loans'!D11)/1200))</f>
        <v/>
      </c>
      <c r="T81" s="24">
        <f>IF(J81&lt;0.5,0,J81*(1+N('My Loans'!D12)/1200))</f>
        <v/>
      </c>
      <c r="U81" s="24">
        <f>IF(K81&lt;0.5,0,K81*(1+N('My Loans'!D13)/1200))</f>
        <v/>
      </c>
      <c r="V81" s="24">
        <f>IF(L81&lt;0.5,0,L81*(1+N('My Loans'!D14)/1200))</f>
        <v/>
      </c>
      <c r="W81" s="24">
        <f>IF(M81&lt;0.5,0,M81*(1+N('My Loans'!D15)/1200))</f>
        <v/>
      </c>
      <c r="X81" s="24">
        <f>MIN(N81,N('My Loans'!E6))</f>
        <v/>
      </c>
      <c r="Y81" s="24">
        <f>MIN(O81,N('My Loans'!E7))</f>
        <v/>
      </c>
      <c r="Z81" s="24">
        <f>MIN(P81,N('My Loans'!E8))</f>
        <v/>
      </c>
      <c r="AA81" s="24">
        <f>MIN(Q81,N('My Loans'!E9))</f>
        <v/>
      </c>
      <c r="AB81" s="24">
        <f>MIN(R81,N('My Loans'!E10))</f>
        <v/>
      </c>
      <c r="AC81" s="24">
        <f>MIN(S81,N('My Loans'!E11))</f>
        <v/>
      </c>
      <c r="AD81" s="24">
        <f>MIN(T81,N('My Loans'!E12))</f>
        <v/>
      </c>
      <c r="AE81" s="24">
        <f>MIN(U81,N('My Loans'!E13))</f>
        <v/>
      </c>
      <c r="AF81" s="24">
        <f>MIN(V81,N('My Loans'!E14))</f>
        <v/>
      </c>
      <c r="AG81" s="24">
        <f>MIN(W81,N('My Loans'!E15))</f>
        <v/>
      </c>
      <c r="AH81" s="24">
        <f>MIN(N81-X81,MAX(0,$C81-SUMPRODUCT(($D$3:$M$3&lt;D$3)*($N81:$W81-$X81:$AG81))))</f>
        <v/>
      </c>
      <c r="AI81" s="24">
        <f>MIN(O81-Y81,MAX(0,$C81-SUMPRODUCT(($D$3:$M$3&lt;E$3)*($N81:$W81-$X81:$AG81))))</f>
        <v/>
      </c>
      <c r="AJ81" s="24">
        <f>MIN(P81-Z81,MAX(0,$C81-SUMPRODUCT(($D$3:$M$3&lt;F$3)*($N81:$W81-$X81:$AG81))))</f>
        <v/>
      </c>
      <c r="AK81" s="24">
        <f>MIN(Q81-AA81,MAX(0,$C81-SUMPRODUCT(($D$3:$M$3&lt;G$3)*($N81:$W81-$X81:$AG81))))</f>
        <v/>
      </c>
      <c r="AL81" s="24">
        <f>MIN(R81-AB81,MAX(0,$C81-SUMPRODUCT(($D$3:$M$3&lt;H$3)*($N81:$W81-$X81:$AG81))))</f>
        <v/>
      </c>
      <c r="AM81" s="24">
        <f>MIN(S81-AC81,MAX(0,$C81-SUMPRODUCT(($D$3:$M$3&lt;I$3)*($N81:$W81-$X81:$AG81))))</f>
        <v/>
      </c>
      <c r="AN81" s="24">
        <f>MIN(T81-AD81,MAX(0,$C81-SUMPRODUCT(($D$3:$M$3&lt;J$3)*($N81:$W81-$X81:$AG81))))</f>
        <v/>
      </c>
      <c r="AO81" s="24">
        <f>MIN(U81-AE81,MAX(0,$C81-SUMPRODUCT(($D$3:$M$3&lt;K$3)*($N81:$W81-$X81:$AG81))))</f>
        <v/>
      </c>
      <c r="AP81" s="24">
        <f>MIN(V81-AF81,MAX(0,$C81-SUMPRODUCT(($D$3:$M$3&lt;L$3)*($N81:$W81-$X81:$AG81))))</f>
        <v/>
      </c>
      <c r="AQ81" s="24">
        <f>MIN(W81-AG81,MAX(0,$C81-SUMPRODUCT(($D$3:$M$3&lt;M$3)*($N81:$W81-$X81:$AG81))))</f>
        <v/>
      </c>
      <c r="AR81" s="24">
        <f>ROUND(N81-X81-AH81,2)</f>
        <v/>
      </c>
      <c r="AS81" s="24">
        <f>ROUND(O81-Y81-AI81,2)</f>
        <v/>
      </c>
      <c r="AT81" s="24">
        <f>ROUND(P81-Z81-AJ81,2)</f>
        <v/>
      </c>
      <c r="AU81" s="24">
        <f>ROUND(Q81-AA81-AK81,2)</f>
        <v/>
      </c>
      <c r="AV81" s="24">
        <f>ROUND(R81-AB81-AL81,2)</f>
        <v/>
      </c>
      <c r="AW81" s="24">
        <f>ROUND(S81-AC81-AM81,2)</f>
        <v/>
      </c>
      <c r="AX81" s="24">
        <f>ROUND(T81-AD81-AN81,2)</f>
        <v/>
      </c>
      <c r="AY81" s="24">
        <f>ROUND(U81-AE81-AO81,2)</f>
        <v/>
      </c>
      <c r="AZ81" s="24">
        <f>ROUND(V81-AF81-AP81,2)</f>
        <v/>
      </c>
      <c r="BA81" s="24">
        <f>ROUND(W81-AG81-AQ81,2)</f>
        <v/>
      </c>
      <c r="BB81" s="24">
        <f>SUM(AR81:BA81)</f>
        <v/>
      </c>
    </row>
    <row r="82">
      <c r="A82" t="n">
        <v>78</v>
      </c>
      <c r="B82" s="23">
        <f>EOMONTH(TODAY(),77)</f>
        <v/>
      </c>
      <c r="C82" s="24">
        <f>MAX(0,(SUM('My Loans'!$E$6:$E$15)+'My Loans'!$D$3)-SUM($X82:$AG82))</f>
        <v/>
      </c>
      <c r="D82" s="24">
        <f>MAX(0,AR81)</f>
        <v/>
      </c>
      <c r="E82" s="24">
        <f>MAX(0,AS81)</f>
        <v/>
      </c>
      <c r="F82" s="24">
        <f>MAX(0,AT81)</f>
        <v/>
      </c>
      <c r="G82" s="24">
        <f>MAX(0,AU81)</f>
        <v/>
      </c>
      <c r="H82" s="24">
        <f>MAX(0,AV81)</f>
        <v/>
      </c>
      <c r="I82" s="24">
        <f>MAX(0,AW81)</f>
        <v/>
      </c>
      <c r="J82" s="24">
        <f>MAX(0,AX81)</f>
        <v/>
      </c>
      <c r="K82" s="24">
        <f>MAX(0,AY81)</f>
        <v/>
      </c>
      <c r="L82" s="24">
        <f>MAX(0,AZ81)</f>
        <v/>
      </c>
      <c r="M82" s="24">
        <f>MAX(0,BA81)</f>
        <v/>
      </c>
      <c r="N82" s="24">
        <f>IF(D82&lt;0.5,0,D82*(1+N('My Loans'!D6)/1200))</f>
        <v/>
      </c>
      <c r="O82" s="24">
        <f>IF(E82&lt;0.5,0,E82*(1+N('My Loans'!D7)/1200))</f>
        <v/>
      </c>
      <c r="P82" s="24">
        <f>IF(F82&lt;0.5,0,F82*(1+N('My Loans'!D8)/1200))</f>
        <v/>
      </c>
      <c r="Q82" s="24">
        <f>IF(G82&lt;0.5,0,G82*(1+N('My Loans'!D9)/1200))</f>
        <v/>
      </c>
      <c r="R82" s="24">
        <f>IF(H82&lt;0.5,0,H82*(1+N('My Loans'!D10)/1200))</f>
        <v/>
      </c>
      <c r="S82" s="24">
        <f>IF(I82&lt;0.5,0,I82*(1+N('My Loans'!D11)/1200))</f>
        <v/>
      </c>
      <c r="T82" s="24">
        <f>IF(J82&lt;0.5,0,J82*(1+N('My Loans'!D12)/1200))</f>
        <v/>
      </c>
      <c r="U82" s="24">
        <f>IF(K82&lt;0.5,0,K82*(1+N('My Loans'!D13)/1200))</f>
        <v/>
      </c>
      <c r="V82" s="24">
        <f>IF(L82&lt;0.5,0,L82*(1+N('My Loans'!D14)/1200))</f>
        <v/>
      </c>
      <c r="W82" s="24">
        <f>IF(M82&lt;0.5,0,M82*(1+N('My Loans'!D15)/1200))</f>
        <v/>
      </c>
      <c r="X82" s="24">
        <f>MIN(N82,N('My Loans'!E6))</f>
        <v/>
      </c>
      <c r="Y82" s="24">
        <f>MIN(O82,N('My Loans'!E7))</f>
        <v/>
      </c>
      <c r="Z82" s="24">
        <f>MIN(P82,N('My Loans'!E8))</f>
        <v/>
      </c>
      <c r="AA82" s="24">
        <f>MIN(Q82,N('My Loans'!E9))</f>
        <v/>
      </c>
      <c r="AB82" s="24">
        <f>MIN(R82,N('My Loans'!E10))</f>
        <v/>
      </c>
      <c r="AC82" s="24">
        <f>MIN(S82,N('My Loans'!E11))</f>
        <v/>
      </c>
      <c r="AD82" s="24">
        <f>MIN(T82,N('My Loans'!E12))</f>
        <v/>
      </c>
      <c r="AE82" s="24">
        <f>MIN(U82,N('My Loans'!E13))</f>
        <v/>
      </c>
      <c r="AF82" s="24">
        <f>MIN(V82,N('My Loans'!E14))</f>
        <v/>
      </c>
      <c r="AG82" s="24">
        <f>MIN(W82,N('My Loans'!E15))</f>
        <v/>
      </c>
      <c r="AH82" s="24">
        <f>MIN(N82-X82,MAX(0,$C82-SUMPRODUCT(($D$3:$M$3&lt;D$3)*($N82:$W82-$X82:$AG82))))</f>
        <v/>
      </c>
      <c r="AI82" s="24">
        <f>MIN(O82-Y82,MAX(0,$C82-SUMPRODUCT(($D$3:$M$3&lt;E$3)*($N82:$W82-$X82:$AG82))))</f>
        <v/>
      </c>
      <c r="AJ82" s="24">
        <f>MIN(P82-Z82,MAX(0,$C82-SUMPRODUCT(($D$3:$M$3&lt;F$3)*($N82:$W82-$X82:$AG82))))</f>
        <v/>
      </c>
      <c r="AK82" s="24">
        <f>MIN(Q82-AA82,MAX(0,$C82-SUMPRODUCT(($D$3:$M$3&lt;G$3)*($N82:$W82-$X82:$AG82))))</f>
        <v/>
      </c>
      <c r="AL82" s="24">
        <f>MIN(R82-AB82,MAX(0,$C82-SUMPRODUCT(($D$3:$M$3&lt;H$3)*($N82:$W82-$X82:$AG82))))</f>
        <v/>
      </c>
      <c r="AM82" s="24">
        <f>MIN(S82-AC82,MAX(0,$C82-SUMPRODUCT(($D$3:$M$3&lt;I$3)*($N82:$W82-$X82:$AG82))))</f>
        <v/>
      </c>
      <c r="AN82" s="24">
        <f>MIN(T82-AD82,MAX(0,$C82-SUMPRODUCT(($D$3:$M$3&lt;J$3)*($N82:$W82-$X82:$AG82))))</f>
        <v/>
      </c>
      <c r="AO82" s="24">
        <f>MIN(U82-AE82,MAX(0,$C82-SUMPRODUCT(($D$3:$M$3&lt;K$3)*($N82:$W82-$X82:$AG82))))</f>
        <v/>
      </c>
      <c r="AP82" s="24">
        <f>MIN(V82-AF82,MAX(0,$C82-SUMPRODUCT(($D$3:$M$3&lt;L$3)*($N82:$W82-$X82:$AG82))))</f>
        <v/>
      </c>
      <c r="AQ82" s="24">
        <f>MIN(W82-AG82,MAX(0,$C82-SUMPRODUCT(($D$3:$M$3&lt;M$3)*($N82:$W82-$X82:$AG82))))</f>
        <v/>
      </c>
      <c r="AR82" s="24">
        <f>ROUND(N82-X82-AH82,2)</f>
        <v/>
      </c>
      <c r="AS82" s="24">
        <f>ROUND(O82-Y82-AI82,2)</f>
        <v/>
      </c>
      <c r="AT82" s="24">
        <f>ROUND(P82-Z82-AJ82,2)</f>
        <v/>
      </c>
      <c r="AU82" s="24">
        <f>ROUND(Q82-AA82-AK82,2)</f>
        <v/>
      </c>
      <c r="AV82" s="24">
        <f>ROUND(R82-AB82-AL82,2)</f>
        <v/>
      </c>
      <c r="AW82" s="24">
        <f>ROUND(S82-AC82-AM82,2)</f>
        <v/>
      </c>
      <c r="AX82" s="24">
        <f>ROUND(T82-AD82-AN82,2)</f>
        <v/>
      </c>
      <c r="AY82" s="24">
        <f>ROUND(U82-AE82-AO82,2)</f>
        <v/>
      </c>
      <c r="AZ82" s="24">
        <f>ROUND(V82-AF82-AP82,2)</f>
        <v/>
      </c>
      <c r="BA82" s="24">
        <f>ROUND(W82-AG82-AQ82,2)</f>
        <v/>
      </c>
      <c r="BB82" s="24">
        <f>SUM(AR82:BA82)</f>
        <v/>
      </c>
    </row>
    <row r="83">
      <c r="A83" t="n">
        <v>79</v>
      </c>
      <c r="B83" s="23">
        <f>EOMONTH(TODAY(),78)</f>
        <v/>
      </c>
      <c r="C83" s="24">
        <f>MAX(0,(SUM('My Loans'!$E$6:$E$15)+'My Loans'!$D$3)-SUM($X83:$AG83))</f>
        <v/>
      </c>
      <c r="D83" s="24">
        <f>MAX(0,AR82)</f>
        <v/>
      </c>
      <c r="E83" s="24">
        <f>MAX(0,AS82)</f>
        <v/>
      </c>
      <c r="F83" s="24">
        <f>MAX(0,AT82)</f>
        <v/>
      </c>
      <c r="G83" s="24">
        <f>MAX(0,AU82)</f>
        <v/>
      </c>
      <c r="H83" s="24">
        <f>MAX(0,AV82)</f>
        <v/>
      </c>
      <c r="I83" s="24">
        <f>MAX(0,AW82)</f>
        <v/>
      </c>
      <c r="J83" s="24">
        <f>MAX(0,AX82)</f>
        <v/>
      </c>
      <c r="K83" s="24">
        <f>MAX(0,AY82)</f>
        <v/>
      </c>
      <c r="L83" s="24">
        <f>MAX(0,AZ82)</f>
        <v/>
      </c>
      <c r="M83" s="24">
        <f>MAX(0,BA82)</f>
        <v/>
      </c>
      <c r="N83" s="24">
        <f>IF(D83&lt;0.5,0,D83*(1+N('My Loans'!D6)/1200))</f>
        <v/>
      </c>
      <c r="O83" s="24">
        <f>IF(E83&lt;0.5,0,E83*(1+N('My Loans'!D7)/1200))</f>
        <v/>
      </c>
      <c r="P83" s="24">
        <f>IF(F83&lt;0.5,0,F83*(1+N('My Loans'!D8)/1200))</f>
        <v/>
      </c>
      <c r="Q83" s="24">
        <f>IF(G83&lt;0.5,0,G83*(1+N('My Loans'!D9)/1200))</f>
        <v/>
      </c>
      <c r="R83" s="24">
        <f>IF(H83&lt;0.5,0,H83*(1+N('My Loans'!D10)/1200))</f>
        <v/>
      </c>
      <c r="S83" s="24">
        <f>IF(I83&lt;0.5,0,I83*(1+N('My Loans'!D11)/1200))</f>
        <v/>
      </c>
      <c r="T83" s="24">
        <f>IF(J83&lt;0.5,0,J83*(1+N('My Loans'!D12)/1200))</f>
        <v/>
      </c>
      <c r="U83" s="24">
        <f>IF(K83&lt;0.5,0,K83*(1+N('My Loans'!D13)/1200))</f>
        <v/>
      </c>
      <c r="V83" s="24">
        <f>IF(L83&lt;0.5,0,L83*(1+N('My Loans'!D14)/1200))</f>
        <v/>
      </c>
      <c r="W83" s="24">
        <f>IF(M83&lt;0.5,0,M83*(1+N('My Loans'!D15)/1200))</f>
        <v/>
      </c>
      <c r="X83" s="24">
        <f>MIN(N83,N('My Loans'!E6))</f>
        <v/>
      </c>
      <c r="Y83" s="24">
        <f>MIN(O83,N('My Loans'!E7))</f>
        <v/>
      </c>
      <c r="Z83" s="24">
        <f>MIN(P83,N('My Loans'!E8))</f>
        <v/>
      </c>
      <c r="AA83" s="24">
        <f>MIN(Q83,N('My Loans'!E9))</f>
        <v/>
      </c>
      <c r="AB83" s="24">
        <f>MIN(R83,N('My Loans'!E10))</f>
        <v/>
      </c>
      <c r="AC83" s="24">
        <f>MIN(S83,N('My Loans'!E11))</f>
        <v/>
      </c>
      <c r="AD83" s="24">
        <f>MIN(T83,N('My Loans'!E12))</f>
        <v/>
      </c>
      <c r="AE83" s="24">
        <f>MIN(U83,N('My Loans'!E13))</f>
        <v/>
      </c>
      <c r="AF83" s="24">
        <f>MIN(V83,N('My Loans'!E14))</f>
        <v/>
      </c>
      <c r="AG83" s="24">
        <f>MIN(W83,N('My Loans'!E15))</f>
        <v/>
      </c>
      <c r="AH83" s="24">
        <f>MIN(N83-X83,MAX(0,$C83-SUMPRODUCT(($D$3:$M$3&lt;D$3)*($N83:$W83-$X83:$AG83))))</f>
        <v/>
      </c>
      <c r="AI83" s="24">
        <f>MIN(O83-Y83,MAX(0,$C83-SUMPRODUCT(($D$3:$M$3&lt;E$3)*($N83:$W83-$X83:$AG83))))</f>
        <v/>
      </c>
      <c r="AJ83" s="24">
        <f>MIN(P83-Z83,MAX(0,$C83-SUMPRODUCT(($D$3:$M$3&lt;F$3)*($N83:$W83-$X83:$AG83))))</f>
        <v/>
      </c>
      <c r="AK83" s="24">
        <f>MIN(Q83-AA83,MAX(0,$C83-SUMPRODUCT(($D$3:$M$3&lt;G$3)*($N83:$W83-$X83:$AG83))))</f>
        <v/>
      </c>
      <c r="AL83" s="24">
        <f>MIN(R83-AB83,MAX(0,$C83-SUMPRODUCT(($D$3:$M$3&lt;H$3)*($N83:$W83-$X83:$AG83))))</f>
        <v/>
      </c>
      <c r="AM83" s="24">
        <f>MIN(S83-AC83,MAX(0,$C83-SUMPRODUCT(($D$3:$M$3&lt;I$3)*($N83:$W83-$X83:$AG83))))</f>
        <v/>
      </c>
      <c r="AN83" s="24">
        <f>MIN(T83-AD83,MAX(0,$C83-SUMPRODUCT(($D$3:$M$3&lt;J$3)*($N83:$W83-$X83:$AG83))))</f>
        <v/>
      </c>
      <c r="AO83" s="24">
        <f>MIN(U83-AE83,MAX(0,$C83-SUMPRODUCT(($D$3:$M$3&lt;K$3)*($N83:$W83-$X83:$AG83))))</f>
        <v/>
      </c>
      <c r="AP83" s="24">
        <f>MIN(V83-AF83,MAX(0,$C83-SUMPRODUCT(($D$3:$M$3&lt;L$3)*($N83:$W83-$X83:$AG83))))</f>
        <v/>
      </c>
      <c r="AQ83" s="24">
        <f>MIN(W83-AG83,MAX(0,$C83-SUMPRODUCT(($D$3:$M$3&lt;M$3)*($N83:$W83-$X83:$AG83))))</f>
        <v/>
      </c>
      <c r="AR83" s="24">
        <f>ROUND(N83-X83-AH83,2)</f>
        <v/>
      </c>
      <c r="AS83" s="24">
        <f>ROUND(O83-Y83-AI83,2)</f>
        <v/>
      </c>
      <c r="AT83" s="24">
        <f>ROUND(P83-Z83-AJ83,2)</f>
        <v/>
      </c>
      <c r="AU83" s="24">
        <f>ROUND(Q83-AA83-AK83,2)</f>
        <v/>
      </c>
      <c r="AV83" s="24">
        <f>ROUND(R83-AB83-AL83,2)</f>
        <v/>
      </c>
      <c r="AW83" s="24">
        <f>ROUND(S83-AC83-AM83,2)</f>
        <v/>
      </c>
      <c r="AX83" s="24">
        <f>ROUND(T83-AD83-AN83,2)</f>
        <v/>
      </c>
      <c r="AY83" s="24">
        <f>ROUND(U83-AE83-AO83,2)</f>
        <v/>
      </c>
      <c r="AZ83" s="24">
        <f>ROUND(V83-AF83-AP83,2)</f>
        <v/>
      </c>
      <c r="BA83" s="24">
        <f>ROUND(W83-AG83-AQ83,2)</f>
        <v/>
      </c>
      <c r="BB83" s="24">
        <f>SUM(AR83:BA83)</f>
        <v/>
      </c>
    </row>
    <row r="84">
      <c r="A84" t="n">
        <v>80</v>
      </c>
      <c r="B84" s="23">
        <f>EOMONTH(TODAY(),79)</f>
        <v/>
      </c>
      <c r="C84" s="24">
        <f>MAX(0,(SUM('My Loans'!$E$6:$E$15)+'My Loans'!$D$3)-SUM($X84:$AG84))</f>
        <v/>
      </c>
      <c r="D84" s="24">
        <f>MAX(0,AR83)</f>
        <v/>
      </c>
      <c r="E84" s="24">
        <f>MAX(0,AS83)</f>
        <v/>
      </c>
      <c r="F84" s="24">
        <f>MAX(0,AT83)</f>
        <v/>
      </c>
      <c r="G84" s="24">
        <f>MAX(0,AU83)</f>
        <v/>
      </c>
      <c r="H84" s="24">
        <f>MAX(0,AV83)</f>
        <v/>
      </c>
      <c r="I84" s="24">
        <f>MAX(0,AW83)</f>
        <v/>
      </c>
      <c r="J84" s="24">
        <f>MAX(0,AX83)</f>
        <v/>
      </c>
      <c r="K84" s="24">
        <f>MAX(0,AY83)</f>
        <v/>
      </c>
      <c r="L84" s="24">
        <f>MAX(0,AZ83)</f>
        <v/>
      </c>
      <c r="M84" s="24">
        <f>MAX(0,BA83)</f>
        <v/>
      </c>
      <c r="N84" s="24">
        <f>IF(D84&lt;0.5,0,D84*(1+N('My Loans'!D6)/1200))</f>
        <v/>
      </c>
      <c r="O84" s="24">
        <f>IF(E84&lt;0.5,0,E84*(1+N('My Loans'!D7)/1200))</f>
        <v/>
      </c>
      <c r="P84" s="24">
        <f>IF(F84&lt;0.5,0,F84*(1+N('My Loans'!D8)/1200))</f>
        <v/>
      </c>
      <c r="Q84" s="24">
        <f>IF(G84&lt;0.5,0,G84*(1+N('My Loans'!D9)/1200))</f>
        <v/>
      </c>
      <c r="R84" s="24">
        <f>IF(H84&lt;0.5,0,H84*(1+N('My Loans'!D10)/1200))</f>
        <v/>
      </c>
      <c r="S84" s="24">
        <f>IF(I84&lt;0.5,0,I84*(1+N('My Loans'!D11)/1200))</f>
        <v/>
      </c>
      <c r="T84" s="24">
        <f>IF(J84&lt;0.5,0,J84*(1+N('My Loans'!D12)/1200))</f>
        <v/>
      </c>
      <c r="U84" s="24">
        <f>IF(K84&lt;0.5,0,K84*(1+N('My Loans'!D13)/1200))</f>
        <v/>
      </c>
      <c r="V84" s="24">
        <f>IF(L84&lt;0.5,0,L84*(1+N('My Loans'!D14)/1200))</f>
        <v/>
      </c>
      <c r="W84" s="24">
        <f>IF(M84&lt;0.5,0,M84*(1+N('My Loans'!D15)/1200))</f>
        <v/>
      </c>
      <c r="X84" s="24">
        <f>MIN(N84,N('My Loans'!E6))</f>
        <v/>
      </c>
      <c r="Y84" s="24">
        <f>MIN(O84,N('My Loans'!E7))</f>
        <v/>
      </c>
      <c r="Z84" s="24">
        <f>MIN(P84,N('My Loans'!E8))</f>
        <v/>
      </c>
      <c r="AA84" s="24">
        <f>MIN(Q84,N('My Loans'!E9))</f>
        <v/>
      </c>
      <c r="AB84" s="24">
        <f>MIN(R84,N('My Loans'!E10))</f>
        <v/>
      </c>
      <c r="AC84" s="24">
        <f>MIN(S84,N('My Loans'!E11))</f>
        <v/>
      </c>
      <c r="AD84" s="24">
        <f>MIN(T84,N('My Loans'!E12))</f>
        <v/>
      </c>
      <c r="AE84" s="24">
        <f>MIN(U84,N('My Loans'!E13))</f>
        <v/>
      </c>
      <c r="AF84" s="24">
        <f>MIN(V84,N('My Loans'!E14))</f>
        <v/>
      </c>
      <c r="AG84" s="24">
        <f>MIN(W84,N('My Loans'!E15))</f>
        <v/>
      </c>
      <c r="AH84" s="24">
        <f>MIN(N84-X84,MAX(0,$C84-SUMPRODUCT(($D$3:$M$3&lt;D$3)*($N84:$W84-$X84:$AG84))))</f>
        <v/>
      </c>
      <c r="AI84" s="24">
        <f>MIN(O84-Y84,MAX(0,$C84-SUMPRODUCT(($D$3:$M$3&lt;E$3)*($N84:$W84-$X84:$AG84))))</f>
        <v/>
      </c>
      <c r="AJ84" s="24">
        <f>MIN(P84-Z84,MAX(0,$C84-SUMPRODUCT(($D$3:$M$3&lt;F$3)*($N84:$W84-$X84:$AG84))))</f>
        <v/>
      </c>
      <c r="AK84" s="24">
        <f>MIN(Q84-AA84,MAX(0,$C84-SUMPRODUCT(($D$3:$M$3&lt;G$3)*($N84:$W84-$X84:$AG84))))</f>
        <v/>
      </c>
      <c r="AL84" s="24">
        <f>MIN(R84-AB84,MAX(0,$C84-SUMPRODUCT(($D$3:$M$3&lt;H$3)*($N84:$W84-$X84:$AG84))))</f>
        <v/>
      </c>
      <c r="AM84" s="24">
        <f>MIN(S84-AC84,MAX(0,$C84-SUMPRODUCT(($D$3:$M$3&lt;I$3)*($N84:$W84-$X84:$AG84))))</f>
        <v/>
      </c>
      <c r="AN84" s="24">
        <f>MIN(T84-AD84,MAX(0,$C84-SUMPRODUCT(($D$3:$M$3&lt;J$3)*($N84:$W84-$X84:$AG84))))</f>
        <v/>
      </c>
      <c r="AO84" s="24">
        <f>MIN(U84-AE84,MAX(0,$C84-SUMPRODUCT(($D$3:$M$3&lt;K$3)*($N84:$W84-$X84:$AG84))))</f>
        <v/>
      </c>
      <c r="AP84" s="24">
        <f>MIN(V84-AF84,MAX(0,$C84-SUMPRODUCT(($D$3:$M$3&lt;L$3)*($N84:$W84-$X84:$AG84))))</f>
        <v/>
      </c>
      <c r="AQ84" s="24">
        <f>MIN(W84-AG84,MAX(0,$C84-SUMPRODUCT(($D$3:$M$3&lt;M$3)*($N84:$W84-$X84:$AG84))))</f>
        <v/>
      </c>
      <c r="AR84" s="24">
        <f>ROUND(N84-X84-AH84,2)</f>
        <v/>
      </c>
      <c r="AS84" s="24">
        <f>ROUND(O84-Y84-AI84,2)</f>
        <v/>
      </c>
      <c r="AT84" s="24">
        <f>ROUND(P84-Z84-AJ84,2)</f>
        <v/>
      </c>
      <c r="AU84" s="24">
        <f>ROUND(Q84-AA84-AK84,2)</f>
        <v/>
      </c>
      <c r="AV84" s="24">
        <f>ROUND(R84-AB84-AL84,2)</f>
        <v/>
      </c>
      <c r="AW84" s="24">
        <f>ROUND(S84-AC84-AM84,2)</f>
        <v/>
      </c>
      <c r="AX84" s="24">
        <f>ROUND(T84-AD84-AN84,2)</f>
        <v/>
      </c>
      <c r="AY84" s="24">
        <f>ROUND(U84-AE84-AO84,2)</f>
        <v/>
      </c>
      <c r="AZ84" s="24">
        <f>ROUND(V84-AF84-AP84,2)</f>
        <v/>
      </c>
      <c r="BA84" s="24">
        <f>ROUND(W84-AG84-AQ84,2)</f>
        <v/>
      </c>
      <c r="BB84" s="24">
        <f>SUM(AR84:BA84)</f>
        <v/>
      </c>
    </row>
    <row r="85">
      <c r="A85" t="n">
        <v>81</v>
      </c>
      <c r="B85" s="23">
        <f>EOMONTH(TODAY(),80)</f>
        <v/>
      </c>
      <c r="C85" s="24">
        <f>MAX(0,(SUM('My Loans'!$E$6:$E$15)+'My Loans'!$D$3)-SUM($X85:$AG85))</f>
        <v/>
      </c>
      <c r="D85" s="24">
        <f>MAX(0,AR84)</f>
        <v/>
      </c>
      <c r="E85" s="24">
        <f>MAX(0,AS84)</f>
        <v/>
      </c>
      <c r="F85" s="24">
        <f>MAX(0,AT84)</f>
        <v/>
      </c>
      <c r="G85" s="24">
        <f>MAX(0,AU84)</f>
        <v/>
      </c>
      <c r="H85" s="24">
        <f>MAX(0,AV84)</f>
        <v/>
      </c>
      <c r="I85" s="24">
        <f>MAX(0,AW84)</f>
        <v/>
      </c>
      <c r="J85" s="24">
        <f>MAX(0,AX84)</f>
        <v/>
      </c>
      <c r="K85" s="24">
        <f>MAX(0,AY84)</f>
        <v/>
      </c>
      <c r="L85" s="24">
        <f>MAX(0,AZ84)</f>
        <v/>
      </c>
      <c r="M85" s="24">
        <f>MAX(0,BA84)</f>
        <v/>
      </c>
      <c r="N85" s="24">
        <f>IF(D85&lt;0.5,0,D85*(1+N('My Loans'!D6)/1200))</f>
        <v/>
      </c>
      <c r="O85" s="24">
        <f>IF(E85&lt;0.5,0,E85*(1+N('My Loans'!D7)/1200))</f>
        <v/>
      </c>
      <c r="P85" s="24">
        <f>IF(F85&lt;0.5,0,F85*(1+N('My Loans'!D8)/1200))</f>
        <v/>
      </c>
      <c r="Q85" s="24">
        <f>IF(G85&lt;0.5,0,G85*(1+N('My Loans'!D9)/1200))</f>
        <v/>
      </c>
      <c r="R85" s="24">
        <f>IF(H85&lt;0.5,0,H85*(1+N('My Loans'!D10)/1200))</f>
        <v/>
      </c>
      <c r="S85" s="24">
        <f>IF(I85&lt;0.5,0,I85*(1+N('My Loans'!D11)/1200))</f>
        <v/>
      </c>
      <c r="T85" s="24">
        <f>IF(J85&lt;0.5,0,J85*(1+N('My Loans'!D12)/1200))</f>
        <v/>
      </c>
      <c r="U85" s="24">
        <f>IF(K85&lt;0.5,0,K85*(1+N('My Loans'!D13)/1200))</f>
        <v/>
      </c>
      <c r="V85" s="24">
        <f>IF(L85&lt;0.5,0,L85*(1+N('My Loans'!D14)/1200))</f>
        <v/>
      </c>
      <c r="W85" s="24">
        <f>IF(M85&lt;0.5,0,M85*(1+N('My Loans'!D15)/1200))</f>
        <v/>
      </c>
      <c r="X85" s="24">
        <f>MIN(N85,N('My Loans'!E6))</f>
        <v/>
      </c>
      <c r="Y85" s="24">
        <f>MIN(O85,N('My Loans'!E7))</f>
        <v/>
      </c>
      <c r="Z85" s="24">
        <f>MIN(P85,N('My Loans'!E8))</f>
        <v/>
      </c>
      <c r="AA85" s="24">
        <f>MIN(Q85,N('My Loans'!E9))</f>
        <v/>
      </c>
      <c r="AB85" s="24">
        <f>MIN(R85,N('My Loans'!E10))</f>
        <v/>
      </c>
      <c r="AC85" s="24">
        <f>MIN(S85,N('My Loans'!E11))</f>
        <v/>
      </c>
      <c r="AD85" s="24">
        <f>MIN(T85,N('My Loans'!E12))</f>
        <v/>
      </c>
      <c r="AE85" s="24">
        <f>MIN(U85,N('My Loans'!E13))</f>
        <v/>
      </c>
      <c r="AF85" s="24">
        <f>MIN(V85,N('My Loans'!E14))</f>
        <v/>
      </c>
      <c r="AG85" s="24">
        <f>MIN(W85,N('My Loans'!E15))</f>
        <v/>
      </c>
      <c r="AH85" s="24">
        <f>MIN(N85-X85,MAX(0,$C85-SUMPRODUCT(($D$3:$M$3&lt;D$3)*($N85:$W85-$X85:$AG85))))</f>
        <v/>
      </c>
      <c r="AI85" s="24">
        <f>MIN(O85-Y85,MAX(0,$C85-SUMPRODUCT(($D$3:$M$3&lt;E$3)*($N85:$W85-$X85:$AG85))))</f>
        <v/>
      </c>
      <c r="AJ85" s="24">
        <f>MIN(P85-Z85,MAX(0,$C85-SUMPRODUCT(($D$3:$M$3&lt;F$3)*($N85:$W85-$X85:$AG85))))</f>
        <v/>
      </c>
      <c r="AK85" s="24">
        <f>MIN(Q85-AA85,MAX(0,$C85-SUMPRODUCT(($D$3:$M$3&lt;G$3)*($N85:$W85-$X85:$AG85))))</f>
        <v/>
      </c>
      <c r="AL85" s="24">
        <f>MIN(R85-AB85,MAX(0,$C85-SUMPRODUCT(($D$3:$M$3&lt;H$3)*($N85:$W85-$X85:$AG85))))</f>
        <v/>
      </c>
      <c r="AM85" s="24">
        <f>MIN(S85-AC85,MAX(0,$C85-SUMPRODUCT(($D$3:$M$3&lt;I$3)*($N85:$W85-$X85:$AG85))))</f>
        <v/>
      </c>
      <c r="AN85" s="24">
        <f>MIN(T85-AD85,MAX(0,$C85-SUMPRODUCT(($D$3:$M$3&lt;J$3)*($N85:$W85-$X85:$AG85))))</f>
        <v/>
      </c>
      <c r="AO85" s="24">
        <f>MIN(U85-AE85,MAX(0,$C85-SUMPRODUCT(($D$3:$M$3&lt;K$3)*($N85:$W85-$X85:$AG85))))</f>
        <v/>
      </c>
      <c r="AP85" s="24">
        <f>MIN(V85-AF85,MAX(0,$C85-SUMPRODUCT(($D$3:$M$3&lt;L$3)*($N85:$W85-$X85:$AG85))))</f>
        <v/>
      </c>
      <c r="AQ85" s="24">
        <f>MIN(W85-AG85,MAX(0,$C85-SUMPRODUCT(($D$3:$M$3&lt;M$3)*($N85:$W85-$X85:$AG85))))</f>
        <v/>
      </c>
      <c r="AR85" s="24">
        <f>ROUND(N85-X85-AH85,2)</f>
        <v/>
      </c>
      <c r="AS85" s="24">
        <f>ROUND(O85-Y85-AI85,2)</f>
        <v/>
      </c>
      <c r="AT85" s="24">
        <f>ROUND(P85-Z85-AJ85,2)</f>
        <v/>
      </c>
      <c r="AU85" s="24">
        <f>ROUND(Q85-AA85-AK85,2)</f>
        <v/>
      </c>
      <c r="AV85" s="24">
        <f>ROUND(R85-AB85-AL85,2)</f>
        <v/>
      </c>
      <c r="AW85" s="24">
        <f>ROUND(S85-AC85-AM85,2)</f>
        <v/>
      </c>
      <c r="AX85" s="24">
        <f>ROUND(T85-AD85-AN85,2)</f>
        <v/>
      </c>
      <c r="AY85" s="24">
        <f>ROUND(U85-AE85-AO85,2)</f>
        <v/>
      </c>
      <c r="AZ85" s="24">
        <f>ROUND(V85-AF85-AP85,2)</f>
        <v/>
      </c>
      <c r="BA85" s="24">
        <f>ROUND(W85-AG85-AQ85,2)</f>
        <v/>
      </c>
      <c r="BB85" s="24">
        <f>SUM(AR85:BA85)</f>
        <v/>
      </c>
    </row>
    <row r="86">
      <c r="A86" t="n">
        <v>82</v>
      </c>
      <c r="B86" s="23">
        <f>EOMONTH(TODAY(),81)</f>
        <v/>
      </c>
      <c r="C86" s="24">
        <f>MAX(0,(SUM('My Loans'!$E$6:$E$15)+'My Loans'!$D$3)-SUM($X86:$AG86))</f>
        <v/>
      </c>
      <c r="D86" s="24">
        <f>MAX(0,AR85)</f>
        <v/>
      </c>
      <c r="E86" s="24">
        <f>MAX(0,AS85)</f>
        <v/>
      </c>
      <c r="F86" s="24">
        <f>MAX(0,AT85)</f>
        <v/>
      </c>
      <c r="G86" s="24">
        <f>MAX(0,AU85)</f>
        <v/>
      </c>
      <c r="H86" s="24">
        <f>MAX(0,AV85)</f>
        <v/>
      </c>
      <c r="I86" s="24">
        <f>MAX(0,AW85)</f>
        <v/>
      </c>
      <c r="J86" s="24">
        <f>MAX(0,AX85)</f>
        <v/>
      </c>
      <c r="K86" s="24">
        <f>MAX(0,AY85)</f>
        <v/>
      </c>
      <c r="L86" s="24">
        <f>MAX(0,AZ85)</f>
        <v/>
      </c>
      <c r="M86" s="24">
        <f>MAX(0,BA85)</f>
        <v/>
      </c>
      <c r="N86" s="24">
        <f>IF(D86&lt;0.5,0,D86*(1+N('My Loans'!D6)/1200))</f>
        <v/>
      </c>
      <c r="O86" s="24">
        <f>IF(E86&lt;0.5,0,E86*(1+N('My Loans'!D7)/1200))</f>
        <v/>
      </c>
      <c r="P86" s="24">
        <f>IF(F86&lt;0.5,0,F86*(1+N('My Loans'!D8)/1200))</f>
        <v/>
      </c>
      <c r="Q86" s="24">
        <f>IF(G86&lt;0.5,0,G86*(1+N('My Loans'!D9)/1200))</f>
        <v/>
      </c>
      <c r="R86" s="24">
        <f>IF(H86&lt;0.5,0,H86*(1+N('My Loans'!D10)/1200))</f>
        <v/>
      </c>
      <c r="S86" s="24">
        <f>IF(I86&lt;0.5,0,I86*(1+N('My Loans'!D11)/1200))</f>
        <v/>
      </c>
      <c r="T86" s="24">
        <f>IF(J86&lt;0.5,0,J86*(1+N('My Loans'!D12)/1200))</f>
        <v/>
      </c>
      <c r="U86" s="24">
        <f>IF(K86&lt;0.5,0,K86*(1+N('My Loans'!D13)/1200))</f>
        <v/>
      </c>
      <c r="V86" s="24">
        <f>IF(L86&lt;0.5,0,L86*(1+N('My Loans'!D14)/1200))</f>
        <v/>
      </c>
      <c r="W86" s="24">
        <f>IF(M86&lt;0.5,0,M86*(1+N('My Loans'!D15)/1200))</f>
        <v/>
      </c>
      <c r="X86" s="24">
        <f>MIN(N86,N('My Loans'!E6))</f>
        <v/>
      </c>
      <c r="Y86" s="24">
        <f>MIN(O86,N('My Loans'!E7))</f>
        <v/>
      </c>
      <c r="Z86" s="24">
        <f>MIN(P86,N('My Loans'!E8))</f>
        <v/>
      </c>
      <c r="AA86" s="24">
        <f>MIN(Q86,N('My Loans'!E9))</f>
        <v/>
      </c>
      <c r="AB86" s="24">
        <f>MIN(R86,N('My Loans'!E10))</f>
        <v/>
      </c>
      <c r="AC86" s="24">
        <f>MIN(S86,N('My Loans'!E11))</f>
        <v/>
      </c>
      <c r="AD86" s="24">
        <f>MIN(T86,N('My Loans'!E12))</f>
        <v/>
      </c>
      <c r="AE86" s="24">
        <f>MIN(U86,N('My Loans'!E13))</f>
        <v/>
      </c>
      <c r="AF86" s="24">
        <f>MIN(V86,N('My Loans'!E14))</f>
        <v/>
      </c>
      <c r="AG86" s="24">
        <f>MIN(W86,N('My Loans'!E15))</f>
        <v/>
      </c>
      <c r="AH86" s="24">
        <f>MIN(N86-X86,MAX(0,$C86-SUMPRODUCT(($D$3:$M$3&lt;D$3)*($N86:$W86-$X86:$AG86))))</f>
        <v/>
      </c>
      <c r="AI86" s="24">
        <f>MIN(O86-Y86,MAX(0,$C86-SUMPRODUCT(($D$3:$M$3&lt;E$3)*($N86:$W86-$X86:$AG86))))</f>
        <v/>
      </c>
      <c r="AJ86" s="24">
        <f>MIN(P86-Z86,MAX(0,$C86-SUMPRODUCT(($D$3:$M$3&lt;F$3)*($N86:$W86-$X86:$AG86))))</f>
        <v/>
      </c>
      <c r="AK86" s="24">
        <f>MIN(Q86-AA86,MAX(0,$C86-SUMPRODUCT(($D$3:$M$3&lt;G$3)*($N86:$W86-$X86:$AG86))))</f>
        <v/>
      </c>
      <c r="AL86" s="24">
        <f>MIN(R86-AB86,MAX(0,$C86-SUMPRODUCT(($D$3:$M$3&lt;H$3)*($N86:$W86-$X86:$AG86))))</f>
        <v/>
      </c>
      <c r="AM86" s="24">
        <f>MIN(S86-AC86,MAX(0,$C86-SUMPRODUCT(($D$3:$M$3&lt;I$3)*($N86:$W86-$X86:$AG86))))</f>
        <v/>
      </c>
      <c r="AN86" s="24">
        <f>MIN(T86-AD86,MAX(0,$C86-SUMPRODUCT(($D$3:$M$3&lt;J$3)*($N86:$W86-$X86:$AG86))))</f>
        <v/>
      </c>
      <c r="AO86" s="24">
        <f>MIN(U86-AE86,MAX(0,$C86-SUMPRODUCT(($D$3:$M$3&lt;K$3)*($N86:$W86-$X86:$AG86))))</f>
        <v/>
      </c>
      <c r="AP86" s="24">
        <f>MIN(V86-AF86,MAX(0,$C86-SUMPRODUCT(($D$3:$M$3&lt;L$3)*($N86:$W86-$X86:$AG86))))</f>
        <v/>
      </c>
      <c r="AQ86" s="24">
        <f>MIN(W86-AG86,MAX(0,$C86-SUMPRODUCT(($D$3:$M$3&lt;M$3)*($N86:$W86-$X86:$AG86))))</f>
        <v/>
      </c>
      <c r="AR86" s="24">
        <f>ROUND(N86-X86-AH86,2)</f>
        <v/>
      </c>
      <c r="AS86" s="24">
        <f>ROUND(O86-Y86-AI86,2)</f>
        <v/>
      </c>
      <c r="AT86" s="24">
        <f>ROUND(P86-Z86-AJ86,2)</f>
        <v/>
      </c>
      <c r="AU86" s="24">
        <f>ROUND(Q86-AA86-AK86,2)</f>
        <v/>
      </c>
      <c r="AV86" s="24">
        <f>ROUND(R86-AB86-AL86,2)</f>
        <v/>
      </c>
      <c r="AW86" s="24">
        <f>ROUND(S86-AC86-AM86,2)</f>
        <v/>
      </c>
      <c r="AX86" s="24">
        <f>ROUND(T86-AD86-AN86,2)</f>
        <v/>
      </c>
      <c r="AY86" s="24">
        <f>ROUND(U86-AE86-AO86,2)</f>
        <v/>
      </c>
      <c r="AZ86" s="24">
        <f>ROUND(V86-AF86-AP86,2)</f>
        <v/>
      </c>
      <c r="BA86" s="24">
        <f>ROUND(W86-AG86-AQ86,2)</f>
        <v/>
      </c>
      <c r="BB86" s="24">
        <f>SUM(AR86:BA86)</f>
        <v/>
      </c>
    </row>
    <row r="87">
      <c r="A87" t="n">
        <v>83</v>
      </c>
      <c r="B87" s="23">
        <f>EOMONTH(TODAY(),82)</f>
        <v/>
      </c>
      <c r="C87" s="24">
        <f>MAX(0,(SUM('My Loans'!$E$6:$E$15)+'My Loans'!$D$3)-SUM($X87:$AG87))</f>
        <v/>
      </c>
      <c r="D87" s="24">
        <f>MAX(0,AR86)</f>
        <v/>
      </c>
      <c r="E87" s="24">
        <f>MAX(0,AS86)</f>
        <v/>
      </c>
      <c r="F87" s="24">
        <f>MAX(0,AT86)</f>
        <v/>
      </c>
      <c r="G87" s="24">
        <f>MAX(0,AU86)</f>
        <v/>
      </c>
      <c r="H87" s="24">
        <f>MAX(0,AV86)</f>
        <v/>
      </c>
      <c r="I87" s="24">
        <f>MAX(0,AW86)</f>
        <v/>
      </c>
      <c r="J87" s="24">
        <f>MAX(0,AX86)</f>
        <v/>
      </c>
      <c r="K87" s="24">
        <f>MAX(0,AY86)</f>
        <v/>
      </c>
      <c r="L87" s="24">
        <f>MAX(0,AZ86)</f>
        <v/>
      </c>
      <c r="M87" s="24">
        <f>MAX(0,BA86)</f>
        <v/>
      </c>
      <c r="N87" s="24">
        <f>IF(D87&lt;0.5,0,D87*(1+N('My Loans'!D6)/1200))</f>
        <v/>
      </c>
      <c r="O87" s="24">
        <f>IF(E87&lt;0.5,0,E87*(1+N('My Loans'!D7)/1200))</f>
        <v/>
      </c>
      <c r="P87" s="24">
        <f>IF(F87&lt;0.5,0,F87*(1+N('My Loans'!D8)/1200))</f>
        <v/>
      </c>
      <c r="Q87" s="24">
        <f>IF(G87&lt;0.5,0,G87*(1+N('My Loans'!D9)/1200))</f>
        <v/>
      </c>
      <c r="R87" s="24">
        <f>IF(H87&lt;0.5,0,H87*(1+N('My Loans'!D10)/1200))</f>
        <v/>
      </c>
      <c r="S87" s="24">
        <f>IF(I87&lt;0.5,0,I87*(1+N('My Loans'!D11)/1200))</f>
        <v/>
      </c>
      <c r="T87" s="24">
        <f>IF(J87&lt;0.5,0,J87*(1+N('My Loans'!D12)/1200))</f>
        <v/>
      </c>
      <c r="U87" s="24">
        <f>IF(K87&lt;0.5,0,K87*(1+N('My Loans'!D13)/1200))</f>
        <v/>
      </c>
      <c r="V87" s="24">
        <f>IF(L87&lt;0.5,0,L87*(1+N('My Loans'!D14)/1200))</f>
        <v/>
      </c>
      <c r="W87" s="24">
        <f>IF(M87&lt;0.5,0,M87*(1+N('My Loans'!D15)/1200))</f>
        <v/>
      </c>
      <c r="X87" s="24">
        <f>MIN(N87,N('My Loans'!E6))</f>
        <v/>
      </c>
      <c r="Y87" s="24">
        <f>MIN(O87,N('My Loans'!E7))</f>
        <v/>
      </c>
      <c r="Z87" s="24">
        <f>MIN(P87,N('My Loans'!E8))</f>
        <v/>
      </c>
      <c r="AA87" s="24">
        <f>MIN(Q87,N('My Loans'!E9))</f>
        <v/>
      </c>
      <c r="AB87" s="24">
        <f>MIN(R87,N('My Loans'!E10))</f>
        <v/>
      </c>
      <c r="AC87" s="24">
        <f>MIN(S87,N('My Loans'!E11))</f>
        <v/>
      </c>
      <c r="AD87" s="24">
        <f>MIN(T87,N('My Loans'!E12))</f>
        <v/>
      </c>
      <c r="AE87" s="24">
        <f>MIN(U87,N('My Loans'!E13))</f>
        <v/>
      </c>
      <c r="AF87" s="24">
        <f>MIN(V87,N('My Loans'!E14))</f>
        <v/>
      </c>
      <c r="AG87" s="24">
        <f>MIN(W87,N('My Loans'!E15))</f>
        <v/>
      </c>
      <c r="AH87" s="24">
        <f>MIN(N87-X87,MAX(0,$C87-SUMPRODUCT(($D$3:$M$3&lt;D$3)*($N87:$W87-$X87:$AG87))))</f>
        <v/>
      </c>
      <c r="AI87" s="24">
        <f>MIN(O87-Y87,MAX(0,$C87-SUMPRODUCT(($D$3:$M$3&lt;E$3)*($N87:$W87-$X87:$AG87))))</f>
        <v/>
      </c>
      <c r="AJ87" s="24">
        <f>MIN(P87-Z87,MAX(0,$C87-SUMPRODUCT(($D$3:$M$3&lt;F$3)*($N87:$W87-$X87:$AG87))))</f>
        <v/>
      </c>
      <c r="AK87" s="24">
        <f>MIN(Q87-AA87,MAX(0,$C87-SUMPRODUCT(($D$3:$M$3&lt;G$3)*($N87:$W87-$X87:$AG87))))</f>
        <v/>
      </c>
      <c r="AL87" s="24">
        <f>MIN(R87-AB87,MAX(0,$C87-SUMPRODUCT(($D$3:$M$3&lt;H$3)*($N87:$W87-$X87:$AG87))))</f>
        <v/>
      </c>
      <c r="AM87" s="24">
        <f>MIN(S87-AC87,MAX(0,$C87-SUMPRODUCT(($D$3:$M$3&lt;I$3)*($N87:$W87-$X87:$AG87))))</f>
        <v/>
      </c>
      <c r="AN87" s="24">
        <f>MIN(T87-AD87,MAX(0,$C87-SUMPRODUCT(($D$3:$M$3&lt;J$3)*($N87:$W87-$X87:$AG87))))</f>
        <v/>
      </c>
      <c r="AO87" s="24">
        <f>MIN(U87-AE87,MAX(0,$C87-SUMPRODUCT(($D$3:$M$3&lt;K$3)*($N87:$W87-$X87:$AG87))))</f>
        <v/>
      </c>
      <c r="AP87" s="24">
        <f>MIN(V87-AF87,MAX(0,$C87-SUMPRODUCT(($D$3:$M$3&lt;L$3)*($N87:$W87-$X87:$AG87))))</f>
        <v/>
      </c>
      <c r="AQ87" s="24">
        <f>MIN(W87-AG87,MAX(0,$C87-SUMPRODUCT(($D$3:$M$3&lt;M$3)*($N87:$W87-$X87:$AG87))))</f>
        <v/>
      </c>
      <c r="AR87" s="24">
        <f>ROUND(N87-X87-AH87,2)</f>
        <v/>
      </c>
      <c r="AS87" s="24">
        <f>ROUND(O87-Y87-AI87,2)</f>
        <v/>
      </c>
      <c r="AT87" s="24">
        <f>ROUND(P87-Z87-AJ87,2)</f>
        <v/>
      </c>
      <c r="AU87" s="24">
        <f>ROUND(Q87-AA87-AK87,2)</f>
        <v/>
      </c>
      <c r="AV87" s="24">
        <f>ROUND(R87-AB87-AL87,2)</f>
        <v/>
      </c>
      <c r="AW87" s="24">
        <f>ROUND(S87-AC87-AM87,2)</f>
        <v/>
      </c>
      <c r="AX87" s="24">
        <f>ROUND(T87-AD87-AN87,2)</f>
        <v/>
      </c>
      <c r="AY87" s="24">
        <f>ROUND(U87-AE87-AO87,2)</f>
        <v/>
      </c>
      <c r="AZ87" s="24">
        <f>ROUND(V87-AF87-AP87,2)</f>
        <v/>
      </c>
      <c r="BA87" s="24">
        <f>ROUND(W87-AG87-AQ87,2)</f>
        <v/>
      </c>
      <c r="BB87" s="24">
        <f>SUM(AR87:BA87)</f>
        <v/>
      </c>
    </row>
    <row r="88">
      <c r="A88" t="n">
        <v>84</v>
      </c>
      <c r="B88" s="23">
        <f>EOMONTH(TODAY(),83)</f>
        <v/>
      </c>
      <c r="C88" s="24">
        <f>MAX(0,(SUM('My Loans'!$E$6:$E$15)+'My Loans'!$D$3)-SUM($X88:$AG88))</f>
        <v/>
      </c>
      <c r="D88" s="24">
        <f>MAX(0,AR87)</f>
        <v/>
      </c>
      <c r="E88" s="24">
        <f>MAX(0,AS87)</f>
        <v/>
      </c>
      <c r="F88" s="24">
        <f>MAX(0,AT87)</f>
        <v/>
      </c>
      <c r="G88" s="24">
        <f>MAX(0,AU87)</f>
        <v/>
      </c>
      <c r="H88" s="24">
        <f>MAX(0,AV87)</f>
        <v/>
      </c>
      <c r="I88" s="24">
        <f>MAX(0,AW87)</f>
        <v/>
      </c>
      <c r="J88" s="24">
        <f>MAX(0,AX87)</f>
        <v/>
      </c>
      <c r="K88" s="24">
        <f>MAX(0,AY87)</f>
        <v/>
      </c>
      <c r="L88" s="24">
        <f>MAX(0,AZ87)</f>
        <v/>
      </c>
      <c r="M88" s="24">
        <f>MAX(0,BA87)</f>
        <v/>
      </c>
      <c r="N88" s="24">
        <f>IF(D88&lt;0.5,0,D88*(1+N('My Loans'!D6)/1200))</f>
        <v/>
      </c>
      <c r="O88" s="24">
        <f>IF(E88&lt;0.5,0,E88*(1+N('My Loans'!D7)/1200))</f>
        <v/>
      </c>
      <c r="P88" s="24">
        <f>IF(F88&lt;0.5,0,F88*(1+N('My Loans'!D8)/1200))</f>
        <v/>
      </c>
      <c r="Q88" s="24">
        <f>IF(G88&lt;0.5,0,G88*(1+N('My Loans'!D9)/1200))</f>
        <v/>
      </c>
      <c r="R88" s="24">
        <f>IF(H88&lt;0.5,0,H88*(1+N('My Loans'!D10)/1200))</f>
        <v/>
      </c>
      <c r="S88" s="24">
        <f>IF(I88&lt;0.5,0,I88*(1+N('My Loans'!D11)/1200))</f>
        <v/>
      </c>
      <c r="T88" s="24">
        <f>IF(J88&lt;0.5,0,J88*(1+N('My Loans'!D12)/1200))</f>
        <v/>
      </c>
      <c r="U88" s="24">
        <f>IF(K88&lt;0.5,0,K88*(1+N('My Loans'!D13)/1200))</f>
        <v/>
      </c>
      <c r="V88" s="24">
        <f>IF(L88&lt;0.5,0,L88*(1+N('My Loans'!D14)/1200))</f>
        <v/>
      </c>
      <c r="W88" s="24">
        <f>IF(M88&lt;0.5,0,M88*(1+N('My Loans'!D15)/1200))</f>
        <v/>
      </c>
      <c r="X88" s="24">
        <f>MIN(N88,N('My Loans'!E6))</f>
        <v/>
      </c>
      <c r="Y88" s="24">
        <f>MIN(O88,N('My Loans'!E7))</f>
        <v/>
      </c>
      <c r="Z88" s="24">
        <f>MIN(P88,N('My Loans'!E8))</f>
        <v/>
      </c>
      <c r="AA88" s="24">
        <f>MIN(Q88,N('My Loans'!E9))</f>
        <v/>
      </c>
      <c r="AB88" s="24">
        <f>MIN(R88,N('My Loans'!E10))</f>
        <v/>
      </c>
      <c r="AC88" s="24">
        <f>MIN(S88,N('My Loans'!E11))</f>
        <v/>
      </c>
      <c r="AD88" s="24">
        <f>MIN(T88,N('My Loans'!E12))</f>
        <v/>
      </c>
      <c r="AE88" s="24">
        <f>MIN(U88,N('My Loans'!E13))</f>
        <v/>
      </c>
      <c r="AF88" s="24">
        <f>MIN(V88,N('My Loans'!E14))</f>
        <v/>
      </c>
      <c r="AG88" s="24">
        <f>MIN(W88,N('My Loans'!E15))</f>
        <v/>
      </c>
      <c r="AH88" s="24">
        <f>MIN(N88-X88,MAX(0,$C88-SUMPRODUCT(($D$3:$M$3&lt;D$3)*($N88:$W88-$X88:$AG88))))</f>
        <v/>
      </c>
      <c r="AI88" s="24">
        <f>MIN(O88-Y88,MAX(0,$C88-SUMPRODUCT(($D$3:$M$3&lt;E$3)*($N88:$W88-$X88:$AG88))))</f>
        <v/>
      </c>
      <c r="AJ88" s="24">
        <f>MIN(P88-Z88,MAX(0,$C88-SUMPRODUCT(($D$3:$M$3&lt;F$3)*($N88:$W88-$X88:$AG88))))</f>
        <v/>
      </c>
      <c r="AK88" s="24">
        <f>MIN(Q88-AA88,MAX(0,$C88-SUMPRODUCT(($D$3:$M$3&lt;G$3)*($N88:$W88-$X88:$AG88))))</f>
        <v/>
      </c>
      <c r="AL88" s="24">
        <f>MIN(R88-AB88,MAX(0,$C88-SUMPRODUCT(($D$3:$M$3&lt;H$3)*($N88:$W88-$X88:$AG88))))</f>
        <v/>
      </c>
      <c r="AM88" s="24">
        <f>MIN(S88-AC88,MAX(0,$C88-SUMPRODUCT(($D$3:$M$3&lt;I$3)*($N88:$W88-$X88:$AG88))))</f>
        <v/>
      </c>
      <c r="AN88" s="24">
        <f>MIN(T88-AD88,MAX(0,$C88-SUMPRODUCT(($D$3:$M$3&lt;J$3)*($N88:$W88-$X88:$AG88))))</f>
        <v/>
      </c>
      <c r="AO88" s="24">
        <f>MIN(U88-AE88,MAX(0,$C88-SUMPRODUCT(($D$3:$M$3&lt;K$3)*($N88:$W88-$X88:$AG88))))</f>
        <v/>
      </c>
      <c r="AP88" s="24">
        <f>MIN(V88-AF88,MAX(0,$C88-SUMPRODUCT(($D$3:$M$3&lt;L$3)*($N88:$W88-$X88:$AG88))))</f>
        <v/>
      </c>
      <c r="AQ88" s="24">
        <f>MIN(W88-AG88,MAX(0,$C88-SUMPRODUCT(($D$3:$M$3&lt;M$3)*($N88:$W88-$X88:$AG88))))</f>
        <v/>
      </c>
      <c r="AR88" s="24">
        <f>ROUND(N88-X88-AH88,2)</f>
        <v/>
      </c>
      <c r="AS88" s="24">
        <f>ROUND(O88-Y88-AI88,2)</f>
        <v/>
      </c>
      <c r="AT88" s="24">
        <f>ROUND(P88-Z88-AJ88,2)</f>
        <v/>
      </c>
      <c r="AU88" s="24">
        <f>ROUND(Q88-AA88-AK88,2)</f>
        <v/>
      </c>
      <c r="AV88" s="24">
        <f>ROUND(R88-AB88-AL88,2)</f>
        <v/>
      </c>
      <c r="AW88" s="24">
        <f>ROUND(S88-AC88-AM88,2)</f>
        <v/>
      </c>
      <c r="AX88" s="24">
        <f>ROUND(T88-AD88-AN88,2)</f>
        <v/>
      </c>
      <c r="AY88" s="24">
        <f>ROUND(U88-AE88-AO88,2)</f>
        <v/>
      </c>
      <c r="AZ88" s="24">
        <f>ROUND(V88-AF88-AP88,2)</f>
        <v/>
      </c>
      <c r="BA88" s="24">
        <f>ROUND(W88-AG88-AQ88,2)</f>
        <v/>
      </c>
      <c r="BB88" s="24">
        <f>SUM(AR88:BA88)</f>
        <v/>
      </c>
    </row>
    <row r="89">
      <c r="A89" t="n">
        <v>85</v>
      </c>
      <c r="B89" s="23">
        <f>EOMONTH(TODAY(),84)</f>
        <v/>
      </c>
      <c r="C89" s="24">
        <f>MAX(0,(SUM('My Loans'!$E$6:$E$15)+'My Loans'!$D$3)-SUM($X89:$AG89))</f>
        <v/>
      </c>
      <c r="D89" s="24">
        <f>MAX(0,AR88)</f>
        <v/>
      </c>
      <c r="E89" s="24">
        <f>MAX(0,AS88)</f>
        <v/>
      </c>
      <c r="F89" s="24">
        <f>MAX(0,AT88)</f>
        <v/>
      </c>
      <c r="G89" s="24">
        <f>MAX(0,AU88)</f>
        <v/>
      </c>
      <c r="H89" s="24">
        <f>MAX(0,AV88)</f>
        <v/>
      </c>
      <c r="I89" s="24">
        <f>MAX(0,AW88)</f>
        <v/>
      </c>
      <c r="J89" s="24">
        <f>MAX(0,AX88)</f>
        <v/>
      </c>
      <c r="K89" s="24">
        <f>MAX(0,AY88)</f>
        <v/>
      </c>
      <c r="L89" s="24">
        <f>MAX(0,AZ88)</f>
        <v/>
      </c>
      <c r="M89" s="24">
        <f>MAX(0,BA88)</f>
        <v/>
      </c>
      <c r="N89" s="24">
        <f>IF(D89&lt;0.5,0,D89*(1+N('My Loans'!D6)/1200))</f>
        <v/>
      </c>
      <c r="O89" s="24">
        <f>IF(E89&lt;0.5,0,E89*(1+N('My Loans'!D7)/1200))</f>
        <v/>
      </c>
      <c r="P89" s="24">
        <f>IF(F89&lt;0.5,0,F89*(1+N('My Loans'!D8)/1200))</f>
        <v/>
      </c>
      <c r="Q89" s="24">
        <f>IF(G89&lt;0.5,0,G89*(1+N('My Loans'!D9)/1200))</f>
        <v/>
      </c>
      <c r="R89" s="24">
        <f>IF(H89&lt;0.5,0,H89*(1+N('My Loans'!D10)/1200))</f>
        <v/>
      </c>
      <c r="S89" s="24">
        <f>IF(I89&lt;0.5,0,I89*(1+N('My Loans'!D11)/1200))</f>
        <v/>
      </c>
      <c r="T89" s="24">
        <f>IF(J89&lt;0.5,0,J89*(1+N('My Loans'!D12)/1200))</f>
        <v/>
      </c>
      <c r="U89" s="24">
        <f>IF(K89&lt;0.5,0,K89*(1+N('My Loans'!D13)/1200))</f>
        <v/>
      </c>
      <c r="V89" s="24">
        <f>IF(L89&lt;0.5,0,L89*(1+N('My Loans'!D14)/1200))</f>
        <v/>
      </c>
      <c r="W89" s="24">
        <f>IF(M89&lt;0.5,0,M89*(1+N('My Loans'!D15)/1200))</f>
        <v/>
      </c>
      <c r="X89" s="24">
        <f>MIN(N89,N('My Loans'!E6))</f>
        <v/>
      </c>
      <c r="Y89" s="24">
        <f>MIN(O89,N('My Loans'!E7))</f>
        <v/>
      </c>
      <c r="Z89" s="24">
        <f>MIN(P89,N('My Loans'!E8))</f>
        <v/>
      </c>
      <c r="AA89" s="24">
        <f>MIN(Q89,N('My Loans'!E9))</f>
        <v/>
      </c>
      <c r="AB89" s="24">
        <f>MIN(R89,N('My Loans'!E10))</f>
        <v/>
      </c>
      <c r="AC89" s="24">
        <f>MIN(S89,N('My Loans'!E11))</f>
        <v/>
      </c>
      <c r="AD89" s="24">
        <f>MIN(T89,N('My Loans'!E12))</f>
        <v/>
      </c>
      <c r="AE89" s="24">
        <f>MIN(U89,N('My Loans'!E13))</f>
        <v/>
      </c>
      <c r="AF89" s="24">
        <f>MIN(V89,N('My Loans'!E14))</f>
        <v/>
      </c>
      <c r="AG89" s="24">
        <f>MIN(W89,N('My Loans'!E15))</f>
        <v/>
      </c>
      <c r="AH89" s="24">
        <f>MIN(N89-X89,MAX(0,$C89-SUMPRODUCT(($D$3:$M$3&lt;D$3)*($N89:$W89-$X89:$AG89))))</f>
        <v/>
      </c>
      <c r="AI89" s="24">
        <f>MIN(O89-Y89,MAX(0,$C89-SUMPRODUCT(($D$3:$M$3&lt;E$3)*($N89:$W89-$X89:$AG89))))</f>
        <v/>
      </c>
      <c r="AJ89" s="24">
        <f>MIN(P89-Z89,MAX(0,$C89-SUMPRODUCT(($D$3:$M$3&lt;F$3)*($N89:$W89-$X89:$AG89))))</f>
        <v/>
      </c>
      <c r="AK89" s="24">
        <f>MIN(Q89-AA89,MAX(0,$C89-SUMPRODUCT(($D$3:$M$3&lt;G$3)*($N89:$W89-$X89:$AG89))))</f>
        <v/>
      </c>
      <c r="AL89" s="24">
        <f>MIN(R89-AB89,MAX(0,$C89-SUMPRODUCT(($D$3:$M$3&lt;H$3)*($N89:$W89-$X89:$AG89))))</f>
        <v/>
      </c>
      <c r="AM89" s="24">
        <f>MIN(S89-AC89,MAX(0,$C89-SUMPRODUCT(($D$3:$M$3&lt;I$3)*($N89:$W89-$X89:$AG89))))</f>
        <v/>
      </c>
      <c r="AN89" s="24">
        <f>MIN(T89-AD89,MAX(0,$C89-SUMPRODUCT(($D$3:$M$3&lt;J$3)*($N89:$W89-$X89:$AG89))))</f>
        <v/>
      </c>
      <c r="AO89" s="24">
        <f>MIN(U89-AE89,MAX(0,$C89-SUMPRODUCT(($D$3:$M$3&lt;K$3)*($N89:$W89-$X89:$AG89))))</f>
        <v/>
      </c>
      <c r="AP89" s="24">
        <f>MIN(V89-AF89,MAX(0,$C89-SUMPRODUCT(($D$3:$M$3&lt;L$3)*($N89:$W89-$X89:$AG89))))</f>
        <v/>
      </c>
      <c r="AQ89" s="24">
        <f>MIN(W89-AG89,MAX(0,$C89-SUMPRODUCT(($D$3:$M$3&lt;M$3)*($N89:$W89-$X89:$AG89))))</f>
        <v/>
      </c>
      <c r="AR89" s="24">
        <f>ROUND(N89-X89-AH89,2)</f>
        <v/>
      </c>
      <c r="AS89" s="24">
        <f>ROUND(O89-Y89-AI89,2)</f>
        <v/>
      </c>
      <c r="AT89" s="24">
        <f>ROUND(P89-Z89-AJ89,2)</f>
        <v/>
      </c>
      <c r="AU89" s="24">
        <f>ROUND(Q89-AA89-AK89,2)</f>
        <v/>
      </c>
      <c r="AV89" s="24">
        <f>ROUND(R89-AB89-AL89,2)</f>
        <v/>
      </c>
      <c r="AW89" s="24">
        <f>ROUND(S89-AC89-AM89,2)</f>
        <v/>
      </c>
      <c r="AX89" s="24">
        <f>ROUND(T89-AD89-AN89,2)</f>
        <v/>
      </c>
      <c r="AY89" s="24">
        <f>ROUND(U89-AE89-AO89,2)</f>
        <v/>
      </c>
      <c r="AZ89" s="24">
        <f>ROUND(V89-AF89-AP89,2)</f>
        <v/>
      </c>
      <c r="BA89" s="24">
        <f>ROUND(W89-AG89-AQ89,2)</f>
        <v/>
      </c>
      <c r="BB89" s="24">
        <f>SUM(AR89:BA89)</f>
        <v/>
      </c>
    </row>
    <row r="90">
      <c r="A90" t="n">
        <v>86</v>
      </c>
      <c r="B90" s="23">
        <f>EOMONTH(TODAY(),85)</f>
        <v/>
      </c>
      <c r="C90" s="24">
        <f>MAX(0,(SUM('My Loans'!$E$6:$E$15)+'My Loans'!$D$3)-SUM($X90:$AG90))</f>
        <v/>
      </c>
      <c r="D90" s="24">
        <f>MAX(0,AR89)</f>
        <v/>
      </c>
      <c r="E90" s="24">
        <f>MAX(0,AS89)</f>
        <v/>
      </c>
      <c r="F90" s="24">
        <f>MAX(0,AT89)</f>
        <v/>
      </c>
      <c r="G90" s="24">
        <f>MAX(0,AU89)</f>
        <v/>
      </c>
      <c r="H90" s="24">
        <f>MAX(0,AV89)</f>
        <v/>
      </c>
      <c r="I90" s="24">
        <f>MAX(0,AW89)</f>
        <v/>
      </c>
      <c r="J90" s="24">
        <f>MAX(0,AX89)</f>
        <v/>
      </c>
      <c r="K90" s="24">
        <f>MAX(0,AY89)</f>
        <v/>
      </c>
      <c r="L90" s="24">
        <f>MAX(0,AZ89)</f>
        <v/>
      </c>
      <c r="M90" s="24">
        <f>MAX(0,BA89)</f>
        <v/>
      </c>
      <c r="N90" s="24">
        <f>IF(D90&lt;0.5,0,D90*(1+N('My Loans'!D6)/1200))</f>
        <v/>
      </c>
      <c r="O90" s="24">
        <f>IF(E90&lt;0.5,0,E90*(1+N('My Loans'!D7)/1200))</f>
        <v/>
      </c>
      <c r="P90" s="24">
        <f>IF(F90&lt;0.5,0,F90*(1+N('My Loans'!D8)/1200))</f>
        <v/>
      </c>
      <c r="Q90" s="24">
        <f>IF(G90&lt;0.5,0,G90*(1+N('My Loans'!D9)/1200))</f>
        <v/>
      </c>
      <c r="R90" s="24">
        <f>IF(H90&lt;0.5,0,H90*(1+N('My Loans'!D10)/1200))</f>
        <v/>
      </c>
      <c r="S90" s="24">
        <f>IF(I90&lt;0.5,0,I90*(1+N('My Loans'!D11)/1200))</f>
        <v/>
      </c>
      <c r="T90" s="24">
        <f>IF(J90&lt;0.5,0,J90*(1+N('My Loans'!D12)/1200))</f>
        <v/>
      </c>
      <c r="U90" s="24">
        <f>IF(K90&lt;0.5,0,K90*(1+N('My Loans'!D13)/1200))</f>
        <v/>
      </c>
      <c r="V90" s="24">
        <f>IF(L90&lt;0.5,0,L90*(1+N('My Loans'!D14)/1200))</f>
        <v/>
      </c>
      <c r="W90" s="24">
        <f>IF(M90&lt;0.5,0,M90*(1+N('My Loans'!D15)/1200))</f>
        <v/>
      </c>
      <c r="X90" s="24">
        <f>MIN(N90,N('My Loans'!E6))</f>
        <v/>
      </c>
      <c r="Y90" s="24">
        <f>MIN(O90,N('My Loans'!E7))</f>
        <v/>
      </c>
      <c r="Z90" s="24">
        <f>MIN(P90,N('My Loans'!E8))</f>
        <v/>
      </c>
      <c r="AA90" s="24">
        <f>MIN(Q90,N('My Loans'!E9))</f>
        <v/>
      </c>
      <c r="AB90" s="24">
        <f>MIN(R90,N('My Loans'!E10))</f>
        <v/>
      </c>
      <c r="AC90" s="24">
        <f>MIN(S90,N('My Loans'!E11))</f>
        <v/>
      </c>
      <c r="AD90" s="24">
        <f>MIN(T90,N('My Loans'!E12))</f>
        <v/>
      </c>
      <c r="AE90" s="24">
        <f>MIN(U90,N('My Loans'!E13))</f>
        <v/>
      </c>
      <c r="AF90" s="24">
        <f>MIN(V90,N('My Loans'!E14))</f>
        <v/>
      </c>
      <c r="AG90" s="24">
        <f>MIN(W90,N('My Loans'!E15))</f>
        <v/>
      </c>
      <c r="AH90" s="24">
        <f>MIN(N90-X90,MAX(0,$C90-SUMPRODUCT(($D$3:$M$3&lt;D$3)*($N90:$W90-$X90:$AG90))))</f>
        <v/>
      </c>
      <c r="AI90" s="24">
        <f>MIN(O90-Y90,MAX(0,$C90-SUMPRODUCT(($D$3:$M$3&lt;E$3)*($N90:$W90-$X90:$AG90))))</f>
        <v/>
      </c>
      <c r="AJ90" s="24">
        <f>MIN(P90-Z90,MAX(0,$C90-SUMPRODUCT(($D$3:$M$3&lt;F$3)*($N90:$W90-$X90:$AG90))))</f>
        <v/>
      </c>
      <c r="AK90" s="24">
        <f>MIN(Q90-AA90,MAX(0,$C90-SUMPRODUCT(($D$3:$M$3&lt;G$3)*($N90:$W90-$X90:$AG90))))</f>
        <v/>
      </c>
      <c r="AL90" s="24">
        <f>MIN(R90-AB90,MAX(0,$C90-SUMPRODUCT(($D$3:$M$3&lt;H$3)*($N90:$W90-$X90:$AG90))))</f>
        <v/>
      </c>
      <c r="AM90" s="24">
        <f>MIN(S90-AC90,MAX(0,$C90-SUMPRODUCT(($D$3:$M$3&lt;I$3)*($N90:$W90-$X90:$AG90))))</f>
        <v/>
      </c>
      <c r="AN90" s="24">
        <f>MIN(T90-AD90,MAX(0,$C90-SUMPRODUCT(($D$3:$M$3&lt;J$3)*($N90:$W90-$X90:$AG90))))</f>
        <v/>
      </c>
      <c r="AO90" s="24">
        <f>MIN(U90-AE90,MAX(0,$C90-SUMPRODUCT(($D$3:$M$3&lt;K$3)*($N90:$W90-$X90:$AG90))))</f>
        <v/>
      </c>
      <c r="AP90" s="24">
        <f>MIN(V90-AF90,MAX(0,$C90-SUMPRODUCT(($D$3:$M$3&lt;L$3)*($N90:$W90-$X90:$AG90))))</f>
        <v/>
      </c>
      <c r="AQ90" s="24">
        <f>MIN(W90-AG90,MAX(0,$C90-SUMPRODUCT(($D$3:$M$3&lt;M$3)*($N90:$W90-$X90:$AG90))))</f>
        <v/>
      </c>
      <c r="AR90" s="24">
        <f>ROUND(N90-X90-AH90,2)</f>
        <v/>
      </c>
      <c r="AS90" s="24">
        <f>ROUND(O90-Y90-AI90,2)</f>
        <v/>
      </c>
      <c r="AT90" s="24">
        <f>ROUND(P90-Z90-AJ90,2)</f>
        <v/>
      </c>
      <c r="AU90" s="24">
        <f>ROUND(Q90-AA90-AK90,2)</f>
        <v/>
      </c>
      <c r="AV90" s="24">
        <f>ROUND(R90-AB90-AL90,2)</f>
        <v/>
      </c>
      <c r="AW90" s="24">
        <f>ROUND(S90-AC90-AM90,2)</f>
        <v/>
      </c>
      <c r="AX90" s="24">
        <f>ROUND(T90-AD90-AN90,2)</f>
        <v/>
      </c>
      <c r="AY90" s="24">
        <f>ROUND(U90-AE90-AO90,2)</f>
        <v/>
      </c>
      <c r="AZ90" s="24">
        <f>ROUND(V90-AF90-AP90,2)</f>
        <v/>
      </c>
      <c r="BA90" s="24">
        <f>ROUND(W90-AG90-AQ90,2)</f>
        <v/>
      </c>
      <c r="BB90" s="24">
        <f>SUM(AR90:BA90)</f>
        <v/>
      </c>
    </row>
    <row r="91">
      <c r="A91" t="n">
        <v>87</v>
      </c>
      <c r="B91" s="23">
        <f>EOMONTH(TODAY(),86)</f>
        <v/>
      </c>
      <c r="C91" s="24">
        <f>MAX(0,(SUM('My Loans'!$E$6:$E$15)+'My Loans'!$D$3)-SUM($X91:$AG91))</f>
        <v/>
      </c>
      <c r="D91" s="24">
        <f>MAX(0,AR90)</f>
        <v/>
      </c>
      <c r="E91" s="24">
        <f>MAX(0,AS90)</f>
        <v/>
      </c>
      <c r="F91" s="24">
        <f>MAX(0,AT90)</f>
        <v/>
      </c>
      <c r="G91" s="24">
        <f>MAX(0,AU90)</f>
        <v/>
      </c>
      <c r="H91" s="24">
        <f>MAX(0,AV90)</f>
        <v/>
      </c>
      <c r="I91" s="24">
        <f>MAX(0,AW90)</f>
        <v/>
      </c>
      <c r="J91" s="24">
        <f>MAX(0,AX90)</f>
        <v/>
      </c>
      <c r="K91" s="24">
        <f>MAX(0,AY90)</f>
        <v/>
      </c>
      <c r="L91" s="24">
        <f>MAX(0,AZ90)</f>
        <v/>
      </c>
      <c r="M91" s="24">
        <f>MAX(0,BA90)</f>
        <v/>
      </c>
      <c r="N91" s="24">
        <f>IF(D91&lt;0.5,0,D91*(1+N('My Loans'!D6)/1200))</f>
        <v/>
      </c>
      <c r="O91" s="24">
        <f>IF(E91&lt;0.5,0,E91*(1+N('My Loans'!D7)/1200))</f>
        <v/>
      </c>
      <c r="P91" s="24">
        <f>IF(F91&lt;0.5,0,F91*(1+N('My Loans'!D8)/1200))</f>
        <v/>
      </c>
      <c r="Q91" s="24">
        <f>IF(G91&lt;0.5,0,G91*(1+N('My Loans'!D9)/1200))</f>
        <v/>
      </c>
      <c r="R91" s="24">
        <f>IF(H91&lt;0.5,0,H91*(1+N('My Loans'!D10)/1200))</f>
        <v/>
      </c>
      <c r="S91" s="24">
        <f>IF(I91&lt;0.5,0,I91*(1+N('My Loans'!D11)/1200))</f>
        <v/>
      </c>
      <c r="T91" s="24">
        <f>IF(J91&lt;0.5,0,J91*(1+N('My Loans'!D12)/1200))</f>
        <v/>
      </c>
      <c r="U91" s="24">
        <f>IF(K91&lt;0.5,0,K91*(1+N('My Loans'!D13)/1200))</f>
        <v/>
      </c>
      <c r="V91" s="24">
        <f>IF(L91&lt;0.5,0,L91*(1+N('My Loans'!D14)/1200))</f>
        <v/>
      </c>
      <c r="W91" s="24">
        <f>IF(M91&lt;0.5,0,M91*(1+N('My Loans'!D15)/1200))</f>
        <v/>
      </c>
      <c r="X91" s="24">
        <f>MIN(N91,N('My Loans'!E6))</f>
        <v/>
      </c>
      <c r="Y91" s="24">
        <f>MIN(O91,N('My Loans'!E7))</f>
        <v/>
      </c>
      <c r="Z91" s="24">
        <f>MIN(P91,N('My Loans'!E8))</f>
        <v/>
      </c>
      <c r="AA91" s="24">
        <f>MIN(Q91,N('My Loans'!E9))</f>
        <v/>
      </c>
      <c r="AB91" s="24">
        <f>MIN(R91,N('My Loans'!E10))</f>
        <v/>
      </c>
      <c r="AC91" s="24">
        <f>MIN(S91,N('My Loans'!E11))</f>
        <v/>
      </c>
      <c r="AD91" s="24">
        <f>MIN(T91,N('My Loans'!E12))</f>
        <v/>
      </c>
      <c r="AE91" s="24">
        <f>MIN(U91,N('My Loans'!E13))</f>
        <v/>
      </c>
      <c r="AF91" s="24">
        <f>MIN(V91,N('My Loans'!E14))</f>
        <v/>
      </c>
      <c r="AG91" s="24">
        <f>MIN(W91,N('My Loans'!E15))</f>
        <v/>
      </c>
      <c r="AH91" s="24">
        <f>MIN(N91-X91,MAX(0,$C91-SUMPRODUCT(($D$3:$M$3&lt;D$3)*($N91:$W91-$X91:$AG91))))</f>
        <v/>
      </c>
      <c r="AI91" s="24">
        <f>MIN(O91-Y91,MAX(0,$C91-SUMPRODUCT(($D$3:$M$3&lt;E$3)*($N91:$W91-$X91:$AG91))))</f>
        <v/>
      </c>
      <c r="AJ91" s="24">
        <f>MIN(P91-Z91,MAX(0,$C91-SUMPRODUCT(($D$3:$M$3&lt;F$3)*($N91:$W91-$X91:$AG91))))</f>
        <v/>
      </c>
      <c r="AK91" s="24">
        <f>MIN(Q91-AA91,MAX(0,$C91-SUMPRODUCT(($D$3:$M$3&lt;G$3)*($N91:$W91-$X91:$AG91))))</f>
        <v/>
      </c>
      <c r="AL91" s="24">
        <f>MIN(R91-AB91,MAX(0,$C91-SUMPRODUCT(($D$3:$M$3&lt;H$3)*($N91:$W91-$X91:$AG91))))</f>
        <v/>
      </c>
      <c r="AM91" s="24">
        <f>MIN(S91-AC91,MAX(0,$C91-SUMPRODUCT(($D$3:$M$3&lt;I$3)*($N91:$W91-$X91:$AG91))))</f>
        <v/>
      </c>
      <c r="AN91" s="24">
        <f>MIN(T91-AD91,MAX(0,$C91-SUMPRODUCT(($D$3:$M$3&lt;J$3)*($N91:$W91-$X91:$AG91))))</f>
        <v/>
      </c>
      <c r="AO91" s="24">
        <f>MIN(U91-AE91,MAX(0,$C91-SUMPRODUCT(($D$3:$M$3&lt;K$3)*($N91:$W91-$X91:$AG91))))</f>
        <v/>
      </c>
      <c r="AP91" s="24">
        <f>MIN(V91-AF91,MAX(0,$C91-SUMPRODUCT(($D$3:$M$3&lt;L$3)*($N91:$W91-$X91:$AG91))))</f>
        <v/>
      </c>
      <c r="AQ91" s="24">
        <f>MIN(W91-AG91,MAX(0,$C91-SUMPRODUCT(($D$3:$M$3&lt;M$3)*($N91:$W91-$X91:$AG91))))</f>
        <v/>
      </c>
      <c r="AR91" s="24">
        <f>ROUND(N91-X91-AH91,2)</f>
        <v/>
      </c>
      <c r="AS91" s="24">
        <f>ROUND(O91-Y91-AI91,2)</f>
        <v/>
      </c>
      <c r="AT91" s="24">
        <f>ROUND(P91-Z91-AJ91,2)</f>
        <v/>
      </c>
      <c r="AU91" s="24">
        <f>ROUND(Q91-AA91-AK91,2)</f>
        <v/>
      </c>
      <c r="AV91" s="24">
        <f>ROUND(R91-AB91-AL91,2)</f>
        <v/>
      </c>
      <c r="AW91" s="24">
        <f>ROUND(S91-AC91-AM91,2)</f>
        <v/>
      </c>
      <c r="AX91" s="24">
        <f>ROUND(T91-AD91-AN91,2)</f>
        <v/>
      </c>
      <c r="AY91" s="24">
        <f>ROUND(U91-AE91-AO91,2)</f>
        <v/>
      </c>
      <c r="AZ91" s="24">
        <f>ROUND(V91-AF91-AP91,2)</f>
        <v/>
      </c>
      <c r="BA91" s="24">
        <f>ROUND(W91-AG91-AQ91,2)</f>
        <v/>
      </c>
      <c r="BB91" s="24">
        <f>SUM(AR91:BA91)</f>
        <v/>
      </c>
    </row>
    <row r="92">
      <c r="A92" t="n">
        <v>88</v>
      </c>
      <c r="B92" s="23">
        <f>EOMONTH(TODAY(),87)</f>
        <v/>
      </c>
      <c r="C92" s="24">
        <f>MAX(0,(SUM('My Loans'!$E$6:$E$15)+'My Loans'!$D$3)-SUM($X92:$AG92))</f>
        <v/>
      </c>
      <c r="D92" s="24">
        <f>MAX(0,AR91)</f>
        <v/>
      </c>
      <c r="E92" s="24">
        <f>MAX(0,AS91)</f>
        <v/>
      </c>
      <c r="F92" s="24">
        <f>MAX(0,AT91)</f>
        <v/>
      </c>
      <c r="G92" s="24">
        <f>MAX(0,AU91)</f>
        <v/>
      </c>
      <c r="H92" s="24">
        <f>MAX(0,AV91)</f>
        <v/>
      </c>
      <c r="I92" s="24">
        <f>MAX(0,AW91)</f>
        <v/>
      </c>
      <c r="J92" s="24">
        <f>MAX(0,AX91)</f>
        <v/>
      </c>
      <c r="K92" s="24">
        <f>MAX(0,AY91)</f>
        <v/>
      </c>
      <c r="L92" s="24">
        <f>MAX(0,AZ91)</f>
        <v/>
      </c>
      <c r="M92" s="24">
        <f>MAX(0,BA91)</f>
        <v/>
      </c>
      <c r="N92" s="24">
        <f>IF(D92&lt;0.5,0,D92*(1+N('My Loans'!D6)/1200))</f>
        <v/>
      </c>
      <c r="O92" s="24">
        <f>IF(E92&lt;0.5,0,E92*(1+N('My Loans'!D7)/1200))</f>
        <v/>
      </c>
      <c r="P92" s="24">
        <f>IF(F92&lt;0.5,0,F92*(1+N('My Loans'!D8)/1200))</f>
        <v/>
      </c>
      <c r="Q92" s="24">
        <f>IF(G92&lt;0.5,0,G92*(1+N('My Loans'!D9)/1200))</f>
        <v/>
      </c>
      <c r="R92" s="24">
        <f>IF(H92&lt;0.5,0,H92*(1+N('My Loans'!D10)/1200))</f>
        <v/>
      </c>
      <c r="S92" s="24">
        <f>IF(I92&lt;0.5,0,I92*(1+N('My Loans'!D11)/1200))</f>
        <v/>
      </c>
      <c r="T92" s="24">
        <f>IF(J92&lt;0.5,0,J92*(1+N('My Loans'!D12)/1200))</f>
        <v/>
      </c>
      <c r="U92" s="24">
        <f>IF(K92&lt;0.5,0,K92*(1+N('My Loans'!D13)/1200))</f>
        <v/>
      </c>
      <c r="V92" s="24">
        <f>IF(L92&lt;0.5,0,L92*(1+N('My Loans'!D14)/1200))</f>
        <v/>
      </c>
      <c r="W92" s="24">
        <f>IF(M92&lt;0.5,0,M92*(1+N('My Loans'!D15)/1200))</f>
        <v/>
      </c>
      <c r="X92" s="24">
        <f>MIN(N92,N('My Loans'!E6))</f>
        <v/>
      </c>
      <c r="Y92" s="24">
        <f>MIN(O92,N('My Loans'!E7))</f>
        <v/>
      </c>
      <c r="Z92" s="24">
        <f>MIN(P92,N('My Loans'!E8))</f>
        <v/>
      </c>
      <c r="AA92" s="24">
        <f>MIN(Q92,N('My Loans'!E9))</f>
        <v/>
      </c>
      <c r="AB92" s="24">
        <f>MIN(R92,N('My Loans'!E10))</f>
        <v/>
      </c>
      <c r="AC92" s="24">
        <f>MIN(S92,N('My Loans'!E11))</f>
        <v/>
      </c>
      <c r="AD92" s="24">
        <f>MIN(T92,N('My Loans'!E12))</f>
        <v/>
      </c>
      <c r="AE92" s="24">
        <f>MIN(U92,N('My Loans'!E13))</f>
        <v/>
      </c>
      <c r="AF92" s="24">
        <f>MIN(V92,N('My Loans'!E14))</f>
        <v/>
      </c>
      <c r="AG92" s="24">
        <f>MIN(W92,N('My Loans'!E15))</f>
        <v/>
      </c>
      <c r="AH92" s="24">
        <f>MIN(N92-X92,MAX(0,$C92-SUMPRODUCT(($D$3:$M$3&lt;D$3)*($N92:$W92-$X92:$AG92))))</f>
        <v/>
      </c>
      <c r="AI92" s="24">
        <f>MIN(O92-Y92,MAX(0,$C92-SUMPRODUCT(($D$3:$M$3&lt;E$3)*($N92:$W92-$X92:$AG92))))</f>
        <v/>
      </c>
      <c r="AJ92" s="24">
        <f>MIN(P92-Z92,MAX(0,$C92-SUMPRODUCT(($D$3:$M$3&lt;F$3)*($N92:$W92-$X92:$AG92))))</f>
        <v/>
      </c>
      <c r="AK92" s="24">
        <f>MIN(Q92-AA92,MAX(0,$C92-SUMPRODUCT(($D$3:$M$3&lt;G$3)*($N92:$W92-$X92:$AG92))))</f>
        <v/>
      </c>
      <c r="AL92" s="24">
        <f>MIN(R92-AB92,MAX(0,$C92-SUMPRODUCT(($D$3:$M$3&lt;H$3)*($N92:$W92-$X92:$AG92))))</f>
        <v/>
      </c>
      <c r="AM92" s="24">
        <f>MIN(S92-AC92,MAX(0,$C92-SUMPRODUCT(($D$3:$M$3&lt;I$3)*($N92:$W92-$X92:$AG92))))</f>
        <v/>
      </c>
      <c r="AN92" s="24">
        <f>MIN(T92-AD92,MAX(0,$C92-SUMPRODUCT(($D$3:$M$3&lt;J$3)*($N92:$W92-$X92:$AG92))))</f>
        <v/>
      </c>
      <c r="AO92" s="24">
        <f>MIN(U92-AE92,MAX(0,$C92-SUMPRODUCT(($D$3:$M$3&lt;K$3)*($N92:$W92-$X92:$AG92))))</f>
        <v/>
      </c>
      <c r="AP92" s="24">
        <f>MIN(V92-AF92,MAX(0,$C92-SUMPRODUCT(($D$3:$M$3&lt;L$3)*($N92:$W92-$X92:$AG92))))</f>
        <v/>
      </c>
      <c r="AQ92" s="24">
        <f>MIN(W92-AG92,MAX(0,$C92-SUMPRODUCT(($D$3:$M$3&lt;M$3)*($N92:$W92-$X92:$AG92))))</f>
        <v/>
      </c>
      <c r="AR92" s="24">
        <f>ROUND(N92-X92-AH92,2)</f>
        <v/>
      </c>
      <c r="AS92" s="24">
        <f>ROUND(O92-Y92-AI92,2)</f>
        <v/>
      </c>
      <c r="AT92" s="24">
        <f>ROUND(P92-Z92-AJ92,2)</f>
        <v/>
      </c>
      <c r="AU92" s="24">
        <f>ROUND(Q92-AA92-AK92,2)</f>
        <v/>
      </c>
      <c r="AV92" s="24">
        <f>ROUND(R92-AB92-AL92,2)</f>
        <v/>
      </c>
      <c r="AW92" s="24">
        <f>ROUND(S92-AC92-AM92,2)</f>
        <v/>
      </c>
      <c r="AX92" s="24">
        <f>ROUND(T92-AD92-AN92,2)</f>
        <v/>
      </c>
      <c r="AY92" s="24">
        <f>ROUND(U92-AE92-AO92,2)</f>
        <v/>
      </c>
      <c r="AZ92" s="24">
        <f>ROUND(V92-AF92-AP92,2)</f>
        <v/>
      </c>
      <c r="BA92" s="24">
        <f>ROUND(W92-AG92-AQ92,2)</f>
        <v/>
      </c>
      <c r="BB92" s="24">
        <f>SUM(AR92:BA92)</f>
        <v/>
      </c>
    </row>
    <row r="93">
      <c r="A93" t="n">
        <v>89</v>
      </c>
      <c r="B93" s="23">
        <f>EOMONTH(TODAY(),88)</f>
        <v/>
      </c>
      <c r="C93" s="24">
        <f>MAX(0,(SUM('My Loans'!$E$6:$E$15)+'My Loans'!$D$3)-SUM($X93:$AG93))</f>
        <v/>
      </c>
      <c r="D93" s="24">
        <f>MAX(0,AR92)</f>
        <v/>
      </c>
      <c r="E93" s="24">
        <f>MAX(0,AS92)</f>
        <v/>
      </c>
      <c r="F93" s="24">
        <f>MAX(0,AT92)</f>
        <v/>
      </c>
      <c r="G93" s="24">
        <f>MAX(0,AU92)</f>
        <v/>
      </c>
      <c r="H93" s="24">
        <f>MAX(0,AV92)</f>
        <v/>
      </c>
      <c r="I93" s="24">
        <f>MAX(0,AW92)</f>
        <v/>
      </c>
      <c r="J93" s="24">
        <f>MAX(0,AX92)</f>
        <v/>
      </c>
      <c r="K93" s="24">
        <f>MAX(0,AY92)</f>
        <v/>
      </c>
      <c r="L93" s="24">
        <f>MAX(0,AZ92)</f>
        <v/>
      </c>
      <c r="M93" s="24">
        <f>MAX(0,BA92)</f>
        <v/>
      </c>
      <c r="N93" s="24">
        <f>IF(D93&lt;0.5,0,D93*(1+N('My Loans'!D6)/1200))</f>
        <v/>
      </c>
      <c r="O93" s="24">
        <f>IF(E93&lt;0.5,0,E93*(1+N('My Loans'!D7)/1200))</f>
        <v/>
      </c>
      <c r="P93" s="24">
        <f>IF(F93&lt;0.5,0,F93*(1+N('My Loans'!D8)/1200))</f>
        <v/>
      </c>
      <c r="Q93" s="24">
        <f>IF(G93&lt;0.5,0,G93*(1+N('My Loans'!D9)/1200))</f>
        <v/>
      </c>
      <c r="R93" s="24">
        <f>IF(H93&lt;0.5,0,H93*(1+N('My Loans'!D10)/1200))</f>
        <v/>
      </c>
      <c r="S93" s="24">
        <f>IF(I93&lt;0.5,0,I93*(1+N('My Loans'!D11)/1200))</f>
        <v/>
      </c>
      <c r="T93" s="24">
        <f>IF(J93&lt;0.5,0,J93*(1+N('My Loans'!D12)/1200))</f>
        <v/>
      </c>
      <c r="U93" s="24">
        <f>IF(K93&lt;0.5,0,K93*(1+N('My Loans'!D13)/1200))</f>
        <v/>
      </c>
      <c r="V93" s="24">
        <f>IF(L93&lt;0.5,0,L93*(1+N('My Loans'!D14)/1200))</f>
        <v/>
      </c>
      <c r="W93" s="24">
        <f>IF(M93&lt;0.5,0,M93*(1+N('My Loans'!D15)/1200))</f>
        <v/>
      </c>
      <c r="X93" s="24">
        <f>MIN(N93,N('My Loans'!E6))</f>
        <v/>
      </c>
      <c r="Y93" s="24">
        <f>MIN(O93,N('My Loans'!E7))</f>
        <v/>
      </c>
      <c r="Z93" s="24">
        <f>MIN(P93,N('My Loans'!E8))</f>
        <v/>
      </c>
      <c r="AA93" s="24">
        <f>MIN(Q93,N('My Loans'!E9))</f>
        <v/>
      </c>
      <c r="AB93" s="24">
        <f>MIN(R93,N('My Loans'!E10))</f>
        <v/>
      </c>
      <c r="AC93" s="24">
        <f>MIN(S93,N('My Loans'!E11))</f>
        <v/>
      </c>
      <c r="AD93" s="24">
        <f>MIN(T93,N('My Loans'!E12))</f>
        <v/>
      </c>
      <c r="AE93" s="24">
        <f>MIN(U93,N('My Loans'!E13))</f>
        <v/>
      </c>
      <c r="AF93" s="24">
        <f>MIN(V93,N('My Loans'!E14))</f>
        <v/>
      </c>
      <c r="AG93" s="24">
        <f>MIN(W93,N('My Loans'!E15))</f>
        <v/>
      </c>
      <c r="AH93" s="24">
        <f>MIN(N93-X93,MAX(0,$C93-SUMPRODUCT(($D$3:$M$3&lt;D$3)*($N93:$W93-$X93:$AG93))))</f>
        <v/>
      </c>
      <c r="AI93" s="24">
        <f>MIN(O93-Y93,MAX(0,$C93-SUMPRODUCT(($D$3:$M$3&lt;E$3)*($N93:$W93-$X93:$AG93))))</f>
        <v/>
      </c>
      <c r="AJ93" s="24">
        <f>MIN(P93-Z93,MAX(0,$C93-SUMPRODUCT(($D$3:$M$3&lt;F$3)*($N93:$W93-$X93:$AG93))))</f>
        <v/>
      </c>
      <c r="AK93" s="24">
        <f>MIN(Q93-AA93,MAX(0,$C93-SUMPRODUCT(($D$3:$M$3&lt;G$3)*($N93:$W93-$X93:$AG93))))</f>
        <v/>
      </c>
      <c r="AL93" s="24">
        <f>MIN(R93-AB93,MAX(0,$C93-SUMPRODUCT(($D$3:$M$3&lt;H$3)*($N93:$W93-$X93:$AG93))))</f>
        <v/>
      </c>
      <c r="AM93" s="24">
        <f>MIN(S93-AC93,MAX(0,$C93-SUMPRODUCT(($D$3:$M$3&lt;I$3)*($N93:$W93-$X93:$AG93))))</f>
        <v/>
      </c>
      <c r="AN93" s="24">
        <f>MIN(T93-AD93,MAX(0,$C93-SUMPRODUCT(($D$3:$M$3&lt;J$3)*($N93:$W93-$X93:$AG93))))</f>
        <v/>
      </c>
      <c r="AO93" s="24">
        <f>MIN(U93-AE93,MAX(0,$C93-SUMPRODUCT(($D$3:$M$3&lt;K$3)*($N93:$W93-$X93:$AG93))))</f>
        <v/>
      </c>
      <c r="AP93" s="24">
        <f>MIN(V93-AF93,MAX(0,$C93-SUMPRODUCT(($D$3:$M$3&lt;L$3)*($N93:$W93-$X93:$AG93))))</f>
        <v/>
      </c>
      <c r="AQ93" s="24">
        <f>MIN(W93-AG93,MAX(0,$C93-SUMPRODUCT(($D$3:$M$3&lt;M$3)*($N93:$W93-$X93:$AG93))))</f>
        <v/>
      </c>
      <c r="AR93" s="24">
        <f>ROUND(N93-X93-AH93,2)</f>
        <v/>
      </c>
      <c r="AS93" s="24">
        <f>ROUND(O93-Y93-AI93,2)</f>
        <v/>
      </c>
      <c r="AT93" s="24">
        <f>ROUND(P93-Z93-AJ93,2)</f>
        <v/>
      </c>
      <c r="AU93" s="24">
        <f>ROUND(Q93-AA93-AK93,2)</f>
        <v/>
      </c>
      <c r="AV93" s="24">
        <f>ROUND(R93-AB93-AL93,2)</f>
        <v/>
      </c>
      <c r="AW93" s="24">
        <f>ROUND(S93-AC93-AM93,2)</f>
        <v/>
      </c>
      <c r="AX93" s="24">
        <f>ROUND(T93-AD93-AN93,2)</f>
        <v/>
      </c>
      <c r="AY93" s="24">
        <f>ROUND(U93-AE93-AO93,2)</f>
        <v/>
      </c>
      <c r="AZ93" s="24">
        <f>ROUND(V93-AF93-AP93,2)</f>
        <v/>
      </c>
      <c r="BA93" s="24">
        <f>ROUND(W93-AG93-AQ93,2)</f>
        <v/>
      </c>
      <c r="BB93" s="24">
        <f>SUM(AR93:BA93)</f>
        <v/>
      </c>
    </row>
    <row r="94">
      <c r="A94" t="n">
        <v>90</v>
      </c>
      <c r="B94" s="23">
        <f>EOMONTH(TODAY(),89)</f>
        <v/>
      </c>
      <c r="C94" s="24">
        <f>MAX(0,(SUM('My Loans'!$E$6:$E$15)+'My Loans'!$D$3)-SUM($X94:$AG94))</f>
        <v/>
      </c>
      <c r="D94" s="24">
        <f>MAX(0,AR93)</f>
        <v/>
      </c>
      <c r="E94" s="24">
        <f>MAX(0,AS93)</f>
        <v/>
      </c>
      <c r="F94" s="24">
        <f>MAX(0,AT93)</f>
        <v/>
      </c>
      <c r="G94" s="24">
        <f>MAX(0,AU93)</f>
        <v/>
      </c>
      <c r="H94" s="24">
        <f>MAX(0,AV93)</f>
        <v/>
      </c>
      <c r="I94" s="24">
        <f>MAX(0,AW93)</f>
        <v/>
      </c>
      <c r="J94" s="24">
        <f>MAX(0,AX93)</f>
        <v/>
      </c>
      <c r="K94" s="24">
        <f>MAX(0,AY93)</f>
        <v/>
      </c>
      <c r="L94" s="24">
        <f>MAX(0,AZ93)</f>
        <v/>
      </c>
      <c r="M94" s="24">
        <f>MAX(0,BA93)</f>
        <v/>
      </c>
      <c r="N94" s="24">
        <f>IF(D94&lt;0.5,0,D94*(1+N('My Loans'!D6)/1200))</f>
        <v/>
      </c>
      <c r="O94" s="24">
        <f>IF(E94&lt;0.5,0,E94*(1+N('My Loans'!D7)/1200))</f>
        <v/>
      </c>
      <c r="P94" s="24">
        <f>IF(F94&lt;0.5,0,F94*(1+N('My Loans'!D8)/1200))</f>
        <v/>
      </c>
      <c r="Q94" s="24">
        <f>IF(G94&lt;0.5,0,G94*(1+N('My Loans'!D9)/1200))</f>
        <v/>
      </c>
      <c r="R94" s="24">
        <f>IF(H94&lt;0.5,0,H94*(1+N('My Loans'!D10)/1200))</f>
        <v/>
      </c>
      <c r="S94" s="24">
        <f>IF(I94&lt;0.5,0,I94*(1+N('My Loans'!D11)/1200))</f>
        <v/>
      </c>
      <c r="T94" s="24">
        <f>IF(J94&lt;0.5,0,J94*(1+N('My Loans'!D12)/1200))</f>
        <v/>
      </c>
      <c r="U94" s="24">
        <f>IF(K94&lt;0.5,0,K94*(1+N('My Loans'!D13)/1200))</f>
        <v/>
      </c>
      <c r="V94" s="24">
        <f>IF(L94&lt;0.5,0,L94*(1+N('My Loans'!D14)/1200))</f>
        <v/>
      </c>
      <c r="W94" s="24">
        <f>IF(M94&lt;0.5,0,M94*(1+N('My Loans'!D15)/1200))</f>
        <v/>
      </c>
      <c r="X94" s="24">
        <f>MIN(N94,N('My Loans'!E6))</f>
        <v/>
      </c>
      <c r="Y94" s="24">
        <f>MIN(O94,N('My Loans'!E7))</f>
        <v/>
      </c>
      <c r="Z94" s="24">
        <f>MIN(P94,N('My Loans'!E8))</f>
        <v/>
      </c>
      <c r="AA94" s="24">
        <f>MIN(Q94,N('My Loans'!E9))</f>
        <v/>
      </c>
      <c r="AB94" s="24">
        <f>MIN(R94,N('My Loans'!E10))</f>
        <v/>
      </c>
      <c r="AC94" s="24">
        <f>MIN(S94,N('My Loans'!E11))</f>
        <v/>
      </c>
      <c r="AD94" s="24">
        <f>MIN(T94,N('My Loans'!E12))</f>
        <v/>
      </c>
      <c r="AE94" s="24">
        <f>MIN(U94,N('My Loans'!E13))</f>
        <v/>
      </c>
      <c r="AF94" s="24">
        <f>MIN(V94,N('My Loans'!E14))</f>
        <v/>
      </c>
      <c r="AG94" s="24">
        <f>MIN(W94,N('My Loans'!E15))</f>
        <v/>
      </c>
      <c r="AH94" s="24">
        <f>MIN(N94-X94,MAX(0,$C94-SUMPRODUCT(($D$3:$M$3&lt;D$3)*($N94:$W94-$X94:$AG94))))</f>
        <v/>
      </c>
      <c r="AI94" s="24">
        <f>MIN(O94-Y94,MAX(0,$C94-SUMPRODUCT(($D$3:$M$3&lt;E$3)*($N94:$W94-$X94:$AG94))))</f>
        <v/>
      </c>
      <c r="AJ94" s="24">
        <f>MIN(P94-Z94,MAX(0,$C94-SUMPRODUCT(($D$3:$M$3&lt;F$3)*($N94:$W94-$X94:$AG94))))</f>
        <v/>
      </c>
      <c r="AK94" s="24">
        <f>MIN(Q94-AA94,MAX(0,$C94-SUMPRODUCT(($D$3:$M$3&lt;G$3)*($N94:$W94-$X94:$AG94))))</f>
        <v/>
      </c>
      <c r="AL94" s="24">
        <f>MIN(R94-AB94,MAX(0,$C94-SUMPRODUCT(($D$3:$M$3&lt;H$3)*($N94:$W94-$X94:$AG94))))</f>
        <v/>
      </c>
      <c r="AM94" s="24">
        <f>MIN(S94-AC94,MAX(0,$C94-SUMPRODUCT(($D$3:$M$3&lt;I$3)*($N94:$W94-$X94:$AG94))))</f>
        <v/>
      </c>
      <c r="AN94" s="24">
        <f>MIN(T94-AD94,MAX(0,$C94-SUMPRODUCT(($D$3:$M$3&lt;J$3)*($N94:$W94-$X94:$AG94))))</f>
        <v/>
      </c>
      <c r="AO94" s="24">
        <f>MIN(U94-AE94,MAX(0,$C94-SUMPRODUCT(($D$3:$M$3&lt;K$3)*($N94:$W94-$X94:$AG94))))</f>
        <v/>
      </c>
      <c r="AP94" s="24">
        <f>MIN(V94-AF94,MAX(0,$C94-SUMPRODUCT(($D$3:$M$3&lt;L$3)*($N94:$W94-$X94:$AG94))))</f>
        <v/>
      </c>
      <c r="AQ94" s="24">
        <f>MIN(W94-AG94,MAX(0,$C94-SUMPRODUCT(($D$3:$M$3&lt;M$3)*($N94:$W94-$X94:$AG94))))</f>
        <v/>
      </c>
      <c r="AR94" s="24">
        <f>ROUND(N94-X94-AH94,2)</f>
        <v/>
      </c>
      <c r="AS94" s="24">
        <f>ROUND(O94-Y94-AI94,2)</f>
        <v/>
      </c>
      <c r="AT94" s="24">
        <f>ROUND(P94-Z94-AJ94,2)</f>
        <v/>
      </c>
      <c r="AU94" s="24">
        <f>ROUND(Q94-AA94-AK94,2)</f>
        <v/>
      </c>
      <c r="AV94" s="24">
        <f>ROUND(R94-AB94-AL94,2)</f>
        <v/>
      </c>
      <c r="AW94" s="24">
        <f>ROUND(S94-AC94-AM94,2)</f>
        <v/>
      </c>
      <c r="AX94" s="24">
        <f>ROUND(T94-AD94-AN94,2)</f>
        <v/>
      </c>
      <c r="AY94" s="24">
        <f>ROUND(U94-AE94-AO94,2)</f>
        <v/>
      </c>
      <c r="AZ94" s="24">
        <f>ROUND(V94-AF94-AP94,2)</f>
        <v/>
      </c>
      <c r="BA94" s="24">
        <f>ROUND(W94-AG94-AQ94,2)</f>
        <v/>
      </c>
      <c r="BB94" s="24">
        <f>SUM(AR94:BA94)</f>
        <v/>
      </c>
    </row>
    <row r="95">
      <c r="A95" t="n">
        <v>91</v>
      </c>
      <c r="B95" s="23">
        <f>EOMONTH(TODAY(),90)</f>
        <v/>
      </c>
      <c r="C95" s="24">
        <f>MAX(0,(SUM('My Loans'!$E$6:$E$15)+'My Loans'!$D$3)-SUM($X95:$AG95))</f>
        <v/>
      </c>
      <c r="D95" s="24">
        <f>MAX(0,AR94)</f>
        <v/>
      </c>
      <c r="E95" s="24">
        <f>MAX(0,AS94)</f>
        <v/>
      </c>
      <c r="F95" s="24">
        <f>MAX(0,AT94)</f>
        <v/>
      </c>
      <c r="G95" s="24">
        <f>MAX(0,AU94)</f>
        <v/>
      </c>
      <c r="H95" s="24">
        <f>MAX(0,AV94)</f>
        <v/>
      </c>
      <c r="I95" s="24">
        <f>MAX(0,AW94)</f>
        <v/>
      </c>
      <c r="J95" s="24">
        <f>MAX(0,AX94)</f>
        <v/>
      </c>
      <c r="K95" s="24">
        <f>MAX(0,AY94)</f>
        <v/>
      </c>
      <c r="L95" s="24">
        <f>MAX(0,AZ94)</f>
        <v/>
      </c>
      <c r="M95" s="24">
        <f>MAX(0,BA94)</f>
        <v/>
      </c>
      <c r="N95" s="24">
        <f>IF(D95&lt;0.5,0,D95*(1+N('My Loans'!D6)/1200))</f>
        <v/>
      </c>
      <c r="O95" s="24">
        <f>IF(E95&lt;0.5,0,E95*(1+N('My Loans'!D7)/1200))</f>
        <v/>
      </c>
      <c r="P95" s="24">
        <f>IF(F95&lt;0.5,0,F95*(1+N('My Loans'!D8)/1200))</f>
        <v/>
      </c>
      <c r="Q95" s="24">
        <f>IF(G95&lt;0.5,0,G95*(1+N('My Loans'!D9)/1200))</f>
        <v/>
      </c>
      <c r="R95" s="24">
        <f>IF(H95&lt;0.5,0,H95*(1+N('My Loans'!D10)/1200))</f>
        <v/>
      </c>
      <c r="S95" s="24">
        <f>IF(I95&lt;0.5,0,I95*(1+N('My Loans'!D11)/1200))</f>
        <v/>
      </c>
      <c r="T95" s="24">
        <f>IF(J95&lt;0.5,0,J95*(1+N('My Loans'!D12)/1200))</f>
        <v/>
      </c>
      <c r="U95" s="24">
        <f>IF(K95&lt;0.5,0,K95*(1+N('My Loans'!D13)/1200))</f>
        <v/>
      </c>
      <c r="V95" s="24">
        <f>IF(L95&lt;0.5,0,L95*(1+N('My Loans'!D14)/1200))</f>
        <v/>
      </c>
      <c r="W95" s="24">
        <f>IF(M95&lt;0.5,0,M95*(1+N('My Loans'!D15)/1200))</f>
        <v/>
      </c>
      <c r="X95" s="24">
        <f>MIN(N95,N('My Loans'!E6))</f>
        <v/>
      </c>
      <c r="Y95" s="24">
        <f>MIN(O95,N('My Loans'!E7))</f>
        <v/>
      </c>
      <c r="Z95" s="24">
        <f>MIN(P95,N('My Loans'!E8))</f>
        <v/>
      </c>
      <c r="AA95" s="24">
        <f>MIN(Q95,N('My Loans'!E9))</f>
        <v/>
      </c>
      <c r="AB95" s="24">
        <f>MIN(R95,N('My Loans'!E10))</f>
        <v/>
      </c>
      <c r="AC95" s="24">
        <f>MIN(S95,N('My Loans'!E11))</f>
        <v/>
      </c>
      <c r="AD95" s="24">
        <f>MIN(T95,N('My Loans'!E12))</f>
        <v/>
      </c>
      <c r="AE95" s="24">
        <f>MIN(U95,N('My Loans'!E13))</f>
        <v/>
      </c>
      <c r="AF95" s="24">
        <f>MIN(V95,N('My Loans'!E14))</f>
        <v/>
      </c>
      <c r="AG95" s="24">
        <f>MIN(W95,N('My Loans'!E15))</f>
        <v/>
      </c>
      <c r="AH95" s="24">
        <f>MIN(N95-X95,MAX(0,$C95-SUMPRODUCT(($D$3:$M$3&lt;D$3)*($N95:$W95-$X95:$AG95))))</f>
        <v/>
      </c>
      <c r="AI95" s="24">
        <f>MIN(O95-Y95,MAX(0,$C95-SUMPRODUCT(($D$3:$M$3&lt;E$3)*($N95:$W95-$X95:$AG95))))</f>
        <v/>
      </c>
      <c r="AJ95" s="24">
        <f>MIN(P95-Z95,MAX(0,$C95-SUMPRODUCT(($D$3:$M$3&lt;F$3)*($N95:$W95-$X95:$AG95))))</f>
        <v/>
      </c>
      <c r="AK95" s="24">
        <f>MIN(Q95-AA95,MAX(0,$C95-SUMPRODUCT(($D$3:$M$3&lt;G$3)*($N95:$W95-$X95:$AG95))))</f>
        <v/>
      </c>
      <c r="AL95" s="24">
        <f>MIN(R95-AB95,MAX(0,$C95-SUMPRODUCT(($D$3:$M$3&lt;H$3)*($N95:$W95-$X95:$AG95))))</f>
        <v/>
      </c>
      <c r="AM95" s="24">
        <f>MIN(S95-AC95,MAX(0,$C95-SUMPRODUCT(($D$3:$M$3&lt;I$3)*($N95:$W95-$X95:$AG95))))</f>
        <v/>
      </c>
      <c r="AN95" s="24">
        <f>MIN(T95-AD95,MAX(0,$C95-SUMPRODUCT(($D$3:$M$3&lt;J$3)*($N95:$W95-$X95:$AG95))))</f>
        <v/>
      </c>
      <c r="AO95" s="24">
        <f>MIN(U95-AE95,MAX(0,$C95-SUMPRODUCT(($D$3:$M$3&lt;K$3)*($N95:$W95-$X95:$AG95))))</f>
        <v/>
      </c>
      <c r="AP95" s="24">
        <f>MIN(V95-AF95,MAX(0,$C95-SUMPRODUCT(($D$3:$M$3&lt;L$3)*($N95:$W95-$X95:$AG95))))</f>
        <v/>
      </c>
      <c r="AQ95" s="24">
        <f>MIN(W95-AG95,MAX(0,$C95-SUMPRODUCT(($D$3:$M$3&lt;M$3)*($N95:$W95-$X95:$AG95))))</f>
        <v/>
      </c>
      <c r="AR95" s="24">
        <f>ROUND(N95-X95-AH95,2)</f>
        <v/>
      </c>
      <c r="AS95" s="24">
        <f>ROUND(O95-Y95-AI95,2)</f>
        <v/>
      </c>
      <c r="AT95" s="24">
        <f>ROUND(P95-Z95-AJ95,2)</f>
        <v/>
      </c>
      <c r="AU95" s="24">
        <f>ROUND(Q95-AA95-AK95,2)</f>
        <v/>
      </c>
      <c r="AV95" s="24">
        <f>ROUND(R95-AB95-AL95,2)</f>
        <v/>
      </c>
      <c r="AW95" s="24">
        <f>ROUND(S95-AC95-AM95,2)</f>
        <v/>
      </c>
      <c r="AX95" s="24">
        <f>ROUND(T95-AD95-AN95,2)</f>
        <v/>
      </c>
      <c r="AY95" s="24">
        <f>ROUND(U95-AE95-AO95,2)</f>
        <v/>
      </c>
      <c r="AZ95" s="24">
        <f>ROUND(V95-AF95-AP95,2)</f>
        <v/>
      </c>
      <c r="BA95" s="24">
        <f>ROUND(W95-AG95-AQ95,2)</f>
        <v/>
      </c>
      <c r="BB95" s="24">
        <f>SUM(AR95:BA95)</f>
        <v/>
      </c>
    </row>
    <row r="96">
      <c r="A96" t="n">
        <v>92</v>
      </c>
      <c r="B96" s="23">
        <f>EOMONTH(TODAY(),91)</f>
        <v/>
      </c>
      <c r="C96" s="24">
        <f>MAX(0,(SUM('My Loans'!$E$6:$E$15)+'My Loans'!$D$3)-SUM($X96:$AG96))</f>
        <v/>
      </c>
      <c r="D96" s="24">
        <f>MAX(0,AR95)</f>
        <v/>
      </c>
      <c r="E96" s="24">
        <f>MAX(0,AS95)</f>
        <v/>
      </c>
      <c r="F96" s="24">
        <f>MAX(0,AT95)</f>
        <v/>
      </c>
      <c r="G96" s="24">
        <f>MAX(0,AU95)</f>
        <v/>
      </c>
      <c r="H96" s="24">
        <f>MAX(0,AV95)</f>
        <v/>
      </c>
      <c r="I96" s="24">
        <f>MAX(0,AW95)</f>
        <v/>
      </c>
      <c r="J96" s="24">
        <f>MAX(0,AX95)</f>
        <v/>
      </c>
      <c r="K96" s="24">
        <f>MAX(0,AY95)</f>
        <v/>
      </c>
      <c r="L96" s="24">
        <f>MAX(0,AZ95)</f>
        <v/>
      </c>
      <c r="M96" s="24">
        <f>MAX(0,BA95)</f>
        <v/>
      </c>
      <c r="N96" s="24">
        <f>IF(D96&lt;0.5,0,D96*(1+N('My Loans'!D6)/1200))</f>
        <v/>
      </c>
      <c r="O96" s="24">
        <f>IF(E96&lt;0.5,0,E96*(1+N('My Loans'!D7)/1200))</f>
        <v/>
      </c>
      <c r="P96" s="24">
        <f>IF(F96&lt;0.5,0,F96*(1+N('My Loans'!D8)/1200))</f>
        <v/>
      </c>
      <c r="Q96" s="24">
        <f>IF(G96&lt;0.5,0,G96*(1+N('My Loans'!D9)/1200))</f>
        <v/>
      </c>
      <c r="R96" s="24">
        <f>IF(H96&lt;0.5,0,H96*(1+N('My Loans'!D10)/1200))</f>
        <v/>
      </c>
      <c r="S96" s="24">
        <f>IF(I96&lt;0.5,0,I96*(1+N('My Loans'!D11)/1200))</f>
        <v/>
      </c>
      <c r="T96" s="24">
        <f>IF(J96&lt;0.5,0,J96*(1+N('My Loans'!D12)/1200))</f>
        <v/>
      </c>
      <c r="U96" s="24">
        <f>IF(K96&lt;0.5,0,K96*(1+N('My Loans'!D13)/1200))</f>
        <v/>
      </c>
      <c r="V96" s="24">
        <f>IF(L96&lt;0.5,0,L96*(1+N('My Loans'!D14)/1200))</f>
        <v/>
      </c>
      <c r="W96" s="24">
        <f>IF(M96&lt;0.5,0,M96*(1+N('My Loans'!D15)/1200))</f>
        <v/>
      </c>
      <c r="X96" s="24">
        <f>MIN(N96,N('My Loans'!E6))</f>
        <v/>
      </c>
      <c r="Y96" s="24">
        <f>MIN(O96,N('My Loans'!E7))</f>
        <v/>
      </c>
      <c r="Z96" s="24">
        <f>MIN(P96,N('My Loans'!E8))</f>
        <v/>
      </c>
      <c r="AA96" s="24">
        <f>MIN(Q96,N('My Loans'!E9))</f>
        <v/>
      </c>
      <c r="AB96" s="24">
        <f>MIN(R96,N('My Loans'!E10))</f>
        <v/>
      </c>
      <c r="AC96" s="24">
        <f>MIN(S96,N('My Loans'!E11))</f>
        <v/>
      </c>
      <c r="AD96" s="24">
        <f>MIN(T96,N('My Loans'!E12))</f>
        <v/>
      </c>
      <c r="AE96" s="24">
        <f>MIN(U96,N('My Loans'!E13))</f>
        <v/>
      </c>
      <c r="AF96" s="24">
        <f>MIN(V96,N('My Loans'!E14))</f>
        <v/>
      </c>
      <c r="AG96" s="24">
        <f>MIN(W96,N('My Loans'!E15))</f>
        <v/>
      </c>
      <c r="AH96" s="24">
        <f>MIN(N96-X96,MAX(0,$C96-SUMPRODUCT(($D$3:$M$3&lt;D$3)*($N96:$W96-$X96:$AG96))))</f>
        <v/>
      </c>
      <c r="AI96" s="24">
        <f>MIN(O96-Y96,MAX(0,$C96-SUMPRODUCT(($D$3:$M$3&lt;E$3)*($N96:$W96-$X96:$AG96))))</f>
        <v/>
      </c>
      <c r="AJ96" s="24">
        <f>MIN(P96-Z96,MAX(0,$C96-SUMPRODUCT(($D$3:$M$3&lt;F$3)*($N96:$W96-$X96:$AG96))))</f>
        <v/>
      </c>
      <c r="AK96" s="24">
        <f>MIN(Q96-AA96,MAX(0,$C96-SUMPRODUCT(($D$3:$M$3&lt;G$3)*($N96:$W96-$X96:$AG96))))</f>
        <v/>
      </c>
      <c r="AL96" s="24">
        <f>MIN(R96-AB96,MAX(0,$C96-SUMPRODUCT(($D$3:$M$3&lt;H$3)*($N96:$W96-$X96:$AG96))))</f>
        <v/>
      </c>
      <c r="AM96" s="24">
        <f>MIN(S96-AC96,MAX(0,$C96-SUMPRODUCT(($D$3:$M$3&lt;I$3)*($N96:$W96-$X96:$AG96))))</f>
        <v/>
      </c>
      <c r="AN96" s="24">
        <f>MIN(T96-AD96,MAX(0,$C96-SUMPRODUCT(($D$3:$M$3&lt;J$3)*($N96:$W96-$X96:$AG96))))</f>
        <v/>
      </c>
      <c r="AO96" s="24">
        <f>MIN(U96-AE96,MAX(0,$C96-SUMPRODUCT(($D$3:$M$3&lt;K$3)*($N96:$W96-$X96:$AG96))))</f>
        <v/>
      </c>
      <c r="AP96" s="24">
        <f>MIN(V96-AF96,MAX(0,$C96-SUMPRODUCT(($D$3:$M$3&lt;L$3)*($N96:$W96-$X96:$AG96))))</f>
        <v/>
      </c>
      <c r="AQ96" s="24">
        <f>MIN(W96-AG96,MAX(0,$C96-SUMPRODUCT(($D$3:$M$3&lt;M$3)*($N96:$W96-$X96:$AG96))))</f>
        <v/>
      </c>
      <c r="AR96" s="24">
        <f>ROUND(N96-X96-AH96,2)</f>
        <v/>
      </c>
      <c r="AS96" s="24">
        <f>ROUND(O96-Y96-AI96,2)</f>
        <v/>
      </c>
      <c r="AT96" s="24">
        <f>ROUND(P96-Z96-AJ96,2)</f>
        <v/>
      </c>
      <c r="AU96" s="24">
        <f>ROUND(Q96-AA96-AK96,2)</f>
        <v/>
      </c>
      <c r="AV96" s="24">
        <f>ROUND(R96-AB96-AL96,2)</f>
        <v/>
      </c>
      <c r="AW96" s="24">
        <f>ROUND(S96-AC96-AM96,2)</f>
        <v/>
      </c>
      <c r="AX96" s="24">
        <f>ROUND(T96-AD96-AN96,2)</f>
        <v/>
      </c>
      <c r="AY96" s="24">
        <f>ROUND(U96-AE96-AO96,2)</f>
        <v/>
      </c>
      <c r="AZ96" s="24">
        <f>ROUND(V96-AF96-AP96,2)</f>
        <v/>
      </c>
      <c r="BA96" s="24">
        <f>ROUND(W96-AG96-AQ96,2)</f>
        <v/>
      </c>
      <c r="BB96" s="24">
        <f>SUM(AR96:BA96)</f>
        <v/>
      </c>
    </row>
    <row r="97">
      <c r="A97" t="n">
        <v>93</v>
      </c>
      <c r="B97" s="23">
        <f>EOMONTH(TODAY(),92)</f>
        <v/>
      </c>
      <c r="C97" s="24">
        <f>MAX(0,(SUM('My Loans'!$E$6:$E$15)+'My Loans'!$D$3)-SUM($X97:$AG97))</f>
        <v/>
      </c>
      <c r="D97" s="24">
        <f>MAX(0,AR96)</f>
        <v/>
      </c>
      <c r="E97" s="24">
        <f>MAX(0,AS96)</f>
        <v/>
      </c>
      <c r="F97" s="24">
        <f>MAX(0,AT96)</f>
        <v/>
      </c>
      <c r="G97" s="24">
        <f>MAX(0,AU96)</f>
        <v/>
      </c>
      <c r="H97" s="24">
        <f>MAX(0,AV96)</f>
        <v/>
      </c>
      <c r="I97" s="24">
        <f>MAX(0,AW96)</f>
        <v/>
      </c>
      <c r="J97" s="24">
        <f>MAX(0,AX96)</f>
        <v/>
      </c>
      <c r="K97" s="24">
        <f>MAX(0,AY96)</f>
        <v/>
      </c>
      <c r="L97" s="24">
        <f>MAX(0,AZ96)</f>
        <v/>
      </c>
      <c r="M97" s="24">
        <f>MAX(0,BA96)</f>
        <v/>
      </c>
      <c r="N97" s="24">
        <f>IF(D97&lt;0.5,0,D97*(1+N('My Loans'!D6)/1200))</f>
        <v/>
      </c>
      <c r="O97" s="24">
        <f>IF(E97&lt;0.5,0,E97*(1+N('My Loans'!D7)/1200))</f>
        <v/>
      </c>
      <c r="P97" s="24">
        <f>IF(F97&lt;0.5,0,F97*(1+N('My Loans'!D8)/1200))</f>
        <v/>
      </c>
      <c r="Q97" s="24">
        <f>IF(G97&lt;0.5,0,G97*(1+N('My Loans'!D9)/1200))</f>
        <v/>
      </c>
      <c r="R97" s="24">
        <f>IF(H97&lt;0.5,0,H97*(1+N('My Loans'!D10)/1200))</f>
        <v/>
      </c>
      <c r="S97" s="24">
        <f>IF(I97&lt;0.5,0,I97*(1+N('My Loans'!D11)/1200))</f>
        <v/>
      </c>
      <c r="T97" s="24">
        <f>IF(J97&lt;0.5,0,J97*(1+N('My Loans'!D12)/1200))</f>
        <v/>
      </c>
      <c r="U97" s="24">
        <f>IF(K97&lt;0.5,0,K97*(1+N('My Loans'!D13)/1200))</f>
        <v/>
      </c>
      <c r="V97" s="24">
        <f>IF(L97&lt;0.5,0,L97*(1+N('My Loans'!D14)/1200))</f>
        <v/>
      </c>
      <c r="W97" s="24">
        <f>IF(M97&lt;0.5,0,M97*(1+N('My Loans'!D15)/1200))</f>
        <v/>
      </c>
      <c r="X97" s="24">
        <f>MIN(N97,N('My Loans'!E6))</f>
        <v/>
      </c>
      <c r="Y97" s="24">
        <f>MIN(O97,N('My Loans'!E7))</f>
        <v/>
      </c>
      <c r="Z97" s="24">
        <f>MIN(P97,N('My Loans'!E8))</f>
        <v/>
      </c>
      <c r="AA97" s="24">
        <f>MIN(Q97,N('My Loans'!E9))</f>
        <v/>
      </c>
      <c r="AB97" s="24">
        <f>MIN(R97,N('My Loans'!E10))</f>
        <v/>
      </c>
      <c r="AC97" s="24">
        <f>MIN(S97,N('My Loans'!E11))</f>
        <v/>
      </c>
      <c r="AD97" s="24">
        <f>MIN(T97,N('My Loans'!E12))</f>
        <v/>
      </c>
      <c r="AE97" s="24">
        <f>MIN(U97,N('My Loans'!E13))</f>
        <v/>
      </c>
      <c r="AF97" s="24">
        <f>MIN(V97,N('My Loans'!E14))</f>
        <v/>
      </c>
      <c r="AG97" s="24">
        <f>MIN(W97,N('My Loans'!E15))</f>
        <v/>
      </c>
      <c r="AH97" s="24">
        <f>MIN(N97-X97,MAX(0,$C97-SUMPRODUCT(($D$3:$M$3&lt;D$3)*($N97:$W97-$X97:$AG97))))</f>
        <v/>
      </c>
      <c r="AI97" s="24">
        <f>MIN(O97-Y97,MAX(0,$C97-SUMPRODUCT(($D$3:$M$3&lt;E$3)*($N97:$W97-$X97:$AG97))))</f>
        <v/>
      </c>
      <c r="AJ97" s="24">
        <f>MIN(P97-Z97,MAX(0,$C97-SUMPRODUCT(($D$3:$M$3&lt;F$3)*($N97:$W97-$X97:$AG97))))</f>
        <v/>
      </c>
      <c r="AK97" s="24">
        <f>MIN(Q97-AA97,MAX(0,$C97-SUMPRODUCT(($D$3:$M$3&lt;G$3)*($N97:$W97-$X97:$AG97))))</f>
        <v/>
      </c>
      <c r="AL97" s="24">
        <f>MIN(R97-AB97,MAX(0,$C97-SUMPRODUCT(($D$3:$M$3&lt;H$3)*($N97:$W97-$X97:$AG97))))</f>
        <v/>
      </c>
      <c r="AM97" s="24">
        <f>MIN(S97-AC97,MAX(0,$C97-SUMPRODUCT(($D$3:$M$3&lt;I$3)*($N97:$W97-$X97:$AG97))))</f>
        <v/>
      </c>
      <c r="AN97" s="24">
        <f>MIN(T97-AD97,MAX(0,$C97-SUMPRODUCT(($D$3:$M$3&lt;J$3)*($N97:$W97-$X97:$AG97))))</f>
        <v/>
      </c>
      <c r="AO97" s="24">
        <f>MIN(U97-AE97,MAX(0,$C97-SUMPRODUCT(($D$3:$M$3&lt;K$3)*($N97:$W97-$X97:$AG97))))</f>
        <v/>
      </c>
      <c r="AP97" s="24">
        <f>MIN(V97-AF97,MAX(0,$C97-SUMPRODUCT(($D$3:$M$3&lt;L$3)*($N97:$W97-$X97:$AG97))))</f>
        <v/>
      </c>
      <c r="AQ97" s="24">
        <f>MIN(W97-AG97,MAX(0,$C97-SUMPRODUCT(($D$3:$M$3&lt;M$3)*($N97:$W97-$X97:$AG97))))</f>
        <v/>
      </c>
      <c r="AR97" s="24">
        <f>ROUND(N97-X97-AH97,2)</f>
        <v/>
      </c>
      <c r="AS97" s="24">
        <f>ROUND(O97-Y97-AI97,2)</f>
        <v/>
      </c>
      <c r="AT97" s="24">
        <f>ROUND(P97-Z97-AJ97,2)</f>
        <v/>
      </c>
      <c r="AU97" s="24">
        <f>ROUND(Q97-AA97-AK97,2)</f>
        <v/>
      </c>
      <c r="AV97" s="24">
        <f>ROUND(R97-AB97-AL97,2)</f>
        <v/>
      </c>
      <c r="AW97" s="24">
        <f>ROUND(S97-AC97-AM97,2)</f>
        <v/>
      </c>
      <c r="AX97" s="24">
        <f>ROUND(T97-AD97-AN97,2)</f>
        <v/>
      </c>
      <c r="AY97" s="24">
        <f>ROUND(U97-AE97-AO97,2)</f>
        <v/>
      </c>
      <c r="AZ97" s="24">
        <f>ROUND(V97-AF97-AP97,2)</f>
        <v/>
      </c>
      <c r="BA97" s="24">
        <f>ROUND(W97-AG97-AQ97,2)</f>
        <v/>
      </c>
      <c r="BB97" s="24">
        <f>SUM(AR97:BA97)</f>
        <v/>
      </c>
    </row>
    <row r="98">
      <c r="A98" t="n">
        <v>94</v>
      </c>
      <c r="B98" s="23">
        <f>EOMONTH(TODAY(),93)</f>
        <v/>
      </c>
      <c r="C98" s="24">
        <f>MAX(0,(SUM('My Loans'!$E$6:$E$15)+'My Loans'!$D$3)-SUM($X98:$AG98))</f>
        <v/>
      </c>
      <c r="D98" s="24">
        <f>MAX(0,AR97)</f>
        <v/>
      </c>
      <c r="E98" s="24">
        <f>MAX(0,AS97)</f>
        <v/>
      </c>
      <c r="F98" s="24">
        <f>MAX(0,AT97)</f>
        <v/>
      </c>
      <c r="G98" s="24">
        <f>MAX(0,AU97)</f>
        <v/>
      </c>
      <c r="H98" s="24">
        <f>MAX(0,AV97)</f>
        <v/>
      </c>
      <c r="I98" s="24">
        <f>MAX(0,AW97)</f>
        <v/>
      </c>
      <c r="J98" s="24">
        <f>MAX(0,AX97)</f>
        <v/>
      </c>
      <c r="K98" s="24">
        <f>MAX(0,AY97)</f>
        <v/>
      </c>
      <c r="L98" s="24">
        <f>MAX(0,AZ97)</f>
        <v/>
      </c>
      <c r="M98" s="24">
        <f>MAX(0,BA97)</f>
        <v/>
      </c>
      <c r="N98" s="24">
        <f>IF(D98&lt;0.5,0,D98*(1+N('My Loans'!D6)/1200))</f>
        <v/>
      </c>
      <c r="O98" s="24">
        <f>IF(E98&lt;0.5,0,E98*(1+N('My Loans'!D7)/1200))</f>
        <v/>
      </c>
      <c r="P98" s="24">
        <f>IF(F98&lt;0.5,0,F98*(1+N('My Loans'!D8)/1200))</f>
        <v/>
      </c>
      <c r="Q98" s="24">
        <f>IF(G98&lt;0.5,0,G98*(1+N('My Loans'!D9)/1200))</f>
        <v/>
      </c>
      <c r="R98" s="24">
        <f>IF(H98&lt;0.5,0,H98*(1+N('My Loans'!D10)/1200))</f>
        <v/>
      </c>
      <c r="S98" s="24">
        <f>IF(I98&lt;0.5,0,I98*(1+N('My Loans'!D11)/1200))</f>
        <v/>
      </c>
      <c r="T98" s="24">
        <f>IF(J98&lt;0.5,0,J98*(1+N('My Loans'!D12)/1200))</f>
        <v/>
      </c>
      <c r="U98" s="24">
        <f>IF(K98&lt;0.5,0,K98*(1+N('My Loans'!D13)/1200))</f>
        <v/>
      </c>
      <c r="V98" s="24">
        <f>IF(L98&lt;0.5,0,L98*(1+N('My Loans'!D14)/1200))</f>
        <v/>
      </c>
      <c r="W98" s="24">
        <f>IF(M98&lt;0.5,0,M98*(1+N('My Loans'!D15)/1200))</f>
        <v/>
      </c>
      <c r="X98" s="24">
        <f>MIN(N98,N('My Loans'!E6))</f>
        <v/>
      </c>
      <c r="Y98" s="24">
        <f>MIN(O98,N('My Loans'!E7))</f>
        <v/>
      </c>
      <c r="Z98" s="24">
        <f>MIN(P98,N('My Loans'!E8))</f>
        <v/>
      </c>
      <c r="AA98" s="24">
        <f>MIN(Q98,N('My Loans'!E9))</f>
        <v/>
      </c>
      <c r="AB98" s="24">
        <f>MIN(R98,N('My Loans'!E10))</f>
        <v/>
      </c>
      <c r="AC98" s="24">
        <f>MIN(S98,N('My Loans'!E11))</f>
        <v/>
      </c>
      <c r="AD98" s="24">
        <f>MIN(T98,N('My Loans'!E12))</f>
        <v/>
      </c>
      <c r="AE98" s="24">
        <f>MIN(U98,N('My Loans'!E13))</f>
        <v/>
      </c>
      <c r="AF98" s="24">
        <f>MIN(V98,N('My Loans'!E14))</f>
        <v/>
      </c>
      <c r="AG98" s="24">
        <f>MIN(W98,N('My Loans'!E15))</f>
        <v/>
      </c>
      <c r="AH98" s="24">
        <f>MIN(N98-X98,MAX(0,$C98-SUMPRODUCT(($D$3:$M$3&lt;D$3)*($N98:$W98-$X98:$AG98))))</f>
        <v/>
      </c>
      <c r="AI98" s="24">
        <f>MIN(O98-Y98,MAX(0,$C98-SUMPRODUCT(($D$3:$M$3&lt;E$3)*($N98:$W98-$X98:$AG98))))</f>
        <v/>
      </c>
      <c r="AJ98" s="24">
        <f>MIN(P98-Z98,MAX(0,$C98-SUMPRODUCT(($D$3:$M$3&lt;F$3)*($N98:$W98-$X98:$AG98))))</f>
        <v/>
      </c>
      <c r="AK98" s="24">
        <f>MIN(Q98-AA98,MAX(0,$C98-SUMPRODUCT(($D$3:$M$3&lt;G$3)*($N98:$W98-$X98:$AG98))))</f>
        <v/>
      </c>
      <c r="AL98" s="24">
        <f>MIN(R98-AB98,MAX(0,$C98-SUMPRODUCT(($D$3:$M$3&lt;H$3)*($N98:$W98-$X98:$AG98))))</f>
        <v/>
      </c>
      <c r="AM98" s="24">
        <f>MIN(S98-AC98,MAX(0,$C98-SUMPRODUCT(($D$3:$M$3&lt;I$3)*($N98:$W98-$X98:$AG98))))</f>
        <v/>
      </c>
      <c r="AN98" s="24">
        <f>MIN(T98-AD98,MAX(0,$C98-SUMPRODUCT(($D$3:$M$3&lt;J$3)*($N98:$W98-$X98:$AG98))))</f>
        <v/>
      </c>
      <c r="AO98" s="24">
        <f>MIN(U98-AE98,MAX(0,$C98-SUMPRODUCT(($D$3:$M$3&lt;K$3)*($N98:$W98-$X98:$AG98))))</f>
        <v/>
      </c>
      <c r="AP98" s="24">
        <f>MIN(V98-AF98,MAX(0,$C98-SUMPRODUCT(($D$3:$M$3&lt;L$3)*($N98:$W98-$X98:$AG98))))</f>
        <v/>
      </c>
      <c r="AQ98" s="24">
        <f>MIN(W98-AG98,MAX(0,$C98-SUMPRODUCT(($D$3:$M$3&lt;M$3)*($N98:$W98-$X98:$AG98))))</f>
        <v/>
      </c>
      <c r="AR98" s="24">
        <f>ROUND(N98-X98-AH98,2)</f>
        <v/>
      </c>
      <c r="AS98" s="24">
        <f>ROUND(O98-Y98-AI98,2)</f>
        <v/>
      </c>
      <c r="AT98" s="24">
        <f>ROUND(P98-Z98-AJ98,2)</f>
        <v/>
      </c>
      <c r="AU98" s="24">
        <f>ROUND(Q98-AA98-AK98,2)</f>
        <v/>
      </c>
      <c r="AV98" s="24">
        <f>ROUND(R98-AB98-AL98,2)</f>
        <v/>
      </c>
      <c r="AW98" s="24">
        <f>ROUND(S98-AC98-AM98,2)</f>
        <v/>
      </c>
      <c r="AX98" s="24">
        <f>ROUND(T98-AD98-AN98,2)</f>
        <v/>
      </c>
      <c r="AY98" s="24">
        <f>ROUND(U98-AE98-AO98,2)</f>
        <v/>
      </c>
      <c r="AZ98" s="24">
        <f>ROUND(V98-AF98-AP98,2)</f>
        <v/>
      </c>
      <c r="BA98" s="24">
        <f>ROUND(W98-AG98-AQ98,2)</f>
        <v/>
      </c>
      <c r="BB98" s="24">
        <f>SUM(AR98:BA98)</f>
        <v/>
      </c>
    </row>
    <row r="99">
      <c r="A99" t="n">
        <v>95</v>
      </c>
      <c r="B99" s="23">
        <f>EOMONTH(TODAY(),94)</f>
        <v/>
      </c>
      <c r="C99" s="24">
        <f>MAX(0,(SUM('My Loans'!$E$6:$E$15)+'My Loans'!$D$3)-SUM($X99:$AG99))</f>
        <v/>
      </c>
      <c r="D99" s="24">
        <f>MAX(0,AR98)</f>
        <v/>
      </c>
      <c r="E99" s="24">
        <f>MAX(0,AS98)</f>
        <v/>
      </c>
      <c r="F99" s="24">
        <f>MAX(0,AT98)</f>
        <v/>
      </c>
      <c r="G99" s="24">
        <f>MAX(0,AU98)</f>
        <v/>
      </c>
      <c r="H99" s="24">
        <f>MAX(0,AV98)</f>
        <v/>
      </c>
      <c r="I99" s="24">
        <f>MAX(0,AW98)</f>
        <v/>
      </c>
      <c r="J99" s="24">
        <f>MAX(0,AX98)</f>
        <v/>
      </c>
      <c r="K99" s="24">
        <f>MAX(0,AY98)</f>
        <v/>
      </c>
      <c r="L99" s="24">
        <f>MAX(0,AZ98)</f>
        <v/>
      </c>
      <c r="M99" s="24">
        <f>MAX(0,BA98)</f>
        <v/>
      </c>
      <c r="N99" s="24">
        <f>IF(D99&lt;0.5,0,D99*(1+N('My Loans'!D6)/1200))</f>
        <v/>
      </c>
      <c r="O99" s="24">
        <f>IF(E99&lt;0.5,0,E99*(1+N('My Loans'!D7)/1200))</f>
        <v/>
      </c>
      <c r="P99" s="24">
        <f>IF(F99&lt;0.5,0,F99*(1+N('My Loans'!D8)/1200))</f>
        <v/>
      </c>
      <c r="Q99" s="24">
        <f>IF(G99&lt;0.5,0,G99*(1+N('My Loans'!D9)/1200))</f>
        <v/>
      </c>
      <c r="R99" s="24">
        <f>IF(H99&lt;0.5,0,H99*(1+N('My Loans'!D10)/1200))</f>
        <v/>
      </c>
      <c r="S99" s="24">
        <f>IF(I99&lt;0.5,0,I99*(1+N('My Loans'!D11)/1200))</f>
        <v/>
      </c>
      <c r="T99" s="24">
        <f>IF(J99&lt;0.5,0,J99*(1+N('My Loans'!D12)/1200))</f>
        <v/>
      </c>
      <c r="U99" s="24">
        <f>IF(K99&lt;0.5,0,K99*(1+N('My Loans'!D13)/1200))</f>
        <v/>
      </c>
      <c r="V99" s="24">
        <f>IF(L99&lt;0.5,0,L99*(1+N('My Loans'!D14)/1200))</f>
        <v/>
      </c>
      <c r="W99" s="24">
        <f>IF(M99&lt;0.5,0,M99*(1+N('My Loans'!D15)/1200))</f>
        <v/>
      </c>
      <c r="X99" s="24">
        <f>MIN(N99,N('My Loans'!E6))</f>
        <v/>
      </c>
      <c r="Y99" s="24">
        <f>MIN(O99,N('My Loans'!E7))</f>
        <v/>
      </c>
      <c r="Z99" s="24">
        <f>MIN(P99,N('My Loans'!E8))</f>
        <v/>
      </c>
      <c r="AA99" s="24">
        <f>MIN(Q99,N('My Loans'!E9))</f>
        <v/>
      </c>
      <c r="AB99" s="24">
        <f>MIN(R99,N('My Loans'!E10))</f>
        <v/>
      </c>
      <c r="AC99" s="24">
        <f>MIN(S99,N('My Loans'!E11))</f>
        <v/>
      </c>
      <c r="AD99" s="24">
        <f>MIN(T99,N('My Loans'!E12))</f>
        <v/>
      </c>
      <c r="AE99" s="24">
        <f>MIN(U99,N('My Loans'!E13))</f>
        <v/>
      </c>
      <c r="AF99" s="24">
        <f>MIN(V99,N('My Loans'!E14))</f>
        <v/>
      </c>
      <c r="AG99" s="24">
        <f>MIN(W99,N('My Loans'!E15))</f>
        <v/>
      </c>
      <c r="AH99" s="24">
        <f>MIN(N99-X99,MAX(0,$C99-SUMPRODUCT(($D$3:$M$3&lt;D$3)*($N99:$W99-$X99:$AG99))))</f>
        <v/>
      </c>
      <c r="AI99" s="24">
        <f>MIN(O99-Y99,MAX(0,$C99-SUMPRODUCT(($D$3:$M$3&lt;E$3)*($N99:$W99-$X99:$AG99))))</f>
        <v/>
      </c>
      <c r="AJ99" s="24">
        <f>MIN(P99-Z99,MAX(0,$C99-SUMPRODUCT(($D$3:$M$3&lt;F$3)*($N99:$W99-$X99:$AG99))))</f>
        <v/>
      </c>
      <c r="AK99" s="24">
        <f>MIN(Q99-AA99,MAX(0,$C99-SUMPRODUCT(($D$3:$M$3&lt;G$3)*($N99:$W99-$X99:$AG99))))</f>
        <v/>
      </c>
      <c r="AL99" s="24">
        <f>MIN(R99-AB99,MAX(0,$C99-SUMPRODUCT(($D$3:$M$3&lt;H$3)*($N99:$W99-$X99:$AG99))))</f>
        <v/>
      </c>
      <c r="AM99" s="24">
        <f>MIN(S99-AC99,MAX(0,$C99-SUMPRODUCT(($D$3:$M$3&lt;I$3)*($N99:$W99-$X99:$AG99))))</f>
        <v/>
      </c>
      <c r="AN99" s="24">
        <f>MIN(T99-AD99,MAX(0,$C99-SUMPRODUCT(($D$3:$M$3&lt;J$3)*($N99:$W99-$X99:$AG99))))</f>
        <v/>
      </c>
      <c r="AO99" s="24">
        <f>MIN(U99-AE99,MAX(0,$C99-SUMPRODUCT(($D$3:$M$3&lt;K$3)*($N99:$W99-$X99:$AG99))))</f>
        <v/>
      </c>
      <c r="AP99" s="24">
        <f>MIN(V99-AF99,MAX(0,$C99-SUMPRODUCT(($D$3:$M$3&lt;L$3)*($N99:$W99-$X99:$AG99))))</f>
        <v/>
      </c>
      <c r="AQ99" s="24">
        <f>MIN(W99-AG99,MAX(0,$C99-SUMPRODUCT(($D$3:$M$3&lt;M$3)*($N99:$W99-$X99:$AG99))))</f>
        <v/>
      </c>
      <c r="AR99" s="24">
        <f>ROUND(N99-X99-AH99,2)</f>
        <v/>
      </c>
      <c r="AS99" s="24">
        <f>ROUND(O99-Y99-AI99,2)</f>
        <v/>
      </c>
      <c r="AT99" s="24">
        <f>ROUND(P99-Z99-AJ99,2)</f>
        <v/>
      </c>
      <c r="AU99" s="24">
        <f>ROUND(Q99-AA99-AK99,2)</f>
        <v/>
      </c>
      <c r="AV99" s="24">
        <f>ROUND(R99-AB99-AL99,2)</f>
        <v/>
      </c>
      <c r="AW99" s="24">
        <f>ROUND(S99-AC99-AM99,2)</f>
        <v/>
      </c>
      <c r="AX99" s="24">
        <f>ROUND(T99-AD99-AN99,2)</f>
        <v/>
      </c>
      <c r="AY99" s="24">
        <f>ROUND(U99-AE99-AO99,2)</f>
        <v/>
      </c>
      <c r="AZ99" s="24">
        <f>ROUND(V99-AF99-AP99,2)</f>
        <v/>
      </c>
      <c r="BA99" s="24">
        <f>ROUND(W99-AG99-AQ99,2)</f>
        <v/>
      </c>
      <c r="BB99" s="24">
        <f>SUM(AR99:BA99)</f>
        <v/>
      </c>
    </row>
    <row r="100">
      <c r="A100" t="n">
        <v>96</v>
      </c>
      <c r="B100" s="23">
        <f>EOMONTH(TODAY(),95)</f>
        <v/>
      </c>
      <c r="C100" s="24">
        <f>MAX(0,(SUM('My Loans'!$E$6:$E$15)+'My Loans'!$D$3)-SUM($X100:$AG100))</f>
        <v/>
      </c>
      <c r="D100" s="24">
        <f>MAX(0,AR99)</f>
        <v/>
      </c>
      <c r="E100" s="24">
        <f>MAX(0,AS99)</f>
        <v/>
      </c>
      <c r="F100" s="24">
        <f>MAX(0,AT99)</f>
        <v/>
      </c>
      <c r="G100" s="24">
        <f>MAX(0,AU99)</f>
        <v/>
      </c>
      <c r="H100" s="24">
        <f>MAX(0,AV99)</f>
        <v/>
      </c>
      <c r="I100" s="24">
        <f>MAX(0,AW99)</f>
        <v/>
      </c>
      <c r="J100" s="24">
        <f>MAX(0,AX99)</f>
        <v/>
      </c>
      <c r="K100" s="24">
        <f>MAX(0,AY99)</f>
        <v/>
      </c>
      <c r="L100" s="24">
        <f>MAX(0,AZ99)</f>
        <v/>
      </c>
      <c r="M100" s="24">
        <f>MAX(0,BA99)</f>
        <v/>
      </c>
      <c r="N100" s="24">
        <f>IF(D100&lt;0.5,0,D100*(1+N('My Loans'!D6)/1200))</f>
        <v/>
      </c>
      <c r="O100" s="24">
        <f>IF(E100&lt;0.5,0,E100*(1+N('My Loans'!D7)/1200))</f>
        <v/>
      </c>
      <c r="P100" s="24">
        <f>IF(F100&lt;0.5,0,F100*(1+N('My Loans'!D8)/1200))</f>
        <v/>
      </c>
      <c r="Q100" s="24">
        <f>IF(G100&lt;0.5,0,G100*(1+N('My Loans'!D9)/1200))</f>
        <v/>
      </c>
      <c r="R100" s="24">
        <f>IF(H100&lt;0.5,0,H100*(1+N('My Loans'!D10)/1200))</f>
        <v/>
      </c>
      <c r="S100" s="24">
        <f>IF(I100&lt;0.5,0,I100*(1+N('My Loans'!D11)/1200))</f>
        <v/>
      </c>
      <c r="T100" s="24">
        <f>IF(J100&lt;0.5,0,J100*(1+N('My Loans'!D12)/1200))</f>
        <v/>
      </c>
      <c r="U100" s="24">
        <f>IF(K100&lt;0.5,0,K100*(1+N('My Loans'!D13)/1200))</f>
        <v/>
      </c>
      <c r="V100" s="24">
        <f>IF(L100&lt;0.5,0,L100*(1+N('My Loans'!D14)/1200))</f>
        <v/>
      </c>
      <c r="W100" s="24">
        <f>IF(M100&lt;0.5,0,M100*(1+N('My Loans'!D15)/1200))</f>
        <v/>
      </c>
      <c r="X100" s="24">
        <f>MIN(N100,N('My Loans'!E6))</f>
        <v/>
      </c>
      <c r="Y100" s="24">
        <f>MIN(O100,N('My Loans'!E7))</f>
        <v/>
      </c>
      <c r="Z100" s="24">
        <f>MIN(P100,N('My Loans'!E8))</f>
        <v/>
      </c>
      <c r="AA100" s="24">
        <f>MIN(Q100,N('My Loans'!E9))</f>
        <v/>
      </c>
      <c r="AB100" s="24">
        <f>MIN(R100,N('My Loans'!E10))</f>
        <v/>
      </c>
      <c r="AC100" s="24">
        <f>MIN(S100,N('My Loans'!E11))</f>
        <v/>
      </c>
      <c r="AD100" s="24">
        <f>MIN(T100,N('My Loans'!E12))</f>
        <v/>
      </c>
      <c r="AE100" s="24">
        <f>MIN(U100,N('My Loans'!E13))</f>
        <v/>
      </c>
      <c r="AF100" s="24">
        <f>MIN(V100,N('My Loans'!E14))</f>
        <v/>
      </c>
      <c r="AG100" s="24">
        <f>MIN(W100,N('My Loans'!E15))</f>
        <v/>
      </c>
      <c r="AH100" s="24">
        <f>MIN(N100-X100,MAX(0,$C100-SUMPRODUCT(($D$3:$M$3&lt;D$3)*($N100:$W100-$X100:$AG100))))</f>
        <v/>
      </c>
      <c r="AI100" s="24">
        <f>MIN(O100-Y100,MAX(0,$C100-SUMPRODUCT(($D$3:$M$3&lt;E$3)*($N100:$W100-$X100:$AG100))))</f>
        <v/>
      </c>
      <c r="AJ100" s="24">
        <f>MIN(P100-Z100,MAX(0,$C100-SUMPRODUCT(($D$3:$M$3&lt;F$3)*($N100:$W100-$X100:$AG100))))</f>
        <v/>
      </c>
      <c r="AK100" s="24">
        <f>MIN(Q100-AA100,MAX(0,$C100-SUMPRODUCT(($D$3:$M$3&lt;G$3)*($N100:$W100-$X100:$AG100))))</f>
        <v/>
      </c>
      <c r="AL100" s="24">
        <f>MIN(R100-AB100,MAX(0,$C100-SUMPRODUCT(($D$3:$M$3&lt;H$3)*($N100:$W100-$X100:$AG100))))</f>
        <v/>
      </c>
      <c r="AM100" s="24">
        <f>MIN(S100-AC100,MAX(0,$C100-SUMPRODUCT(($D$3:$M$3&lt;I$3)*($N100:$W100-$X100:$AG100))))</f>
        <v/>
      </c>
      <c r="AN100" s="24">
        <f>MIN(T100-AD100,MAX(0,$C100-SUMPRODUCT(($D$3:$M$3&lt;J$3)*($N100:$W100-$X100:$AG100))))</f>
        <v/>
      </c>
      <c r="AO100" s="24">
        <f>MIN(U100-AE100,MAX(0,$C100-SUMPRODUCT(($D$3:$M$3&lt;K$3)*($N100:$W100-$X100:$AG100))))</f>
        <v/>
      </c>
      <c r="AP100" s="24">
        <f>MIN(V100-AF100,MAX(0,$C100-SUMPRODUCT(($D$3:$M$3&lt;L$3)*($N100:$W100-$X100:$AG100))))</f>
        <v/>
      </c>
      <c r="AQ100" s="24">
        <f>MIN(W100-AG100,MAX(0,$C100-SUMPRODUCT(($D$3:$M$3&lt;M$3)*($N100:$W100-$X100:$AG100))))</f>
        <v/>
      </c>
      <c r="AR100" s="24">
        <f>ROUND(N100-X100-AH100,2)</f>
        <v/>
      </c>
      <c r="AS100" s="24">
        <f>ROUND(O100-Y100-AI100,2)</f>
        <v/>
      </c>
      <c r="AT100" s="24">
        <f>ROUND(P100-Z100-AJ100,2)</f>
        <v/>
      </c>
      <c r="AU100" s="24">
        <f>ROUND(Q100-AA100-AK100,2)</f>
        <v/>
      </c>
      <c r="AV100" s="24">
        <f>ROUND(R100-AB100-AL100,2)</f>
        <v/>
      </c>
      <c r="AW100" s="24">
        <f>ROUND(S100-AC100-AM100,2)</f>
        <v/>
      </c>
      <c r="AX100" s="24">
        <f>ROUND(T100-AD100-AN100,2)</f>
        <v/>
      </c>
      <c r="AY100" s="24">
        <f>ROUND(U100-AE100-AO100,2)</f>
        <v/>
      </c>
      <c r="AZ100" s="24">
        <f>ROUND(V100-AF100-AP100,2)</f>
        <v/>
      </c>
      <c r="BA100" s="24">
        <f>ROUND(W100-AG100-AQ100,2)</f>
        <v/>
      </c>
      <c r="BB100" s="24">
        <f>SUM(AR100:BA100)</f>
        <v/>
      </c>
    </row>
    <row r="101">
      <c r="A101" t="n">
        <v>97</v>
      </c>
      <c r="B101" s="23">
        <f>EOMONTH(TODAY(),96)</f>
        <v/>
      </c>
      <c r="C101" s="24">
        <f>MAX(0,(SUM('My Loans'!$E$6:$E$15)+'My Loans'!$D$3)-SUM($X101:$AG101))</f>
        <v/>
      </c>
      <c r="D101" s="24">
        <f>MAX(0,AR100)</f>
        <v/>
      </c>
      <c r="E101" s="24">
        <f>MAX(0,AS100)</f>
        <v/>
      </c>
      <c r="F101" s="24">
        <f>MAX(0,AT100)</f>
        <v/>
      </c>
      <c r="G101" s="24">
        <f>MAX(0,AU100)</f>
        <v/>
      </c>
      <c r="H101" s="24">
        <f>MAX(0,AV100)</f>
        <v/>
      </c>
      <c r="I101" s="24">
        <f>MAX(0,AW100)</f>
        <v/>
      </c>
      <c r="J101" s="24">
        <f>MAX(0,AX100)</f>
        <v/>
      </c>
      <c r="K101" s="24">
        <f>MAX(0,AY100)</f>
        <v/>
      </c>
      <c r="L101" s="24">
        <f>MAX(0,AZ100)</f>
        <v/>
      </c>
      <c r="M101" s="24">
        <f>MAX(0,BA100)</f>
        <v/>
      </c>
      <c r="N101" s="24">
        <f>IF(D101&lt;0.5,0,D101*(1+N('My Loans'!D6)/1200))</f>
        <v/>
      </c>
      <c r="O101" s="24">
        <f>IF(E101&lt;0.5,0,E101*(1+N('My Loans'!D7)/1200))</f>
        <v/>
      </c>
      <c r="P101" s="24">
        <f>IF(F101&lt;0.5,0,F101*(1+N('My Loans'!D8)/1200))</f>
        <v/>
      </c>
      <c r="Q101" s="24">
        <f>IF(G101&lt;0.5,0,G101*(1+N('My Loans'!D9)/1200))</f>
        <v/>
      </c>
      <c r="R101" s="24">
        <f>IF(H101&lt;0.5,0,H101*(1+N('My Loans'!D10)/1200))</f>
        <v/>
      </c>
      <c r="S101" s="24">
        <f>IF(I101&lt;0.5,0,I101*(1+N('My Loans'!D11)/1200))</f>
        <v/>
      </c>
      <c r="T101" s="24">
        <f>IF(J101&lt;0.5,0,J101*(1+N('My Loans'!D12)/1200))</f>
        <v/>
      </c>
      <c r="U101" s="24">
        <f>IF(K101&lt;0.5,0,K101*(1+N('My Loans'!D13)/1200))</f>
        <v/>
      </c>
      <c r="V101" s="24">
        <f>IF(L101&lt;0.5,0,L101*(1+N('My Loans'!D14)/1200))</f>
        <v/>
      </c>
      <c r="W101" s="24">
        <f>IF(M101&lt;0.5,0,M101*(1+N('My Loans'!D15)/1200))</f>
        <v/>
      </c>
      <c r="X101" s="24">
        <f>MIN(N101,N('My Loans'!E6))</f>
        <v/>
      </c>
      <c r="Y101" s="24">
        <f>MIN(O101,N('My Loans'!E7))</f>
        <v/>
      </c>
      <c r="Z101" s="24">
        <f>MIN(P101,N('My Loans'!E8))</f>
        <v/>
      </c>
      <c r="AA101" s="24">
        <f>MIN(Q101,N('My Loans'!E9))</f>
        <v/>
      </c>
      <c r="AB101" s="24">
        <f>MIN(R101,N('My Loans'!E10))</f>
        <v/>
      </c>
      <c r="AC101" s="24">
        <f>MIN(S101,N('My Loans'!E11))</f>
        <v/>
      </c>
      <c r="AD101" s="24">
        <f>MIN(T101,N('My Loans'!E12))</f>
        <v/>
      </c>
      <c r="AE101" s="24">
        <f>MIN(U101,N('My Loans'!E13))</f>
        <v/>
      </c>
      <c r="AF101" s="24">
        <f>MIN(V101,N('My Loans'!E14))</f>
        <v/>
      </c>
      <c r="AG101" s="24">
        <f>MIN(W101,N('My Loans'!E15))</f>
        <v/>
      </c>
      <c r="AH101" s="24">
        <f>MIN(N101-X101,MAX(0,$C101-SUMPRODUCT(($D$3:$M$3&lt;D$3)*($N101:$W101-$X101:$AG101))))</f>
        <v/>
      </c>
      <c r="AI101" s="24">
        <f>MIN(O101-Y101,MAX(0,$C101-SUMPRODUCT(($D$3:$M$3&lt;E$3)*($N101:$W101-$X101:$AG101))))</f>
        <v/>
      </c>
      <c r="AJ101" s="24">
        <f>MIN(P101-Z101,MAX(0,$C101-SUMPRODUCT(($D$3:$M$3&lt;F$3)*($N101:$W101-$X101:$AG101))))</f>
        <v/>
      </c>
      <c r="AK101" s="24">
        <f>MIN(Q101-AA101,MAX(0,$C101-SUMPRODUCT(($D$3:$M$3&lt;G$3)*($N101:$W101-$X101:$AG101))))</f>
        <v/>
      </c>
      <c r="AL101" s="24">
        <f>MIN(R101-AB101,MAX(0,$C101-SUMPRODUCT(($D$3:$M$3&lt;H$3)*($N101:$W101-$X101:$AG101))))</f>
        <v/>
      </c>
      <c r="AM101" s="24">
        <f>MIN(S101-AC101,MAX(0,$C101-SUMPRODUCT(($D$3:$M$3&lt;I$3)*($N101:$W101-$X101:$AG101))))</f>
        <v/>
      </c>
      <c r="AN101" s="24">
        <f>MIN(T101-AD101,MAX(0,$C101-SUMPRODUCT(($D$3:$M$3&lt;J$3)*($N101:$W101-$X101:$AG101))))</f>
        <v/>
      </c>
      <c r="AO101" s="24">
        <f>MIN(U101-AE101,MAX(0,$C101-SUMPRODUCT(($D$3:$M$3&lt;K$3)*($N101:$W101-$X101:$AG101))))</f>
        <v/>
      </c>
      <c r="AP101" s="24">
        <f>MIN(V101-AF101,MAX(0,$C101-SUMPRODUCT(($D$3:$M$3&lt;L$3)*($N101:$W101-$X101:$AG101))))</f>
        <v/>
      </c>
      <c r="AQ101" s="24">
        <f>MIN(W101-AG101,MAX(0,$C101-SUMPRODUCT(($D$3:$M$3&lt;M$3)*($N101:$W101-$X101:$AG101))))</f>
        <v/>
      </c>
      <c r="AR101" s="24">
        <f>ROUND(N101-X101-AH101,2)</f>
        <v/>
      </c>
      <c r="AS101" s="24">
        <f>ROUND(O101-Y101-AI101,2)</f>
        <v/>
      </c>
      <c r="AT101" s="24">
        <f>ROUND(P101-Z101-AJ101,2)</f>
        <v/>
      </c>
      <c r="AU101" s="24">
        <f>ROUND(Q101-AA101-AK101,2)</f>
        <v/>
      </c>
      <c r="AV101" s="24">
        <f>ROUND(R101-AB101-AL101,2)</f>
        <v/>
      </c>
      <c r="AW101" s="24">
        <f>ROUND(S101-AC101-AM101,2)</f>
        <v/>
      </c>
      <c r="AX101" s="24">
        <f>ROUND(T101-AD101-AN101,2)</f>
        <v/>
      </c>
      <c r="AY101" s="24">
        <f>ROUND(U101-AE101-AO101,2)</f>
        <v/>
      </c>
      <c r="AZ101" s="24">
        <f>ROUND(V101-AF101-AP101,2)</f>
        <v/>
      </c>
      <c r="BA101" s="24">
        <f>ROUND(W101-AG101-AQ101,2)</f>
        <v/>
      </c>
      <c r="BB101" s="24">
        <f>SUM(AR101:BA101)</f>
        <v/>
      </c>
    </row>
    <row r="102">
      <c r="A102" t="n">
        <v>98</v>
      </c>
      <c r="B102" s="23">
        <f>EOMONTH(TODAY(),97)</f>
        <v/>
      </c>
      <c r="C102" s="24">
        <f>MAX(0,(SUM('My Loans'!$E$6:$E$15)+'My Loans'!$D$3)-SUM($X102:$AG102))</f>
        <v/>
      </c>
      <c r="D102" s="24">
        <f>MAX(0,AR101)</f>
        <v/>
      </c>
      <c r="E102" s="24">
        <f>MAX(0,AS101)</f>
        <v/>
      </c>
      <c r="F102" s="24">
        <f>MAX(0,AT101)</f>
        <v/>
      </c>
      <c r="G102" s="24">
        <f>MAX(0,AU101)</f>
        <v/>
      </c>
      <c r="H102" s="24">
        <f>MAX(0,AV101)</f>
        <v/>
      </c>
      <c r="I102" s="24">
        <f>MAX(0,AW101)</f>
        <v/>
      </c>
      <c r="J102" s="24">
        <f>MAX(0,AX101)</f>
        <v/>
      </c>
      <c r="K102" s="24">
        <f>MAX(0,AY101)</f>
        <v/>
      </c>
      <c r="L102" s="24">
        <f>MAX(0,AZ101)</f>
        <v/>
      </c>
      <c r="M102" s="24">
        <f>MAX(0,BA101)</f>
        <v/>
      </c>
      <c r="N102" s="24">
        <f>IF(D102&lt;0.5,0,D102*(1+N('My Loans'!D6)/1200))</f>
        <v/>
      </c>
      <c r="O102" s="24">
        <f>IF(E102&lt;0.5,0,E102*(1+N('My Loans'!D7)/1200))</f>
        <v/>
      </c>
      <c r="P102" s="24">
        <f>IF(F102&lt;0.5,0,F102*(1+N('My Loans'!D8)/1200))</f>
        <v/>
      </c>
      <c r="Q102" s="24">
        <f>IF(G102&lt;0.5,0,G102*(1+N('My Loans'!D9)/1200))</f>
        <v/>
      </c>
      <c r="R102" s="24">
        <f>IF(H102&lt;0.5,0,H102*(1+N('My Loans'!D10)/1200))</f>
        <v/>
      </c>
      <c r="S102" s="24">
        <f>IF(I102&lt;0.5,0,I102*(1+N('My Loans'!D11)/1200))</f>
        <v/>
      </c>
      <c r="T102" s="24">
        <f>IF(J102&lt;0.5,0,J102*(1+N('My Loans'!D12)/1200))</f>
        <v/>
      </c>
      <c r="U102" s="24">
        <f>IF(K102&lt;0.5,0,K102*(1+N('My Loans'!D13)/1200))</f>
        <v/>
      </c>
      <c r="V102" s="24">
        <f>IF(L102&lt;0.5,0,L102*(1+N('My Loans'!D14)/1200))</f>
        <v/>
      </c>
      <c r="W102" s="24">
        <f>IF(M102&lt;0.5,0,M102*(1+N('My Loans'!D15)/1200))</f>
        <v/>
      </c>
      <c r="X102" s="24">
        <f>MIN(N102,N('My Loans'!E6))</f>
        <v/>
      </c>
      <c r="Y102" s="24">
        <f>MIN(O102,N('My Loans'!E7))</f>
        <v/>
      </c>
      <c r="Z102" s="24">
        <f>MIN(P102,N('My Loans'!E8))</f>
        <v/>
      </c>
      <c r="AA102" s="24">
        <f>MIN(Q102,N('My Loans'!E9))</f>
        <v/>
      </c>
      <c r="AB102" s="24">
        <f>MIN(R102,N('My Loans'!E10))</f>
        <v/>
      </c>
      <c r="AC102" s="24">
        <f>MIN(S102,N('My Loans'!E11))</f>
        <v/>
      </c>
      <c r="AD102" s="24">
        <f>MIN(T102,N('My Loans'!E12))</f>
        <v/>
      </c>
      <c r="AE102" s="24">
        <f>MIN(U102,N('My Loans'!E13))</f>
        <v/>
      </c>
      <c r="AF102" s="24">
        <f>MIN(V102,N('My Loans'!E14))</f>
        <v/>
      </c>
      <c r="AG102" s="24">
        <f>MIN(W102,N('My Loans'!E15))</f>
        <v/>
      </c>
      <c r="AH102" s="24">
        <f>MIN(N102-X102,MAX(0,$C102-SUMPRODUCT(($D$3:$M$3&lt;D$3)*($N102:$W102-$X102:$AG102))))</f>
        <v/>
      </c>
      <c r="AI102" s="24">
        <f>MIN(O102-Y102,MAX(0,$C102-SUMPRODUCT(($D$3:$M$3&lt;E$3)*($N102:$W102-$X102:$AG102))))</f>
        <v/>
      </c>
      <c r="AJ102" s="24">
        <f>MIN(P102-Z102,MAX(0,$C102-SUMPRODUCT(($D$3:$M$3&lt;F$3)*($N102:$W102-$X102:$AG102))))</f>
        <v/>
      </c>
      <c r="AK102" s="24">
        <f>MIN(Q102-AA102,MAX(0,$C102-SUMPRODUCT(($D$3:$M$3&lt;G$3)*($N102:$W102-$X102:$AG102))))</f>
        <v/>
      </c>
      <c r="AL102" s="24">
        <f>MIN(R102-AB102,MAX(0,$C102-SUMPRODUCT(($D$3:$M$3&lt;H$3)*($N102:$W102-$X102:$AG102))))</f>
        <v/>
      </c>
      <c r="AM102" s="24">
        <f>MIN(S102-AC102,MAX(0,$C102-SUMPRODUCT(($D$3:$M$3&lt;I$3)*($N102:$W102-$X102:$AG102))))</f>
        <v/>
      </c>
      <c r="AN102" s="24">
        <f>MIN(T102-AD102,MAX(0,$C102-SUMPRODUCT(($D$3:$M$3&lt;J$3)*($N102:$W102-$X102:$AG102))))</f>
        <v/>
      </c>
      <c r="AO102" s="24">
        <f>MIN(U102-AE102,MAX(0,$C102-SUMPRODUCT(($D$3:$M$3&lt;K$3)*($N102:$W102-$X102:$AG102))))</f>
        <v/>
      </c>
      <c r="AP102" s="24">
        <f>MIN(V102-AF102,MAX(0,$C102-SUMPRODUCT(($D$3:$M$3&lt;L$3)*($N102:$W102-$X102:$AG102))))</f>
        <v/>
      </c>
      <c r="AQ102" s="24">
        <f>MIN(W102-AG102,MAX(0,$C102-SUMPRODUCT(($D$3:$M$3&lt;M$3)*($N102:$W102-$X102:$AG102))))</f>
        <v/>
      </c>
      <c r="AR102" s="24">
        <f>ROUND(N102-X102-AH102,2)</f>
        <v/>
      </c>
      <c r="AS102" s="24">
        <f>ROUND(O102-Y102-AI102,2)</f>
        <v/>
      </c>
      <c r="AT102" s="24">
        <f>ROUND(P102-Z102-AJ102,2)</f>
        <v/>
      </c>
      <c r="AU102" s="24">
        <f>ROUND(Q102-AA102-AK102,2)</f>
        <v/>
      </c>
      <c r="AV102" s="24">
        <f>ROUND(R102-AB102-AL102,2)</f>
        <v/>
      </c>
      <c r="AW102" s="24">
        <f>ROUND(S102-AC102-AM102,2)</f>
        <v/>
      </c>
      <c r="AX102" s="24">
        <f>ROUND(T102-AD102-AN102,2)</f>
        <v/>
      </c>
      <c r="AY102" s="24">
        <f>ROUND(U102-AE102-AO102,2)</f>
        <v/>
      </c>
      <c r="AZ102" s="24">
        <f>ROUND(V102-AF102-AP102,2)</f>
        <v/>
      </c>
      <c r="BA102" s="24">
        <f>ROUND(W102-AG102-AQ102,2)</f>
        <v/>
      </c>
      <c r="BB102" s="24">
        <f>SUM(AR102:BA102)</f>
        <v/>
      </c>
    </row>
    <row r="103">
      <c r="A103" t="n">
        <v>99</v>
      </c>
      <c r="B103" s="23">
        <f>EOMONTH(TODAY(),98)</f>
        <v/>
      </c>
      <c r="C103" s="24">
        <f>MAX(0,(SUM('My Loans'!$E$6:$E$15)+'My Loans'!$D$3)-SUM($X103:$AG103))</f>
        <v/>
      </c>
      <c r="D103" s="24">
        <f>MAX(0,AR102)</f>
        <v/>
      </c>
      <c r="E103" s="24">
        <f>MAX(0,AS102)</f>
        <v/>
      </c>
      <c r="F103" s="24">
        <f>MAX(0,AT102)</f>
        <v/>
      </c>
      <c r="G103" s="24">
        <f>MAX(0,AU102)</f>
        <v/>
      </c>
      <c r="H103" s="24">
        <f>MAX(0,AV102)</f>
        <v/>
      </c>
      <c r="I103" s="24">
        <f>MAX(0,AW102)</f>
        <v/>
      </c>
      <c r="J103" s="24">
        <f>MAX(0,AX102)</f>
        <v/>
      </c>
      <c r="K103" s="24">
        <f>MAX(0,AY102)</f>
        <v/>
      </c>
      <c r="L103" s="24">
        <f>MAX(0,AZ102)</f>
        <v/>
      </c>
      <c r="M103" s="24">
        <f>MAX(0,BA102)</f>
        <v/>
      </c>
      <c r="N103" s="24">
        <f>IF(D103&lt;0.5,0,D103*(1+N('My Loans'!D6)/1200))</f>
        <v/>
      </c>
      <c r="O103" s="24">
        <f>IF(E103&lt;0.5,0,E103*(1+N('My Loans'!D7)/1200))</f>
        <v/>
      </c>
      <c r="P103" s="24">
        <f>IF(F103&lt;0.5,0,F103*(1+N('My Loans'!D8)/1200))</f>
        <v/>
      </c>
      <c r="Q103" s="24">
        <f>IF(G103&lt;0.5,0,G103*(1+N('My Loans'!D9)/1200))</f>
        <v/>
      </c>
      <c r="R103" s="24">
        <f>IF(H103&lt;0.5,0,H103*(1+N('My Loans'!D10)/1200))</f>
        <v/>
      </c>
      <c r="S103" s="24">
        <f>IF(I103&lt;0.5,0,I103*(1+N('My Loans'!D11)/1200))</f>
        <v/>
      </c>
      <c r="T103" s="24">
        <f>IF(J103&lt;0.5,0,J103*(1+N('My Loans'!D12)/1200))</f>
        <v/>
      </c>
      <c r="U103" s="24">
        <f>IF(K103&lt;0.5,0,K103*(1+N('My Loans'!D13)/1200))</f>
        <v/>
      </c>
      <c r="V103" s="24">
        <f>IF(L103&lt;0.5,0,L103*(1+N('My Loans'!D14)/1200))</f>
        <v/>
      </c>
      <c r="W103" s="24">
        <f>IF(M103&lt;0.5,0,M103*(1+N('My Loans'!D15)/1200))</f>
        <v/>
      </c>
      <c r="X103" s="24">
        <f>MIN(N103,N('My Loans'!E6))</f>
        <v/>
      </c>
      <c r="Y103" s="24">
        <f>MIN(O103,N('My Loans'!E7))</f>
        <v/>
      </c>
      <c r="Z103" s="24">
        <f>MIN(P103,N('My Loans'!E8))</f>
        <v/>
      </c>
      <c r="AA103" s="24">
        <f>MIN(Q103,N('My Loans'!E9))</f>
        <v/>
      </c>
      <c r="AB103" s="24">
        <f>MIN(R103,N('My Loans'!E10))</f>
        <v/>
      </c>
      <c r="AC103" s="24">
        <f>MIN(S103,N('My Loans'!E11))</f>
        <v/>
      </c>
      <c r="AD103" s="24">
        <f>MIN(T103,N('My Loans'!E12))</f>
        <v/>
      </c>
      <c r="AE103" s="24">
        <f>MIN(U103,N('My Loans'!E13))</f>
        <v/>
      </c>
      <c r="AF103" s="24">
        <f>MIN(V103,N('My Loans'!E14))</f>
        <v/>
      </c>
      <c r="AG103" s="24">
        <f>MIN(W103,N('My Loans'!E15))</f>
        <v/>
      </c>
      <c r="AH103" s="24">
        <f>MIN(N103-X103,MAX(0,$C103-SUMPRODUCT(($D$3:$M$3&lt;D$3)*($N103:$W103-$X103:$AG103))))</f>
        <v/>
      </c>
      <c r="AI103" s="24">
        <f>MIN(O103-Y103,MAX(0,$C103-SUMPRODUCT(($D$3:$M$3&lt;E$3)*($N103:$W103-$X103:$AG103))))</f>
        <v/>
      </c>
      <c r="AJ103" s="24">
        <f>MIN(P103-Z103,MAX(0,$C103-SUMPRODUCT(($D$3:$M$3&lt;F$3)*($N103:$W103-$X103:$AG103))))</f>
        <v/>
      </c>
      <c r="AK103" s="24">
        <f>MIN(Q103-AA103,MAX(0,$C103-SUMPRODUCT(($D$3:$M$3&lt;G$3)*($N103:$W103-$X103:$AG103))))</f>
        <v/>
      </c>
      <c r="AL103" s="24">
        <f>MIN(R103-AB103,MAX(0,$C103-SUMPRODUCT(($D$3:$M$3&lt;H$3)*($N103:$W103-$X103:$AG103))))</f>
        <v/>
      </c>
      <c r="AM103" s="24">
        <f>MIN(S103-AC103,MAX(0,$C103-SUMPRODUCT(($D$3:$M$3&lt;I$3)*($N103:$W103-$X103:$AG103))))</f>
        <v/>
      </c>
      <c r="AN103" s="24">
        <f>MIN(T103-AD103,MAX(0,$C103-SUMPRODUCT(($D$3:$M$3&lt;J$3)*($N103:$W103-$X103:$AG103))))</f>
        <v/>
      </c>
      <c r="AO103" s="24">
        <f>MIN(U103-AE103,MAX(0,$C103-SUMPRODUCT(($D$3:$M$3&lt;K$3)*($N103:$W103-$X103:$AG103))))</f>
        <v/>
      </c>
      <c r="AP103" s="24">
        <f>MIN(V103-AF103,MAX(0,$C103-SUMPRODUCT(($D$3:$M$3&lt;L$3)*($N103:$W103-$X103:$AG103))))</f>
        <v/>
      </c>
      <c r="AQ103" s="24">
        <f>MIN(W103-AG103,MAX(0,$C103-SUMPRODUCT(($D$3:$M$3&lt;M$3)*($N103:$W103-$X103:$AG103))))</f>
        <v/>
      </c>
      <c r="AR103" s="24">
        <f>ROUND(N103-X103-AH103,2)</f>
        <v/>
      </c>
      <c r="AS103" s="24">
        <f>ROUND(O103-Y103-AI103,2)</f>
        <v/>
      </c>
      <c r="AT103" s="24">
        <f>ROUND(P103-Z103-AJ103,2)</f>
        <v/>
      </c>
      <c r="AU103" s="24">
        <f>ROUND(Q103-AA103-AK103,2)</f>
        <v/>
      </c>
      <c r="AV103" s="24">
        <f>ROUND(R103-AB103-AL103,2)</f>
        <v/>
      </c>
      <c r="AW103" s="24">
        <f>ROUND(S103-AC103-AM103,2)</f>
        <v/>
      </c>
      <c r="AX103" s="24">
        <f>ROUND(T103-AD103-AN103,2)</f>
        <v/>
      </c>
      <c r="AY103" s="24">
        <f>ROUND(U103-AE103-AO103,2)</f>
        <v/>
      </c>
      <c r="AZ103" s="24">
        <f>ROUND(V103-AF103-AP103,2)</f>
        <v/>
      </c>
      <c r="BA103" s="24">
        <f>ROUND(W103-AG103-AQ103,2)</f>
        <v/>
      </c>
      <c r="BB103" s="24">
        <f>SUM(AR103:BA103)</f>
        <v/>
      </c>
    </row>
    <row r="104">
      <c r="A104" t="n">
        <v>100</v>
      </c>
      <c r="B104" s="23">
        <f>EOMONTH(TODAY(),99)</f>
        <v/>
      </c>
      <c r="C104" s="24">
        <f>MAX(0,(SUM('My Loans'!$E$6:$E$15)+'My Loans'!$D$3)-SUM($X104:$AG104))</f>
        <v/>
      </c>
      <c r="D104" s="24">
        <f>MAX(0,AR103)</f>
        <v/>
      </c>
      <c r="E104" s="24">
        <f>MAX(0,AS103)</f>
        <v/>
      </c>
      <c r="F104" s="24">
        <f>MAX(0,AT103)</f>
        <v/>
      </c>
      <c r="G104" s="24">
        <f>MAX(0,AU103)</f>
        <v/>
      </c>
      <c r="H104" s="24">
        <f>MAX(0,AV103)</f>
        <v/>
      </c>
      <c r="I104" s="24">
        <f>MAX(0,AW103)</f>
        <v/>
      </c>
      <c r="J104" s="24">
        <f>MAX(0,AX103)</f>
        <v/>
      </c>
      <c r="K104" s="24">
        <f>MAX(0,AY103)</f>
        <v/>
      </c>
      <c r="L104" s="24">
        <f>MAX(0,AZ103)</f>
        <v/>
      </c>
      <c r="M104" s="24">
        <f>MAX(0,BA103)</f>
        <v/>
      </c>
      <c r="N104" s="24">
        <f>IF(D104&lt;0.5,0,D104*(1+N('My Loans'!D6)/1200))</f>
        <v/>
      </c>
      <c r="O104" s="24">
        <f>IF(E104&lt;0.5,0,E104*(1+N('My Loans'!D7)/1200))</f>
        <v/>
      </c>
      <c r="P104" s="24">
        <f>IF(F104&lt;0.5,0,F104*(1+N('My Loans'!D8)/1200))</f>
        <v/>
      </c>
      <c r="Q104" s="24">
        <f>IF(G104&lt;0.5,0,G104*(1+N('My Loans'!D9)/1200))</f>
        <v/>
      </c>
      <c r="R104" s="24">
        <f>IF(H104&lt;0.5,0,H104*(1+N('My Loans'!D10)/1200))</f>
        <v/>
      </c>
      <c r="S104" s="24">
        <f>IF(I104&lt;0.5,0,I104*(1+N('My Loans'!D11)/1200))</f>
        <v/>
      </c>
      <c r="T104" s="24">
        <f>IF(J104&lt;0.5,0,J104*(1+N('My Loans'!D12)/1200))</f>
        <v/>
      </c>
      <c r="U104" s="24">
        <f>IF(K104&lt;0.5,0,K104*(1+N('My Loans'!D13)/1200))</f>
        <v/>
      </c>
      <c r="V104" s="24">
        <f>IF(L104&lt;0.5,0,L104*(1+N('My Loans'!D14)/1200))</f>
        <v/>
      </c>
      <c r="W104" s="24">
        <f>IF(M104&lt;0.5,0,M104*(1+N('My Loans'!D15)/1200))</f>
        <v/>
      </c>
      <c r="X104" s="24">
        <f>MIN(N104,N('My Loans'!E6))</f>
        <v/>
      </c>
      <c r="Y104" s="24">
        <f>MIN(O104,N('My Loans'!E7))</f>
        <v/>
      </c>
      <c r="Z104" s="24">
        <f>MIN(P104,N('My Loans'!E8))</f>
        <v/>
      </c>
      <c r="AA104" s="24">
        <f>MIN(Q104,N('My Loans'!E9))</f>
        <v/>
      </c>
      <c r="AB104" s="24">
        <f>MIN(R104,N('My Loans'!E10))</f>
        <v/>
      </c>
      <c r="AC104" s="24">
        <f>MIN(S104,N('My Loans'!E11))</f>
        <v/>
      </c>
      <c r="AD104" s="24">
        <f>MIN(T104,N('My Loans'!E12))</f>
        <v/>
      </c>
      <c r="AE104" s="24">
        <f>MIN(U104,N('My Loans'!E13))</f>
        <v/>
      </c>
      <c r="AF104" s="24">
        <f>MIN(V104,N('My Loans'!E14))</f>
        <v/>
      </c>
      <c r="AG104" s="24">
        <f>MIN(W104,N('My Loans'!E15))</f>
        <v/>
      </c>
      <c r="AH104" s="24">
        <f>MIN(N104-X104,MAX(0,$C104-SUMPRODUCT(($D$3:$M$3&lt;D$3)*($N104:$W104-$X104:$AG104))))</f>
        <v/>
      </c>
      <c r="AI104" s="24">
        <f>MIN(O104-Y104,MAX(0,$C104-SUMPRODUCT(($D$3:$M$3&lt;E$3)*($N104:$W104-$X104:$AG104))))</f>
        <v/>
      </c>
      <c r="AJ104" s="24">
        <f>MIN(P104-Z104,MAX(0,$C104-SUMPRODUCT(($D$3:$M$3&lt;F$3)*($N104:$W104-$X104:$AG104))))</f>
        <v/>
      </c>
      <c r="AK104" s="24">
        <f>MIN(Q104-AA104,MAX(0,$C104-SUMPRODUCT(($D$3:$M$3&lt;G$3)*($N104:$W104-$X104:$AG104))))</f>
        <v/>
      </c>
      <c r="AL104" s="24">
        <f>MIN(R104-AB104,MAX(0,$C104-SUMPRODUCT(($D$3:$M$3&lt;H$3)*($N104:$W104-$X104:$AG104))))</f>
        <v/>
      </c>
      <c r="AM104" s="24">
        <f>MIN(S104-AC104,MAX(0,$C104-SUMPRODUCT(($D$3:$M$3&lt;I$3)*($N104:$W104-$X104:$AG104))))</f>
        <v/>
      </c>
      <c r="AN104" s="24">
        <f>MIN(T104-AD104,MAX(0,$C104-SUMPRODUCT(($D$3:$M$3&lt;J$3)*($N104:$W104-$X104:$AG104))))</f>
        <v/>
      </c>
      <c r="AO104" s="24">
        <f>MIN(U104-AE104,MAX(0,$C104-SUMPRODUCT(($D$3:$M$3&lt;K$3)*($N104:$W104-$X104:$AG104))))</f>
        <v/>
      </c>
      <c r="AP104" s="24">
        <f>MIN(V104-AF104,MAX(0,$C104-SUMPRODUCT(($D$3:$M$3&lt;L$3)*($N104:$W104-$X104:$AG104))))</f>
        <v/>
      </c>
      <c r="AQ104" s="24">
        <f>MIN(W104-AG104,MAX(0,$C104-SUMPRODUCT(($D$3:$M$3&lt;M$3)*($N104:$W104-$X104:$AG104))))</f>
        <v/>
      </c>
      <c r="AR104" s="24">
        <f>ROUND(N104-X104-AH104,2)</f>
        <v/>
      </c>
      <c r="AS104" s="24">
        <f>ROUND(O104-Y104-AI104,2)</f>
        <v/>
      </c>
      <c r="AT104" s="24">
        <f>ROUND(P104-Z104-AJ104,2)</f>
        <v/>
      </c>
      <c r="AU104" s="24">
        <f>ROUND(Q104-AA104-AK104,2)</f>
        <v/>
      </c>
      <c r="AV104" s="24">
        <f>ROUND(R104-AB104-AL104,2)</f>
        <v/>
      </c>
      <c r="AW104" s="24">
        <f>ROUND(S104-AC104-AM104,2)</f>
        <v/>
      </c>
      <c r="AX104" s="24">
        <f>ROUND(T104-AD104-AN104,2)</f>
        <v/>
      </c>
      <c r="AY104" s="24">
        <f>ROUND(U104-AE104-AO104,2)</f>
        <v/>
      </c>
      <c r="AZ104" s="24">
        <f>ROUND(V104-AF104-AP104,2)</f>
        <v/>
      </c>
      <c r="BA104" s="24">
        <f>ROUND(W104-AG104-AQ104,2)</f>
        <v/>
      </c>
      <c r="BB104" s="24">
        <f>SUM(AR104:BA104)</f>
        <v/>
      </c>
    </row>
    <row r="105">
      <c r="A105" t="n">
        <v>101</v>
      </c>
      <c r="B105" s="23">
        <f>EOMONTH(TODAY(),100)</f>
        <v/>
      </c>
      <c r="C105" s="24">
        <f>MAX(0,(SUM('My Loans'!$E$6:$E$15)+'My Loans'!$D$3)-SUM($X105:$AG105))</f>
        <v/>
      </c>
      <c r="D105" s="24">
        <f>MAX(0,AR104)</f>
        <v/>
      </c>
      <c r="E105" s="24">
        <f>MAX(0,AS104)</f>
        <v/>
      </c>
      <c r="F105" s="24">
        <f>MAX(0,AT104)</f>
        <v/>
      </c>
      <c r="G105" s="24">
        <f>MAX(0,AU104)</f>
        <v/>
      </c>
      <c r="H105" s="24">
        <f>MAX(0,AV104)</f>
        <v/>
      </c>
      <c r="I105" s="24">
        <f>MAX(0,AW104)</f>
        <v/>
      </c>
      <c r="J105" s="24">
        <f>MAX(0,AX104)</f>
        <v/>
      </c>
      <c r="K105" s="24">
        <f>MAX(0,AY104)</f>
        <v/>
      </c>
      <c r="L105" s="24">
        <f>MAX(0,AZ104)</f>
        <v/>
      </c>
      <c r="M105" s="24">
        <f>MAX(0,BA104)</f>
        <v/>
      </c>
      <c r="N105" s="24">
        <f>IF(D105&lt;0.5,0,D105*(1+N('My Loans'!D6)/1200))</f>
        <v/>
      </c>
      <c r="O105" s="24">
        <f>IF(E105&lt;0.5,0,E105*(1+N('My Loans'!D7)/1200))</f>
        <v/>
      </c>
      <c r="P105" s="24">
        <f>IF(F105&lt;0.5,0,F105*(1+N('My Loans'!D8)/1200))</f>
        <v/>
      </c>
      <c r="Q105" s="24">
        <f>IF(G105&lt;0.5,0,G105*(1+N('My Loans'!D9)/1200))</f>
        <v/>
      </c>
      <c r="R105" s="24">
        <f>IF(H105&lt;0.5,0,H105*(1+N('My Loans'!D10)/1200))</f>
        <v/>
      </c>
      <c r="S105" s="24">
        <f>IF(I105&lt;0.5,0,I105*(1+N('My Loans'!D11)/1200))</f>
        <v/>
      </c>
      <c r="T105" s="24">
        <f>IF(J105&lt;0.5,0,J105*(1+N('My Loans'!D12)/1200))</f>
        <v/>
      </c>
      <c r="U105" s="24">
        <f>IF(K105&lt;0.5,0,K105*(1+N('My Loans'!D13)/1200))</f>
        <v/>
      </c>
      <c r="V105" s="24">
        <f>IF(L105&lt;0.5,0,L105*(1+N('My Loans'!D14)/1200))</f>
        <v/>
      </c>
      <c r="W105" s="24">
        <f>IF(M105&lt;0.5,0,M105*(1+N('My Loans'!D15)/1200))</f>
        <v/>
      </c>
      <c r="X105" s="24">
        <f>MIN(N105,N('My Loans'!E6))</f>
        <v/>
      </c>
      <c r="Y105" s="24">
        <f>MIN(O105,N('My Loans'!E7))</f>
        <v/>
      </c>
      <c r="Z105" s="24">
        <f>MIN(P105,N('My Loans'!E8))</f>
        <v/>
      </c>
      <c r="AA105" s="24">
        <f>MIN(Q105,N('My Loans'!E9))</f>
        <v/>
      </c>
      <c r="AB105" s="24">
        <f>MIN(R105,N('My Loans'!E10))</f>
        <v/>
      </c>
      <c r="AC105" s="24">
        <f>MIN(S105,N('My Loans'!E11))</f>
        <v/>
      </c>
      <c r="AD105" s="24">
        <f>MIN(T105,N('My Loans'!E12))</f>
        <v/>
      </c>
      <c r="AE105" s="24">
        <f>MIN(U105,N('My Loans'!E13))</f>
        <v/>
      </c>
      <c r="AF105" s="24">
        <f>MIN(V105,N('My Loans'!E14))</f>
        <v/>
      </c>
      <c r="AG105" s="24">
        <f>MIN(W105,N('My Loans'!E15))</f>
        <v/>
      </c>
      <c r="AH105" s="24">
        <f>MIN(N105-X105,MAX(0,$C105-SUMPRODUCT(($D$3:$M$3&lt;D$3)*($N105:$W105-$X105:$AG105))))</f>
        <v/>
      </c>
      <c r="AI105" s="24">
        <f>MIN(O105-Y105,MAX(0,$C105-SUMPRODUCT(($D$3:$M$3&lt;E$3)*($N105:$W105-$X105:$AG105))))</f>
        <v/>
      </c>
      <c r="AJ105" s="24">
        <f>MIN(P105-Z105,MAX(0,$C105-SUMPRODUCT(($D$3:$M$3&lt;F$3)*($N105:$W105-$X105:$AG105))))</f>
        <v/>
      </c>
      <c r="AK105" s="24">
        <f>MIN(Q105-AA105,MAX(0,$C105-SUMPRODUCT(($D$3:$M$3&lt;G$3)*($N105:$W105-$X105:$AG105))))</f>
        <v/>
      </c>
      <c r="AL105" s="24">
        <f>MIN(R105-AB105,MAX(0,$C105-SUMPRODUCT(($D$3:$M$3&lt;H$3)*($N105:$W105-$X105:$AG105))))</f>
        <v/>
      </c>
      <c r="AM105" s="24">
        <f>MIN(S105-AC105,MAX(0,$C105-SUMPRODUCT(($D$3:$M$3&lt;I$3)*($N105:$W105-$X105:$AG105))))</f>
        <v/>
      </c>
      <c r="AN105" s="24">
        <f>MIN(T105-AD105,MAX(0,$C105-SUMPRODUCT(($D$3:$M$3&lt;J$3)*($N105:$W105-$X105:$AG105))))</f>
        <v/>
      </c>
      <c r="AO105" s="24">
        <f>MIN(U105-AE105,MAX(0,$C105-SUMPRODUCT(($D$3:$M$3&lt;K$3)*($N105:$W105-$X105:$AG105))))</f>
        <v/>
      </c>
      <c r="AP105" s="24">
        <f>MIN(V105-AF105,MAX(0,$C105-SUMPRODUCT(($D$3:$M$3&lt;L$3)*($N105:$W105-$X105:$AG105))))</f>
        <v/>
      </c>
      <c r="AQ105" s="24">
        <f>MIN(W105-AG105,MAX(0,$C105-SUMPRODUCT(($D$3:$M$3&lt;M$3)*($N105:$W105-$X105:$AG105))))</f>
        <v/>
      </c>
      <c r="AR105" s="24">
        <f>ROUND(N105-X105-AH105,2)</f>
        <v/>
      </c>
      <c r="AS105" s="24">
        <f>ROUND(O105-Y105-AI105,2)</f>
        <v/>
      </c>
      <c r="AT105" s="24">
        <f>ROUND(P105-Z105-AJ105,2)</f>
        <v/>
      </c>
      <c r="AU105" s="24">
        <f>ROUND(Q105-AA105-AK105,2)</f>
        <v/>
      </c>
      <c r="AV105" s="24">
        <f>ROUND(R105-AB105-AL105,2)</f>
        <v/>
      </c>
      <c r="AW105" s="24">
        <f>ROUND(S105-AC105-AM105,2)</f>
        <v/>
      </c>
      <c r="AX105" s="24">
        <f>ROUND(T105-AD105-AN105,2)</f>
        <v/>
      </c>
      <c r="AY105" s="24">
        <f>ROUND(U105-AE105-AO105,2)</f>
        <v/>
      </c>
      <c r="AZ105" s="24">
        <f>ROUND(V105-AF105-AP105,2)</f>
        <v/>
      </c>
      <c r="BA105" s="24">
        <f>ROUND(W105-AG105-AQ105,2)</f>
        <v/>
      </c>
      <c r="BB105" s="24">
        <f>SUM(AR105:BA105)</f>
        <v/>
      </c>
    </row>
    <row r="106">
      <c r="A106" t="n">
        <v>102</v>
      </c>
      <c r="B106" s="23">
        <f>EOMONTH(TODAY(),101)</f>
        <v/>
      </c>
      <c r="C106" s="24">
        <f>MAX(0,(SUM('My Loans'!$E$6:$E$15)+'My Loans'!$D$3)-SUM($X106:$AG106))</f>
        <v/>
      </c>
      <c r="D106" s="24">
        <f>MAX(0,AR105)</f>
        <v/>
      </c>
      <c r="E106" s="24">
        <f>MAX(0,AS105)</f>
        <v/>
      </c>
      <c r="F106" s="24">
        <f>MAX(0,AT105)</f>
        <v/>
      </c>
      <c r="G106" s="24">
        <f>MAX(0,AU105)</f>
        <v/>
      </c>
      <c r="H106" s="24">
        <f>MAX(0,AV105)</f>
        <v/>
      </c>
      <c r="I106" s="24">
        <f>MAX(0,AW105)</f>
        <v/>
      </c>
      <c r="J106" s="24">
        <f>MAX(0,AX105)</f>
        <v/>
      </c>
      <c r="K106" s="24">
        <f>MAX(0,AY105)</f>
        <v/>
      </c>
      <c r="L106" s="24">
        <f>MAX(0,AZ105)</f>
        <v/>
      </c>
      <c r="M106" s="24">
        <f>MAX(0,BA105)</f>
        <v/>
      </c>
      <c r="N106" s="24">
        <f>IF(D106&lt;0.5,0,D106*(1+N('My Loans'!D6)/1200))</f>
        <v/>
      </c>
      <c r="O106" s="24">
        <f>IF(E106&lt;0.5,0,E106*(1+N('My Loans'!D7)/1200))</f>
        <v/>
      </c>
      <c r="P106" s="24">
        <f>IF(F106&lt;0.5,0,F106*(1+N('My Loans'!D8)/1200))</f>
        <v/>
      </c>
      <c r="Q106" s="24">
        <f>IF(G106&lt;0.5,0,G106*(1+N('My Loans'!D9)/1200))</f>
        <v/>
      </c>
      <c r="R106" s="24">
        <f>IF(H106&lt;0.5,0,H106*(1+N('My Loans'!D10)/1200))</f>
        <v/>
      </c>
      <c r="S106" s="24">
        <f>IF(I106&lt;0.5,0,I106*(1+N('My Loans'!D11)/1200))</f>
        <v/>
      </c>
      <c r="T106" s="24">
        <f>IF(J106&lt;0.5,0,J106*(1+N('My Loans'!D12)/1200))</f>
        <v/>
      </c>
      <c r="U106" s="24">
        <f>IF(K106&lt;0.5,0,K106*(1+N('My Loans'!D13)/1200))</f>
        <v/>
      </c>
      <c r="V106" s="24">
        <f>IF(L106&lt;0.5,0,L106*(1+N('My Loans'!D14)/1200))</f>
        <v/>
      </c>
      <c r="W106" s="24">
        <f>IF(M106&lt;0.5,0,M106*(1+N('My Loans'!D15)/1200))</f>
        <v/>
      </c>
      <c r="X106" s="24">
        <f>MIN(N106,N('My Loans'!E6))</f>
        <v/>
      </c>
      <c r="Y106" s="24">
        <f>MIN(O106,N('My Loans'!E7))</f>
        <v/>
      </c>
      <c r="Z106" s="24">
        <f>MIN(P106,N('My Loans'!E8))</f>
        <v/>
      </c>
      <c r="AA106" s="24">
        <f>MIN(Q106,N('My Loans'!E9))</f>
        <v/>
      </c>
      <c r="AB106" s="24">
        <f>MIN(R106,N('My Loans'!E10))</f>
        <v/>
      </c>
      <c r="AC106" s="24">
        <f>MIN(S106,N('My Loans'!E11))</f>
        <v/>
      </c>
      <c r="AD106" s="24">
        <f>MIN(T106,N('My Loans'!E12))</f>
        <v/>
      </c>
      <c r="AE106" s="24">
        <f>MIN(U106,N('My Loans'!E13))</f>
        <v/>
      </c>
      <c r="AF106" s="24">
        <f>MIN(V106,N('My Loans'!E14))</f>
        <v/>
      </c>
      <c r="AG106" s="24">
        <f>MIN(W106,N('My Loans'!E15))</f>
        <v/>
      </c>
      <c r="AH106" s="24">
        <f>MIN(N106-X106,MAX(0,$C106-SUMPRODUCT(($D$3:$M$3&lt;D$3)*($N106:$W106-$X106:$AG106))))</f>
        <v/>
      </c>
      <c r="AI106" s="24">
        <f>MIN(O106-Y106,MAX(0,$C106-SUMPRODUCT(($D$3:$M$3&lt;E$3)*($N106:$W106-$X106:$AG106))))</f>
        <v/>
      </c>
      <c r="AJ106" s="24">
        <f>MIN(P106-Z106,MAX(0,$C106-SUMPRODUCT(($D$3:$M$3&lt;F$3)*($N106:$W106-$X106:$AG106))))</f>
        <v/>
      </c>
      <c r="AK106" s="24">
        <f>MIN(Q106-AA106,MAX(0,$C106-SUMPRODUCT(($D$3:$M$3&lt;G$3)*($N106:$W106-$X106:$AG106))))</f>
        <v/>
      </c>
      <c r="AL106" s="24">
        <f>MIN(R106-AB106,MAX(0,$C106-SUMPRODUCT(($D$3:$M$3&lt;H$3)*($N106:$W106-$X106:$AG106))))</f>
        <v/>
      </c>
      <c r="AM106" s="24">
        <f>MIN(S106-AC106,MAX(0,$C106-SUMPRODUCT(($D$3:$M$3&lt;I$3)*($N106:$W106-$X106:$AG106))))</f>
        <v/>
      </c>
      <c r="AN106" s="24">
        <f>MIN(T106-AD106,MAX(0,$C106-SUMPRODUCT(($D$3:$M$3&lt;J$3)*($N106:$W106-$X106:$AG106))))</f>
        <v/>
      </c>
      <c r="AO106" s="24">
        <f>MIN(U106-AE106,MAX(0,$C106-SUMPRODUCT(($D$3:$M$3&lt;K$3)*($N106:$W106-$X106:$AG106))))</f>
        <v/>
      </c>
      <c r="AP106" s="24">
        <f>MIN(V106-AF106,MAX(0,$C106-SUMPRODUCT(($D$3:$M$3&lt;L$3)*($N106:$W106-$X106:$AG106))))</f>
        <v/>
      </c>
      <c r="AQ106" s="24">
        <f>MIN(W106-AG106,MAX(0,$C106-SUMPRODUCT(($D$3:$M$3&lt;M$3)*($N106:$W106-$X106:$AG106))))</f>
        <v/>
      </c>
      <c r="AR106" s="24">
        <f>ROUND(N106-X106-AH106,2)</f>
        <v/>
      </c>
      <c r="AS106" s="24">
        <f>ROUND(O106-Y106-AI106,2)</f>
        <v/>
      </c>
      <c r="AT106" s="24">
        <f>ROUND(P106-Z106-AJ106,2)</f>
        <v/>
      </c>
      <c r="AU106" s="24">
        <f>ROUND(Q106-AA106-AK106,2)</f>
        <v/>
      </c>
      <c r="AV106" s="24">
        <f>ROUND(R106-AB106-AL106,2)</f>
        <v/>
      </c>
      <c r="AW106" s="24">
        <f>ROUND(S106-AC106-AM106,2)</f>
        <v/>
      </c>
      <c r="AX106" s="24">
        <f>ROUND(T106-AD106-AN106,2)</f>
        <v/>
      </c>
      <c r="AY106" s="24">
        <f>ROUND(U106-AE106-AO106,2)</f>
        <v/>
      </c>
      <c r="AZ106" s="24">
        <f>ROUND(V106-AF106-AP106,2)</f>
        <v/>
      </c>
      <c r="BA106" s="24">
        <f>ROUND(W106-AG106-AQ106,2)</f>
        <v/>
      </c>
      <c r="BB106" s="24">
        <f>SUM(AR106:BA106)</f>
        <v/>
      </c>
    </row>
    <row r="107">
      <c r="A107" t="n">
        <v>103</v>
      </c>
      <c r="B107" s="23">
        <f>EOMONTH(TODAY(),102)</f>
        <v/>
      </c>
      <c r="C107" s="24">
        <f>MAX(0,(SUM('My Loans'!$E$6:$E$15)+'My Loans'!$D$3)-SUM($X107:$AG107))</f>
        <v/>
      </c>
      <c r="D107" s="24">
        <f>MAX(0,AR106)</f>
        <v/>
      </c>
      <c r="E107" s="24">
        <f>MAX(0,AS106)</f>
        <v/>
      </c>
      <c r="F107" s="24">
        <f>MAX(0,AT106)</f>
        <v/>
      </c>
      <c r="G107" s="24">
        <f>MAX(0,AU106)</f>
        <v/>
      </c>
      <c r="H107" s="24">
        <f>MAX(0,AV106)</f>
        <v/>
      </c>
      <c r="I107" s="24">
        <f>MAX(0,AW106)</f>
        <v/>
      </c>
      <c r="J107" s="24">
        <f>MAX(0,AX106)</f>
        <v/>
      </c>
      <c r="K107" s="24">
        <f>MAX(0,AY106)</f>
        <v/>
      </c>
      <c r="L107" s="24">
        <f>MAX(0,AZ106)</f>
        <v/>
      </c>
      <c r="M107" s="24">
        <f>MAX(0,BA106)</f>
        <v/>
      </c>
      <c r="N107" s="24">
        <f>IF(D107&lt;0.5,0,D107*(1+N('My Loans'!D6)/1200))</f>
        <v/>
      </c>
      <c r="O107" s="24">
        <f>IF(E107&lt;0.5,0,E107*(1+N('My Loans'!D7)/1200))</f>
        <v/>
      </c>
      <c r="P107" s="24">
        <f>IF(F107&lt;0.5,0,F107*(1+N('My Loans'!D8)/1200))</f>
        <v/>
      </c>
      <c r="Q107" s="24">
        <f>IF(G107&lt;0.5,0,G107*(1+N('My Loans'!D9)/1200))</f>
        <v/>
      </c>
      <c r="R107" s="24">
        <f>IF(H107&lt;0.5,0,H107*(1+N('My Loans'!D10)/1200))</f>
        <v/>
      </c>
      <c r="S107" s="24">
        <f>IF(I107&lt;0.5,0,I107*(1+N('My Loans'!D11)/1200))</f>
        <v/>
      </c>
      <c r="T107" s="24">
        <f>IF(J107&lt;0.5,0,J107*(1+N('My Loans'!D12)/1200))</f>
        <v/>
      </c>
      <c r="U107" s="24">
        <f>IF(K107&lt;0.5,0,K107*(1+N('My Loans'!D13)/1200))</f>
        <v/>
      </c>
      <c r="V107" s="24">
        <f>IF(L107&lt;0.5,0,L107*(1+N('My Loans'!D14)/1200))</f>
        <v/>
      </c>
      <c r="W107" s="24">
        <f>IF(M107&lt;0.5,0,M107*(1+N('My Loans'!D15)/1200))</f>
        <v/>
      </c>
      <c r="X107" s="24">
        <f>MIN(N107,N('My Loans'!E6))</f>
        <v/>
      </c>
      <c r="Y107" s="24">
        <f>MIN(O107,N('My Loans'!E7))</f>
        <v/>
      </c>
      <c r="Z107" s="24">
        <f>MIN(P107,N('My Loans'!E8))</f>
        <v/>
      </c>
      <c r="AA107" s="24">
        <f>MIN(Q107,N('My Loans'!E9))</f>
        <v/>
      </c>
      <c r="AB107" s="24">
        <f>MIN(R107,N('My Loans'!E10))</f>
        <v/>
      </c>
      <c r="AC107" s="24">
        <f>MIN(S107,N('My Loans'!E11))</f>
        <v/>
      </c>
      <c r="AD107" s="24">
        <f>MIN(T107,N('My Loans'!E12))</f>
        <v/>
      </c>
      <c r="AE107" s="24">
        <f>MIN(U107,N('My Loans'!E13))</f>
        <v/>
      </c>
      <c r="AF107" s="24">
        <f>MIN(V107,N('My Loans'!E14))</f>
        <v/>
      </c>
      <c r="AG107" s="24">
        <f>MIN(W107,N('My Loans'!E15))</f>
        <v/>
      </c>
      <c r="AH107" s="24">
        <f>MIN(N107-X107,MAX(0,$C107-SUMPRODUCT(($D$3:$M$3&lt;D$3)*($N107:$W107-$X107:$AG107))))</f>
        <v/>
      </c>
      <c r="AI107" s="24">
        <f>MIN(O107-Y107,MAX(0,$C107-SUMPRODUCT(($D$3:$M$3&lt;E$3)*($N107:$W107-$X107:$AG107))))</f>
        <v/>
      </c>
      <c r="AJ107" s="24">
        <f>MIN(P107-Z107,MAX(0,$C107-SUMPRODUCT(($D$3:$M$3&lt;F$3)*($N107:$W107-$X107:$AG107))))</f>
        <v/>
      </c>
      <c r="AK107" s="24">
        <f>MIN(Q107-AA107,MAX(0,$C107-SUMPRODUCT(($D$3:$M$3&lt;G$3)*($N107:$W107-$X107:$AG107))))</f>
        <v/>
      </c>
      <c r="AL107" s="24">
        <f>MIN(R107-AB107,MAX(0,$C107-SUMPRODUCT(($D$3:$M$3&lt;H$3)*($N107:$W107-$X107:$AG107))))</f>
        <v/>
      </c>
      <c r="AM107" s="24">
        <f>MIN(S107-AC107,MAX(0,$C107-SUMPRODUCT(($D$3:$M$3&lt;I$3)*($N107:$W107-$X107:$AG107))))</f>
        <v/>
      </c>
      <c r="AN107" s="24">
        <f>MIN(T107-AD107,MAX(0,$C107-SUMPRODUCT(($D$3:$M$3&lt;J$3)*($N107:$W107-$X107:$AG107))))</f>
        <v/>
      </c>
      <c r="AO107" s="24">
        <f>MIN(U107-AE107,MAX(0,$C107-SUMPRODUCT(($D$3:$M$3&lt;K$3)*($N107:$W107-$X107:$AG107))))</f>
        <v/>
      </c>
      <c r="AP107" s="24">
        <f>MIN(V107-AF107,MAX(0,$C107-SUMPRODUCT(($D$3:$M$3&lt;L$3)*($N107:$W107-$X107:$AG107))))</f>
        <v/>
      </c>
      <c r="AQ107" s="24">
        <f>MIN(W107-AG107,MAX(0,$C107-SUMPRODUCT(($D$3:$M$3&lt;M$3)*($N107:$W107-$X107:$AG107))))</f>
        <v/>
      </c>
      <c r="AR107" s="24">
        <f>ROUND(N107-X107-AH107,2)</f>
        <v/>
      </c>
      <c r="AS107" s="24">
        <f>ROUND(O107-Y107-AI107,2)</f>
        <v/>
      </c>
      <c r="AT107" s="24">
        <f>ROUND(P107-Z107-AJ107,2)</f>
        <v/>
      </c>
      <c r="AU107" s="24">
        <f>ROUND(Q107-AA107-AK107,2)</f>
        <v/>
      </c>
      <c r="AV107" s="24">
        <f>ROUND(R107-AB107-AL107,2)</f>
        <v/>
      </c>
      <c r="AW107" s="24">
        <f>ROUND(S107-AC107-AM107,2)</f>
        <v/>
      </c>
      <c r="AX107" s="24">
        <f>ROUND(T107-AD107-AN107,2)</f>
        <v/>
      </c>
      <c r="AY107" s="24">
        <f>ROUND(U107-AE107-AO107,2)</f>
        <v/>
      </c>
      <c r="AZ107" s="24">
        <f>ROUND(V107-AF107-AP107,2)</f>
        <v/>
      </c>
      <c r="BA107" s="24">
        <f>ROUND(W107-AG107-AQ107,2)</f>
        <v/>
      </c>
      <c r="BB107" s="24">
        <f>SUM(AR107:BA107)</f>
        <v/>
      </c>
    </row>
    <row r="108">
      <c r="A108" t="n">
        <v>104</v>
      </c>
      <c r="B108" s="23">
        <f>EOMONTH(TODAY(),103)</f>
        <v/>
      </c>
      <c r="C108" s="24">
        <f>MAX(0,(SUM('My Loans'!$E$6:$E$15)+'My Loans'!$D$3)-SUM($X108:$AG108))</f>
        <v/>
      </c>
      <c r="D108" s="24">
        <f>MAX(0,AR107)</f>
        <v/>
      </c>
      <c r="E108" s="24">
        <f>MAX(0,AS107)</f>
        <v/>
      </c>
      <c r="F108" s="24">
        <f>MAX(0,AT107)</f>
        <v/>
      </c>
      <c r="G108" s="24">
        <f>MAX(0,AU107)</f>
        <v/>
      </c>
      <c r="H108" s="24">
        <f>MAX(0,AV107)</f>
        <v/>
      </c>
      <c r="I108" s="24">
        <f>MAX(0,AW107)</f>
        <v/>
      </c>
      <c r="J108" s="24">
        <f>MAX(0,AX107)</f>
        <v/>
      </c>
      <c r="K108" s="24">
        <f>MAX(0,AY107)</f>
        <v/>
      </c>
      <c r="L108" s="24">
        <f>MAX(0,AZ107)</f>
        <v/>
      </c>
      <c r="M108" s="24">
        <f>MAX(0,BA107)</f>
        <v/>
      </c>
      <c r="N108" s="24">
        <f>IF(D108&lt;0.5,0,D108*(1+N('My Loans'!D6)/1200))</f>
        <v/>
      </c>
      <c r="O108" s="24">
        <f>IF(E108&lt;0.5,0,E108*(1+N('My Loans'!D7)/1200))</f>
        <v/>
      </c>
      <c r="P108" s="24">
        <f>IF(F108&lt;0.5,0,F108*(1+N('My Loans'!D8)/1200))</f>
        <v/>
      </c>
      <c r="Q108" s="24">
        <f>IF(G108&lt;0.5,0,G108*(1+N('My Loans'!D9)/1200))</f>
        <v/>
      </c>
      <c r="R108" s="24">
        <f>IF(H108&lt;0.5,0,H108*(1+N('My Loans'!D10)/1200))</f>
        <v/>
      </c>
      <c r="S108" s="24">
        <f>IF(I108&lt;0.5,0,I108*(1+N('My Loans'!D11)/1200))</f>
        <v/>
      </c>
      <c r="T108" s="24">
        <f>IF(J108&lt;0.5,0,J108*(1+N('My Loans'!D12)/1200))</f>
        <v/>
      </c>
      <c r="U108" s="24">
        <f>IF(K108&lt;0.5,0,K108*(1+N('My Loans'!D13)/1200))</f>
        <v/>
      </c>
      <c r="V108" s="24">
        <f>IF(L108&lt;0.5,0,L108*(1+N('My Loans'!D14)/1200))</f>
        <v/>
      </c>
      <c r="W108" s="24">
        <f>IF(M108&lt;0.5,0,M108*(1+N('My Loans'!D15)/1200))</f>
        <v/>
      </c>
      <c r="X108" s="24">
        <f>MIN(N108,N('My Loans'!E6))</f>
        <v/>
      </c>
      <c r="Y108" s="24">
        <f>MIN(O108,N('My Loans'!E7))</f>
        <v/>
      </c>
      <c r="Z108" s="24">
        <f>MIN(P108,N('My Loans'!E8))</f>
        <v/>
      </c>
      <c r="AA108" s="24">
        <f>MIN(Q108,N('My Loans'!E9))</f>
        <v/>
      </c>
      <c r="AB108" s="24">
        <f>MIN(R108,N('My Loans'!E10))</f>
        <v/>
      </c>
      <c r="AC108" s="24">
        <f>MIN(S108,N('My Loans'!E11))</f>
        <v/>
      </c>
      <c r="AD108" s="24">
        <f>MIN(T108,N('My Loans'!E12))</f>
        <v/>
      </c>
      <c r="AE108" s="24">
        <f>MIN(U108,N('My Loans'!E13))</f>
        <v/>
      </c>
      <c r="AF108" s="24">
        <f>MIN(V108,N('My Loans'!E14))</f>
        <v/>
      </c>
      <c r="AG108" s="24">
        <f>MIN(W108,N('My Loans'!E15))</f>
        <v/>
      </c>
      <c r="AH108" s="24">
        <f>MIN(N108-X108,MAX(0,$C108-SUMPRODUCT(($D$3:$M$3&lt;D$3)*($N108:$W108-$X108:$AG108))))</f>
        <v/>
      </c>
      <c r="AI108" s="24">
        <f>MIN(O108-Y108,MAX(0,$C108-SUMPRODUCT(($D$3:$M$3&lt;E$3)*($N108:$W108-$X108:$AG108))))</f>
        <v/>
      </c>
      <c r="AJ108" s="24">
        <f>MIN(P108-Z108,MAX(0,$C108-SUMPRODUCT(($D$3:$M$3&lt;F$3)*($N108:$W108-$X108:$AG108))))</f>
        <v/>
      </c>
      <c r="AK108" s="24">
        <f>MIN(Q108-AA108,MAX(0,$C108-SUMPRODUCT(($D$3:$M$3&lt;G$3)*($N108:$W108-$X108:$AG108))))</f>
        <v/>
      </c>
      <c r="AL108" s="24">
        <f>MIN(R108-AB108,MAX(0,$C108-SUMPRODUCT(($D$3:$M$3&lt;H$3)*($N108:$W108-$X108:$AG108))))</f>
        <v/>
      </c>
      <c r="AM108" s="24">
        <f>MIN(S108-AC108,MAX(0,$C108-SUMPRODUCT(($D$3:$M$3&lt;I$3)*($N108:$W108-$X108:$AG108))))</f>
        <v/>
      </c>
      <c r="AN108" s="24">
        <f>MIN(T108-AD108,MAX(0,$C108-SUMPRODUCT(($D$3:$M$3&lt;J$3)*($N108:$W108-$X108:$AG108))))</f>
        <v/>
      </c>
      <c r="AO108" s="24">
        <f>MIN(U108-AE108,MAX(0,$C108-SUMPRODUCT(($D$3:$M$3&lt;K$3)*($N108:$W108-$X108:$AG108))))</f>
        <v/>
      </c>
      <c r="AP108" s="24">
        <f>MIN(V108-AF108,MAX(0,$C108-SUMPRODUCT(($D$3:$M$3&lt;L$3)*($N108:$W108-$X108:$AG108))))</f>
        <v/>
      </c>
      <c r="AQ108" s="24">
        <f>MIN(W108-AG108,MAX(0,$C108-SUMPRODUCT(($D$3:$M$3&lt;M$3)*($N108:$W108-$X108:$AG108))))</f>
        <v/>
      </c>
      <c r="AR108" s="24">
        <f>ROUND(N108-X108-AH108,2)</f>
        <v/>
      </c>
      <c r="AS108" s="24">
        <f>ROUND(O108-Y108-AI108,2)</f>
        <v/>
      </c>
      <c r="AT108" s="24">
        <f>ROUND(P108-Z108-AJ108,2)</f>
        <v/>
      </c>
      <c r="AU108" s="24">
        <f>ROUND(Q108-AA108-AK108,2)</f>
        <v/>
      </c>
      <c r="AV108" s="24">
        <f>ROUND(R108-AB108-AL108,2)</f>
        <v/>
      </c>
      <c r="AW108" s="24">
        <f>ROUND(S108-AC108-AM108,2)</f>
        <v/>
      </c>
      <c r="AX108" s="24">
        <f>ROUND(T108-AD108-AN108,2)</f>
        <v/>
      </c>
      <c r="AY108" s="24">
        <f>ROUND(U108-AE108-AO108,2)</f>
        <v/>
      </c>
      <c r="AZ108" s="24">
        <f>ROUND(V108-AF108-AP108,2)</f>
        <v/>
      </c>
      <c r="BA108" s="24">
        <f>ROUND(W108-AG108-AQ108,2)</f>
        <v/>
      </c>
      <c r="BB108" s="24">
        <f>SUM(AR108:BA108)</f>
        <v/>
      </c>
    </row>
    <row r="109">
      <c r="A109" t="n">
        <v>105</v>
      </c>
      <c r="B109" s="23">
        <f>EOMONTH(TODAY(),104)</f>
        <v/>
      </c>
      <c r="C109" s="24">
        <f>MAX(0,(SUM('My Loans'!$E$6:$E$15)+'My Loans'!$D$3)-SUM($X109:$AG109))</f>
        <v/>
      </c>
      <c r="D109" s="24">
        <f>MAX(0,AR108)</f>
        <v/>
      </c>
      <c r="E109" s="24">
        <f>MAX(0,AS108)</f>
        <v/>
      </c>
      <c r="F109" s="24">
        <f>MAX(0,AT108)</f>
        <v/>
      </c>
      <c r="G109" s="24">
        <f>MAX(0,AU108)</f>
        <v/>
      </c>
      <c r="H109" s="24">
        <f>MAX(0,AV108)</f>
        <v/>
      </c>
      <c r="I109" s="24">
        <f>MAX(0,AW108)</f>
        <v/>
      </c>
      <c r="J109" s="24">
        <f>MAX(0,AX108)</f>
        <v/>
      </c>
      <c r="K109" s="24">
        <f>MAX(0,AY108)</f>
        <v/>
      </c>
      <c r="L109" s="24">
        <f>MAX(0,AZ108)</f>
        <v/>
      </c>
      <c r="M109" s="24">
        <f>MAX(0,BA108)</f>
        <v/>
      </c>
      <c r="N109" s="24">
        <f>IF(D109&lt;0.5,0,D109*(1+N('My Loans'!D6)/1200))</f>
        <v/>
      </c>
      <c r="O109" s="24">
        <f>IF(E109&lt;0.5,0,E109*(1+N('My Loans'!D7)/1200))</f>
        <v/>
      </c>
      <c r="P109" s="24">
        <f>IF(F109&lt;0.5,0,F109*(1+N('My Loans'!D8)/1200))</f>
        <v/>
      </c>
      <c r="Q109" s="24">
        <f>IF(G109&lt;0.5,0,G109*(1+N('My Loans'!D9)/1200))</f>
        <v/>
      </c>
      <c r="R109" s="24">
        <f>IF(H109&lt;0.5,0,H109*(1+N('My Loans'!D10)/1200))</f>
        <v/>
      </c>
      <c r="S109" s="24">
        <f>IF(I109&lt;0.5,0,I109*(1+N('My Loans'!D11)/1200))</f>
        <v/>
      </c>
      <c r="T109" s="24">
        <f>IF(J109&lt;0.5,0,J109*(1+N('My Loans'!D12)/1200))</f>
        <v/>
      </c>
      <c r="U109" s="24">
        <f>IF(K109&lt;0.5,0,K109*(1+N('My Loans'!D13)/1200))</f>
        <v/>
      </c>
      <c r="V109" s="24">
        <f>IF(L109&lt;0.5,0,L109*(1+N('My Loans'!D14)/1200))</f>
        <v/>
      </c>
      <c r="W109" s="24">
        <f>IF(M109&lt;0.5,0,M109*(1+N('My Loans'!D15)/1200))</f>
        <v/>
      </c>
      <c r="X109" s="24">
        <f>MIN(N109,N('My Loans'!E6))</f>
        <v/>
      </c>
      <c r="Y109" s="24">
        <f>MIN(O109,N('My Loans'!E7))</f>
        <v/>
      </c>
      <c r="Z109" s="24">
        <f>MIN(P109,N('My Loans'!E8))</f>
        <v/>
      </c>
      <c r="AA109" s="24">
        <f>MIN(Q109,N('My Loans'!E9))</f>
        <v/>
      </c>
      <c r="AB109" s="24">
        <f>MIN(R109,N('My Loans'!E10))</f>
        <v/>
      </c>
      <c r="AC109" s="24">
        <f>MIN(S109,N('My Loans'!E11))</f>
        <v/>
      </c>
      <c r="AD109" s="24">
        <f>MIN(T109,N('My Loans'!E12))</f>
        <v/>
      </c>
      <c r="AE109" s="24">
        <f>MIN(U109,N('My Loans'!E13))</f>
        <v/>
      </c>
      <c r="AF109" s="24">
        <f>MIN(V109,N('My Loans'!E14))</f>
        <v/>
      </c>
      <c r="AG109" s="24">
        <f>MIN(W109,N('My Loans'!E15))</f>
        <v/>
      </c>
      <c r="AH109" s="24">
        <f>MIN(N109-X109,MAX(0,$C109-SUMPRODUCT(($D$3:$M$3&lt;D$3)*($N109:$W109-$X109:$AG109))))</f>
        <v/>
      </c>
      <c r="AI109" s="24">
        <f>MIN(O109-Y109,MAX(0,$C109-SUMPRODUCT(($D$3:$M$3&lt;E$3)*($N109:$W109-$X109:$AG109))))</f>
        <v/>
      </c>
      <c r="AJ109" s="24">
        <f>MIN(P109-Z109,MAX(0,$C109-SUMPRODUCT(($D$3:$M$3&lt;F$3)*($N109:$W109-$X109:$AG109))))</f>
        <v/>
      </c>
      <c r="AK109" s="24">
        <f>MIN(Q109-AA109,MAX(0,$C109-SUMPRODUCT(($D$3:$M$3&lt;G$3)*($N109:$W109-$X109:$AG109))))</f>
        <v/>
      </c>
      <c r="AL109" s="24">
        <f>MIN(R109-AB109,MAX(0,$C109-SUMPRODUCT(($D$3:$M$3&lt;H$3)*($N109:$W109-$X109:$AG109))))</f>
        <v/>
      </c>
      <c r="AM109" s="24">
        <f>MIN(S109-AC109,MAX(0,$C109-SUMPRODUCT(($D$3:$M$3&lt;I$3)*($N109:$W109-$X109:$AG109))))</f>
        <v/>
      </c>
      <c r="AN109" s="24">
        <f>MIN(T109-AD109,MAX(0,$C109-SUMPRODUCT(($D$3:$M$3&lt;J$3)*($N109:$W109-$X109:$AG109))))</f>
        <v/>
      </c>
      <c r="AO109" s="24">
        <f>MIN(U109-AE109,MAX(0,$C109-SUMPRODUCT(($D$3:$M$3&lt;K$3)*($N109:$W109-$X109:$AG109))))</f>
        <v/>
      </c>
      <c r="AP109" s="24">
        <f>MIN(V109-AF109,MAX(0,$C109-SUMPRODUCT(($D$3:$M$3&lt;L$3)*($N109:$W109-$X109:$AG109))))</f>
        <v/>
      </c>
      <c r="AQ109" s="24">
        <f>MIN(W109-AG109,MAX(0,$C109-SUMPRODUCT(($D$3:$M$3&lt;M$3)*($N109:$W109-$X109:$AG109))))</f>
        <v/>
      </c>
      <c r="AR109" s="24">
        <f>ROUND(N109-X109-AH109,2)</f>
        <v/>
      </c>
      <c r="AS109" s="24">
        <f>ROUND(O109-Y109-AI109,2)</f>
        <v/>
      </c>
      <c r="AT109" s="24">
        <f>ROUND(P109-Z109-AJ109,2)</f>
        <v/>
      </c>
      <c r="AU109" s="24">
        <f>ROUND(Q109-AA109-AK109,2)</f>
        <v/>
      </c>
      <c r="AV109" s="24">
        <f>ROUND(R109-AB109-AL109,2)</f>
        <v/>
      </c>
      <c r="AW109" s="24">
        <f>ROUND(S109-AC109-AM109,2)</f>
        <v/>
      </c>
      <c r="AX109" s="24">
        <f>ROUND(T109-AD109-AN109,2)</f>
        <v/>
      </c>
      <c r="AY109" s="24">
        <f>ROUND(U109-AE109-AO109,2)</f>
        <v/>
      </c>
      <c r="AZ109" s="24">
        <f>ROUND(V109-AF109-AP109,2)</f>
        <v/>
      </c>
      <c r="BA109" s="24">
        <f>ROUND(W109-AG109-AQ109,2)</f>
        <v/>
      </c>
      <c r="BB109" s="24">
        <f>SUM(AR109:BA109)</f>
        <v/>
      </c>
    </row>
    <row r="110">
      <c r="A110" t="n">
        <v>106</v>
      </c>
      <c r="B110" s="23">
        <f>EOMONTH(TODAY(),105)</f>
        <v/>
      </c>
      <c r="C110" s="24">
        <f>MAX(0,(SUM('My Loans'!$E$6:$E$15)+'My Loans'!$D$3)-SUM($X110:$AG110))</f>
        <v/>
      </c>
      <c r="D110" s="24">
        <f>MAX(0,AR109)</f>
        <v/>
      </c>
      <c r="E110" s="24">
        <f>MAX(0,AS109)</f>
        <v/>
      </c>
      <c r="F110" s="24">
        <f>MAX(0,AT109)</f>
        <v/>
      </c>
      <c r="G110" s="24">
        <f>MAX(0,AU109)</f>
        <v/>
      </c>
      <c r="H110" s="24">
        <f>MAX(0,AV109)</f>
        <v/>
      </c>
      <c r="I110" s="24">
        <f>MAX(0,AW109)</f>
        <v/>
      </c>
      <c r="J110" s="24">
        <f>MAX(0,AX109)</f>
        <v/>
      </c>
      <c r="K110" s="24">
        <f>MAX(0,AY109)</f>
        <v/>
      </c>
      <c r="L110" s="24">
        <f>MAX(0,AZ109)</f>
        <v/>
      </c>
      <c r="M110" s="24">
        <f>MAX(0,BA109)</f>
        <v/>
      </c>
      <c r="N110" s="24">
        <f>IF(D110&lt;0.5,0,D110*(1+N('My Loans'!D6)/1200))</f>
        <v/>
      </c>
      <c r="O110" s="24">
        <f>IF(E110&lt;0.5,0,E110*(1+N('My Loans'!D7)/1200))</f>
        <v/>
      </c>
      <c r="P110" s="24">
        <f>IF(F110&lt;0.5,0,F110*(1+N('My Loans'!D8)/1200))</f>
        <v/>
      </c>
      <c r="Q110" s="24">
        <f>IF(G110&lt;0.5,0,G110*(1+N('My Loans'!D9)/1200))</f>
        <v/>
      </c>
      <c r="R110" s="24">
        <f>IF(H110&lt;0.5,0,H110*(1+N('My Loans'!D10)/1200))</f>
        <v/>
      </c>
      <c r="S110" s="24">
        <f>IF(I110&lt;0.5,0,I110*(1+N('My Loans'!D11)/1200))</f>
        <v/>
      </c>
      <c r="T110" s="24">
        <f>IF(J110&lt;0.5,0,J110*(1+N('My Loans'!D12)/1200))</f>
        <v/>
      </c>
      <c r="U110" s="24">
        <f>IF(K110&lt;0.5,0,K110*(1+N('My Loans'!D13)/1200))</f>
        <v/>
      </c>
      <c r="V110" s="24">
        <f>IF(L110&lt;0.5,0,L110*(1+N('My Loans'!D14)/1200))</f>
        <v/>
      </c>
      <c r="W110" s="24">
        <f>IF(M110&lt;0.5,0,M110*(1+N('My Loans'!D15)/1200))</f>
        <v/>
      </c>
      <c r="X110" s="24">
        <f>MIN(N110,N('My Loans'!E6))</f>
        <v/>
      </c>
      <c r="Y110" s="24">
        <f>MIN(O110,N('My Loans'!E7))</f>
        <v/>
      </c>
      <c r="Z110" s="24">
        <f>MIN(P110,N('My Loans'!E8))</f>
        <v/>
      </c>
      <c r="AA110" s="24">
        <f>MIN(Q110,N('My Loans'!E9))</f>
        <v/>
      </c>
      <c r="AB110" s="24">
        <f>MIN(R110,N('My Loans'!E10))</f>
        <v/>
      </c>
      <c r="AC110" s="24">
        <f>MIN(S110,N('My Loans'!E11))</f>
        <v/>
      </c>
      <c r="AD110" s="24">
        <f>MIN(T110,N('My Loans'!E12))</f>
        <v/>
      </c>
      <c r="AE110" s="24">
        <f>MIN(U110,N('My Loans'!E13))</f>
        <v/>
      </c>
      <c r="AF110" s="24">
        <f>MIN(V110,N('My Loans'!E14))</f>
        <v/>
      </c>
      <c r="AG110" s="24">
        <f>MIN(W110,N('My Loans'!E15))</f>
        <v/>
      </c>
      <c r="AH110" s="24">
        <f>MIN(N110-X110,MAX(0,$C110-SUMPRODUCT(($D$3:$M$3&lt;D$3)*($N110:$W110-$X110:$AG110))))</f>
        <v/>
      </c>
      <c r="AI110" s="24">
        <f>MIN(O110-Y110,MAX(0,$C110-SUMPRODUCT(($D$3:$M$3&lt;E$3)*($N110:$W110-$X110:$AG110))))</f>
        <v/>
      </c>
      <c r="AJ110" s="24">
        <f>MIN(P110-Z110,MAX(0,$C110-SUMPRODUCT(($D$3:$M$3&lt;F$3)*($N110:$W110-$X110:$AG110))))</f>
        <v/>
      </c>
      <c r="AK110" s="24">
        <f>MIN(Q110-AA110,MAX(0,$C110-SUMPRODUCT(($D$3:$M$3&lt;G$3)*($N110:$W110-$X110:$AG110))))</f>
        <v/>
      </c>
      <c r="AL110" s="24">
        <f>MIN(R110-AB110,MAX(0,$C110-SUMPRODUCT(($D$3:$M$3&lt;H$3)*($N110:$W110-$X110:$AG110))))</f>
        <v/>
      </c>
      <c r="AM110" s="24">
        <f>MIN(S110-AC110,MAX(0,$C110-SUMPRODUCT(($D$3:$M$3&lt;I$3)*($N110:$W110-$X110:$AG110))))</f>
        <v/>
      </c>
      <c r="AN110" s="24">
        <f>MIN(T110-AD110,MAX(0,$C110-SUMPRODUCT(($D$3:$M$3&lt;J$3)*($N110:$W110-$X110:$AG110))))</f>
        <v/>
      </c>
      <c r="AO110" s="24">
        <f>MIN(U110-AE110,MAX(0,$C110-SUMPRODUCT(($D$3:$M$3&lt;K$3)*($N110:$W110-$X110:$AG110))))</f>
        <v/>
      </c>
      <c r="AP110" s="24">
        <f>MIN(V110-AF110,MAX(0,$C110-SUMPRODUCT(($D$3:$M$3&lt;L$3)*($N110:$W110-$X110:$AG110))))</f>
        <v/>
      </c>
      <c r="AQ110" s="24">
        <f>MIN(W110-AG110,MAX(0,$C110-SUMPRODUCT(($D$3:$M$3&lt;M$3)*($N110:$W110-$X110:$AG110))))</f>
        <v/>
      </c>
      <c r="AR110" s="24">
        <f>ROUND(N110-X110-AH110,2)</f>
        <v/>
      </c>
      <c r="AS110" s="24">
        <f>ROUND(O110-Y110-AI110,2)</f>
        <v/>
      </c>
      <c r="AT110" s="24">
        <f>ROUND(P110-Z110-AJ110,2)</f>
        <v/>
      </c>
      <c r="AU110" s="24">
        <f>ROUND(Q110-AA110-AK110,2)</f>
        <v/>
      </c>
      <c r="AV110" s="24">
        <f>ROUND(R110-AB110-AL110,2)</f>
        <v/>
      </c>
      <c r="AW110" s="24">
        <f>ROUND(S110-AC110-AM110,2)</f>
        <v/>
      </c>
      <c r="AX110" s="24">
        <f>ROUND(T110-AD110-AN110,2)</f>
        <v/>
      </c>
      <c r="AY110" s="24">
        <f>ROUND(U110-AE110-AO110,2)</f>
        <v/>
      </c>
      <c r="AZ110" s="24">
        <f>ROUND(V110-AF110-AP110,2)</f>
        <v/>
      </c>
      <c r="BA110" s="24">
        <f>ROUND(W110-AG110-AQ110,2)</f>
        <v/>
      </c>
      <c r="BB110" s="24">
        <f>SUM(AR110:BA110)</f>
        <v/>
      </c>
    </row>
    <row r="111">
      <c r="A111" t="n">
        <v>107</v>
      </c>
      <c r="B111" s="23">
        <f>EOMONTH(TODAY(),106)</f>
        <v/>
      </c>
      <c r="C111" s="24">
        <f>MAX(0,(SUM('My Loans'!$E$6:$E$15)+'My Loans'!$D$3)-SUM($X111:$AG111))</f>
        <v/>
      </c>
      <c r="D111" s="24">
        <f>MAX(0,AR110)</f>
        <v/>
      </c>
      <c r="E111" s="24">
        <f>MAX(0,AS110)</f>
        <v/>
      </c>
      <c r="F111" s="24">
        <f>MAX(0,AT110)</f>
        <v/>
      </c>
      <c r="G111" s="24">
        <f>MAX(0,AU110)</f>
        <v/>
      </c>
      <c r="H111" s="24">
        <f>MAX(0,AV110)</f>
        <v/>
      </c>
      <c r="I111" s="24">
        <f>MAX(0,AW110)</f>
        <v/>
      </c>
      <c r="J111" s="24">
        <f>MAX(0,AX110)</f>
        <v/>
      </c>
      <c r="K111" s="24">
        <f>MAX(0,AY110)</f>
        <v/>
      </c>
      <c r="L111" s="24">
        <f>MAX(0,AZ110)</f>
        <v/>
      </c>
      <c r="M111" s="24">
        <f>MAX(0,BA110)</f>
        <v/>
      </c>
      <c r="N111" s="24">
        <f>IF(D111&lt;0.5,0,D111*(1+N('My Loans'!D6)/1200))</f>
        <v/>
      </c>
      <c r="O111" s="24">
        <f>IF(E111&lt;0.5,0,E111*(1+N('My Loans'!D7)/1200))</f>
        <v/>
      </c>
      <c r="P111" s="24">
        <f>IF(F111&lt;0.5,0,F111*(1+N('My Loans'!D8)/1200))</f>
        <v/>
      </c>
      <c r="Q111" s="24">
        <f>IF(G111&lt;0.5,0,G111*(1+N('My Loans'!D9)/1200))</f>
        <v/>
      </c>
      <c r="R111" s="24">
        <f>IF(H111&lt;0.5,0,H111*(1+N('My Loans'!D10)/1200))</f>
        <v/>
      </c>
      <c r="S111" s="24">
        <f>IF(I111&lt;0.5,0,I111*(1+N('My Loans'!D11)/1200))</f>
        <v/>
      </c>
      <c r="T111" s="24">
        <f>IF(J111&lt;0.5,0,J111*(1+N('My Loans'!D12)/1200))</f>
        <v/>
      </c>
      <c r="U111" s="24">
        <f>IF(K111&lt;0.5,0,K111*(1+N('My Loans'!D13)/1200))</f>
        <v/>
      </c>
      <c r="V111" s="24">
        <f>IF(L111&lt;0.5,0,L111*(1+N('My Loans'!D14)/1200))</f>
        <v/>
      </c>
      <c r="W111" s="24">
        <f>IF(M111&lt;0.5,0,M111*(1+N('My Loans'!D15)/1200))</f>
        <v/>
      </c>
      <c r="X111" s="24">
        <f>MIN(N111,N('My Loans'!E6))</f>
        <v/>
      </c>
      <c r="Y111" s="24">
        <f>MIN(O111,N('My Loans'!E7))</f>
        <v/>
      </c>
      <c r="Z111" s="24">
        <f>MIN(P111,N('My Loans'!E8))</f>
        <v/>
      </c>
      <c r="AA111" s="24">
        <f>MIN(Q111,N('My Loans'!E9))</f>
        <v/>
      </c>
      <c r="AB111" s="24">
        <f>MIN(R111,N('My Loans'!E10))</f>
        <v/>
      </c>
      <c r="AC111" s="24">
        <f>MIN(S111,N('My Loans'!E11))</f>
        <v/>
      </c>
      <c r="AD111" s="24">
        <f>MIN(T111,N('My Loans'!E12))</f>
        <v/>
      </c>
      <c r="AE111" s="24">
        <f>MIN(U111,N('My Loans'!E13))</f>
        <v/>
      </c>
      <c r="AF111" s="24">
        <f>MIN(V111,N('My Loans'!E14))</f>
        <v/>
      </c>
      <c r="AG111" s="24">
        <f>MIN(W111,N('My Loans'!E15))</f>
        <v/>
      </c>
      <c r="AH111" s="24">
        <f>MIN(N111-X111,MAX(0,$C111-SUMPRODUCT(($D$3:$M$3&lt;D$3)*($N111:$W111-$X111:$AG111))))</f>
        <v/>
      </c>
      <c r="AI111" s="24">
        <f>MIN(O111-Y111,MAX(0,$C111-SUMPRODUCT(($D$3:$M$3&lt;E$3)*($N111:$W111-$X111:$AG111))))</f>
        <v/>
      </c>
      <c r="AJ111" s="24">
        <f>MIN(P111-Z111,MAX(0,$C111-SUMPRODUCT(($D$3:$M$3&lt;F$3)*($N111:$W111-$X111:$AG111))))</f>
        <v/>
      </c>
      <c r="AK111" s="24">
        <f>MIN(Q111-AA111,MAX(0,$C111-SUMPRODUCT(($D$3:$M$3&lt;G$3)*($N111:$W111-$X111:$AG111))))</f>
        <v/>
      </c>
      <c r="AL111" s="24">
        <f>MIN(R111-AB111,MAX(0,$C111-SUMPRODUCT(($D$3:$M$3&lt;H$3)*($N111:$W111-$X111:$AG111))))</f>
        <v/>
      </c>
      <c r="AM111" s="24">
        <f>MIN(S111-AC111,MAX(0,$C111-SUMPRODUCT(($D$3:$M$3&lt;I$3)*($N111:$W111-$X111:$AG111))))</f>
        <v/>
      </c>
      <c r="AN111" s="24">
        <f>MIN(T111-AD111,MAX(0,$C111-SUMPRODUCT(($D$3:$M$3&lt;J$3)*($N111:$W111-$X111:$AG111))))</f>
        <v/>
      </c>
      <c r="AO111" s="24">
        <f>MIN(U111-AE111,MAX(0,$C111-SUMPRODUCT(($D$3:$M$3&lt;K$3)*($N111:$W111-$X111:$AG111))))</f>
        <v/>
      </c>
      <c r="AP111" s="24">
        <f>MIN(V111-AF111,MAX(0,$C111-SUMPRODUCT(($D$3:$M$3&lt;L$3)*($N111:$W111-$X111:$AG111))))</f>
        <v/>
      </c>
      <c r="AQ111" s="24">
        <f>MIN(W111-AG111,MAX(0,$C111-SUMPRODUCT(($D$3:$M$3&lt;M$3)*($N111:$W111-$X111:$AG111))))</f>
        <v/>
      </c>
      <c r="AR111" s="24">
        <f>ROUND(N111-X111-AH111,2)</f>
        <v/>
      </c>
      <c r="AS111" s="24">
        <f>ROUND(O111-Y111-AI111,2)</f>
        <v/>
      </c>
      <c r="AT111" s="24">
        <f>ROUND(P111-Z111-AJ111,2)</f>
        <v/>
      </c>
      <c r="AU111" s="24">
        <f>ROUND(Q111-AA111-AK111,2)</f>
        <v/>
      </c>
      <c r="AV111" s="24">
        <f>ROUND(R111-AB111-AL111,2)</f>
        <v/>
      </c>
      <c r="AW111" s="24">
        <f>ROUND(S111-AC111-AM111,2)</f>
        <v/>
      </c>
      <c r="AX111" s="24">
        <f>ROUND(T111-AD111-AN111,2)</f>
        <v/>
      </c>
      <c r="AY111" s="24">
        <f>ROUND(U111-AE111-AO111,2)</f>
        <v/>
      </c>
      <c r="AZ111" s="24">
        <f>ROUND(V111-AF111-AP111,2)</f>
        <v/>
      </c>
      <c r="BA111" s="24">
        <f>ROUND(W111-AG111-AQ111,2)</f>
        <v/>
      </c>
      <c r="BB111" s="24">
        <f>SUM(AR111:BA111)</f>
        <v/>
      </c>
    </row>
    <row r="112">
      <c r="A112" t="n">
        <v>108</v>
      </c>
      <c r="B112" s="23">
        <f>EOMONTH(TODAY(),107)</f>
        <v/>
      </c>
      <c r="C112" s="24">
        <f>MAX(0,(SUM('My Loans'!$E$6:$E$15)+'My Loans'!$D$3)-SUM($X112:$AG112))</f>
        <v/>
      </c>
      <c r="D112" s="24">
        <f>MAX(0,AR111)</f>
        <v/>
      </c>
      <c r="E112" s="24">
        <f>MAX(0,AS111)</f>
        <v/>
      </c>
      <c r="F112" s="24">
        <f>MAX(0,AT111)</f>
        <v/>
      </c>
      <c r="G112" s="24">
        <f>MAX(0,AU111)</f>
        <v/>
      </c>
      <c r="H112" s="24">
        <f>MAX(0,AV111)</f>
        <v/>
      </c>
      <c r="I112" s="24">
        <f>MAX(0,AW111)</f>
        <v/>
      </c>
      <c r="J112" s="24">
        <f>MAX(0,AX111)</f>
        <v/>
      </c>
      <c r="K112" s="24">
        <f>MAX(0,AY111)</f>
        <v/>
      </c>
      <c r="L112" s="24">
        <f>MAX(0,AZ111)</f>
        <v/>
      </c>
      <c r="M112" s="24">
        <f>MAX(0,BA111)</f>
        <v/>
      </c>
      <c r="N112" s="24">
        <f>IF(D112&lt;0.5,0,D112*(1+N('My Loans'!D6)/1200))</f>
        <v/>
      </c>
      <c r="O112" s="24">
        <f>IF(E112&lt;0.5,0,E112*(1+N('My Loans'!D7)/1200))</f>
        <v/>
      </c>
      <c r="P112" s="24">
        <f>IF(F112&lt;0.5,0,F112*(1+N('My Loans'!D8)/1200))</f>
        <v/>
      </c>
      <c r="Q112" s="24">
        <f>IF(G112&lt;0.5,0,G112*(1+N('My Loans'!D9)/1200))</f>
        <v/>
      </c>
      <c r="R112" s="24">
        <f>IF(H112&lt;0.5,0,H112*(1+N('My Loans'!D10)/1200))</f>
        <v/>
      </c>
      <c r="S112" s="24">
        <f>IF(I112&lt;0.5,0,I112*(1+N('My Loans'!D11)/1200))</f>
        <v/>
      </c>
      <c r="T112" s="24">
        <f>IF(J112&lt;0.5,0,J112*(1+N('My Loans'!D12)/1200))</f>
        <v/>
      </c>
      <c r="U112" s="24">
        <f>IF(K112&lt;0.5,0,K112*(1+N('My Loans'!D13)/1200))</f>
        <v/>
      </c>
      <c r="V112" s="24">
        <f>IF(L112&lt;0.5,0,L112*(1+N('My Loans'!D14)/1200))</f>
        <v/>
      </c>
      <c r="W112" s="24">
        <f>IF(M112&lt;0.5,0,M112*(1+N('My Loans'!D15)/1200))</f>
        <v/>
      </c>
      <c r="X112" s="24">
        <f>MIN(N112,N('My Loans'!E6))</f>
        <v/>
      </c>
      <c r="Y112" s="24">
        <f>MIN(O112,N('My Loans'!E7))</f>
        <v/>
      </c>
      <c r="Z112" s="24">
        <f>MIN(P112,N('My Loans'!E8))</f>
        <v/>
      </c>
      <c r="AA112" s="24">
        <f>MIN(Q112,N('My Loans'!E9))</f>
        <v/>
      </c>
      <c r="AB112" s="24">
        <f>MIN(R112,N('My Loans'!E10))</f>
        <v/>
      </c>
      <c r="AC112" s="24">
        <f>MIN(S112,N('My Loans'!E11))</f>
        <v/>
      </c>
      <c r="AD112" s="24">
        <f>MIN(T112,N('My Loans'!E12))</f>
        <v/>
      </c>
      <c r="AE112" s="24">
        <f>MIN(U112,N('My Loans'!E13))</f>
        <v/>
      </c>
      <c r="AF112" s="24">
        <f>MIN(V112,N('My Loans'!E14))</f>
        <v/>
      </c>
      <c r="AG112" s="24">
        <f>MIN(W112,N('My Loans'!E15))</f>
        <v/>
      </c>
      <c r="AH112" s="24">
        <f>MIN(N112-X112,MAX(0,$C112-SUMPRODUCT(($D$3:$M$3&lt;D$3)*($N112:$W112-$X112:$AG112))))</f>
        <v/>
      </c>
      <c r="AI112" s="24">
        <f>MIN(O112-Y112,MAX(0,$C112-SUMPRODUCT(($D$3:$M$3&lt;E$3)*($N112:$W112-$X112:$AG112))))</f>
        <v/>
      </c>
      <c r="AJ112" s="24">
        <f>MIN(P112-Z112,MAX(0,$C112-SUMPRODUCT(($D$3:$M$3&lt;F$3)*($N112:$W112-$X112:$AG112))))</f>
        <v/>
      </c>
      <c r="AK112" s="24">
        <f>MIN(Q112-AA112,MAX(0,$C112-SUMPRODUCT(($D$3:$M$3&lt;G$3)*($N112:$W112-$X112:$AG112))))</f>
        <v/>
      </c>
      <c r="AL112" s="24">
        <f>MIN(R112-AB112,MAX(0,$C112-SUMPRODUCT(($D$3:$M$3&lt;H$3)*($N112:$W112-$X112:$AG112))))</f>
        <v/>
      </c>
      <c r="AM112" s="24">
        <f>MIN(S112-AC112,MAX(0,$C112-SUMPRODUCT(($D$3:$M$3&lt;I$3)*($N112:$W112-$X112:$AG112))))</f>
        <v/>
      </c>
      <c r="AN112" s="24">
        <f>MIN(T112-AD112,MAX(0,$C112-SUMPRODUCT(($D$3:$M$3&lt;J$3)*($N112:$W112-$X112:$AG112))))</f>
        <v/>
      </c>
      <c r="AO112" s="24">
        <f>MIN(U112-AE112,MAX(0,$C112-SUMPRODUCT(($D$3:$M$3&lt;K$3)*($N112:$W112-$X112:$AG112))))</f>
        <v/>
      </c>
      <c r="AP112" s="24">
        <f>MIN(V112-AF112,MAX(0,$C112-SUMPRODUCT(($D$3:$M$3&lt;L$3)*($N112:$W112-$X112:$AG112))))</f>
        <v/>
      </c>
      <c r="AQ112" s="24">
        <f>MIN(W112-AG112,MAX(0,$C112-SUMPRODUCT(($D$3:$M$3&lt;M$3)*($N112:$W112-$X112:$AG112))))</f>
        <v/>
      </c>
      <c r="AR112" s="24">
        <f>ROUND(N112-X112-AH112,2)</f>
        <v/>
      </c>
      <c r="AS112" s="24">
        <f>ROUND(O112-Y112-AI112,2)</f>
        <v/>
      </c>
      <c r="AT112" s="24">
        <f>ROUND(P112-Z112-AJ112,2)</f>
        <v/>
      </c>
      <c r="AU112" s="24">
        <f>ROUND(Q112-AA112-AK112,2)</f>
        <v/>
      </c>
      <c r="AV112" s="24">
        <f>ROUND(R112-AB112-AL112,2)</f>
        <v/>
      </c>
      <c r="AW112" s="24">
        <f>ROUND(S112-AC112-AM112,2)</f>
        <v/>
      </c>
      <c r="AX112" s="24">
        <f>ROUND(T112-AD112-AN112,2)</f>
        <v/>
      </c>
      <c r="AY112" s="24">
        <f>ROUND(U112-AE112-AO112,2)</f>
        <v/>
      </c>
      <c r="AZ112" s="24">
        <f>ROUND(V112-AF112-AP112,2)</f>
        <v/>
      </c>
      <c r="BA112" s="24">
        <f>ROUND(W112-AG112-AQ112,2)</f>
        <v/>
      </c>
      <c r="BB112" s="24">
        <f>SUM(AR112:BA112)</f>
        <v/>
      </c>
    </row>
    <row r="113">
      <c r="A113" t="n">
        <v>109</v>
      </c>
      <c r="B113" s="23">
        <f>EOMONTH(TODAY(),108)</f>
        <v/>
      </c>
      <c r="C113" s="24">
        <f>MAX(0,(SUM('My Loans'!$E$6:$E$15)+'My Loans'!$D$3)-SUM($X113:$AG113))</f>
        <v/>
      </c>
      <c r="D113" s="24">
        <f>MAX(0,AR112)</f>
        <v/>
      </c>
      <c r="E113" s="24">
        <f>MAX(0,AS112)</f>
        <v/>
      </c>
      <c r="F113" s="24">
        <f>MAX(0,AT112)</f>
        <v/>
      </c>
      <c r="G113" s="24">
        <f>MAX(0,AU112)</f>
        <v/>
      </c>
      <c r="H113" s="24">
        <f>MAX(0,AV112)</f>
        <v/>
      </c>
      <c r="I113" s="24">
        <f>MAX(0,AW112)</f>
        <v/>
      </c>
      <c r="J113" s="24">
        <f>MAX(0,AX112)</f>
        <v/>
      </c>
      <c r="K113" s="24">
        <f>MAX(0,AY112)</f>
        <v/>
      </c>
      <c r="L113" s="24">
        <f>MAX(0,AZ112)</f>
        <v/>
      </c>
      <c r="M113" s="24">
        <f>MAX(0,BA112)</f>
        <v/>
      </c>
      <c r="N113" s="24">
        <f>IF(D113&lt;0.5,0,D113*(1+N('My Loans'!D6)/1200))</f>
        <v/>
      </c>
      <c r="O113" s="24">
        <f>IF(E113&lt;0.5,0,E113*(1+N('My Loans'!D7)/1200))</f>
        <v/>
      </c>
      <c r="P113" s="24">
        <f>IF(F113&lt;0.5,0,F113*(1+N('My Loans'!D8)/1200))</f>
        <v/>
      </c>
      <c r="Q113" s="24">
        <f>IF(G113&lt;0.5,0,G113*(1+N('My Loans'!D9)/1200))</f>
        <v/>
      </c>
      <c r="R113" s="24">
        <f>IF(H113&lt;0.5,0,H113*(1+N('My Loans'!D10)/1200))</f>
        <v/>
      </c>
      <c r="S113" s="24">
        <f>IF(I113&lt;0.5,0,I113*(1+N('My Loans'!D11)/1200))</f>
        <v/>
      </c>
      <c r="T113" s="24">
        <f>IF(J113&lt;0.5,0,J113*(1+N('My Loans'!D12)/1200))</f>
        <v/>
      </c>
      <c r="U113" s="24">
        <f>IF(K113&lt;0.5,0,K113*(1+N('My Loans'!D13)/1200))</f>
        <v/>
      </c>
      <c r="V113" s="24">
        <f>IF(L113&lt;0.5,0,L113*(1+N('My Loans'!D14)/1200))</f>
        <v/>
      </c>
      <c r="W113" s="24">
        <f>IF(M113&lt;0.5,0,M113*(1+N('My Loans'!D15)/1200))</f>
        <v/>
      </c>
      <c r="X113" s="24">
        <f>MIN(N113,N('My Loans'!E6))</f>
        <v/>
      </c>
      <c r="Y113" s="24">
        <f>MIN(O113,N('My Loans'!E7))</f>
        <v/>
      </c>
      <c r="Z113" s="24">
        <f>MIN(P113,N('My Loans'!E8))</f>
        <v/>
      </c>
      <c r="AA113" s="24">
        <f>MIN(Q113,N('My Loans'!E9))</f>
        <v/>
      </c>
      <c r="AB113" s="24">
        <f>MIN(R113,N('My Loans'!E10))</f>
        <v/>
      </c>
      <c r="AC113" s="24">
        <f>MIN(S113,N('My Loans'!E11))</f>
        <v/>
      </c>
      <c r="AD113" s="24">
        <f>MIN(T113,N('My Loans'!E12))</f>
        <v/>
      </c>
      <c r="AE113" s="24">
        <f>MIN(U113,N('My Loans'!E13))</f>
        <v/>
      </c>
      <c r="AF113" s="24">
        <f>MIN(V113,N('My Loans'!E14))</f>
        <v/>
      </c>
      <c r="AG113" s="24">
        <f>MIN(W113,N('My Loans'!E15))</f>
        <v/>
      </c>
      <c r="AH113" s="24">
        <f>MIN(N113-X113,MAX(0,$C113-SUMPRODUCT(($D$3:$M$3&lt;D$3)*($N113:$W113-$X113:$AG113))))</f>
        <v/>
      </c>
      <c r="AI113" s="24">
        <f>MIN(O113-Y113,MAX(0,$C113-SUMPRODUCT(($D$3:$M$3&lt;E$3)*($N113:$W113-$X113:$AG113))))</f>
        <v/>
      </c>
      <c r="AJ113" s="24">
        <f>MIN(P113-Z113,MAX(0,$C113-SUMPRODUCT(($D$3:$M$3&lt;F$3)*($N113:$W113-$X113:$AG113))))</f>
        <v/>
      </c>
      <c r="AK113" s="24">
        <f>MIN(Q113-AA113,MAX(0,$C113-SUMPRODUCT(($D$3:$M$3&lt;G$3)*($N113:$W113-$X113:$AG113))))</f>
        <v/>
      </c>
      <c r="AL113" s="24">
        <f>MIN(R113-AB113,MAX(0,$C113-SUMPRODUCT(($D$3:$M$3&lt;H$3)*($N113:$W113-$X113:$AG113))))</f>
        <v/>
      </c>
      <c r="AM113" s="24">
        <f>MIN(S113-AC113,MAX(0,$C113-SUMPRODUCT(($D$3:$M$3&lt;I$3)*($N113:$W113-$X113:$AG113))))</f>
        <v/>
      </c>
      <c r="AN113" s="24">
        <f>MIN(T113-AD113,MAX(0,$C113-SUMPRODUCT(($D$3:$M$3&lt;J$3)*($N113:$W113-$X113:$AG113))))</f>
        <v/>
      </c>
      <c r="AO113" s="24">
        <f>MIN(U113-AE113,MAX(0,$C113-SUMPRODUCT(($D$3:$M$3&lt;K$3)*($N113:$W113-$X113:$AG113))))</f>
        <v/>
      </c>
      <c r="AP113" s="24">
        <f>MIN(V113-AF113,MAX(0,$C113-SUMPRODUCT(($D$3:$M$3&lt;L$3)*($N113:$W113-$X113:$AG113))))</f>
        <v/>
      </c>
      <c r="AQ113" s="24">
        <f>MIN(W113-AG113,MAX(0,$C113-SUMPRODUCT(($D$3:$M$3&lt;M$3)*($N113:$W113-$X113:$AG113))))</f>
        <v/>
      </c>
      <c r="AR113" s="24">
        <f>ROUND(N113-X113-AH113,2)</f>
        <v/>
      </c>
      <c r="AS113" s="24">
        <f>ROUND(O113-Y113-AI113,2)</f>
        <v/>
      </c>
      <c r="AT113" s="24">
        <f>ROUND(P113-Z113-AJ113,2)</f>
        <v/>
      </c>
      <c r="AU113" s="24">
        <f>ROUND(Q113-AA113-AK113,2)</f>
        <v/>
      </c>
      <c r="AV113" s="24">
        <f>ROUND(R113-AB113-AL113,2)</f>
        <v/>
      </c>
      <c r="AW113" s="24">
        <f>ROUND(S113-AC113-AM113,2)</f>
        <v/>
      </c>
      <c r="AX113" s="24">
        <f>ROUND(T113-AD113-AN113,2)</f>
        <v/>
      </c>
      <c r="AY113" s="24">
        <f>ROUND(U113-AE113-AO113,2)</f>
        <v/>
      </c>
      <c r="AZ113" s="24">
        <f>ROUND(V113-AF113-AP113,2)</f>
        <v/>
      </c>
      <c r="BA113" s="24">
        <f>ROUND(W113-AG113-AQ113,2)</f>
        <v/>
      </c>
      <c r="BB113" s="24">
        <f>SUM(AR113:BA113)</f>
        <v/>
      </c>
    </row>
    <row r="114">
      <c r="A114" t="n">
        <v>110</v>
      </c>
      <c r="B114" s="23">
        <f>EOMONTH(TODAY(),109)</f>
        <v/>
      </c>
      <c r="C114" s="24">
        <f>MAX(0,(SUM('My Loans'!$E$6:$E$15)+'My Loans'!$D$3)-SUM($X114:$AG114))</f>
        <v/>
      </c>
      <c r="D114" s="24">
        <f>MAX(0,AR113)</f>
        <v/>
      </c>
      <c r="E114" s="24">
        <f>MAX(0,AS113)</f>
        <v/>
      </c>
      <c r="F114" s="24">
        <f>MAX(0,AT113)</f>
        <v/>
      </c>
      <c r="G114" s="24">
        <f>MAX(0,AU113)</f>
        <v/>
      </c>
      <c r="H114" s="24">
        <f>MAX(0,AV113)</f>
        <v/>
      </c>
      <c r="I114" s="24">
        <f>MAX(0,AW113)</f>
        <v/>
      </c>
      <c r="J114" s="24">
        <f>MAX(0,AX113)</f>
        <v/>
      </c>
      <c r="K114" s="24">
        <f>MAX(0,AY113)</f>
        <v/>
      </c>
      <c r="L114" s="24">
        <f>MAX(0,AZ113)</f>
        <v/>
      </c>
      <c r="M114" s="24">
        <f>MAX(0,BA113)</f>
        <v/>
      </c>
      <c r="N114" s="24">
        <f>IF(D114&lt;0.5,0,D114*(1+N('My Loans'!D6)/1200))</f>
        <v/>
      </c>
      <c r="O114" s="24">
        <f>IF(E114&lt;0.5,0,E114*(1+N('My Loans'!D7)/1200))</f>
        <v/>
      </c>
      <c r="P114" s="24">
        <f>IF(F114&lt;0.5,0,F114*(1+N('My Loans'!D8)/1200))</f>
        <v/>
      </c>
      <c r="Q114" s="24">
        <f>IF(G114&lt;0.5,0,G114*(1+N('My Loans'!D9)/1200))</f>
        <v/>
      </c>
      <c r="R114" s="24">
        <f>IF(H114&lt;0.5,0,H114*(1+N('My Loans'!D10)/1200))</f>
        <v/>
      </c>
      <c r="S114" s="24">
        <f>IF(I114&lt;0.5,0,I114*(1+N('My Loans'!D11)/1200))</f>
        <v/>
      </c>
      <c r="T114" s="24">
        <f>IF(J114&lt;0.5,0,J114*(1+N('My Loans'!D12)/1200))</f>
        <v/>
      </c>
      <c r="U114" s="24">
        <f>IF(K114&lt;0.5,0,K114*(1+N('My Loans'!D13)/1200))</f>
        <v/>
      </c>
      <c r="V114" s="24">
        <f>IF(L114&lt;0.5,0,L114*(1+N('My Loans'!D14)/1200))</f>
        <v/>
      </c>
      <c r="W114" s="24">
        <f>IF(M114&lt;0.5,0,M114*(1+N('My Loans'!D15)/1200))</f>
        <v/>
      </c>
      <c r="X114" s="24">
        <f>MIN(N114,N('My Loans'!E6))</f>
        <v/>
      </c>
      <c r="Y114" s="24">
        <f>MIN(O114,N('My Loans'!E7))</f>
        <v/>
      </c>
      <c r="Z114" s="24">
        <f>MIN(P114,N('My Loans'!E8))</f>
        <v/>
      </c>
      <c r="AA114" s="24">
        <f>MIN(Q114,N('My Loans'!E9))</f>
        <v/>
      </c>
      <c r="AB114" s="24">
        <f>MIN(R114,N('My Loans'!E10))</f>
        <v/>
      </c>
      <c r="AC114" s="24">
        <f>MIN(S114,N('My Loans'!E11))</f>
        <v/>
      </c>
      <c r="AD114" s="24">
        <f>MIN(T114,N('My Loans'!E12))</f>
        <v/>
      </c>
      <c r="AE114" s="24">
        <f>MIN(U114,N('My Loans'!E13))</f>
        <v/>
      </c>
      <c r="AF114" s="24">
        <f>MIN(V114,N('My Loans'!E14))</f>
        <v/>
      </c>
      <c r="AG114" s="24">
        <f>MIN(W114,N('My Loans'!E15))</f>
        <v/>
      </c>
      <c r="AH114" s="24">
        <f>MIN(N114-X114,MAX(0,$C114-SUMPRODUCT(($D$3:$M$3&lt;D$3)*($N114:$W114-$X114:$AG114))))</f>
        <v/>
      </c>
      <c r="AI114" s="24">
        <f>MIN(O114-Y114,MAX(0,$C114-SUMPRODUCT(($D$3:$M$3&lt;E$3)*($N114:$W114-$X114:$AG114))))</f>
        <v/>
      </c>
      <c r="AJ114" s="24">
        <f>MIN(P114-Z114,MAX(0,$C114-SUMPRODUCT(($D$3:$M$3&lt;F$3)*($N114:$W114-$X114:$AG114))))</f>
        <v/>
      </c>
      <c r="AK114" s="24">
        <f>MIN(Q114-AA114,MAX(0,$C114-SUMPRODUCT(($D$3:$M$3&lt;G$3)*($N114:$W114-$X114:$AG114))))</f>
        <v/>
      </c>
      <c r="AL114" s="24">
        <f>MIN(R114-AB114,MAX(0,$C114-SUMPRODUCT(($D$3:$M$3&lt;H$3)*($N114:$W114-$X114:$AG114))))</f>
        <v/>
      </c>
      <c r="AM114" s="24">
        <f>MIN(S114-AC114,MAX(0,$C114-SUMPRODUCT(($D$3:$M$3&lt;I$3)*($N114:$W114-$X114:$AG114))))</f>
        <v/>
      </c>
      <c r="AN114" s="24">
        <f>MIN(T114-AD114,MAX(0,$C114-SUMPRODUCT(($D$3:$M$3&lt;J$3)*($N114:$W114-$X114:$AG114))))</f>
        <v/>
      </c>
      <c r="AO114" s="24">
        <f>MIN(U114-AE114,MAX(0,$C114-SUMPRODUCT(($D$3:$M$3&lt;K$3)*($N114:$W114-$X114:$AG114))))</f>
        <v/>
      </c>
      <c r="AP114" s="24">
        <f>MIN(V114-AF114,MAX(0,$C114-SUMPRODUCT(($D$3:$M$3&lt;L$3)*($N114:$W114-$X114:$AG114))))</f>
        <v/>
      </c>
      <c r="AQ114" s="24">
        <f>MIN(W114-AG114,MAX(0,$C114-SUMPRODUCT(($D$3:$M$3&lt;M$3)*($N114:$W114-$X114:$AG114))))</f>
        <v/>
      </c>
      <c r="AR114" s="24">
        <f>ROUND(N114-X114-AH114,2)</f>
        <v/>
      </c>
      <c r="AS114" s="24">
        <f>ROUND(O114-Y114-AI114,2)</f>
        <v/>
      </c>
      <c r="AT114" s="24">
        <f>ROUND(P114-Z114-AJ114,2)</f>
        <v/>
      </c>
      <c r="AU114" s="24">
        <f>ROUND(Q114-AA114-AK114,2)</f>
        <v/>
      </c>
      <c r="AV114" s="24">
        <f>ROUND(R114-AB114-AL114,2)</f>
        <v/>
      </c>
      <c r="AW114" s="24">
        <f>ROUND(S114-AC114-AM114,2)</f>
        <v/>
      </c>
      <c r="AX114" s="24">
        <f>ROUND(T114-AD114-AN114,2)</f>
        <v/>
      </c>
      <c r="AY114" s="24">
        <f>ROUND(U114-AE114-AO114,2)</f>
        <v/>
      </c>
      <c r="AZ114" s="24">
        <f>ROUND(V114-AF114-AP114,2)</f>
        <v/>
      </c>
      <c r="BA114" s="24">
        <f>ROUND(W114-AG114-AQ114,2)</f>
        <v/>
      </c>
      <c r="BB114" s="24">
        <f>SUM(AR114:BA114)</f>
        <v/>
      </c>
    </row>
    <row r="115">
      <c r="A115" t="n">
        <v>111</v>
      </c>
      <c r="B115" s="23">
        <f>EOMONTH(TODAY(),110)</f>
        <v/>
      </c>
      <c r="C115" s="24">
        <f>MAX(0,(SUM('My Loans'!$E$6:$E$15)+'My Loans'!$D$3)-SUM($X115:$AG115))</f>
        <v/>
      </c>
      <c r="D115" s="24">
        <f>MAX(0,AR114)</f>
        <v/>
      </c>
      <c r="E115" s="24">
        <f>MAX(0,AS114)</f>
        <v/>
      </c>
      <c r="F115" s="24">
        <f>MAX(0,AT114)</f>
        <v/>
      </c>
      <c r="G115" s="24">
        <f>MAX(0,AU114)</f>
        <v/>
      </c>
      <c r="H115" s="24">
        <f>MAX(0,AV114)</f>
        <v/>
      </c>
      <c r="I115" s="24">
        <f>MAX(0,AW114)</f>
        <v/>
      </c>
      <c r="J115" s="24">
        <f>MAX(0,AX114)</f>
        <v/>
      </c>
      <c r="K115" s="24">
        <f>MAX(0,AY114)</f>
        <v/>
      </c>
      <c r="L115" s="24">
        <f>MAX(0,AZ114)</f>
        <v/>
      </c>
      <c r="M115" s="24">
        <f>MAX(0,BA114)</f>
        <v/>
      </c>
      <c r="N115" s="24">
        <f>IF(D115&lt;0.5,0,D115*(1+N('My Loans'!D6)/1200))</f>
        <v/>
      </c>
      <c r="O115" s="24">
        <f>IF(E115&lt;0.5,0,E115*(1+N('My Loans'!D7)/1200))</f>
        <v/>
      </c>
      <c r="P115" s="24">
        <f>IF(F115&lt;0.5,0,F115*(1+N('My Loans'!D8)/1200))</f>
        <v/>
      </c>
      <c r="Q115" s="24">
        <f>IF(G115&lt;0.5,0,G115*(1+N('My Loans'!D9)/1200))</f>
        <v/>
      </c>
      <c r="R115" s="24">
        <f>IF(H115&lt;0.5,0,H115*(1+N('My Loans'!D10)/1200))</f>
        <v/>
      </c>
      <c r="S115" s="24">
        <f>IF(I115&lt;0.5,0,I115*(1+N('My Loans'!D11)/1200))</f>
        <v/>
      </c>
      <c r="T115" s="24">
        <f>IF(J115&lt;0.5,0,J115*(1+N('My Loans'!D12)/1200))</f>
        <v/>
      </c>
      <c r="U115" s="24">
        <f>IF(K115&lt;0.5,0,K115*(1+N('My Loans'!D13)/1200))</f>
        <v/>
      </c>
      <c r="V115" s="24">
        <f>IF(L115&lt;0.5,0,L115*(1+N('My Loans'!D14)/1200))</f>
        <v/>
      </c>
      <c r="W115" s="24">
        <f>IF(M115&lt;0.5,0,M115*(1+N('My Loans'!D15)/1200))</f>
        <v/>
      </c>
      <c r="X115" s="24">
        <f>MIN(N115,N('My Loans'!E6))</f>
        <v/>
      </c>
      <c r="Y115" s="24">
        <f>MIN(O115,N('My Loans'!E7))</f>
        <v/>
      </c>
      <c r="Z115" s="24">
        <f>MIN(P115,N('My Loans'!E8))</f>
        <v/>
      </c>
      <c r="AA115" s="24">
        <f>MIN(Q115,N('My Loans'!E9))</f>
        <v/>
      </c>
      <c r="AB115" s="24">
        <f>MIN(R115,N('My Loans'!E10))</f>
        <v/>
      </c>
      <c r="AC115" s="24">
        <f>MIN(S115,N('My Loans'!E11))</f>
        <v/>
      </c>
      <c r="AD115" s="24">
        <f>MIN(T115,N('My Loans'!E12))</f>
        <v/>
      </c>
      <c r="AE115" s="24">
        <f>MIN(U115,N('My Loans'!E13))</f>
        <v/>
      </c>
      <c r="AF115" s="24">
        <f>MIN(V115,N('My Loans'!E14))</f>
        <v/>
      </c>
      <c r="AG115" s="24">
        <f>MIN(W115,N('My Loans'!E15))</f>
        <v/>
      </c>
      <c r="AH115" s="24">
        <f>MIN(N115-X115,MAX(0,$C115-SUMPRODUCT(($D$3:$M$3&lt;D$3)*($N115:$W115-$X115:$AG115))))</f>
        <v/>
      </c>
      <c r="AI115" s="24">
        <f>MIN(O115-Y115,MAX(0,$C115-SUMPRODUCT(($D$3:$M$3&lt;E$3)*($N115:$W115-$X115:$AG115))))</f>
        <v/>
      </c>
      <c r="AJ115" s="24">
        <f>MIN(P115-Z115,MAX(0,$C115-SUMPRODUCT(($D$3:$M$3&lt;F$3)*($N115:$W115-$X115:$AG115))))</f>
        <v/>
      </c>
      <c r="AK115" s="24">
        <f>MIN(Q115-AA115,MAX(0,$C115-SUMPRODUCT(($D$3:$M$3&lt;G$3)*($N115:$W115-$X115:$AG115))))</f>
        <v/>
      </c>
      <c r="AL115" s="24">
        <f>MIN(R115-AB115,MAX(0,$C115-SUMPRODUCT(($D$3:$M$3&lt;H$3)*($N115:$W115-$X115:$AG115))))</f>
        <v/>
      </c>
      <c r="AM115" s="24">
        <f>MIN(S115-AC115,MAX(0,$C115-SUMPRODUCT(($D$3:$M$3&lt;I$3)*($N115:$W115-$X115:$AG115))))</f>
        <v/>
      </c>
      <c r="AN115" s="24">
        <f>MIN(T115-AD115,MAX(0,$C115-SUMPRODUCT(($D$3:$M$3&lt;J$3)*($N115:$W115-$X115:$AG115))))</f>
        <v/>
      </c>
      <c r="AO115" s="24">
        <f>MIN(U115-AE115,MAX(0,$C115-SUMPRODUCT(($D$3:$M$3&lt;K$3)*($N115:$W115-$X115:$AG115))))</f>
        <v/>
      </c>
      <c r="AP115" s="24">
        <f>MIN(V115-AF115,MAX(0,$C115-SUMPRODUCT(($D$3:$M$3&lt;L$3)*($N115:$W115-$X115:$AG115))))</f>
        <v/>
      </c>
      <c r="AQ115" s="24">
        <f>MIN(W115-AG115,MAX(0,$C115-SUMPRODUCT(($D$3:$M$3&lt;M$3)*($N115:$W115-$X115:$AG115))))</f>
        <v/>
      </c>
      <c r="AR115" s="24">
        <f>ROUND(N115-X115-AH115,2)</f>
        <v/>
      </c>
      <c r="AS115" s="24">
        <f>ROUND(O115-Y115-AI115,2)</f>
        <v/>
      </c>
      <c r="AT115" s="24">
        <f>ROUND(P115-Z115-AJ115,2)</f>
        <v/>
      </c>
      <c r="AU115" s="24">
        <f>ROUND(Q115-AA115-AK115,2)</f>
        <v/>
      </c>
      <c r="AV115" s="24">
        <f>ROUND(R115-AB115-AL115,2)</f>
        <v/>
      </c>
      <c r="AW115" s="24">
        <f>ROUND(S115-AC115-AM115,2)</f>
        <v/>
      </c>
      <c r="AX115" s="24">
        <f>ROUND(T115-AD115-AN115,2)</f>
        <v/>
      </c>
      <c r="AY115" s="24">
        <f>ROUND(U115-AE115-AO115,2)</f>
        <v/>
      </c>
      <c r="AZ115" s="24">
        <f>ROUND(V115-AF115-AP115,2)</f>
        <v/>
      </c>
      <c r="BA115" s="24">
        <f>ROUND(W115-AG115-AQ115,2)</f>
        <v/>
      </c>
      <c r="BB115" s="24">
        <f>SUM(AR115:BA115)</f>
        <v/>
      </c>
    </row>
    <row r="116">
      <c r="A116" t="n">
        <v>112</v>
      </c>
      <c r="B116" s="23">
        <f>EOMONTH(TODAY(),111)</f>
        <v/>
      </c>
      <c r="C116" s="24">
        <f>MAX(0,(SUM('My Loans'!$E$6:$E$15)+'My Loans'!$D$3)-SUM($X116:$AG116))</f>
        <v/>
      </c>
      <c r="D116" s="24">
        <f>MAX(0,AR115)</f>
        <v/>
      </c>
      <c r="E116" s="24">
        <f>MAX(0,AS115)</f>
        <v/>
      </c>
      <c r="F116" s="24">
        <f>MAX(0,AT115)</f>
        <v/>
      </c>
      <c r="G116" s="24">
        <f>MAX(0,AU115)</f>
        <v/>
      </c>
      <c r="H116" s="24">
        <f>MAX(0,AV115)</f>
        <v/>
      </c>
      <c r="I116" s="24">
        <f>MAX(0,AW115)</f>
        <v/>
      </c>
      <c r="J116" s="24">
        <f>MAX(0,AX115)</f>
        <v/>
      </c>
      <c r="K116" s="24">
        <f>MAX(0,AY115)</f>
        <v/>
      </c>
      <c r="L116" s="24">
        <f>MAX(0,AZ115)</f>
        <v/>
      </c>
      <c r="M116" s="24">
        <f>MAX(0,BA115)</f>
        <v/>
      </c>
      <c r="N116" s="24">
        <f>IF(D116&lt;0.5,0,D116*(1+N('My Loans'!D6)/1200))</f>
        <v/>
      </c>
      <c r="O116" s="24">
        <f>IF(E116&lt;0.5,0,E116*(1+N('My Loans'!D7)/1200))</f>
        <v/>
      </c>
      <c r="P116" s="24">
        <f>IF(F116&lt;0.5,0,F116*(1+N('My Loans'!D8)/1200))</f>
        <v/>
      </c>
      <c r="Q116" s="24">
        <f>IF(G116&lt;0.5,0,G116*(1+N('My Loans'!D9)/1200))</f>
        <v/>
      </c>
      <c r="R116" s="24">
        <f>IF(H116&lt;0.5,0,H116*(1+N('My Loans'!D10)/1200))</f>
        <v/>
      </c>
      <c r="S116" s="24">
        <f>IF(I116&lt;0.5,0,I116*(1+N('My Loans'!D11)/1200))</f>
        <v/>
      </c>
      <c r="T116" s="24">
        <f>IF(J116&lt;0.5,0,J116*(1+N('My Loans'!D12)/1200))</f>
        <v/>
      </c>
      <c r="U116" s="24">
        <f>IF(K116&lt;0.5,0,K116*(1+N('My Loans'!D13)/1200))</f>
        <v/>
      </c>
      <c r="V116" s="24">
        <f>IF(L116&lt;0.5,0,L116*(1+N('My Loans'!D14)/1200))</f>
        <v/>
      </c>
      <c r="W116" s="24">
        <f>IF(M116&lt;0.5,0,M116*(1+N('My Loans'!D15)/1200))</f>
        <v/>
      </c>
      <c r="X116" s="24">
        <f>MIN(N116,N('My Loans'!E6))</f>
        <v/>
      </c>
      <c r="Y116" s="24">
        <f>MIN(O116,N('My Loans'!E7))</f>
        <v/>
      </c>
      <c r="Z116" s="24">
        <f>MIN(P116,N('My Loans'!E8))</f>
        <v/>
      </c>
      <c r="AA116" s="24">
        <f>MIN(Q116,N('My Loans'!E9))</f>
        <v/>
      </c>
      <c r="AB116" s="24">
        <f>MIN(R116,N('My Loans'!E10))</f>
        <v/>
      </c>
      <c r="AC116" s="24">
        <f>MIN(S116,N('My Loans'!E11))</f>
        <v/>
      </c>
      <c r="AD116" s="24">
        <f>MIN(T116,N('My Loans'!E12))</f>
        <v/>
      </c>
      <c r="AE116" s="24">
        <f>MIN(U116,N('My Loans'!E13))</f>
        <v/>
      </c>
      <c r="AF116" s="24">
        <f>MIN(V116,N('My Loans'!E14))</f>
        <v/>
      </c>
      <c r="AG116" s="24">
        <f>MIN(W116,N('My Loans'!E15))</f>
        <v/>
      </c>
      <c r="AH116" s="24">
        <f>MIN(N116-X116,MAX(0,$C116-SUMPRODUCT(($D$3:$M$3&lt;D$3)*($N116:$W116-$X116:$AG116))))</f>
        <v/>
      </c>
      <c r="AI116" s="24">
        <f>MIN(O116-Y116,MAX(0,$C116-SUMPRODUCT(($D$3:$M$3&lt;E$3)*($N116:$W116-$X116:$AG116))))</f>
        <v/>
      </c>
      <c r="AJ116" s="24">
        <f>MIN(P116-Z116,MAX(0,$C116-SUMPRODUCT(($D$3:$M$3&lt;F$3)*($N116:$W116-$X116:$AG116))))</f>
        <v/>
      </c>
      <c r="AK116" s="24">
        <f>MIN(Q116-AA116,MAX(0,$C116-SUMPRODUCT(($D$3:$M$3&lt;G$3)*($N116:$W116-$X116:$AG116))))</f>
        <v/>
      </c>
      <c r="AL116" s="24">
        <f>MIN(R116-AB116,MAX(0,$C116-SUMPRODUCT(($D$3:$M$3&lt;H$3)*($N116:$W116-$X116:$AG116))))</f>
        <v/>
      </c>
      <c r="AM116" s="24">
        <f>MIN(S116-AC116,MAX(0,$C116-SUMPRODUCT(($D$3:$M$3&lt;I$3)*($N116:$W116-$X116:$AG116))))</f>
        <v/>
      </c>
      <c r="AN116" s="24">
        <f>MIN(T116-AD116,MAX(0,$C116-SUMPRODUCT(($D$3:$M$3&lt;J$3)*($N116:$W116-$X116:$AG116))))</f>
        <v/>
      </c>
      <c r="AO116" s="24">
        <f>MIN(U116-AE116,MAX(0,$C116-SUMPRODUCT(($D$3:$M$3&lt;K$3)*($N116:$W116-$X116:$AG116))))</f>
        <v/>
      </c>
      <c r="AP116" s="24">
        <f>MIN(V116-AF116,MAX(0,$C116-SUMPRODUCT(($D$3:$M$3&lt;L$3)*($N116:$W116-$X116:$AG116))))</f>
        <v/>
      </c>
      <c r="AQ116" s="24">
        <f>MIN(W116-AG116,MAX(0,$C116-SUMPRODUCT(($D$3:$M$3&lt;M$3)*($N116:$W116-$X116:$AG116))))</f>
        <v/>
      </c>
      <c r="AR116" s="24">
        <f>ROUND(N116-X116-AH116,2)</f>
        <v/>
      </c>
      <c r="AS116" s="24">
        <f>ROUND(O116-Y116-AI116,2)</f>
        <v/>
      </c>
      <c r="AT116" s="24">
        <f>ROUND(P116-Z116-AJ116,2)</f>
        <v/>
      </c>
      <c r="AU116" s="24">
        <f>ROUND(Q116-AA116-AK116,2)</f>
        <v/>
      </c>
      <c r="AV116" s="24">
        <f>ROUND(R116-AB116-AL116,2)</f>
        <v/>
      </c>
      <c r="AW116" s="24">
        <f>ROUND(S116-AC116-AM116,2)</f>
        <v/>
      </c>
      <c r="AX116" s="24">
        <f>ROUND(T116-AD116-AN116,2)</f>
        <v/>
      </c>
      <c r="AY116" s="24">
        <f>ROUND(U116-AE116-AO116,2)</f>
        <v/>
      </c>
      <c r="AZ116" s="24">
        <f>ROUND(V116-AF116-AP116,2)</f>
        <v/>
      </c>
      <c r="BA116" s="24">
        <f>ROUND(W116-AG116-AQ116,2)</f>
        <v/>
      </c>
      <c r="BB116" s="24">
        <f>SUM(AR116:BA116)</f>
        <v/>
      </c>
    </row>
    <row r="117">
      <c r="A117" t="n">
        <v>113</v>
      </c>
      <c r="B117" s="23">
        <f>EOMONTH(TODAY(),112)</f>
        <v/>
      </c>
      <c r="C117" s="24">
        <f>MAX(0,(SUM('My Loans'!$E$6:$E$15)+'My Loans'!$D$3)-SUM($X117:$AG117))</f>
        <v/>
      </c>
      <c r="D117" s="24">
        <f>MAX(0,AR116)</f>
        <v/>
      </c>
      <c r="E117" s="24">
        <f>MAX(0,AS116)</f>
        <v/>
      </c>
      <c r="F117" s="24">
        <f>MAX(0,AT116)</f>
        <v/>
      </c>
      <c r="G117" s="24">
        <f>MAX(0,AU116)</f>
        <v/>
      </c>
      <c r="H117" s="24">
        <f>MAX(0,AV116)</f>
        <v/>
      </c>
      <c r="I117" s="24">
        <f>MAX(0,AW116)</f>
        <v/>
      </c>
      <c r="J117" s="24">
        <f>MAX(0,AX116)</f>
        <v/>
      </c>
      <c r="K117" s="24">
        <f>MAX(0,AY116)</f>
        <v/>
      </c>
      <c r="L117" s="24">
        <f>MAX(0,AZ116)</f>
        <v/>
      </c>
      <c r="M117" s="24">
        <f>MAX(0,BA116)</f>
        <v/>
      </c>
      <c r="N117" s="24">
        <f>IF(D117&lt;0.5,0,D117*(1+N('My Loans'!D6)/1200))</f>
        <v/>
      </c>
      <c r="O117" s="24">
        <f>IF(E117&lt;0.5,0,E117*(1+N('My Loans'!D7)/1200))</f>
        <v/>
      </c>
      <c r="P117" s="24">
        <f>IF(F117&lt;0.5,0,F117*(1+N('My Loans'!D8)/1200))</f>
        <v/>
      </c>
      <c r="Q117" s="24">
        <f>IF(G117&lt;0.5,0,G117*(1+N('My Loans'!D9)/1200))</f>
        <v/>
      </c>
      <c r="R117" s="24">
        <f>IF(H117&lt;0.5,0,H117*(1+N('My Loans'!D10)/1200))</f>
        <v/>
      </c>
      <c r="S117" s="24">
        <f>IF(I117&lt;0.5,0,I117*(1+N('My Loans'!D11)/1200))</f>
        <v/>
      </c>
      <c r="T117" s="24">
        <f>IF(J117&lt;0.5,0,J117*(1+N('My Loans'!D12)/1200))</f>
        <v/>
      </c>
      <c r="U117" s="24">
        <f>IF(K117&lt;0.5,0,K117*(1+N('My Loans'!D13)/1200))</f>
        <v/>
      </c>
      <c r="V117" s="24">
        <f>IF(L117&lt;0.5,0,L117*(1+N('My Loans'!D14)/1200))</f>
        <v/>
      </c>
      <c r="W117" s="24">
        <f>IF(M117&lt;0.5,0,M117*(1+N('My Loans'!D15)/1200))</f>
        <v/>
      </c>
      <c r="X117" s="24">
        <f>MIN(N117,N('My Loans'!E6))</f>
        <v/>
      </c>
      <c r="Y117" s="24">
        <f>MIN(O117,N('My Loans'!E7))</f>
        <v/>
      </c>
      <c r="Z117" s="24">
        <f>MIN(P117,N('My Loans'!E8))</f>
        <v/>
      </c>
      <c r="AA117" s="24">
        <f>MIN(Q117,N('My Loans'!E9))</f>
        <v/>
      </c>
      <c r="AB117" s="24">
        <f>MIN(R117,N('My Loans'!E10))</f>
        <v/>
      </c>
      <c r="AC117" s="24">
        <f>MIN(S117,N('My Loans'!E11))</f>
        <v/>
      </c>
      <c r="AD117" s="24">
        <f>MIN(T117,N('My Loans'!E12))</f>
        <v/>
      </c>
      <c r="AE117" s="24">
        <f>MIN(U117,N('My Loans'!E13))</f>
        <v/>
      </c>
      <c r="AF117" s="24">
        <f>MIN(V117,N('My Loans'!E14))</f>
        <v/>
      </c>
      <c r="AG117" s="24">
        <f>MIN(W117,N('My Loans'!E15))</f>
        <v/>
      </c>
      <c r="AH117" s="24">
        <f>MIN(N117-X117,MAX(0,$C117-SUMPRODUCT(($D$3:$M$3&lt;D$3)*($N117:$W117-$X117:$AG117))))</f>
        <v/>
      </c>
      <c r="AI117" s="24">
        <f>MIN(O117-Y117,MAX(0,$C117-SUMPRODUCT(($D$3:$M$3&lt;E$3)*($N117:$W117-$X117:$AG117))))</f>
        <v/>
      </c>
      <c r="AJ117" s="24">
        <f>MIN(P117-Z117,MAX(0,$C117-SUMPRODUCT(($D$3:$M$3&lt;F$3)*($N117:$W117-$X117:$AG117))))</f>
        <v/>
      </c>
      <c r="AK117" s="24">
        <f>MIN(Q117-AA117,MAX(0,$C117-SUMPRODUCT(($D$3:$M$3&lt;G$3)*($N117:$W117-$X117:$AG117))))</f>
        <v/>
      </c>
      <c r="AL117" s="24">
        <f>MIN(R117-AB117,MAX(0,$C117-SUMPRODUCT(($D$3:$M$3&lt;H$3)*($N117:$W117-$X117:$AG117))))</f>
        <v/>
      </c>
      <c r="AM117" s="24">
        <f>MIN(S117-AC117,MAX(0,$C117-SUMPRODUCT(($D$3:$M$3&lt;I$3)*($N117:$W117-$X117:$AG117))))</f>
        <v/>
      </c>
      <c r="AN117" s="24">
        <f>MIN(T117-AD117,MAX(0,$C117-SUMPRODUCT(($D$3:$M$3&lt;J$3)*($N117:$W117-$X117:$AG117))))</f>
        <v/>
      </c>
      <c r="AO117" s="24">
        <f>MIN(U117-AE117,MAX(0,$C117-SUMPRODUCT(($D$3:$M$3&lt;K$3)*($N117:$W117-$X117:$AG117))))</f>
        <v/>
      </c>
      <c r="AP117" s="24">
        <f>MIN(V117-AF117,MAX(0,$C117-SUMPRODUCT(($D$3:$M$3&lt;L$3)*($N117:$W117-$X117:$AG117))))</f>
        <v/>
      </c>
      <c r="AQ117" s="24">
        <f>MIN(W117-AG117,MAX(0,$C117-SUMPRODUCT(($D$3:$M$3&lt;M$3)*($N117:$W117-$X117:$AG117))))</f>
        <v/>
      </c>
      <c r="AR117" s="24">
        <f>ROUND(N117-X117-AH117,2)</f>
        <v/>
      </c>
      <c r="AS117" s="24">
        <f>ROUND(O117-Y117-AI117,2)</f>
        <v/>
      </c>
      <c r="AT117" s="24">
        <f>ROUND(P117-Z117-AJ117,2)</f>
        <v/>
      </c>
      <c r="AU117" s="24">
        <f>ROUND(Q117-AA117-AK117,2)</f>
        <v/>
      </c>
      <c r="AV117" s="24">
        <f>ROUND(R117-AB117-AL117,2)</f>
        <v/>
      </c>
      <c r="AW117" s="24">
        <f>ROUND(S117-AC117-AM117,2)</f>
        <v/>
      </c>
      <c r="AX117" s="24">
        <f>ROUND(T117-AD117-AN117,2)</f>
        <v/>
      </c>
      <c r="AY117" s="24">
        <f>ROUND(U117-AE117-AO117,2)</f>
        <v/>
      </c>
      <c r="AZ117" s="24">
        <f>ROUND(V117-AF117-AP117,2)</f>
        <v/>
      </c>
      <c r="BA117" s="24">
        <f>ROUND(W117-AG117-AQ117,2)</f>
        <v/>
      </c>
      <c r="BB117" s="24">
        <f>SUM(AR117:BA117)</f>
        <v/>
      </c>
    </row>
    <row r="118">
      <c r="A118" t="n">
        <v>114</v>
      </c>
      <c r="B118" s="23">
        <f>EOMONTH(TODAY(),113)</f>
        <v/>
      </c>
      <c r="C118" s="24">
        <f>MAX(0,(SUM('My Loans'!$E$6:$E$15)+'My Loans'!$D$3)-SUM($X118:$AG118))</f>
        <v/>
      </c>
      <c r="D118" s="24">
        <f>MAX(0,AR117)</f>
        <v/>
      </c>
      <c r="E118" s="24">
        <f>MAX(0,AS117)</f>
        <v/>
      </c>
      <c r="F118" s="24">
        <f>MAX(0,AT117)</f>
        <v/>
      </c>
      <c r="G118" s="24">
        <f>MAX(0,AU117)</f>
        <v/>
      </c>
      <c r="H118" s="24">
        <f>MAX(0,AV117)</f>
        <v/>
      </c>
      <c r="I118" s="24">
        <f>MAX(0,AW117)</f>
        <v/>
      </c>
      <c r="J118" s="24">
        <f>MAX(0,AX117)</f>
        <v/>
      </c>
      <c r="K118" s="24">
        <f>MAX(0,AY117)</f>
        <v/>
      </c>
      <c r="L118" s="24">
        <f>MAX(0,AZ117)</f>
        <v/>
      </c>
      <c r="M118" s="24">
        <f>MAX(0,BA117)</f>
        <v/>
      </c>
      <c r="N118" s="24">
        <f>IF(D118&lt;0.5,0,D118*(1+N('My Loans'!D6)/1200))</f>
        <v/>
      </c>
      <c r="O118" s="24">
        <f>IF(E118&lt;0.5,0,E118*(1+N('My Loans'!D7)/1200))</f>
        <v/>
      </c>
      <c r="P118" s="24">
        <f>IF(F118&lt;0.5,0,F118*(1+N('My Loans'!D8)/1200))</f>
        <v/>
      </c>
      <c r="Q118" s="24">
        <f>IF(G118&lt;0.5,0,G118*(1+N('My Loans'!D9)/1200))</f>
        <v/>
      </c>
      <c r="R118" s="24">
        <f>IF(H118&lt;0.5,0,H118*(1+N('My Loans'!D10)/1200))</f>
        <v/>
      </c>
      <c r="S118" s="24">
        <f>IF(I118&lt;0.5,0,I118*(1+N('My Loans'!D11)/1200))</f>
        <v/>
      </c>
      <c r="T118" s="24">
        <f>IF(J118&lt;0.5,0,J118*(1+N('My Loans'!D12)/1200))</f>
        <v/>
      </c>
      <c r="U118" s="24">
        <f>IF(K118&lt;0.5,0,K118*(1+N('My Loans'!D13)/1200))</f>
        <v/>
      </c>
      <c r="V118" s="24">
        <f>IF(L118&lt;0.5,0,L118*(1+N('My Loans'!D14)/1200))</f>
        <v/>
      </c>
      <c r="W118" s="24">
        <f>IF(M118&lt;0.5,0,M118*(1+N('My Loans'!D15)/1200))</f>
        <v/>
      </c>
      <c r="X118" s="24">
        <f>MIN(N118,N('My Loans'!E6))</f>
        <v/>
      </c>
      <c r="Y118" s="24">
        <f>MIN(O118,N('My Loans'!E7))</f>
        <v/>
      </c>
      <c r="Z118" s="24">
        <f>MIN(P118,N('My Loans'!E8))</f>
        <v/>
      </c>
      <c r="AA118" s="24">
        <f>MIN(Q118,N('My Loans'!E9))</f>
        <v/>
      </c>
      <c r="AB118" s="24">
        <f>MIN(R118,N('My Loans'!E10))</f>
        <v/>
      </c>
      <c r="AC118" s="24">
        <f>MIN(S118,N('My Loans'!E11))</f>
        <v/>
      </c>
      <c r="AD118" s="24">
        <f>MIN(T118,N('My Loans'!E12))</f>
        <v/>
      </c>
      <c r="AE118" s="24">
        <f>MIN(U118,N('My Loans'!E13))</f>
        <v/>
      </c>
      <c r="AF118" s="24">
        <f>MIN(V118,N('My Loans'!E14))</f>
        <v/>
      </c>
      <c r="AG118" s="24">
        <f>MIN(W118,N('My Loans'!E15))</f>
        <v/>
      </c>
      <c r="AH118" s="24">
        <f>MIN(N118-X118,MAX(0,$C118-SUMPRODUCT(($D$3:$M$3&lt;D$3)*($N118:$W118-$X118:$AG118))))</f>
        <v/>
      </c>
      <c r="AI118" s="24">
        <f>MIN(O118-Y118,MAX(0,$C118-SUMPRODUCT(($D$3:$M$3&lt;E$3)*($N118:$W118-$X118:$AG118))))</f>
        <v/>
      </c>
      <c r="AJ118" s="24">
        <f>MIN(P118-Z118,MAX(0,$C118-SUMPRODUCT(($D$3:$M$3&lt;F$3)*($N118:$W118-$X118:$AG118))))</f>
        <v/>
      </c>
      <c r="AK118" s="24">
        <f>MIN(Q118-AA118,MAX(0,$C118-SUMPRODUCT(($D$3:$M$3&lt;G$3)*($N118:$W118-$X118:$AG118))))</f>
        <v/>
      </c>
      <c r="AL118" s="24">
        <f>MIN(R118-AB118,MAX(0,$C118-SUMPRODUCT(($D$3:$M$3&lt;H$3)*($N118:$W118-$X118:$AG118))))</f>
        <v/>
      </c>
      <c r="AM118" s="24">
        <f>MIN(S118-AC118,MAX(0,$C118-SUMPRODUCT(($D$3:$M$3&lt;I$3)*($N118:$W118-$X118:$AG118))))</f>
        <v/>
      </c>
      <c r="AN118" s="24">
        <f>MIN(T118-AD118,MAX(0,$C118-SUMPRODUCT(($D$3:$M$3&lt;J$3)*($N118:$W118-$X118:$AG118))))</f>
        <v/>
      </c>
      <c r="AO118" s="24">
        <f>MIN(U118-AE118,MAX(0,$C118-SUMPRODUCT(($D$3:$M$3&lt;K$3)*($N118:$W118-$X118:$AG118))))</f>
        <v/>
      </c>
      <c r="AP118" s="24">
        <f>MIN(V118-AF118,MAX(0,$C118-SUMPRODUCT(($D$3:$M$3&lt;L$3)*($N118:$W118-$X118:$AG118))))</f>
        <v/>
      </c>
      <c r="AQ118" s="24">
        <f>MIN(W118-AG118,MAX(0,$C118-SUMPRODUCT(($D$3:$M$3&lt;M$3)*($N118:$W118-$X118:$AG118))))</f>
        <v/>
      </c>
      <c r="AR118" s="24">
        <f>ROUND(N118-X118-AH118,2)</f>
        <v/>
      </c>
      <c r="AS118" s="24">
        <f>ROUND(O118-Y118-AI118,2)</f>
        <v/>
      </c>
      <c r="AT118" s="24">
        <f>ROUND(P118-Z118-AJ118,2)</f>
        <v/>
      </c>
      <c r="AU118" s="24">
        <f>ROUND(Q118-AA118-AK118,2)</f>
        <v/>
      </c>
      <c r="AV118" s="24">
        <f>ROUND(R118-AB118-AL118,2)</f>
        <v/>
      </c>
      <c r="AW118" s="24">
        <f>ROUND(S118-AC118-AM118,2)</f>
        <v/>
      </c>
      <c r="AX118" s="24">
        <f>ROUND(T118-AD118-AN118,2)</f>
        <v/>
      </c>
      <c r="AY118" s="24">
        <f>ROUND(U118-AE118-AO118,2)</f>
        <v/>
      </c>
      <c r="AZ118" s="24">
        <f>ROUND(V118-AF118-AP118,2)</f>
        <v/>
      </c>
      <c r="BA118" s="24">
        <f>ROUND(W118-AG118-AQ118,2)</f>
        <v/>
      </c>
      <c r="BB118" s="24">
        <f>SUM(AR118:BA118)</f>
        <v/>
      </c>
    </row>
    <row r="119">
      <c r="A119" t="n">
        <v>115</v>
      </c>
      <c r="B119" s="23">
        <f>EOMONTH(TODAY(),114)</f>
        <v/>
      </c>
      <c r="C119" s="24">
        <f>MAX(0,(SUM('My Loans'!$E$6:$E$15)+'My Loans'!$D$3)-SUM($X119:$AG119))</f>
        <v/>
      </c>
      <c r="D119" s="24">
        <f>MAX(0,AR118)</f>
        <v/>
      </c>
      <c r="E119" s="24">
        <f>MAX(0,AS118)</f>
        <v/>
      </c>
      <c r="F119" s="24">
        <f>MAX(0,AT118)</f>
        <v/>
      </c>
      <c r="G119" s="24">
        <f>MAX(0,AU118)</f>
        <v/>
      </c>
      <c r="H119" s="24">
        <f>MAX(0,AV118)</f>
        <v/>
      </c>
      <c r="I119" s="24">
        <f>MAX(0,AW118)</f>
        <v/>
      </c>
      <c r="J119" s="24">
        <f>MAX(0,AX118)</f>
        <v/>
      </c>
      <c r="K119" s="24">
        <f>MAX(0,AY118)</f>
        <v/>
      </c>
      <c r="L119" s="24">
        <f>MAX(0,AZ118)</f>
        <v/>
      </c>
      <c r="M119" s="24">
        <f>MAX(0,BA118)</f>
        <v/>
      </c>
      <c r="N119" s="24">
        <f>IF(D119&lt;0.5,0,D119*(1+N('My Loans'!D6)/1200))</f>
        <v/>
      </c>
      <c r="O119" s="24">
        <f>IF(E119&lt;0.5,0,E119*(1+N('My Loans'!D7)/1200))</f>
        <v/>
      </c>
      <c r="P119" s="24">
        <f>IF(F119&lt;0.5,0,F119*(1+N('My Loans'!D8)/1200))</f>
        <v/>
      </c>
      <c r="Q119" s="24">
        <f>IF(G119&lt;0.5,0,G119*(1+N('My Loans'!D9)/1200))</f>
        <v/>
      </c>
      <c r="R119" s="24">
        <f>IF(H119&lt;0.5,0,H119*(1+N('My Loans'!D10)/1200))</f>
        <v/>
      </c>
      <c r="S119" s="24">
        <f>IF(I119&lt;0.5,0,I119*(1+N('My Loans'!D11)/1200))</f>
        <v/>
      </c>
      <c r="T119" s="24">
        <f>IF(J119&lt;0.5,0,J119*(1+N('My Loans'!D12)/1200))</f>
        <v/>
      </c>
      <c r="U119" s="24">
        <f>IF(K119&lt;0.5,0,K119*(1+N('My Loans'!D13)/1200))</f>
        <v/>
      </c>
      <c r="V119" s="24">
        <f>IF(L119&lt;0.5,0,L119*(1+N('My Loans'!D14)/1200))</f>
        <v/>
      </c>
      <c r="W119" s="24">
        <f>IF(M119&lt;0.5,0,M119*(1+N('My Loans'!D15)/1200))</f>
        <v/>
      </c>
      <c r="X119" s="24">
        <f>MIN(N119,N('My Loans'!E6))</f>
        <v/>
      </c>
      <c r="Y119" s="24">
        <f>MIN(O119,N('My Loans'!E7))</f>
        <v/>
      </c>
      <c r="Z119" s="24">
        <f>MIN(P119,N('My Loans'!E8))</f>
        <v/>
      </c>
      <c r="AA119" s="24">
        <f>MIN(Q119,N('My Loans'!E9))</f>
        <v/>
      </c>
      <c r="AB119" s="24">
        <f>MIN(R119,N('My Loans'!E10))</f>
        <v/>
      </c>
      <c r="AC119" s="24">
        <f>MIN(S119,N('My Loans'!E11))</f>
        <v/>
      </c>
      <c r="AD119" s="24">
        <f>MIN(T119,N('My Loans'!E12))</f>
        <v/>
      </c>
      <c r="AE119" s="24">
        <f>MIN(U119,N('My Loans'!E13))</f>
        <v/>
      </c>
      <c r="AF119" s="24">
        <f>MIN(V119,N('My Loans'!E14))</f>
        <v/>
      </c>
      <c r="AG119" s="24">
        <f>MIN(W119,N('My Loans'!E15))</f>
        <v/>
      </c>
      <c r="AH119" s="24">
        <f>MIN(N119-X119,MAX(0,$C119-SUMPRODUCT(($D$3:$M$3&lt;D$3)*($N119:$W119-$X119:$AG119))))</f>
        <v/>
      </c>
      <c r="AI119" s="24">
        <f>MIN(O119-Y119,MAX(0,$C119-SUMPRODUCT(($D$3:$M$3&lt;E$3)*($N119:$W119-$X119:$AG119))))</f>
        <v/>
      </c>
      <c r="AJ119" s="24">
        <f>MIN(P119-Z119,MAX(0,$C119-SUMPRODUCT(($D$3:$M$3&lt;F$3)*($N119:$W119-$X119:$AG119))))</f>
        <v/>
      </c>
      <c r="AK119" s="24">
        <f>MIN(Q119-AA119,MAX(0,$C119-SUMPRODUCT(($D$3:$M$3&lt;G$3)*($N119:$W119-$X119:$AG119))))</f>
        <v/>
      </c>
      <c r="AL119" s="24">
        <f>MIN(R119-AB119,MAX(0,$C119-SUMPRODUCT(($D$3:$M$3&lt;H$3)*($N119:$W119-$X119:$AG119))))</f>
        <v/>
      </c>
      <c r="AM119" s="24">
        <f>MIN(S119-AC119,MAX(0,$C119-SUMPRODUCT(($D$3:$M$3&lt;I$3)*($N119:$W119-$X119:$AG119))))</f>
        <v/>
      </c>
      <c r="AN119" s="24">
        <f>MIN(T119-AD119,MAX(0,$C119-SUMPRODUCT(($D$3:$M$3&lt;J$3)*($N119:$W119-$X119:$AG119))))</f>
        <v/>
      </c>
      <c r="AO119" s="24">
        <f>MIN(U119-AE119,MAX(0,$C119-SUMPRODUCT(($D$3:$M$3&lt;K$3)*($N119:$W119-$X119:$AG119))))</f>
        <v/>
      </c>
      <c r="AP119" s="24">
        <f>MIN(V119-AF119,MAX(0,$C119-SUMPRODUCT(($D$3:$M$3&lt;L$3)*($N119:$W119-$X119:$AG119))))</f>
        <v/>
      </c>
      <c r="AQ119" s="24">
        <f>MIN(W119-AG119,MAX(0,$C119-SUMPRODUCT(($D$3:$M$3&lt;M$3)*($N119:$W119-$X119:$AG119))))</f>
        <v/>
      </c>
      <c r="AR119" s="24">
        <f>ROUND(N119-X119-AH119,2)</f>
        <v/>
      </c>
      <c r="AS119" s="24">
        <f>ROUND(O119-Y119-AI119,2)</f>
        <v/>
      </c>
      <c r="AT119" s="24">
        <f>ROUND(P119-Z119-AJ119,2)</f>
        <v/>
      </c>
      <c r="AU119" s="24">
        <f>ROUND(Q119-AA119-AK119,2)</f>
        <v/>
      </c>
      <c r="AV119" s="24">
        <f>ROUND(R119-AB119-AL119,2)</f>
        <v/>
      </c>
      <c r="AW119" s="24">
        <f>ROUND(S119-AC119-AM119,2)</f>
        <v/>
      </c>
      <c r="AX119" s="24">
        <f>ROUND(T119-AD119-AN119,2)</f>
        <v/>
      </c>
      <c r="AY119" s="24">
        <f>ROUND(U119-AE119-AO119,2)</f>
        <v/>
      </c>
      <c r="AZ119" s="24">
        <f>ROUND(V119-AF119-AP119,2)</f>
        <v/>
      </c>
      <c r="BA119" s="24">
        <f>ROUND(W119-AG119-AQ119,2)</f>
        <v/>
      </c>
      <c r="BB119" s="24">
        <f>SUM(AR119:BA119)</f>
        <v/>
      </c>
    </row>
    <row r="120">
      <c r="A120" t="n">
        <v>116</v>
      </c>
      <c r="B120" s="23">
        <f>EOMONTH(TODAY(),115)</f>
        <v/>
      </c>
      <c r="C120" s="24">
        <f>MAX(0,(SUM('My Loans'!$E$6:$E$15)+'My Loans'!$D$3)-SUM($X120:$AG120))</f>
        <v/>
      </c>
      <c r="D120" s="24">
        <f>MAX(0,AR119)</f>
        <v/>
      </c>
      <c r="E120" s="24">
        <f>MAX(0,AS119)</f>
        <v/>
      </c>
      <c r="F120" s="24">
        <f>MAX(0,AT119)</f>
        <v/>
      </c>
      <c r="G120" s="24">
        <f>MAX(0,AU119)</f>
        <v/>
      </c>
      <c r="H120" s="24">
        <f>MAX(0,AV119)</f>
        <v/>
      </c>
      <c r="I120" s="24">
        <f>MAX(0,AW119)</f>
        <v/>
      </c>
      <c r="J120" s="24">
        <f>MAX(0,AX119)</f>
        <v/>
      </c>
      <c r="K120" s="24">
        <f>MAX(0,AY119)</f>
        <v/>
      </c>
      <c r="L120" s="24">
        <f>MAX(0,AZ119)</f>
        <v/>
      </c>
      <c r="M120" s="24">
        <f>MAX(0,BA119)</f>
        <v/>
      </c>
      <c r="N120" s="24">
        <f>IF(D120&lt;0.5,0,D120*(1+N('My Loans'!D6)/1200))</f>
        <v/>
      </c>
      <c r="O120" s="24">
        <f>IF(E120&lt;0.5,0,E120*(1+N('My Loans'!D7)/1200))</f>
        <v/>
      </c>
      <c r="P120" s="24">
        <f>IF(F120&lt;0.5,0,F120*(1+N('My Loans'!D8)/1200))</f>
        <v/>
      </c>
      <c r="Q120" s="24">
        <f>IF(G120&lt;0.5,0,G120*(1+N('My Loans'!D9)/1200))</f>
        <v/>
      </c>
      <c r="R120" s="24">
        <f>IF(H120&lt;0.5,0,H120*(1+N('My Loans'!D10)/1200))</f>
        <v/>
      </c>
      <c r="S120" s="24">
        <f>IF(I120&lt;0.5,0,I120*(1+N('My Loans'!D11)/1200))</f>
        <v/>
      </c>
      <c r="T120" s="24">
        <f>IF(J120&lt;0.5,0,J120*(1+N('My Loans'!D12)/1200))</f>
        <v/>
      </c>
      <c r="U120" s="24">
        <f>IF(K120&lt;0.5,0,K120*(1+N('My Loans'!D13)/1200))</f>
        <v/>
      </c>
      <c r="V120" s="24">
        <f>IF(L120&lt;0.5,0,L120*(1+N('My Loans'!D14)/1200))</f>
        <v/>
      </c>
      <c r="W120" s="24">
        <f>IF(M120&lt;0.5,0,M120*(1+N('My Loans'!D15)/1200))</f>
        <v/>
      </c>
      <c r="X120" s="24">
        <f>MIN(N120,N('My Loans'!E6))</f>
        <v/>
      </c>
      <c r="Y120" s="24">
        <f>MIN(O120,N('My Loans'!E7))</f>
        <v/>
      </c>
      <c r="Z120" s="24">
        <f>MIN(P120,N('My Loans'!E8))</f>
        <v/>
      </c>
      <c r="AA120" s="24">
        <f>MIN(Q120,N('My Loans'!E9))</f>
        <v/>
      </c>
      <c r="AB120" s="24">
        <f>MIN(R120,N('My Loans'!E10))</f>
        <v/>
      </c>
      <c r="AC120" s="24">
        <f>MIN(S120,N('My Loans'!E11))</f>
        <v/>
      </c>
      <c r="AD120" s="24">
        <f>MIN(T120,N('My Loans'!E12))</f>
        <v/>
      </c>
      <c r="AE120" s="24">
        <f>MIN(U120,N('My Loans'!E13))</f>
        <v/>
      </c>
      <c r="AF120" s="24">
        <f>MIN(V120,N('My Loans'!E14))</f>
        <v/>
      </c>
      <c r="AG120" s="24">
        <f>MIN(W120,N('My Loans'!E15))</f>
        <v/>
      </c>
      <c r="AH120" s="24">
        <f>MIN(N120-X120,MAX(0,$C120-SUMPRODUCT(($D$3:$M$3&lt;D$3)*($N120:$W120-$X120:$AG120))))</f>
        <v/>
      </c>
      <c r="AI120" s="24">
        <f>MIN(O120-Y120,MAX(0,$C120-SUMPRODUCT(($D$3:$M$3&lt;E$3)*($N120:$W120-$X120:$AG120))))</f>
        <v/>
      </c>
      <c r="AJ120" s="24">
        <f>MIN(P120-Z120,MAX(0,$C120-SUMPRODUCT(($D$3:$M$3&lt;F$3)*($N120:$W120-$X120:$AG120))))</f>
        <v/>
      </c>
      <c r="AK120" s="24">
        <f>MIN(Q120-AA120,MAX(0,$C120-SUMPRODUCT(($D$3:$M$3&lt;G$3)*($N120:$W120-$X120:$AG120))))</f>
        <v/>
      </c>
      <c r="AL120" s="24">
        <f>MIN(R120-AB120,MAX(0,$C120-SUMPRODUCT(($D$3:$M$3&lt;H$3)*($N120:$W120-$X120:$AG120))))</f>
        <v/>
      </c>
      <c r="AM120" s="24">
        <f>MIN(S120-AC120,MAX(0,$C120-SUMPRODUCT(($D$3:$M$3&lt;I$3)*($N120:$W120-$X120:$AG120))))</f>
        <v/>
      </c>
      <c r="AN120" s="24">
        <f>MIN(T120-AD120,MAX(0,$C120-SUMPRODUCT(($D$3:$M$3&lt;J$3)*($N120:$W120-$X120:$AG120))))</f>
        <v/>
      </c>
      <c r="AO120" s="24">
        <f>MIN(U120-AE120,MAX(0,$C120-SUMPRODUCT(($D$3:$M$3&lt;K$3)*($N120:$W120-$X120:$AG120))))</f>
        <v/>
      </c>
      <c r="AP120" s="24">
        <f>MIN(V120-AF120,MAX(0,$C120-SUMPRODUCT(($D$3:$M$3&lt;L$3)*($N120:$W120-$X120:$AG120))))</f>
        <v/>
      </c>
      <c r="AQ120" s="24">
        <f>MIN(W120-AG120,MAX(0,$C120-SUMPRODUCT(($D$3:$M$3&lt;M$3)*($N120:$W120-$X120:$AG120))))</f>
        <v/>
      </c>
      <c r="AR120" s="24">
        <f>ROUND(N120-X120-AH120,2)</f>
        <v/>
      </c>
      <c r="AS120" s="24">
        <f>ROUND(O120-Y120-AI120,2)</f>
        <v/>
      </c>
      <c r="AT120" s="24">
        <f>ROUND(P120-Z120-AJ120,2)</f>
        <v/>
      </c>
      <c r="AU120" s="24">
        <f>ROUND(Q120-AA120-AK120,2)</f>
        <v/>
      </c>
      <c r="AV120" s="24">
        <f>ROUND(R120-AB120-AL120,2)</f>
        <v/>
      </c>
      <c r="AW120" s="24">
        <f>ROUND(S120-AC120-AM120,2)</f>
        <v/>
      </c>
      <c r="AX120" s="24">
        <f>ROUND(T120-AD120-AN120,2)</f>
        <v/>
      </c>
      <c r="AY120" s="24">
        <f>ROUND(U120-AE120-AO120,2)</f>
        <v/>
      </c>
      <c r="AZ120" s="24">
        <f>ROUND(V120-AF120-AP120,2)</f>
        <v/>
      </c>
      <c r="BA120" s="24">
        <f>ROUND(W120-AG120-AQ120,2)</f>
        <v/>
      </c>
      <c r="BB120" s="24">
        <f>SUM(AR120:BA120)</f>
        <v/>
      </c>
    </row>
    <row r="121">
      <c r="A121" t="n">
        <v>117</v>
      </c>
      <c r="B121" s="23">
        <f>EOMONTH(TODAY(),116)</f>
        <v/>
      </c>
      <c r="C121" s="24">
        <f>MAX(0,(SUM('My Loans'!$E$6:$E$15)+'My Loans'!$D$3)-SUM($X121:$AG121))</f>
        <v/>
      </c>
      <c r="D121" s="24">
        <f>MAX(0,AR120)</f>
        <v/>
      </c>
      <c r="E121" s="24">
        <f>MAX(0,AS120)</f>
        <v/>
      </c>
      <c r="F121" s="24">
        <f>MAX(0,AT120)</f>
        <v/>
      </c>
      <c r="G121" s="24">
        <f>MAX(0,AU120)</f>
        <v/>
      </c>
      <c r="H121" s="24">
        <f>MAX(0,AV120)</f>
        <v/>
      </c>
      <c r="I121" s="24">
        <f>MAX(0,AW120)</f>
        <v/>
      </c>
      <c r="J121" s="24">
        <f>MAX(0,AX120)</f>
        <v/>
      </c>
      <c r="K121" s="24">
        <f>MAX(0,AY120)</f>
        <v/>
      </c>
      <c r="L121" s="24">
        <f>MAX(0,AZ120)</f>
        <v/>
      </c>
      <c r="M121" s="24">
        <f>MAX(0,BA120)</f>
        <v/>
      </c>
      <c r="N121" s="24">
        <f>IF(D121&lt;0.5,0,D121*(1+N('My Loans'!D6)/1200))</f>
        <v/>
      </c>
      <c r="O121" s="24">
        <f>IF(E121&lt;0.5,0,E121*(1+N('My Loans'!D7)/1200))</f>
        <v/>
      </c>
      <c r="P121" s="24">
        <f>IF(F121&lt;0.5,0,F121*(1+N('My Loans'!D8)/1200))</f>
        <v/>
      </c>
      <c r="Q121" s="24">
        <f>IF(G121&lt;0.5,0,G121*(1+N('My Loans'!D9)/1200))</f>
        <v/>
      </c>
      <c r="R121" s="24">
        <f>IF(H121&lt;0.5,0,H121*(1+N('My Loans'!D10)/1200))</f>
        <v/>
      </c>
      <c r="S121" s="24">
        <f>IF(I121&lt;0.5,0,I121*(1+N('My Loans'!D11)/1200))</f>
        <v/>
      </c>
      <c r="T121" s="24">
        <f>IF(J121&lt;0.5,0,J121*(1+N('My Loans'!D12)/1200))</f>
        <v/>
      </c>
      <c r="U121" s="24">
        <f>IF(K121&lt;0.5,0,K121*(1+N('My Loans'!D13)/1200))</f>
        <v/>
      </c>
      <c r="V121" s="24">
        <f>IF(L121&lt;0.5,0,L121*(1+N('My Loans'!D14)/1200))</f>
        <v/>
      </c>
      <c r="W121" s="24">
        <f>IF(M121&lt;0.5,0,M121*(1+N('My Loans'!D15)/1200))</f>
        <v/>
      </c>
      <c r="X121" s="24">
        <f>MIN(N121,N('My Loans'!E6))</f>
        <v/>
      </c>
      <c r="Y121" s="24">
        <f>MIN(O121,N('My Loans'!E7))</f>
        <v/>
      </c>
      <c r="Z121" s="24">
        <f>MIN(P121,N('My Loans'!E8))</f>
        <v/>
      </c>
      <c r="AA121" s="24">
        <f>MIN(Q121,N('My Loans'!E9))</f>
        <v/>
      </c>
      <c r="AB121" s="24">
        <f>MIN(R121,N('My Loans'!E10))</f>
        <v/>
      </c>
      <c r="AC121" s="24">
        <f>MIN(S121,N('My Loans'!E11))</f>
        <v/>
      </c>
      <c r="AD121" s="24">
        <f>MIN(T121,N('My Loans'!E12))</f>
        <v/>
      </c>
      <c r="AE121" s="24">
        <f>MIN(U121,N('My Loans'!E13))</f>
        <v/>
      </c>
      <c r="AF121" s="24">
        <f>MIN(V121,N('My Loans'!E14))</f>
        <v/>
      </c>
      <c r="AG121" s="24">
        <f>MIN(W121,N('My Loans'!E15))</f>
        <v/>
      </c>
      <c r="AH121" s="24">
        <f>MIN(N121-X121,MAX(0,$C121-SUMPRODUCT(($D$3:$M$3&lt;D$3)*($N121:$W121-$X121:$AG121))))</f>
        <v/>
      </c>
      <c r="AI121" s="24">
        <f>MIN(O121-Y121,MAX(0,$C121-SUMPRODUCT(($D$3:$M$3&lt;E$3)*($N121:$W121-$X121:$AG121))))</f>
        <v/>
      </c>
      <c r="AJ121" s="24">
        <f>MIN(P121-Z121,MAX(0,$C121-SUMPRODUCT(($D$3:$M$3&lt;F$3)*($N121:$W121-$X121:$AG121))))</f>
        <v/>
      </c>
      <c r="AK121" s="24">
        <f>MIN(Q121-AA121,MAX(0,$C121-SUMPRODUCT(($D$3:$M$3&lt;G$3)*($N121:$W121-$X121:$AG121))))</f>
        <v/>
      </c>
      <c r="AL121" s="24">
        <f>MIN(R121-AB121,MAX(0,$C121-SUMPRODUCT(($D$3:$M$3&lt;H$3)*($N121:$W121-$X121:$AG121))))</f>
        <v/>
      </c>
      <c r="AM121" s="24">
        <f>MIN(S121-AC121,MAX(0,$C121-SUMPRODUCT(($D$3:$M$3&lt;I$3)*($N121:$W121-$X121:$AG121))))</f>
        <v/>
      </c>
      <c r="AN121" s="24">
        <f>MIN(T121-AD121,MAX(0,$C121-SUMPRODUCT(($D$3:$M$3&lt;J$3)*($N121:$W121-$X121:$AG121))))</f>
        <v/>
      </c>
      <c r="AO121" s="24">
        <f>MIN(U121-AE121,MAX(0,$C121-SUMPRODUCT(($D$3:$M$3&lt;K$3)*($N121:$W121-$X121:$AG121))))</f>
        <v/>
      </c>
      <c r="AP121" s="24">
        <f>MIN(V121-AF121,MAX(0,$C121-SUMPRODUCT(($D$3:$M$3&lt;L$3)*($N121:$W121-$X121:$AG121))))</f>
        <v/>
      </c>
      <c r="AQ121" s="24">
        <f>MIN(W121-AG121,MAX(0,$C121-SUMPRODUCT(($D$3:$M$3&lt;M$3)*($N121:$W121-$X121:$AG121))))</f>
        <v/>
      </c>
      <c r="AR121" s="24">
        <f>ROUND(N121-X121-AH121,2)</f>
        <v/>
      </c>
      <c r="AS121" s="24">
        <f>ROUND(O121-Y121-AI121,2)</f>
        <v/>
      </c>
      <c r="AT121" s="24">
        <f>ROUND(P121-Z121-AJ121,2)</f>
        <v/>
      </c>
      <c r="AU121" s="24">
        <f>ROUND(Q121-AA121-AK121,2)</f>
        <v/>
      </c>
      <c r="AV121" s="24">
        <f>ROUND(R121-AB121-AL121,2)</f>
        <v/>
      </c>
      <c r="AW121" s="24">
        <f>ROUND(S121-AC121-AM121,2)</f>
        <v/>
      </c>
      <c r="AX121" s="24">
        <f>ROUND(T121-AD121-AN121,2)</f>
        <v/>
      </c>
      <c r="AY121" s="24">
        <f>ROUND(U121-AE121-AO121,2)</f>
        <v/>
      </c>
      <c r="AZ121" s="24">
        <f>ROUND(V121-AF121-AP121,2)</f>
        <v/>
      </c>
      <c r="BA121" s="24">
        <f>ROUND(W121-AG121-AQ121,2)</f>
        <v/>
      </c>
      <c r="BB121" s="24">
        <f>SUM(AR121:BA121)</f>
        <v/>
      </c>
    </row>
    <row r="122">
      <c r="A122" t="n">
        <v>118</v>
      </c>
      <c r="B122" s="23">
        <f>EOMONTH(TODAY(),117)</f>
        <v/>
      </c>
      <c r="C122" s="24">
        <f>MAX(0,(SUM('My Loans'!$E$6:$E$15)+'My Loans'!$D$3)-SUM($X122:$AG122))</f>
        <v/>
      </c>
      <c r="D122" s="24">
        <f>MAX(0,AR121)</f>
        <v/>
      </c>
      <c r="E122" s="24">
        <f>MAX(0,AS121)</f>
        <v/>
      </c>
      <c r="F122" s="24">
        <f>MAX(0,AT121)</f>
        <v/>
      </c>
      <c r="G122" s="24">
        <f>MAX(0,AU121)</f>
        <v/>
      </c>
      <c r="H122" s="24">
        <f>MAX(0,AV121)</f>
        <v/>
      </c>
      <c r="I122" s="24">
        <f>MAX(0,AW121)</f>
        <v/>
      </c>
      <c r="J122" s="24">
        <f>MAX(0,AX121)</f>
        <v/>
      </c>
      <c r="K122" s="24">
        <f>MAX(0,AY121)</f>
        <v/>
      </c>
      <c r="L122" s="24">
        <f>MAX(0,AZ121)</f>
        <v/>
      </c>
      <c r="M122" s="24">
        <f>MAX(0,BA121)</f>
        <v/>
      </c>
      <c r="N122" s="24">
        <f>IF(D122&lt;0.5,0,D122*(1+N('My Loans'!D6)/1200))</f>
        <v/>
      </c>
      <c r="O122" s="24">
        <f>IF(E122&lt;0.5,0,E122*(1+N('My Loans'!D7)/1200))</f>
        <v/>
      </c>
      <c r="P122" s="24">
        <f>IF(F122&lt;0.5,0,F122*(1+N('My Loans'!D8)/1200))</f>
        <v/>
      </c>
      <c r="Q122" s="24">
        <f>IF(G122&lt;0.5,0,G122*(1+N('My Loans'!D9)/1200))</f>
        <v/>
      </c>
      <c r="R122" s="24">
        <f>IF(H122&lt;0.5,0,H122*(1+N('My Loans'!D10)/1200))</f>
        <v/>
      </c>
      <c r="S122" s="24">
        <f>IF(I122&lt;0.5,0,I122*(1+N('My Loans'!D11)/1200))</f>
        <v/>
      </c>
      <c r="T122" s="24">
        <f>IF(J122&lt;0.5,0,J122*(1+N('My Loans'!D12)/1200))</f>
        <v/>
      </c>
      <c r="U122" s="24">
        <f>IF(K122&lt;0.5,0,K122*(1+N('My Loans'!D13)/1200))</f>
        <v/>
      </c>
      <c r="V122" s="24">
        <f>IF(L122&lt;0.5,0,L122*(1+N('My Loans'!D14)/1200))</f>
        <v/>
      </c>
      <c r="W122" s="24">
        <f>IF(M122&lt;0.5,0,M122*(1+N('My Loans'!D15)/1200))</f>
        <v/>
      </c>
      <c r="X122" s="24">
        <f>MIN(N122,N('My Loans'!E6))</f>
        <v/>
      </c>
      <c r="Y122" s="24">
        <f>MIN(O122,N('My Loans'!E7))</f>
        <v/>
      </c>
      <c r="Z122" s="24">
        <f>MIN(P122,N('My Loans'!E8))</f>
        <v/>
      </c>
      <c r="AA122" s="24">
        <f>MIN(Q122,N('My Loans'!E9))</f>
        <v/>
      </c>
      <c r="AB122" s="24">
        <f>MIN(R122,N('My Loans'!E10))</f>
        <v/>
      </c>
      <c r="AC122" s="24">
        <f>MIN(S122,N('My Loans'!E11))</f>
        <v/>
      </c>
      <c r="AD122" s="24">
        <f>MIN(T122,N('My Loans'!E12))</f>
        <v/>
      </c>
      <c r="AE122" s="24">
        <f>MIN(U122,N('My Loans'!E13))</f>
        <v/>
      </c>
      <c r="AF122" s="24">
        <f>MIN(V122,N('My Loans'!E14))</f>
        <v/>
      </c>
      <c r="AG122" s="24">
        <f>MIN(W122,N('My Loans'!E15))</f>
        <v/>
      </c>
      <c r="AH122" s="24">
        <f>MIN(N122-X122,MAX(0,$C122-SUMPRODUCT(($D$3:$M$3&lt;D$3)*($N122:$W122-$X122:$AG122))))</f>
        <v/>
      </c>
      <c r="AI122" s="24">
        <f>MIN(O122-Y122,MAX(0,$C122-SUMPRODUCT(($D$3:$M$3&lt;E$3)*($N122:$W122-$X122:$AG122))))</f>
        <v/>
      </c>
      <c r="AJ122" s="24">
        <f>MIN(P122-Z122,MAX(0,$C122-SUMPRODUCT(($D$3:$M$3&lt;F$3)*($N122:$W122-$X122:$AG122))))</f>
        <v/>
      </c>
      <c r="AK122" s="24">
        <f>MIN(Q122-AA122,MAX(0,$C122-SUMPRODUCT(($D$3:$M$3&lt;G$3)*($N122:$W122-$X122:$AG122))))</f>
        <v/>
      </c>
      <c r="AL122" s="24">
        <f>MIN(R122-AB122,MAX(0,$C122-SUMPRODUCT(($D$3:$M$3&lt;H$3)*($N122:$W122-$X122:$AG122))))</f>
        <v/>
      </c>
      <c r="AM122" s="24">
        <f>MIN(S122-AC122,MAX(0,$C122-SUMPRODUCT(($D$3:$M$3&lt;I$3)*($N122:$W122-$X122:$AG122))))</f>
        <v/>
      </c>
      <c r="AN122" s="24">
        <f>MIN(T122-AD122,MAX(0,$C122-SUMPRODUCT(($D$3:$M$3&lt;J$3)*($N122:$W122-$X122:$AG122))))</f>
        <v/>
      </c>
      <c r="AO122" s="24">
        <f>MIN(U122-AE122,MAX(0,$C122-SUMPRODUCT(($D$3:$M$3&lt;K$3)*($N122:$W122-$X122:$AG122))))</f>
        <v/>
      </c>
      <c r="AP122" s="24">
        <f>MIN(V122-AF122,MAX(0,$C122-SUMPRODUCT(($D$3:$M$3&lt;L$3)*($N122:$W122-$X122:$AG122))))</f>
        <v/>
      </c>
      <c r="AQ122" s="24">
        <f>MIN(W122-AG122,MAX(0,$C122-SUMPRODUCT(($D$3:$M$3&lt;M$3)*($N122:$W122-$X122:$AG122))))</f>
        <v/>
      </c>
      <c r="AR122" s="24">
        <f>ROUND(N122-X122-AH122,2)</f>
        <v/>
      </c>
      <c r="AS122" s="24">
        <f>ROUND(O122-Y122-AI122,2)</f>
        <v/>
      </c>
      <c r="AT122" s="24">
        <f>ROUND(P122-Z122-AJ122,2)</f>
        <v/>
      </c>
      <c r="AU122" s="24">
        <f>ROUND(Q122-AA122-AK122,2)</f>
        <v/>
      </c>
      <c r="AV122" s="24">
        <f>ROUND(R122-AB122-AL122,2)</f>
        <v/>
      </c>
      <c r="AW122" s="24">
        <f>ROUND(S122-AC122-AM122,2)</f>
        <v/>
      </c>
      <c r="AX122" s="24">
        <f>ROUND(T122-AD122-AN122,2)</f>
        <v/>
      </c>
      <c r="AY122" s="24">
        <f>ROUND(U122-AE122-AO122,2)</f>
        <v/>
      </c>
      <c r="AZ122" s="24">
        <f>ROUND(V122-AF122-AP122,2)</f>
        <v/>
      </c>
      <c r="BA122" s="24">
        <f>ROUND(W122-AG122-AQ122,2)</f>
        <v/>
      </c>
      <c r="BB122" s="24">
        <f>SUM(AR122:BA122)</f>
        <v/>
      </c>
    </row>
    <row r="123">
      <c r="A123" t="n">
        <v>119</v>
      </c>
      <c r="B123" s="23">
        <f>EOMONTH(TODAY(),118)</f>
        <v/>
      </c>
      <c r="C123" s="24">
        <f>MAX(0,(SUM('My Loans'!$E$6:$E$15)+'My Loans'!$D$3)-SUM($X123:$AG123))</f>
        <v/>
      </c>
      <c r="D123" s="24">
        <f>MAX(0,AR122)</f>
        <v/>
      </c>
      <c r="E123" s="24">
        <f>MAX(0,AS122)</f>
        <v/>
      </c>
      <c r="F123" s="24">
        <f>MAX(0,AT122)</f>
        <v/>
      </c>
      <c r="G123" s="24">
        <f>MAX(0,AU122)</f>
        <v/>
      </c>
      <c r="H123" s="24">
        <f>MAX(0,AV122)</f>
        <v/>
      </c>
      <c r="I123" s="24">
        <f>MAX(0,AW122)</f>
        <v/>
      </c>
      <c r="J123" s="24">
        <f>MAX(0,AX122)</f>
        <v/>
      </c>
      <c r="K123" s="24">
        <f>MAX(0,AY122)</f>
        <v/>
      </c>
      <c r="L123" s="24">
        <f>MAX(0,AZ122)</f>
        <v/>
      </c>
      <c r="M123" s="24">
        <f>MAX(0,BA122)</f>
        <v/>
      </c>
      <c r="N123" s="24">
        <f>IF(D123&lt;0.5,0,D123*(1+N('My Loans'!D6)/1200))</f>
        <v/>
      </c>
      <c r="O123" s="24">
        <f>IF(E123&lt;0.5,0,E123*(1+N('My Loans'!D7)/1200))</f>
        <v/>
      </c>
      <c r="P123" s="24">
        <f>IF(F123&lt;0.5,0,F123*(1+N('My Loans'!D8)/1200))</f>
        <v/>
      </c>
      <c r="Q123" s="24">
        <f>IF(G123&lt;0.5,0,G123*(1+N('My Loans'!D9)/1200))</f>
        <v/>
      </c>
      <c r="R123" s="24">
        <f>IF(H123&lt;0.5,0,H123*(1+N('My Loans'!D10)/1200))</f>
        <v/>
      </c>
      <c r="S123" s="24">
        <f>IF(I123&lt;0.5,0,I123*(1+N('My Loans'!D11)/1200))</f>
        <v/>
      </c>
      <c r="T123" s="24">
        <f>IF(J123&lt;0.5,0,J123*(1+N('My Loans'!D12)/1200))</f>
        <v/>
      </c>
      <c r="U123" s="24">
        <f>IF(K123&lt;0.5,0,K123*(1+N('My Loans'!D13)/1200))</f>
        <v/>
      </c>
      <c r="V123" s="24">
        <f>IF(L123&lt;0.5,0,L123*(1+N('My Loans'!D14)/1200))</f>
        <v/>
      </c>
      <c r="W123" s="24">
        <f>IF(M123&lt;0.5,0,M123*(1+N('My Loans'!D15)/1200))</f>
        <v/>
      </c>
      <c r="X123" s="24">
        <f>MIN(N123,N('My Loans'!E6))</f>
        <v/>
      </c>
      <c r="Y123" s="24">
        <f>MIN(O123,N('My Loans'!E7))</f>
        <v/>
      </c>
      <c r="Z123" s="24">
        <f>MIN(P123,N('My Loans'!E8))</f>
        <v/>
      </c>
      <c r="AA123" s="24">
        <f>MIN(Q123,N('My Loans'!E9))</f>
        <v/>
      </c>
      <c r="AB123" s="24">
        <f>MIN(R123,N('My Loans'!E10))</f>
        <v/>
      </c>
      <c r="AC123" s="24">
        <f>MIN(S123,N('My Loans'!E11))</f>
        <v/>
      </c>
      <c r="AD123" s="24">
        <f>MIN(T123,N('My Loans'!E12))</f>
        <v/>
      </c>
      <c r="AE123" s="24">
        <f>MIN(U123,N('My Loans'!E13))</f>
        <v/>
      </c>
      <c r="AF123" s="24">
        <f>MIN(V123,N('My Loans'!E14))</f>
        <v/>
      </c>
      <c r="AG123" s="24">
        <f>MIN(W123,N('My Loans'!E15))</f>
        <v/>
      </c>
      <c r="AH123" s="24">
        <f>MIN(N123-X123,MAX(0,$C123-SUMPRODUCT(($D$3:$M$3&lt;D$3)*($N123:$W123-$X123:$AG123))))</f>
        <v/>
      </c>
      <c r="AI123" s="24">
        <f>MIN(O123-Y123,MAX(0,$C123-SUMPRODUCT(($D$3:$M$3&lt;E$3)*($N123:$W123-$X123:$AG123))))</f>
        <v/>
      </c>
      <c r="AJ123" s="24">
        <f>MIN(P123-Z123,MAX(0,$C123-SUMPRODUCT(($D$3:$M$3&lt;F$3)*($N123:$W123-$X123:$AG123))))</f>
        <v/>
      </c>
      <c r="AK123" s="24">
        <f>MIN(Q123-AA123,MAX(0,$C123-SUMPRODUCT(($D$3:$M$3&lt;G$3)*($N123:$W123-$X123:$AG123))))</f>
        <v/>
      </c>
      <c r="AL123" s="24">
        <f>MIN(R123-AB123,MAX(0,$C123-SUMPRODUCT(($D$3:$M$3&lt;H$3)*($N123:$W123-$X123:$AG123))))</f>
        <v/>
      </c>
      <c r="AM123" s="24">
        <f>MIN(S123-AC123,MAX(0,$C123-SUMPRODUCT(($D$3:$M$3&lt;I$3)*($N123:$W123-$X123:$AG123))))</f>
        <v/>
      </c>
      <c r="AN123" s="24">
        <f>MIN(T123-AD123,MAX(0,$C123-SUMPRODUCT(($D$3:$M$3&lt;J$3)*($N123:$W123-$X123:$AG123))))</f>
        <v/>
      </c>
      <c r="AO123" s="24">
        <f>MIN(U123-AE123,MAX(0,$C123-SUMPRODUCT(($D$3:$M$3&lt;K$3)*($N123:$W123-$X123:$AG123))))</f>
        <v/>
      </c>
      <c r="AP123" s="24">
        <f>MIN(V123-AF123,MAX(0,$C123-SUMPRODUCT(($D$3:$M$3&lt;L$3)*($N123:$W123-$X123:$AG123))))</f>
        <v/>
      </c>
      <c r="AQ123" s="24">
        <f>MIN(W123-AG123,MAX(0,$C123-SUMPRODUCT(($D$3:$M$3&lt;M$3)*($N123:$W123-$X123:$AG123))))</f>
        <v/>
      </c>
      <c r="AR123" s="24">
        <f>ROUND(N123-X123-AH123,2)</f>
        <v/>
      </c>
      <c r="AS123" s="24">
        <f>ROUND(O123-Y123-AI123,2)</f>
        <v/>
      </c>
      <c r="AT123" s="24">
        <f>ROUND(P123-Z123-AJ123,2)</f>
        <v/>
      </c>
      <c r="AU123" s="24">
        <f>ROUND(Q123-AA123-AK123,2)</f>
        <v/>
      </c>
      <c r="AV123" s="24">
        <f>ROUND(R123-AB123-AL123,2)</f>
        <v/>
      </c>
      <c r="AW123" s="24">
        <f>ROUND(S123-AC123-AM123,2)</f>
        <v/>
      </c>
      <c r="AX123" s="24">
        <f>ROUND(T123-AD123-AN123,2)</f>
        <v/>
      </c>
      <c r="AY123" s="24">
        <f>ROUND(U123-AE123-AO123,2)</f>
        <v/>
      </c>
      <c r="AZ123" s="24">
        <f>ROUND(V123-AF123-AP123,2)</f>
        <v/>
      </c>
      <c r="BA123" s="24">
        <f>ROUND(W123-AG123-AQ123,2)</f>
        <v/>
      </c>
      <c r="BB123" s="24">
        <f>SUM(AR123:BA123)</f>
        <v/>
      </c>
    </row>
    <row r="124">
      <c r="A124" t="n">
        <v>120</v>
      </c>
      <c r="B124" s="23">
        <f>EOMONTH(TODAY(),119)</f>
        <v/>
      </c>
      <c r="C124" s="24">
        <f>MAX(0,(SUM('My Loans'!$E$6:$E$15)+'My Loans'!$D$3)-SUM($X124:$AG124))</f>
        <v/>
      </c>
      <c r="D124" s="24">
        <f>MAX(0,AR123)</f>
        <v/>
      </c>
      <c r="E124" s="24">
        <f>MAX(0,AS123)</f>
        <v/>
      </c>
      <c r="F124" s="24">
        <f>MAX(0,AT123)</f>
        <v/>
      </c>
      <c r="G124" s="24">
        <f>MAX(0,AU123)</f>
        <v/>
      </c>
      <c r="H124" s="24">
        <f>MAX(0,AV123)</f>
        <v/>
      </c>
      <c r="I124" s="24">
        <f>MAX(0,AW123)</f>
        <v/>
      </c>
      <c r="J124" s="24">
        <f>MAX(0,AX123)</f>
        <v/>
      </c>
      <c r="K124" s="24">
        <f>MAX(0,AY123)</f>
        <v/>
      </c>
      <c r="L124" s="24">
        <f>MAX(0,AZ123)</f>
        <v/>
      </c>
      <c r="M124" s="24">
        <f>MAX(0,BA123)</f>
        <v/>
      </c>
      <c r="N124" s="24">
        <f>IF(D124&lt;0.5,0,D124*(1+N('My Loans'!D6)/1200))</f>
        <v/>
      </c>
      <c r="O124" s="24">
        <f>IF(E124&lt;0.5,0,E124*(1+N('My Loans'!D7)/1200))</f>
        <v/>
      </c>
      <c r="P124" s="24">
        <f>IF(F124&lt;0.5,0,F124*(1+N('My Loans'!D8)/1200))</f>
        <v/>
      </c>
      <c r="Q124" s="24">
        <f>IF(G124&lt;0.5,0,G124*(1+N('My Loans'!D9)/1200))</f>
        <v/>
      </c>
      <c r="R124" s="24">
        <f>IF(H124&lt;0.5,0,H124*(1+N('My Loans'!D10)/1200))</f>
        <v/>
      </c>
      <c r="S124" s="24">
        <f>IF(I124&lt;0.5,0,I124*(1+N('My Loans'!D11)/1200))</f>
        <v/>
      </c>
      <c r="T124" s="24">
        <f>IF(J124&lt;0.5,0,J124*(1+N('My Loans'!D12)/1200))</f>
        <v/>
      </c>
      <c r="U124" s="24">
        <f>IF(K124&lt;0.5,0,K124*(1+N('My Loans'!D13)/1200))</f>
        <v/>
      </c>
      <c r="V124" s="24">
        <f>IF(L124&lt;0.5,0,L124*(1+N('My Loans'!D14)/1200))</f>
        <v/>
      </c>
      <c r="W124" s="24">
        <f>IF(M124&lt;0.5,0,M124*(1+N('My Loans'!D15)/1200))</f>
        <v/>
      </c>
      <c r="X124" s="24">
        <f>MIN(N124,N('My Loans'!E6))</f>
        <v/>
      </c>
      <c r="Y124" s="24">
        <f>MIN(O124,N('My Loans'!E7))</f>
        <v/>
      </c>
      <c r="Z124" s="24">
        <f>MIN(P124,N('My Loans'!E8))</f>
        <v/>
      </c>
      <c r="AA124" s="24">
        <f>MIN(Q124,N('My Loans'!E9))</f>
        <v/>
      </c>
      <c r="AB124" s="24">
        <f>MIN(R124,N('My Loans'!E10))</f>
        <v/>
      </c>
      <c r="AC124" s="24">
        <f>MIN(S124,N('My Loans'!E11))</f>
        <v/>
      </c>
      <c r="AD124" s="24">
        <f>MIN(T124,N('My Loans'!E12))</f>
        <v/>
      </c>
      <c r="AE124" s="24">
        <f>MIN(U124,N('My Loans'!E13))</f>
        <v/>
      </c>
      <c r="AF124" s="24">
        <f>MIN(V124,N('My Loans'!E14))</f>
        <v/>
      </c>
      <c r="AG124" s="24">
        <f>MIN(W124,N('My Loans'!E15))</f>
        <v/>
      </c>
      <c r="AH124" s="24">
        <f>MIN(N124-X124,MAX(0,$C124-SUMPRODUCT(($D$3:$M$3&lt;D$3)*($N124:$W124-$X124:$AG124))))</f>
        <v/>
      </c>
      <c r="AI124" s="24">
        <f>MIN(O124-Y124,MAX(0,$C124-SUMPRODUCT(($D$3:$M$3&lt;E$3)*($N124:$W124-$X124:$AG124))))</f>
        <v/>
      </c>
      <c r="AJ124" s="24">
        <f>MIN(P124-Z124,MAX(0,$C124-SUMPRODUCT(($D$3:$M$3&lt;F$3)*($N124:$W124-$X124:$AG124))))</f>
        <v/>
      </c>
      <c r="AK124" s="24">
        <f>MIN(Q124-AA124,MAX(0,$C124-SUMPRODUCT(($D$3:$M$3&lt;G$3)*($N124:$W124-$X124:$AG124))))</f>
        <v/>
      </c>
      <c r="AL124" s="24">
        <f>MIN(R124-AB124,MAX(0,$C124-SUMPRODUCT(($D$3:$M$3&lt;H$3)*($N124:$W124-$X124:$AG124))))</f>
        <v/>
      </c>
      <c r="AM124" s="24">
        <f>MIN(S124-AC124,MAX(0,$C124-SUMPRODUCT(($D$3:$M$3&lt;I$3)*($N124:$W124-$X124:$AG124))))</f>
        <v/>
      </c>
      <c r="AN124" s="24">
        <f>MIN(T124-AD124,MAX(0,$C124-SUMPRODUCT(($D$3:$M$3&lt;J$3)*($N124:$W124-$X124:$AG124))))</f>
        <v/>
      </c>
      <c r="AO124" s="24">
        <f>MIN(U124-AE124,MAX(0,$C124-SUMPRODUCT(($D$3:$M$3&lt;K$3)*($N124:$W124-$X124:$AG124))))</f>
        <v/>
      </c>
      <c r="AP124" s="24">
        <f>MIN(V124-AF124,MAX(0,$C124-SUMPRODUCT(($D$3:$M$3&lt;L$3)*($N124:$W124-$X124:$AG124))))</f>
        <v/>
      </c>
      <c r="AQ124" s="24">
        <f>MIN(W124-AG124,MAX(0,$C124-SUMPRODUCT(($D$3:$M$3&lt;M$3)*($N124:$W124-$X124:$AG124))))</f>
        <v/>
      </c>
      <c r="AR124" s="24">
        <f>ROUND(N124-X124-AH124,2)</f>
        <v/>
      </c>
      <c r="AS124" s="24">
        <f>ROUND(O124-Y124-AI124,2)</f>
        <v/>
      </c>
      <c r="AT124" s="24">
        <f>ROUND(P124-Z124-AJ124,2)</f>
        <v/>
      </c>
      <c r="AU124" s="24">
        <f>ROUND(Q124-AA124-AK124,2)</f>
        <v/>
      </c>
      <c r="AV124" s="24">
        <f>ROUND(R124-AB124-AL124,2)</f>
        <v/>
      </c>
      <c r="AW124" s="24">
        <f>ROUND(S124-AC124-AM124,2)</f>
        <v/>
      </c>
      <c r="AX124" s="24">
        <f>ROUND(T124-AD124-AN124,2)</f>
        <v/>
      </c>
      <c r="AY124" s="24">
        <f>ROUND(U124-AE124-AO124,2)</f>
        <v/>
      </c>
      <c r="AZ124" s="24">
        <f>ROUND(V124-AF124-AP124,2)</f>
        <v/>
      </c>
      <c r="BA124" s="24">
        <f>ROUND(W124-AG124-AQ124,2)</f>
        <v/>
      </c>
      <c r="BB124" s="24">
        <f>SUM(AR124:BA124)</f>
        <v/>
      </c>
    </row>
    <row r="125">
      <c r="A125" t="n">
        <v>121</v>
      </c>
      <c r="B125" s="23">
        <f>EOMONTH(TODAY(),120)</f>
        <v/>
      </c>
      <c r="C125" s="24">
        <f>MAX(0,(SUM('My Loans'!$E$6:$E$15)+'My Loans'!$D$3)-SUM($X125:$AG125))</f>
        <v/>
      </c>
      <c r="D125" s="24">
        <f>MAX(0,AR124)</f>
        <v/>
      </c>
      <c r="E125" s="24">
        <f>MAX(0,AS124)</f>
        <v/>
      </c>
      <c r="F125" s="24">
        <f>MAX(0,AT124)</f>
        <v/>
      </c>
      <c r="G125" s="24">
        <f>MAX(0,AU124)</f>
        <v/>
      </c>
      <c r="H125" s="24">
        <f>MAX(0,AV124)</f>
        <v/>
      </c>
      <c r="I125" s="24">
        <f>MAX(0,AW124)</f>
        <v/>
      </c>
      <c r="J125" s="24">
        <f>MAX(0,AX124)</f>
        <v/>
      </c>
      <c r="K125" s="24">
        <f>MAX(0,AY124)</f>
        <v/>
      </c>
      <c r="L125" s="24">
        <f>MAX(0,AZ124)</f>
        <v/>
      </c>
      <c r="M125" s="24">
        <f>MAX(0,BA124)</f>
        <v/>
      </c>
      <c r="N125" s="24">
        <f>IF(D125&lt;0.5,0,D125*(1+N('My Loans'!D6)/1200))</f>
        <v/>
      </c>
      <c r="O125" s="24">
        <f>IF(E125&lt;0.5,0,E125*(1+N('My Loans'!D7)/1200))</f>
        <v/>
      </c>
      <c r="P125" s="24">
        <f>IF(F125&lt;0.5,0,F125*(1+N('My Loans'!D8)/1200))</f>
        <v/>
      </c>
      <c r="Q125" s="24">
        <f>IF(G125&lt;0.5,0,G125*(1+N('My Loans'!D9)/1200))</f>
        <v/>
      </c>
      <c r="R125" s="24">
        <f>IF(H125&lt;0.5,0,H125*(1+N('My Loans'!D10)/1200))</f>
        <v/>
      </c>
      <c r="S125" s="24">
        <f>IF(I125&lt;0.5,0,I125*(1+N('My Loans'!D11)/1200))</f>
        <v/>
      </c>
      <c r="T125" s="24">
        <f>IF(J125&lt;0.5,0,J125*(1+N('My Loans'!D12)/1200))</f>
        <v/>
      </c>
      <c r="U125" s="24">
        <f>IF(K125&lt;0.5,0,K125*(1+N('My Loans'!D13)/1200))</f>
        <v/>
      </c>
      <c r="V125" s="24">
        <f>IF(L125&lt;0.5,0,L125*(1+N('My Loans'!D14)/1200))</f>
        <v/>
      </c>
      <c r="W125" s="24">
        <f>IF(M125&lt;0.5,0,M125*(1+N('My Loans'!D15)/1200))</f>
        <v/>
      </c>
      <c r="X125" s="24">
        <f>MIN(N125,N('My Loans'!E6))</f>
        <v/>
      </c>
      <c r="Y125" s="24">
        <f>MIN(O125,N('My Loans'!E7))</f>
        <v/>
      </c>
      <c r="Z125" s="24">
        <f>MIN(P125,N('My Loans'!E8))</f>
        <v/>
      </c>
      <c r="AA125" s="24">
        <f>MIN(Q125,N('My Loans'!E9))</f>
        <v/>
      </c>
      <c r="AB125" s="24">
        <f>MIN(R125,N('My Loans'!E10))</f>
        <v/>
      </c>
      <c r="AC125" s="24">
        <f>MIN(S125,N('My Loans'!E11))</f>
        <v/>
      </c>
      <c r="AD125" s="24">
        <f>MIN(T125,N('My Loans'!E12))</f>
        <v/>
      </c>
      <c r="AE125" s="24">
        <f>MIN(U125,N('My Loans'!E13))</f>
        <v/>
      </c>
      <c r="AF125" s="24">
        <f>MIN(V125,N('My Loans'!E14))</f>
        <v/>
      </c>
      <c r="AG125" s="24">
        <f>MIN(W125,N('My Loans'!E15))</f>
        <v/>
      </c>
      <c r="AH125" s="24">
        <f>MIN(N125-X125,MAX(0,$C125-SUMPRODUCT(($D$3:$M$3&lt;D$3)*($N125:$W125-$X125:$AG125))))</f>
        <v/>
      </c>
      <c r="AI125" s="24">
        <f>MIN(O125-Y125,MAX(0,$C125-SUMPRODUCT(($D$3:$M$3&lt;E$3)*($N125:$W125-$X125:$AG125))))</f>
        <v/>
      </c>
      <c r="AJ125" s="24">
        <f>MIN(P125-Z125,MAX(0,$C125-SUMPRODUCT(($D$3:$M$3&lt;F$3)*($N125:$W125-$X125:$AG125))))</f>
        <v/>
      </c>
      <c r="AK125" s="24">
        <f>MIN(Q125-AA125,MAX(0,$C125-SUMPRODUCT(($D$3:$M$3&lt;G$3)*($N125:$W125-$X125:$AG125))))</f>
        <v/>
      </c>
      <c r="AL125" s="24">
        <f>MIN(R125-AB125,MAX(0,$C125-SUMPRODUCT(($D$3:$M$3&lt;H$3)*($N125:$W125-$X125:$AG125))))</f>
        <v/>
      </c>
      <c r="AM125" s="24">
        <f>MIN(S125-AC125,MAX(0,$C125-SUMPRODUCT(($D$3:$M$3&lt;I$3)*($N125:$W125-$X125:$AG125))))</f>
        <v/>
      </c>
      <c r="AN125" s="24">
        <f>MIN(T125-AD125,MAX(0,$C125-SUMPRODUCT(($D$3:$M$3&lt;J$3)*($N125:$W125-$X125:$AG125))))</f>
        <v/>
      </c>
      <c r="AO125" s="24">
        <f>MIN(U125-AE125,MAX(0,$C125-SUMPRODUCT(($D$3:$M$3&lt;K$3)*($N125:$W125-$X125:$AG125))))</f>
        <v/>
      </c>
      <c r="AP125" s="24">
        <f>MIN(V125-AF125,MAX(0,$C125-SUMPRODUCT(($D$3:$M$3&lt;L$3)*($N125:$W125-$X125:$AG125))))</f>
        <v/>
      </c>
      <c r="AQ125" s="24">
        <f>MIN(W125-AG125,MAX(0,$C125-SUMPRODUCT(($D$3:$M$3&lt;M$3)*($N125:$W125-$X125:$AG125))))</f>
        <v/>
      </c>
      <c r="AR125" s="24">
        <f>ROUND(N125-X125-AH125,2)</f>
        <v/>
      </c>
      <c r="AS125" s="24">
        <f>ROUND(O125-Y125-AI125,2)</f>
        <v/>
      </c>
      <c r="AT125" s="24">
        <f>ROUND(P125-Z125-AJ125,2)</f>
        <v/>
      </c>
      <c r="AU125" s="24">
        <f>ROUND(Q125-AA125-AK125,2)</f>
        <v/>
      </c>
      <c r="AV125" s="24">
        <f>ROUND(R125-AB125-AL125,2)</f>
        <v/>
      </c>
      <c r="AW125" s="24">
        <f>ROUND(S125-AC125-AM125,2)</f>
        <v/>
      </c>
      <c r="AX125" s="24">
        <f>ROUND(T125-AD125-AN125,2)</f>
        <v/>
      </c>
      <c r="AY125" s="24">
        <f>ROUND(U125-AE125-AO125,2)</f>
        <v/>
      </c>
      <c r="AZ125" s="24">
        <f>ROUND(V125-AF125-AP125,2)</f>
        <v/>
      </c>
      <c r="BA125" s="24">
        <f>ROUND(W125-AG125-AQ125,2)</f>
        <v/>
      </c>
      <c r="BB125" s="24">
        <f>SUM(AR125:BA125)</f>
        <v/>
      </c>
    </row>
    <row r="126">
      <c r="A126" t="n">
        <v>122</v>
      </c>
      <c r="B126" s="23">
        <f>EOMONTH(TODAY(),121)</f>
        <v/>
      </c>
      <c r="C126" s="24">
        <f>MAX(0,(SUM('My Loans'!$E$6:$E$15)+'My Loans'!$D$3)-SUM($X126:$AG126))</f>
        <v/>
      </c>
      <c r="D126" s="24">
        <f>MAX(0,AR125)</f>
        <v/>
      </c>
      <c r="E126" s="24">
        <f>MAX(0,AS125)</f>
        <v/>
      </c>
      <c r="F126" s="24">
        <f>MAX(0,AT125)</f>
        <v/>
      </c>
      <c r="G126" s="24">
        <f>MAX(0,AU125)</f>
        <v/>
      </c>
      <c r="H126" s="24">
        <f>MAX(0,AV125)</f>
        <v/>
      </c>
      <c r="I126" s="24">
        <f>MAX(0,AW125)</f>
        <v/>
      </c>
      <c r="J126" s="24">
        <f>MAX(0,AX125)</f>
        <v/>
      </c>
      <c r="K126" s="24">
        <f>MAX(0,AY125)</f>
        <v/>
      </c>
      <c r="L126" s="24">
        <f>MAX(0,AZ125)</f>
        <v/>
      </c>
      <c r="M126" s="24">
        <f>MAX(0,BA125)</f>
        <v/>
      </c>
      <c r="N126" s="24">
        <f>IF(D126&lt;0.5,0,D126*(1+N('My Loans'!D6)/1200))</f>
        <v/>
      </c>
      <c r="O126" s="24">
        <f>IF(E126&lt;0.5,0,E126*(1+N('My Loans'!D7)/1200))</f>
        <v/>
      </c>
      <c r="P126" s="24">
        <f>IF(F126&lt;0.5,0,F126*(1+N('My Loans'!D8)/1200))</f>
        <v/>
      </c>
      <c r="Q126" s="24">
        <f>IF(G126&lt;0.5,0,G126*(1+N('My Loans'!D9)/1200))</f>
        <v/>
      </c>
      <c r="R126" s="24">
        <f>IF(H126&lt;0.5,0,H126*(1+N('My Loans'!D10)/1200))</f>
        <v/>
      </c>
      <c r="S126" s="24">
        <f>IF(I126&lt;0.5,0,I126*(1+N('My Loans'!D11)/1200))</f>
        <v/>
      </c>
      <c r="T126" s="24">
        <f>IF(J126&lt;0.5,0,J126*(1+N('My Loans'!D12)/1200))</f>
        <v/>
      </c>
      <c r="U126" s="24">
        <f>IF(K126&lt;0.5,0,K126*(1+N('My Loans'!D13)/1200))</f>
        <v/>
      </c>
      <c r="V126" s="24">
        <f>IF(L126&lt;0.5,0,L126*(1+N('My Loans'!D14)/1200))</f>
        <v/>
      </c>
      <c r="W126" s="24">
        <f>IF(M126&lt;0.5,0,M126*(1+N('My Loans'!D15)/1200))</f>
        <v/>
      </c>
      <c r="X126" s="24">
        <f>MIN(N126,N('My Loans'!E6))</f>
        <v/>
      </c>
      <c r="Y126" s="24">
        <f>MIN(O126,N('My Loans'!E7))</f>
        <v/>
      </c>
      <c r="Z126" s="24">
        <f>MIN(P126,N('My Loans'!E8))</f>
        <v/>
      </c>
      <c r="AA126" s="24">
        <f>MIN(Q126,N('My Loans'!E9))</f>
        <v/>
      </c>
      <c r="AB126" s="24">
        <f>MIN(R126,N('My Loans'!E10))</f>
        <v/>
      </c>
      <c r="AC126" s="24">
        <f>MIN(S126,N('My Loans'!E11))</f>
        <v/>
      </c>
      <c r="AD126" s="24">
        <f>MIN(T126,N('My Loans'!E12))</f>
        <v/>
      </c>
      <c r="AE126" s="24">
        <f>MIN(U126,N('My Loans'!E13))</f>
        <v/>
      </c>
      <c r="AF126" s="24">
        <f>MIN(V126,N('My Loans'!E14))</f>
        <v/>
      </c>
      <c r="AG126" s="24">
        <f>MIN(W126,N('My Loans'!E15))</f>
        <v/>
      </c>
      <c r="AH126" s="24">
        <f>MIN(N126-X126,MAX(0,$C126-SUMPRODUCT(($D$3:$M$3&lt;D$3)*($N126:$W126-$X126:$AG126))))</f>
        <v/>
      </c>
      <c r="AI126" s="24">
        <f>MIN(O126-Y126,MAX(0,$C126-SUMPRODUCT(($D$3:$M$3&lt;E$3)*($N126:$W126-$X126:$AG126))))</f>
        <v/>
      </c>
      <c r="AJ126" s="24">
        <f>MIN(P126-Z126,MAX(0,$C126-SUMPRODUCT(($D$3:$M$3&lt;F$3)*($N126:$W126-$X126:$AG126))))</f>
        <v/>
      </c>
      <c r="AK126" s="24">
        <f>MIN(Q126-AA126,MAX(0,$C126-SUMPRODUCT(($D$3:$M$3&lt;G$3)*($N126:$W126-$X126:$AG126))))</f>
        <v/>
      </c>
      <c r="AL126" s="24">
        <f>MIN(R126-AB126,MAX(0,$C126-SUMPRODUCT(($D$3:$M$3&lt;H$3)*($N126:$W126-$X126:$AG126))))</f>
        <v/>
      </c>
      <c r="AM126" s="24">
        <f>MIN(S126-AC126,MAX(0,$C126-SUMPRODUCT(($D$3:$M$3&lt;I$3)*($N126:$W126-$X126:$AG126))))</f>
        <v/>
      </c>
      <c r="AN126" s="24">
        <f>MIN(T126-AD126,MAX(0,$C126-SUMPRODUCT(($D$3:$M$3&lt;J$3)*($N126:$W126-$X126:$AG126))))</f>
        <v/>
      </c>
      <c r="AO126" s="24">
        <f>MIN(U126-AE126,MAX(0,$C126-SUMPRODUCT(($D$3:$M$3&lt;K$3)*($N126:$W126-$X126:$AG126))))</f>
        <v/>
      </c>
      <c r="AP126" s="24">
        <f>MIN(V126-AF126,MAX(0,$C126-SUMPRODUCT(($D$3:$M$3&lt;L$3)*($N126:$W126-$X126:$AG126))))</f>
        <v/>
      </c>
      <c r="AQ126" s="24">
        <f>MIN(W126-AG126,MAX(0,$C126-SUMPRODUCT(($D$3:$M$3&lt;M$3)*($N126:$W126-$X126:$AG126))))</f>
        <v/>
      </c>
      <c r="AR126" s="24">
        <f>ROUND(N126-X126-AH126,2)</f>
        <v/>
      </c>
      <c r="AS126" s="24">
        <f>ROUND(O126-Y126-AI126,2)</f>
        <v/>
      </c>
      <c r="AT126" s="24">
        <f>ROUND(P126-Z126-AJ126,2)</f>
        <v/>
      </c>
      <c r="AU126" s="24">
        <f>ROUND(Q126-AA126-AK126,2)</f>
        <v/>
      </c>
      <c r="AV126" s="24">
        <f>ROUND(R126-AB126-AL126,2)</f>
        <v/>
      </c>
      <c r="AW126" s="24">
        <f>ROUND(S126-AC126-AM126,2)</f>
        <v/>
      </c>
      <c r="AX126" s="24">
        <f>ROUND(T126-AD126-AN126,2)</f>
        <v/>
      </c>
      <c r="AY126" s="24">
        <f>ROUND(U126-AE126-AO126,2)</f>
        <v/>
      </c>
      <c r="AZ126" s="24">
        <f>ROUND(V126-AF126-AP126,2)</f>
        <v/>
      </c>
      <c r="BA126" s="24">
        <f>ROUND(W126-AG126-AQ126,2)</f>
        <v/>
      </c>
      <c r="BB126" s="24">
        <f>SUM(AR126:BA126)</f>
        <v/>
      </c>
    </row>
    <row r="127">
      <c r="A127" t="n">
        <v>123</v>
      </c>
      <c r="B127" s="23">
        <f>EOMONTH(TODAY(),122)</f>
        <v/>
      </c>
      <c r="C127" s="24">
        <f>MAX(0,(SUM('My Loans'!$E$6:$E$15)+'My Loans'!$D$3)-SUM($X127:$AG127))</f>
        <v/>
      </c>
      <c r="D127" s="24">
        <f>MAX(0,AR126)</f>
        <v/>
      </c>
      <c r="E127" s="24">
        <f>MAX(0,AS126)</f>
        <v/>
      </c>
      <c r="F127" s="24">
        <f>MAX(0,AT126)</f>
        <v/>
      </c>
      <c r="G127" s="24">
        <f>MAX(0,AU126)</f>
        <v/>
      </c>
      <c r="H127" s="24">
        <f>MAX(0,AV126)</f>
        <v/>
      </c>
      <c r="I127" s="24">
        <f>MAX(0,AW126)</f>
        <v/>
      </c>
      <c r="J127" s="24">
        <f>MAX(0,AX126)</f>
        <v/>
      </c>
      <c r="K127" s="24">
        <f>MAX(0,AY126)</f>
        <v/>
      </c>
      <c r="L127" s="24">
        <f>MAX(0,AZ126)</f>
        <v/>
      </c>
      <c r="M127" s="24">
        <f>MAX(0,BA126)</f>
        <v/>
      </c>
      <c r="N127" s="24">
        <f>IF(D127&lt;0.5,0,D127*(1+N('My Loans'!D6)/1200))</f>
        <v/>
      </c>
      <c r="O127" s="24">
        <f>IF(E127&lt;0.5,0,E127*(1+N('My Loans'!D7)/1200))</f>
        <v/>
      </c>
      <c r="P127" s="24">
        <f>IF(F127&lt;0.5,0,F127*(1+N('My Loans'!D8)/1200))</f>
        <v/>
      </c>
      <c r="Q127" s="24">
        <f>IF(G127&lt;0.5,0,G127*(1+N('My Loans'!D9)/1200))</f>
        <v/>
      </c>
      <c r="R127" s="24">
        <f>IF(H127&lt;0.5,0,H127*(1+N('My Loans'!D10)/1200))</f>
        <v/>
      </c>
      <c r="S127" s="24">
        <f>IF(I127&lt;0.5,0,I127*(1+N('My Loans'!D11)/1200))</f>
        <v/>
      </c>
      <c r="T127" s="24">
        <f>IF(J127&lt;0.5,0,J127*(1+N('My Loans'!D12)/1200))</f>
        <v/>
      </c>
      <c r="U127" s="24">
        <f>IF(K127&lt;0.5,0,K127*(1+N('My Loans'!D13)/1200))</f>
        <v/>
      </c>
      <c r="V127" s="24">
        <f>IF(L127&lt;0.5,0,L127*(1+N('My Loans'!D14)/1200))</f>
        <v/>
      </c>
      <c r="W127" s="24">
        <f>IF(M127&lt;0.5,0,M127*(1+N('My Loans'!D15)/1200))</f>
        <v/>
      </c>
      <c r="X127" s="24">
        <f>MIN(N127,N('My Loans'!E6))</f>
        <v/>
      </c>
      <c r="Y127" s="24">
        <f>MIN(O127,N('My Loans'!E7))</f>
        <v/>
      </c>
      <c r="Z127" s="24">
        <f>MIN(P127,N('My Loans'!E8))</f>
        <v/>
      </c>
      <c r="AA127" s="24">
        <f>MIN(Q127,N('My Loans'!E9))</f>
        <v/>
      </c>
      <c r="AB127" s="24">
        <f>MIN(R127,N('My Loans'!E10))</f>
        <v/>
      </c>
      <c r="AC127" s="24">
        <f>MIN(S127,N('My Loans'!E11))</f>
        <v/>
      </c>
      <c r="AD127" s="24">
        <f>MIN(T127,N('My Loans'!E12))</f>
        <v/>
      </c>
      <c r="AE127" s="24">
        <f>MIN(U127,N('My Loans'!E13))</f>
        <v/>
      </c>
      <c r="AF127" s="24">
        <f>MIN(V127,N('My Loans'!E14))</f>
        <v/>
      </c>
      <c r="AG127" s="24">
        <f>MIN(W127,N('My Loans'!E15))</f>
        <v/>
      </c>
      <c r="AH127" s="24">
        <f>MIN(N127-X127,MAX(0,$C127-SUMPRODUCT(($D$3:$M$3&lt;D$3)*($N127:$W127-$X127:$AG127))))</f>
        <v/>
      </c>
      <c r="AI127" s="24">
        <f>MIN(O127-Y127,MAX(0,$C127-SUMPRODUCT(($D$3:$M$3&lt;E$3)*($N127:$W127-$X127:$AG127))))</f>
        <v/>
      </c>
      <c r="AJ127" s="24">
        <f>MIN(P127-Z127,MAX(0,$C127-SUMPRODUCT(($D$3:$M$3&lt;F$3)*($N127:$W127-$X127:$AG127))))</f>
        <v/>
      </c>
      <c r="AK127" s="24">
        <f>MIN(Q127-AA127,MAX(0,$C127-SUMPRODUCT(($D$3:$M$3&lt;G$3)*($N127:$W127-$X127:$AG127))))</f>
        <v/>
      </c>
      <c r="AL127" s="24">
        <f>MIN(R127-AB127,MAX(0,$C127-SUMPRODUCT(($D$3:$M$3&lt;H$3)*($N127:$W127-$X127:$AG127))))</f>
        <v/>
      </c>
      <c r="AM127" s="24">
        <f>MIN(S127-AC127,MAX(0,$C127-SUMPRODUCT(($D$3:$M$3&lt;I$3)*($N127:$W127-$X127:$AG127))))</f>
        <v/>
      </c>
      <c r="AN127" s="24">
        <f>MIN(T127-AD127,MAX(0,$C127-SUMPRODUCT(($D$3:$M$3&lt;J$3)*($N127:$W127-$X127:$AG127))))</f>
        <v/>
      </c>
      <c r="AO127" s="24">
        <f>MIN(U127-AE127,MAX(0,$C127-SUMPRODUCT(($D$3:$M$3&lt;K$3)*($N127:$W127-$X127:$AG127))))</f>
        <v/>
      </c>
      <c r="AP127" s="24">
        <f>MIN(V127-AF127,MAX(0,$C127-SUMPRODUCT(($D$3:$M$3&lt;L$3)*($N127:$W127-$X127:$AG127))))</f>
        <v/>
      </c>
      <c r="AQ127" s="24">
        <f>MIN(W127-AG127,MAX(0,$C127-SUMPRODUCT(($D$3:$M$3&lt;M$3)*($N127:$W127-$X127:$AG127))))</f>
        <v/>
      </c>
      <c r="AR127" s="24">
        <f>ROUND(N127-X127-AH127,2)</f>
        <v/>
      </c>
      <c r="AS127" s="24">
        <f>ROUND(O127-Y127-AI127,2)</f>
        <v/>
      </c>
      <c r="AT127" s="24">
        <f>ROUND(P127-Z127-AJ127,2)</f>
        <v/>
      </c>
      <c r="AU127" s="24">
        <f>ROUND(Q127-AA127-AK127,2)</f>
        <v/>
      </c>
      <c r="AV127" s="24">
        <f>ROUND(R127-AB127-AL127,2)</f>
        <v/>
      </c>
      <c r="AW127" s="24">
        <f>ROUND(S127-AC127-AM127,2)</f>
        <v/>
      </c>
      <c r="AX127" s="24">
        <f>ROUND(T127-AD127-AN127,2)</f>
        <v/>
      </c>
      <c r="AY127" s="24">
        <f>ROUND(U127-AE127-AO127,2)</f>
        <v/>
      </c>
      <c r="AZ127" s="24">
        <f>ROUND(V127-AF127-AP127,2)</f>
        <v/>
      </c>
      <c r="BA127" s="24">
        <f>ROUND(W127-AG127-AQ127,2)</f>
        <v/>
      </c>
      <c r="BB127" s="24">
        <f>SUM(AR127:BA127)</f>
        <v/>
      </c>
    </row>
    <row r="128">
      <c r="A128" t="n">
        <v>124</v>
      </c>
      <c r="B128" s="23">
        <f>EOMONTH(TODAY(),123)</f>
        <v/>
      </c>
      <c r="C128" s="24">
        <f>MAX(0,(SUM('My Loans'!$E$6:$E$15)+'My Loans'!$D$3)-SUM($X128:$AG128))</f>
        <v/>
      </c>
      <c r="D128" s="24">
        <f>MAX(0,AR127)</f>
        <v/>
      </c>
      <c r="E128" s="24">
        <f>MAX(0,AS127)</f>
        <v/>
      </c>
      <c r="F128" s="24">
        <f>MAX(0,AT127)</f>
        <v/>
      </c>
      <c r="G128" s="24">
        <f>MAX(0,AU127)</f>
        <v/>
      </c>
      <c r="H128" s="24">
        <f>MAX(0,AV127)</f>
        <v/>
      </c>
      <c r="I128" s="24">
        <f>MAX(0,AW127)</f>
        <v/>
      </c>
      <c r="J128" s="24">
        <f>MAX(0,AX127)</f>
        <v/>
      </c>
      <c r="K128" s="24">
        <f>MAX(0,AY127)</f>
        <v/>
      </c>
      <c r="L128" s="24">
        <f>MAX(0,AZ127)</f>
        <v/>
      </c>
      <c r="M128" s="24">
        <f>MAX(0,BA127)</f>
        <v/>
      </c>
      <c r="N128" s="24">
        <f>IF(D128&lt;0.5,0,D128*(1+N('My Loans'!D6)/1200))</f>
        <v/>
      </c>
      <c r="O128" s="24">
        <f>IF(E128&lt;0.5,0,E128*(1+N('My Loans'!D7)/1200))</f>
        <v/>
      </c>
      <c r="P128" s="24">
        <f>IF(F128&lt;0.5,0,F128*(1+N('My Loans'!D8)/1200))</f>
        <v/>
      </c>
      <c r="Q128" s="24">
        <f>IF(G128&lt;0.5,0,G128*(1+N('My Loans'!D9)/1200))</f>
        <v/>
      </c>
      <c r="R128" s="24">
        <f>IF(H128&lt;0.5,0,H128*(1+N('My Loans'!D10)/1200))</f>
        <v/>
      </c>
      <c r="S128" s="24">
        <f>IF(I128&lt;0.5,0,I128*(1+N('My Loans'!D11)/1200))</f>
        <v/>
      </c>
      <c r="T128" s="24">
        <f>IF(J128&lt;0.5,0,J128*(1+N('My Loans'!D12)/1200))</f>
        <v/>
      </c>
      <c r="U128" s="24">
        <f>IF(K128&lt;0.5,0,K128*(1+N('My Loans'!D13)/1200))</f>
        <v/>
      </c>
      <c r="V128" s="24">
        <f>IF(L128&lt;0.5,0,L128*(1+N('My Loans'!D14)/1200))</f>
        <v/>
      </c>
      <c r="W128" s="24">
        <f>IF(M128&lt;0.5,0,M128*(1+N('My Loans'!D15)/1200))</f>
        <v/>
      </c>
      <c r="X128" s="24">
        <f>MIN(N128,N('My Loans'!E6))</f>
        <v/>
      </c>
      <c r="Y128" s="24">
        <f>MIN(O128,N('My Loans'!E7))</f>
        <v/>
      </c>
      <c r="Z128" s="24">
        <f>MIN(P128,N('My Loans'!E8))</f>
        <v/>
      </c>
      <c r="AA128" s="24">
        <f>MIN(Q128,N('My Loans'!E9))</f>
        <v/>
      </c>
      <c r="AB128" s="24">
        <f>MIN(R128,N('My Loans'!E10))</f>
        <v/>
      </c>
      <c r="AC128" s="24">
        <f>MIN(S128,N('My Loans'!E11))</f>
        <v/>
      </c>
      <c r="AD128" s="24">
        <f>MIN(T128,N('My Loans'!E12))</f>
        <v/>
      </c>
      <c r="AE128" s="24">
        <f>MIN(U128,N('My Loans'!E13))</f>
        <v/>
      </c>
      <c r="AF128" s="24">
        <f>MIN(V128,N('My Loans'!E14))</f>
        <v/>
      </c>
      <c r="AG128" s="24">
        <f>MIN(W128,N('My Loans'!E15))</f>
        <v/>
      </c>
      <c r="AH128" s="24">
        <f>MIN(N128-X128,MAX(0,$C128-SUMPRODUCT(($D$3:$M$3&lt;D$3)*($N128:$W128-$X128:$AG128))))</f>
        <v/>
      </c>
      <c r="AI128" s="24">
        <f>MIN(O128-Y128,MAX(0,$C128-SUMPRODUCT(($D$3:$M$3&lt;E$3)*($N128:$W128-$X128:$AG128))))</f>
        <v/>
      </c>
      <c r="AJ128" s="24">
        <f>MIN(P128-Z128,MAX(0,$C128-SUMPRODUCT(($D$3:$M$3&lt;F$3)*($N128:$W128-$X128:$AG128))))</f>
        <v/>
      </c>
      <c r="AK128" s="24">
        <f>MIN(Q128-AA128,MAX(0,$C128-SUMPRODUCT(($D$3:$M$3&lt;G$3)*($N128:$W128-$X128:$AG128))))</f>
        <v/>
      </c>
      <c r="AL128" s="24">
        <f>MIN(R128-AB128,MAX(0,$C128-SUMPRODUCT(($D$3:$M$3&lt;H$3)*($N128:$W128-$X128:$AG128))))</f>
        <v/>
      </c>
      <c r="AM128" s="24">
        <f>MIN(S128-AC128,MAX(0,$C128-SUMPRODUCT(($D$3:$M$3&lt;I$3)*($N128:$W128-$X128:$AG128))))</f>
        <v/>
      </c>
      <c r="AN128" s="24">
        <f>MIN(T128-AD128,MAX(0,$C128-SUMPRODUCT(($D$3:$M$3&lt;J$3)*($N128:$W128-$X128:$AG128))))</f>
        <v/>
      </c>
      <c r="AO128" s="24">
        <f>MIN(U128-AE128,MAX(0,$C128-SUMPRODUCT(($D$3:$M$3&lt;K$3)*($N128:$W128-$X128:$AG128))))</f>
        <v/>
      </c>
      <c r="AP128" s="24">
        <f>MIN(V128-AF128,MAX(0,$C128-SUMPRODUCT(($D$3:$M$3&lt;L$3)*($N128:$W128-$X128:$AG128))))</f>
        <v/>
      </c>
      <c r="AQ128" s="24">
        <f>MIN(W128-AG128,MAX(0,$C128-SUMPRODUCT(($D$3:$M$3&lt;M$3)*($N128:$W128-$X128:$AG128))))</f>
        <v/>
      </c>
      <c r="AR128" s="24">
        <f>ROUND(N128-X128-AH128,2)</f>
        <v/>
      </c>
      <c r="AS128" s="24">
        <f>ROUND(O128-Y128-AI128,2)</f>
        <v/>
      </c>
      <c r="AT128" s="24">
        <f>ROUND(P128-Z128-AJ128,2)</f>
        <v/>
      </c>
      <c r="AU128" s="24">
        <f>ROUND(Q128-AA128-AK128,2)</f>
        <v/>
      </c>
      <c r="AV128" s="24">
        <f>ROUND(R128-AB128-AL128,2)</f>
        <v/>
      </c>
      <c r="AW128" s="24">
        <f>ROUND(S128-AC128-AM128,2)</f>
        <v/>
      </c>
      <c r="AX128" s="24">
        <f>ROUND(T128-AD128-AN128,2)</f>
        <v/>
      </c>
      <c r="AY128" s="24">
        <f>ROUND(U128-AE128-AO128,2)</f>
        <v/>
      </c>
      <c r="AZ128" s="24">
        <f>ROUND(V128-AF128-AP128,2)</f>
        <v/>
      </c>
      <c r="BA128" s="24">
        <f>ROUND(W128-AG128-AQ128,2)</f>
        <v/>
      </c>
      <c r="BB128" s="24">
        <f>SUM(AR128:BA128)</f>
        <v/>
      </c>
    </row>
    <row r="129">
      <c r="A129" t="n">
        <v>125</v>
      </c>
      <c r="B129" s="23">
        <f>EOMONTH(TODAY(),124)</f>
        <v/>
      </c>
      <c r="C129" s="24">
        <f>MAX(0,(SUM('My Loans'!$E$6:$E$15)+'My Loans'!$D$3)-SUM($X129:$AG129))</f>
        <v/>
      </c>
      <c r="D129" s="24">
        <f>MAX(0,AR128)</f>
        <v/>
      </c>
      <c r="E129" s="24">
        <f>MAX(0,AS128)</f>
        <v/>
      </c>
      <c r="F129" s="24">
        <f>MAX(0,AT128)</f>
        <v/>
      </c>
      <c r="G129" s="24">
        <f>MAX(0,AU128)</f>
        <v/>
      </c>
      <c r="H129" s="24">
        <f>MAX(0,AV128)</f>
        <v/>
      </c>
      <c r="I129" s="24">
        <f>MAX(0,AW128)</f>
        <v/>
      </c>
      <c r="J129" s="24">
        <f>MAX(0,AX128)</f>
        <v/>
      </c>
      <c r="K129" s="24">
        <f>MAX(0,AY128)</f>
        <v/>
      </c>
      <c r="L129" s="24">
        <f>MAX(0,AZ128)</f>
        <v/>
      </c>
      <c r="M129" s="24">
        <f>MAX(0,BA128)</f>
        <v/>
      </c>
      <c r="N129" s="24">
        <f>IF(D129&lt;0.5,0,D129*(1+N('My Loans'!D6)/1200))</f>
        <v/>
      </c>
      <c r="O129" s="24">
        <f>IF(E129&lt;0.5,0,E129*(1+N('My Loans'!D7)/1200))</f>
        <v/>
      </c>
      <c r="P129" s="24">
        <f>IF(F129&lt;0.5,0,F129*(1+N('My Loans'!D8)/1200))</f>
        <v/>
      </c>
      <c r="Q129" s="24">
        <f>IF(G129&lt;0.5,0,G129*(1+N('My Loans'!D9)/1200))</f>
        <v/>
      </c>
      <c r="R129" s="24">
        <f>IF(H129&lt;0.5,0,H129*(1+N('My Loans'!D10)/1200))</f>
        <v/>
      </c>
      <c r="S129" s="24">
        <f>IF(I129&lt;0.5,0,I129*(1+N('My Loans'!D11)/1200))</f>
        <v/>
      </c>
      <c r="T129" s="24">
        <f>IF(J129&lt;0.5,0,J129*(1+N('My Loans'!D12)/1200))</f>
        <v/>
      </c>
      <c r="U129" s="24">
        <f>IF(K129&lt;0.5,0,K129*(1+N('My Loans'!D13)/1200))</f>
        <v/>
      </c>
      <c r="V129" s="24">
        <f>IF(L129&lt;0.5,0,L129*(1+N('My Loans'!D14)/1200))</f>
        <v/>
      </c>
      <c r="W129" s="24">
        <f>IF(M129&lt;0.5,0,M129*(1+N('My Loans'!D15)/1200))</f>
        <v/>
      </c>
      <c r="X129" s="24">
        <f>MIN(N129,N('My Loans'!E6))</f>
        <v/>
      </c>
      <c r="Y129" s="24">
        <f>MIN(O129,N('My Loans'!E7))</f>
        <v/>
      </c>
      <c r="Z129" s="24">
        <f>MIN(P129,N('My Loans'!E8))</f>
        <v/>
      </c>
      <c r="AA129" s="24">
        <f>MIN(Q129,N('My Loans'!E9))</f>
        <v/>
      </c>
      <c r="AB129" s="24">
        <f>MIN(R129,N('My Loans'!E10))</f>
        <v/>
      </c>
      <c r="AC129" s="24">
        <f>MIN(S129,N('My Loans'!E11))</f>
        <v/>
      </c>
      <c r="AD129" s="24">
        <f>MIN(T129,N('My Loans'!E12))</f>
        <v/>
      </c>
      <c r="AE129" s="24">
        <f>MIN(U129,N('My Loans'!E13))</f>
        <v/>
      </c>
      <c r="AF129" s="24">
        <f>MIN(V129,N('My Loans'!E14))</f>
        <v/>
      </c>
      <c r="AG129" s="24">
        <f>MIN(W129,N('My Loans'!E15))</f>
        <v/>
      </c>
      <c r="AH129" s="24">
        <f>MIN(N129-X129,MAX(0,$C129-SUMPRODUCT(($D$3:$M$3&lt;D$3)*($N129:$W129-$X129:$AG129))))</f>
        <v/>
      </c>
      <c r="AI129" s="24">
        <f>MIN(O129-Y129,MAX(0,$C129-SUMPRODUCT(($D$3:$M$3&lt;E$3)*($N129:$W129-$X129:$AG129))))</f>
        <v/>
      </c>
      <c r="AJ129" s="24">
        <f>MIN(P129-Z129,MAX(0,$C129-SUMPRODUCT(($D$3:$M$3&lt;F$3)*($N129:$W129-$X129:$AG129))))</f>
        <v/>
      </c>
      <c r="AK129" s="24">
        <f>MIN(Q129-AA129,MAX(0,$C129-SUMPRODUCT(($D$3:$M$3&lt;G$3)*($N129:$W129-$X129:$AG129))))</f>
        <v/>
      </c>
      <c r="AL129" s="24">
        <f>MIN(R129-AB129,MAX(0,$C129-SUMPRODUCT(($D$3:$M$3&lt;H$3)*($N129:$W129-$X129:$AG129))))</f>
        <v/>
      </c>
      <c r="AM129" s="24">
        <f>MIN(S129-AC129,MAX(0,$C129-SUMPRODUCT(($D$3:$M$3&lt;I$3)*($N129:$W129-$X129:$AG129))))</f>
        <v/>
      </c>
      <c r="AN129" s="24">
        <f>MIN(T129-AD129,MAX(0,$C129-SUMPRODUCT(($D$3:$M$3&lt;J$3)*($N129:$W129-$X129:$AG129))))</f>
        <v/>
      </c>
      <c r="AO129" s="24">
        <f>MIN(U129-AE129,MAX(0,$C129-SUMPRODUCT(($D$3:$M$3&lt;K$3)*($N129:$W129-$X129:$AG129))))</f>
        <v/>
      </c>
      <c r="AP129" s="24">
        <f>MIN(V129-AF129,MAX(0,$C129-SUMPRODUCT(($D$3:$M$3&lt;L$3)*($N129:$W129-$X129:$AG129))))</f>
        <v/>
      </c>
      <c r="AQ129" s="24">
        <f>MIN(W129-AG129,MAX(0,$C129-SUMPRODUCT(($D$3:$M$3&lt;M$3)*($N129:$W129-$X129:$AG129))))</f>
        <v/>
      </c>
      <c r="AR129" s="24">
        <f>ROUND(N129-X129-AH129,2)</f>
        <v/>
      </c>
      <c r="AS129" s="24">
        <f>ROUND(O129-Y129-AI129,2)</f>
        <v/>
      </c>
      <c r="AT129" s="24">
        <f>ROUND(P129-Z129-AJ129,2)</f>
        <v/>
      </c>
      <c r="AU129" s="24">
        <f>ROUND(Q129-AA129-AK129,2)</f>
        <v/>
      </c>
      <c r="AV129" s="24">
        <f>ROUND(R129-AB129-AL129,2)</f>
        <v/>
      </c>
      <c r="AW129" s="24">
        <f>ROUND(S129-AC129-AM129,2)</f>
        <v/>
      </c>
      <c r="AX129" s="24">
        <f>ROUND(T129-AD129-AN129,2)</f>
        <v/>
      </c>
      <c r="AY129" s="24">
        <f>ROUND(U129-AE129-AO129,2)</f>
        <v/>
      </c>
      <c r="AZ129" s="24">
        <f>ROUND(V129-AF129-AP129,2)</f>
        <v/>
      </c>
      <c r="BA129" s="24">
        <f>ROUND(W129-AG129-AQ129,2)</f>
        <v/>
      </c>
      <c r="BB129" s="24">
        <f>SUM(AR129:BA129)</f>
        <v/>
      </c>
    </row>
    <row r="130">
      <c r="A130" t="n">
        <v>126</v>
      </c>
      <c r="B130" s="23">
        <f>EOMONTH(TODAY(),125)</f>
        <v/>
      </c>
      <c r="C130" s="24">
        <f>MAX(0,(SUM('My Loans'!$E$6:$E$15)+'My Loans'!$D$3)-SUM($X130:$AG130))</f>
        <v/>
      </c>
      <c r="D130" s="24">
        <f>MAX(0,AR129)</f>
        <v/>
      </c>
      <c r="E130" s="24">
        <f>MAX(0,AS129)</f>
        <v/>
      </c>
      <c r="F130" s="24">
        <f>MAX(0,AT129)</f>
        <v/>
      </c>
      <c r="G130" s="24">
        <f>MAX(0,AU129)</f>
        <v/>
      </c>
      <c r="H130" s="24">
        <f>MAX(0,AV129)</f>
        <v/>
      </c>
      <c r="I130" s="24">
        <f>MAX(0,AW129)</f>
        <v/>
      </c>
      <c r="J130" s="24">
        <f>MAX(0,AX129)</f>
        <v/>
      </c>
      <c r="K130" s="24">
        <f>MAX(0,AY129)</f>
        <v/>
      </c>
      <c r="L130" s="24">
        <f>MAX(0,AZ129)</f>
        <v/>
      </c>
      <c r="M130" s="24">
        <f>MAX(0,BA129)</f>
        <v/>
      </c>
      <c r="N130" s="24">
        <f>IF(D130&lt;0.5,0,D130*(1+N('My Loans'!D6)/1200))</f>
        <v/>
      </c>
      <c r="O130" s="24">
        <f>IF(E130&lt;0.5,0,E130*(1+N('My Loans'!D7)/1200))</f>
        <v/>
      </c>
      <c r="P130" s="24">
        <f>IF(F130&lt;0.5,0,F130*(1+N('My Loans'!D8)/1200))</f>
        <v/>
      </c>
      <c r="Q130" s="24">
        <f>IF(G130&lt;0.5,0,G130*(1+N('My Loans'!D9)/1200))</f>
        <v/>
      </c>
      <c r="R130" s="24">
        <f>IF(H130&lt;0.5,0,H130*(1+N('My Loans'!D10)/1200))</f>
        <v/>
      </c>
      <c r="S130" s="24">
        <f>IF(I130&lt;0.5,0,I130*(1+N('My Loans'!D11)/1200))</f>
        <v/>
      </c>
      <c r="T130" s="24">
        <f>IF(J130&lt;0.5,0,J130*(1+N('My Loans'!D12)/1200))</f>
        <v/>
      </c>
      <c r="U130" s="24">
        <f>IF(K130&lt;0.5,0,K130*(1+N('My Loans'!D13)/1200))</f>
        <v/>
      </c>
      <c r="V130" s="24">
        <f>IF(L130&lt;0.5,0,L130*(1+N('My Loans'!D14)/1200))</f>
        <v/>
      </c>
      <c r="W130" s="24">
        <f>IF(M130&lt;0.5,0,M130*(1+N('My Loans'!D15)/1200))</f>
        <v/>
      </c>
      <c r="X130" s="24">
        <f>MIN(N130,N('My Loans'!E6))</f>
        <v/>
      </c>
      <c r="Y130" s="24">
        <f>MIN(O130,N('My Loans'!E7))</f>
        <v/>
      </c>
      <c r="Z130" s="24">
        <f>MIN(P130,N('My Loans'!E8))</f>
        <v/>
      </c>
      <c r="AA130" s="24">
        <f>MIN(Q130,N('My Loans'!E9))</f>
        <v/>
      </c>
      <c r="AB130" s="24">
        <f>MIN(R130,N('My Loans'!E10))</f>
        <v/>
      </c>
      <c r="AC130" s="24">
        <f>MIN(S130,N('My Loans'!E11))</f>
        <v/>
      </c>
      <c r="AD130" s="24">
        <f>MIN(T130,N('My Loans'!E12))</f>
        <v/>
      </c>
      <c r="AE130" s="24">
        <f>MIN(U130,N('My Loans'!E13))</f>
        <v/>
      </c>
      <c r="AF130" s="24">
        <f>MIN(V130,N('My Loans'!E14))</f>
        <v/>
      </c>
      <c r="AG130" s="24">
        <f>MIN(W130,N('My Loans'!E15))</f>
        <v/>
      </c>
      <c r="AH130" s="24">
        <f>MIN(N130-X130,MAX(0,$C130-SUMPRODUCT(($D$3:$M$3&lt;D$3)*($N130:$W130-$X130:$AG130))))</f>
        <v/>
      </c>
      <c r="AI130" s="24">
        <f>MIN(O130-Y130,MAX(0,$C130-SUMPRODUCT(($D$3:$M$3&lt;E$3)*($N130:$W130-$X130:$AG130))))</f>
        <v/>
      </c>
      <c r="AJ130" s="24">
        <f>MIN(P130-Z130,MAX(0,$C130-SUMPRODUCT(($D$3:$M$3&lt;F$3)*($N130:$W130-$X130:$AG130))))</f>
        <v/>
      </c>
      <c r="AK130" s="24">
        <f>MIN(Q130-AA130,MAX(0,$C130-SUMPRODUCT(($D$3:$M$3&lt;G$3)*($N130:$W130-$X130:$AG130))))</f>
        <v/>
      </c>
      <c r="AL130" s="24">
        <f>MIN(R130-AB130,MAX(0,$C130-SUMPRODUCT(($D$3:$M$3&lt;H$3)*($N130:$W130-$X130:$AG130))))</f>
        <v/>
      </c>
      <c r="AM130" s="24">
        <f>MIN(S130-AC130,MAX(0,$C130-SUMPRODUCT(($D$3:$M$3&lt;I$3)*($N130:$W130-$X130:$AG130))))</f>
        <v/>
      </c>
      <c r="AN130" s="24">
        <f>MIN(T130-AD130,MAX(0,$C130-SUMPRODUCT(($D$3:$M$3&lt;J$3)*($N130:$W130-$X130:$AG130))))</f>
        <v/>
      </c>
      <c r="AO130" s="24">
        <f>MIN(U130-AE130,MAX(0,$C130-SUMPRODUCT(($D$3:$M$3&lt;K$3)*($N130:$W130-$X130:$AG130))))</f>
        <v/>
      </c>
      <c r="AP130" s="24">
        <f>MIN(V130-AF130,MAX(0,$C130-SUMPRODUCT(($D$3:$M$3&lt;L$3)*($N130:$W130-$X130:$AG130))))</f>
        <v/>
      </c>
      <c r="AQ130" s="24">
        <f>MIN(W130-AG130,MAX(0,$C130-SUMPRODUCT(($D$3:$M$3&lt;M$3)*($N130:$W130-$X130:$AG130))))</f>
        <v/>
      </c>
      <c r="AR130" s="24">
        <f>ROUND(N130-X130-AH130,2)</f>
        <v/>
      </c>
      <c r="AS130" s="24">
        <f>ROUND(O130-Y130-AI130,2)</f>
        <v/>
      </c>
      <c r="AT130" s="24">
        <f>ROUND(P130-Z130-AJ130,2)</f>
        <v/>
      </c>
      <c r="AU130" s="24">
        <f>ROUND(Q130-AA130-AK130,2)</f>
        <v/>
      </c>
      <c r="AV130" s="24">
        <f>ROUND(R130-AB130-AL130,2)</f>
        <v/>
      </c>
      <c r="AW130" s="24">
        <f>ROUND(S130-AC130-AM130,2)</f>
        <v/>
      </c>
      <c r="AX130" s="24">
        <f>ROUND(T130-AD130-AN130,2)</f>
        <v/>
      </c>
      <c r="AY130" s="24">
        <f>ROUND(U130-AE130-AO130,2)</f>
        <v/>
      </c>
      <c r="AZ130" s="24">
        <f>ROUND(V130-AF130-AP130,2)</f>
        <v/>
      </c>
      <c r="BA130" s="24">
        <f>ROUND(W130-AG130-AQ130,2)</f>
        <v/>
      </c>
      <c r="BB130" s="24">
        <f>SUM(AR130:BA130)</f>
        <v/>
      </c>
    </row>
    <row r="131">
      <c r="A131" t="n">
        <v>127</v>
      </c>
      <c r="B131" s="23">
        <f>EOMONTH(TODAY(),126)</f>
        <v/>
      </c>
      <c r="C131" s="24">
        <f>MAX(0,(SUM('My Loans'!$E$6:$E$15)+'My Loans'!$D$3)-SUM($X131:$AG131))</f>
        <v/>
      </c>
      <c r="D131" s="24">
        <f>MAX(0,AR130)</f>
        <v/>
      </c>
      <c r="E131" s="24">
        <f>MAX(0,AS130)</f>
        <v/>
      </c>
      <c r="F131" s="24">
        <f>MAX(0,AT130)</f>
        <v/>
      </c>
      <c r="G131" s="24">
        <f>MAX(0,AU130)</f>
        <v/>
      </c>
      <c r="H131" s="24">
        <f>MAX(0,AV130)</f>
        <v/>
      </c>
      <c r="I131" s="24">
        <f>MAX(0,AW130)</f>
        <v/>
      </c>
      <c r="J131" s="24">
        <f>MAX(0,AX130)</f>
        <v/>
      </c>
      <c r="K131" s="24">
        <f>MAX(0,AY130)</f>
        <v/>
      </c>
      <c r="L131" s="24">
        <f>MAX(0,AZ130)</f>
        <v/>
      </c>
      <c r="M131" s="24">
        <f>MAX(0,BA130)</f>
        <v/>
      </c>
      <c r="N131" s="24">
        <f>IF(D131&lt;0.5,0,D131*(1+N('My Loans'!D6)/1200))</f>
        <v/>
      </c>
      <c r="O131" s="24">
        <f>IF(E131&lt;0.5,0,E131*(1+N('My Loans'!D7)/1200))</f>
        <v/>
      </c>
      <c r="P131" s="24">
        <f>IF(F131&lt;0.5,0,F131*(1+N('My Loans'!D8)/1200))</f>
        <v/>
      </c>
      <c r="Q131" s="24">
        <f>IF(G131&lt;0.5,0,G131*(1+N('My Loans'!D9)/1200))</f>
        <v/>
      </c>
      <c r="R131" s="24">
        <f>IF(H131&lt;0.5,0,H131*(1+N('My Loans'!D10)/1200))</f>
        <v/>
      </c>
      <c r="S131" s="24">
        <f>IF(I131&lt;0.5,0,I131*(1+N('My Loans'!D11)/1200))</f>
        <v/>
      </c>
      <c r="T131" s="24">
        <f>IF(J131&lt;0.5,0,J131*(1+N('My Loans'!D12)/1200))</f>
        <v/>
      </c>
      <c r="U131" s="24">
        <f>IF(K131&lt;0.5,0,K131*(1+N('My Loans'!D13)/1200))</f>
        <v/>
      </c>
      <c r="V131" s="24">
        <f>IF(L131&lt;0.5,0,L131*(1+N('My Loans'!D14)/1200))</f>
        <v/>
      </c>
      <c r="W131" s="24">
        <f>IF(M131&lt;0.5,0,M131*(1+N('My Loans'!D15)/1200))</f>
        <v/>
      </c>
      <c r="X131" s="24">
        <f>MIN(N131,N('My Loans'!E6))</f>
        <v/>
      </c>
      <c r="Y131" s="24">
        <f>MIN(O131,N('My Loans'!E7))</f>
        <v/>
      </c>
      <c r="Z131" s="24">
        <f>MIN(P131,N('My Loans'!E8))</f>
        <v/>
      </c>
      <c r="AA131" s="24">
        <f>MIN(Q131,N('My Loans'!E9))</f>
        <v/>
      </c>
      <c r="AB131" s="24">
        <f>MIN(R131,N('My Loans'!E10))</f>
        <v/>
      </c>
      <c r="AC131" s="24">
        <f>MIN(S131,N('My Loans'!E11))</f>
        <v/>
      </c>
      <c r="AD131" s="24">
        <f>MIN(T131,N('My Loans'!E12))</f>
        <v/>
      </c>
      <c r="AE131" s="24">
        <f>MIN(U131,N('My Loans'!E13))</f>
        <v/>
      </c>
      <c r="AF131" s="24">
        <f>MIN(V131,N('My Loans'!E14))</f>
        <v/>
      </c>
      <c r="AG131" s="24">
        <f>MIN(W131,N('My Loans'!E15))</f>
        <v/>
      </c>
      <c r="AH131" s="24">
        <f>MIN(N131-X131,MAX(0,$C131-SUMPRODUCT(($D$3:$M$3&lt;D$3)*($N131:$W131-$X131:$AG131))))</f>
        <v/>
      </c>
      <c r="AI131" s="24">
        <f>MIN(O131-Y131,MAX(0,$C131-SUMPRODUCT(($D$3:$M$3&lt;E$3)*($N131:$W131-$X131:$AG131))))</f>
        <v/>
      </c>
      <c r="AJ131" s="24">
        <f>MIN(P131-Z131,MAX(0,$C131-SUMPRODUCT(($D$3:$M$3&lt;F$3)*($N131:$W131-$X131:$AG131))))</f>
        <v/>
      </c>
      <c r="AK131" s="24">
        <f>MIN(Q131-AA131,MAX(0,$C131-SUMPRODUCT(($D$3:$M$3&lt;G$3)*($N131:$W131-$X131:$AG131))))</f>
        <v/>
      </c>
      <c r="AL131" s="24">
        <f>MIN(R131-AB131,MAX(0,$C131-SUMPRODUCT(($D$3:$M$3&lt;H$3)*($N131:$W131-$X131:$AG131))))</f>
        <v/>
      </c>
      <c r="AM131" s="24">
        <f>MIN(S131-AC131,MAX(0,$C131-SUMPRODUCT(($D$3:$M$3&lt;I$3)*($N131:$W131-$X131:$AG131))))</f>
        <v/>
      </c>
      <c r="AN131" s="24">
        <f>MIN(T131-AD131,MAX(0,$C131-SUMPRODUCT(($D$3:$M$3&lt;J$3)*($N131:$W131-$X131:$AG131))))</f>
        <v/>
      </c>
      <c r="AO131" s="24">
        <f>MIN(U131-AE131,MAX(0,$C131-SUMPRODUCT(($D$3:$M$3&lt;K$3)*($N131:$W131-$X131:$AG131))))</f>
        <v/>
      </c>
      <c r="AP131" s="24">
        <f>MIN(V131-AF131,MAX(0,$C131-SUMPRODUCT(($D$3:$M$3&lt;L$3)*($N131:$W131-$X131:$AG131))))</f>
        <v/>
      </c>
      <c r="AQ131" s="24">
        <f>MIN(W131-AG131,MAX(0,$C131-SUMPRODUCT(($D$3:$M$3&lt;M$3)*($N131:$W131-$X131:$AG131))))</f>
        <v/>
      </c>
      <c r="AR131" s="24">
        <f>ROUND(N131-X131-AH131,2)</f>
        <v/>
      </c>
      <c r="AS131" s="24">
        <f>ROUND(O131-Y131-AI131,2)</f>
        <v/>
      </c>
      <c r="AT131" s="24">
        <f>ROUND(P131-Z131-AJ131,2)</f>
        <v/>
      </c>
      <c r="AU131" s="24">
        <f>ROUND(Q131-AA131-AK131,2)</f>
        <v/>
      </c>
      <c r="AV131" s="24">
        <f>ROUND(R131-AB131-AL131,2)</f>
        <v/>
      </c>
      <c r="AW131" s="24">
        <f>ROUND(S131-AC131-AM131,2)</f>
        <v/>
      </c>
      <c r="AX131" s="24">
        <f>ROUND(T131-AD131-AN131,2)</f>
        <v/>
      </c>
      <c r="AY131" s="24">
        <f>ROUND(U131-AE131-AO131,2)</f>
        <v/>
      </c>
      <c r="AZ131" s="24">
        <f>ROUND(V131-AF131-AP131,2)</f>
        <v/>
      </c>
      <c r="BA131" s="24">
        <f>ROUND(W131-AG131-AQ131,2)</f>
        <v/>
      </c>
      <c r="BB131" s="24">
        <f>SUM(AR131:BA131)</f>
        <v/>
      </c>
    </row>
    <row r="132">
      <c r="A132" t="n">
        <v>128</v>
      </c>
      <c r="B132" s="23">
        <f>EOMONTH(TODAY(),127)</f>
        <v/>
      </c>
      <c r="C132" s="24">
        <f>MAX(0,(SUM('My Loans'!$E$6:$E$15)+'My Loans'!$D$3)-SUM($X132:$AG132))</f>
        <v/>
      </c>
      <c r="D132" s="24">
        <f>MAX(0,AR131)</f>
        <v/>
      </c>
      <c r="E132" s="24">
        <f>MAX(0,AS131)</f>
        <v/>
      </c>
      <c r="F132" s="24">
        <f>MAX(0,AT131)</f>
        <v/>
      </c>
      <c r="G132" s="24">
        <f>MAX(0,AU131)</f>
        <v/>
      </c>
      <c r="H132" s="24">
        <f>MAX(0,AV131)</f>
        <v/>
      </c>
      <c r="I132" s="24">
        <f>MAX(0,AW131)</f>
        <v/>
      </c>
      <c r="J132" s="24">
        <f>MAX(0,AX131)</f>
        <v/>
      </c>
      <c r="K132" s="24">
        <f>MAX(0,AY131)</f>
        <v/>
      </c>
      <c r="L132" s="24">
        <f>MAX(0,AZ131)</f>
        <v/>
      </c>
      <c r="M132" s="24">
        <f>MAX(0,BA131)</f>
        <v/>
      </c>
      <c r="N132" s="24">
        <f>IF(D132&lt;0.5,0,D132*(1+N('My Loans'!D6)/1200))</f>
        <v/>
      </c>
      <c r="O132" s="24">
        <f>IF(E132&lt;0.5,0,E132*(1+N('My Loans'!D7)/1200))</f>
        <v/>
      </c>
      <c r="P132" s="24">
        <f>IF(F132&lt;0.5,0,F132*(1+N('My Loans'!D8)/1200))</f>
        <v/>
      </c>
      <c r="Q132" s="24">
        <f>IF(G132&lt;0.5,0,G132*(1+N('My Loans'!D9)/1200))</f>
        <v/>
      </c>
      <c r="R132" s="24">
        <f>IF(H132&lt;0.5,0,H132*(1+N('My Loans'!D10)/1200))</f>
        <v/>
      </c>
      <c r="S132" s="24">
        <f>IF(I132&lt;0.5,0,I132*(1+N('My Loans'!D11)/1200))</f>
        <v/>
      </c>
      <c r="T132" s="24">
        <f>IF(J132&lt;0.5,0,J132*(1+N('My Loans'!D12)/1200))</f>
        <v/>
      </c>
      <c r="U132" s="24">
        <f>IF(K132&lt;0.5,0,K132*(1+N('My Loans'!D13)/1200))</f>
        <v/>
      </c>
      <c r="V132" s="24">
        <f>IF(L132&lt;0.5,0,L132*(1+N('My Loans'!D14)/1200))</f>
        <v/>
      </c>
      <c r="W132" s="24">
        <f>IF(M132&lt;0.5,0,M132*(1+N('My Loans'!D15)/1200))</f>
        <v/>
      </c>
      <c r="X132" s="24">
        <f>MIN(N132,N('My Loans'!E6))</f>
        <v/>
      </c>
      <c r="Y132" s="24">
        <f>MIN(O132,N('My Loans'!E7))</f>
        <v/>
      </c>
      <c r="Z132" s="24">
        <f>MIN(P132,N('My Loans'!E8))</f>
        <v/>
      </c>
      <c r="AA132" s="24">
        <f>MIN(Q132,N('My Loans'!E9))</f>
        <v/>
      </c>
      <c r="AB132" s="24">
        <f>MIN(R132,N('My Loans'!E10))</f>
        <v/>
      </c>
      <c r="AC132" s="24">
        <f>MIN(S132,N('My Loans'!E11))</f>
        <v/>
      </c>
      <c r="AD132" s="24">
        <f>MIN(T132,N('My Loans'!E12))</f>
        <v/>
      </c>
      <c r="AE132" s="24">
        <f>MIN(U132,N('My Loans'!E13))</f>
        <v/>
      </c>
      <c r="AF132" s="24">
        <f>MIN(V132,N('My Loans'!E14))</f>
        <v/>
      </c>
      <c r="AG132" s="24">
        <f>MIN(W132,N('My Loans'!E15))</f>
        <v/>
      </c>
      <c r="AH132" s="24">
        <f>MIN(N132-X132,MAX(0,$C132-SUMPRODUCT(($D$3:$M$3&lt;D$3)*($N132:$W132-$X132:$AG132))))</f>
        <v/>
      </c>
      <c r="AI132" s="24">
        <f>MIN(O132-Y132,MAX(0,$C132-SUMPRODUCT(($D$3:$M$3&lt;E$3)*($N132:$W132-$X132:$AG132))))</f>
        <v/>
      </c>
      <c r="AJ132" s="24">
        <f>MIN(P132-Z132,MAX(0,$C132-SUMPRODUCT(($D$3:$M$3&lt;F$3)*($N132:$W132-$X132:$AG132))))</f>
        <v/>
      </c>
      <c r="AK132" s="24">
        <f>MIN(Q132-AA132,MAX(0,$C132-SUMPRODUCT(($D$3:$M$3&lt;G$3)*($N132:$W132-$X132:$AG132))))</f>
        <v/>
      </c>
      <c r="AL132" s="24">
        <f>MIN(R132-AB132,MAX(0,$C132-SUMPRODUCT(($D$3:$M$3&lt;H$3)*($N132:$W132-$X132:$AG132))))</f>
        <v/>
      </c>
      <c r="AM132" s="24">
        <f>MIN(S132-AC132,MAX(0,$C132-SUMPRODUCT(($D$3:$M$3&lt;I$3)*($N132:$W132-$X132:$AG132))))</f>
        <v/>
      </c>
      <c r="AN132" s="24">
        <f>MIN(T132-AD132,MAX(0,$C132-SUMPRODUCT(($D$3:$M$3&lt;J$3)*($N132:$W132-$X132:$AG132))))</f>
        <v/>
      </c>
      <c r="AO132" s="24">
        <f>MIN(U132-AE132,MAX(0,$C132-SUMPRODUCT(($D$3:$M$3&lt;K$3)*($N132:$W132-$X132:$AG132))))</f>
        <v/>
      </c>
      <c r="AP132" s="24">
        <f>MIN(V132-AF132,MAX(0,$C132-SUMPRODUCT(($D$3:$M$3&lt;L$3)*($N132:$W132-$X132:$AG132))))</f>
        <v/>
      </c>
      <c r="AQ132" s="24">
        <f>MIN(W132-AG132,MAX(0,$C132-SUMPRODUCT(($D$3:$M$3&lt;M$3)*($N132:$W132-$X132:$AG132))))</f>
        <v/>
      </c>
      <c r="AR132" s="24">
        <f>ROUND(N132-X132-AH132,2)</f>
        <v/>
      </c>
      <c r="AS132" s="24">
        <f>ROUND(O132-Y132-AI132,2)</f>
        <v/>
      </c>
      <c r="AT132" s="24">
        <f>ROUND(P132-Z132-AJ132,2)</f>
        <v/>
      </c>
      <c r="AU132" s="24">
        <f>ROUND(Q132-AA132-AK132,2)</f>
        <v/>
      </c>
      <c r="AV132" s="24">
        <f>ROUND(R132-AB132-AL132,2)</f>
        <v/>
      </c>
      <c r="AW132" s="24">
        <f>ROUND(S132-AC132-AM132,2)</f>
        <v/>
      </c>
      <c r="AX132" s="24">
        <f>ROUND(T132-AD132-AN132,2)</f>
        <v/>
      </c>
      <c r="AY132" s="24">
        <f>ROUND(U132-AE132-AO132,2)</f>
        <v/>
      </c>
      <c r="AZ132" s="24">
        <f>ROUND(V132-AF132-AP132,2)</f>
        <v/>
      </c>
      <c r="BA132" s="24">
        <f>ROUND(W132-AG132-AQ132,2)</f>
        <v/>
      </c>
      <c r="BB132" s="24">
        <f>SUM(AR132:BA132)</f>
        <v/>
      </c>
    </row>
    <row r="133">
      <c r="A133" t="n">
        <v>129</v>
      </c>
      <c r="B133" s="23">
        <f>EOMONTH(TODAY(),128)</f>
        <v/>
      </c>
      <c r="C133" s="24">
        <f>MAX(0,(SUM('My Loans'!$E$6:$E$15)+'My Loans'!$D$3)-SUM($X133:$AG133))</f>
        <v/>
      </c>
      <c r="D133" s="24">
        <f>MAX(0,AR132)</f>
        <v/>
      </c>
      <c r="E133" s="24">
        <f>MAX(0,AS132)</f>
        <v/>
      </c>
      <c r="F133" s="24">
        <f>MAX(0,AT132)</f>
        <v/>
      </c>
      <c r="G133" s="24">
        <f>MAX(0,AU132)</f>
        <v/>
      </c>
      <c r="H133" s="24">
        <f>MAX(0,AV132)</f>
        <v/>
      </c>
      <c r="I133" s="24">
        <f>MAX(0,AW132)</f>
        <v/>
      </c>
      <c r="J133" s="24">
        <f>MAX(0,AX132)</f>
        <v/>
      </c>
      <c r="K133" s="24">
        <f>MAX(0,AY132)</f>
        <v/>
      </c>
      <c r="L133" s="24">
        <f>MAX(0,AZ132)</f>
        <v/>
      </c>
      <c r="M133" s="24">
        <f>MAX(0,BA132)</f>
        <v/>
      </c>
      <c r="N133" s="24">
        <f>IF(D133&lt;0.5,0,D133*(1+N('My Loans'!D6)/1200))</f>
        <v/>
      </c>
      <c r="O133" s="24">
        <f>IF(E133&lt;0.5,0,E133*(1+N('My Loans'!D7)/1200))</f>
        <v/>
      </c>
      <c r="P133" s="24">
        <f>IF(F133&lt;0.5,0,F133*(1+N('My Loans'!D8)/1200))</f>
        <v/>
      </c>
      <c r="Q133" s="24">
        <f>IF(G133&lt;0.5,0,G133*(1+N('My Loans'!D9)/1200))</f>
        <v/>
      </c>
      <c r="R133" s="24">
        <f>IF(H133&lt;0.5,0,H133*(1+N('My Loans'!D10)/1200))</f>
        <v/>
      </c>
      <c r="S133" s="24">
        <f>IF(I133&lt;0.5,0,I133*(1+N('My Loans'!D11)/1200))</f>
        <v/>
      </c>
      <c r="T133" s="24">
        <f>IF(J133&lt;0.5,0,J133*(1+N('My Loans'!D12)/1200))</f>
        <v/>
      </c>
      <c r="U133" s="24">
        <f>IF(K133&lt;0.5,0,K133*(1+N('My Loans'!D13)/1200))</f>
        <v/>
      </c>
      <c r="V133" s="24">
        <f>IF(L133&lt;0.5,0,L133*(1+N('My Loans'!D14)/1200))</f>
        <v/>
      </c>
      <c r="W133" s="24">
        <f>IF(M133&lt;0.5,0,M133*(1+N('My Loans'!D15)/1200))</f>
        <v/>
      </c>
      <c r="X133" s="24">
        <f>MIN(N133,N('My Loans'!E6))</f>
        <v/>
      </c>
      <c r="Y133" s="24">
        <f>MIN(O133,N('My Loans'!E7))</f>
        <v/>
      </c>
      <c r="Z133" s="24">
        <f>MIN(P133,N('My Loans'!E8))</f>
        <v/>
      </c>
      <c r="AA133" s="24">
        <f>MIN(Q133,N('My Loans'!E9))</f>
        <v/>
      </c>
      <c r="AB133" s="24">
        <f>MIN(R133,N('My Loans'!E10))</f>
        <v/>
      </c>
      <c r="AC133" s="24">
        <f>MIN(S133,N('My Loans'!E11))</f>
        <v/>
      </c>
      <c r="AD133" s="24">
        <f>MIN(T133,N('My Loans'!E12))</f>
        <v/>
      </c>
      <c r="AE133" s="24">
        <f>MIN(U133,N('My Loans'!E13))</f>
        <v/>
      </c>
      <c r="AF133" s="24">
        <f>MIN(V133,N('My Loans'!E14))</f>
        <v/>
      </c>
      <c r="AG133" s="24">
        <f>MIN(W133,N('My Loans'!E15))</f>
        <v/>
      </c>
      <c r="AH133" s="24">
        <f>MIN(N133-X133,MAX(0,$C133-SUMPRODUCT(($D$3:$M$3&lt;D$3)*($N133:$W133-$X133:$AG133))))</f>
        <v/>
      </c>
      <c r="AI133" s="24">
        <f>MIN(O133-Y133,MAX(0,$C133-SUMPRODUCT(($D$3:$M$3&lt;E$3)*($N133:$W133-$X133:$AG133))))</f>
        <v/>
      </c>
      <c r="AJ133" s="24">
        <f>MIN(P133-Z133,MAX(0,$C133-SUMPRODUCT(($D$3:$M$3&lt;F$3)*($N133:$W133-$X133:$AG133))))</f>
        <v/>
      </c>
      <c r="AK133" s="24">
        <f>MIN(Q133-AA133,MAX(0,$C133-SUMPRODUCT(($D$3:$M$3&lt;G$3)*($N133:$W133-$X133:$AG133))))</f>
        <v/>
      </c>
      <c r="AL133" s="24">
        <f>MIN(R133-AB133,MAX(0,$C133-SUMPRODUCT(($D$3:$M$3&lt;H$3)*($N133:$W133-$X133:$AG133))))</f>
        <v/>
      </c>
      <c r="AM133" s="24">
        <f>MIN(S133-AC133,MAX(0,$C133-SUMPRODUCT(($D$3:$M$3&lt;I$3)*($N133:$W133-$X133:$AG133))))</f>
        <v/>
      </c>
      <c r="AN133" s="24">
        <f>MIN(T133-AD133,MAX(0,$C133-SUMPRODUCT(($D$3:$M$3&lt;J$3)*($N133:$W133-$X133:$AG133))))</f>
        <v/>
      </c>
      <c r="AO133" s="24">
        <f>MIN(U133-AE133,MAX(0,$C133-SUMPRODUCT(($D$3:$M$3&lt;K$3)*($N133:$W133-$X133:$AG133))))</f>
        <v/>
      </c>
      <c r="AP133" s="24">
        <f>MIN(V133-AF133,MAX(0,$C133-SUMPRODUCT(($D$3:$M$3&lt;L$3)*($N133:$W133-$X133:$AG133))))</f>
        <v/>
      </c>
      <c r="AQ133" s="24">
        <f>MIN(W133-AG133,MAX(0,$C133-SUMPRODUCT(($D$3:$M$3&lt;M$3)*($N133:$W133-$X133:$AG133))))</f>
        <v/>
      </c>
      <c r="AR133" s="24">
        <f>ROUND(N133-X133-AH133,2)</f>
        <v/>
      </c>
      <c r="AS133" s="24">
        <f>ROUND(O133-Y133-AI133,2)</f>
        <v/>
      </c>
      <c r="AT133" s="24">
        <f>ROUND(P133-Z133-AJ133,2)</f>
        <v/>
      </c>
      <c r="AU133" s="24">
        <f>ROUND(Q133-AA133-AK133,2)</f>
        <v/>
      </c>
      <c r="AV133" s="24">
        <f>ROUND(R133-AB133-AL133,2)</f>
        <v/>
      </c>
      <c r="AW133" s="24">
        <f>ROUND(S133-AC133-AM133,2)</f>
        <v/>
      </c>
      <c r="AX133" s="24">
        <f>ROUND(T133-AD133-AN133,2)</f>
        <v/>
      </c>
      <c r="AY133" s="24">
        <f>ROUND(U133-AE133-AO133,2)</f>
        <v/>
      </c>
      <c r="AZ133" s="24">
        <f>ROUND(V133-AF133-AP133,2)</f>
        <v/>
      </c>
      <c r="BA133" s="24">
        <f>ROUND(W133-AG133-AQ133,2)</f>
        <v/>
      </c>
      <c r="BB133" s="24">
        <f>SUM(AR133:BA133)</f>
        <v/>
      </c>
    </row>
    <row r="134">
      <c r="A134" t="n">
        <v>130</v>
      </c>
      <c r="B134" s="23">
        <f>EOMONTH(TODAY(),129)</f>
        <v/>
      </c>
      <c r="C134" s="24">
        <f>MAX(0,(SUM('My Loans'!$E$6:$E$15)+'My Loans'!$D$3)-SUM($X134:$AG134))</f>
        <v/>
      </c>
      <c r="D134" s="24">
        <f>MAX(0,AR133)</f>
        <v/>
      </c>
      <c r="E134" s="24">
        <f>MAX(0,AS133)</f>
        <v/>
      </c>
      <c r="F134" s="24">
        <f>MAX(0,AT133)</f>
        <v/>
      </c>
      <c r="G134" s="24">
        <f>MAX(0,AU133)</f>
        <v/>
      </c>
      <c r="H134" s="24">
        <f>MAX(0,AV133)</f>
        <v/>
      </c>
      <c r="I134" s="24">
        <f>MAX(0,AW133)</f>
        <v/>
      </c>
      <c r="J134" s="24">
        <f>MAX(0,AX133)</f>
        <v/>
      </c>
      <c r="K134" s="24">
        <f>MAX(0,AY133)</f>
        <v/>
      </c>
      <c r="L134" s="24">
        <f>MAX(0,AZ133)</f>
        <v/>
      </c>
      <c r="M134" s="24">
        <f>MAX(0,BA133)</f>
        <v/>
      </c>
      <c r="N134" s="24">
        <f>IF(D134&lt;0.5,0,D134*(1+N('My Loans'!D6)/1200))</f>
        <v/>
      </c>
      <c r="O134" s="24">
        <f>IF(E134&lt;0.5,0,E134*(1+N('My Loans'!D7)/1200))</f>
        <v/>
      </c>
      <c r="P134" s="24">
        <f>IF(F134&lt;0.5,0,F134*(1+N('My Loans'!D8)/1200))</f>
        <v/>
      </c>
      <c r="Q134" s="24">
        <f>IF(G134&lt;0.5,0,G134*(1+N('My Loans'!D9)/1200))</f>
        <v/>
      </c>
      <c r="R134" s="24">
        <f>IF(H134&lt;0.5,0,H134*(1+N('My Loans'!D10)/1200))</f>
        <v/>
      </c>
      <c r="S134" s="24">
        <f>IF(I134&lt;0.5,0,I134*(1+N('My Loans'!D11)/1200))</f>
        <v/>
      </c>
      <c r="T134" s="24">
        <f>IF(J134&lt;0.5,0,J134*(1+N('My Loans'!D12)/1200))</f>
        <v/>
      </c>
      <c r="U134" s="24">
        <f>IF(K134&lt;0.5,0,K134*(1+N('My Loans'!D13)/1200))</f>
        <v/>
      </c>
      <c r="V134" s="24">
        <f>IF(L134&lt;0.5,0,L134*(1+N('My Loans'!D14)/1200))</f>
        <v/>
      </c>
      <c r="W134" s="24">
        <f>IF(M134&lt;0.5,0,M134*(1+N('My Loans'!D15)/1200))</f>
        <v/>
      </c>
      <c r="X134" s="24">
        <f>MIN(N134,N('My Loans'!E6))</f>
        <v/>
      </c>
      <c r="Y134" s="24">
        <f>MIN(O134,N('My Loans'!E7))</f>
        <v/>
      </c>
      <c r="Z134" s="24">
        <f>MIN(P134,N('My Loans'!E8))</f>
        <v/>
      </c>
      <c r="AA134" s="24">
        <f>MIN(Q134,N('My Loans'!E9))</f>
        <v/>
      </c>
      <c r="AB134" s="24">
        <f>MIN(R134,N('My Loans'!E10))</f>
        <v/>
      </c>
      <c r="AC134" s="24">
        <f>MIN(S134,N('My Loans'!E11))</f>
        <v/>
      </c>
      <c r="AD134" s="24">
        <f>MIN(T134,N('My Loans'!E12))</f>
        <v/>
      </c>
      <c r="AE134" s="24">
        <f>MIN(U134,N('My Loans'!E13))</f>
        <v/>
      </c>
      <c r="AF134" s="24">
        <f>MIN(V134,N('My Loans'!E14))</f>
        <v/>
      </c>
      <c r="AG134" s="24">
        <f>MIN(W134,N('My Loans'!E15))</f>
        <v/>
      </c>
      <c r="AH134" s="24">
        <f>MIN(N134-X134,MAX(0,$C134-SUMPRODUCT(($D$3:$M$3&lt;D$3)*($N134:$W134-$X134:$AG134))))</f>
        <v/>
      </c>
      <c r="AI134" s="24">
        <f>MIN(O134-Y134,MAX(0,$C134-SUMPRODUCT(($D$3:$M$3&lt;E$3)*($N134:$W134-$X134:$AG134))))</f>
        <v/>
      </c>
      <c r="AJ134" s="24">
        <f>MIN(P134-Z134,MAX(0,$C134-SUMPRODUCT(($D$3:$M$3&lt;F$3)*($N134:$W134-$X134:$AG134))))</f>
        <v/>
      </c>
      <c r="AK134" s="24">
        <f>MIN(Q134-AA134,MAX(0,$C134-SUMPRODUCT(($D$3:$M$3&lt;G$3)*($N134:$W134-$X134:$AG134))))</f>
        <v/>
      </c>
      <c r="AL134" s="24">
        <f>MIN(R134-AB134,MAX(0,$C134-SUMPRODUCT(($D$3:$M$3&lt;H$3)*($N134:$W134-$X134:$AG134))))</f>
        <v/>
      </c>
      <c r="AM134" s="24">
        <f>MIN(S134-AC134,MAX(0,$C134-SUMPRODUCT(($D$3:$M$3&lt;I$3)*($N134:$W134-$X134:$AG134))))</f>
        <v/>
      </c>
      <c r="AN134" s="24">
        <f>MIN(T134-AD134,MAX(0,$C134-SUMPRODUCT(($D$3:$M$3&lt;J$3)*($N134:$W134-$X134:$AG134))))</f>
        <v/>
      </c>
      <c r="AO134" s="24">
        <f>MIN(U134-AE134,MAX(0,$C134-SUMPRODUCT(($D$3:$M$3&lt;K$3)*($N134:$W134-$X134:$AG134))))</f>
        <v/>
      </c>
      <c r="AP134" s="24">
        <f>MIN(V134-AF134,MAX(0,$C134-SUMPRODUCT(($D$3:$M$3&lt;L$3)*($N134:$W134-$X134:$AG134))))</f>
        <v/>
      </c>
      <c r="AQ134" s="24">
        <f>MIN(W134-AG134,MAX(0,$C134-SUMPRODUCT(($D$3:$M$3&lt;M$3)*($N134:$W134-$X134:$AG134))))</f>
        <v/>
      </c>
      <c r="AR134" s="24">
        <f>ROUND(N134-X134-AH134,2)</f>
        <v/>
      </c>
      <c r="AS134" s="24">
        <f>ROUND(O134-Y134-AI134,2)</f>
        <v/>
      </c>
      <c r="AT134" s="24">
        <f>ROUND(P134-Z134-AJ134,2)</f>
        <v/>
      </c>
      <c r="AU134" s="24">
        <f>ROUND(Q134-AA134-AK134,2)</f>
        <v/>
      </c>
      <c r="AV134" s="24">
        <f>ROUND(R134-AB134-AL134,2)</f>
        <v/>
      </c>
      <c r="AW134" s="24">
        <f>ROUND(S134-AC134-AM134,2)</f>
        <v/>
      </c>
      <c r="AX134" s="24">
        <f>ROUND(T134-AD134-AN134,2)</f>
        <v/>
      </c>
      <c r="AY134" s="24">
        <f>ROUND(U134-AE134-AO134,2)</f>
        <v/>
      </c>
      <c r="AZ134" s="24">
        <f>ROUND(V134-AF134-AP134,2)</f>
        <v/>
      </c>
      <c r="BA134" s="24">
        <f>ROUND(W134-AG134-AQ134,2)</f>
        <v/>
      </c>
      <c r="BB134" s="24">
        <f>SUM(AR134:BA134)</f>
        <v/>
      </c>
    </row>
    <row r="135">
      <c r="A135" t="n">
        <v>131</v>
      </c>
      <c r="B135" s="23">
        <f>EOMONTH(TODAY(),130)</f>
        <v/>
      </c>
      <c r="C135" s="24">
        <f>MAX(0,(SUM('My Loans'!$E$6:$E$15)+'My Loans'!$D$3)-SUM($X135:$AG135))</f>
        <v/>
      </c>
      <c r="D135" s="24">
        <f>MAX(0,AR134)</f>
        <v/>
      </c>
      <c r="E135" s="24">
        <f>MAX(0,AS134)</f>
        <v/>
      </c>
      <c r="F135" s="24">
        <f>MAX(0,AT134)</f>
        <v/>
      </c>
      <c r="G135" s="24">
        <f>MAX(0,AU134)</f>
        <v/>
      </c>
      <c r="H135" s="24">
        <f>MAX(0,AV134)</f>
        <v/>
      </c>
      <c r="I135" s="24">
        <f>MAX(0,AW134)</f>
        <v/>
      </c>
      <c r="J135" s="24">
        <f>MAX(0,AX134)</f>
        <v/>
      </c>
      <c r="K135" s="24">
        <f>MAX(0,AY134)</f>
        <v/>
      </c>
      <c r="L135" s="24">
        <f>MAX(0,AZ134)</f>
        <v/>
      </c>
      <c r="M135" s="24">
        <f>MAX(0,BA134)</f>
        <v/>
      </c>
      <c r="N135" s="24">
        <f>IF(D135&lt;0.5,0,D135*(1+N('My Loans'!D6)/1200))</f>
        <v/>
      </c>
      <c r="O135" s="24">
        <f>IF(E135&lt;0.5,0,E135*(1+N('My Loans'!D7)/1200))</f>
        <v/>
      </c>
      <c r="P135" s="24">
        <f>IF(F135&lt;0.5,0,F135*(1+N('My Loans'!D8)/1200))</f>
        <v/>
      </c>
      <c r="Q135" s="24">
        <f>IF(G135&lt;0.5,0,G135*(1+N('My Loans'!D9)/1200))</f>
        <v/>
      </c>
      <c r="R135" s="24">
        <f>IF(H135&lt;0.5,0,H135*(1+N('My Loans'!D10)/1200))</f>
        <v/>
      </c>
      <c r="S135" s="24">
        <f>IF(I135&lt;0.5,0,I135*(1+N('My Loans'!D11)/1200))</f>
        <v/>
      </c>
      <c r="T135" s="24">
        <f>IF(J135&lt;0.5,0,J135*(1+N('My Loans'!D12)/1200))</f>
        <v/>
      </c>
      <c r="U135" s="24">
        <f>IF(K135&lt;0.5,0,K135*(1+N('My Loans'!D13)/1200))</f>
        <v/>
      </c>
      <c r="V135" s="24">
        <f>IF(L135&lt;0.5,0,L135*(1+N('My Loans'!D14)/1200))</f>
        <v/>
      </c>
      <c r="W135" s="24">
        <f>IF(M135&lt;0.5,0,M135*(1+N('My Loans'!D15)/1200))</f>
        <v/>
      </c>
      <c r="X135" s="24">
        <f>MIN(N135,N('My Loans'!E6))</f>
        <v/>
      </c>
      <c r="Y135" s="24">
        <f>MIN(O135,N('My Loans'!E7))</f>
        <v/>
      </c>
      <c r="Z135" s="24">
        <f>MIN(P135,N('My Loans'!E8))</f>
        <v/>
      </c>
      <c r="AA135" s="24">
        <f>MIN(Q135,N('My Loans'!E9))</f>
        <v/>
      </c>
      <c r="AB135" s="24">
        <f>MIN(R135,N('My Loans'!E10))</f>
        <v/>
      </c>
      <c r="AC135" s="24">
        <f>MIN(S135,N('My Loans'!E11))</f>
        <v/>
      </c>
      <c r="AD135" s="24">
        <f>MIN(T135,N('My Loans'!E12))</f>
        <v/>
      </c>
      <c r="AE135" s="24">
        <f>MIN(U135,N('My Loans'!E13))</f>
        <v/>
      </c>
      <c r="AF135" s="24">
        <f>MIN(V135,N('My Loans'!E14))</f>
        <v/>
      </c>
      <c r="AG135" s="24">
        <f>MIN(W135,N('My Loans'!E15))</f>
        <v/>
      </c>
      <c r="AH135" s="24">
        <f>MIN(N135-X135,MAX(0,$C135-SUMPRODUCT(($D$3:$M$3&lt;D$3)*($N135:$W135-$X135:$AG135))))</f>
        <v/>
      </c>
      <c r="AI135" s="24">
        <f>MIN(O135-Y135,MAX(0,$C135-SUMPRODUCT(($D$3:$M$3&lt;E$3)*($N135:$W135-$X135:$AG135))))</f>
        <v/>
      </c>
      <c r="AJ135" s="24">
        <f>MIN(P135-Z135,MAX(0,$C135-SUMPRODUCT(($D$3:$M$3&lt;F$3)*($N135:$W135-$X135:$AG135))))</f>
        <v/>
      </c>
      <c r="AK135" s="24">
        <f>MIN(Q135-AA135,MAX(0,$C135-SUMPRODUCT(($D$3:$M$3&lt;G$3)*($N135:$W135-$X135:$AG135))))</f>
        <v/>
      </c>
      <c r="AL135" s="24">
        <f>MIN(R135-AB135,MAX(0,$C135-SUMPRODUCT(($D$3:$M$3&lt;H$3)*($N135:$W135-$X135:$AG135))))</f>
        <v/>
      </c>
      <c r="AM135" s="24">
        <f>MIN(S135-AC135,MAX(0,$C135-SUMPRODUCT(($D$3:$M$3&lt;I$3)*($N135:$W135-$X135:$AG135))))</f>
        <v/>
      </c>
      <c r="AN135" s="24">
        <f>MIN(T135-AD135,MAX(0,$C135-SUMPRODUCT(($D$3:$M$3&lt;J$3)*($N135:$W135-$X135:$AG135))))</f>
        <v/>
      </c>
      <c r="AO135" s="24">
        <f>MIN(U135-AE135,MAX(0,$C135-SUMPRODUCT(($D$3:$M$3&lt;K$3)*($N135:$W135-$X135:$AG135))))</f>
        <v/>
      </c>
      <c r="AP135" s="24">
        <f>MIN(V135-AF135,MAX(0,$C135-SUMPRODUCT(($D$3:$M$3&lt;L$3)*($N135:$W135-$X135:$AG135))))</f>
        <v/>
      </c>
      <c r="AQ135" s="24">
        <f>MIN(W135-AG135,MAX(0,$C135-SUMPRODUCT(($D$3:$M$3&lt;M$3)*($N135:$W135-$X135:$AG135))))</f>
        <v/>
      </c>
      <c r="AR135" s="24">
        <f>ROUND(N135-X135-AH135,2)</f>
        <v/>
      </c>
      <c r="AS135" s="24">
        <f>ROUND(O135-Y135-AI135,2)</f>
        <v/>
      </c>
      <c r="AT135" s="24">
        <f>ROUND(P135-Z135-AJ135,2)</f>
        <v/>
      </c>
      <c r="AU135" s="24">
        <f>ROUND(Q135-AA135-AK135,2)</f>
        <v/>
      </c>
      <c r="AV135" s="24">
        <f>ROUND(R135-AB135-AL135,2)</f>
        <v/>
      </c>
      <c r="AW135" s="24">
        <f>ROUND(S135-AC135-AM135,2)</f>
        <v/>
      </c>
      <c r="AX135" s="24">
        <f>ROUND(T135-AD135-AN135,2)</f>
        <v/>
      </c>
      <c r="AY135" s="24">
        <f>ROUND(U135-AE135-AO135,2)</f>
        <v/>
      </c>
      <c r="AZ135" s="24">
        <f>ROUND(V135-AF135-AP135,2)</f>
        <v/>
      </c>
      <c r="BA135" s="24">
        <f>ROUND(W135-AG135-AQ135,2)</f>
        <v/>
      </c>
      <c r="BB135" s="24">
        <f>SUM(AR135:BA135)</f>
        <v/>
      </c>
    </row>
    <row r="136">
      <c r="A136" t="n">
        <v>132</v>
      </c>
      <c r="B136" s="23">
        <f>EOMONTH(TODAY(),131)</f>
        <v/>
      </c>
      <c r="C136" s="24">
        <f>MAX(0,(SUM('My Loans'!$E$6:$E$15)+'My Loans'!$D$3)-SUM($X136:$AG136))</f>
        <v/>
      </c>
      <c r="D136" s="24">
        <f>MAX(0,AR135)</f>
        <v/>
      </c>
      <c r="E136" s="24">
        <f>MAX(0,AS135)</f>
        <v/>
      </c>
      <c r="F136" s="24">
        <f>MAX(0,AT135)</f>
        <v/>
      </c>
      <c r="G136" s="24">
        <f>MAX(0,AU135)</f>
        <v/>
      </c>
      <c r="H136" s="24">
        <f>MAX(0,AV135)</f>
        <v/>
      </c>
      <c r="I136" s="24">
        <f>MAX(0,AW135)</f>
        <v/>
      </c>
      <c r="J136" s="24">
        <f>MAX(0,AX135)</f>
        <v/>
      </c>
      <c r="K136" s="24">
        <f>MAX(0,AY135)</f>
        <v/>
      </c>
      <c r="L136" s="24">
        <f>MAX(0,AZ135)</f>
        <v/>
      </c>
      <c r="M136" s="24">
        <f>MAX(0,BA135)</f>
        <v/>
      </c>
      <c r="N136" s="24">
        <f>IF(D136&lt;0.5,0,D136*(1+N('My Loans'!D6)/1200))</f>
        <v/>
      </c>
      <c r="O136" s="24">
        <f>IF(E136&lt;0.5,0,E136*(1+N('My Loans'!D7)/1200))</f>
        <v/>
      </c>
      <c r="P136" s="24">
        <f>IF(F136&lt;0.5,0,F136*(1+N('My Loans'!D8)/1200))</f>
        <v/>
      </c>
      <c r="Q136" s="24">
        <f>IF(G136&lt;0.5,0,G136*(1+N('My Loans'!D9)/1200))</f>
        <v/>
      </c>
      <c r="R136" s="24">
        <f>IF(H136&lt;0.5,0,H136*(1+N('My Loans'!D10)/1200))</f>
        <v/>
      </c>
      <c r="S136" s="24">
        <f>IF(I136&lt;0.5,0,I136*(1+N('My Loans'!D11)/1200))</f>
        <v/>
      </c>
      <c r="T136" s="24">
        <f>IF(J136&lt;0.5,0,J136*(1+N('My Loans'!D12)/1200))</f>
        <v/>
      </c>
      <c r="U136" s="24">
        <f>IF(K136&lt;0.5,0,K136*(1+N('My Loans'!D13)/1200))</f>
        <v/>
      </c>
      <c r="V136" s="24">
        <f>IF(L136&lt;0.5,0,L136*(1+N('My Loans'!D14)/1200))</f>
        <v/>
      </c>
      <c r="W136" s="24">
        <f>IF(M136&lt;0.5,0,M136*(1+N('My Loans'!D15)/1200))</f>
        <v/>
      </c>
      <c r="X136" s="24">
        <f>MIN(N136,N('My Loans'!E6))</f>
        <v/>
      </c>
      <c r="Y136" s="24">
        <f>MIN(O136,N('My Loans'!E7))</f>
        <v/>
      </c>
      <c r="Z136" s="24">
        <f>MIN(P136,N('My Loans'!E8))</f>
        <v/>
      </c>
      <c r="AA136" s="24">
        <f>MIN(Q136,N('My Loans'!E9))</f>
        <v/>
      </c>
      <c r="AB136" s="24">
        <f>MIN(R136,N('My Loans'!E10))</f>
        <v/>
      </c>
      <c r="AC136" s="24">
        <f>MIN(S136,N('My Loans'!E11))</f>
        <v/>
      </c>
      <c r="AD136" s="24">
        <f>MIN(T136,N('My Loans'!E12))</f>
        <v/>
      </c>
      <c r="AE136" s="24">
        <f>MIN(U136,N('My Loans'!E13))</f>
        <v/>
      </c>
      <c r="AF136" s="24">
        <f>MIN(V136,N('My Loans'!E14))</f>
        <v/>
      </c>
      <c r="AG136" s="24">
        <f>MIN(W136,N('My Loans'!E15))</f>
        <v/>
      </c>
      <c r="AH136" s="24">
        <f>MIN(N136-X136,MAX(0,$C136-SUMPRODUCT(($D$3:$M$3&lt;D$3)*($N136:$W136-$X136:$AG136))))</f>
        <v/>
      </c>
      <c r="AI136" s="24">
        <f>MIN(O136-Y136,MAX(0,$C136-SUMPRODUCT(($D$3:$M$3&lt;E$3)*($N136:$W136-$X136:$AG136))))</f>
        <v/>
      </c>
      <c r="AJ136" s="24">
        <f>MIN(P136-Z136,MAX(0,$C136-SUMPRODUCT(($D$3:$M$3&lt;F$3)*($N136:$W136-$X136:$AG136))))</f>
        <v/>
      </c>
      <c r="AK136" s="24">
        <f>MIN(Q136-AA136,MAX(0,$C136-SUMPRODUCT(($D$3:$M$3&lt;G$3)*($N136:$W136-$X136:$AG136))))</f>
        <v/>
      </c>
      <c r="AL136" s="24">
        <f>MIN(R136-AB136,MAX(0,$C136-SUMPRODUCT(($D$3:$M$3&lt;H$3)*($N136:$W136-$X136:$AG136))))</f>
        <v/>
      </c>
      <c r="AM136" s="24">
        <f>MIN(S136-AC136,MAX(0,$C136-SUMPRODUCT(($D$3:$M$3&lt;I$3)*($N136:$W136-$X136:$AG136))))</f>
        <v/>
      </c>
      <c r="AN136" s="24">
        <f>MIN(T136-AD136,MAX(0,$C136-SUMPRODUCT(($D$3:$M$3&lt;J$3)*($N136:$W136-$X136:$AG136))))</f>
        <v/>
      </c>
      <c r="AO136" s="24">
        <f>MIN(U136-AE136,MAX(0,$C136-SUMPRODUCT(($D$3:$M$3&lt;K$3)*($N136:$W136-$X136:$AG136))))</f>
        <v/>
      </c>
      <c r="AP136" s="24">
        <f>MIN(V136-AF136,MAX(0,$C136-SUMPRODUCT(($D$3:$M$3&lt;L$3)*($N136:$W136-$X136:$AG136))))</f>
        <v/>
      </c>
      <c r="AQ136" s="24">
        <f>MIN(W136-AG136,MAX(0,$C136-SUMPRODUCT(($D$3:$M$3&lt;M$3)*($N136:$W136-$X136:$AG136))))</f>
        <v/>
      </c>
      <c r="AR136" s="24">
        <f>ROUND(N136-X136-AH136,2)</f>
        <v/>
      </c>
      <c r="AS136" s="24">
        <f>ROUND(O136-Y136-AI136,2)</f>
        <v/>
      </c>
      <c r="AT136" s="24">
        <f>ROUND(P136-Z136-AJ136,2)</f>
        <v/>
      </c>
      <c r="AU136" s="24">
        <f>ROUND(Q136-AA136-AK136,2)</f>
        <v/>
      </c>
      <c r="AV136" s="24">
        <f>ROUND(R136-AB136-AL136,2)</f>
        <v/>
      </c>
      <c r="AW136" s="24">
        <f>ROUND(S136-AC136-AM136,2)</f>
        <v/>
      </c>
      <c r="AX136" s="24">
        <f>ROUND(T136-AD136-AN136,2)</f>
        <v/>
      </c>
      <c r="AY136" s="24">
        <f>ROUND(U136-AE136-AO136,2)</f>
        <v/>
      </c>
      <c r="AZ136" s="24">
        <f>ROUND(V136-AF136-AP136,2)</f>
        <v/>
      </c>
      <c r="BA136" s="24">
        <f>ROUND(W136-AG136-AQ136,2)</f>
        <v/>
      </c>
      <c r="BB136" s="24">
        <f>SUM(AR136:BA136)</f>
        <v/>
      </c>
    </row>
    <row r="137">
      <c r="A137" t="n">
        <v>133</v>
      </c>
      <c r="B137" s="23">
        <f>EOMONTH(TODAY(),132)</f>
        <v/>
      </c>
      <c r="C137" s="24">
        <f>MAX(0,(SUM('My Loans'!$E$6:$E$15)+'My Loans'!$D$3)-SUM($X137:$AG137))</f>
        <v/>
      </c>
      <c r="D137" s="24">
        <f>MAX(0,AR136)</f>
        <v/>
      </c>
      <c r="E137" s="24">
        <f>MAX(0,AS136)</f>
        <v/>
      </c>
      <c r="F137" s="24">
        <f>MAX(0,AT136)</f>
        <v/>
      </c>
      <c r="G137" s="24">
        <f>MAX(0,AU136)</f>
        <v/>
      </c>
      <c r="H137" s="24">
        <f>MAX(0,AV136)</f>
        <v/>
      </c>
      <c r="I137" s="24">
        <f>MAX(0,AW136)</f>
        <v/>
      </c>
      <c r="J137" s="24">
        <f>MAX(0,AX136)</f>
        <v/>
      </c>
      <c r="K137" s="24">
        <f>MAX(0,AY136)</f>
        <v/>
      </c>
      <c r="L137" s="24">
        <f>MAX(0,AZ136)</f>
        <v/>
      </c>
      <c r="M137" s="24">
        <f>MAX(0,BA136)</f>
        <v/>
      </c>
      <c r="N137" s="24">
        <f>IF(D137&lt;0.5,0,D137*(1+N('My Loans'!D6)/1200))</f>
        <v/>
      </c>
      <c r="O137" s="24">
        <f>IF(E137&lt;0.5,0,E137*(1+N('My Loans'!D7)/1200))</f>
        <v/>
      </c>
      <c r="P137" s="24">
        <f>IF(F137&lt;0.5,0,F137*(1+N('My Loans'!D8)/1200))</f>
        <v/>
      </c>
      <c r="Q137" s="24">
        <f>IF(G137&lt;0.5,0,G137*(1+N('My Loans'!D9)/1200))</f>
        <v/>
      </c>
      <c r="R137" s="24">
        <f>IF(H137&lt;0.5,0,H137*(1+N('My Loans'!D10)/1200))</f>
        <v/>
      </c>
      <c r="S137" s="24">
        <f>IF(I137&lt;0.5,0,I137*(1+N('My Loans'!D11)/1200))</f>
        <v/>
      </c>
      <c r="T137" s="24">
        <f>IF(J137&lt;0.5,0,J137*(1+N('My Loans'!D12)/1200))</f>
        <v/>
      </c>
      <c r="U137" s="24">
        <f>IF(K137&lt;0.5,0,K137*(1+N('My Loans'!D13)/1200))</f>
        <v/>
      </c>
      <c r="V137" s="24">
        <f>IF(L137&lt;0.5,0,L137*(1+N('My Loans'!D14)/1200))</f>
        <v/>
      </c>
      <c r="W137" s="24">
        <f>IF(M137&lt;0.5,0,M137*(1+N('My Loans'!D15)/1200))</f>
        <v/>
      </c>
      <c r="X137" s="24">
        <f>MIN(N137,N('My Loans'!E6))</f>
        <v/>
      </c>
      <c r="Y137" s="24">
        <f>MIN(O137,N('My Loans'!E7))</f>
        <v/>
      </c>
      <c r="Z137" s="24">
        <f>MIN(P137,N('My Loans'!E8))</f>
        <v/>
      </c>
      <c r="AA137" s="24">
        <f>MIN(Q137,N('My Loans'!E9))</f>
        <v/>
      </c>
      <c r="AB137" s="24">
        <f>MIN(R137,N('My Loans'!E10))</f>
        <v/>
      </c>
      <c r="AC137" s="24">
        <f>MIN(S137,N('My Loans'!E11))</f>
        <v/>
      </c>
      <c r="AD137" s="24">
        <f>MIN(T137,N('My Loans'!E12))</f>
        <v/>
      </c>
      <c r="AE137" s="24">
        <f>MIN(U137,N('My Loans'!E13))</f>
        <v/>
      </c>
      <c r="AF137" s="24">
        <f>MIN(V137,N('My Loans'!E14))</f>
        <v/>
      </c>
      <c r="AG137" s="24">
        <f>MIN(W137,N('My Loans'!E15))</f>
        <v/>
      </c>
      <c r="AH137" s="24">
        <f>MIN(N137-X137,MAX(0,$C137-SUMPRODUCT(($D$3:$M$3&lt;D$3)*($N137:$W137-$X137:$AG137))))</f>
        <v/>
      </c>
      <c r="AI137" s="24">
        <f>MIN(O137-Y137,MAX(0,$C137-SUMPRODUCT(($D$3:$M$3&lt;E$3)*($N137:$W137-$X137:$AG137))))</f>
        <v/>
      </c>
      <c r="AJ137" s="24">
        <f>MIN(P137-Z137,MAX(0,$C137-SUMPRODUCT(($D$3:$M$3&lt;F$3)*($N137:$W137-$X137:$AG137))))</f>
        <v/>
      </c>
      <c r="AK137" s="24">
        <f>MIN(Q137-AA137,MAX(0,$C137-SUMPRODUCT(($D$3:$M$3&lt;G$3)*($N137:$W137-$X137:$AG137))))</f>
        <v/>
      </c>
      <c r="AL137" s="24">
        <f>MIN(R137-AB137,MAX(0,$C137-SUMPRODUCT(($D$3:$M$3&lt;H$3)*($N137:$W137-$X137:$AG137))))</f>
        <v/>
      </c>
      <c r="AM137" s="24">
        <f>MIN(S137-AC137,MAX(0,$C137-SUMPRODUCT(($D$3:$M$3&lt;I$3)*($N137:$W137-$X137:$AG137))))</f>
        <v/>
      </c>
      <c r="AN137" s="24">
        <f>MIN(T137-AD137,MAX(0,$C137-SUMPRODUCT(($D$3:$M$3&lt;J$3)*($N137:$W137-$X137:$AG137))))</f>
        <v/>
      </c>
      <c r="AO137" s="24">
        <f>MIN(U137-AE137,MAX(0,$C137-SUMPRODUCT(($D$3:$M$3&lt;K$3)*($N137:$W137-$X137:$AG137))))</f>
        <v/>
      </c>
      <c r="AP137" s="24">
        <f>MIN(V137-AF137,MAX(0,$C137-SUMPRODUCT(($D$3:$M$3&lt;L$3)*($N137:$W137-$X137:$AG137))))</f>
        <v/>
      </c>
      <c r="AQ137" s="24">
        <f>MIN(W137-AG137,MAX(0,$C137-SUMPRODUCT(($D$3:$M$3&lt;M$3)*($N137:$W137-$X137:$AG137))))</f>
        <v/>
      </c>
      <c r="AR137" s="24">
        <f>ROUND(N137-X137-AH137,2)</f>
        <v/>
      </c>
      <c r="AS137" s="24">
        <f>ROUND(O137-Y137-AI137,2)</f>
        <v/>
      </c>
      <c r="AT137" s="24">
        <f>ROUND(P137-Z137-AJ137,2)</f>
        <v/>
      </c>
      <c r="AU137" s="24">
        <f>ROUND(Q137-AA137-AK137,2)</f>
        <v/>
      </c>
      <c r="AV137" s="24">
        <f>ROUND(R137-AB137-AL137,2)</f>
        <v/>
      </c>
      <c r="AW137" s="24">
        <f>ROUND(S137-AC137-AM137,2)</f>
        <v/>
      </c>
      <c r="AX137" s="24">
        <f>ROUND(T137-AD137-AN137,2)</f>
        <v/>
      </c>
      <c r="AY137" s="24">
        <f>ROUND(U137-AE137-AO137,2)</f>
        <v/>
      </c>
      <c r="AZ137" s="24">
        <f>ROUND(V137-AF137-AP137,2)</f>
        <v/>
      </c>
      <c r="BA137" s="24">
        <f>ROUND(W137-AG137-AQ137,2)</f>
        <v/>
      </c>
      <c r="BB137" s="24">
        <f>SUM(AR137:BA137)</f>
        <v/>
      </c>
    </row>
    <row r="138">
      <c r="A138" t="n">
        <v>134</v>
      </c>
      <c r="B138" s="23">
        <f>EOMONTH(TODAY(),133)</f>
        <v/>
      </c>
      <c r="C138" s="24">
        <f>MAX(0,(SUM('My Loans'!$E$6:$E$15)+'My Loans'!$D$3)-SUM($X138:$AG138))</f>
        <v/>
      </c>
      <c r="D138" s="24">
        <f>MAX(0,AR137)</f>
        <v/>
      </c>
      <c r="E138" s="24">
        <f>MAX(0,AS137)</f>
        <v/>
      </c>
      <c r="F138" s="24">
        <f>MAX(0,AT137)</f>
        <v/>
      </c>
      <c r="G138" s="24">
        <f>MAX(0,AU137)</f>
        <v/>
      </c>
      <c r="H138" s="24">
        <f>MAX(0,AV137)</f>
        <v/>
      </c>
      <c r="I138" s="24">
        <f>MAX(0,AW137)</f>
        <v/>
      </c>
      <c r="J138" s="24">
        <f>MAX(0,AX137)</f>
        <v/>
      </c>
      <c r="K138" s="24">
        <f>MAX(0,AY137)</f>
        <v/>
      </c>
      <c r="L138" s="24">
        <f>MAX(0,AZ137)</f>
        <v/>
      </c>
      <c r="M138" s="24">
        <f>MAX(0,BA137)</f>
        <v/>
      </c>
      <c r="N138" s="24">
        <f>IF(D138&lt;0.5,0,D138*(1+N('My Loans'!D6)/1200))</f>
        <v/>
      </c>
      <c r="O138" s="24">
        <f>IF(E138&lt;0.5,0,E138*(1+N('My Loans'!D7)/1200))</f>
        <v/>
      </c>
      <c r="P138" s="24">
        <f>IF(F138&lt;0.5,0,F138*(1+N('My Loans'!D8)/1200))</f>
        <v/>
      </c>
      <c r="Q138" s="24">
        <f>IF(G138&lt;0.5,0,G138*(1+N('My Loans'!D9)/1200))</f>
        <v/>
      </c>
      <c r="R138" s="24">
        <f>IF(H138&lt;0.5,0,H138*(1+N('My Loans'!D10)/1200))</f>
        <v/>
      </c>
      <c r="S138" s="24">
        <f>IF(I138&lt;0.5,0,I138*(1+N('My Loans'!D11)/1200))</f>
        <v/>
      </c>
      <c r="T138" s="24">
        <f>IF(J138&lt;0.5,0,J138*(1+N('My Loans'!D12)/1200))</f>
        <v/>
      </c>
      <c r="U138" s="24">
        <f>IF(K138&lt;0.5,0,K138*(1+N('My Loans'!D13)/1200))</f>
        <v/>
      </c>
      <c r="V138" s="24">
        <f>IF(L138&lt;0.5,0,L138*(1+N('My Loans'!D14)/1200))</f>
        <v/>
      </c>
      <c r="W138" s="24">
        <f>IF(M138&lt;0.5,0,M138*(1+N('My Loans'!D15)/1200))</f>
        <v/>
      </c>
      <c r="X138" s="24">
        <f>MIN(N138,N('My Loans'!E6))</f>
        <v/>
      </c>
      <c r="Y138" s="24">
        <f>MIN(O138,N('My Loans'!E7))</f>
        <v/>
      </c>
      <c r="Z138" s="24">
        <f>MIN(P138,N('My Loans'!E8))</f>
        <v/>
      </c>
      <c r="AA138" s="24">
        <f>MIN(Q138,N('My Loans'!E9))</f>
        <v/>
      </c>
      <c r="AB138" s="24">
        <f>MIN(R138,N('My Loans'!E10))</f>
        <v/>
      </c>
      <c r="AC138" s="24">
        <f>MIN(S138,N('My Loans'!E11))</f>
        <v/>
      </c>
      <c r="AD138" s="24">
        <f>MIN(T138,N('My Loans'!E12))</f>
        <v/>
      </c>
      <c r="AE138" s="24">
        <f>MIN(U138,N('My Loans'!E13))</f>
        <v/>
      </c>
      <c r="AF138" s="24">
        <f>MIN(V138,N('My Loans'!E14))</f>
        <v/>
      </c>
      <c r="AG138" s="24">
        <f>MIN(W138,N('My Loans'!E15))</f>
        <v/>
      </c>
      <c r="AH138" s="24">
        <f>MIN(N138-X138,MAX(0,$C138-SUMPRODUCT(($D$3:$M$3&lt;D$3)*($N138:$W138-$X138:$AG138))))</f>
        <v/>
      </c>
      <c r="AI138" s="24">
        <f>MIN(O138-Y138,MAX(0,$C138-SUMPRODUCT(($D$3:$M$3&lt;E$3)*($N138:$W138-$X138:$AG138))))</f>
        <v/>
      </c>
      <c r="AJ138" s="24">
        <f>MIN(P138-Z138,MAX(0,$C138-SUMPRODUCT(($D$3:$M$3&lt;F$3)*($N138:$W138-$X138:$AG138))))</f>
        <v/>
      </c>
      <c r="AK138" s="24">
        <f>MIN(Q138-AA138,MAX(0,$C138-SUMPRODUCT(($D$3:$M$3&lt;G$3)*($N138:$W138-$X138:$AG138))))</f>
        <v/>
      </c>
      <c r="AL138" s="24">
        <f>MIN(R138-AB138,MAX(0,$C138-SUMPRODUCT(($D$3:$M$3&lt;H$3)*($N138:$W138-$X138:$AG138))))</f>
        <v/>
      </c>
      <c r="AM138" s="24">
        <f>MIN(S138-AC138,MAX(0,$C138-SUMPRODUCT(($D$3:$M$3&lt;I$3)*($N138:$W138-$X138:$AG138))))</f>
        <v/>
      </c>
      <c r="AN138" s="24">
        <f>MIN(T138-AD138,MAX(0,$C138-SUMPRODUCT(($D$3:$M$3&lt;J$3)*($N138:$W138-$X138:$AG138))))</f>
        <v/>
      </c>
      <c r="AO138" s="24">
        <f>MIN(U138-AE138,MAX(0,$C138-SUMPRODUCT(($D$3:$M$3&lt;K$3)*($N138:$W138-$X138:$AG138))))</f>
        <v/>
      </c>
      <c r="AP138" s="24">
        <f>MIN(V138-AF138,MAX(0,$C138-SUMPRODUCT(($D$3:$M$3&lt;L$3)*($N138:$W138-$X138:$AG138))))</f>
        <v/>
      </c>
      <c r="AQ138" s="24">
        <f>MIN(W138-AG138,MAX(0,$C138-SUMPRODUCT(($D$3:$M$3&lt;M$3)*($N138:$W138-$X138:$AG138))))</f>
        <v/>
      </c>
      <c r="AR138" s="24">
        <f>ROUND(N138-X138-AH138,2)</f>
        <v/>
      </c>
      <c r="AS138" s="24">
        <f>ROUND(O138-Y138-AI138,2)</f>
        <v/>
      </c>
      <c r="AT138" s="24">
        <f>ROUND(P138-Z138-AJ138,2)</f>
        <v/>
      </c>
      <c r="AU138" s="24">
        <f>ROUND(Q138-AA138-AK138,2)</f>
        <v/>
      </c>
      <c r="AV138" s="24">
        <f>ROUND(R138-AB138-AL138,2)</f>
        <v/>
      </c>
      <c r="AW138" s="24">
        <f>ROUND(S138-AC138-AM138,2)</f>
        <v/>
      </c>
      <c r="AX138" s="24">
        <f>ROUND(T138-AD138-AN138,2)</f>
        <v/>
      </c>
      <c r="AY138" s="24">
        <f>ROUND(U138-AE138-AO138,2)</f>
        <v/>
      </c>
      <c r="AZ138" s="24">
        <f>ROUND(V138-AF138-AP138,2)</f>
        <v/>
      </c>
      <c r="BA138" s="24">
        <f>ROUND(W138-AG138-AQ138,2)</f>
        <v/>
      </c>
      <c r="BB138" s="24">
        <f>SUM(AR138:BA138)</f>
        <v/>
      </c>
    </row>
    <row r="139">
      <c r="A139" t="n">
        <v>135</v>
      </c>
      <c r="B139" s="23">
        <f>EOMONTH(TODAY(),134)</f>
        <v/>
      </c>
      <c r="C139" s="24">
        <f>MAX(0,(SUM('My Loans'!$E$6:$E$15)+'My Loans'!$D$3)-SUM($X139:$AG139))</f>
        <v/>
      </c>
      <c r="D139" s="24">
        <f>MAX(0,AR138)</f>
        <v/>
      </c>
      <c r="E139" s="24">
        <f>MAX(0,AS138)</f>
        <v/>
      </c>
      <c r="F139" s="24">
        <f>MAX(0,AT138)</f>
        <v/>
      </c>
      <c r="G139" s="24">
        <f>MAX(0,AU138)</f>
        <v/>
      </c>
      <c r="H139" s="24">
        <f>MAX(0,AV138)</f>
        <v/>
      </c>
      <c r="I139" s="24">
        <f>MAX(0,AW138)</f>
        <v/>
      </c>
      <c r="J139" s="24">
        <f>MAX(0,AX138)</f>
        <v/>
      </c>
      <c r="K139" s="24">
        <f>MAX(0,AY138)</f>
        <v/>
      </c>
      <c r="L139" s="24">
        <f>MAX(0,AZ138)</f>
        <v/>
      </c>
      <c r="M139" s="24">
        <f>MAX(0,BA138)</f>
        <v/>
      </c>
      <c r="N139" s="24">
        <f>IF(D139&lt;0.5,0,D139*(1+N('My Loans'!D6)/1200))</f>
        <v/>
      </c>
      <c r="O139" s="24">
        <f>IF(E139&lt;0.5,0,E139*(1+N('My Loans'!D7)/1200))</f>
        <v/>
      </c>
      <c r="P139" s="24">
        <f>IF(F139&lt;0.5,0,F139*(1+N('My Loans'!D8)/1200))</f>
        <v/>
      </c>
      <c r="Q139" s="24">
        <f>IF(G139&lt;0.5,0,G139*(1+N('My Loans'!D9)/1200))</f>
        <v/>
      </c>
      <c r="R139" s="24">
        <f>IF(H139&lt;0.5,0,H139*(1+N('My Loans'!D10)/1200))</f>
        <v/>
      </c>
      <c r="S139" s="24">
        <f>IF(I139&lt;0.5,0,I139*(1+N('My Loans'!D11)/1200))</f>
        <v/>
      </c>
      <c r="T139" s="24">
        <f>IF(J139&lt;0.5,0,J139*(1+N('My Loans'!D12)/1200))</f>
        <v/>
      </c>
      <c r="U139" s="24">
        <f>IF(K139&lt;0.5,0,K139*(1+N('My Loans'!D13)/1200))</f>
        <v/>
      </c>
      <c r="V139" s="24">
        <f>IF(L139&lt;0.5,0,L139*(1+N('My Loans'!D14)/1200))</f>
        <v/>
      </c>
      <c r="W139" s="24">
        <f>IF(M139&lt;0.5,0,M139*(1+N('My Loans'!D15)/1200))</f>
        <v/>
      </c>
      <c r="X139" s="24">
        <f>MIN(N139,N('My Loans'!E6))</f>
        <v/>
      </c>
      <c r="Y139" s="24">
        <f>MIN(O139,N('My Loans'!E7))</f>
        <v/>
      </c>
      <c r="Z139" s="24">
        <f>MIN(P139,N('My Loans'!E8))</f>
        <v/>
      </c>
      <c r="AA139" s="24">
        <f>MIN(Q139,N('My Loans'!E9))</f>
        <v/>
      </c>
      <c r="AB139" s="24">
        <f>MIN(R139,N('My Loans'!E10))</f>
        <v/>
      </c>
      <c r="AC139" s="24">
        <f>MIN(S139,N('My Loans'!E11))</f>
        <v/>
      </c>
      <c r="AD139" s="24">
        <f>MIN(T139,N('My Loans'!E12))</f>
        <v/>
      </c>
      <c r="AE139" s="24">
        <f>MIN(U139,N('My Loans'!E13))</f>
        <v/>
      </c>
      <c r="AF139" s="24">
        <f>MIN(V139,N('My Loans'!E14))</f>
        <v/>
      </c>
      <c r="AG139" s="24">
        <f>MIN(W139,N('My Loans'!E15))</f>
        <v/>
      </c>
      <c r="AH139" s="24">
        <f>MIN(N139-X139,MAX(0,$C139-SUMPRODUCT(($D$3:$M$3&lt;D$3)*($N139:$W139-$X139:$AG139))))</f>
        <v/>
      </c>
      <c r="AI139" s="24">
        <f>MIN(O139-Y139,MAX(0,$C139-SUMPRODUCT(($D$3:$M$3&lt;E$3)*($N139:$W139-$X139:$AG139))))</f>
        <v/>
      </c>
      <c r="AJ139" s="24">
        <f>MIN(P139-Z139,MAX(0,$C139-SUMPRODUCT(($D$3:$M$3&lt;F$3)*($N139:$W139-$X139:$AG139))))</f>
        <v/>
      </c>
      <c r="AK139" s="24">
        <f>MIN(Q139-AA139,MAX(0,$C139-SUMPRODUCT(($D$3:$M$3&lt;G$3)*($N139:$W139-$X139:$AG139))))</f>
        <v/>
      </c>
      <c r="AL139" s="24">
        <f>MIN(R139-AB139,MAX(0,$C139-SUMPRODUCT(($D$3:$M$3&lt;H$3)*($N139:$W139-$X139:$AG139))))</f>
        <v/>
      </c>
      <c r="AM139" s="24">
        <f>MIN(S139-AC139,MAX(0,$C139-SUMPRODUCT(($D$3:$M$3&lt;I$3)*($N139:$W139-$X139:$AG139))))</f>
        <v/>
      </c>
      <c r="AN139" s="24">
        <f>MIN(T139-AD139,MAX(0,$C139-SUMPRODUCT(($D$3:$M$3&lt;J$3)*($N139:$W139-$X139:$AG139))))</f>
        <v/>
      </c>
      <c r="AO139" s="24">
        <f>MIN(U139-AE139,MAX(0,$C139-SUMPRODUCT(($D$3:$M$3&lt;K$3)*($N139:$W139-$X139:$AG139))))</f>
        <v/>
      </c>
      <c r="AP139" s="24">
        <f>MIN(V139-AF139,MAX(0,$C139-SUMPRODUCT(($D$3:$M$3&lt;L$3)*($N139:$W139-$X139:$AG139))))</f>
        <v/>
      </c>
      <c r="AQ139" s="24">
        <f>MIN(W139-AG139,MAX(0,$C139-SUMPRODUCT(($D$3:$M$3&lt;M$3)*($N139:$W139-$X139:$AG139))))</f>
        <v/>
      </c>
      <c r="AR139" s="24">
        <f>ROUND(N139-X139-AH139,2)</f>
        <v/>
      </c>
      <c r="AS139" s="24">
        <f>ROUND(O139-Y139-AI139,2)</f>
        <v/>
      </c>
      <c r="AT139" s="24">
        <f>ROUND(P139-Z139-AJ139,2)</f>
        <v/>
      </c>
      <c r="AU139" s="24">
        <f>ROUND(Q139-AA139-AK139,2)</f>
        <v/>
      </c>
      <c r="AV139" s="24">
        <f>ROUND(R139-AB139-AL139,2)</f>
        <v/>
      </c>
      <c r="AW139" s="24">
        <f>ROUND(S139-AC139-AM139,2)</f>
        <v/>
      </c>
      <c r="AX139" s="24">
        <f>ROUND(T139-AD139-AN139,2)</f>
        <v/>
      </c>
      <c r="AY139" s="24">
        <f>ROUND(U139-AE139-AO139,2)</f>
        <v/>
      </c>
      <c r="AZ139" s="24">
        <f>ROUND(V139-AF139-AP139,2)</f>
        <v/>
      </c>
      <c r="BA139" s="24">
        <f>ROUND(W139-AG139-AQ139,2)</f>
        <v/>
      </c>
      <c r="BB139" s="24">
        <f>SUM(AR139:BA139)</f>
        <v/>
      </c>
    </row>
    <row r="140">
      <c r="A140" t="n">
        <v>136</v>
      </c>
      <c r="B140" s="23">
        <f>EOMONTH(TODAY(),135)</f>
        <v/>
      </c>
      <c r="C140" s="24">
        <f>MAX(0,(SUM('My Loans'!$E$6:$E$15)+'My Loans'!$D$3)-SUM($X140:$AG140))</f>
        <v/>
      </c>
      <c r="D140" s="24">
        <f>MAX(0,AR139)</f>
        <v/>
      </c>
      <c r="E140" s="24">
        <f>MAX(0,AS139)</f>
        <v/>
      </c>
      <c r="F140" s="24">
        <f>MAX(0,AT139)</f>
        <v/>
      </c>
      <c r="G140" s="24">
        <f>MAX(0,AU139)</f>
        <v/>
      </c>
      <c r="H140" s="24">
        <f>MAX(0,AV139)</f>
        <v/>
      </c>
      <c r="I140" s="24">
        <f>MAX(0,AW139)</f>
        <v/>
      </c>
      <c r="J140" s="24">
        <f>MAX(0,AX139)</f>
        <v/>
      </c>
      <c r="K140" s="24">
        <f>MAX(0,AY139)</f>
        <v/>
      </c>
      <c r="L140" s="24">
        <f>MAX(0,AZ139)</f>
        <v/>
      </c>
      <c r="M140" s="24">
        <f>MAX(0,BA139)</f>
        <v/>
      </c>
      <c r="N140" s="24">
        <f>IF(D140&lt;0.5,0,D140*(1+N('My Loans'!D6)/1200))</f>
        <v/>
      </c>
      <c r="O140" s="24">
        <f>IF(E140&lt;0.5,0,E140*(1+N('My Loans'!D7)/1200))</f>
        <v/>
      </c>
      <c r="P140" s="24">
        <f>IF(F140&lt;0.5,0,F140*(1+N('My Loans'!D8)/1200))</f>
        <v/>
      </c>
      <c r="Q140" s="24">
        <f>IF(G140&lt;0.5,0,G140*(1+N('My Loans'!D9)/1200))</f>
        <v/>
      </c>
      <c r="R140" s="24">
        <f>IF(H140&lt;0.5,0,H140*(1+N('My Loans'!D10)/1200))</f>
        <v/>
      </c>
      <c r="S140" s="24">
        <f>IF(I140&lt;0.5,0,I140*(1+N('My Loans'!D11)/1200))</f>
        <v/>
      </c>
      <c r="T140" s="24">
        <f>IF(J140&lt;0.5,0,J140*(1+N('My Loans'!D12)/1200))</f>
        <v/>
      </c>
      <c r="U140" s="24">
        <f>IF(K140&lt;0.5,0,K140*(1+N('My Loans'!D13)/1200))</f>
        <v/>
      </c>
      <c r="V140" s="24">
        <f>IF(L140&lt;0.5,0,L140*(1+N('My Loans'!D14)/1200))</f>
        <v/>
      </c>
      <c r="W140" s="24">
        <f>IF(M140&lt;0.5,0,M140*(1+N('My Loans'!D15)/1200))</f>
        <v/>
      </c>
      <c r="X140" s="24">
        <f>MIN(N140,N('My Loans'!E6))</f>
        <v/>
      </c>
      <c r="Y140" s="24">
        <f>MIN(O140,N('My Loans'!E7))</f>
        <v/>
      </c>
      <c r="Z140" s="24">
        <f>MIN(P140,N('My Loans'!E8))</f>
        <v/>
      </c>
      <c r="AA140" s="24">
        <f>MIN(Q140,N('My Loans'!E9))</f>
        <v/>
      </c>
      <c r="AB140" s="24">
        <f>MIN(R140,N('My Loans'!E10))</f>
        <v/>
      </c>
      <c r="AC140" s="24">
        <f>MIN(S140,N('My Loans'!E11))</f>
        <v/>
      </c>
      <c r="AD140" s="24">
        <f>MIN(T140,N('My Loans'!E12))</f>
        <v/>
      </c>
      <c r="AE140" s="24">
        <f>MIN(U140,N('My Loans'!E13))</f>
        <v/>
      </c>
      <c r="AF140" s="24">
        <f>MIN(V140,N('My Loans'!E14))</f>
        <v/>
      </c>
      <c r="AG140" s="24">
        <f>MIN(W140,N('My Loans'!E15))</f>
        <v/>
      </c>
      <c r="AH140" s="24">
        <f>MIN(N140-X140,MAX(0,$C140-SUMPRODUCT(($D$3:$M$3&lt;D$3)*($N140:$W140-$X140:$AG140))))</f>
        <v/>
      </c>
      <c r="AI140" s="24">
        <f>MIN(O140-Y140,MAX(0,$C140-SUMPRODUCT(($D$3:$M$3&lt;E$3)*($N140:$W140-$X140:$AG140))))</f>
        <v/>
      </c>
      <c r="AJ140" s="24">
        <f>MIN(P140-Z140,MAX(0,$C140-SUMPRODUCT(($D$3:$M$3&lt;F$3)*($N140:$W140-$X140:$AG140))))</f>
        <v/>
      </c>
      <c r="AK140" s="24">
        <f>MIN(Q140-AA140,MAX(0,$C140-SUMPRODUCT(($D$3:$M$3&lt;G$3)*($N140:$W140-$X140:$AG140))))</f>
        <v/>
      </c>
      <c r="AL140" s="24">
        <f>MIN(R140-AB140,MAX(0,$C140-SUMPRODUCT(($D$3:$M$3&lt;H$3)*($N140:$W140-$X140:$AG140))))</f>
        <v/>
      </c>
      <c r="AM140" s="24">
        <f>MIN(S140-AC140,MAX(0,$C140-SUMPRODUCT(($D$3:$M$3&lt;I$3)*($N140:$W140-$X140:$AG140))))</f>
        <v/>
      </c>
      <c r="AN140" s="24">
        <f>MIN(T140-AD140,MAX(0,$C140-SUMPRODUCT(($D$3:$M$3&lt;J$3)*($N140:$W140-$X140:$AG140))))</f>
        <v/>
      </c>
      <c r="AO140" s="24">
        <f>MIN(U140-AE140,MAX(0,$C140-SUMPRODUCT(($D$3:$M$3&lt;K$3)*($N140:$W140-$X140:$AG140))))</f>
        <v/>
      </c>
      <c r="AP140" s="24">
        <f>MIN(V140-AF140,MAX(0,$C140-SUMPRODUCT(($D$3:$M$3&lt;L$3)*($N140:$W140-$X140:$AG140))))</f>
        <v/>
      </c>
      <c r="AQ140" s="24">
        <f>MIN(W140-AG140,MAX(0,$C140-SUMPRODUCT(($D$3:$M$3&lt;M$3)*($N140:$W140-$X140:$AG140))))</f>
        <v/>
      </c>
      <c r="AR140" s="24">
        <f>ROUND(N140-X140-AH140,2)</f>
        <v/>
      </c>
      <c r="AS140" s="24">
        <f>ROUND(O140-Y140-AI140,2)</f>
        <v/>
      </c>
      <c r="AT140" s="24">
        <f>ROUND(P140-Z140-AJ140,2)</f>
        <v/>
      </c>
      <c r="AU140" s="24">
        <f>ROUND(Q140-AA140-AK140,2)</f>
        <v/>
      </c>
      <c r="AV140" s="24">
        <f>ROUND(R140-AB140-AL140,2)</f>
        <v/>
      </c>
      <c r="AW140" s="24">
        <f>ROUND(S140-AC140-AM140,2)</f>
        <v/>
      </c>
      <c r="AX140" s="24">
        <f>ROUND(T140-AD140-AN140,2)</f>
        <v/>
      </c>
      <c r="AY140" s="24">
        <f>ROUND(U140-AE140-AO140,2)</f>
        <v/>
      </c>
      <c r="AZ140" s="24">
        <f>ROUND(V140-AF140-AP140,2)</f>
        <v/>
      </c>
      <c r="BA140" s="24">
        <f>ROUND(W140-AG140-AQ140,2)</f>
        <v/>
      </c>
      <c r="BB140" s="24">
        <f>SUM(AR140:BA140)</f>
        <v/>
      </c>
    </row>
    <row r="141">
      <c r="A141" t="n">
        <v>137</v>
      </c>
      <c r="B141" s="23">
        <f>EOMONTH(TODAY(),136)</f>
        <v/>
      </c>
      <c r="C141" s="24">
        <f>MAX(0,(SUM('My Loans'!$E$6:$E$15)+'My Loans'!$D$3)-SUM($X141:$AG141))</f>
        <v/>
      </c>
      <c r="D141" s="24">
        <f>MAX(0,AR140)</f>
        <v/>
      </c>
      <c r="E141" s="24">
        <f>MAX(0,AS140)</f>
        <v/>
      </c>
      <c r="F141" s="24">
        <f>MAX(0,AT140)</f>
        <v/>
      </c>
      <c r="G141" s="24">
        <f>MAX(0,AU140)</f>
        <v/>
      </c>
      <c r="H141" s="24">
        <f>MAX(0,AV140)</f>
        <v/>
      </c>
      <c r="I141" s="24">
        <f>MAX(0,AW140)</f>
        <v/>
      </c>
      <c r="J141" s="24">
        <f>MAX(0,AX140)</f>
        <v/>
      </c>
      <c r="K141" s="24">
        <f>MAX(0,AY140)</f>
        <v/>
      </c>
      <c r="L141" s="24">
        <f>MAX(0,AZ140)</f>
        <v/>
      </c>
      <c r="M141" s="24">
        <f>MAX(0,BA140)</f>
        <v/>
      </c>
      <c r="N141" s="24">
        <f>IF(D141&lt;0.5,0,D141*(1+N('My Loans'!D6)/1200))</f>
        <v/>
      </c>
      <c r="O141" s="24">
        <f>IF(E141&lt;0.5,0,E141*(1+N('My Loans'!D7)/1200))</f>
        <v/>
      </c>
      <c r="P141" s="24">
        <f>IF(F141&lt;0.5,0,F141*(1+N('My Loans'!D8)/1200))</f>
        <v/>
      </c>
      <c r="Q141" s="24">
        <f>IF(G141&lt;0.5,0,G141*(1+N('My Loans'!D9)/1200))</f>
        <v/>
      </c>
      <c r="R141" s="24">
        <f>IF(H141&lt;0.5,0,H141*(1+N('My Loans'!D10)/1200))</f>
        <v/>
      </c>
      <c r="S141" s="24">
        <f>IF(I141&lt;0.5,0,I141*(1+N('My Loans'!D11)/1200))</f>
        <v/>
      </c>
      <c r="T141" s="24">
        <f>IF(J141&lt;0.5,0,J141*(1+N('My Loans'!D12)/1200))</f>
        <v/>
      </c>
      <c r="U141" s="24">
        <f>IF(K141&lt;0.5,0,K141*(1+N('My Loans'!D13)/1200))</f>
        <v/>
      </c>
      <c r="V141" s="24">
        <f>IF(L141&lt;0.5,0,L141*(1+N('My Loans'!D14)/1200))</f>
        <v/>
      </c>
      <c r="W141" s="24">
        <f>IF(M141&lt;0.5,0,M141*(1+N('My Loans'!D15)/1200))</f>
        <v/>
      </c>
      <c r="X141" s="24">
        <f>MIN(N141,N('My Loans'!E6))</f>
        <v/>
      </c>
      <c r="Y141" s="24">
        <f>MIN(O141,N('My Loans'!E7))</f>
        <v/>
      </c>
      <c r="Z141" s="24">
        <f>MIN(P141,N('My Loans'!E8))</f>
        <v/>
      </c>
      <c r="AA141" s="24">
        <f>MIN(Q141,N('My Loans'!E9))</f>
        <v/>
      </c>
      <c r="AB141" s="24">
        <f>MIN(R141,N('My Loans'!E10))</f>
        <v/>
      </c>
      <c r="AC141" s="24">
        <f>MIN(S141,N('My Loans'!E11))</f>
        <v/>
      </c>
      <c r="AD141" s="24">
        <f>MIN(T141,N('My Loans'!E12))</f>
        <v/>
      </c>
      <c r="AE141" s="24">
        <f>MIN(U141,N('My Loans'!E13))</f>
        <v/>
      </c>
      <c r="AF141" s="24">
        <f>MIN(V141,N('My Loans'!E14))</f>
        <v/>
      </c>
      <c r="AG141" s="24">
        <f>MIN(W141,N('My Loans'!E15))</f>
        <v/>
      </c>
      <c r="AH141" s="24">
        <f>MIN(N141-X141,MAX(0,$C141-SUMPRODUCT(($D$3:$M$3&lt;D$3)*($N141:$W141-$X141:$AG141))))</f>
        <v/>
      </c>
      <c r="AI141" s="24">
        <f>MIN(O141-Y141,MAX(0,$C141-SUMPRODUCT(($D$3:$M$3&lt;E$3)*($N141:$W141-$X141:$AG141))))</f>
        <v/>
      </c>
      <c r="AJ141" s="24">
        <f>MIN(P141-Z141,MAX(0,$C141-SUMPRODUCT(($D$3:$M$3&lt;F$3)*($N141:$W141-$X141:$AG141))))</f>
        <v/>
      </c>
      <c r="AK141" s="24">
        <f>MIN(Q141-AA141,MAX(0,$C141-SUMPRODUCT(($D$3:$M$3&lt;G$3)*($N141:$W141-$X141:$AG141))))</f>
        <v/>
      </c>
      <c r="AL141" s="24">
        <f>MIN(R141-AB141,MAX(0,$C141-SUMPRODUCT(($D$3:$M$3&lt;H$3)*($N141:$W141-$X141:$AG141))))</f>
        <v/>
      </c>
      <c r="AM141" s="24">
        <f>MIN(S141-AC141,MAX(0,$C141-SUMPRODUCT(($D$3:$M$3&lt;I$3)*($N141:$W141-$X141:$AG141))))</f>
        <v/>
      </c>
      <c r="AN141" s="24">
        <f>MIN(T141-AD141,MAX(0,$C141-SUMPRODUCT(($D$3:$M$3&lt;J$3)*($N141:$W141-$X141:$AG141))))</f>
        <v/>
      </c>
      <c r="AO141" s="24">
        <f>MIN(U141-AE141,MAX(0,$C141-SUMPRODUCT(($D$3:$M$3&lt;K$3)*($N141:$W141-$X141:$AG141))))</f>
        <v/>
      </c>
      <c r="AP141" s="24">
        <f>MIN(V141-AF141,MAX(0,$C141-SUMPRODUCT(($D$3:$M$3&lt;L$3)*($N141:$W141-$X141:$AG141))))</f>
        <v/>
      </c>
      <c r="AQ141" s="24">
        <f>MIN(W141-AG141,MAX(0,$C141-SUMPRODUCT(($D$3:$M$3&lt;M$3)*($N141:$W141-$X141:$AG141))))</f>
        <v/>
      </c>
      <c r="AR141" s="24">
        <f>ROUND(N141-X141-AH141,2)</f>
        <v/>
      </c>
      <c r="AS141" s="24">
        <f>ROUND(O141-Y141-AI141,2)</f>
        <v/>
      </c>
      <c r="AT141" s="24">
        <f>ROUND(P141-Z141-AJ141,2)</f>
        <v/>
      </c>
      <c r="AU141" s="24">
        <f>ROUND(Q141-AA141-AK141,2)</f>
        <v/>
      </c>
      <c r="AV141" s="24">
        <f>ROUND(R141-AB141-AL141,2)</f>
        <v/>
      </c>
      <c r="AW141" s="24">
        <f>ROUND(S141-AC141-AM141,2)</f>
        <v/>
      </c>
      <c r="AX141" s="24">
        <f>ROUND(T141-AD141-AN141,2)</f>
        <v/>
      </c>
      <c r="AY141" s="24">
        <f>ROUND(U141-AE141-AO141,2)</f>
        <v/>
      </c>
      <c r="AZ141" s="24">
        <f>ROUND(V141-AF141-AP141,2)</f>
        <v/>
      </c>
      <c r="BA141" s="24">
        <f>ROUND(W141-AG141-AQ141,2)</f>
        <v/>
      </c>
      <c r="BB141" s="24">
        <f>SUM(AR141:BA141)</f>
        <v/>
      </c>
    </row>
    <row r="142">
      <c r="A142" t="n">
        <v>138</v>
      </c>
      <c r="B142" s="23">
        <f>EOMONTH(TODAY(),137)</f>
        <v/>
      </c>
      <c r="C142" s="24">
        <f>MAX(0,(SUM('My Loans'!$E$6:$E$15)+'My Loans'!$D$3)-SUM($X142:$AG142))</f>
        <v/>
      </c>
      <c r="D142" s="24">
        <f>MAX(0,AR141)</f>
        <v/>
      </c>
      <c r="E142" s="24">
        <f>MAX(0,AS141)</f>
        <v/>
      </c>
      <c r="F142" s="24">
        <f>MAX(0,AT141)</f>
        <v/>
      </c>
      <c r="G142" s="24">
        <f>MAX(0,AU141)</f>
        <v/>
      </c>
      <c r="H142" s="24">
        <f>MAX(0,AV141)</f>
        <v/>
      </c>
      <c r="I142" s="24">
        <f>MAX(0,AW141)</f>
        <v/>
      </c>
      <c r="J142" s="24">
        <f>MAX(0,AX141)</f>
        <v/>
      </c>
      <c r="K142" s="24">
        <f>MAX(0,AY141)</f>
        <v/>
      </c>
      <c r="L142" s="24">
        <f>MAX(0,AZ141)</f>
        <v/>
      </c>
      <c r="M142" s="24">
        <f>MAX(0,BA141)</f>
        <v/>
      </c>
      <c r="N142" s="24">
        <f>IF(D142&lt;0.5,0,D142*(1+N('My Loans'!D6)/1200))</f>
        <v/>
      </c>
      <c r="O142" s="24">
        <f>IF(E142&lt;0.5,0,E142*(1+N('My Loans'!D7)/1200))</f>
        <v/>
      </c>
      <c r="P142" s="24">
        <f>IF(F142&lt;0.5,0,F142*(1+N('My Loans'!D8)/1200))</f>
        <v/>
      </c>
      <c r="Q142" s="24">
        <f>IF(G142&lt;0.5,0,G142*(1+N('My Loans'!D9)/1200))</f>
        <v/>
      </c>
      <c r="R142" s="24">
        <f>IF(H142&lt;0.5,0,H142*(1+N('My Loans'!D10)/1200))</f>
        <v/>
      </c>
      <c r="S142" s="24">
        <f>IF(I142&lt;0.5,0,I142*(1+N('My Loans'!D11)/1200))</f>
        <v/>
      </c>
      <c r="T142" s="24">
        <f>IF(J142&lt;0.5,0,J142*(1+N('My Loans'!D12)/1200))</f>
        <v/>
      </c>
      <c r="U142" s="24">
        <f>IF(K142&lt;0.5,0,K142*(1+N('My Loans'!D13)/1200))</f>
        <v/>
      </c>
      <c r="V142" s="24">
        <f>IF(L142&lt;0.5,0,L142*(1+N('My Loans'!D14)/1200))</f>
        <v/>
      </c>
      <c r="W142" s="24">
        <f>IF(M142&lt;0.5,0,M142*(1+N('My Loans'!D15)/1200))</f>
        <v/>
      </c>
      <c r="X142" s="24">
        <f>MIN(N142,N('My Loans'!E6))</f>
        <v/>
      </c>
      <c r="Y142" s="24">
        <f>MIN(O142,N('My Loans'!E7))</f>
        <v/>
      </c>
      <c r="Z142" s="24">
        <f>MIN(P142,N('My Loans'!E8))</f>
        <v/>
      </c>
      <c r="AA142" s="24">
        <f>MIN(Q142,N('My Loans'!E9))</f>
        <v/>
      </c>
      <c r="AB142" s="24">
        <f>MIN(R142,N('My Loans'!E10))</f>
        <v/>
      </c>
      <c r="AC142" s="24">
        <f>MIN(S142,N('My Loans'!E11))</f>
        <v/>
      </c>
      <c r="AD142" s="24">
        <f>MIN(T142,N('My Loans'!E12))</f>
        <v/>
      </c>
      <c r="AE142" s="24">
        <f>MIN(U142,N('My Loans'!E13))</f>
        <v/>
      </c>
      <c r="AF142" s="24">
        <f>MIN(V142,N('My Loans'!E14))</f>
        <v/>
      </c>
      <c r="AG142" s="24">
        <f>MIN(W142,N('My Loans'!E15))</f>
        <v/>
      </c>
      <c r="AH142" s="24">
        <f>MIN(N142-X142,MAX(0,$C142-SUMPRODUCT(($D$3:$M$3&lt;D$3)*($N142:$W142-$X142:$AG142))))</f>
        <v/>
      </c>
      <c r="AI142" s="24">
        <f>MIN(O142-Y142,MAX(0,$C142-SUMPRODUCT(($D$3:$M$3&lt;E$3)*($N142:$W142-$X142:$AG142))))</f>
        <v/>
      </c>
      <c r="AJ142" s="24">
        <f>MIN(P142-Z142,MAX(0,$C142-SUMPRODUCT(($D$3:$M$3&lt;F$3)*($N142:$W142-$X142:$AG142))))</f>
        <v/>
      </c>
      <c r="AK142" s="24">
        <f>MIN(Q142-AA142,MAX(0,$C142-SUMPRODUCT(($D$3:$M$3&lt;G$3)*($N142:$W142-$X142:$AG142))))</f>
        <v/>
      </c>
      <c r="AL142" s="24">
        <f>MIN(R142-AB142,MAX(0,$C142-SUMPRODUCT(($D$3:$M$3&lt;H$3)*($N142:$W142-$X142:$AG142))))</f>
        <v/>
      </c>
      <c r="AM142" s="24">
        <f>MIN(S142-AC142,MAX(0,$C142-SUMPRODUCT(($D$3:$M$3&lt;I$3)*($N142:$W142-$X142:$AG142))))</f>
        <v/>
      </c>
      <c r="AN142" s="24">
        <f>MIN(T142-AD142,MAX(0,$C142-SUMPRODUCT(($D$3:$M$3&lt;J$3)*($N142:$W142-$X142:$AG142))))</f>
        <v/>
      </c>
      <c r="AO142" s="24">
        <f>MIN(U142-AE142,MAX(0,$C142-SUMPRODUCT(($D$3:$M$3&lt;K$3)*($N142:$W142-$X142:$AG142))))</f>
        <v/>
      </c>
      <c r="AP142" s="24">
        <f>MIN(V142-AF142,MAX(0,$C142-SUMPRODUCT(($D$3:$M$3&lt;L$3)*($N142:$W142-$X142:$AG142))))</f>
        <v/>
      </c>
      <c r="AQ142" s="24">
        <f>MIN(W142-AG142,MAX(0,$C142-SUMPRODUCT(($D$3:$M$3&lt;M$3)*($N142:$W142-$X142:$AG142))))</f>
        <v/>
      </c>
      <c r="AR142" s="24">
        <f>ROUND(N142-X142-AH142,2)</f>
        <v/>
      </c>
      <c r="AS142" s="24">
        <f>ROUND(O142-Y142-AI142,2)</f>
        <v/>
      </c>
      <c r="AT142" s="24">
        <f>ROUND(P142-Z142-AJ142,2)</f>
        <v/>
      </c>
      <c r="AU142" s="24">
        <f>ROUND(Q142-AA142-AK142,2)</f>
        <v/>
      </c>
      <c r="AV142" s="24">
        <f>ROUND(R142-AB142-AL142,2)</f>
        <v/>
      </c>
      <c r="AW142" s="24">
        <f>ROUND(S142-AC142-AM142,2)</f>
        <v/>
      </c>
      <c r="AX142" s="24">
        <f>ROUND(T142-AD142-AN142,2)</f>
        <v/>
      </c>
      <c r="AY142" s="24">
        <f>ROUND(U142-AE142-AO142,2)</f>
        <v/>
      </c>
      <c r="AZ142" s="24">
        <f>ROUND(V142-AF142-AP142,2)</f>
        <v/>
      </c>
      <c r="BA142" s="24">
        <f>ROUND(W142-AG142-AQ142,2)</f>
        <v/>
      </c>
      <c r="BB142" s="24">
        <f>SUM(AR142:BA142)</f>
        <v/>
      </c>
    </row>
    <row r="143">
      <c r="A143" t="n">
        <v>139</v>
      </c>
      <c r="B143" s="23">
        <f>EOMONTH(TODAY(),138)</f>
        <v/>
      </c>
      <c r="C143" s="24">
        <f>MAX(0,(SUM('My Loans'!$E$6:$E$15)+'My Loans'!$D$3)-SUM($X143:$AG143))</f>
        <v/>
      </c>
      <c r="D143" s="24">
        <f>MAX(0,AR142)</f>
        <v/>
      </c>
      <c r="E143" s="24">
        <f>MAX(0,AS142)</f>
        <v/>
      </c>
      <c r="F143" s="24">
        <f>MAX(0,AT142)</f>
        <v/>
      </c>
      <c r="G143" s="24">
        <f>MAX(0,AU142)</f>
        <v/>
      </c>
      <c r="H143" s="24">
        <f>MAX(0,AV142)</f>
        <v/>
      </c>
      <c r="I143" s="24">
        <f>MAX(0,AW142)</f>
        <v/>
      </c>
      <c r="J143" s="24">
        <f>MAX(0,AX142)</f>
        <v/>
      </c>
      <c r="K143" s="24">
        <f>MAX(0,AY142)</f>
        <v/>
      </c>
      <c r="L143" s="24">
        <f>MAX(0,AZ142)</f>
        <v/>
      </c>
      <c r="M143" s="24">
        <f>MAX(0,BA142)</f>
        <v/>
      </c>
      <c r="N143" s="24">
        <f>IF(D143&lt;0.5,0,D143*(1+N('My Loans'!D6)/1200))</f>
        <v/>
      </c>
      <c r="O143" s="24">
        <f>IF(E143&lt;0.5,0,E143*(1+N('My Loans'!D7)/1200))</f>
        <v/>
      </c>
      <c r="P143" s="24">
        <f>IF(F143&lt;0.5,0,F143*(1+N('My Loans'!D8)/1200))</f>
        <v/>
      </c>
      <c r="Q143" s="24">
        <f>IF(G143&lt;0.5,0,G143*(1+N('My Loans'!D9)/1200))</f>
        <v/>
      </c>
      <c r="R143" s="24">
        <f>IF(H143&lt;0.5,0,H143*(1+N('My Loans'!D10)/1200))</f>
        <v/>
      </c>
      <c r="S143" s="24">
        <f>IF(I143&lt;0.5,0,I143*(1+N('My Loans'!D11)/1200))</f>
        <v/>
      </c>
      <c r="T143" s="24">
        <f>IF(J143&lt;0.5,0,J143*(1+N('My Loans'!D12)/1200))</f>
        <v/>
      </c>
      <c r="U143" s="24">
        <f>IF(K143&lt;0.5,0,K143*(1+N('My Loans'!D13)/1200))</f>
        <v/>
      </c>
      <c r="V143" s="24">
        <f>IF(L143&lt;0.5,0,L143*(1+N('My Loans'!D14)/1200))</f>
        <v/>
      </c>
      <c r="W143" s="24">
        <f>IF(M143&lt;0.5,0,M143*(1+N('My Loans'!D15)/1200))</f>
        <v/>
      </c>
      <c r="X143" s="24">
        <f>MIN(N143,N('My Loans'!E6))</f>
        <v/>
      </c>
      <c r="Y143" s="24">
        <f>MIN(O143,N('My Loans'!E7))</f>
        <v/>
      </c>
      <c r="Z143" s="24">
        <f>MIN(P143,N('My Loans'!E8))</f>
        <v/>
      </c>
      <c r="AA143" s="24">
        <f>MIN(Q143,N('My Loans'!E9))</f>
        <v/>
      </c>
      <c r="AB143" s="24">
        <f>MIN(R143,N('My Loans'!E10))</f>
        <v/>
      </c>
      <c r="AC143" s="24">
        <f>MIN(S143,N('My Loans'!E11))</f>
        <v/>
      </c>
      <c r="AD143" s="24">
        <f>MIN(T143,N('My Loans'!E12))</f>
        <v/>
      </c>
      <c r="AE143" s="24">
        <f>MIN(U143,N('My Loans'!E13))</f>
        <v/>
      </c>
      <c r="AF143" s="24">
        <f>MIN(V143,N('My Loans'!E14))</f>
        <v/>
      </c>
      <c r="AG143" s="24">
        <f>MIN(W143,N('My Loans'!E15))</f>
        <v/>
      </c>
      <c r="AH143" s="24">
        <f>MIN(N143-X143,MAX(0,$C143-SUMPRODUCT(($D$3:$M$3&lt;D$3)*($N143:$W143-$X143:$AG143))))</f>
        <v/>
      </c>
      <c r="AI143" s="24">
        <f>MIN(O143-Y143,MAX(0,$C143-SUMPRODUCT(($D$3:$M$3&lt;E$3)*($N143:$W143-$X143:$AG143))))</f>
        <v/>
      </c>
      <c r="AJ143" s="24">
        <f>MIN(P143-Z143,MAX(0,$C143-SUMPRODUCT(($D$3:$M$3&lt;F$3)*($N143:$W143-$X143:$AG143))))</f>
        <v/>
      </c>
      <c r="AK143" s="24">
        <f>MIN(Q143-AA143,MAX(0,$C143-SUMPRODUCT(($D$3:$M$3&lt;G$3)*($N143:$W143-$X143:$AG143))))</f>
        <v/>
      </c>
      <c r="AL143" s="24">
        <f>MIN(R143-AB143,MAX(0,$C143-SUMPRODUCT(($D$3:$M$3&lt;H$3)*($N143:$W143-$X143:$AG143))))</f>
        <v/>
      </c>
      <c r="AM143" s="24">
        <f>MIN(S143-AC143,MAX(0,$C143-SUMPRODUCT(($D$3:$M$3&lt;I$3)*($N143:$W143-$X143:$AG143))))</f>
        <v/>
      </c>
      <c r="AN143" s="24">
        <f>MIN(T143-AD143,MAX(0,$C143-SUMPRODUCT(($D$3:$M$3&lt;J$3)*($N143:$W143-$X143:$AG143))))</f>
        <v/>
      </c>
      <c r="AO143" s="24">
        <f>MIN(U143-AE143,MAX(0,$C143-SUMPRODUCT(($D$3:$M$3&lt;K$3)*($N143:$W143-$X143:$AG143))))</f>
        <v/>
      </c>
      <c r="AP143" s="24">
        <f>MIN(V143-AF143,MAX(0,$C143-SUMPRODUCT(($D$3:$M$3&lt;L$3)*($N143:$W143-$X143:$AG143))))</f>
        <v/>
      </c>
      <c r="AQ143" s="24">
        <f>MIN(W143-AG143,MAX(0,$C143-SUMPRODUCT(($D$3:$M$3&lt;M$3)*($N143:$W143-$X143:$AG143))))</f>
        <v/>
      </c>
      <c r="AR143" s="24">
        <f>ROUND(N143-X143-AH143,2)</f>
        <v/>
      </c>
      <c r="AS143" s="24">
        <f>ROUND(O143-Y143-AI143,2)</f>
        <v/>
      </c>
      <c r="AT143" s="24">
        <f>ROUND(P143-Z143-AJ143,2)</f>
        <v/>
      </c>
      <c r="AU143" s="24">
        <f>ROUND(Q143-AA143-AK143,2)</f>
        <v/>
      </c>
      <c r="AV143" s="24">
        <f>ROUND(R143-AB143-AL143,2)</f>
        <v/>
      </c>
      <c r="AW143" s="24">
        <f>ROUND(S143-AC143-AM143,2)</f>
        <v/>
      </c>
      <c r="AX143" s="24">
        <f>ROUND(T143-AD143-AN143,2)</f>
        <v/>
      </c>
      <c r="AY143" s="24">
        <f>ROUND(U143-AE143-AO143,2)</f>
        <v/>
      </c>
      <c r="AZ143" s="24">
        <f>ROUND(V143-AF143-AP143,2)</f>
        <v/>
      </c>
      <c r="BA143" s="24">
        <f>ROUND(W143-AG143-AQ143,2)</f>
        <v/>
      </c>
      <c r="BB143" s="24">
        <f>SUM(AR143:BA143)</f>
        <v/>
      </c>
    </row>
    <row r="144">
      <c r="A144" t="n">
        <v>140</v>
      </c>
      <c r="B144" s="23">
        <f>EOMONTH(TODAY(),139)</f>
        <v/>
      </c>
      <c r="C144" s="24">
        <f>MAX(0,(SUM('My Loans'!$E$6:$E$15)+'My Loans'!$D$3)-SUM($X144:$AG144))</f>
        <v/>
      </c>
      <c r="D144" s="24">
        <f>MAX(0,AR143)</f>
        <v/>
      </c>
      <c r="E144" s="24">
        <f>MAX(0,AS143)</f>
        <v/>
      </c>
      <c r="F144" s="24">
        <f>MAX(0,AT143)</f>
        <v/>
      </c>
      <c r="G144" s="24">
        <f>MAX(0,AU143)</f>
        <v/>
      </c>
      <c r="H144" s="24">
        <f>MAX(0,AV143)</f>
        <v/>
      </c>
      <c r="I144" s="24">
        <f>MAX(0,AW143)</f>
        <v/>
      </c>
      <c r="J144" s="24">
        <f>MAX(0,AX143)</f>
        <v/>
      </c>
      <c r="K144" s="24">
        <f>MAX(0,AY143)</f>
        <v/>
      </c>
      <c r="L144" s="24">
        <f>MAX(0,AZ143)</f>
        <v/>
      </c>
      <c r="M144" s="24">
        <f>MAX(0,BA143)</f>
        <v/>
      </c>
      <c r="N144" s="24">
        <f>IF(D144&lt;0.5,0,D144*(1+N('My Loans'!D6)/1200))</f>
        <v/>
      </c>
      <c r="O144" s="24">
        <f>IF(E144&lt;0.5,0,E144*(1+N('My Loans'!D7)/1200))</f>
        <v/>
      </c>
      <c r="P144" s="24">
        <f>IF(F144&lt;0.5,0,F144*(1+N('My Loans'!D8)/1200))</f>
        <v/>
      </c>
      <c r="Q144" s="24">
        <f>IF(G144&lt;0.5,0,G144*(1+N('My Loans'!D9)/1200))</f>
        <v/>
      </c>
      <c r="R144" s="24">
        <f>IF(H144&lt;0.5,0,H144*(1+N('My Loans'!D10)/1200))</f>
        <v/>
      </c>
      <c r="S144" s="24">
        <f>IF(I144&lt;0.5,0,I144*(1+N('My Loans'!D11)/1200))</f>
        <v/>
      </c>
      <c r="T144" s="24">
        <f>IF(J144&lt;0.5,0,J144*(1+N('My Loans'!D12)/1200))</f>
        <v/>
      </c>
      <c r="U144" s="24">
        <f>IF(K144&lt;0.5,0,K144*(1+N('My Loans'!D13)/1200))</f>
        <v/>
      </c>
      <c r="V144" s="24">
        <f>IF(L144&lt;0.5,0,L144*(1+N('My Loans'!D14)/1200))</f>
        <v/>
      </c>
      <c r="W144" s="24">
        <f>IF(M144&lt;0.5,0,M144*(1+N('My Loans'!D15)/1200))</f>
        <v/>
      </c>
      <c r="X144" s="24">
        <f>MIN(N144,N('My Loans'!E6))</f>
        <v/>
      </c>
      <c r="Y144" s="24">
        <f>MIN(O144,N('My Loans'!E7))</f>
        <v/>
      </c>
      <c r="Z144" s="24">
        <f>MIN(P144,N('My Loans'!E8))</f>
        <v/>
      </c>
      <c r="AA144" s="24">
        <f>MIN(Q144,N('My Loans'!E9))</f>
        <v/>
      </c>
      <c r="AB144" s="24">
        <f>MIN(R144,N('My Loans'!E10))</f>
        <v/>
      </c>
      <c r="AC144" s="24">
        <f>MIN(S144,N('My Loans'!E11))</f>
        <v/>
      </c>
      <c r="AD144" s="24">
        <f>MIN(T144,N('My Loans'!E12))</f>
        <v/>
      </c>
      <c r="AE144" s="24">
        <f>MIN(U144,N('My Loans'!E13))</f>
        <v/>
      </c>
      <c r="AF144" s="24">
        <f>MIN(V144,N('My Loans'!E14))</f>
        <v/>
      </c>
      <c r="AG144" s="24">
        <f>MIN(W144,N('My Loans'!E15))</f>
        <v/>
      </c>
      <c r="AH144" s="24">
        <f>MIN(N144-X144,MAX(0,$C144-SUMPRODUCT(($D$3:$M$3&lt;D$3)*($N144:$W144-$X144:$AG144))))</f>
        <v/>
      </c>
      <c r="AI144" s="24">
        <f>MIN(O144-Y144,MAX(0,$C144-SUMPRODUCT(($D$3:$M$3&lt;E$3)*($N144:$W144-$X144:$AG144))))</f>
        <v/>
      </c>
      <c r="AJ144" s="24">
        <f>MIN(P144-Z144,MAX(0,$C144-SUMPRODUCT(($D$3:$M$3&lt;F$3)*($N144:$W144-$X144:$AG144))))</f>
        <v/>
      </c>
      <c r="AK144" s="24">
        <f>MIN(Q144-AA144,MAX(0,$C144-SUMPRODUCT(($D$3:$M$3&lt;G$3)*($N144:$W144-$X144:$AG144))))</f>
        <v/>
      </c>
      <c r="AL144" s="24">
        <f>MIN(R144-AB144,MAX(0,$C144-SUMPRODUCT(($D$3:$M$3&lt;H$3)*($N144:$W144-$X144:$AG144))))</f>
        <v/>
      </c>
      <c r="AM144" s="24">
        <f>MIN(S144-AC144,MAX(0,$C144-SUMPRODUCT(($D$3:$M$3&lt;I$3)*($N144:$W144-$X144:$AG144))))</f>
        <v/>
      </c>
      <c r="AN144" s="24">
        <f>MIN(T144-AD144,MAX(0,$C144-SUMPRODUCT(($D$3:$M$3&lt;J$3)*($N144:$W144-$X144:$AG144))))</f>
        <v/>
      </c>
      <c r="AO144" s="24">
        <f>MIN(U144-AE144,MAX(0,$C144-SUMPRODUCT(($D$3:$M$3&lt;K$3)*($N144:$W144-$X144:$AG144))))</f>
        <v/>
      </c>
      <c r="AP144" s="24">
        <f>MIN(V144-AF144,MAX(0,$C144-SUMPRODUCT(($D$3:$M$3&lt;L$3)*($N144:$W144-$X144:$AG144))))</f>
        <v/>
      </c>
      <c r="AQ144" s="24">
        <f>MIN(W144-AG144,MAX(0,$C144-SUMPRODUCT(($D$3:$M$3&lt;M$3)*($N144:$W144-$X144:$AG144))))</f>
        <v/>
      </c>
      <c r="AR144" s="24">
        <f>ROUND(N144-X144-AH144,2)</f>
        <v/>
      </c>
      <c r="AS144" s="24">
        <f>ROUND(O144-Y144-AI144,2)</f>
        <v/>
      </c>
      <c r="AT144" s="24">
        <f>ROUND(P144-Z144-AJ144,2)</f>
        <v/>
      </c>
      <c r="AU144" s="24">
        <f>ROUND(Q144-AA144-AK144,2)</f>
        <v/>
      </c>
      <c r="AV144" s="24">
        <f>ROUND(R144-AB144-AL144,2)</f>
        <v/>
      </c>
      <c r="AW144" s="24">
        <f>ROUND(S144-AC144-AM144,2)</f>
        <v/>
      </c>
      <c r="AX144" s="24">
        <f>ROUND(T144-AD144-AN144,2)</f>
        <v/>
      </c>
      <c r="AY144" s="24">
        <f>ROUND(U144-AE144-AO144,2)</f>
        <v/>
      </c>
      <c r="AZ144" s="24">
        <f>ROUND(V144-AF144-AP144,2)</f>
        <v/>
      </c>
      <c r="BA144" s="24">
        <f>ROUND(W144-AG144-AQ144,2)</f>
        <v/>
      </c>
      <c r="BB144" s="24">
        <f>SUM(AR144:BA144)</f>
        <v/>
      </c>
    </row>
    <row r="145">
      <c r="A145" t="n">
        <v>141</v>
      </c>
      <c r="B145" s="23">
        <f>EOMONTH(TODAY(),140)</f>
        <v/>
      </c>
      <c r="C145" s="24">
        <f>MAX(0,(SUM('My Loans'!$E$6:$E$15)+'My Loans'!$D$3)-SUM($X145:$AG145))</f>
        <v/>
      </c>
      <c r="D145" s="24">
        <f>MAX(0,AR144)</f>
        <v/>
      </c>
      <c r="E145" s="24">
        <f>MAX(0,AS144)</f>
        <v/>
      </c>
      <c r="F145" s="24">
        <f>MAX(0,AT144)</f>
        <v/>
      </c>
      <c r="G145" s="24">
        <f>MAX(0,AU144)</f>
        <v/>
      </c>
      <c r="H145" s="24">
        <f>MAX(0,AV144)</f>
        <v/>
      </c>
      <c r="I145" s="24">
        <f>MAX(0,AW144)</f>
        <v/>
      </c>
      <c r="J145" s="24">
        <f>MAX(0,AX144)</f>
        <v/>
      </c>
      <c r="K145" s="24">
        <f>MAX(0,AY144)</f>
        <v/>
      </c>
      <c r="L145" s="24">
        <f>MAX(0,AZ144)</f>
        <v/>
      </c>
      <c r="M145" s="24">
        <f>MAX(0,BA144)</f>
        <v/>
      </c>
      <c r="N145" s="24">
        <f>IF(D145&lt;0.5,0,D145*(1+N('My Loans'!D6)/1200))</f>
        <v/>
      </c>
      <c r="O145" s="24">
        <f>IF(E145&lt;0.5,0,E145*(1+N('My Loans'!D7)/1200))</f>
        <v/>
      </c>
      <c r="P145" s="24">
        <f>IF(F145&lt;0.5,0,F145*(1+N('My Loans'!D8)/1200))</f>
        <v/>
      </c>
      <c r="Q145" s="24">
        <f>IF(G145&lt;0.5,0,G145*(1+N('My Loans'!D9)/1200))</f>
        <v/>
      </c>
      <c r="R145" s="24">
        <f>IF(H145&lt;0.5,0,H145*(1+N('My Loans'!D10)/1200))</f>
        <v/>
      </c>
      <c r="S145" s="24">
        <f>IF(I145&lt;0.5,0,I145*(1+N('My Loans'!D11)/1200))</f>
        <v/>
      </c>
      <c r="T145" s="24">
        <f>IF(J145&lt;0.5,0,J145*(1+N('My Loans'!D12)/1200))</f>
        <v/>
      </c>
      <c r="U145" s="24">
        <f>IF(K145&lt;0.5,0,K145*(1+N('My Loans'!D13)/1200))</f>
        <v/>
      </c>
      <c r="V145" s="24">
        <f>IF(L145&lt;0.5,0,L145*(1+N('My Loans'!D14)/1200))</f>
        <v/>
      </c>
      <c r="W145" s="24">
        <f>IF(M145&lt;0.5,0,M145*(1+N('My Loans'!D15)/1200))</f>
        <v/>
      </c>
      <c r="X145" s="24">
        <f>MIN(N145,N('My Loans'!E6))</f>
        <v/>
      </c>
      <c r="Y145" s="24">
        <f>MIN(O145,N('My Loans'!E7))</f>
        <v/>
      </c>
      <c r="Z145" s="24">
        <f>MIN(P145,N('My Loans'!E8))</f>
        <v/>
      </c>
      <c r="AA145" s="24">
        <f>MIN(Q145,N('My Loans'!E9))</f>
        <v/>
      </c>
      <c r="AB145" s="24">
        <f>MIN(R145,N('My Loans'!E10))</f>
        <v/>
      </c>
      <c r="AC145" s="24">
        <f>MIN(S145,N('My Loans'!E11))</f>
        <v/>
      </c>
      <c r="AD145" s="24">
        <f>MIN(T145,N('My Loans'!E12))</f>
        <v/>
      </c>
      <c r="AE145" s="24">
        <f>MIN(U145,N('My Loans'!E13))</f>
        <v/>
      </c>
      <c r="AF145" s="24">
        <f>MIN(V145,N('My Loans'!E14))</f>
        <v/>
      </c>
      <c r="AG145" s="24">
        <f>MIN(W145,N('My Loans'!E15))</f>
        <v/>
      </c>
      <c r="AH145" s="24">
        <f>MIN(N145-X145,MAX(0,$C145-SUMPRODUCT(($D$3:$M$3&lt;D$3)*($N145:$W145-$X145:$AG145))))</f>
        <v/>
      </c>
      <c r="AI145" s="24">
        <f>MIN(O145-Y145,MAX(0,$C145-SUMPRODUCT(($D$3:$M$3&lt;E$3)*($N145:$W145-$X145:$AG145))))</f>
        <v/>
      </c>
      <c r="AJ145" s="24">
        <f>MIN(P145-Z145,MAX(0,$C145-SUMPRODUCT(($D$3:$M$3&lt;F$3)*($N145:$W145-$X145:$AG145))))</f>
        <v/>
      </c>
      <c r="AK145" s="24">
        <f>MIN(Q145-AA145,MAX(0,$C145-SUMPRODUCT(($D$3:$M$3&lt;G$3)*($N145:$W145-$X145:$AG145))))</f>
        <v/>
      </c>
      <c r="AL145" s="24">
        <f>MIN(R145-AB145,MAX(0,$C145-SUMPRODUCT(($D$3:$M$3&lt;H$3)*($N145:$W145-$X145:$AG145))))</f>
        <v/>
      </c>
      <c r="AM145" s="24">
        <f>MIN(S145-AC145,MAX(0,$C145-SUMPRODUCT(($D$3:$M$3&lt;I$3)*($N145:$W145-$X145:$AG145))))</f>
        <v/>
      </c>
      <c r="AN145" s="24">
        <f>MIN(T145-AD145,MAX(0,$C145-SUMPRODUCT(($D$3:$M$3&lt;J$3)*($N145:$W145-$X145:$AG145))))</f>
        <v/>
      </c>
      <c r="AO145" s="24">
        <f>MIN(U145-AE145,MAX(0,$C145-SUMPRODUCT(($D$3:$M$3&lt;K$3)*($N145:$W145-$X145:$AG145))))</f>
        <v/>
      </c>
      <c r="AP145" s="24">
        <f>MIN(V145-AF145,MAX(0,$C145-SUMPRODUCT(($D$3:$M$3&lt;L$3)*($N145:$W145-$X145:$AG145))))</f>
        <v/>
      </c>
      <c r="AQ145" s="24">
        <f>MIN(W145-AG145,MAX(0,$C145-SUMPRODUCT(($D$3:$M$3&lt;M$3)*($N145:$W145-$X145:$AG145))))</f>
        <v/>
      </c>
      <c r="AR145" s="24">
        <f>ROUND(N145-X145-AH145,2)</f>
        <v/>
      </c>
      <c r="AS145" s="24">
        <f>ROUND(O145-Y145-AI145,2)</f>
        <v/>
      </c>
      <c r="AT145" s="24">
        <f>ROUND(P145-Z145-AJ145,2)</f>
        <v/>
      </c>
      <c r="AU145" s="24">
        <f>ROUND(Q145-AA145-AK145,2)</f>
        <v/>
      </c>
      <c r="AV145" s="24">
        <f>ROUND(R145-AB145-AL145,2)</f>
        <v/>
      </c>
      <c r="AW145" s="24">
        <f>ROUND(S145-AC145-AM145,2)</f>
        <v/>
      </c>
      <c r="AX145" s="24">
        <f>ROUND(T145-AD145-AN145,2)</f>
        <v/>
      </c>
      <c r="AY145" s="24">
        <f>ROUND(U145-AE145-AO145,2)</f>
        <v/>
      </c>
      <c r="AZ145" s="24">
        <f>ROUND(V145-AF145-AP145,2)</f>
        <v/>
      </c>
      <c r="BA145" s="24">
        <f>ROUND(W145-AG145-AQ145,2)</f>
        <v/>
      </c>
      <c r="BB145" s="24">
        <f>SUM(AR145:BA145)</f>
        <v/>
      </c>
    </row>
    <row r="146">
      <c r="A146" t="n">
        <v>142</v>
      </c>
      <c r="B146" s="23">
        <f>EOMONTH(TODAY(),141)</f>
        <v/>
      </c>
      <c r="C146" s="24">
        <f>MAX(0,(SUM('My Loans'!$E$6:$E$15)+'My Loans'!$D$3)-SUM($X146:$AG146))</f>
        <v/>
      </c>
      <c r="D146" s="24">
        <f>MAX(0,AR145)</f>
        <v/>
      </c>
      <c r="E146" s="24">
        <f>MAX(0,AS145)</f>
        <v/>
      </c>
      <c r="F146" s="24">
        <f>MAX(0,AT145)</f>
        <v/>
      </c>
      <c r="G146" s="24">
        <f>MAX(0,AU145)</f>
        <v/>
      </c>
      <c r="H146" s="24">
        <f>MAX(0,AV145)</f>
        <v/>
      </c>
      <c r="I146" s="24">
        <f>MAX(0,AW145)</f>
        <v/>
      </c>
      <c r="J146" s="24">
        <f>MAX(0,AX145)</f>
        <v/>
      </c>
      <c r="K146" s="24">
        <f>MAX(0,AY145)</f>
        <v/>
      </c>
      <c r="L146" s="24">
        <f>MAX(0,AZ145)</f>
        <v/>
      </c>
      <c r="M146" s="24">
        <f>MAX(0,BA145)</f>
        <v/>
      </c>
      <c r="N146" s="24">
        <f>IF(D146&lt;0.5,0,D146*(1+N('My Loans'!D6)/1200))</f>
        <v/>
      </c>
      <c r="O146" s="24">
        <f>IF(E146&lt;0.5,0,E146*(1+N('My Loans'!D7)/1200))</f>
        <v/>
      </c>
      <c r="P146" s="24">
        <f>IF(F146&lt;0.5,0,F146*(1+N('My Loans'!D8)/1200))</f>
        <v/>
      </c>
      <c r="Q146" s="24">
        <f>IF(G146&lt;0.5,0,G146*(1+N('My Loans'!D9)/1200))</f>
        <v/>
      </c>
      <c r="R146" s="24">
        <f>IF(H146&lt;0.5,0,H146*(1+N('My Loans'!D10)/1200))</f>
        <v/>
      </c>
      <c r="S146" s="24">
        <f>IF(I146&lt;0.5,0,I146*(1+N('My Loans'!D11)/1200))</f>
        <v/>
      </c>
      <c r="T146" s="24">
        <f>IF(J146&lt;0.5,0,J146*(1+N('My Loans'!D12)/1200))</f>
        <v/>
      </c>
      <c r="U146" s="24">
        <f>IF(K146&lt;0.5,0,K146*(1+N('My Loans'!D13)/1200))</f>
        <v/>
      </c>
      <c r="V146" s="24">
        <f>IF(L146&lt;0.5,0,L146*(1+N('My Loans'!D14)/1200))</f>
        <v/>
      </c>
      <c r="W146" s="24">
        <f>IF(M146&lt;0.5,0,M146*(1+N('My Loans'!D15)/1200))</f>
        <v/>
      </c>
      <c r="X146" s="24">
        <f>MIN(N146,N('My Loans'!E6))</f>
        <v/>
      </c>
      <c r="Y146" s="24">
        <f>MIN(O146,N('My Loans'!E7))</f>
        <v/>
      </c>
      <c r="Z146" s="24">
        <f>MIN(P146,N('My Loans'!E8))</f>
        <v/>
      </c>
      <c r="AA146" s="24">
        <f>MIN(Q146,N('My Loans'!E9))</f>
        <v/>
      </c>
      <c r="AB146" s="24">
        <f>MIN(R146,N('My Loans'!E10))</f>
        <v/>
      </c>
      <c r="AC146" s="24">
        <f>MIN(S146,N('My Loans'!E11))</f>
        <v/>
      </c>
      <c r="AD146" s="24">
        <f>MIN(T146,N('My Loans'!E12))</f>
        <v/>
      </c>
      <c r="AE146" s="24">
        <f>MIN(U146,N('My Loans'!E13))</f>
        <v/>
      </c>
      <c r="AF146" s="24">
        <f>MIN(V146,N('My Loans'!E14))</f>
        <v/>
      </c>
      <c r="AG146" s="24">
        <f>MIN(W146,N('My Loans'!E15))</f>
        <v/>
      </c>
      <c r="AH146" s="24">
        <f>MIN(N146-X146,MAX(0,$C146-SUMPRODUCT(($D$3:$M$3&lt;D$3)*($N146:$W146-$X146:$AG146))))</f>
        <v/>
      </c>
      <c r="AI146" s="24">
        <f>MIN(O146-Y146,MAX(0,$C146-SUMPRODUCT(($D$3:$M$3&lt;E$3)*($N146:$W146-$X146:$AG146))))</f>
        <v/>
      </c>
      <c r="AJ146" s="24">
        <f>MIN(P146-Z146,MAX(0,$C146-SUMPRODUCT(($D$3:$M$3&lt;F$3)*($N146:$W146-$X146:$AG146))))</f>
        <v/>
      </c>
      <c r="AK146" s="24">
        <f>MIN(Q146-AA146,MAX(0,$C146-SUMPRODUCT(($D$3:$M$3&lt;G$3)*($N146:$W146-$X146:$AG146))))</f>
        <v/>
      </c>
      <c r="AL146" s="24">
        <f>MIN(R146-AB146,MAX(0,$C146-SUMPRODUCT(($D$3:$M$3&lt;H$3)*($N146:$W146-$X146:$AG146))))</f>
        <v/>
      </c>
      <c r="AM146" s="24">
        <f>MIN(S146-AC146,MAX(0,$C146-SUMPRODUCT(($D$3:$M$3&lt;I$3)*($N146:$W146-$X146:$AG146))))</f>
        <v/>
      </c>
      <c r="AN146" s="24">
        <f>MIN(T146-AD146,MAX(0,$C146-SUMPRODUCT(($D$3:$M$3&lt;J$3)*($N146:$W146-$X146:$AG146))))</f>
        <v/>
      </c>
      <c r="AO146" s="24">
        <f>MIN(U146-AE146,MAX(0,$C146-SUMPRODUCT(($D$3:$M$3&lt;K$3)*($N146:$W146-$X146:$AG146))))</f>
        <v/>
      </c>
      <c r="AP146" s="24">
        <f>MIN(V146-AF146,MAX(0,$C146-SUMPRODUCT(($D$3:$M$3&lt;L$3)*($N146:$W146-$X146:$AG146))))</f>
        <v/>
      </c>
      <c r="AQ146" s="24">
        <f>MIN(W146-AG146,MAX(0,$C146-SUMPRODUCT(($D$3:$M$3&lt;M$3)*($N146:$W146-$X146:$AG146))))</f>
        <v/>
      </c>
      <c r="AR146" s="24">
        <f>ROUND(N146-X146-AH146,2)</f>
        <v/>
      </c>
      <c r="AS146" s="24">
        <f>ROUND(O146-Y146-AI146,2)</f>
        <v/>
      </c>
      <c r="AT146" s="24">
        <f>ROUND(P146-Z146-AJ146,2)</f>
        <v/>
      </c>
      <c r="AU146" s="24">
        <f>ROUND(Q146-AA146-AK146,2)</f>
        <v/>
      </c>
      <c r="AV146" s="24">
        <f>ROUND(R146-AB146-AL146,2)</f>
        <v/>
      </c>
      <c r="AW146" s="24">
        <f>ROUND(S146-AC146-AM146,2)</f>
        <v/>
      </c>
      <c r="AX146" s="24">
        <f>ROUND(T146-AD146-AN146,2)</f>
        <v/>
      </c>
      <c r="AY146" s="24">
        <f>ROUND(U146-AE146-AO146,2)</f>
        <v/>
      </c>
      <c r="AZ146" s="24">
        <f>ROUND(V146-AF146-AP146,2)</f>
        <v/>
      </c>
      <c r="BA146" s="24">
        <f>ROUND(W146-AG146-AQ146,2)</f>
        <v/>
      </c>
      <c r="BB146" s="24">
        <f>SUM(AR146:BA146)</f>
        <v/>
      </c>
    </row>
    <row r="147">
      <c r="A147" t="n">
        <v>143</v>
      </c>
      <c r="B147" s="23">
        <f>EOMONTH(TODAY(),142)</f>
        <v/>
      </c>
      <c r="C147" s="24">
        <f>MAX(0,(SUM('My Loans'!$E$6:$E$15)+'My Loans'!$D$3)-SUM($X147:$AG147))</f>
        <v/>
      </c>
      <c r="D147" s="24">
        <f>MAX(0,AR146)</f>
        <v/>
      </c>
      <c r="E147" s="24">
        <f>MAX(0,AS146)</f>
        <v/>
      </c>
      <c r="F147" s="24">
        <f>MAX(0,AT146)</f>
        <v/>
      </c>
      <c r="G147" s="24">
        <f>MAX(0,AU146)</f>
        <v/>
      </c>
      <c r="H147" s="24">
        <f>MAX(0,AV146)</f>
        <v/>
      </c>
      <c r="I147" s="24">
        <f>MAX(0,AW146)</f>
        <v/>
      </c>
      <c r="J147" s="24">
        <f>MAX(0,AX146)</f>
        <v/>
      </c>
      <c r="K147" s="24">
        <f>MAX(0,AY146)</f>
        <v/>
      </c>
      <c r="L147" s="24">
        <f>MAX(0,AZ146)</f>
        <v/>
      </c>
      <c r="M147" s="24">
        <f>MAX(0,BA146)</f>
        <v/>
      </c>
      <c r="N147" s="24">
        <f>IF(D147&lt;0.5,0,D147*(1+N('My Loans'!D6)/1200))</f>
        <v/>
      </c>
      <c r="O147" s="24">
        <f>IF(E147&lt;0.5,0,E147*(1+N('My Loans'!D7)/1200))</f>
        <v/>
      </c>
      <c r="P147" s="24">
        <f>IF(F147&lt;0.5,0,F147*(1+N('My Loans'!D8)/1200))</f>
        <v/>
      </c>
      <c r="Q147" s="24">
        <f>IF(G147&lt;0.5,0,G147*(1+N('My Loans'!D9)/1200))</f>
        <v/>
      </c>
      <c r="R147" s="24">
        <f>IF(H147&lt;0.5,0,H147*(1+N('My Loans'!D10)/1200))</f>
        <v/>
      </c>
      <c r="S147" s="24">
        <f>IF(I147&lt;0.5,0,I147*(1+N('My Loans'!D11)/1200))</f>
        <v/>
      </c>
      <c r="T147" s="24">
        <f>IF(J147&lt;0.5,0,J147*(1+N('My Loans'!D12)/1200))</f>
        <v/>
      </c>
      <c r="U147" s="24">
        <f>IF(K147&lt;0.5,0,K147*(1+N('My Loans'!D13)/1200))</f>
        <v/>
      </c>
      <c r="V147" s="24">
        <f>IF(L147&lt;0.5,0,L147*(1+N('My Loans'!D14)/1200))</f>
        <v/>
      </c>
      <c r="W147" s="24">
        <f>IF(M147&lt;0.5,0,M147*(1+N('My Loans'!D15)/1200))</f>
        <v/>
      </c>
      <c r="X147" s="24">
        <f>MIN(N147,N('My Loans'!E6))</f>
        <v/>
      </c>
      <c r="Y147" s="24">
        <f>MIN(O147,N('My Loans'!E7))</f>
        <v/>
      </c>
      <c r="Z147" s="24">
        <f>MIN(P147,N('My Loans'!E8))</f>
        <v/>
      </c>
      <c r="AA147" s="24">
        <f>MIN(Q147,N('My Loans'!E9))</f>
        <v/>
      </c>
      <c r="AB147" s="24">
        <f>MIN(R147,N('My Loans'!E10))</f>
        <v/>
      </c>
      <c r="AC147" s="24">
        <f>MIN(S147,N('My Loans'!E11))</f>
        <v/>
      </c>
      <c r="AD147" s="24">
        <f>MIN(T147,N('My Loans'!E12))</f>
        <v/>
      </c>
      <c r="AE147" s="24">
        <f>MIN(U147,N('My Loans'!E13))</f>
        <v/>
      </c>
      <c r="AF147" s="24">
        <f>MIN(V147,N('My Loans'!E14))</f>
        <v/>
      </c>
      <c r="AG147" s="24">
        <f>MIN(W147,N('My Loans'!E15))</f>
        <v/>
      </c>
      <c r="AH147" s="24">
        <f>MIN(N147-X147,MAX(0,$C147-SUMPRODUCT(($D$3:$M$3&lt;D$3)*($N147:$W147-$X147:$AG147))))</f>
        <v/>
      </c>
      <c r="AI147" s="24">
        <f>MIN(O147-Y147,MAX(0,$C147-SUMPRODUCT(($D$3:$M$3&lt;E$3)*($N147:$W147-$X147:$AG147))))</f>
        <v/>
      </c>
      <c r="AJ147" s="24">
        <f>MIN(P147-Z147,MAX(0,$C147-SUMPRODUCT(($D$3:$M$3&lt;F$3)*($N147:$W147-$X147:$AG147))))</f>
        <v/>
      </c>
      <c r="AK147" s="24">
        <f>MIN(Q147-AA147,MAX(0,$C147-SUMPRODUCT(($D$3:$M$3&lt;G$3)*($N147:$W147-$X147:$AG147))))</f>
        <v/>
      </c>
      <c r="AL147" s="24">
        <f>MIN(R147-AB147,MAX(0,$C147-SUMPRODUCT(($D$3:$M$3&lt;H$3)*($N147:$W147-$X147:$AG147))))</f>
        <v/>
      </c>
      <c r="AM147" s="24">
        <f>MIN(S147-AC147,MAX(0,$C147-SUMPRODUCT(($D$3:$M$3&lt;I$3)*($N147:$W147-$X147:$AG147))))</f>
        <v/>
      </c>
      <c r="AN147" s="24">
        <f>MIN(T147-AD147,MAX(0,$C147-SUMPRODUCT(($D$3:$M$3&lt;J$3)*($N147:$W147-$X147:$AG147))))</f>
        <v/>
      </c>
      <c r="AO147" s="24">
        <f>MIN(U147-AE147,MAX(0,$C147-SUMPRODUCT(($D$3:$M$3&lt;K$3)*($N147:$W147-$X147:$AG147))))</f>
        <v/>
      </c>
      <c r="AP147" s="24">
        <f>MIN(V147-AF147,MAX(0,$C147-SUMPRODUCT(($D$3:$M$3&lt;L$3)*($N147:$W147-$X147:$AG147))))</f>
        <v/>
      </c>
      <c r="AQ147" s="24">
        <f>MIN(W147-AG147,MAX(0,$C147-SUMPRODUCT(($D$3:$M$3&lt;M$3)*($N147:$W147-$X147:$AG147))))</f>
        <v/>
      </c>
      <c r="AR147" s="24">
        <f>ROUND(N147-X147-AH147,2)</f>
        <v/>
      </c>
      <c r="AS147" s="24">
        <f>ROUND(O147-Y147-AI147,2)</f>
        <v/>
      </c>
      <c r="AT147" s="24">
        <f>ROUND(P147-Z147-AJ147,2)</f>
        <v/>
      </c>
      <c r="AU147" s="24">
        <f>ROUND(Q147-AA147-AK147,2)</f>
        <v/>
      </c>
      <c r="AV147" s="24">
        <f>ROUND(R147-AB147-AL147,2)</f>
        <v/>
      </c>
      <c r="AW147" s="24">
        <f>ROUND(S147-AC147-AM147,2)</f>
        <v/>
      </c>
      <c r="AX147" s="24">
        <f>ROUND(T147-AD147-AN147,2)</f>
        <v/>
      </c>
      <c r="AY147" s="24">
        <f>ROUND(U147-AE147-AO147,2)</f>
        <v/>
      </c>
      <c r="AZ147" s="24">
        <f>ROUND(V147-AF147-AP147,2)</f>
        <v/>
      </c>
      <c r="BA147" s="24">
        <f>ROUND(W147-AG147-AQ147,2)</f>
        <v/>
      </c>
      <c r="BB147" s="24">
        <f>SUM(AR147:BA147)</f>
        <v/>
      </c>
    </row>
    <row r="148">
      <c r="A148" t="n">
        <v>144</v>
      </c>
      <c r="B148" s="23">
        <f>EOMONTH(TODAY(),143)</f>
        <v/>
      </c>
      <c r="C148" s="24">
        <f>MAX(0,(SUM('My Loans'!$E$6:$E$15)+'My Loans'!$D$3)-SUM($X148:$AG148))</f>
        <v/>
      </c>
      <c r="D148" s="24">
        <f>MAX(0,AR147)</f>
        <v/>
      </c>
      <c r="E148" s="24">
        <f>MAX(0,AS147)</f>
        <v/>
      </c>
      <c r="F148" s="24">
        <f>MAX(0,AT147)</f>
        <v/>
      </c>
      <c r="G148" s="24">
        <f>MAX(0,AU147)</f>
        <v/>
      </c>
      <c r="H148" s="24">
        <f>MAX(0,AV147)</f>
        <v/>
      </c>
      <c r="I148" s="24">
        <f>MAX(0,AW147)</f>
        <v/>
      </c>
      <c r="J148" s="24">
        <f>MAX(0,AX147)</f>
        <v/>
      </c>
      <c r="K148" s="24">
        <f>MAX(0,AY147)</f>
        <v/>
      </c>
      <c r="L148" s="24">
        <f>MAX(0,AZ147)</f>
        <v/>
      </c>
      <c r="M148" s="24">
        <f>MAX(0,BA147)</f>
        <v/>
      </c>
      <c r="N148" s="24">
        <f>IF(D148&lt;0.5,0,D148*(1+N('My Loans'!D6)/1200))</f>
        <v/>
      </c>
      <c r="O148" s="24">
        <f>IF(E148&lt;0.5,0,E148*(1+N('My Loans'!D7)/1200))</f>
        <v/>
      </c>
      <c r="P148" s="24">
        <f>IF(F148&lt;0.5,0,F148*(1+N('My Loans'!D8)/1200))</f>
        <v/>
      </c>
      <c r="Q148" s="24">
        <f>IF(G148&lt;0.5,0,G148*(1+N('My Loans'!D9)/1200))</f>
        <v/>
      </c>
      <c r="R148" s="24">
        <f>IF(H148&lt;0.5,0,H148*(1+N('My Loans'!D10)/1200))</f>
        <v/>
      </c>
      <c r="S148" s="24">
        <f>IF(I148&lt;0.5,0,I148*(1+N('My Loans'!D11)/1200))</f>
        <v/>
      </c>
      <c r="T148" s="24">
        <f>IF(J148&lt;0.5,0,J148*(1+N('My Loans'!D12)/1200))</f>
        <v/>
      </c>
      <c r="U148" s="24">
        <f>IF(K148&lt;0.5,0,K148*(1+N('My Loans'!D13)/1200))</f>
        <v/>
      </c>
      <c r="V148" s="24">
        <f>IF(L148&lt;0.5,0,L148*(1+N('My Loans'!D14)/1200))</f>
        <v/>
      </c>
      <c r="W148" s="24">
        <f>IF(M148&lt;0.5,0,M148*(1+N('My Loans'!D15)/1200))</f>
        <v/>
      </c>
      <c r="X148" s="24">
        <f>MIN(N148,N('My Loans'!E6))</f>
        <v/>
      </c>
      <c r="Y148" s="24">
        <f>MIN(O148,N('My Loans'!E7))</f>
        <v/>
      </c>
      <c r="Z148" s="24">
        <f>MIN(P148,N('My Loans'!E8))</f>
        <v/>
      </c>
      <c r="AA148" s="24">
        <f>MIN(Q148,N('My Loans'!E9))</f>
        <v/>
      </c>
      <c r="AB148" s="24">
        <f>MIN(R148,N('My Loans'!E10))</f>
        <v/>
      </c>
      <c r="AC148" s="24">
        <f>MIN(S148,N('My Loans'!E11))</f>
        <v/>
      </c>
      <c r="AD148" s="24">
        <f>MIN(T148,N('My Loans'!E12))</f>
        <v/>
      </c>
      <c r="AE148" s="24">
        <f>MIN(U148,N('My Loans'!E13))</f>
        <v/>
      </c>
      <c r="AF148" s="24">
        <f>MIN(V148,N('My Loans'!E14))</f>
        <v/>
      </c>
      <c r="AG148" s="24">
        <f>MIN(W148,N('My Loans'!E15))</f>
        <v/>
      </c>
      <c r="AH148" s="24">
        <f>MIN(N148-X148,MAX(0,$C148-SUMPRODUCT(($D$3:$M$3&lt;D$3)*($N148:$W148-$X148:$AG148))))</f>
        <v/>
      </c>
      <c r="AI148" s="24">
        <f>MIN(O148-Y148,MAX(0,$C148-SUMPRODUCT(($D$3:$M$3&lt;E$3)*($N148:$W148-$X148:$AG148))))</f>
        <v/>
      </c>
      <c r="AJ148" s="24">
        <f>MIN(P148-Z148,MAX(0,$C148-SUMPRODUCT(($D$3:$M$3&lt;F$3)*($N148:$W148-$X148:$AG148))))</f>
        <v/>
      </c>
      <c r="AK148" s="24">
        <f>MIN(Q148-AA148,MAX(0,$C148-SUMPRODUCT(($D$3:$M$3&lt;G$3)*($N148:$W148-$X148:$AG148))))</f>
        <v/>
      </c>
      <c r="AL148" s="24">
        <f>MIN(R148-AB148,MAX(0,$C148-SUMPRODUCT(($D$3:$M$3&lt;H$3)*($N148:$W148-$X148:$AG148))))</f>
        <v/>
      </c>
      <c r="AM148" s="24">
        <f>MIN(S148-AC148,MAX(0,$C148-SUMPRODUCT(($D$3:$M$3&lt;I$3)*($N148:$W148-$X148:$AG148))))</f>
        <v/>
      </c>
      <c r="AN148" s="24">
        <f>MIN(T148-AD148,MAX(0,$C148-SUMPRODUCT(($D$3:$M$3&lt;J$3)*($N148:$W148-$X148:$AG148))))</f>
        <v/>
      </c>
      <c r="AO148" s="24">
        <f>MIN(U148-AE148,MAX(0,$C148-SUMPRODUCT(($D$3:$M$3&lt;K$3)*($N148:$W148-$X148:$AG148))))</f>
        <v/>
      </c>
      <c r="AP148" s="24">
        <f>MIN(V148-AF148,MAX(0,$C148-SUMPRODUCT(($D$3:$M$3&lt;L$3)*($N148:$W148-$X148:$AG148))))</f>
        <v/>
      </c>
      <c r="AQ148" s="24">
        <f>MIN(W148-AG148,MAX(0,$C148-SUMPRODUCT(($D$3:$M$3&lt;M$3)*($N148:$W148-$X148:$AG148))))</f>
        <v/>
      </c>
      <c r="AR148" s="24">
        <f>ROUND(N148-X148-AH148,2)</f>
        <v/>
      </c>
      <c r="AS148" s="24">
        <f>ROUND(O148-Y148-AI148,2)</f>
        <v/>
      </c>
      <c r="AT148" s="24">
        <f>ROUND(P148-Z148-AJ148,2)</f>
        <v/>
      </c>
      <c r="AU148" s="24">
        <f>ROUND(Q148-AA148-AK148,2)</f>
        <v/>
      </c>
      <c r="AV148" s="24">
        <f>ROUND(R148-AB148-AL148,2)</f>
        <v/>
      </c>
      <c r="AW148" s="24">
        <f>ROUND(S148-AC148-AM148,2)</f>
        <v/>
      </c>
      <c r="AX148" s="24">
        <f>ROUND(T148-AD148-AN148,2)</f>
        <v/>
      </c>
      <c r="AY148" s="24">
        <f>ROUND(U148-AE148-AO148,2)</f>
        <v/>
      </c>
      <c r="AZ148" s="24">
        <f>ROUND(V148-AF148-AP148,2)</f>
        <v/>
      </c>
      <c r="BA148" s="24">
        <f>ROUND(W148-AG148-AQ148,2)</f>
        <v/>
      </c>
      <c r="BB148" s="24">
        <f>SUM(AR148:BA148)</f>
        <v/>
      </c>
    </row>
    <row r="149">
      <c r="A149" t="n">
        <v>145</v>
      </c>
      <c r="B149" s="23">
        <f>EOMONTH(TODAY(),144)</f>
        <v/>
      </c>
      <c r="C149" s="24">
        <f>MAX(0,(SUM('My Loans'!$E$6:$E$15)+'My Loans'!$D$3)-SUM($X149:$AG149))</f>
        <v/>
      </c>
      <c r="D149" s="24">
        <f>MAX(0,AR148)</f>
        <v/>
      </c>
      <c r="E149" s="24">
        <f>MAX(0,AS148)</f>
        <v/>
      </c>
      <c r="F149" s="24">
        <f>MAX(0,AT148)</f>
        <v/>
      </c>
      <c r="G149" s="24">
        <f>MAX(0,AU148)</f>
        <v/>
      </c>
      <c r="H149" s="24">
        <f>MAX(0,AV148)</f>
        <v/>
      </c>
      <c r="I149" s="24">
        <f>MAX(0,AW148)</f>
        <v/>
      </c>
      <c r="J149" s="24">
        <f>MAX(0,AX148)</f>
        <v/>
      </c>
      <c r="K149" s="24">
        <f>MAX(0,AY148)</f>
        <v/>
      </c>
      <c r="L149" s="24">
        <f>MAX(0,AZ148)</f>
        <v/>
      </c>
      <c r="M149" s="24">
        <f>MAX(0,BA148)</f>
        <v/>
      </c>
      <c r="N149" s="24">
        <f>IF(D149&lt;0.5,0,D149*(1+N('My Loans'!D6)/1200))</f>
        <v/>
      </c>
      <c r="O149" s="24">
        <f>IF(E149&lt;0.5,0,E149*(1+N('My Loans'!D7)/1200))</f>
        <v/>
      </c>
      <c r="P149" s="24">
        <f>IF(F149&lt;0.5,0,F149*(1+N('My Loans'!D8)/1200))</f>
        <v/>
      </c>
      <c r="Q149" s="24">
        <f>IF(G149&lt;0.5,0,G149*(1+N('My Loans'!D9)/1200))</f>
        <v/>
      </c>
      <c r="R149" s="24">
        <f>IF(H149&lt;0.5,0,H149*(1+N('My Loans'!D10)/1200))</f>
        <v/>
      </c>
      <c r="S149" s="24">
        <f>IF(I149&lt;0.5,0,I149*(1+N('My Loans'!D11)/1200))</f>
        <v/>
      </c>
      <c r="T149" s="24">
        <f>IF(J149&lt;0.5,0,J149*(1+N('My Loans'!D12)/1200))</f>
        <v/>
      </c>
      <c r="U149" s="24">
        <f>IF(K149&lt;0.5,0,K149*(1+N('My Loans'!D13)/1200))</f>
        <v/>
      </c>
      <c r="V149" s="24">
        <f>IF(L149&lt;0.5,0,L149*(1+N('My Loans'!D14)/1200))</f>
        <v/>
      </c>
      <c r="W149" s="24">
        <f>IF(M149&lt;0.5,0,M149*(1+N('My Loans'!D15)/1200))</f>
        <v/>
      </c>
      <c r="X149" s="24">
        <f>MIN(N149,N('My Loans'!E6))</f>
        <v/>
      </c>
      <c r="Y149" s="24">
        <f>MIN(O149,N('My Loans'!E7))</f>
        <v/>
      </c>
      <c r="Z149" s="24">
        <f>MIN(P149,N('My Loans'!E8))</f>
        <v/>
      </c>
      <c r="AA149" s="24">
        <f>MIN(Q149,N('My Loans'!E9))</f>
        <v/>
      </c>
      <c r="AB149" s="24">
        <f>MIN(R149,N('My Loans'!E10))</f>
        <v/>
      </c>
      <c r="AC149" s="24">
        <f>MIN(S149,N('My Loans'!E11))</f>
        <v/>
      </c>
      <c r="AD149" s="24">
        <f>MIN(T149,N('My Loans'!E12))</f>
        <v/>
      </c>
      <c r="AE149" s="24">
        <f>MIN(U149,N('My Loans'!E13))</f>
        <v/>
      </c>
      <c r="AF149" s="24">
        <f>MIN(V149,N('My Loans'!E14))</f>
        <v/>
      </c>
      <c r="AG149" s="24">
        <f>MIN(W149,N('My Loans'!E15))</f>
        <v/>
      </c>
      <c r="AH149" s="24">
        <f>MIN(N149-X149,MAX(0,$C149-SUMPRODUCT(($D$3:$M$3&lt;D$3)*($N149:$W149-$X149:$AG149))))</f>
        <v/>
      </c>
      <c r="AI149" s="24">
        <f>MIN(O149-Y149,MAX(0,$C149-SUMPRODUCT(($D$3:$M$3&lt;E$3)*($N149:$W149-$X149:$AG149))))</f>
        <v/>
      </c>
      <c r="AJ149" s="24">
        <f>MIN(P149-Z149,MAX(0,$C149-SUMPRODUCT(($D$3:$M$3&lt;F$3)*($N149:$W149-$X149:$AG149))))</f>
        <v/>
      </c>
      <c r="AK149" s="24">
        <f>MIN(Q149-AA149,MAX(0,$C149-SUMPRODUCT(($D$3:$M$3&lt;G$3)*($N149:$W149-$X149:$AG149))))</f>
        <v/>
      </c>
      <c r="AL149" s="24">
        <f>MIN(R149-AB149,MAX(0,$C149-SUMPRODUCT(($D$3:$M$3&lt;H$3)*($N149:$W149-$X149:$AG149))))</f>
        <v/>
      </c>
      <c r="AM149" s="24">
        <f>MIN(S149-AC149,MAX(0,$C149-SUMPRODUCT(($D$3:$M$3&lt;I$3)*($N149:$W149-$X149:$AG149))))</f>
        <v/>
      </c>
      <c r="AN149" s="24">
        <f>MIN(T149-AD149,MAX(0,$C149-SUMPRODUCT(($D$3:$M$3&lt;J$3)*($N149:$W149-$X149:$AG149))))</f>
        <v/>
      </c>
      <c r="AO149" s="24">
        <f>MIN(U149-AE149,MAX(0,$C149-SUMPRODUCT(($D$3:$M$3&lt;K$3)*($N149:$W149-$X149:$AG149))))</f>
        <v/>
      </c>
      <c r="AP149" s="24">
        <f>MIN(V149-AF149,MAX(0,$C149-SUMPRODUCT(($D$3:$M$3&lt;L$3)*($N149:$W149-$X149:$AG149))))</f>
        <v/>
      </c>
      <c r="AQ149" s="24">
        <f>MIN(W149-AG149,MAX(0,$C149-SUMPRODUCT(($D$3:$M$3&lt;M$3)*($N149:$W149-$X149:$AG149))))</f>
        <v/>
      </c>
      <c r="AR149" s="24">
        <f>ROUND(N149-X149-AH149,2)</f>
        <v/>
      </c>
      <c r="AS149" s="24">
        <f>ROUND(O149-Y149-AI149,2)</f>
        <v/>
      </c>
      <c r="AT149" s="24">
        <f>ROUND(P149-Z149-AJ149,2)</f>
        <v/>
      </c>
      <c r="AU149" s="24">
        <f>ROUND(Q149-AA149-AK149,2)</f>
        <v/>
      </c>
      <c r="AV149" s="24">
        <f>ROUND(R149-AB149-AL149,2)</f>
        <v/>
      </c>
      <c r="AW149" s="24">
        <f>ROUND(S149-AC149-AM149,2)</f>
        <v/>
      </c>
      <c r="AX149" s="24">
        <f>ROUND(T149-AD149-AN149,2)</f>
        <v/>
      </c>
      <c r="AY149" s="24">
        <f>ROUND(U149-AE149-AO149,2)</f>
        <v/>
      </c>
      <c r="AZ149" s="24">
        <f>ROUND(V149-AF149-AP149,2)</f>
        <v/>
      </c>
      <c r="BA149" s="24">
        <f>ROUND(W149-AG149-AQ149,2)</f>
        <v/>
      </c>
      <c r="BB149" s="24">
        <f>SUM(AR149:BA149)</f>
        <v/>
      </c>
    </row>
    <row r="150">
      <c r="A150" t="n">
        <v>146</v>
      </c>
      <c r="B150" s="23">
        <f>EOMONTH(TODAY(),145)</f>
        <v/>
      </c>
      <c r="C150" s="24">
        <f>MAX(0,(SUM('My Loans'!$E$6:$E$15)+'My Loans'!$D$3)-SUM($X150:$AG150))</f>
        <v/>
      </c>
      <c r="D150" s="24">
        <f>MAX(0,AR149)</f>
        <v/>
      </c>
      <c r="E150" s="24">
        <f>MAX(0,AS149)</f>
        <v/>
      </c>
      <c r="F150" s="24">
        <f>MAX(0,AT149)</f>
        <v/>
      </c>
      <c r="G150" s="24">
        <f>MAX(0,AU149)</f>
        <v/>
      </c>
      <c r="H150" s="24">
        <f>MAX(0,AV149)</f>
        <v/>
      </c>
      <c r="I150" s="24">
        <f>MAX(0,AW149)</f>
        <v/>
      </c>
      <c r="J150" s="24">
        <f>MAX(0,AX149)</f>
        <v/>
      </c>
      <c r="K150" s="24">
        <f>MAX(0,AY149)</f>
        <v/>
      </c>
      <c r="L150" s="24">
        <f>MAX(0,AZ149)</f>
        <v/>
      </c>
      <c r="M150" s="24">
        <f>MAX(0,BA149)</f>
        <v/>
      </c>
      <c r="N150" s="24">
        <f>IF(D150&lt;0.5,0,D150*(1+N('My Loans'!D6)/1200))</f>
        <v/>
      </c>
      <c r="O150" s="24">
        <f>IF(E150&lt;0.5,0,E150*(1+N('My Loans'!D7)/1200))</f>
        <v/>
      </c>
      <c r="P150" s="24">
        <f>IF(F150&lt;0.5,0,F150*(1+N('My Loans'!D8)/1200))</f>
        <v/>
      </c>
      <c r="Q150" s="24">
        <f>IF(G150&lt;0.5,0,G150*(1+N('My Loans'!D9)/1200))</f>
        <v/>
      </c>
      <c r="R150" s="24">
        <f>IF(H150&lt;0.5,0,H150*(1+N('My Loans'!D10)/1200))</f>
        <v/>
      </c>
      <c r="S150" s="24">
        <f>IF(I150&lt;0.5,0,I150*(1+N('My Loans'!D11)/1200))</f>
        <v/>
      </c>
      <c r="T150" s="24">
        <f>IF(J150&lt;0.5,0,J150*(1+N('My Loans'!D12)/1200))</f>
        <v/>
      </c>
      <c r="U150" s="24">
        <f>IF(K150&lt;0.5,0,K150*(1+N('My Loans'!D13)/1200))</f>
        <v/>
      </c>
      <c r="V150" s="24">
        <f>IF(L150&lt;0.5,0,L150*(1+N('My Loans'!D14)/1200))</f>
        <v/>
      </c>
      <c r="W150" s="24">
        <f>IF(M150&lt;0.5,0,M150*(1+N('My Loans'!D15)/1200))</f>
        <v/>
      </c>
      <c r="X150" s="24">
        <f>MIN(N150,N('My Loans'!E6))</f>
        <v/>
      </c>
      <c r="Y150" s="24">
        <f>MIN(O150,N('My Loans'!E7))</f>
        <v/>
      </c>
      <c r="Z150" s="24">
        <f>MIN(P150,N('My Loans'!E8))</f>
        <v/>
      </c>
      <c r="AA150" s="24">
        <f>MIN(Q150,N('My Loans'!E9))</f>
        <v/>
      </c>
      <c r="AB150" s="24">
        <f>MIN(R150,N('My Loans'!E10))</f>
        <v/>
      </c>
      <c r="AC150" s="24">
        <f>MIN(S150,N('My Loans'!E11))</f>
        <v/>
      </c>
      <c r="AD150" s="24">
        <f>MIN(T150,N('My Loans'!E12))</f>
        <v/>
      </c>
      <c r="AE150" s="24">
        <f>MIN(U150,N('My Loans'!E13))</f>
        <v/>
      </c>
      <c r="AF150" s="24">
        <f>MIN(V150,N('My Loans'!E14))</f>
        <v/>
      </c>
      <c r="AG150" s="24">
        <f>MIN(W150,N('My Loans'!E15))</f>
        <v/>
      </c>
      <c r="AH150" s="24">
        <f>MIN(N150-X150,MAX(0,$C150-SUMPRODUCT(($D$3:$M$3&lt;D$3)*($N150:$W150-$X150:$AG150))))</f>
        <v/>
      </c>
      <c r="AI150" s="24">
        <f>MIN(O150-Y150,MAX(0,$C150-SUMPRODUCT(($D$3:$M$3&lt;E$3)*($N150:$W150-$X150:$AG150))))</f>
        <v/>
      </c>
      <c r="AJ150" s="24">
        <f>MIN(P150-Z150,MAX(0,$C150-SUMPRODUCT(($D$3:$M$3&lt;F$3)*($N150:$W150-$X150:$AG150))))</f>
        <v/>
      </c>
      <c r="AK150" s="24">
        <f>MIN(Q150-AA150,MAX(0,$C150-SUMPRODUCT(($D$3:$M$3&lt;G$3)*($N150:$W150-$X150:$AG150))))</f>
        <v/>
      </c>
      <c r="AL150" s="24">
        <f>MIN(R150-AB150,MAX(0,$C150-SUMPRODUCT(($D$3:$M$3&lt;H$3)*($N150:$W150-$X150:$AG150))))</f>
        <v/>
      </c>
      <c r="AM150" s="24">
        <f>MIN(S150-AC150,MAX(0,$C150-SUMPRODUCT(($D$3:$M$3&lt;I$3)*($N150:$W150-$X150:$AG150))))</f>
        <v/>
      </c>
      <c r="AN150" s="24">
        <f>MIN(T150-AD150,MAX(0,$C150-SUMPRODUCT(($D$3:$M$3&lt;J$3)*($N150:$W150-$X150:$AG150))))</f>
        <v/>
      </c>
      <c r="AO150" s="24">
        <f>MIN(U150-AE150,MAX(0,$C150-SUMPRODUCT(($D$3:$M$3&lt;K$3)*($N150:$W150-$X150:$AG150))))</f>
        <v/>
      </c>
      <c r="AP150" s="24">
        <f>MIN(V150-AF150,MAX(0,$C150-SUMPRODUCT(($D$3:$M$3&lt;L$3)*($N150:$W150-$X150:$AG150))))</f>
        <v/>
      </c>
      <c r="AQ150" s="24">
        <f>MIN(W150-AG150,MAX(0,$C150-SUMPRODUCT(($D$3:$M$3&lt;M$3)*($N150:$W150-$X150:$AG150))))</f>
        <v/>
      </c>
      <c r="AR150" s="24">
        <f>ROUND(N150-X150-AH150,2)</f>
        <v/>
      </c>
      <c r="AS150" s="24">
        <f>ROUND(O150-Y150-AI150,2)</f>
        <v/>
      </c>
      <c r="AT150" s="24">
        <f>ROUND(P150-Z150-AJ150,2)</f>
        <v/>
      </c>
      <c r="AU150" s="24">
        <f>ROUND(Q150-AA150-AK150,2)</f>
        <v/>
      </c>
      <c r="AV150" s="24">
        <f>ROUND(R150-AB150-AL150,2)</f>
        <v/>
      </c>
      <c r="AW150" s="24">
        <f>ROUND(S150-AC150-AM150,2)</f>
        <v/>
      </c>
      <c r="AX150" s="24">
        <f>ROUND(T150-AD150-AN150,2)</f>
        <v/>
      </c>
      <c r="AY150" s="24">
        <f>ROUND(U150-AE150-AO150,2)</f>
        <v/>
      </c>
      <c r="AZ150" s="24">
        <f>ROUND(V150-AF150-AP150,2)</f>
        <v/>
      </c>
      <c r="BA150" s="24">
        <f>ROUND(W150-AG150-AQ150,2)</f>
        <v/>
      </c>
      <c r="BB150" s="24">
        <f>SUM(AR150:BA150)</f>
        <v/>
      </c>
    </row>
    <row r="151">
      <c r="A151" t="n">
        <v>147</v>
      </c>
      <c r="B151" s="23">
        <f>EOMONTH(TODAY(),146)</f>
        <v/>
      </c>
      <c r="C151" s="24">
        <f>MAX(0,(SUM('My Loans'!$E$6:$E$15)+'My Loans'!$D$3)-SUM($X151:$AG151))</f>
        <v/>
      </c>
      <c r="D151" s="24">
        <f>MAX(0,AR150)</f>
        <v/>
      </c>
      <c r="E151" s="24">
        <f>MAX(0,AS150)</f>
        <v/>
      </c>
      <c r="F151" s="24">
        <f>MAX(0,AT150)</f>
        <v/>
      </c>
      <c r="G151" s="24">
        <f>MAX(0,AU150)</f>
        <v/>
      </c>
      <c r="H151" s="24">
        <f>MAX(0,AV150)</f>
        <v/>
      </c>
      <c r="I151" s="24">
        <f>MAX(0,AW150)</f>
        <v/>
      </c>
      <c r="J151" s="24">
        <f>MAX(0,AX150)</f>
        <v/>
      </c>
      <c r="K151" s="24">
        <f>MAX(0,AY150)</f>
        <v/>
      </c>
      <c r="L151" s="24">
        <f>MAX(0,AZ150)</f>
        <v/>
      </c>
      <c r="M151" s="24">
        <f>MAX(0,BA150)</f>
        <v/>
      </c>
      <c r="N151" s="24">
        <f>IF(D151&lt;0.5,0,D151*(1+N('My Loans'!D6)/1200))</f>
        <v/>
      </c>
      <c r="O151" s="24">
        <f>IF(E151&lt;0.5,0,E151*(1+N('My Loans'!D7)/1200))</f>
        <v/>
      </c>
      <c r="P151" s="24">
        <f>IF(F151&lt;0.5,0,F151*(1+N('My Loans'!D8)/1200))</f>
        <v/>
      </c>
      <c r="Q151" s="24">
        <f>IF(G151&lt;0.5,0,G151*(1+N('My Loans'!D9)/1200))</f>
        <v/>
      </c>
      <c r="R151" s="24">
        <f>IF(H151&lt;0.5,0,H151*(1+N('My Loans'!D10)/1200))</f>
        <v/>
      </c>
      <c r="S151" s="24">
        <f>IF(I151&lt;0.5,0,I151*(1+N('My Loans'!D11)/1200))</f>
        <v/>
      </c>
      <c r="T151" s="24">
        <f>IF(J151&lt;0.5,0,J151*(1+N('My Loans'!D12)/1200))</f>
        <v/>
      </c>
      <c r="U151" s="24">
        <f>IF(K151&lt;0.5,0,K151*(1+N('My Loans'!D13)/1200))</f>
        <v/>
      </c>
      <c r="V151" s="24">
        <f>IF(L151&lt;0.5,0,L151*(1+N('My Loans'!D14)/1200))</f>
        <v/>
      </c>
      <c r="W151" s="24">
        <f>IF(M151&lt;0.5,0,M151*(1+N('My Loans'!D15)/1200))</f>
        <v/>
      </c>
      <c r="X151" s="24">
        <f>MIN(N151,N('My Loans'!E6))</f>
        <v/>
      </c>
      <c r="Y151" s="24">
        <f>MIN(O151,N('My Loans'!E7))</f>
        <v/>
      </c>
      <c r="Z151" s="24">
        <f>MIN(P151,N('My Loans'!E8))</f>
        <v/>
      </c>
      <c r="AA151" s="24">
        <f>MIN(Q151,N('My Loans'!E9))</f>
        <v/>
      </c>
      <c r="AB151" s="24">
        <f>MIN(R151,N('My Loans'!E10))</f>
        <v/>
      </c>
      <c r="AC151" s="24">
        <f>MIN(S151,N('My Loans'!E11))</f>
        <v/>
      </c>
      <c r="AD151" s="24">
        <f>MIN(T151,N('My Loans'!E12))</f>
        <v/>
      </c>
      <c r="AE151" s="24">
        <f>MIN(U151,N('My Loans'!E13))</f>
        <v/>
      </c>
      <c r="AF151" s="24">
        <f>MIN(V151,N('My Loans'!E14))</f>
        <v/>
      </c>
      <c r="AG151" s="24">
        <f>MIN(W151,N('My Loans'!E15))</f>
        <v/>
      </c>
      <c r="AH151" s="24">
        <f>MIN(N151-X151,MAX(0,$C151-SUMPRODUCT(($D$3:$M$3&lt;D$3)*($N151:$W151-$X151:$AG151))))</f>
        <v/>
      </c>
      <c r="AI151" s="24">
        <f>MIN(O151-Y151,MAX(0,$C151-SUMPRODUCT(($D$3:$M$3&lt;E$3)*($N151:$W151-$X151:$AG151))))</f>
        <v/>
      </c>
      <c r="AJ151" s="24">
        <f>MIN(P151-Z151,MAX(0,$C151-SUMPRODUCT(($D$3:$M$3&lt;F$3)*($N151:$W151-$X151:$AG151))))</f>
        <v/>
      </c>
      <c r="AK151" s="24">
        <f>MIN(Q151-AA151,MAX(0,$C151-SUMPRODUCT(($D$3:$M$3&lt;G$3)*($N151:$W151-$X151:$AG151))))</f>
        <v/>
      </c>
      <c r="AL151" s="24">
        <f>MIN(R151-AB151,MAX(0,$C151-SUMPRODUCT(($D$3:$M$3&lt;H$3)*($N151:$W151-$X151:$AG151))))</f>
        <v/>
      </c>
      <c r="AM151" s="24">
        <f>MIN(S151-AC151,MAX(0,$C151-SUMPRODUCT(($D$3:$M$3&lt;I$3)*($N151:$W151-$X151:$AG151))))</f>
        <v/>
      </c>
      <c r="AN151" s="24">
        <f>MIN(T151-AD151,MAX(0,$C151-SUMPRODUCT(($D$3:$M$3&lt;J$3)*($N151:$W151-$X151:$AG151))))</f>
        <v/>
      </c>
      <c r="AO151" s="24">
        <f>MIN(U151-AE151,MAX(0,$C151-SUMPRODUCT(($D$3:$M$3&lt;K$3)*($N151:$W151-$X151:$AG151))))</f>
        <v/>
      </c>
      <c r="AP151" s="24">
        <f>MIN(V151-AF151,MAX(0,$C151-SUMPRODUCT(($D$3:$M$3&lt;L$3)*($N151:$W151-$X151:$AG151))))</f>
        <v/>
      </c>
      <c r="AQ151" s="24">
        <f>MIN(W151-AG151,MAX(0,$C151-SUMPRODUCT(($D$3:$M$3&lt;M$3)*($N151:$W151-$X151:$AG151))))</f>
        <v/>
      </c>
      <c r="AR151" s="24">
        <f>ROUND(N151-X151-AH151,2)</f>
        <v/>
      </c>
      <c r="AS151" s="24">
        <f>ROUND(O151-Y151-AI151,2)</f>
        <v/>
      </c>
      <c r="AT151" s="24">
        <f>ROUND(P151-Z151-AJ151,2)</f>
        <v/>
      </c>
      <c r="AU151" s="24">
        <f>ROUND(Q151-AA151-AK151,2)</f>
        <v/>
      </c>
      <c r="AV151" s="24">
        <f>ROUND(R151-AB151-AL151,2)</f>
        <v/>
      </c>
      <c r="AW151" s="24">
        <f>ROUND(S151-AC151-AM151,2)</f>
        <v/>
      </c>
      <c r="AX151" s="24">
        <f>ROUND(T151-AD151-AN151,2)</f>
        <v/>
      </c>
      <c r="AY151" s="24">
        <f>ROUND(U151-AE151-AO151,2)</f>
        <v/>
      </c>
      <c r="AZ151" s="24">
        <f>ROUND(V151-AF151-AP151,2)</f>
        <v/>
      </c>
      <c r="BA151" s="24">
        <f>ROUND(W151-AG151-AQ151,2)</f>
        <v/>
      </c>
      <c r="BB151" s="24">
        <f>SUM(AR151:BA151)</f>
        <v/>
      </c>
    </row>
    <row r="152">
      <c r="A152" t="n">
        <v>148</v>
      </c>
      <c r="B152" s="23">
        <f>EOMONTH(TODAY(),147)</f>
        <v/>
      </c>
      <c r="C152" s="24">
        <f>MAX(0,(SUM('My Loans'!$E$6:$E$15)+'My Loans'!$D$3)-SUM($X152:$AG152))</f>
        <v/>
      </c>
      <c r="D152" s="24">
        <f>MAX(0,AR151)</f>
        <v/>
      </c>
      <c r="E152" s="24">
        <f>MAX(0,AS151)</f>
        <v/>
      </c>
      <c r="F152" s="24">
        <f>MAX(0,AT151)</f>
        <v/>
      </c>
      <c r="G152" s="24">
        <f>MAX(0,AU151)</f>
        <v/>
      </c>
      <c r="H152" s="24">
        <f>MAX(0,AV151)</f>
        <v/>
      </c>
      <c r="I152" s="24">
        <f>MAX(0,AW151)</f>
        <v/>
      </c>
      <c r="J152" s="24">
        <f>MAX(0,AX151)</f>
        <v/>
      </c>
      <c r="K152" s="24">
        <f>MAX(0,AY151)</f>
        <v/>
      </c>
      <c r="L152" s="24">
        <f>MAX(0,AZ151)</f>
        <v/>
      </c>
      <c r="M152" s="24">
        <f>MAX(0,BA151)</f>
        <v/>
      </c>
      <c r="N152" s="24">
        <f>IF(D152&lt;0.5,0,D152*(1+N('My Loans'!D6)/1200))</f>
        <v/>
      </c>
      <c r="O152" s="24">
        <f>IF(E152&lt;0.5,0,E152*(1+N('My Loans'!D7)/1200))</f>
        <v/>
      </c>
      <c r="P152" s="24">
        <f>IF(F152&lt;0.5,0,F152*(1+N('My Loans'!D8)/1200))</f>
        <v/>
      </c>
      <c r="Q152" s="24">
        <f>IF(G152&lt;0.5,0,G152*(1+N('My Loans'!D9)/1200))</f>
        <v/>
      </c>
      <c r="R152" s="24">
        <f>IF(H152&lt;0.5,0,H152*(1+N('My Loans'!D10)/1200))</f>
        <v/>
      </c>
      <c r="S152" s="24">
        <f>IF(I152&lt;0.5,0,I152*(1+N('My Loans'!D11)/1200))</f>
        <v/>
      </c>
      <c r="T152" s="24">
        <f>IF(J152&lt;0.5,0,J152*(1+N('My Loans'!D12)/1200))</f>
        <v/>
      </c>
      <c r="U152" s="24">
        <f>IF(K152&lt;0.5,0,K152*(1+N('My Loans'!D13)/1200))</f>
        <v/>
      </c>
      <c r="V152" s="24">
        <f>IF(L152&lt;0.5,0,L152*(1+N('My Loans'!D14)/1200))</f>
        <v/>
      </c>
      <c r="W152" s="24">
        <f>IF(M152&lt;0.5,0,M152*(1+N('My Loans'!D15)/1200))</f>
        <v/>
      </c>
      <c r="X152" s="24">
        <f>MIN(N152,N('My Loans'!E6))</f>
        <v/>
      </c>
      <c r="Y152" s="24">
        <f>MIN(O152,N('My Loans'!E7))</f>
        <v/>
      </c>
      <c r="Z152" s="24">
        <f>MIN(P152,N('My Loans'!E8))</f>
        <v/>
      </c>
      <c r="AA152" s="24">
        <f>MIN(Q152,N('My Loans'!E9))</f>
        <v/>
      </c>
      <c r="AB152" s="24">
        <f>MIN(R152,N('My Loans'!E10))</f>
        <v/>
      </c>
      <c r="AC152" s="24">
        <f>MIN(S152,N('My Loans'!E11))</f>
        <v/>
      </c>
      <c r="AD152" s="24">
        <f>MIN(T152,N('My Loans'!E12))</f>
        <v/>
      </c>
      <c r="AE152" s="24">
        <f>MIN(U152,N('My Loans'!E13))</f>
        <v/>
      </c>
      <c r="AF152" s="24">
        <f>MIN(V152,N('My Loans'!E14))</f>
        <v/>
      </c>
      <c r="AG152" s="24">
        <f>MIN(W152,N('My Loans'!E15))</f>
        <v/>
      </c>
      <c r="AH152" s="24">
        <f>MIN(N152-X152,MAX(0,$C152-SUMPRODUCT(($D$3:$M$3&lt;D$3)*($N152:$W152-$X152:$AG152))))</f>
        <v/>
      </c>
      <c r="AI152" s="24">
        <f>MIN(O152-Y152,MAX(0,$C152-SUMPRODUCT(($D$3:$M$3&lt;E$3)*($N152:$W152-$X152:$AG152))))</f>
        <v/>
      </c>
      <c r="AJ152" s="24">
        <f>MIN(P152-Z152,MAX(0,$C152-SUMPRODUCT(($D$3:$M$3&lt;F$3)*($N152:$W152-$X152:$AG152))))</f>
        <v/>
      </c>
      <c r="AK152" s="24">
        <f>MIN(Q152-AA152,MAX(0,$C152-SUMPRODUCT(($D$3:$M$3&lt;G$3)*($N152:$W152-$X152:$AG152))))</f>
        <v/>
      </c>
      <c r="AL152" s="24">
        <f>MIN(R152-AB152,MAX(0,$C152-SUMPRODUCT(($D$3:$M$3&lt;H$3)*($N152:$W152-$X152:$AG152))))</f>
        <v/>
      </c>
      <c r="AM152" s="24">
        <f>MIN(S152-AC152,MAX(0,$C152-SUMPRODUCT(($D$3:$M$3&lt;I$3)*($N152:$W152-$X152:$AG152))))</f>
        <v/>
      </c>
      <c r="AN152" s="24">
        <f>MIN(T152-AD152,MAX(0,$C152-SUMPRODUCT(($D$3:$M$3&lt;J$3)*($N152:$W152-$X152:$AG152))))</f>
        <v/>
      </c>
      <c r="AO152" s="24">
        <f>MIN(U152-AE152,MAX(0,$C152-SUMPRODUCT(($D$3:$M$3&lt;K$3)*($N152:$W152-$X152:$AG152))))</f>
        <v/>
      </c>
      <c r="AP152" s="24">
        <f>MIN(V152-AF152,MAX(0,$C152-SUMPRODUCT(($D$3:$M$3&lt;L$3)*($N152:$W152-$X152:$AG152))))</f>
        <v/>
      </c>
      <c r="AQ152" s="24">
        <f>MIN(W152-AG152,MAX(0,$C152-SUMPRODUCT(($D$3:$M$3&lt;M$3)*($N152:$W152-$X152:$AG152))))</f>
        <v/>
      </c>
      <c r="AR152" s="24">
        <f>ROUND(N152-X152-AH152,2)</f>
        <v/>
      </c>
      <c r="AS152" s="24">
        <f>ROUND(O152-Y152-AI152,2)</f>
        <v/>
      </c>
      <c r="AT152" s="24">
        <f>ROUND(P152-Z152-AJ152,2)</f>
        <v/>
      </c>
      <c r="AU152" s="24">
        <f>ROUND(Q152-AA152-AK152,2)</f>
        <v/>
      </c>
      <c r="AV152" s="24">
        <f>ROUND(R152-AB152-AL152,2)</f>
        <v/>
      </c>
      <c r="AW152" s="24">
        <f>ROUND(S152-AC152-AM152,2)</f>
        <v/>
      </c>
      <c r="AX152" s="24">
        <f>ROUND(T152-AD152-AN152,2)</f>
        <v/>
      </c>
      <c r="AY152" s="24">
        <f>ROUND(U152-AE152-AO152,2)</f>
        <v/>
      </c>
      <c r="AZ152" s="24">
        <f>ROUND(V152-AF152-AP152,2)</f>
        <v/>
      </c>
      <c r="BA152" s="24">
        <f>ROUND(W152-AG152-AQ152,2)</f>
        <v/>
      </c>
      <c r="BB152" s="24">
        <f>SUM(AR152:BA152)</f>
        <v/>
      </c>
    </row>
    <row r="153">
      <c r="A153" t="n">
        <v>149</v>
      </c>
      <c r="B153" s="23">
        <f>EOMONTH(TODAY(),148)</f>
        <v/>
      </c>
      <c r="C153" s="24">
        <f>MAX(0,(SUM('My Loans'!$E$6:$E$15)+'My Loans'!$D$3)-SUM($X153:$AG153))</f>
        <v/>
      </c>
      <c r="D153" s="24">
        <f>MAX(0,AR152)</f>
        <v/>
      </c>
      <c r="E153" s="24">
        <f>MAX(0,AS152)</f>
        <v/>
      </c>
      <c r="F153" s="24">
        <f>MAX(0,AT152)</f>
        <v/>
      </c>
      <c r="G153" s="24">
        <f>MAX(0,AU152)</f>
        <v/>
      </c>
      <c r="H153" s="24">
        <f>MAX(0,AV152)</f>
        <v/>
      </c>
      <c r="I153" s="24">
        <f>MAX(0,AW152)</f>
        <v/>
      </c>
      <c r="J153" s="24">
        <f>MAX(0,AX152)</f>
        <v/>
      </c>
      <c r="K153" s="24">
        <f>MAX(0,AY152)</f>
        <v/>
      </c>
      <c r="L153" s="24">
        <f>MAX(0,AZ152)</f>
        <v/>
      </c>
      <c r="M153" s="24">
        <f>MAX(0,BA152)</f>
        <v/>
      </c>
      <c r="N153" s="24">
        <f>IF(D153&lt;0.5,0,D153*(1+N('My Loans'!D6)/1200))</f>
        <v/>
      </c>
      <c r="O153" s="24">
        <f>IF(E153&lt;0.5,0,E153*(1+N('My Loans'!D7)/1200))</f>
        <v/>
      </c>
      <c r="P153" s="24">
        <f>IF(F153&lt;0.5,0,F153*(1+N('My Loans'!D8)/1200))</f>
        <v/>
      </c>
      <c r="Q153" s="24">
        <f>IF(G153&lt;0.5,0,G153*(1+N('My Loans'!D9)/1200))</f>
        <v/>
      </c>
      <c r="R153" s="24">
        <f>IF(H153&lt;0.5,0,H153*(1+N('My Loans'!D10)/1200))</f>
        <v/>
      </c>
      <c r="S153" s="24">
        <f>IF(I153&lt;0.5,0,I153*(1+N('My Loans'!D11)/1200))</f>
        <v/>
      </c>
      <c r="T153" s="24">
        <f>IF(J153&lt;0.5,0,J153*(1+N('My Loans'!D12)/1200))</f>
        <v/>
      </c>
      <c r="U153" s="24">
        <f>IF(K153&lt;0.5,0,K153*(1+N('My Loans'!D13)/1200))</f>
        <v/>
      </c>
      <c r="V153" s="24">
        <f>IF(L153&lt;0.5,0,L153*(1+N('My Loans'!D14)/1200))</f>
        <v/>
      </c>
      <c r="W153" s="24">
        <f>IF(M153&lt;0.5,0,M153*(1+N('My Loans'!D15)/1200))</f>
        <v/>
      </c>
      <c r="X153" s="24">
        <f>MIN(N153,N('My Loans'!E6))</f>
        <v/>
      </c>
      <c r="Y153" s="24">
        <f>MIN(O153,N('My Loans'!E7))</f>
        <v/>
      </c>
      <c r="Z153" s="24">
        <f>MIN(P153,N('My Loans'!E8))</f>
        <v/>
      </c>
      <c r="AA153" s="24">
        <f>MIN(Q153,N('My Loans'!E9))</f>
        <v/>
      </c>
      <c r="AB153" s="24">
        <f>MIN(R153,N('My Loans'!E10))</f>
        <v/>
      </c>
      <c r="AC153" s="24">
        <f>MIN(S153,N('My Loans'!E11))</f>
        <v/>
      </c>
      <c r="AD153" s="24">
        <f>MIN(T153,N('My Loans'!E12))</f>
        <v/>
      </c>
      <c r="AE153" s="24">
        <f>MIN(U153,N('My Loans'!E13))</f>
        <v/>
      </c>
      <c r="AF153" s="24">
        <f>MIN(V153,N('My Loans'!E14))</f>
        <v/>
      </c>
      <c r="AG153" s="24">
        <f>MIN(W153,N('My Loans'!E15))</f>
        <v/>
      </c>
      <c r="AH153" s="24">
        <f>MIN(N153-X153,MAX(0,$C153-SUMPRODUCT(($D$3:$M$3&lt;D$3)*($N153:$W153-$X153:$AG153))))</f>
        <v/>
      </c>
      <c r="AI153" s="24">
        <f>MIN(O153-Y153,MAX(0,$C153-SUMPRODUCT(($D$3:$M$3&lt;E$3)*($N153:$W153-$X153:$AG153))))</f>
        <v/>
      </c>
      <c r="AJ153" s="24">
        <f>MIN(P153-Z153,MAX(0,$C153-SUMPRODUCT(($D$3:$M$3&lt;F$3)*($N153:$W153-$X153:$AG153))))</f>
        <v/>
      </c>
      <c r="AK153" s="24">
        <f>MIN(Q153-AA153,MAX(0,$C153-SUMPRODUCT(($D$3:$M$3&lt;G$3)*($N153:$W153-$X153:$AG153))))</f>
        <v/>
      </c>
      <c r="AL153" s="24">
        <f>MIN(R153-AB153,MAX(0,$C153-SUMPRODUCT(($D$3:$M$3&lt;H$3)*($N153:$W153-$X153:$AG153))))</f>
        <v/>
      </c>
      <c r="AM153" s="24">
        <f>MIN(S153-AC153,MAX(0,$C153-SUMPRODUCT(($D$3:$M$3&lt;I$3)*($N153:$W153-$X153:$AG153))))</f>
        <v/>
      </c>
      <c r="AN153" s="24">
        <f>MIN(T153-AD153,MAX(0,$C153-SUMPRODUCT(($D$3:$M$3&lt;J$3)*($N153:$W153-$X153:$AG153))))</f>
        <v/>
      </c>
      <c r="AO153" s="24">
        <f>MIN(U153-AE153,MAX(0,$C153-SUMPRODUCT(($D$3:$M$3&lt;K$3)*($N153:$W153-$X153:$AG153))))</f>
        <v/>
      </c>
      <c r="AP153" s="24">
        <f>MIN(V153-AF153,MAX(0,$C153-SUMPRODUCT(($D$3:$M$3&lt;L$3)*($N153:$W153-$X153:$AG153))))</f>
        <v/>
      </c>
      <c r="AQ153" s="24">
        <f>MIN(W153-AG153,MAX(0,$C153-SUMPRODUCT(($D$3:$M$3&lt;M$3)*($N153:$W153-$X153:$AG153))))</f>
        <v/>
      </c>
      <c r="AR153" s="24">
        <f>ROUND(N153-X153-AH153,2)</f>
        <v/>
      </c>
      <c r="AS153" s="24">
        <f>ROUND(O153-Y153-AI153,2)</f>
        <v/>
      </c>
      <c r="AT153" s="24">
        <f>ROUND(P153-Z153-AJ153,2)</f>
        <v/>
      </c>
      <c r="AU153" s="24">
        <f>ROUND(Q153-AA153-AK153,2)</f>
        <v/>
      </c>
      <c r="AV153" s="24">
        <f>ROUND(R153-AB153-AL153,2)</f>
        <v/>
      </c>
      <c r="AW153" s="24">
        <f>ROUND(S153-AC153-AM153,2)</f>
        <v/>
      </c>
      <c r="AX153" s="24">
        <f>ROUND(T153-AD153-AN153,2)</f>
        <v/>
      </c>
      <c r="AY153" s="24">
        <f>ROUND(U153-AE153-AO153,2)</f>
        <v/>
      </c>
      <c r="AZ153" s="24">
        <f>ROUND(V153-AF153-AP153,2)</f>
        <v/>
      </c>
      <c r="BA153" s="24">
        <f>ROUND(W153-AG153-AQ153,2)</f>
        <v/>
      </c>
      <c r="BB153" s="24">
        <f>SUM(AR153:BA153)</f>
        <v/>
      </c>
    </row>
    <row r="154">
      <c r="A154" t="n">
        <v>150</v>
      </c>
      <c r="B154" s="23">
        <f>EOMONTH(TODAY(),149)</f>
        <v/>
      </c>
      <c r="C154" s="24">
        <f>MAX(0,(SUM('My Loans'!$E$6:$E$15)+'My Loans'!$D$3)-SUM($X154:$AG154))</f>
        <v/>
      </c>
      <c r="D154" s="24">
        <f>MAX(0,AR153)</f>
        <v/>
      </c>
      <c r="E154" s="24">
        <f>MAX(0,AS153)</f>
        <v/>
      </c>
      <c r="F154" s="24">
        <f>MAX(0,AT153)</f>
        <v/>
      </c>
      <c r="G154" s="24">
        <f>MAX(0,AU153)</f>
        <v/>
      </c>
      <c r="H154" s="24">
        <f>MAX(0,AV153)</f>
        <v/>
      </c>
      <c r="I154" s="24">
        <f>MAX(0,AW153)</f>
        <v/>
      </c>
      <c r="J154" s="24">
        <f>MAX(0,AX153)</f>
        <v/>
      </c>
      <c r="K154" s="24">
        <f>MAX(0,AY153)</f>
        <v/>
      </c>
      <c r="L154" s="24">
        <f>MAX(0,AZ153)</f>
        <v/>
      </c>
      <c r="M154" s="24">
        <f>MAX(0,BA153)</f>
        <v/>
      </c>
      <c r="N154" s="24">
        <f>IF(D154&lt;0.5,0,D154*(1+N('My Loans'!D6)/1200))</f>
        <v/>
      </c>
      <c r="O154" s="24">
        <f>IF(E154&lt;0.5,0,E154*(1+N('My Loans'!D7)/1200))</f>
        <v/>
      </c>
      <c r="P154" s="24">
        <f>IF(F154&lt;0.5,0,F154*(1+N('My Loans'!D8)/1200))</f>
        <v/>
      </c>
      <c r="Q154" s="24">
        <f>IF(G154&lt;0.5,0,G154*(1+N('My Loans'!D9)/1200))</f>
        <v/>
      </c>
      <c r="R154" s="24">
        <f>IF(H154&lt;0.5,0,H154*(1+N('My Loans'!D10)/1200))</f>
        <v/>
      </c>
      <c r="S154" s="24">
        <f>IF(I154&lt;0.5,0,I154*(1+N('My Loans'!D11)/1200))</f>
        <v/>
      </c>
      <c r="T154" s="24">
        <f>IF(J154&lt;0.5,0,J154*(1+N('My Loans'!D12)/1200))</f>
        <v/>
      </c>
      <c r="U154" s="24">
        <f>IF(K154&lt;0.5,0,K154*(1+N('My Loans'!D13)/1200))</f>
        <v/>
      </c>
      <c r="V154" s="24">
        <f>IF(L154&lt;0.5,0,L154*(1+N('My Loans'!D14)/1200))</f>
        <v/>
      </c>
      <c r="W154" s="24">
        <f>IF(M154&lt;0.5,0,M154*(1+N('My Loans'!D15)/1200))</f>
        <v/>
      </c>
      <c r="X154" s="24">
        <f>MIN(N154,N('My Loans'!E6))</f>
        <v/>
      </c>
      <c r="Y154" s="24">
        <f>MIN(O154,N('My Loans'!E7))</f>
        <v/>
      </c>
      <c r="Z154" s="24">
        <f>MIN(P154,N('My Loans'!E8))</f>
        <v/>
      </c>
      <c r="AA154" s="24">
        <f>MIN(Q154,N('My Loans'!E9))</f>
        <v/>
      </c>
      <c r="AB154" s="24">
        <f>MIN(R154,N('My Loans'!E10))</f>
        <v/>
      </c>
      <c r="AC154" s="24">
        <f>MIN(S154,N('My Loans'!E11))</f>
        <v/>
      </c>
      <c r="AD154" s="24">
        <f>MIN(T154,N('My Loans'!E12))</f>
        <v/>
      </c>
      <c r="AE154" s="24">
        <f>MIN(U154,N('My Loans'!E13))</f>
        <v/>
      </c>
      <c r="AF154" s="24">
        <f>MIN(V154,N('My Loans'!E14))</f>
        <v/>
      </c>
      <c r="AG154" s="24">
        <f>MIN(W154,N('My Loans'!E15))</f>
        <v/>
      </c>
      <c r="AH154" s="24">
        <f>MIN(N154-X154,MAX(0,$C154-SUMPRODUCT(($D$3:$M$3&lt;D$3)*($N154:$W154-$X154:$AG154))))</f>
        <v/>
      </c>
      <c r="AI154" s="24">
        <f>MIN(O154-Y154,MAX(0,$C154-SUMPRODUCT(($D$3:$M$3&lt;E$3)*($N154:$W154-$X154:$AG154))))</f>
        <v/>
      </c>
      <c r="AJ154" s="24">
        <f>MIN(P154-Z154,MAX(0,$C154-SUMPRODUCT(($D$3:$M$3&lt;F$3)*($N154:$W154-$X154:$AG154))))</f>
        <v/>
      </c>
      <c r="AK154" s="24">
        <f>MIN(Q154-AA154,MAX(0,$C154-SUMPRODUCT(($D$3:$M$3&lt;G$3)*($N154:$W154-$X154:$AG154))))</f>
        <v/>
      </c>
      <c r="AL154" s="24">
        <f>MIN(R154-AB154,MAX(0,$C154-SUMPRODUCT(($D$3:$M$3&lt;H$3)*($N154:$W154-$X154:$AG154))))</f>
        <v/>
      </c>
      <c r="AM154" s="24">
        <f>MIN(S154-AC154,MAX(0,$C154-SUMPRODUCT(($D$3:$M$3&lt;I$3)*($N154:$W154-$X154:$AG154))))</f>
        <v/>
      </c>
      <c r="AN154" s="24">
        <f>MIN(T154-AD154,MAX(0,$C154-SUMPRODUCT(($D$3:$M$3&lt;J$3)*($N154:$W154-$X154:$AG154))))</f>
        <v/>
      </c>
      <c r="AO154" s="24">
        <f>MIN(U154-AE154,MAX(0,$C154-SUMPRODUCT(($D$3:$M$3&lt;K$3)*($N154:$W154-$X154:$AG154))))</f>
        <v/>
      </c>
      <c r="AP154" s="24">
        <f>MIN(V154-AF154,MAX(0,$C154-SUMPRODUCT(($D$3:$M$3&lt;L$3)*($N154:$W154-$X154:$AG154))))</f>
        <v/>
      </c>
      <c r="AQ154" s="24">
        <f>MIN(W154-AG154,MAX(0,$C154-SUMPRODUCT(($D$3:$M$3&lt;M$3)*($N154:$W154-$X154:$AG154))))</f>
        <v/>
      </c>
      <c r="AR154" s="24">
        <f>ROUND(N154-X154-AH154,2)</f>
        <v/>
      </c>
      <c r="AS154" s="24">
        <f>ROUND(O154-Y154-AI154,2)</f>
        <v/>
      </c>
      <c r="AT154" s="24">
        <f>ROUND(P154-Z154-AJ154,2)</f>
        <v/>
      </c>
      <c r="AU154" s="24">
        <f>ROUND(Q154-AA154-AK154,2)</f>
        <v/>
      </c>
      <c r="AV154" s="24">
        <f>ROUND(R154-AB154-AL154,2)</f>
        <v/>
      </c>
      <c r="AW154" s="24">
        <f>ROUND(S154-AC154-AM154,2)</f>
        <v/>
      </c>
      <c r="AX154" s="24">
        <f>ROUND(T154-AD154-AN154,2)</f>
        <v/>
      </c>
      <c r="AY154" s="24">
        <f>ROUND(U154-AE154-AO154,2)</f>
        <v/>
      </c>
      <c r="AZ154" s="24">
        <f>ROUND(V154-AF154-AP154,2)</f>
        <v/>
      </c>
      <c r="BA154" s="24">
        <f>ROUND(W154-AG154-AQ154,2)</f>
        <v/>
      </c>
      <c r="BB154" s="24">
        <f>SUM(AR154:BA154)</f>
        <v/>
      </c>
    </row>
    <row r="155">
      <c r="A155" t="n">
        <v>151</v>
      </c>
      <c r="B155" s="23">
        <f>EOMONTH(TODAY(),150)</f>
        <v/>
      </c>
      <c r="C155" s="24">
        <f>MAX(0,(SUM('My Loans'!$E$6:$E$15)+'My Loans'!$D$3)-SUM($X155:$AG155))</f>
        <v/>
      </c>
      <c r="D155" s="24">
        <f>MAX(0,AR154)</f>
        <v/>
      </c>
      <c r="E155" s="24">
        <f>MAX(0,AS154)</f>
        <v/>
      </c>
      <c r="F155" s="24">
        <f>MAX(0,AT154)</f>
        <v/>
      </c>
      <c r="G155" s="24">
        <f>MAX(0,AU154)</f>
        <v/>
      </c>
      <c r="H155" s="24">
        <f>MAX(0,AV154)</f>
        <v/>
      </c>
      <c r="I155" s="24">
        <f>MAX(0,AW154)</f>
        <v/>
      </c>
      <c r="J155" s="24">
        <f>MAX(0,AX154)</f>
        <v/>
      </c>
      <c r="K155" s="24">
        <f>MAX(0,AY154)</f>
        <v/>
      </c>
      <c r="L155" s="24">
        <f>MAX(0,AZ154)</f>
        <v/>
      </c>
      <c r="M155" s="24">
        <f>MAX(0,BA154)</f>
        <v/>
      </c>
      <c r="N155" s="24">
        <f>IF(D155&lt;0.5,0,D155*(1+N('My Loans'!D6)/1200))</f>
        <v/>
      </c>
      <c r="O155" s="24">
        <f>IF(E155&lt;0.5,0,E155*(1+N('My Loans'!D7)/1200))</f>
        <v/>
      </c>
      <c r="P155" s="24">
        <f>IF(F155&lt;0.5,0,F155*(1+N('My Loans'!D8)/1200))</f>
        <v/>
      </c>
      <c r="Q155" s="24">
        <f>IF(G155&lt;0.5,0,G155*(1+N('My Loans'!D9)/1200))</f>
        <v/>
      </c>
      <c r="R155" s="24">
        <f>IF(H155&lt;0.5,0,H155*(1+N('My Loans'!D10)/1200))</f>
        <v/>
      </c>
      <c r="S155" s="24">
        <f>IF(I155&lt;0.5,0,I155*(1+N('My Loans'!D11)/1200))</f>
        <v/>
      </c>
      <c r="T155" s="24">
        <f>IF(J155&lt;0.5,0,J155*(1+N('My Loans'!D12)/1200))</f>
        <v/>
      </c>
      <c r="U155" s="24">
        <f>IF(K155&lt;0.5,0,K155*(1+N('My Loans'!D13)/1200))</f>
        <v/>
      </c>
      <c r="V155" s="24">
        <f>IF(L155&lt;0.5,0,L155*(1+N('My Loans'!D14)/1200))</f>
        <v/>
      </c>
      <c r="W155" s="24">
        <f>IF(M155&lt;0.5,0,M155*(1+N('My Loans'!D15)/1200))</f>
        <v/>
      </c>
      <c r="X155" s="24">
        <f>MIN(N155,N('My Loans'!E6))</f>
        <v/>
      </c>
      <c r="Y155" s="24">
        <f>MIN(O155,N('My Loans'!E7))</f>
        <v/>
      </c>
      <c r="Z155" s="24">
        <f>MIN(P155,N('My Loans'!E8))</f>
        <v/>
      </c>
      <c r="AA155" s="24">
        <f>MIN(Q155,N('My Loans'!E9))</f>
        <v/>
      </c>
      <c r="AB155" s="24">
        <f>MIN(R155,N('My Loans'!E10))</f>
        <v/>
      </c>
      <c r="AC155" s="24">
        <f>MIN(S155,N('My Loans'!E11))</f>
        <v/>
      </c>
      <c r="AD155" s="24">
        <f>MIN(T155,N('My Loans'!E12))</f>
        <v/>
      </c>
      <c r="AE155" s="24">
        <f>MIN(U155,N('My Loans'!E13))</f>
        <v/>
      </c>
      <c r="AF155" s="24">
        <f>MIN(V155,N('My Loans'!E14))</f>
        <v/>
      </c>
      <c r="AG155" s="24">
        <f>MIN(W155,N('My Loans'!E15))</f>
        <v/>
      </c>
      <c r="AH155" s="24">
        <f>MIN(N155-X155,MAX(0,$C155-SUMPRODUCT(($D$3:$M$3&lt;D$3)*($N155:$W155-$X155:$AG155))))</f>
        <v/>
      </c>
      <c r="AI155" s="24">
        <f>MIN(O155-Y155,MAX(0,$C155-SUMPRODUCT(($D$3:$M$3&lt;E$3)*($N155:$W155-$X155:$AG155))))</f>
        <v/>
      </c>
      <c r="AJ155" s="24">
        <f>MIN(P155-Z155,MAX(0,$C155-SUMPRODUCT(($D$3:$M$3&lt;F$3)*($N155:$W155-$X155:$AG155))))</f>
        <v/>
      </c>
      <c r="AK155" s="24">
        <f>MIN(Q155-AA155,MAX(0,$C155-SUMPRODUCT(($D$3:$M$3&lt;G$3)*($N155:$W155-$X155:$AG155))))</f>
        <v/>
      </c>
      <c r="AL155" s="24">
        <f>MIN(R155-AB155,MAX(0,$C155-SUMPRODUCT(($D$3:$M$3&lt;H$3)*($N155:$W155-$X155:$AG155))))</f>
        <v/>
      </c>
      <c r="AM155" s="24">
        <f>MIN(S155-AC155,MAX(0,$C155-SUMPRODUCT(($D$3:$M$3&lt;I$3)*($N155:$W155-$X155:$AG155))))</f>
        <v/>
      </c>
      <c r="AN155" s="24">
        <f>MIN(T155-AD155,MAX(0,$C155-SUMPRODUCT(($D$3:$M$3&lt;J$3)*($N155:$W155-$X155:$AG155))))</f>
        <v/>
      </c>
      <c r="AO155" s="24">
        <f>MIN(U155-AE155,MAX(0,$C155-SUMPRODUCT(($D$3:$M$3&lt;K$3)*($N155:$W155-$X155:$AG155))))</f>
        <v/>
      </c>
      <c r="AP155" s="24">
        <f>MIN(V155-AF155,MAX(0,$C155-SUMPRODUCT(($D$3:$M$3&lt;L$3)*($N155:$W155-$X155:$AG155))))</f>
        <v/>
      </c>
      <c r="AQ155" s="24">
        <f>MIN(W155-AG155,MAX(0,$C155-SUMPRODUCT(($D$3:$M$3&lt;M$3)*($N155:$W155-$X155:$AG155))))</f>
        <v/>
      </c>
      <c r="AR155" s="24">
        <f>ROUND(N155-X155-AH155,2)</f>
        <v/>
      </c>
      <c r="AS155" s="24">
        <f>ROUND(O155-Y155-AI155,2)</f>
        <v/>
      </c>
      <c r="AT155" s="24">
        <f>ROUND(P155-Z155-AJ155,2)</f>
        <v/>
      </c>
      <c r="AU155" s="24">
        <f>ROUND(Q155-AA155-AK155,2)</f>
        <v/>
      </c>
      <c r="AV155" s="24">
        <f>ROUND(R155-AB155-AL155,2)</f>
        <v/>
      </c>
      <c r="AW155" s="24">
        <f>ROUND(S155-AC155-AM155,2)</f>
        <v/>
      </c>
      <c r="AX155" s="24">
        <f>ROUND(T155-AD155-AN155,2)</f>
        <v/>
      </c>
      <c r="AY155" s="24">
        <f>ROUND(U155-AE155-AO155,2)</f>
        <v/>
      </c>
      <c r="AZ155" s="24">
        <f>ROUND(V155-AF155-AP155,2)</f>
        <v/>
      </c>
      <c r="BA155" s="24">
        <f>ROUND(W155-AG155-AQ155,2)</f>
        <v/>
      </c>
      <c r="BB155" s="24">
        <f>SUM(AR155:BA155)</f>
        <v/>
      </c>
    </row>
    <row r="156">
      <c r="A156" t="n">
        <v>152</v>
      </c>
      <c r="B156" s="23">
        <f>EOMONTH(TODAY(),151)</f>
        <v/>
      </c>
      <c r="C156" s="24">
        <f>MAX(0,(SUM('My Loans'!$E$6:$E$15)+'My Loans'!$D$3)-SUM($X156:$AG156))</f>
        <v/>
      </c>
      <c r="D156" s="24">
        <f>MAX(0,AR155)</f>
        <v/>
      </c>
      <c r="E156" s="24">
        <f>MAX(0,AS155)</f>
        <v/>
      </c>
      <c r="F156" s="24">
        <f>MAX(0,AT155)</f>
        <v/>
      </c>
      <c r="G156" s="24">
        <f>MAX(0,AU155)</f>
        <v/>
      </c>
      <c r="H156" s="24">
        <f>MAX(0,AV155)</f>
        <v/>
      </c>
      <c r="I156" s="24">
        <f>MAX(0,AW155)</f>
        <v/>
      </c>
      <c r="J156" s="24">
        <f>MAX(0,AX155)</f>
        <v/>
      </c>
      <c r="K156" s="24">
        <f>MAX(0,AY155)</f>
        <v/>
      </c>
      <c r="L156" s="24">
        <f>MAX(0,AZ155)</f>
        <v/>
      </c>
      <c r="M156" s="24">
        <f>MAX(0,BA155)</f>
        <v/>
      </c>
      <c r="N156" s="24">
        <f>IF(D156&lt;0.5,0,D156*(1+N('My Loans'!D6)/1200))</f>
        <v/>
      </c>
      <c r="O156" s="24">
        <f>IF(E156&lt;0.5,0,E156*(1+N('My Loans'!D7)/1200))</f>
        <v/>
      </c>
      <c r="P156" s="24">
        <f>IF(F156&lt;0.5,0,F156*(1+N('My Loans'!D8)/1200))</f>
        <v/>
      </c>
      <c r="Q156" s="24">
        <f>IF(G156&lt;0.5,0,G156*(1+N('My Loans'!D9)/1200))</f>
        <v/>
      </c>
      <c r="R156" s="24">
        <f>IF(H156&lt;0.5,0,H156*(1+N('My Loans'!D10)/1200))</f>
        <v/>
      </c>
      <c r="S156" s="24">
        <f>IF(I156&lt;0.5,0,I156*(1+N('My Loans'!D11)/1200))</f>
        <v/>
      </c>
      <c r="T156" s="24">
        <f>IF(J156&lt;0.5,0,J156*(1+N('My Loans'!D12)/1200))</f>
        <v/>
      </c>
      <c r="U156" s="24">
        <f>IF(K156&lt;0.5,0,K156*(1+N('My Loans'!D13)/1200))</f>
        <v/>
      </c>
      <c r="V156" s="24">
        <f>IF(L156&lt;0.5,0,L156*(1+N('My Loans'!D14)/1200))</f>
        <v/>
      </c>
      <c r="W156" s="24">
        <f>IF(M156&lt;0.5,0,M156*(1+N('My Loans'!D15)/1200))</f>
        <v/>
      </c>
      <c r="X156" s="24">
        <f>MIN(N156,N('My Loans'!E6))</f>
        <v/>
      </c>
      <c r="Y156" s="24">
        <f>MIN(O156,N('My Loans'!E7))</f>
        <v/>
      </c>
      <c r="Z156" s="24">
        <f>MIN(P156,N('My Loans'!E8))</f>
        <v/>
      </c>
      <c r="AA156" s="24">
        <f>MIN(Q156,N('My Loans'!E9))</f>
        <v/>
      </c>
      <c r="AB156" s="24">
        <f>MIN(R156,N('My Loans'!E10))</f>
        <v/>
      </c>
      <c r="AC156" s="24">
        <f>MIN(S156,N('My Loans'!E11))</f>
        <v/>
      </c>
      <c r="AD156" s="24">
        <f>MIN(T156,N('My Loans'!E12))</f>
        <v/>
      </c>
      <c r="AE156" s="24">
        <f>MIN(U156,N('My Loans'!E13))</f>
        <v/>
      </c>
      <c r="AF156" s="24">
        <f>MIN(V156,N('My Loans'!E14))</f>
        <v/>
      </c>
      <c r="AG156" s="24">
        <f>MIN(W156,N('My Loans'!E15))</f>
        <v/>
      </c>
      <c r="AH156" s="24">
        <f>MIN(N156-X156,MAX(0,$C156-SUMPRODUCT(($D$3:$M$3&lt;D$3)*($N156:$W156-$X156:$AG156))))</f>
        <v/>
      </c>
      <c r="AI156" s="24">
        <f>MIN(O156-Y156,MAX(0,$C156-SUMPRODUCT(($D$3:$M$3&lt;E$3)*($N156:$W156-$X156:$AG156))))</f>
        <v/>
      </c>
      <c r="AJ156" s="24">
        <f>MIN(P156-Z156,MAX(0,$C156-SUMPRODUCT(($D$3:$M$3&lt;F$3)*($N156:$W156-$X156:$AG156))))</f>
        <v/>
      </c>
      <c r="AK156" s="24">
        <f>MIN(Q156-AA156,MAX(0,$C156-SUMPRODUCT(($D$3:$M$3&lt;G$3)*($N156:$W156-$X156:$AG156))))</f>
        <v/>
      </c>
      <c r="AL156" s="24">
        <f>MIN(R156-AB156,MAX(0,$C156-SUMPRODUCT(($D$3:$M$3&lt;H$3)*($N156:$W156-$X156:$AG156))))</f>
        <v/>
      </c>
      <c r="AM156" s="24">
        <f>MIN(S156-AC156,MAX(0,$C156-SUMPRODUCT(($D$3:$M$3&lt;I$3)*($N156:$W156-$X156:$AG156))))</f>
        <v/>
      </c>
      <c r="AN156" s="24">
        <f>MIN(T156-AD156,MAX(0,$C156-SUMPRODUCT(($D$3:$M$3&lt;J$3)*($N156:$W156-$X156:$AG156))))</f>
        <v/>
      </c>
      <c r="AO156" s="24">
        <f>MIN(U156-AE156,MAX(0,$C156-SUMPRODUCT(($D$3:$M$3&lt;K$3)*($N156:$W156-$X156:$AG156))))</f>
        <v/>
      </c>
      <c r="AP156" s="24">
        <f>MIN(V156-AF156,MAX(0,$C156-SUMPRODUCT(($D$3:$M$3&lt;L$3)*($N156:$W156-$X156:$AG156))))</f>
        <v/>
      </c>
      <c r="AQ156" s="24">
        <f>MIN(W156-AG156,MAX(0,$C156-SUMPRODUCT(($D$3:$M$3&lt;M$3)*($N156:$W156-$X156:$AG156))))</f>
        <v/>
      </c>
      <c r="AR156" s="24">
        <f>ROUND(N156-X156-AH156,2)</f>
        <v/>
      </c>
      <c r="AS156" s="24">
        <f>ROUND(O156-Y156-AI156,2)</f>
        <v/>
      </c>
      <c r="AT156" s="24">
        <f>ROUND(P156-Z156-AJ156,2)</f>
        <v/>
      </c>
      <c r="AU156" s="24">
        <f>ROUND(Q156-AA156-AK156,2)</f>
        <v/>
      </c>
      <c r="AV156" s="24">
        <f>ROUND(R156-AB156-AL156,2)</f>
        <v/>
      </c>
      <c r="AW156" s="24">
        <f>ROUND(S156-AC156-AM156,2)</f>
        <v/>
      </c>
      <c r="AX156" s="24">
        <f>ROUND(T156-AD156-AN156,2)</f>
        <v/>
      </c>
      <c r="AY156" s="24">
        <f>ROUND(U156-AE156-AO156,2)</f>
        <v/>
      </c>
      <c r="AZ156" s="24">
        <f>ROUND(V156-AF156-AP156,2)</f>
        <v/>
      </c>
      <c r="BA156" s="24">
        <f>ROUND(W156-AG156-AQ156,2)</f>
        <v/>
      </c>
      <c r="BB156" s="24">
        <f>SUM(AR156:BA156)</f>
        <v/>
      </c>
    </row>
    <row r="157">
      <c r="A157" t="n">
        <v>153</v>
      </c>
      <c r="B157" s="23">
        <f>EOMONTH(TODAY(),152)</f>
        <v/>
      </c>
      <c r="C157" s="24">
        <f>MAX(0,(SUM('My Loans'!$E$6:$E$15)+'My Loans'!$D$3)-SUM($X157:$AG157))</f>
        <v/>
      </c>
      <c r="D157" s="24">
        <f>MAX(0,AR156)</f>
        <v/>
      </c>
      <c r="E157" s="24">
        <f>MAX(0,AS156)</f>
        <v/>
      </c>
      <c r="F157" s="24">
        <f>MAX(0,AT156)</f>
        <v/>
      </c>
      <c r="G157" s="24">
        <f>MAX(0,AU156)</f>
        <v/>
      </c>
      <c r="H157" s="24">
        <f>MAX(0,AV156)</f>
        <v/>
      </c>
      <c r="I157" s="24">
        <f>MAX(0,AW156)</f>
        <v/>
      </c>
      <c r="J157" s="24">
        <f>MAX(0,AX156)</f>
        <v/>
      </c>
      <c r="K157" s="24">
        <f>MAX(0,AY156)</f>
        <v/>
      </c>
      <c r="L157" s="24">
        <f>MAX(0,AZ156)</f>
        <v/>
      </c>
      <c r="M157" s="24">
        <f>MAX(0,BA156)</f>
        <v/>
      </c>
      <c r="N157" s="24">
        <f>IF(D157&lt;0.5,0,D157*(1+N('My Loans'!D6)/1200))</f>
        <v/>
      </c>
      <c r="O157" s="24">
        <f>IF(E157&lt;0.5,0,E157*(1+N('My Loans'!D7)/1200))</f>
        <v/>
      </c>
      <c r="P157" s="24">
        <f>IF(F157&lt;0.5,0,F157*(1+N('My Loans'!D8)/1200))</f>
        <v/>
      </c>
      <c r="Q157" s="24">
        <f>IF(G157&lt;0.5,0,G157*(1+N('My Loans'!D9)/1200))</f>
        <v/>
      </c>
      <c r="R157" s="24">
        <f>IF(H157&lt;0.5,0,H157*(1+N('My Loans'!D10)/1200))</f>
        <v/>
      </c>
      <c r="S157" s="24">
        <f>IF(I157&lt;0.5,0,I157*(1+N('My Loans'!D11)/1200))</f>
        <v/>
      </c>
      <c r="T157" s="24">
        <f>IF(J157&lt;0.5,0,J157*(1+N('My Loans'!D12)/1200))</f>
        <v/>
      </c>
      <c r="U157" s="24">
        <f>IF(K157&lt;0.5,0,K157*(1+N('My Loans'!D13)/1200))</f>
        <v/>
      </c>
      <c r="V157" s="24">
        <f>IF(L157&lt;0.5,0,L157*(1+N('My Loans'!D14)/1200))</f>
        <v/>
      </c>
      <c r="W157" s="24">
        <f>IF(M157&lt;0.5,0,M157*(1+N('My Loans'!D15)/1200))</f>
        <v/>
      </c>
      <c r="X157" s="24">
        <f>MIN(N157,N('My Loans'!E6))</f>
        <v/>
      </c>
      <c r="Y157" s="24">
        <f>MIN(O157,N('My Loans'!E7))</f>
        <v/>
      </c>
      <c r="Z157" s="24">
        <f>MIN(P157,N('My Loans'!E8))</f>
        <v/>
      </c>
      <c r="AA157" s="24">
        <f>MIN(Q157,N('My Loans'!E9))</f>
        <v/>
      </c>
      <c r="AB157" s="24">
        <f>MIN(R157,N('My Loans'!E10))</f>
        <v/>
      </c>
      <c r="AC157" s="24">
        <f>MIN(S157,N('My Loans'!E11))</f>
        <v/>
      </c>
      <c r="AD157" s="24">
        <f>MIN(T157,N('My Loans'!E12))</f>
        <v/>
      </c>
      <c r="AE157" s="24">
        <f>MIN(U157,N('My Loans'!E13))</f>
        <v/>
      </c>
      <c r="AF157" s="24">
        <f>MIN(V157,N('My Loans'!E14))</f>
        <v/>
      </c>
      <c r="AG157" s="24">
        <f>MIN(W157,N('My Loans'!E15))</f>
        <v/>
      </c>
      <c r="AH157" s="24">
        <f>MIN(N157-X157,MAX(0,$C157-SUMPRODUCT(($D$3:$M$3&lt;D$3)*($N157:$W157-$X157:$AG157))))</f>
        <v/>
      </c>
      <c r="AI157" s="24">
        <f>MIN(O157-Y157,MAX(0,$C157-SUMPRODUCT(($D$3:$M$3&lt;E$3)*($N157:$W157-$X157:$AG157))))</f>
        <v/>
      </c>
      <c r="AJ157" s="24">
        <f>MIN(P157-Z157,MAX(0,$C157-SUMPRODUCT(($D$3:$M$3&lt;F$3)*($N157:$W157-$X157:$AG157))))</f>
        <v/>
      </c>
      <c r="AK157" s="24">
        <f>MIN(Q157-AA157,MAX(0,$C157-SUMPRODUCT(($D$3:$M$3&lt;G$3)*($N157:$W157-$X157:$AG157))))</f>
        <v/>
      </c>
      <c r="AL157" s="24">
        <f>MIN(R157-AB157,MAX(0,$C157-SUMPRODUCT(($D$3:$M$3&lt;H$3)*($N157:$W157-$X157:$AG157))))</f>
        <v/>
      </c>
      <c r="AM157" s="24">
        <f>MIN(S157-AC157,MAX(0,$C157-SUMPRODUCT(($D$3:$M$3&lt;I$3)*($N157:$W157-$X157:$AG157))))</f>
        <v/>
      </c>
      <c r="AN157" s="24">
        <f>MIN(T157-AD157,MAX(0,$C157-SUMPRODUCT(($D$3:$M$3&lt;J$3)*($N157:$W157-$X157:$AG157))))</f>
        <v/>
      </c>
      <c r="AO157" s="24">
        <f>MIN(U157-AE157,MAX(0,$C157-SUMPRODUCT(($D$3:$M$3&lt;K$3)*($N157:$W157-$X157:$AG157))))</f>
        <v/>
      </c>
      <c r="AP157" s="24">
        <f>MIN(V157-AF157,MAX(0,$C157-SUMPRODUCT(($D$3:$M$3&lt;L$3)*($N157:$W157-$X157:$AG157))))</f>
        <v/>
      </c>
      <c r="AQ157" s="24">
        <f>MIN(W157-AG157,MAX(0,$C157-SUMPRODUCT(($D$3:$M$3&lt;M$3)*($N157:$W157-$X157:$AG157))))</f>
        <v/>
      </c>
      <c r="AR157" s="24">
        <f>ROUND(N157-X157-AH157,2)</f>
        <v/>
      </c>
      <c r="AS157" s="24">
        <f>ROUND(O157-Y157-AI157,2)</f>
        <v/>
      </c>
      <c r="AT157" s="24">
        <f>ROUND(P157-Z157-AJ157,2)</f>
        <v/>
      </c>
      <c r="AU157" s="24">
        <f>ROUND(Q157-AA157-AK157,2)</f>
        <v/>
      </c>
      <c r="AV157" s="24">
        <f>ROUND(R157-AB157-AL157,2)</f>
        <v/>
      </c>
      <c r="AW157" s="24">
        <f>ROUND(S157-AC157-AM157,2)</f>
        <v/>
      </c>
      <c r="AX157" s="24">
        <f>ROUND(T157-AD157-AN157,2)</f>
        <v/>
      </c>
      <c r="AY157" s="24">
        <f>ROUND(U157-AE157-AO157,2)</f>
        <v/>
      </c>
      <c r="AZ157" s="24">
        <f>ROUND(V157-AF157-AP157,2)</f>
        <v/>
      </c>
      <c r="BA157" s="24">
        <f>ROUND(W157-AG157-AQ157,2)</f>
        <v/>
      </c>
      <c r="BB157" s="24">
        <f>SUM(AR157:BA157)</f>
        <v/>
      </c>
    </row>
    <row r="158">
      <c r="A158" t="n">
        <v>154</v>
      </c>
      <c r="B158" s="23">
        <f>EOMONTH(TODAY(),153)</f>
        <v/>
      </c>
      <c r="C158" s="24">
        <f>MAX(0,(SUM('My Loans'!$E$6:$E$15)+'My Loans'!$D$3)-SUM($X158:$AG158))</f>
        <v/>
      </c>
      <c r="D158" s="24">
        <f>MAX(0,AR157)</f>
        <v/>
      </c>
      <c r="E158" s="24">
        <f>MAX(0,AS157)</f>
        <v/>
      </c>
      <c r="F158" s="24">
        <f>MAX(0,AT157)</f>
        <v/>
      </c>
      <c r="G158" s="24">
        <f>MAX(0,AU157)</f>
        <v/>
      </c>
      <c r="H158" s="24">
        <f>MAX(0,AV157)</f>
        <v/>
      </c>
      <c r="I158" s="24">
        <f>MAX(0,AW157)</f>
        <v/>
      </c>
      <c r="J158" s="24">
        <f>MAX(0,AX157)</f>
        <v/>
      </c>
      <c r="K158" s="24">
        <f>MAX(0,AY157)</f>
        <v/>
      </c>
      <c r="L158" s="24">
        <f>MAX(0,AZ157)</f>
        <v/>
      </c>
      <c r="M158" s="24">
        <f>MAX(0,BA157)</f>
        <v/>
      </c>
      <c r="N158" s="24">
        <f>IF(D158&lt;0.5,0,D158*(1+N('My Loans'!D6)/1200))</f>
        <v/>
      </c>
      <c r="O158" s="24">
        <f>IF(E158&lt;0.5,0,E158*(1+N('My Loans'!D7)/1200))</f>
        <v/>
      </c>
      <c r="P158" s="24">
        <f>IF(F158&lt;0.5,0,F158*(1+N('My Loans'!D8)/1200))</f>
        <v/>
      </c>
      <c r="Q158" s="24">
        <f>IF(G158&lt;0.5,0,G158*(1+N('My Loans'!D9)/1200))</f>
        <v/>
      </c>
      <c r="R158" s="24">
        <f>IF(H158&lt;0.5,0,H158*(1+N('My Loans'!D10)/1200))</f>
        <v/>
      </c>
      <c r="S158" s="24">
        <f>IF(I158&lt;0.5,0,I158*(1+N('My Loans'!D11)/1200))</f>
        <v/>
      </c>
      <c r="T158" s="24">
        <f>IF(J158&lt;0.5,0,J158*(1+N('My Loans'!D12)/1200))</f>
        <v/>
      </c>
      <c r="U158" s="24">
        <f>IF(K158&lt;0.5,0,K158*(1+N('My Loans'!D13)/1200))</f>
        <v/>
      </c>
      <c r="V158" s="24">
        <f>IF(L158&lt;0.5,0,L158*(1+N('My Loans'!D14)/1200))</f>
        <v/>
      </c>
      <c r="W158" s="24">
        <f>IF(M158&lt;0.5,0,M158*(1+N('My Loans'!D15)/1200))</f>
        <v/>
      </c>
      <c r="X158" s="24">
        <f>MIN(N158,N('My Loans'!E6))</f>
        <v/>
      </c>
      <c r="Y158" s="24">
        <f>MIN(O158,N('My Loans'!E7))</f>
        <v/>
      </c>
      <c r="Z158" s="24">
        <f>MIN(P158,N('My Loans'!E8))</f>
        <v/>
      </c>
      <c r="AA158" s="24">
        <f>MIN(Q158,N('My Loans'!E9))</f>
        <v/>
      </c>
      <c r="AB158" s="24">
        <f>MIN(R158,N('My Loans'!E10))</f>
        <v/>
      </c>
      <c r="AC158" s="24">
        <f>MIN(S158,N('My Loans'!E11))</f>
        <v/>
      </c>
      <c r="AD158" s="24">
        <f>MIN(T158,N('My Loans'!E12))</f>
        <v/>
      </c>
      <c r="AE158" s="24">
        <f>MIN(U158,N('My Loans'!E13))</f>
        <v/>
      </c>
      <c r="AF158" s="24">
        <f>MIN(V158,N('My Loans'!E14))</f>
        <v/>
      </c>
      <c r="AG158" s="24">
        <f>MIN(W158,N('My Loans'!E15))</f>
        <v/>
      </c>
      <c r="AH158" s="24">
        <f>MIN(N158-X158,MAX(0,$C158-SUMPRODUCT(($D$3:$M$3&lt;D$3)*($N158:$W158-$X158:$AG158))))</f>
        <v/>
      </c>
      <c r="AI158" s="24">
        <f>MIN(O158-Y158,MAX(0,$C158-SUMPRODUCT(($D$3:$M$3&lt;E$3)*($N158:$W158-$X158:$AG158))))</f>
        <v/>
      </c>
      <c r="AJ158" s="24">
        <f>MIN(P158-Z158,MAX(0,$C158-SUMPRODUCT(($D$3:$M$3&lt;F$3)*($N158:$W158-$X158:$AG158))))</f>
        <v/>
      </c>
      <c r="AK158" s="24">
        <f>MIN(Q158-AA158,MAX(0,$C158-SUMPRODUCT(($D$3:$M$3&lt;G$3)*($N158:$W158-$X158:$AG158))))</f>
        <v/>
      </c>
      <c r="AL158" s="24">
        <f>MIN(R158-AB158,MAX(0,$C158-SUMPRODUCT(($D$3:$M$3&lt;H$3)*($N158:$W158-$X158:$AG158))))</f>
        <v/>
      </c>
      <c r="AM158" s="24">
        <f>MIN(S158-AC158,MAX(0,$C158-SUMPRODUCT(($D$3:$M$3&lt;I$3)*($N158:$W158-$X158:$AG158))))</f>
        <v/>
      </c>
      <c r="AN158" s="24">
        <f>MIN(T158-AD158,MAX(0,$C158-SUMPRODUCT(($D$3:$M$3&lt;J$3)*($N158:$W158-$X158:$AG158))))</f>
        <v/>
      </c>
      <c r="AO158" s="24">
        <f>MIN(U158-AE158,MAX(0,$C158-SUMPRODUCT(($D$3:$M$3&lt;K$3)*($N158:$W158-$X158:$AG158))))</f>
        <v/>
      </c>
      <c r="AP158" s="24">
        <f>MIN(V158-AF158,MAX(0,$C158-SUMPRODUCT(($D$3:$M$3&lt;L$3)*($N158:$W158-$X158:$AG158))))</f>
        <v/>
      </c>
      <c r="AQ158" s="24">
        <f>MIN(W158-AG158,MAX(0,$C158-SUMPRODUCT(($D$3:$M$3&lt;M$3)*($N158:$W158-$X158:$AG158))))</f>
        <v/>
      </c>
      <c r="AR158" s="24">
        <f>ROUND(N158-X158-AH158,2)</f>
        <v/>
      </c>
      <c r="AS158" s="24">
        <f>ROUND(O158-Y158-AI158,2)</f>
        <v/>
      </c>
      <c r="AT158" s="24">
        <f>ROUND(P158-Z158-AJ158,2)</f>
        <v/>
      </c>
      <c r="AU158" s="24">
        <f>ROUND(Q158-AA158-AK158,2)</f>
        <v/>
      </c>
      <c r="AV158" s="24">
        <f>ROUND(R158-AB158-AL158,2)</f>
        <v/>
      </c>
      <c r="AW158" s="24">
        <f>ROUND(S158-AC158-AM158,2)</f>
        <v/>
      </c>
      <c r="AX158" s="24">
        <f>ROUND(T158-AD158-AN158,2)</f>
        <v/>
      </c>
      <c r="AY158" s="24">
        <f>ROUND(U158-AE158-AO158,2)</f>
        <v/>
      </c>
      <c r="AZ158" s="24">
        <f>ROUND(V158-AF158-AP158,2)</f>
        <v/>
      </c>
      <c r="BA158" s="24">
        <f>ROUND(W158-AG158-AQ158,2)</f>
        <v/>
      </c>
      <c r="BB158" s="24">
        <f>SUM(AR158:BA158)</f>
        <v/>
      </c>
    </row>
    <row r="159">
      <c r="A159" t="n">
        <v>155</v>
      </c>
      <c r="B159" s="23">
        <f>EOMONTH(TODAY(),154)</f>
        <v/>
      </c>
      <c r="C159" s="24">
        <f>MAX(0,(SUM('My Loans'!$E$6:$E$15)+'My Loans'!$D$3)-SUM($X159:$AG159))</f>
        <v/>
      </c>
      <c r="D159" s="24">
        <f>MAX(0,AR158)</f>
        <v/>
      </c>
      <c r="E159" s="24">
        <f>MAX(0,AS158)</f>
        <v/>
      </c>
      <c r="F159" s="24">
        <f>MAX(0,AT158)</f>
        <v/>
      </c>
      <c r="G159" s="24">
        <f>MAX(0,AU158)</f>
        <v/>
      </c>
      <c r="H159" s="24">
        <f>MAX(0,AV158)</f>
        <v/>
      </c>
      <c r="I159" s="24">
        <f>MAX(0,AW158)</f>
        <v/>
      </c>
      <c r="J159" s="24">
        <f>MAX(0,AX158)</f>
        <v/>
      </c>
      <c r="K159" s="24">
        <f>MAX(0,AY158)</f>
        <v/>
      </c>
      <c r="L159" s="24">
        <f>MAX(0,AZ158)</f>
        <v/>
      </c>
      <c r="M159" s="24">
        <f>MAX(0,BA158)</f>
        <v/>
      </c>
      <c r="N159" s="24">
        <f>IF(D159&lt;0.5,0,D159*(1+N('My Loans'!D6)/1200))</f>
        <v/>
      </c>
      <c r="O159" s="24">
        <f>IF(E159&lt;0.5,0,E159*(1+N('My Loans'!D7)/1200))</f>
        <v/>
      </c>
      <c r="P159" s="24">
        <f>IF(F159&lt;0.5,0,F159*(1+N('My Loans'!D8)/1200))</f>
        <v/>
      </c>
      <c r="Q159" s="24">
        <f>IF(G159&lt;0.5,0,G159*(1+N('My Loans'!D9)/1200))</f>
        <v/>
      </c>
      <c r="R159" s="24">
        <f>IF(H159&lt;0.5,0,H159*(1+N('My Loans'!D10)/1200))</f>
        <v/>
      </c>
      <c r="S159" s="24">
        <f>IF(I159&lt;0.5,0,I159*(1+N('My Loans'!D11)/1200))</f>
        <v/>
      </c>
      <c r="T159" s="24">
        <f>IF(J159&lt;0.5,0,J159*(1+N('My Loans'!D12)/1200))</f>
        <v/>
      </c>
      <c r="U159" s="24">
        <f>IF(K159&lt;0.5,0,K159*(1+N('My Loans'!D13)/1200))</f>
        <v/>
      </c>
      <c r="V159" s="24">
        <f>IF(L159&lt;0.5,0,L159*(1+N('My Loans'!D14)/1200))</f>
        <v/>
      </c>
      <c r="W159" s="24">
        <f>IF(M159&lt;0.5,0,M159*(1+N('My Loans'!D15)/1200))</f>
        <v/>
      </c>
      <c r="X159" s="24">
        <f>MIN(N159,N('My Loans'!E6))</f>
        <v/>
      </c>
      <c r="Y159" s="24">
        <f>MIN(O159,N('My Loans'!E7))</f>
        <v/>
      </c>
      <c r="Z159" s="24">
        <f>MIN(P159,N('My Loans'!E8))</f>
        <v/>
      </c>
      <c r="AA159" s="24">
        <f>MIN(Q159,N('My Loans'!E9))</f>
        <v/>
      </c>
      <c r="AB159" s="24">
        <f>MIN(R159,N('My Loans'!E10))</f>
        <v/>
      </c>
      <c r="AC159" s="24">
        <f>MIN(S159,N('My Loans'!E11))</f>
        <v/>
      </c>
      <c r="AD159" s="24">
        <f>MIN(T159,N('My Loans'!E12))</f>
        <v/>
      </c>
      <c r="AE159" s="24">
        <f>MIN(U159,N('My Loans'!E13))</f>
        <v/>
      </c>
      <c r="AF159" s="24">
        <f>MIN(V159,N('My Loans'!E14))</f>
        <v/>
      </c>
      <c r="AG159" s="24">
        <f>MIN(W159,N('My Loans'!E15))</f>
        <v/>
      </c>
      <c r="AH159" s="24">
        <f>MIN(N159-X159,MAX(0,$C159-SUMPRODUCT(($D$3:$M$3&lt;D$3)*($N159:$W159-$X159:$AG159))))</f>
        <v/>
      </c>
      <c r="AI159" s="24">
        <f>MIN(O159-Y159,MAX(0,$C159-SUMPRODUCT(($D$3:$M$3&lt;E$3)*($N159:$W159-$X159:$AG159))))</f>
        <v/>
      </c>
      <c r="AJ159" s="24">
        <f>MIN(P159-Z159,MAX(0,$C159-SUMPRODUCT(($D$3:$M$3&lt;F$3)*($N159:$W159-$X159:$AG159))))</f>
        <v/>
      </c>
      <c r="AK159" s="24">
        <f>MIN(Q159-AA159,MAX(0,$C159-SUMPRODUCT(($D$3:$M$3&lt;G$3)*($N159:$W159-$X159:$AG159))))</f>
        <v/>
      </c>
      <c r="AL159" s="24">
        <f>MIN(R159-AB159,MAX(0,$C159-SUMPRODUCT(($D$3:$M$3&lt;H$3)*($N159:$W159-$X159:$AG159))))</f>
        <v/>
      </c>
      <c r="AM159" s="24">
        <f>MIN(S159-AC159,MAX(0,$C159-SUMPRODUCT(($D$3:$M$3&lt;I$3)*($N159:$W159-$X159:$AG159))))</f>
        <v/>
      </c>
      <c r="AN159" s="24">
        <f>MIN(T159-AD159,MAX(0,$C159-SUMPRODUCT(($D$3:$M$3&lt;J$3)*($N159:$W159-$X159:$AG159))))</f>
        <v/>
      </c>
      <c r="AO159" s="24">
        <f>MIN(U159-AE159,MAX(0,$C159-SUMPRODUCT(($D$3:$M$3&lt;K$3)*($N159:$W159-$X159:$AG159))))</f>
        <v/>
      </c>
      <c r="AP159" s="24">
        <f>MIN(V159-AF159,MAX(0,$C159-SUMPRODUCT(($D$3:$M$3&lt;L$3)*($N159:$W159-$X159:$AG159))))</f>
        <v/>
      </c>
      <c r="AQ159" s="24">
        <f>MIN(W159-AG159,MAX(0,$C159-SUMPRODUCT(($D$3:$M$3&lt;M$3)*($N159:$W159-$X159:$AG159))))</f>
        <v/>
      </c>
      <c r="AR159" s="24">
        <f>ROUND(N159-X159-AH159,2)</f>
        <v/>
      </c>
      <c r="AS159" s="24">
        <f>ROUND(O159-Y159-AI159,2)</f>
        <v/>
      </c>
      <c r="AT159" s="24">
        <f>ROUND(P159-Z159-AJ159,2)</f>
        <v/>
      </c>
      <c r="AU159" s="24">
        <f>ROUND(Q159-AA159-AK159,2)</f>
        <v/>
      </c>
      <c r="AV159" s="24">
        <f>ROUND(R159-AB159-AL159,2)</f>
        <v/>
      </c>
      <c r="AW159" s="24">
        <f>ROUND(S159-AC159-AM159,2)</f>
        <v/>
      </c>
      <c r="AX159" s="24">
        <f>ROUND(T159-AD159-AN159,2)</f>
        <v/>
      </c>
      <c r="AY159" s="24">
        <f>ROUND(U159-AE159-AO159,2)</f>
        <v/>
      </c>
      <c r="AZ159" s="24">
        <f>ROUND(V159-AF159-AP159,2)</f>
        <v/>
      </c>
      <c r="BA159" s="24">
        <f>ROUND(W159-AG159-AQ159,2)</f>
        <v/>
      </c>
      <c r="BB159" s="24">
        <f>SUM(AR159:BA159)</f>
        <v/>
      </c>
    </row>
    <row r="160">
      <c r="A160" t="n">
        <v>156</v>
      </c>
      <c r="B160" s="23">
        <f>EOMONTH(TODAY(),155)</f>
        <v/>
      </c>
      <c r="C160" s="24">
        <f>MAX(0,(SUM('My Loans'!$E$6:$E$15)+'My Loans'!$D$3)-SUM($X160:$AG160))</f>
        <v/>
      </c>
      <c r="D160" s="24">
        <f>MAX(0,AR159)</f>
        <v/>
      </c>
      <c r="E160" s="24">
        <f>MAX(0,AS159)</f>
        <v/>
      </c>
      <c r="F160" s="24">
        <f>MAX(0,AT159)</f>
        <v/>
      </c>
      <c r="G160" s="24">
        <f>MAX(0,AU159)</f>
        <v/>
      </c>
      <c r="H160" s="24">
        <f>MAX(0,AV159)</f>
        <v/>
      </c>
      <c r="I160" s="24">
        <f>MAX(0,AW159)</f>
        <v/>
      </c>
      <c r="J160" s="24">
        <f>MAX(0,AX159)</f>
        <v/>
      </c>
      <c r="K160" s="24">
        <f>MAX(0,AY159)</f>
        <v/>
      </c>
      <c r="L160" s="24">
        <f>MAX(0,AZ159)</f>
        <v/>
      </c>
      <c r="M160" s="24">
        <f>MAX(0,BA159)</f>
        <v/>
      </c>
      <c r="N160" s="24">
        <f>IF(D160&lt;0.5,0,D160*(1+N('My Loans'!D6)/1200))</f>
        <v/>
      </c>
      <c r="O160" s="24">
        <f>IF(E160&lt;0.5,0,E160*(1+N('My Loans'!D7)/1200))</f>
        <v/>
      </c>
      <c r="P160" s="24">
        <f>IF(F160&lt;0.5,0,F160*(1+N('My Loans'!D8)/1200))</f>
        <v/>
      </c>
      <c r="Q160" s="24">
        <f>IF(G160&lt;0.5,0,G160*(1+N('My Loans'!D9)/1200))</f>
        <v/>
      </c>
      <c r="R160" s="24">
        <f>IF(H160&lt;0.5,0,H160*(1+N('My Loans'!D10)/1200))</f>
        <v/>
      </c>
      <c r="S160" s="24">
        <f>IF(I160&lt;0.5,0,I160*(1+N('My Loans'!D11)/1200))</f>
        <v/>
      </c>
      <c r="T160" s="24">
        <f>IF(J160&lt;0.5,0,J160*(1+N('My Loans'!D12)/1200))</f>
        <v/>
      </c>
      <c r="U160" s="24">
        <f>IF(K160&lt;0.5,0,K160*(1+N('My Loans'!D13)/1200))</f>
        <v/>
      </c>
      <c r="V160" s="24">
        <f>IF(L160&lt;0.5,0,L160*(1+N('My Loans'!D14)/1200))</f>
        <v/>
      </c>
      <c r="W160" s="24">
        <f>IF(M160&lt;0.5,0,M160*(1+N('My Loans'!D15)/1200))</f>
        <v/>
      </c>
      <c r="X160" s="24">
        <f>MIN(N160,N('My Loans'!E6))</f>
        <v/>
      </c>
      <c r="Y160" s="24">
        <f>MIN(O160,N('My Loans'!E7))</f>
        <v/>
      </c>
      <c r="Z160" s="24">
        <f>MIN(P160,N('My Loans'!E8))</f>
        <v/>
      </c>
      <c r="AA160" s="24">
        <f>MIN(Q160,N('My Loans'!E9))</f>
        <v/>
      </c>
      <c r="AB160" s="24">
        <f>MIN(R160,N('My Loans'!E10))</f>
        <v/>
      </c>
      <c r="AC160" s="24">
        <f>MIN(S160,N('My Loans'!E11))</f>
        <v/>
      </c>
      <c r="AD160" s="24">
        <f>MIN(T160,N('My Loans'!E12))</f>
        <v/>
      </c>
      <c r="AE160" s="24">
        <f>MIN(U160,N('My Loans'!E13))</f>
        <v/>
      </c>
      <c r="AF160" s="24">
        <f>MIN(V160,N('My Loans'!E14))</f>
        <v/>
      </c>
      <c r="AG160" s="24">
        <f>MIN(W160,N('My Loans'!E15))</f>
        <v/>
      </c>
      <c r="AH160" s="24">
        <f>MIN(N160-X160,MAX(0,$C160-SUMPRODUCT(($D$3:$M$3&lt;D$3)*($N160:$W160-$X160:$AG160))))</f>
        <v/>
      </c>
      <c r="AI160" s="24">
        <f>MIN(O160-Y160,MAX(0,$C160-SUMPRODUCT(($D$3:$M$3&lt;E$3)*($N160:$W160-$X160:$AG160))))</f>
        <v/>
      </c>
      <c r="AJ160" s="24">
        <f>MIN(P160-Z160,MAX(0,$C160-SUMPRODUCT(($D$3:$M$3&lt;F$3)*($N160:$W160-$X160:$AG160))))</f>
        <v/>
      </c>
      <c r="AK160" s="24">
        <f>MIN(Q160-AA160,MAX(0,$C160-SUMPRODUCT(($D$3:$M$3&lt;G$3)*($N160:$W160-$X160:$AG160))))</f>
        <v/>
      </c>
      <c r="AL160" s="24">
        <f>MIN(R160-AB160,MAX(0,$C160-SUMPRODUCT(($D$3:$M$3&lt;H$3)*($N160:$W160-$X160:$AG160))))</f>
        <v/>
      </c>
      <c r="AM160" s="24">
        <f>MIN(S160-AC160,MAX(0,$C160-SUMPRODUCT(($D$3:$M$3&lt;I$3)*($N160:$W160-$X160:$AG160))))</f>
        <v/>
      </c>
      <c r="AN160" s="24">
        <f>MIN(T160-AD160,MAX(0,$C160-SUMPRODUCT(($D$3:$M$3&lt;J$3)*($N160:$W160-$X160:$AG160))))</f>
        <v/>
      </c>
      <c r="AO160" s="24">
        <f>MIN(U160-AE160,MAX(0,$C160-SUMPRODUCT(($D$3:$M$3&lt;K$3)*($N160:$W160-$X160:$AG160))))</f>
        <v/>
      </c>
      <c r="AP160" s="24">
        <f>MIN(V160-AF160,MAX(0,$C160-SUMPRODUCT(($D$3:$M$3&lt;L$3)*($N160:$W160-$X160:$AG160))))</f>
        <v/>
      </c>
      <c r="AQ160" s="24">
        <f>MIN(W160-AG160,MAX(0,$C160-SUMPRODUCT(($D$3:$M$3&lt;M$3)*($N160:$W160-$X160:$AG160))))</f>
        <v/>
      </c>
      <c r="AR160" s="24">
        <f>ROUND(N160-X160-AH160,2)</f>
        <v/>
      </c>
      <c r="AS160" s="24">
        <f>ROUND(O160-Y160-AI160,2)</f>
        <v/>
      </c>
      <c r="AT160" s="24">
        <f>ROUND(P160-Z160-AJ160,2)</f>
        <v/>
      </c>
      <c r="AU160" s="24">
        <f>ROUND(Q160-AA160-AK160,2)</f>
        <v/>
      </c>
      <c r="AV160" s="24">
        <f>ROUND(R160-AB160-AL160,2)</f>
        <v/>
      </c>
      <c r="AW160" s="24">
        <f>ROUND(S160-AC160-AM160,2)</f>
        <v/>
      </c>
      <c r="AX160" s="24">
        <f>ROUND(T160-AD160-AN160,2)</f>
        <v/>
      </c>
      <c r="AY160" s="24">
        <f>ROUND(U160-AE160-AO160,2)</f>
        <v/>
      </c>
      <c r="AZ160" s="24">
        <f>ROUND(V160-AF160-AP160,2)</f>
        <v/>
      </c>
      <c r="BA160" s="24">
        <f>ROUND(W160-AG160-AQ160,2)</f>
        <v/>
      </c>
      <c r="BB160" s="24">
        <f>SUM(AR160:BA160)</f>
        <v/>
      </c>
    </row>
    <row r="161">
      <c r="A161" t="n">
        <v>157</v>
      </c>
      <c r="B161" s="23">
        <f>EOMONTH(TODAY(),156)</f>
        <v/>
      </c>
      <c r="C161" s="24">
        <f>MAX(0,(SUM('My Loans'!$E$6:$E$15)+'My Loans'!$D$3)-SUM($X161:$AG161))</f>
        <v/>
      </c>
      <c r="D161" s="24">
        <f>MAX(0,AR160)</f>
        <v/>
      </c>
      <c r="E161" s="24">
        <f>MAX(0,AS160)</f>
        <v/>
      </c>
      <c r="F161" s="24">
        <f>MAX(0,AT160)</f>
        <v/>
      </c>
      <c r="G161" s="24">
        <f>MAX(0,AU160)</f>
        <v/>
      </c>
      <c r="H161" s="24">
        <f>MAX(0,AV160)</f>
        <v/>
      </c>
      <c r="I161" s="24">
        <f>MAX(0,AW160)</f>
        <v/>
      </c>
      <c r="J161" s="24">
        <f>MAX(0,AX160)</f>
        <v/>
      </c>
      <c r="K161" s="24">
        <f>MAX(0,AY160)</f>
        <v/>
      </c>
      <c r="L161" s="24">
        <f>MAX(0,AZ160)</f>
        <v/>
      </c>
      <c r="M161" s="24">
        <f>MAX(0,BA160)</f>
        <v/>
      </c>
      <c r="N161" s="24">
        <f>IF(D161&lt;0.5,0,D161*(1+N('My Loans'!D6)/1200))</f>
        <v/>
      </c>
      <c r="O161" s="24">
        <f>IF(E161&lt;0.5,0,E161*(1+N('My Loans'!D7)/1200))</f>
        <v/>
      </c>
      <c r="P161" s="24">
        <f>IF(F161&lt;0.5,0,F161*(1+N('My Loans'!D8)/1200))</f>
        <v/>
      </c>
      <c r="Q161" s="24">
        <f>IF(G161&lt;0.5,0,G161*(1+N('My Loans'!D9)/1200))</f>
        <v/>
      </c>
      <c r="R161" s="24">
        <f>IF(H161&lt;0.5,0,H161*(1+N('My Loans'!D10)/1200))</f>
        <v/>
      </c>
      <c r="S161" s="24">
        <f>IF(I161&lt;0.5,0,I161*(1+N('My Loans'!D11)/1200))</f>
        <v/>
      </c>
      <c r="T161" s="24">
        <f>IF(J161&lt;0.5,0,J161*(1+N('My Loans'!D12)/1200))</f>
        <v/>
      </c>
      <c r="U161" s="24">
        <f>IF(K161&lt;0.5,0,K161*(1+N('My Loans'!D13)/1200))</f>
        <v/>
      </c>
      <c r="V161" s="24">
        <f>IF(L161&lt;0.5,0,L161*(1+N('My Loans'!D14)/1200))</f>
        <v/>
      </c>
      <c r="W161" s="24">
        <f>IF(M161&lt;0.5,0,M161*(1+N('My Loans'!D15)/1200))</f>
        <v/>
      </c>
      <c r="X161" s="24">
        <f>MIN(N161,N('My Loans'!E6))</f>
        <v/>
      </c>
      <c r="Y161" s="24">
        <f>MIN(O161,N('My Loans'!E7))</f>
        <v/>
      </c>
      <c r="Z161" s="24">
        <f>MIN(P161,N('My Loans'!E8))</f>
        <v/>
      </c>
      <c r="AA161" s="24">
        <f>MIN(Q161,N('My Loans'!E9))</f>
        <v/>
      </c>
      <c r="AB161" s="24">
        <f>MIN(R161,N('My Loans'!E10))</f>
        <v/>
      </c>
      <c r="AC161" s="24">
        <f>MIN(S161,N('My Loans'!E11))</f>
        <v/>
      </c>
      <c r="AD161" s="24">
        <f>MIN(T161,N('My Loans'!E12))</f>
        <v/>
      </c>
      <c r="AE161" s="24">
        <f>MIN(U161,N('My Loans'!E13))</f>
        <v/>
      </c>
      <c r="AF161" s="24">
        <f>MIN(V161,N('My Loans'!E14))</f>
        <v/>
      </c>
      <c r="AG161" s="24">
        <f>MIN(W161,N('My Loans'!E15))</f>
        <v/>
      </c>
      <c r="AH161" s="24">
        <f>MIN(N161-X161,MAX(0,$C161-SUMPRODUCT(($D$3:$M$3&lt;D$3)*($N161:$W161-$X161:$AG161))))</f>
        <v/>
      </c>
      <c r="AI161" s="24">
        <f>MIN(O161-Y161,MAX(0,$C161-SUMPRODUCT(($D$3:$M$3&lt;E$3)*($N161:$W161-$X161:$AG161))))</f>
        <v/>
      </c>
      <c r="AJ161" s="24">
        <f>MIN(P161-Z161,MAX(0,$C161-SUMPRODUCT(($D$3:$M$3&lt;F$3)*($N161:$W161-$X161:$AG161))))</f>
        <v/>
      </c>
      <c r="AK161" s="24">
        <f>MIN(Q161-AA161,MAX(0,$C161-SUMPRODUCT(($D$3:$M$3&lt;G$3)*($N161:$W161-$X161:$AG161))))</f>
        <v/>
      </c>
      <c r="AL161" s="24">
        <f>MIN(R161-AB161,MAX(0,$C161-SUMPRODUCT(($D$3:$M$3&lt;H$3)*($N161:$W161-$X161:$AG161))))</f>
        <v/>
      </c>
      <c r="AM161" s="24">
        <f>MIN(S161-AC161,MAX(0,$C161-SUMPRODUCT(($D$3:$M$3&lt;I$3)*($N161:$W161-$X161:$AG161))))</f>
        <v/>
      </c>
      <c r="AN161" s="24">
        <f>MIN(T161-AD161,MAX(0,$C161-SUMPRODUCT(($D$3:$M$3&lt;J$3)*($N161:$W161-$X161:$AG161))))</f>
        <v/>
      </c>
      <c r="AO161" s="24">
        <f>MIN(U161-AE161,MAX(0,$C161-SUMPRODUCT(($D$3:$M$3&lt;K$3)*($N161:$W161-$X161:$AG161))))</f>
        <v/>
      </c>
      <c r="AP161" s="24">
        <f>MIN(V161-AF161,MAX(0,$C161-SUMPRODUCT(($D$3:$M$3&lt;L$3)*($N161:$W161-$X161:$AG161))))</f>
        <v/>
      </c>
      <c r="AQ161" s="24">
        <f>MIN(W161-AG161,MAX(0,$C161-SUMPRODUCT(($D$3:$M$3&lt;M$3)*($N161:$W161-$X161:$AG161))))</f>
        <v/>
      </c>
      <c r="AR161" s="24">
        <f>ROUND(N161-X161-AH161,2)</f>
        <v/>
      </c>
      <c r="AS161" s="24">
        <f>ROUND(O161-Y161-AI161,2)</f>
        <v/>
      </c>
      <c r="AT161" s="24">
        <f>ROUND(P161-Z161-AJ161,2)</f>
        <v/>
      </c>
      <c r="AU161" s="24">
        <f>ROUND(Q161-AA161-AK161,2)</f>
        <v/>
      </c>
      <c r="AV161" s="24">
        <f>ROUND(R161-AB161-AL161,2)</f>
        <v/>
      </c>
      <c r="AW161" s="24">
        <f>ROUND(S161-AC161-AM161,2)</f>
        <v/>
      </c>
      <c r="AX161" s="24">
        <f>ROUND(T161-AD161-AN161,2)</f>
        <v/>
      </c>
      <c r="AY161" s="24">
        <f>ROUND(U161-AE161-AO161,2)</f>
        <v/>
      </c>
      <c r="AZ161" s="24">
        <f>ROUND(V161-AF161-AP161,2)</f>
        <v/>
      </c>
      <c r="BA161" s="24">
        <f>ROUND(W161-AG161-AQ161,2)</f>
        <v/>
      </c>
      <c r="BB161" s="24">
        <f>SUM(AR161:BA161)</f>
        <v/>
      </c>
    </row>
    <row r="162">
      <c r="A162" t="n">
        <v>158</v>
      </c>
      <c r="B162" s="23">
        <f>EOMONTH(TODAY(),157)</f>
        <v/>
      </c>
      <c r="C162" s="24">
        <f>MAX(0,(SUM('My Loans'!$E$6:$E$15)+'My Loans'!$D$3)-SUM($X162:$AG162))</f>
        <v/>
      </c>
      <c r="D162" s="24">
        <f>MAX(0,AR161)</f>
        <v/>
      </c>
      <c r="E162" s="24">
        <f>MAX(0,AS161)</f>
        <v/>
      </c>
      <c r="F162" s="24">
        <f>MAX(0,AT161)</f>
        <v/>
      </c>
      <c r="G162" s="24">
        <f>MAX(0,AU161)</f>
        <v/>
      </c>
      <c r="H162" s="24">
        <f>MAX(0,AV161)</f>
        <v/>
      </c>
      <c r="I162" s="24">
        <f>MAX(0,AW161)</f>
        <v/>
      </c>
      <c r="J162" s="24">
        <f>MAX(0,AX161)</f>
        <v/>
      </c>
      <c r="K162" s="24">
        <f>MAX(0,AY161)</f>
        <v/>
      </c>
      <c r="L162" s="24">
        <f>MAX(0,AZ161)</f>
        <v/>
      </c>
      <c r="M162" s="24">
        <f>MAX(0,BA161)</f>
        <v/>
      </c>
      <c r="N162" s="24">
        <f>IF(D162&lt;0.5,0,D162*(1+N('My Loans'!D6)/1200))</f>
        <v/>
      </c>
      <c r="O162" s="24">
        <f>IF(E162&lt;0.5,0,E162*(1+N('My Loans'!D7)/1200))</f>
        <v/>
      </c>
      <c r="P162" s="24">
        <f>IF(F162&lt;0.5,0,F162*(1+N('My Loans'!D8)/1200))</f>
        <v/>
      </c>
      <c r="Q162" s="24">
        <f>IF(G162&lt;0.5,0,G162*(1+N('My Loans'!D9)/1200))</f>
        <v/>
      </c>
      <c r="R162" s="24">
        <f>IF(H162&lt;0.5,0,H162*(1+N('My Loans'!D10)/1200))</f>
        <v/>
      </c>
      <c r="S162" s="24">
        <f>IF(I162&lt;0.5,0,I162*(1+N('My Loans'!D11)/1200))</f>
        <v/>
      </c>
      <c r="T162" s="24">
        <f>IF(J162&lt;0.5,0,J162*(1+N('My Loans'!D12)/1200))</f>
        <v/>
      </c>
      <c r="U162" s="24">
        <f>IF(K162&lt;0.5,0,K162*(1+N('My Loans'!D13)/1200))</f>
        <v/>
      </c>
      <c r="V162" s="24">
        <f>IF(L162&lt;0.5,0,L162*(1+N('My Loans'!D14)/1200))</f>
        <v/>
      </c>
      <c r="W162" s="24">
        <f>IF(M162&lt;0.5,0,M162*(1+N('My Loans'!D15)/1200))</f>
        <v/>
      </c>
      <c r="X162" s="24">
        <f>MIN(N162,N('My Loans'!E6))</f>
        <v/>
      </c>
      <c r="Y162" s="24">
        <f>MIN(O162,N('My Loans'!E7))</f>
        <v/>
      </c>
      <c r="Z162" s="24">
        <f>MIN(P162,N('My Loans'!E8))</f>
        <v/>
      </c>
      <c r="AA162" s="24">
        <f>MIN(Q162,N('My Loans'!E9))</f>
        <v/>
      </c>
      <c r="AB162" s="24">
        <f>MIN(R162,N('My Loans'!E10))</f>
        <v/>
      </c>
      <c r="AC162" s="24">
        <f>MIN(S162,N('My Loans'!E11))</f>
        <v/>
      </c>
      <c r="AD162" s="24">
        <f>MIN(T162,N('My Loans'!E12))</f>
        <v/>
      </c>
      <c r="AE162" s="24">
        <f>MIN(U162,N('My Loans'!E13))</f>
        <v/>
      </c>
      <c r="AF162" s="24">
        <f>MIN(V162,N('My Loans'!E14))</f>
        <v/>
      </c>
      <c r="AG162" s="24">
        <f>MIN(W162,N('My Loans'!E15))</f>
        <v/>
      </c>
      <c r="AH162" s="24">
        <f>MIN(N162-X162,MAX(0,$C162-SUMPRODUCT(($D$3:$M$3&lt;D$3)*($N162:$W162-$X162:$AG162))))</f>
        <v/>
      </c>
      <c r="AI162" s="24">
        <f>MIN(O162-Y162,MAX(0,$C162-SUMPRODUCT(($D$3:$M$3&lt;E$3)*($N162:$W162-$X162:$AG162))))</f>
        <v/>
      </c>
      <c r="AJ162" s="24">
        <f>MIN(P162-Z162,MAX(0,$C162-SUMPRODUCT(($D$3:$M$3&lt;F$3)*($N162:$W162-$X162:$AG162))))</f>
        <v/>
      </c>
      <c r="AK162" s="24">
        <f>MIN(Q162-AA162,MAX(0,$C162-SUMPRODUCT(($D$3:$M$3&lt;G$3)*($N162:$W162-$X162:$AG162))))</f>
        <v/>
      </c>
      <c r="AL162" s="24">
        <f>MIN(R162-AB162,MAX(0,$C162-SUMPRODUCT(($D$3:$M$3&lt;H$3)*($N162:$W162-$X162:$AG162))))</f>
        <v/>
      </c>
      <c r="AM162" s="24">
        <f>MIN(S162-AC162,MAX(0,$C162-SUMPRODUCT(($D$3:$M$3&lt;I$3)*($N162:$W162-$X162:$AG162))))</f>
        <v/>
      </c>
      <c r="AN162" s="24">
        <f>MIN(T162-AD162,MAX(0,$C162-SUMPRODUCT(($D$3:$M$3&lt;J$3)*($N162:$W162-$X162:$AG162))))</f>
        <v/>
      </c>
      <c r="AO162" s="24">
        <f>MIN(U162-AE162,MAX(0,$C162-SUMPRODUCT(($D$3:$M$3&lt;K$3)*($N162:$W162-$X162:$AG162))))</f>
        <v/>
      </c>
      <c r="AP162" s="24">
        <f>MIN(V162-AF162,MAX(0,$C162-SUMPRODUCT(($D$3:$M$3&lt;L$3)*($N162:$W162-$X162:$AG162))))</f>
        <v/>
      </c>
      <c r="AQ162" s="24">
        <f>MIN(W162-AG162,MAX(0,$C162-SUMPRODUCT(($D$3:$M$3&lt;M$3)*($N162:$W162-$X162:$AG162))))</f>
        <v/>
      </c>
      <c r="AR162" s="24">
        <f>ROUND(N162-X162-AH162,2)</f>
        <v/>
      </c>
      <c r="AS162" s="24">
        <f>ROUND(O162-Y162-AI162,2)</f>
        <v/>
      </c>
      <c r="AT162" s="24">
        <f>ROUND(P162-Z162-AJ162,2)</f>
        <v/>
      </c>
      <c r="AU162" s="24">
        <f>ROUND(Q162-AA162-AK162,2)</f>
        <v/>
      </c>
      <c r="AV162" s="24">
        <f>ROUND(R162-AB162-AL162,2)</f>
        <v/>
      </c>
      <c r="AW162" s="24">
        <f>ROUND(S162-AC162-AM162,2)</f>
        <v/>
      </c>
      <c r="AX162" s="24">
        <f>ROUND(T162-AD162-AN162,2)</f>
        <v/>
      </c>
      <c r="AY162" s="24">
        <f>ROUND(U162-AE162-AO162,2)</f>
        <v/>
      </c>
      <c r="AZ162" s="24">
        <f>ROUND(V162-AF162-AP162,2)</f>
        <v/>
      </c>
      <c r="BA162" s="24">
        <f>ROUND(W162-AG162-AQ162,2)</f>
        <v/>
      </c>
      <c r="BB162" s="24">
        <f>SUM(AR162:BA162)</f>
        <v/>
      </c>
    </row>
    <row r="163">
      <c r="A163" t="n">
        <v>159</v>
      </c>
      <c r="B163" s="23">
        <f>EOMONTH(TODAY(),158)</f>
        <v/>
      </c>
      <c r="C163" s="24">
        <f>MAX(0,(SUM('My Loans'!$E$6:$E$15)+'My Loans'!$D$3)-SUM($X163:$AG163))</f>
        <v/>
      </c>
      <c r="D163" s="24">
        <f>MAX(0,AR162)</f>
        <v/>
      </c>
      <c r="E163" s="24">
        <f>MAX(0,AS162)</f>
        <v/>
      </c>
      <c r="F163" s="24">
        <f>MAX(0,AT162)</f>
        <v/>
      </c>
      <c r="G163" s="24">
        <f>MAX(0,AU162)</f>
        <v/>
      </c>
      <c r="H163" s="24">
        <f>MAX(0,AV162)</f>
        <v/>
      </c>
      <c r="I163" s="24">
        <f>MAX(0,AW162)</f>
        <v/>
      </c>
      <c r="J163" s="24">
        <f>MAX(0,AX162)</f>
        <v/>
      </c>
      <c r="K163" s="24">
        <f>MAX(0,AY162)</f>
        <v/>
      </c>
      <c r="L163" s="24">
        <f>MAX(0,AZ162)</f>
        <v/>
      </c>
      <c r="M163" s="24">
        <f>MAX(0,BA162)</f>
        <v/>
      </c>
      <c r="N163" s="24">
        <f>IF(D163&lt;0.5,0,D163*(1+N('My Loans'!D6)/1200))</f>
        <v/>
      </c>
      <c r="O163" s="24">
        <f>IF(E163&lt;0.5,0,E163*(1+N('My Loans'!D7)/1200))</f>
        <v/>
      </c>
      <c r="P163" s="24">
        <f>IF(F163&lt;0.5,0,F163*(1+N('My Loans'!D8)/1200))</f>
        <v/>
      </c>
      <c r="Q163" s="24">
        <f>IF(G163&lt;0.5,0,G163*(1+N('My Loans'!D9)/1200))</f>
        <v/>
      </c>
      <c r="R163" s="24">
        <f>IF(H163&lt;0.5,0,H163*(1+N('My Loans'!D10)/1200))</f>
        <v/>
      </c>
      <c r="S163" s="24">
        <f>IF(I163&lt;0.5,0,I163*(1+N('My Loans'!D11)/1200))</f>
        <v/>
      </c>
      <c r="T163" s="24">
        <f>IF(J163&lt;0.5,0,J163*(1+N('My Loans'!D12)/1200))</f>
        <v/>
      </c>
      <c r="U163" s="24">
        <f>IF(K163&lt;0.5,0,K163*(1+N('My Loans'!D13)/1200))</f>
        <v/>
      </c>
      <c r="V163" s="24">
        <f>IF(L163&lt;0.5,0,L163*(1+N('My Loans'!D14)/1200))</f>
        <v/>
      </c>
      <c r="W163" s="24">
        <f>IF(M163&lt;0.5,0,M163*(1+N('My Loans'!D15)/1200))</f>
        <v/>
      </c>
      <c r="X163" s="24">
        <f>MIN(N163,N('My Loans'!E6))</f>
        <v/>
      </c>
      <c r="Y163" s="24">
        <f>MIN(O163,N('My Loans'!E7))</f>
        <v/>
      </c>
      <c r="Z163" s="24">
        <f>MIN(P163,N('My Loans'!E8))</f>
        <v/>
      </c>
      <c r="AA163" s="24">
        <f>MIN(Q163,N('My Loans'!E9))</f>
        <v/>
      </c>
      <c r="AB163" s="24">
        <f>MIN(R163,N('My Loans'!E10))</f>
        <v/>
      </c>
      <c r="AC163" s="24">
        <f>MIN(S163,N('My Loans'!E11))</f>
        <v/>
      </c>
      <c r="AD163" s="24">
        <f>MIN(T163,N('My Loans'!E12))</f>
        <v/>
      </c>
      <c r="AE163" s="24">
        <f>MIN(U163,N('My Loans'!E13))</f>
        <v/>
      </c>
      <c r="AF163" s="24">
        <f>MIN(V163,N('My Loans'!E14))</f>
        <v/>
      </c>
      <c r="AG163" s="24">
        <f>MIN(W163,N('My Loans'!E15))</f>
        <v/>
      </c>
      <c r="AH163" s="24">
        <f>MIN(N163-X163,MAX(0,$C163-SUMPRODUCT(($D$3:$M$3&lt;D$3)*($N163:$W163-$X163:$AG163))))</f>
        <v/>
      </c>
      <c r="AI163" s="24">
        <f>MIN(O163-Y163,MAX(0,$C163-SUMPRODUCT(($D$3:$M$3&lt;E$3)*($N163:$W163-$X163:$AG163))))</f>
        <v/>
      </c>
      <c r="AJ163" s="24">
        <f>MIN(P163-Z163,MAX(0,$C163-SUMPRODUCT(($D$3:$M$3&lt;F$3)*($N163:$W163-$X163:$AG163))))</f>
        <v/>
      </c>
      <c r="AK163" s="24">
        <f>MIN(Q163-AA163,MAX(0,$C163-SUMPRODUCT(($D$3:$M$3&lt;G$3)*($N163:$W163-$X163:$AG163))))</f>
        <v/>
      </c>
      <c r="AL163" s="24">
        <f>MIN(R163-AB163,MAX(0,$C163-SUMPRODUCT(($D$3:$M$3&lt;H$3)*($N163:$W163-$X163:$AG163))))</f>
        <v/>
      </c>
      <c r="AM163" s="24">
        <f>MIN(S163-AC163,MAX(0,$C163-SUMPRODUCT(($D$3:$M$3&lt;I$3)*($N163:$W163-$X163:$AG163))))</f>
        <v/>
      </c>
      <c r="AN163" s="24">
        <f>MIN(T163-AD163,MAX(0,$C163-SUMPRODUCT(($D$3:$M$3&lt;J$3)*($N163:$W163-$X163:$AG163))))</f>
        <v/>
      </c>
      <c r="AO163" s="24">
        <f>MIN(U163-AE163,MAX(0,$C163-SUMPRODUCT(($D$3:$M$3&lt;K$3)*($N163:$W163-$X163:$AG163))))</f>
        <v/>
      </c>
      <c r="AP163" s="24">
        <f>MIN(V163-AF163,MAX(0,$C163-SUMPRODUCT(($D$3:$M$3&lt;L$3)*($N163:$W163-$X163:$AG163))))</f>
        <v/>
      </c>
      <c r="AQ163" s="24">
        <f>MIN(W163-AG163,MAX(0,$C163-SUMPRODUCT(($D$3:$M$3&lt;M$3)*($N163:$W163-$X163:$AG163))))</f>
        <v/>
      </c>
      <c r="AR163" s="24">
        <f>ROUND(N163-X163-AH163,2)</f>
        <v/>
      </c>
      <c r="AS163" s="24">
        <f>ROUND(O163-Y163-AI163,2)</f>
        <v/>
      </c>
      <c r="AT163" s="24">
        <f>ROUND(P163-Z163-AJ163,2)</f>
        <v/>
      </c>
      <c r="AU163" s="24">
        <f>ROUND(Q163-AA163-AK163,2)</f>
        <v/>
      </c>
      <c r="AV163" s="24">
        <f>ROUND(R163-AB163-AL163,2)</f>
        <v/>
      </c>
      <c r="AW163" s="24">
        <f>ROUND(S163-AC163-AM163,2)</f>
        <v/>
      </c>
      <c r="AX163" s="24">
        <f>ROUND(T163-AD163-AN163,2)</f>
        <v/>
      </c>
      <c r="AY163" s="24">
        <f>ROUND(U163-AE163-AO163,2)</f>
        <v/>
      </c>
      <c r="AZ163" s="24">
        <f>ROUND(V163-AF163-AP163,2)</f>
        <v/>
      </c>
      <c r="BA163" s="24">
        <f>ROUND(W163-AG163-AQ163,2)</f>
        <v/>
      </c>
      <c r="BB163" s="24">
        <f>SUM(AR163:BA163)</f>
        <v/>
      </c>
    </row>
    <row r="164">
      <c r="A164" t="n">
        <v>160</v>
      </c>
      <c r="B164" s="23">
        <f>EOMONTH(TODAY(),159)</f>
        <v/>
      </c>
      <c r="C164" s="24">
        <f>MAX(0,(SUM('My Loans'!$E$6:$E$15)+'My Loans'!$D$3)-SUM($X164:$AG164))</f>
        <v/>
      </c>
      <c r="D164" s="24">
        <f>MAX(0,AR163)</f>
        <v/>
      </c>
      <c r="E164" s="24">
        <f>MAX(0,AS163)</f>
        <v/>
      </c>
      <c r="F164" s="24">
        <f>MAX(0,AT163)</f>
        <v/>
      </c>
      <c r="G164" s="24">
        <f>MAX(0,AU163)</f>
        <v/>
      </c>
      <c r="H164" s="24">
        <f>MAX(0,AV163)</f>
        <v/>
      </c>
      <c r="I164" s="24">
        <f>MAX(0,AW163)</f>
        <v/>
      </c>
      <c r="J164" s="24">
        <f>MAX(0,AX163)</f>
        <v/>
      </c>
      <c r="K164" s="24">
        <f>MAX(0,AY163)</f>
        <v/>
      </c>
      <c r="L164" s="24">
        <f>MAX(0,AZ163)</f>
        <v/>
      </c>
      <c r="M164" s="24">
        <f>MAX(0,BA163)</f>
        <v/>
      </c>
      <c r="N164" s="24">
        <f>IF(D164&lt;0.5,0,D164*(1+N('My Loans'!D6)/1200))</f>
        <v/>
      </c>
      <c r="O164" s="24">
        <f>IF(E164&lt;0.5,0,E164*(1+N('My Loans'!D7)/1200))</f>
        <v/>
      </c>
      <c r="P164" s="24">
        <f>IF(F164&lt;0.5,0,F164*(1+N('My Loans'!D8)/1200))</f>
        <v/>
      </c>
      <c r="Q164" s="24">
        <f>IF(G164&lt;0.5,0,G164*(1+N('My Loans'!D9)/1200))</f>
        <v/>
      </c>
      <c r="R164" s="24">
        <f>IF(H164&lt;0.5,0,H164*(1+N('My Loans'!D10)/1200))</f>
        <v/>
      </c>
      <c r="S164" s="24">
        <f>IF(I164&lt;0.5,0,I164*(1+N('My Loans'!D11)/1200))</f>
        <v/>
      </c>
      <c r="T164" s="24">
        <f>IF(J164&lt;0.5,0,J164*(1+N('My Loans'!D12)/1200))</f>
        <v/>
      </c>
      <c r="U164" s="24">
        <f>IF(K164&lt;0.5,0,K164*(1+N('My Loans'!D13)/1200))</f>
        <v/>
      </c>
      <c r="V164" s="24">
        <f>IF(L164&lt;0.5,0,L164*(1+N('My Loans'!D14)/1200))</f>
        <v/>
      </c>
      <c r="W164" s="24">
        <f>IF(M164&lt;0.5,0,M164*(1+N('My Loans'!D15)/1200))</f>
        <v/>
      </c>
      <c r="X164" s="24">
        <f>MIN(N164,N('My Loans'!E6))</f>
        <v/>
      </c>
      <c r="Y164" s="24">
        <f>MIN(O164,N('My Loans'!E7))</f>
        <v/>
      </c>
      <c r="Z164" s="24">
        <f>MIN(P164,N('My Loans'!E8))</f>
        <v/>
      </c>
      <c r="AA164" s="24">
        <f>MIN(Q164,N('My Loans'!E9))</f>
        <v/>
      </c>
      <c r="AB164" s="24">
        <f>MIN(R164,N('My Loans'!E10))</f>
        <v/>
      </c>
      <c r="AC164" s="24">
        <f>MIN(S164,N('My Loans'!E11))</f>
        <v/>
      </c>
      <c r="AD164" s="24">
        <f>MIN(T164,N('My Loans'!E12))</f>
        <v/>
      </c>
      <c r="AE164" s="24">
        <f>MIN(U164,N('My Loans'!E13))</f>
        <v/>
      </c>
      <c r="AF164" s="24">
        <f>MIN(V164,N('My Loans'!E14))</f>
        <v/>
      </c>
      <c r="AG164" s="24">
        <f>MIN(W164,N('My Loans'!E15))</f>
        <v/>
      </c>
      <c r="AH164" s="24">
        <f>MIN(N164-X164,MAX(0,$C164-SUMPRODUCT(($D$3:$M$3&lt;D$3)*($N164:$W164-$X164:$AG164))))</f>
        <v/>
      </c>
      <c r="AI164" s="24">
        <f>MIN(O164-Y164,MAX(0,$C164-SUMPRODUCT(($D$3:$M$3&lt;E$3)*($N164:$W164-$X164:$AG164))))</f>
        <v/>
      </c>
      <c r="AJ164" s="24">
        <f>MIN(P164-Z164,MAX(0,$C164-SUMPRODUCT(($D$3:$M$3&lt;F$3)*($N164:$W164-$X164:$AG164))))</f>
        <v/>
      </c>
      <c r="AK164" s="24">
        <f>MIN(Q164-AA164,MAX(0,$C164-SUMPRODUCT(($D$3:$M$3&lt;G$3)*($N164:$W164-$X164:$AG164))))</f>
        <v/>
      </c>
      <c r="AL164" s="24">
        <f>MIN(R164-AB164,MAX(0,$C164-SUMPRODUCT(($D$3:$M$3&lt;H$3)*($N164:$W164-$X164:$AG164))))</f>
        <v/>
      </c>
      <c r="AM164" s="24">
        <f>MIN(S164-AC164,MAX(0,$C164-SUMPRODUCT(($D$3:$M$3&lt;I$3)*($N164:$W164-$X164:$AG164))))</f>
        <v/>
      </c>
      <c r="AN164" s="24">
        <f>MIN(T164-AD164,MAX(0,$C164-SUMPRODUCT(($D$3:$M$3&lt;J$3)*($N164:$W164-$X164:$AG164))))</f>
        <v/>
      </c>
      <c r="AO164" s="24">
        <f>MIN(U164-AE164,MAX(0,$C164-SUMPRODUCT(($D$3:$M$3&lt;K$3)*($N164:$W164-$X164:$AG164))))</f>
        <v/>
      </c>
      <c r="AP164" s="24">
        <f>MIN(V164-AF164,MAX(0,$C164-SUMPRODUCT(($D$3:$M$3&lt;L$3)*($N164:$W164-$X164:$AG164))))</f>
        <v/>
      </c>
      <c r="AQ164" s="24">
        <f>MIN(W164-AG164,MAX(0,$C164-SUMPRODUCT(($D$3:$M$3&lt;M$3)*($N164:$W164-$X164:$AG164))))</f>
        <v/>
      </c>
      <c r="AR164" s="24">
        <f>ROUND(N164-X164-AH164,2)</f>
        <v/>
      </c>
      <c r="AS164" s="24">
        <f>ROUND(O164-Y164-AI164,2)</f>
        <v/>
      </c>
      <c r="AT164" s="24">
        <f>ROUND(P164-Z164-AJ164,2)</f>
        <v/>
      </c>
      <c r="AU164" s="24">
        <f>ROUND(Q164-AA164-AK164,2)</f>
        <v/>
      </c>
      <c r="AV164" s="24">
        <f>ROUND(R164-AB164-AL164,2)</f>
        <v/>
      </c>
      <c r="AW164" s="24">
        <f>ROUND(S164-AC164-AM164,2)</f>
        <v/>
      </c>
      <c r="AX164" s="24">
        <f>ROUND(T164-AD164-AN164,2)</f>
        <v/>
      </c>
      <c r="AY164" s="24">
        <f>ROUND(U164-AE164-AO164,2)</f>
        <v/>
      </c>
      <c r="AZ164" s="24">
        <f>ROUND(V164-AF164-AP164,2)</f>
        <v/>
      </c>
      <c r="BA164" s="24">
        <f>ROUND(W164-AG164-AQ164,2)</f>
        <v/>
      </c>
      <c r="BB164" s="24">
        <f>SUM(AR164:BA164)</f>
        <v/>
      </c>
    </row>
    <row r="165">
      <c r="A165" t="n">
        <v>161</v>
      </c>
      <c r="B165" s="23">
        <f>EOMONTH(TODAY(),160)</f>
        <v/>
      </c>
      <c r="C165" s="24">
        <f>MAX(0,(SUM('My Loans'!$E$6:$E$15)+'My Loans'!$D$3)-SUM($X165:$AG165))</f>
        <v/>
      </c>
      <c r="D165" s="24">
        <f>MAX(0,AR164)</f>
        <v/>
      </c>
      <c r="E165" s="24">
        <f>MAX(0,AS164)</f>
        <v/>
      </c>
      <c r="F165" s="24">
        <f>MAX(0,AT164)</f>
        <v/>
      </c>
      <c r="G165" s="24">
        <f>MAX(0,AU164)</f>
        <v/>
      </c>
      <c r="H165" s="24">
        <f>MAX(0,AV164)</f>
        <v/>
      </c>
      <c r="I165" s="24">
        <f>MAX(0,AW164)</f>
        <v/>
      </c>
      <c r="J165" s="24">
        <f>MAX(0,AX164)</f>
        <v/>
      </c>
      <c r="K165" s="24">
        <f>MAX(0,AY164)</f>
        <v/>
      </c>
      <c r="L165" s="24">
        <f>MAX(0,AZ164)</f>
        <v/>
      </c>
      <c r="M165" s="24">
        <f>MAX(0,BA164)</f>
        <v/>
      </c>
      <c r="N165" s="24">
        <f>IF(D165&lt;0.5,0,D165*(1+N('My Loans'!D6)/1200))</f>
        <v/>
      </c>
      <c r="O165" s="24">
        <f>IF(E165&lt;0.5,0,E165*(1+N('My Loans'!D7)/1200))</f>
        <v/>
      </c>
      <c r="P165" s="24">
        <f>IF(F165&lt;0.5,0,F165*(1+N('My Loans'!D8)/1200))</f>
        <v/>
      </c>
      <c r="Q165" s="24">
        <f>IF(G165&lt;0.5,0,G165*(1+N('My Loans'!D9)/1200))</f>
        <v/>
      </c>
      <c r="R165" s="24">
        <f>IF(H165&lt;0.5,0,H165*(1+N('My Loans'!D10)/1200))</f>
        <v/>
      </c>
      <c r="S165" s="24">
        <f>IF(I165&lt;0.5,0,I165*(1+N('My Loans'!D11)/1200))</f>
        <v/>
      </c>
      <c r="T165" s="24">
        <f>IF(J165&lt;0.5,0,J165*(1+N('My Loans'!D12)/1200))</f>
        <v/>
      </c>
      <c r="U165" s="24">
        <f>IF(K165&lt;0.5,0,K165*(1+N('My Loans'!D13)/1200))</f>
        <v/>
      </c>
      <c r="V165" s="24">
        <f>IF(L165&lt;0.5,0,L165*(1+N('My Loans'!D14)/1200))</f>
        <v/>
      </c>
      <c r="W165" s="24">
        <f>IF(M165&lt;0.5,0,M165*(1+N('My Loans'!D15)/1200))</f>
        <v/>
      </c>
      <c r="X165" s="24">
        <f>MIN(N165,N('My Loans'!E6))</f>
        <v/>
      </c>
      <c r="Y165" s="24">
        <f>MIN(O165,N('My Loans'!E7))</f>
        <v/>
      </c>
      <c r="Z165" s="24">
        <f>MIN(P165,N('My Loans'!E8))</f>
        <v/>
      </c>
      <c r="AA165" s="24">
        <f>MIN(Q165,N('My Loans'!E9))</f>
        <v/>
      </c>
      <c r="AB165" s="24">
        <f>MIN(R165,N('My Loans'!E10))</f>
        <v/>
      </c>
      <c r="AC165" s="24">
        <f>MIN(S165,N('My Loans'!E11))</f>
        <v/>
      </c>
      <c r="AD165" s="24">
        <f>MIN(T165,N('My Loans'!E12))</f>
        <v/>
      </c>
      <c r="AE165" s="24">
        <f>MIN(U165,N('My Loans'!E13))</f>
        <v/>
      </c>
      <c r="AF165" s="24">
        <f>MIN(V165,N('My Loans'!E14))</f>
        <v/>
      </c>
      <c r="AG165" s="24">
        <f>MIN(W165,N('My Loans'!E15))</f>
        <v/>
      </c>
      <c r="AH165" s="24">
        <f>MIN(N165-X165,MAX(0,$C165-SUMPRODUCT(($D$3:$M$3&lt;D$3)*($N165:$W165-$X165:$AG165))))</f>
        <v/>
      </c>
      <c r="AI165" s="24">
        <f>MIN(O165-Y165,MAX(0,$C165-SUMPRODUCT(($D$3:$M$3&lt;E$3)*($N165:$W165-$X165:$AG165))))</f>
        <v/>
      </c>
      <c r="AJ165" s="24">
        <f>MIN(P165-Z165,MAX(0,$C165-SUMPRODUCT(($D$3:$M$3&lt;F$3)*($N165:$W165-$X165:$AG165))))</f>
        <v/>
      </c>
      <c r="AK165" s="24">
        <f>MIN(Q165-AA165,MAX(0,$C165-SUMPRODUCT(($D$3:$M$3&lt;G$3)*($N165:$W165-$X165:$AG165))))</f>
        <v/>
      </c>
      <c r="AL165" s="24">
        <f>MIN(R165-AB165,MAX(0,$C165-SUMPRODUCT(($D$3:$M$3&lt;H$3)*($N165:$W165-$X165:$AG165))))</f>
        <v/>
      </c>
      <c r="AM165" s="24">
        <f>MIN(S165-AC165,MAX(0,$C165-SUMPRODUCT(($D$3:$M$3&lt;I$3)*($N165:$W165-$X165:$AG165))))</f>
        <v/>
      </c>
      <c r="AN165" s="24">
        <f>MIN(T165-AD165,MAX(0,$C165-SUMPRODUCT(($D$3:$M$3&lt;J$3)*($N165:$W165-$X165:$AG165))))</f>
        <v/>
      </c>
      <c r="AO165" s="24">
        <f>MIN(U165-AE165,MAX(0,$C165-SUMPRODUCT(($D$3:$M$3&lt;K$3)*($N165:$W165-$X165:$AG165))))</f>
        <v/>
      </c>
      <c r="AP165" s="24">
        <f>MIN(V165-AF165,MAX(0,$C165-SUMPRODUCT(($D$3:$M$3&lt;L$3)*($N165:$W165-$X165:$AG165))))</f>
        <v/>
      </c>
      <c r="AQ165" s="24">
        <f>MIN(W165-AG165,MAX(0,$C165-SUMPRODUCT(($D$3:$M$3&lt;M$3)*($N165:$W165-$X165:$AG165))))</f>
        <v/>
      </c>
      <c r="AR165" s="24">
        <f>ROUND(N165-X165-AH165,2)</f>
        <v/>
      </c>
      <c r="AS165" s="24">
        <f>ROUND(O165-Y165-AI165,2)</f>
        <v/>
      </c>
      <c r="AT165" s="24">
        <f>ROUND(P165-Z165-AJ165,2)</f>
        <v/>
      </c>
      <c r="AU165" s="24">
        <f>ROUND(Q165-AA165-AK165,2)</f>
        <v/>
      </c>
      <c r="AV165" s="24">
        <f>ROUND(R165-AB165-AL165,2)</f>
        <v/>
      </c>
      <c r="AW165" s="24">
        <f>ROUND(S165-AC165-AM165,2)</f>
        <v/>
      </c>
      <c r="AX165" s="24">
        <f>ROUND(T165-AD165-AN165,2)</f>
        <v/>
      </c>
      <c r="AY165" s="24">
        <f>ROUND(U165-AE165-AO165,2)</f>
        <v/>
      </c>
      <c r="AZ165" s="24">
        <f>ROUND(V165-AF165-AP165,2)</f>
        <v/>
      </c>
      <c r="BA165" s="24">
        <f>ROUND(W165-AG165-AQ165,2)</f>
        <v/>
      </c>
      <c r="BB165" s="24">
        <f>SUM(AR165:BA165)</f>
        <v/>
      </c>
    </row>
    <row r="166">
      <c r="A166" t="n">
        <v>162</v>
      </c>
      <c r="B166" s="23">
        <f>EOMONTH(TODAY(),161)</f>
        <v/>
      </c>
      <c r="C166" s="24">
        <f>MAX(0,(SUM('My Loans'!$E$6:$E$15)+'My Loans'!$D$3)-SUM($X166:$AG166))</f>
        <v/>
      </c>
      <c r="D166" s="24">
        <f>MAX(0,AR165)</f>
        <v/>
      </c>
      <c r="E166" s="24">
        <f>MAX(0,AS165)</f>
        <v/>
      </c>
      <c r="F166" s="24">
        <f>MAX(0,AT165)</f>
        <v/>
      </c>
      <c r="G166" s="24">
        <f>MAX(0,AU165)</f>
        <v/>
      </c>
      <c r="H166" s="24">
        <f>MAX(0,AV165)</f>
        <v/>
      </c>
      <c r="I166" s="24">
        <f>MAX(0,AW165)</f>
        <v/>
      </c>
      <c r="J166" s="24">
        <f>MAX(0,AX165)</f>
        <v/>
      </c>
      <c r="K166" s="24">
        <f>MAX(0,AY165)</f>
        <v/>
      </c>
      <c r="L166" s="24">
        <f>MAX(0,AZ165)</f>
        <v/>
      </c>
      <c r="M166" s="24">
        <f>MAX(0,BA165)</f>
        <v/>
      </c>
      <c r="N166" s="24">
        <f>IF(D166&lt;0.5,0,D166*(1+N('My Loans'!D6)/1200))</f>
        <v/>
      </c>
      <c r="O166" s="24">
        <f>IF(E166&lt;0.5,0,E166*(1+N('My Loans'!D7)/1200))</f>
        <v/>
      </c>
      <c r="P166" s="24">
        <f>IF(F166&lt;0.5,0,F166*(1+N('My Loans'!D8)/1200))</f>
        <v/>
      </c>
      <c r="Q166" s="24">
        <f>IF(G166&lt;0.5,0,G166*(1+N('My Loans'!D9)/1200))</f>
        <v/>
      </c>
      <c r="R166" s="24">
        <f>IF(H166&lt;0.5,0,H166*(1+N('My Loans'!D10)/1200))</f>
        <v/>
      </c>
      <c r="S166" s="24">
        <f>IF(I166&lt;0.5,0,I166*(1+N('My Loans'!D11)/1200))</f>
        <v/>
      </c>
      <c r="T166" s="24">
        <f>IF(J166&lt;0.5,0,J166*(1+N('My Loans'!D12)/1200))</f>
        <v/>
      </c>
      <c r="U166" s="24">
        <f>IF(K166&lt;0.5,0,K166*(1+N('My Loans'!D13)/1200))</f>
        <v/>
      </c>
      <c r="V166" s="24">
        <f>IF(L166&lt;0.5,0,L166*(1+N('My Loans'!D14)/1200))</f>
        <v/>
      </c>
      <c r="W166" s="24">
        <f>IF(M166&lt;0.5,0,M166*(1+N('My Loans'!D15)/1200))</f>
        <v/>
      </c>
      <c r="X166" s="24">
        <f>MIN(N166,N('My Loans'!E6))</f>
        <v/>
      </c>
      <c r="Y166" s="24">
        <f>MIN(O166,N('My Loans'!E7))</f>
        <v/>
      </c>
      <c r="Z166" s="24">
        <f>MIN(P166,N('My Loans'!E8))</f>
        <v/>
      </c>
      <c r="AA166" s="24">
        <f>MIN(Q166,N('My Loans'!E9))</f>
        <v/>
      </c>
      <c r="AB166" s="24">
        <f>MIN(R166,N('My Loans'!E10))</f>
        <v/>
      </c>
      <c r="AC166" s="24">
        <f>MIN(S166,N('My Loans'!E11))</f>
        <v/>
      </c>
      <c r="AD166" s="24">
        <f>MIN(T166,N('My Loans'!E12))</f>
        <v/>
      </c>
      <c r="AE166" s="24">
        <f>MIN(U166,N('My Loans'!E13))</f>
        <v/>
      </c>
      <c r="AF166" s="24">
        <f>MIN(V166,N('My Loans'!E14))</f>
        <v/>
      </c>
      <c r="AG166" s="24">
        <f>MIN(W166,N('My Loans'!E15))</f>
        <v/>
      </c>
      <c r="AH166" s="24">
        <f>MIN(N166-X166,MAX(0,$C166-SUMPRODUCT(($D$3:$M$3&lt;D$3)*($N166:$W166-$X166:$AG166))))</f>
        <v/>
      </c>
      <c r="AI166" s="24">
        <f>MIN(O166-Y166,MAX(0,$C166-SUMPRODUCT(($D$3:$M$3&lt;E$3)*($N166:$W166-$X166:$AG166))))</f>
        <v/>
      </c>
      <c r="AJ166" s="24">
        <f>MIN(P166-Z166,MAX(0,$C166-SUMPRODUCT(($D$3:$M$3&lt;F$3)*($N166:$W166-$X166:$AG166))))</f>
        <v/>
      </c>
      <c r="AK166" s="24">
        <f>MIN(Q166-AA166,MAX(0,$C166-SUMPRODUCT(($D$3:$M$3&lt;G$3)*($N166:$W166-$X166:$AG166))))</f>
        <v/>
      </c>
      <c r="AL166" s="24">
        <f>MIN(R166-AB166,MAX(0,$C166-SUMPRODUCT(($D$3:$M$3&lt;H$3)*($N166:$W166-$X166:$AG166))))</f>
        <v/>
      </c>
      <c r="AM166" s="24">
        <f>MIN(S166-AC166,MAX(0,$C166-SUMPRODUCT(($D$3:$M$3&lt;I$3)*($N166:$W166-$X166:$AG166))))</f>
        <v/>
      </c>
      <c r="AN166" s="24">
        <f>MIN(T166-AD166,MAX(0,$C166-SUMPRODUCT(($D$3:$M$3&lt;J$3)*($N166:$W166-$X166:$AG166))))</f>
        <v/>
      </c>
      <c r="AO166" s="24">
        <f>MIN(U166-AE166,MAX(0,$C166-SUMPRODUCT(($D$3:$M$3&lt;K$3)*($N166:$W166-$X166:$AG166))))</f>
        <v/>
      </c>
      <c r="AP166" s="24">
        <f>MIN(V166-AF166,MAX(0,$C166-SUMPRODUCT(($D$3:$M$3&lt;L$3)*($N166:$W166-$X166:$AG166))))</f>
        <v/>
      </c>
      <c r="AQ166" s="24">
        <f>MIN(W166-AG166,MAX(0,$C166-SUMPRODUCT(($D$3:$M$3&lt;M$3)*($N166:$W166-$X166:$AG166))))</f>
        <v/>
      </c>
      <c r="AR166" s="24">
        <f>ROUND(N166-X166-AH166,2)</f>
        <v/>
      </c>
      <c r="AS166" s="24">
        <f>ROUND(O166-Y166-AI166,2)</f>
        <v/>
      </c>
      <c r="AT166" s="24">
        <f>ROUND(P166-Z166-AJ166,2)</f>
        <v/>
      </c>
      <c r="AU166" s="24">
        <f>ROUND(Q166-AA166-AK166,2)</f>
        <v/>
      </c>
      <c r="AV166" s="24">
        <f>ROUND(R166-AB166-AL166,2)</f>
        <v/>
      </c>
      <c r="AW166" s="24">
        <f>ROUND(S166-AC166-AM166,2)</f>
        <v/>
      </c>
      <c r="AX166" s="24">
        <f>ROUND(T166-AD166-AN166,2)</f>
        <v/>
      </c>
      <c r="AY166" s="24">
        <f>ROUND(U166-AE166-AO166,2)</f>
        <v/>
      </c>
      <c r="AZ166" s="24">
        <f>ROUND(V166-AF166-AP166,2)</f>
        <v/>
      </c>
      <c r="BA166" s="24">
        <f>ROUND(W166-AG166-AQ166,2)</f>
        <v/>
      </c>
      <c r="BB166" s="24">
        <f>SUM(AR166:BA166)</f>
        <v/>
      </c>
    </row>
    <row r="167">
      <c r="A167" t="n">
        <v>163</v>
      </c>
      <c r="B167" s="23">
        <f>EOMONTH(TODAY(),162)</f>
        <v/>
      </c>
      <c r="C167" s="24">
        <f>MAX(0,(SUM('My Loans'!$E$6:$E$15)+'My Loans'!$D$3)-SUM($X167:$AG167))</f>
        <v/>
      </c>
      <c r="D167" s="24">
        <f>MAX(0,AR166)</f>
        <v/>
      </c>
      <c r="E167" s="24">
        <f>MAX(0,AS166)</f>
        <v/>
      </c>
      <c r="F167" s="24">
        <f>MAX(0,AT166)</f>
        <v/>
      </c>
      <c r="G167" s="24">
        <f>MAX(0,AU166)</f>
        <v/>
      </c>
      <c r="H167" s="24">
        <f>MAX(0,AV166)</f>
        <v/>
      </c>
      <c r="I167" s="24">
        <f>MAX(0,AW166)</f>
        <v/>
      </c>
      <c r="J167" s="24">
        <f>MAX(0,AX166)</f>
        <v/>
      </c>
      <c r="K167" s="24">
        <f>MAX(0,AY166)</f>
        <v/>
      </c>
      <c r="L167" s="24">
        <f>MAX(0,AZ166)</f>
        <v/>
      </c>
      <c r="M167" s="24">
        <f>MAX(0,BA166)</f>
        <v/>
      </c>
      <c r="N167" s="24">
        <f>IF(D167&lt;0.5,0,D167*(1+N('My Loans'!D6)/1200))</f>
        <v/>
      </c>
      <c r="O167" s="24">
        <f>IF(E167&lt;0.5,0,E167*(1+N('My Loans'!D7)/1200))</f>
        <v/>
      </c>
      <c r="P167" s="24">
        <f>IF(F167&lt;0.5,0,F167*(1+N('My Loans'!D8)/1200))</f>
        <v/>
      </c>
      <c r="Q167" s="24">
        <f>IF(G167&lt;0.5,0,G167*(1+N('My Loans'!D9)/1200))</f>
        <v/>
      </c>
      <c r="R167" s="24">
        <f>IF(H167&lt;0.5,0,H167*(1+N('My Loans'!D10)/1200))</f>
        <v/>
      </c>
      <c r="S167" s="24">
        <f>IF(I167&lt;0.5,0,I167*(1+N('My Loans'!D11)/1200))</f>
        <v/>
      </c>
      <c r="T167" s="24">
        <f>IF(J167&lt;0.5,0,J167*(1+N('My Loans'!D12)/1200))</f>
        <v/>
      </c>
      <c r="U167" s="24">
        <f>IF(K167&lt;0.5,0,K167*(1+N('My Loans'!D13)/1200))</f>
        <v/>
      </c>
      <c r="V167" s="24">
        <f>IF(L167&lt;0.5,0,L167*(1+N('My Loans'!D14)/1200))</f>
        <v/>
      </c>
      <c r="W167" s="24">
        <f>IF(M167&lt;0.5,0,M167*(1+N('My Loans'!D15)/1200))</f>
        <v/>
      </c>
      <c r="X167" s="24">
        <f>MIN(N167,N('My Loans'!E6))</f>
        <v/>
      </c>
      <c r="Y167" s="24">
        <f>MIN(O167,N('My Loans'!E7))</f>
        <v/>
      </c>
      <c r="Z167" s="24">
        <f>MIN(P167,N('My Loans'!E8))</f>
        <v/>
      </c>
      <c r="AA167" s="24">
        <f>MIN(Q167,N('My Loans'!E9))</f>
        <v/>
      </c>
      <c r="AB167" s="24">
        <f>MIN(R167,N('My Loans'!E10))</f>
        <v/>
      </c>
      <c r="AC167" s="24">
        <f>MIN(S167,N('My Loans'!E11))</f>
        <v/>
      </c>
      <c r="AD167" s="24">
        <f>MIN(T167,N('My Loans'!E12))</f>
        <v/>
      </c>
      <c r="AE167" s="24">
        <f>MIN(U167,N('My Loans'!E13))</f>
        <v/>
      </c>
      <c r="AF167" s="24">
        <f>MIN(V167,N('My Loans'!E14))</f>
        <v/>
      </c>
      <c r="AG167" s="24">
        <f>MIN(W167,N('My Loans'!E15))</f>
        <v/>
      </c>
      <c r="AH167" s="24">
        <f>MIN(N167-X167,MAX(0,$C167-SUMPRODUCT(($D$3:$M$3&lt;D$3)*($N167:$W167-$X167:$AG167))))</f>
        <v/>
      </c>
      <c r="AI167" s="24">
        <f>MIN(O167-Y167,MAX(0,$C167-SUMPRODUCT(($D$3:$M$3&lt;E$3)*($N167:$W167-$X167:$AG167))))</f>
        <v/>
      </c>
      <c r="AJ167" s="24">
        <f>MIN(P167-Z167,MAX(0,$C167-SUMPRODUCT(($D$3:$M$3&lt;F$3)*($N167:$W167-$X167:$AG167))))</f>
        <v/>
      </c>
      <c r="AK167" s="24">
        <f>MIN(Q167-AA167,MAX(0,$C167-SUMPRODUCT(($D$3:$M$3&lt;G$3)*($N167:$W167-$X167:$AG167))))</f>
        <v/>
      </c>
      <c r="AL167" s="24">
        <f>MIN(R167-AB167,MAX(0,$C167-SUMPRODUCT(($D$3:$M$3&lt;H$3)*($N167:$W167-$X167:$AG167))))</f>
        <v/>
      </c>
      <c r="AM167" s="24">
        <f>MIN(S167-AC167,MAX(0,$C167-SUMPRODUCT(($D$3:$M$3&lt;I$3)*($N167:$W167-$X167:$AG167))))</f>
        <v/>
      </c>
      <c r="AN167" s="24">
        <f>MIN(T167-AD167,MAX(0,$C167-SUMPRODUCT(($D$3:$M$3&lt;J$3)*($N167:$W167-$X167:$AG167))))</f>
        <v/>
      </c>
      <c r="AO167" s="24">
        <f>MIN(U167-AE167,MAX(0,$C167-SUMPRODUCT(($D$3:$M$3&lt;K$3)*($N167:$W167-$X167:$AG167))))</f>
        <v/>
      </c>
      <c r="AP167" s="24">
        <f>MIN(V167-AF167,MAX(0,$C167-SUMPRODUCT(($D$3:$M$3&lt;L$3)*($N167:$W167-$X167:$AG167))))</f>
        <v/>
      </c>
      <c r="AQ167" s="24">
        <f>MIN(W167-AG167,MAX(0,$C167-SUMPRODUCT(($D$3:$M$3&lt;M$3)*($N167:$W167-$X167:$AG167))))</f>
        <v/>
      </c>
      <c r="AR167" s="24">
        <f>ROUND(N167-X167-AH167,2)</f>
        <v/>
      </c>
      <c r="AS167" s="24">
        <f>ROUND(O167-Y167-AI167,2)</f>
        <v/>
      </c>
      <c r="AT167" s="24">
        <f>ROUND(P167-Z167-AJ167,2)</f>
        <v/>
      </c>
      <c r="AU167" s="24">
        <f>ROUND(Q167-AA167-AK167,2)</f>
        <v/>
      </c>
      <c r="AV167" s="24">
        <f>ROUND(R167-AB167-AL167,2)</f>
        <v/>
      </c>
      <c r="AW167" s="24">
        <f>ROUND(S167-AC167-AM167,2)</f>
        <v/>
      </c>
      <c r="AX167" s="24">
        <f>ROUND(T167-AD167-AN167,2)</f>
        <v/>
      </c>
      <c r="AY167" s="24">
        <f>ROUND(U167-AE167-AO167,2)</f>
        <v/>
      </c>
      <c r="AZ167" s="24">
        <f>ROUND(V167-AF167-AP167,2)</f>
        <v/>
      </c>
      <c r="BA167" s="24">
        <f>ROUND(W167-AG167-AQ167,2)</f>
        <v/>
      </c>
      <c r="BB167" s="24">
        <f>SUM(AR167:BA167)</f>
        <v/>
      </c>
    </row>
    <row r="168">
      <c r="A168" t="n">
        <v>164</v>
      </c>
      <c r="B168" s="23">
        <f>EOMONTH(TODAY(),163)</f>
        <v/>
      </c>
      <c r="C168" s="24">
        <f>MAX(0,(SUM('My Loans'!$E$6:$E$15)+'My Loans'!$D$3)-SUM($X168:$AG168))</f>
        <v/>
      </c>
      <c r="D168" s="24">
        <f>MAX(0,AR167)</f>
        <v/>
      </c>
      <c r="E168" s="24">
        <f>MAX(0,AS167)</f>
        <v/>
      </c>
      <c r="F168" s="24">
        <f>MAX(0,AT167)</f>
        <v/>
      </c>
      <c r="G168" s="24">
        <f>MAX(0,AU167)</f>
        <v/>
      </c>
      <c r="H168" s="24">
        <f>MAX(0,AV167)</f>
        <v/>
      </c>
      <c r="I168" s="24">
        <f>MAX(0,AW167)</f>
        <v/>
      </c>
      <c r="J168" s="24">
        <f>MAX(0,AX167)</f>
        <v/>
      </c>
      <c r="K168" s="24">
        <f>MAX(0,AY167)</f>
        <v/>
      </c>
      <c r="L168" s="24">
        <f>MAX(0,AZ167)</f>
        <v/>
      </c>
      <c r="M168" s="24">
        <f>MAX(0,BA167)</f>
        <v/>
      </c>
      <c r="N168" s="24">
        <f>IF(D168&lt;0.5,0,D168*(1+N('My Loans'!D6)/1200))</f>
        <v/>
      </c>
      <c r="O168" s="24">
        <f>IF(E168&lt;0.5,0,E168*(1+N('My Loans'!D7)/1200))</f>
        <v/>
      </c>
      <c r="P168" s="24">
        <f>IF(F168&lt;0.5,0,F168*(1+N('My Loans'!D8)/1200))</f>
        <v/>
      </c>
      <c r="Q168" s="24">
        <f>IF(G168&lt;0.5,0,G168*(1+N('My Loans'!D9)/1200))</f>
        <v/>
      </c>
      <c r="R168" s="24">
        <f>IF(H168&lt;0.5,0,H168*(1+N('My Loans'!D10)/1200))</f>
        <v/>
      </c>
      <c r="S168" s="24">
        <f>IF(I168&lt;0.5,0,I168*(1+N('My Loans'!D11)/1200))</f>
        <v/>
      </c>
      <c r="T168" s="24">
        <f>IF(J168&lt;0.5,0,J168*(1+N('My Loans'!D12)/1200))</f>
        <v/>
      </c>
      <c r="U168" s="24">
        <f>IF(K168&lt;0.5,0,K168*(1+N('My Loans'!D13)/1200))</f>
        <v/>
      </c>
      <c r="V168" s="24">
        <f>IF(L168&lt;0.5,0,L168*(1+N('My Loans'!D14)/1200))</f>
        <v/>
      </c>
      <c r="W168" s="24">
        <f>IF(M168&lt;0.5,0,M168*(1+N('My Loans'!D15)/1200))</f>
        <v/>
      </c>
      <c r="X168" s="24">
        <f>MIN(N168,N('My Loans'!E6))</f>
        <v/>
      </c>
      <c r="Y168" s="24">
        <f>MIN(O168,N('My Loans'!E7))</f>
        <v/>
      </c>
      <c r="Z168" s="24">
        <f>MIN(P168,N('My Loans'!E8))</f>
        <v/>
      </c>
      <c r="AA168" s="24">
        <f>MIN(Q168,N('My Loans'!E9))</f>
        <v/>
      </c>
      <c r="AB168" s="24">
        <f>MIN(R168,N('My Loans'!E10))</f>
        <v/>
      </c>
      <c r="AC168" s="24">
        <f>MIN(S168,N('My Loans'!E11))</f>
        <v/>
      </c>
      <c r="AD168" s="24">
        <f>MIN(T168,N('My Loans'!E12))</f>
        <v/>
      </c>
      <c r="AE168" s="24">
        <f>MIN(U168,N('My Loans'!E13))</f>
        <v/>
      </c>
      <c r="AF168" s="24">
        <f>MIN(V168,N('My Loans'!E14))</f>
        <v/>
      </c>
      <c r="AG168" s="24">
        <f>MIN(W168,N('My Loans'!E15))</f>
        <v/>
      </c>
      <c r="AH168" s="24">
        <f>MIN(N168-X168,MAX(0,$C168-SUMPRODUCT(($D$3:$M$3&lt;D$3)*($N168:$W168-$X168:$AG168))))</f>
        <v/>
      </c>
      <c r="AI168" s="24">
        <f>MIN(O168-Y168,MAX(0,$C168-SUMPRODUCT(($D$3:$M$3&lt;E$3)*($N168:$W168-$X168:$AG168))))</f>
        <v/>
      </c>
      <c r="AJ168" s="24">
        <f>MIN(P168-Z168,MAX(0,$C168-SUMPRODUCT(($D$3:$M$3&lt;F$3)*($N168:$W168-$X168:$AG168))))</f>
        <v/>
      </c>
      <c r="AK168" s="24">
        <f>MIN(Q168-AA168,MAX(0,$C168-SUMPRODUCT(($D$3:$M$3&lt;G$3)*($N168:$W168-$X168:$AG168))))</f>
        <v/>
      </c>
      <c r="AL168" s="24">
        <f>MIN(R168-AB168,MAX(0,$C168-SUMPRODUCT(($D$3:$M$3&lt;H$3)*($N168:$W168-$X168:$AG168))))</f>
        <v/>
      </c>
      <c r="AM168" s="24">
        <f>MIN(S168-AC168,MAX(0,$C168-SUMPRODUCT(($D$3:$M$3&lt;I$3)*($N168:$W168-$X168:$AG168))))</f>
        <v/>
      </c>
      <c r="AN168" s="24">
        <f>MIN(T168-AD168,MAX(0,$C168-SUMPRODUCT(($D$3:$M$3&lt;J$3)*($N168:$W168-$X168:$AG168))))</f>
        <v/>
      </c>
      <c r="AO168" s="24">
        <f>MIN(U168-AE168,MAX(0,$C168-SUMPRODUCT(($D$3:$M$3&lt;K$3)*($N168:$W168-$X168:$AG168))))</f>
        <v/>
      </c>
      <c r="AP168" s="24">
        <f>MIN(V168-AF168,MAX(0,$C168-SUMPRODUCT(($D$3:$M$3&lt;L$3)*($N168:$W168-$X168:$AG168))))</f>
        <v/>
      </c>
      <c r="AQ168" s="24">
        <f>MIN(W168-AG168,MAX(0,$C168-SUMPRODUCT(($D$3:$M$3&lt;M$3)*($N168:$W168-$X168:$AG168))))</f>
        <v/>
      </c>
      <c r="AR168" s="24">
        <f>ROUND(N168-X168-AH168,2)</f>
        <v/>
      </c>
      <c r="AS168" s="24">
        <f>ROUND(O168-Y168-AI168,2)</f>
        <v/>
      </c>
      <c r="AT168" s="24">
        <f>ROUND(P168-Z168-AJ168,2)</f>
        <v/>
      </c>
      <c r="AU168" s="24">
        <f>ROUND(Q168-AA168-AK168,2)</f>
        <v/>
      </c>
      <c r="AV168" s="24">
        <f>ROUND(R168-AB168-AL168,2)</f>
        <v/>
      </c>
      <c r="AW168" s="24">
        <f>ROUND(S168-AC168-AM168,2)</f>
        <v/>
      </c>
      <c r="AX168" s="24">
        <f>ROUND(T168-AD168-AN168,2)</f>
        <v/>
      </c>
      <c r="AY168" s="24">
        <f>ROUND(U168-AE168-AO168,2)</f>
        <v/>
      </c>
      <c r="AZ168" s="24">
        <f>ROUND(V168-AF168-AP168,2)</f>
        <v/>
      </c>
      <c r="BA168" s="24">
        <f>ROUND(W168-AG168-AQ168,2)</f>
        <v/>
      </c>
      <c r="BB168" s="24">
        <f>SUM(AR168:BA168)</f>
        <v/>
      </c>
    </row>
    <row r="169">
      <c r="A169" t="n">
        <v>165</v>
      </c>
      <c r="B169" s="23">
        <f>EOMONTH(TODAY(),164)</f>
        <v/>
      </c>
      <c r="C169" s="24">
        <f>MAX(0,(SUM('My Loans'!$E$6:$E$15)+'My Loans'!$D$3)-SUM($X169:$AG169))</f>
        <v/>
      </c>
      <c r="D169" s="24">
        <f>MAX(0,AR168)</f>
        <v/>
      </c>
      <c r="E169" s="24">
        <f>MAX(0,AS168)</f>
        <v/>
      </c>
      <c r="F169" s="24">
        <f>MAX(0,AT168)</f>
        <v/>
      </c>
      <c r="G169" s="24">
        <f>MAX(0,AU168)</f>
        <v/>
      </c>
      <c r="H169" s="24">
        <f>MAX(0,AV168)</f>
        <v/>
      </c>
      <c r="I169" s="24">
        <f>MAX(0,AW168)</f>
        <v/>
      </c>
      <c r="J169" s="24">
        <f>MAX(0,AX168)</f>
        <v/>
      </c>
      <c r="K169" s="24">
        <f>MAX(0,AY168)</f>
        <v/>
      </c>
      <c r="L169" s="24">
        <f>MAX(0,AZ168)</f>
        <v/>
      </c>
      <c r="M169" s="24">
        <f>MAX(0,BA168)</f>
        <v/>
      </c>
      <c r="N169" s="24">
        <f>IF(D169&lt;0.5,0,D169*(1+N('My Loans'!D6)/1200))</f>
        <v/>
      </c>
      <c r="O169" s="24">
        <f>IF(E169&lt;0.5,0,E169*(1+N('My Loans'!D7)/1200))</f>
        <v/>
      </c>
      <c r="P169" s="24">
        <f>IF(F169&lt;0.5,0,F169*(1+N('My Loans'!D8)/1200))</f>
        <v/>
      </c>
      <c r="Q169" s="24">
        <f>IF(G169&lt;0.5,0,G169*(1+N('My Loans'!D9)/1200))</f>
        <v/>
      </c>
      <c r="R169" s="24">
        <f>IF(H169&lt;0.5,0,H169*(1+N('My Loans'!D10)/1200))</f>
        <v/>
      </c>
      <c r="S169" s="24">
        <f>IF(I169&lt;0.5,0,I169*(1+N('My Loans'!D11)/1200))</f>
        <v/>
      </c>
      <c r="T169" s="24">
        <f>IF(J169&lt;0.5,0,J169*(1+N('My Loans'!D12)/1200))</f>
        <v/>
      </c>
      <c r="U169" s="24">
        <f>IF(K169&lt;0.5,0,K169*(1+N('My Loans'!D13)/1200))</f>
        <v/>
      </c>
      <c r="V169" s="24">
        <f>IF(L169&lt;0.5,0,L169*(1+N('My Loans'!D14)/1200))</f>
        <v/>
      </c>
      <c r="W169" s="24">
        <f>IF(M169&lt;0.5,0,M169*(1+N('My Loans'!D15)/1200))</f>
        <v/>
      </c>
      <c r="X169" s="24">
        <f>MIN(N169,N('My Loans'!E6))</f>
        <v/>
      </c>
      <c r="Y169" s="24">
        <f>MIN(O169,N('My Loans'!E7))</f>
        <v/>
      </c>
      <c r="Z169" s="24">
        <f>MIN(P169,N('My Loans'!E8))</f>
        <v/>
      </c>
      <c r="AA169" s="24">
        <f>MIN(Q169,N('My Loans'!E9))</f>
        <v/>
      </c>
      <c r="AB169" s="24">
        <f>MIN(R169,N('My Loans'!E10))</f>
        <v/>
      </c>
      <c r="AC169" s="24">
        <f>MIN(S169,N('My Loans'!E11))</f>
        <v/>
      </c>
      <c r="AD169" s="24">
        <f>MIN(T169,N('My Loans'!E12))</f>
        <v/>
      </c>
      <c r="AE169" s="24">
        <f>MIN(U169,N('My Loans'!E13))</f>
        <v/>
      </c>
      <c r="AF169" s="24">
        <f>MIN(V169,N('My Loans'!E14))</f>
        <v/>
      </c>
      <c r="AG169" s="24">
        <f>MIN(W169,N('My Loans'!E15))</f>
        <v/>
      </c>
      <c r="AH169" s="24">
        <f>MIN(N169-X169,MAX(0,$C169-SUMPRODUCT(($D$3:$M$3&lt;D$3)*($N169:$W169-$X169:$AG169))))</f>
        <v/>
      </c>
      <c r="AI169" s="24">
        <f>MIN(O169-Y169,MAX(0,$C169-SUMPRODUCT(($D$3:$M$3&lt;E$3)*($N169:$W169-$X169:$AG169))))</f>
        <v/>
      </c>
      <c r="AJ169" s="24">
        <f>MIN(P169-Z169,MAX(0,$C169-SUMPRODUCT(($D$3:$M$3&lt;F$3)*($N169:$W169-$X169:$AG169))))</f>
        <v/>
      </c>
      <c r="AK169" s="24">
        <f>MIN(Q169-AA169,MAX(0,$C169-SUMPRODUCT(($D$3:$M$3&lt;G$3)*($N169:$W169-$X169:$AG169))))</f>
        <v/>
      </c>
      <c r="AL169" s="24">
        <f>MIN(R169-AB169,MAX(0,$C169-SUMPRODUCT(($D$3:$M$3&lt;H$3)*($N169:$W169-$X169:$AG169))))</f>
        <v/>
      </c>
      <c r="AM169" s="24">
        <f>MIN(S169-AC169,MAX(0,$C169-SUMPRODUCT(($D$3:$M$3&lt;I$3)*($N169:$W169-$X169:$AG169))))</f>
        <v/>
      </c>
      <c r="AN169" s="24">
        <f>MIN(T169-AD169,MAX(0,$C169-SUMPRODUCT(($D$3:$M$3&lt;J$3)*($N169:$W169-$X169:$AG169))))</f>
        <v/>
      </c>
      <c r="AO169" s="24">
        <f>MIN(U169-AE169,MAX(0,$C169-SUMPRODUCT(($D$3:$M$3&lt;K$3)*($N169:$W169-$X169:$AG169))))</f>
        <v/>
      </c>
      <c r="AP169" s="24">
        <f>MIN(V169-AF169,MAX(0,$C169-SUMPRODUCT(($D$3:$M$3&lt;L$3)*($N169:$W169-$X169:$AG169))))</f>
        <v/>
      </c>
      <c r="AQ169" s="24">
        <f>MIN(W169-AG169,MAX(0,$C169-SUMPRODUCT(($D$3:$M$3&lt;M$3)*($N169:$W169-$X169:$AG169))))</f>
        <v/>
      </c>
      <c r="AR169" s="24">
        <f>ROUND(N169-X169-AH169,2)</f>
        <v/>
      </c>
      <c r="AS169" s="24">
        <f>ROUND(O169-Y169-AI169,2)</f>
        <v/>
      </c>
      <c r="AT169" s="24">
        <f>ROUND(P169-Z169-AJ169,2)</f>
        <v/>
      </c>
      <c r="AU169" s="24">
        <f>ROUND(Q169-AA169-AK169,2)</f>
        <v/>
      </c>
      <c r="AV169" s="24">
        <f>ROUND(R169-AB169-AL169,2)</f>
        <v/>
      </c>
      <c r="AW169" s="24">
        <f>ROUND(S169-AC169-AM169,2)</f>
        <v/>
      </c>
      <c r="AX169" s="24">
        <f>ROUND(T169-AD169-AN169,2)</f>
        <v/>
      </c>
      <c r="AY169" s="24">
        <f>ROUND(U169-AE169-AO169,2)</f>
        <v/>
      </c>
      <c r="AZ169" s="24">
        <f>ROUND(V169-AF169-AP169,2)</f>
        <v/>
      </c>
      <c r="BA169" s="24">
        <f>ROUND(W169-AG169-AQ169,2)</f>
        <v/>
      </c>
      <c r="BB169" s="24">
        <f>SUM(AR169:BA169)</f>
        <v/>
      </c>
    </row>
    <row r="170">
      <c r="A170" t="n">
        <v>166</v>
      </c>
      <c r="B170" s="23">
        <f>EOMONTH(TODAY(),165)</f>
        <v/>
      </c>
      <c r="C170" s="24">
        <f>MAX(0,(SUM('My Loans'!$E$6:$E$15)+'My Loans'!$D$3)-SUM($X170:$AG170))</f>
        <v/>
      </c>
      <c r="D170" s="24">
        <f>MAX(0,AR169)</f>
        <v/>
      </c>
      <c r="E170" s="24">
        <f>MAX(0,AS169)</f>
        <v/>
      </c>
      <c r="F170" s="24">
        <f>MAX(0,AT169)</f>
        <v/>
      </c>
      <c r="G170" s="24">
        <f>MAX(0,AU169)</f>
        <v/>
      </c>
      <c r="H170" s="24">
        <f>MAX(0,AV169)</f>
        <v/>
      </c>
      <c r="I170" s="24">
        <f>MAX(0,AW169)</f>
        <v/>
      </c>
      <c r="J170" s="24">
        <f>MAX(0,AX169)</f>
        <v/>
      </c>
      <c r="K170" s="24">
        <f>MAX(0,AY169)</f>
        <v/>
      </c>
      <c r="L170" s="24">
        <f>MAX(0,AZ169)</f>
        <v/>
      </c>
      <c r="M170" s="24">
        <f>MAX(0,BA169)</f>
        <v/>
      </c>
      <c r="N170" s="24">
        <f>IF(D170&lt;0.5,0,D170*(1+N('My Loans'!D6)/1200))</f>
        <v/>
      </c>
      <c r="O170" s="24">
        <f>IF(E170&lt;0.5,0,E170*(1+N('My Loans'!D7)/1200))</f>
        <v/>
      </c>
      <c r="P170" s="24">
        <f>IF(F170&lt;0.5,0,F170*(1+N('My Loans'!D8)/1200))</f>
        <v/>
      </c>
      <c r="Q170" s="24">
        <f>IF(G170&lt;0.5,0,G170*(1+N('My Loans'!D9)/1200))</f>
        <v/>
      </c>
      <c r="R170" s="24">
        <f>IF(H170&lt;0.5,0,H170*(1+N('My Loans'!D10)/1200))</f>
        <v/>
      </c>
      <c r="S170" s="24">
        <f>IF(I170&lt;0.5,0,I170*(1+N('My Loans'!D11)/1200))</f>
        <v/>
      </c>
      <c r="T170" s="24">
        <f>IF(J170&lt;0.5,0,J170*(1+N('My Loans'!D12)/1200))</f>
        <v/>
      </c>
      <c r="U170" s="24">
        <f>IF(K170&lt;0.5,0,K170*(1+N('My Loans'!D13)/1200))</f>
        <v/>
      </c>
      <c r="V170" s="24">
        <f>IF(L170&lt;0.5,0,L170*(1+N('My Loans'!D14)/1200))</f>
        <v/>
      </c>
      <c r="W170" s="24">
        <f>IF(M170&lt;0.5,0,M170*(1+N('My Loans'!D15)/1200))</f>
        <v/>
      </c>
      <c r="X170" s="24">
        <f>MIN(N170,N('My Loans'!E6))</f>
        <v/>
      </c>
      <c r="Y170" s="24">
        <f>MIN(O170,N('My Loans'!E7))</f>
        <v/>
      </c>
      <c r="Z170" s="24">
        <f>MIN(P170,N('My Loans'!E8))</f>
        <v/>
      </c>
      <c r="AA170" s="24">
        <f>MIN(Q170,N('My Loans'!E9))</f>
        <v/>
      </c>
      <c r="AB170" s="24">
        <f>MIN(R170,N('My Loans'!E10))</f>
        <v/>
      </c>
      <c r="AC170" s="24">
        <f>MIN(S170,N('My Loans'!E11))</f>
        <v/>
      </c>
      <c r="AD170" s="24">
        <f>MIN(T170,N('My Loans'!E12))</f>
        <v/>
      </c>
      <c r="AE170" s="24">
        <f>MIN(U170,N('My Loans'!E13))</f>
        <v/>
      </c>
      <c r="AF170" s="24">
        <f>MIN(V170,N('My Loans'!E14))</f>
        <v/>
      </c>
      <c r="AG170" s="24">
        <f>MIN(W170,N('My Loans'!E15))</f>
        <v/>
      </c>
      <c r="AH170" s="24">
        <f>MIN(N170-X170,MAX(0,$C170-SUMPRODUCT(($D$3:$M$3&lt;D$3)*($N170:$W170-$X170:$AG170))))</f>
        <v/>
      </c>
      <c r="AI170" s="24">
        <f>MIN(O170-Y170,MAX(0,$C170-SUMPRODUCT(($D$3:$M$3&lt;E$3)*($N170:$W170-$X170:$AG170))))</f>
        <v/>
      </c>
      <c r="AJ170" s="24">
        <f>MIN(P170-Z170,MAX(0,$C170-SUMPRODUCT(($D$3:$M$3&lt;F$3)*($N170:$W170-$X170:$AG170))))</f>
        <v/>
      </c>
      <c r="AK170" s="24">
        <f>MIN(Q170-AA170,MAX(0,$C170-SUMPRODUCT(($D$3:$M$3&lt;G$3)*($N170:$W170-$X170:$AG170))))</f>
        <v/>
      </c>
      <c r="AL170" s="24">
        <f>MIN(R170-AB170,MAX(0,$C170-SUMPRODUCT(($D$3:$M$3&lt;H$3)*($N170:$W170-$X170:$AG170))))</f>
        <v/>
      </c>
      <c r="AM170" s="24">
        <f>MIN(S170-AC170,MAX(0,$C170-SUMPRODUCT(($D$3:$M$3&lt;I$3)*($N170:$W170-$X170:$AG170))))</f>
        <v/>
      </c>
      <c r="AN170" s="24">
        <f>MIN(T170-AD170,MAX(0,$C170-SUMPRODUCT(($D$3:$M$3&lt;J$3)*($N170:$W170-$X170:$AG170))))</f>
        <v/>
      </c>
      <c r="AO170" s="24">
        <f>MIN(U170-AE170,MAX(0,$C170-SUMPRODUCT(($D$3:$M$3&lt;K$3)*($N170:$W170-$X170:$AG170))))</f>
        <v/>
      </c>
      <c r="AP170" s="24">
        <f>MIN(V170-AF170,MAX(0,$C170-SUMPRODUCT(($D$3:$M$3&lt;L$3)*($N170:$W170-$X170:$AG170))))</f>
        <v/>
      </c>
      <c r="AQ170" s="24">
        <f>MIN(W170-AG170,MAX(0,$C170-SUMPRODUCT(($D$3:$M$3&lt;M$3)*($N170:$W170-$X170:$AG170))))</f>
        <v/>
      </c>
      <c r="AR170" s="24">
        <f>ROUND(N170-X170-AH170,2)</f>
        <v/>
      </c>
      <c r="AS170" s="24">
        <f>ROUND(O170-Y170-AI170,2)</f>
        <v/>
      </c>
      <c r="AT170" s="24">
        <f>ROUND(P170-Z170-AJ170,2)</f>
        <v/>
      </c>
      <c r="AU170" s="24">
        <f>ROUND(Q170-AA170-AK170,2)</f>
        <v/>
      </c>
      <c r="AV170" s="24">
        <f>ROUND(R170-AB170-AL170,2)</f>
        <v/>
      </c>
      <c r="AW170" s="24">
        <f>ROUND(S170-AC170-AM170,2)</f>
        <v/>
      </c>
      <c r="AX170" s="24">
        <f>ROUND(T170-AD170-AN170,2)</f>
        <v/>
      </c>
      <c r="AY170" s="24">
        <f>ROUND(U170-AE170-AO170,2)</f>
        <v/>
      </c>
      <c r="AZ170" s="24">
        <f>ROUND(V170-AF170-AP170,2)</f>
        <v/>
      </c>
      <c r="BA170" s="24">
        <f>ROUND(W170-AG170-AQ170,2)</f>
        <v/>
      </c>
      <c r="BB170" s="24">
        <f>SUM(AR170:BA170)</f>
        <v/>
      </c>
    </row>
    <row r="171">
      <c r="A171" t="n">
        <v>167</v>
      </c>
      <c r="B171" s="23">
        <f>EOMONTH(TODAY(),166)</f>
        <v/>
      </c>
      <c r="C171" s="24">
        <f>MAX(0,(SUM('My Loans'!$E$6:$E$15)+'My Loans'!$D$3)-SUM($X171:$AG171))</f>
        <v/>
      </c>
      <c r="D171" s="24">
        <f>MAX(0,AR170)</f>
        <v/>
      </c>
      <c r="E171" s="24">
        <f>MAX(0,AS170)</f>
        <v/>
      </c>
      <c r="F171" s="24">
        <f>MAX(0,AT170)</f>
        <v/>
      </c>
      <c r="G171" s="24">
        <f>MAX(0,AU170)</f>
        <v/>
      </c>
      <c r="H171" s="24">
        <f>MAX(0,AV170)</f>
        <v/>
      </c>
      <c r="I171" s="24">
        <f>MAX(0,AW170)</f>
        <v/>
      </c>
      <c r="J171" s="24">
        <f>MAX(0,AX170)</f>
        <v/>
      </c>
      <c r="K171" s="24">
        <f>MAX(0,AY170)</f>
        <v/>
      </c>
      <c r="L171" s="24">
        <f>MAX(0,AZ170)</f>
        <v/>
      </c>
      <c r="M171" s="24">
        <f>MAX(0,BA170)</f>
        <v/>
      </c>
      <c r="N171" s="24">
        <f>IF(D171&lt;0.5,0,D171*(1+N('My Loans'!D6)/1200))</f>
        <v/>
      </c>
      <c r="O171" s="24">
        <f>IF(E171&lt;0.5,0,E171*(1+N('My Loans'!D7)/1200))</f>
        <v/>
      </c>
      <c r="P171" s="24">
        <f>IF(F171&lt;0.5,0,F171*(1+N('My Loans'!D8)/1200))</f>
        <v/>
      </c>
      <c r="Q171" s="24">
        <f>IF(G171&lt;0.5,0,G171*(1+N('My Loans'!D9)/1200))</f>
        <v/>
      </c>
      <c r="R171" s="24">
        <f>IF(H171&lt;0.5,0,H171*(1+N('My Loans'!D10)/1200))</f>
        <v/>
      </c>
      <c r="S171" s="24">
        <f>IF(I171&lt;0.5,0,I171*(1+N('My Loans'!D11)/1200))</f>
        <v/>
      </c>
      <c r="T171" s="24">
        <f>IF(J171&lt;0.5,0,J171*(1+N('My Loans'!D12)/1200))</f>
        <v/>
      </c>
      <c r="U171" s="24">
        <f>IF(K171&lt;0.5,0,K171*(1+N('My Loans'!D13)/1200))</f>
        <v/>
      </c>
      <c r="V171" s="24">
        <f>IF(L171&lt;0.5,0,L171*(1+N('My Loans'!D14)/1200))</f>
        <v/>
      </c>
      <c r="W171" s="24">
        <f>IF(M171&lt;0.5,0,M171*(1+N('My Loans'!D15)/1200))</f>
        <v/>
      </c>
      <c r="X171" s="24">
        <f>MIN(N171,N('My Loans'!E6))</f>
        <v/>
      </c>
      <c r="Y171" s="24">
        <f>MIN(O171,N('My Loans'!E7))</f>
        <v/>
      </c>
      <c r="Z171" s="24">
        <f>MIN(P171,N('My Loans'!E8))</f>
        <v/>
      </c>
      <c r="AA171" s="24">
        <f>MIN(Q171,N('My Loans'!E9))</f>
        <v/>
      </c>
      <c r="AB171" s="24">
        <f>MIN(R171,N('My Loans'!E10))</f>
        <v/>
      </c>
      <c r="AC171" s="24">
        <f>MIN(S171,N('My Loans'!E11))</f>
        <v/>
      </c>
      <c r="AD171" s="24">
        <f>MIN(T171,N('My Loans'!E12))</f>
        <v/>
      </c>
      <c r="AE171" s="24">
        <f>MIN(U171,N('My Loans'!E13))</f>
        <v/>
      </c>
      <c r="AF171" s="24">
        <f>MIN(V171,N('My Loans'!E14))</f>
        <v/>
      </c>
      <c r="AG171" s="24">
        <f>MIN(W171,N('My Loans'!E15))</f>
        <v/>
      </c>
      <c r="AH171" s="24">
        <f>MIN(N171-X171,MAX(0,$C171-SUMPRODUCT(($D$3:$M$3&lt;D$3)*($N171:$W171-$X171:$AG171))))</f>
        <v/>
      </c>
      <c r="AI171" s="24">
        <f>MIN(O171-Y171,MAX(0,$C171-SUMPRODUCT(($D$3:$M$3&lt;E$3)*($N171:$W171-$X171:$AG171))))</f>
        <v/>
      </c>
      <c r="AJ171" s="24">
        <f>MIN(P171-Z171,MAX(0,$C171-SUMPRODUCT(($D$3:$M$3&lt;F$3)*($N171:$W171-$X171:$AG171))))</f>
        <v/>
      </c>
      <c r="AK171" s="24">
        <f>MIN(Q171-AA171,MAX(0,$C171-SUMPRODUCT(($D$3:$M$3&lt;G$3)*($N171:$W171-$X171:$AG171))))</f>
        <v/>
      </c>
      <c r="AL171" s="24">
        <f>MIN(R171-AB171,MAX(0,$C171-SUMPRODUCT(($D$3:$M$3&lt;H$3)*($N171:$W171-$X171:$AG171))))</f>
        <v/>
      </c>
      <c r="AM171" s="24">
        <f>MIN(S171-AC171,MAX(0,$C171-SUMPRODUCT(($D$3:$M$3&lt;I$3)*($N171:$W171-$X171:$AG171))))</f>
        <v/>
      </c>
      <c r="AN171" s="24">
        <f>MIN(T171-AD171,MAX(0,$C171-SUMPRODUCT(($D$3:$M$3&lt;J$3)*($N171:$W171-$X171:$AG171))))</f>
        <v/>
      </c>
      <c r="AO171" s="24">
        <f>MIN(U171-AE171,MAX(0,$C171-SUMPRODUCT(($D$3:$M$3&lt;K$3)*($N171:$W171-$X171:$AG171))))</f>
        <v/>
      </c>
      <c r="AP171" s="24">
        <f>MIN(V171-AF171,MAX(0,$C171-SUMPRODUCT(($D$3:$M$3&lt;L$3)*($N171:$W171-$X171:$AG171))))</f>
        <v/>
      </c>
      <c r="AQ171" s="24">
        <f>MIN(W171-AG171,MAX(0,$C171-SUMPRODUCT(($D$3:$M$3&lt;M$3)*($N171:$W171-$X171:$AG171))))</f>
        <v/>
      </c>
      <c r="AR171" s="24">
        <f>ROUND(N171-X171-AH171,2)</f>
        <v/>
      </c>
      <c r="AS171" s="24">
        <f>ROUND(O171-Y171-AI171,2)</f>
        <v/>
      </c>
      <c r="AT171" s="24">
        <f>ROUND(P171-Z171-AJ171,2)</f>
        <v/>
      </c>
      <c r="AU171" s="24">
        <f>ROUND(Q171-AA171-AK171,2)</f>
        <v/>
      </c>
      <c r="AV171" s="24">
        <f>ROUND(R171-AB171-AL171,2)</f>
        <v/>
      </c>
      <c r="AW171" s="24">
        <f>ROUND(S171-AC171-AM171,2)</f>
        <v/>
      </c>
      <c r="AX171" s="24">
        <f>ROUND(T171-AD171-AN171,2)</f>
        <v/>
      </c>
      <c r="AY171" s="24">
        <f>ROUND(U171-AE171-AO171,2)</f>
        <v/>
      </c>
      <c r="AZ171" s="24">
        <f>ROUND(V171-AF171-AP171,2)</f>
        <v/>
      </c>
      <c r="BA171" s="24">
        <f>ROUND(W171-AG171-AQ171,2)</f>
        <v/>
      </c>
      <c r="BB171" s="24">
        <f>SUM(AR171:BA171)</f>
        <v/>
      </c>
    </row>
    <row r="172">
      <c r="A172" t="n">
        <v>168</v>
      </c>
      <c r="B172" s="23">
        <f>EOMONTH(TODAY(),167)</f>
        <v/>
      </c>
      <c r="C172" s="24">
        <f>MAX(0,(SUM('My Loans'!$E$6:$E$15)+'My Loans'!$D$3)-SUM($X172:$AG172))</f>
        <v/>
      </c>
      <c r="D172" s="24">
        <f>MAX(0,AR171)</f>
        <v/>
      </c>
      <c r="E172" s="24">
        <f>MAX(0,AS171)</f>
        <v/>
      </c>
      <c r="F172" s="24">
        <f>MAX(0,AT171)</f>
        <v/>
      </c>
      <c r="G172" s="24">
        <f>MAX(0,AU171)</f>
        <v/>
      </c>
      <c r="H172" s="24">
        <f>MAX(0,AV171)</f>
        <v/>
      </c>
      <c r="I172" s="24">
        <f>MAX(0,AW171)</f>
        <v/>
      </c>
      <c r="J172" s="24">
        <f>MAX(0,AX171)</f>
        <v/>
      </c>
      <c r="K172" s="24">
        <f>MAX(0,AY171)</f>
        <v/>
      </c>
      <c r="L172" s="24">
        <f>MAX(0,AZ171)</f>
        <v/>
      </c>
      <c r="M172" s="24">
        <f>MAX(0,BA171)</f>
        <v/>
      </c>
      <c r="N172" s="24">
        <f>IF(D172&lt;0.5,0,D172*(1+N('My Loans'!D6)/1200))</f>
        <v/>
      </c>
      <c r="O172" s="24">
        <f>IF(E172&lt;0.5,0,E172*(1+N('My Loans'!D7)/1200))</f>
        <v/>
      </c>
      <c r="P172" s="24">
        <f>IF(F172&lt;0.5,0,F172*(1+N('My Loans'!D8)/1200))</f>
        <v/>
      </c>
      <c r="Q172" s="24">
        <f>IF(G172&lt;0.5,0,G172*(1+N('My Loans'!D9)/1200))</f>
        <v/>
      </c>
      <c r="R172" s="24">
        <f>IF(H172&lt;0.5,0,H172*(1+N('My Loans'!D10)/1200))</f>
        <v/>
      </c>
      <c r="S172" s="24">
        <f>IF(I172&lt;0.5,0,I172*(1+N('My Loans'!D11)/1200))</f>
        <v/>
      </c>
      <c r="T172" s="24">
        <f>IF(J172&lt;0.5,0,J172*(1+N('My Loans'!D12)/1200))</f>
        <v/>
      </c>
      <c r="U172" s="24">
        <f>IF(K172&lt;0.5,0,K172*(1+N('My Loans'!D13)/1200))</f>
        <v/>
      </c>
      <c r="V172" s="24">
        <f>IF(L172&lt;0.5,0,L172*(1+N('My Loans'!D14)/1200))</f>
        <v/>
      </c>
      <c r="W172" s="24">
        <f>IF(M172&lt;0.5,0,M172*(1+N('My Loans'!D15)/1200))</f>
        <v/>
      </c>
      <c r="X172" s="24">
        <f>MIN(N172,N('My Loans'!E6))</f>
        <v/>
      </c>
      <c r="Y172" s="24">
        <f>MIN(O172,N('My Loans'!E7))</f>
        <v/>
      </c>
      <c r="Z172" s="24">
        <f>MIN(P172,N('My Loans'!E8))</f>
        <v/>
      </c>
      <c r="AA172" s="24">
        <f>MIN(Q172,N('My Loans'!E9))</f>
        <v/>
      </c>
      <c r="AB172" s="24">
        <f>MIN(R172,N('My Loans'!E10))</f>
        <v/>
      </c>
      <c r="AC172" s="24">
        <f>MIN(S172,N('My Loans'!E11))</f>
        <v/>
      </c>
      <c r="AD172" s="24">
        <f>MIN(T172,N('My Loans'!E12))</f>
        <v/>
      </c>
      <c r="AE172" s="24">
        <f>MIN(U172,N('My Loans'!E13))</f>
        <v/>
      </c>
      <c r="AF172" s="24">
        <f>MIN(V172,N('My Loans'!E14))</f>
        <v/>
      </c>
      <c r="AG172" s="24">
        <f>MIN(W172,N('My Loans'!E15))</f>
        <v/>
      </c>
      <c r="AH172" s="24">
        <f>MIN(N172-X172,MAX(0,$C172-SUMPRODUCT(($D$3:$M$3&lt;D$3)*($N172:$W172-$X172:$AG172))))</f>
        <v/>
      </c>
      <c r="AI172" s="24">
        <f>MIN(O172-Y172,MAX(0,$C172-SUMPRODUCT(($D$3:$M$3&lt;E$3)*($N172:$W172-$X172:$AG172))))</f>
        <v/>
      </c>
      <c r="AJ172" s="24">
        <f>MIN(P172-Z172,MAX(0,$C172-SUMPRODUCT(($D$3:$M$3&lt;F$3)*($N172:$W172-$X172:$AG172))))</f>
        <v/>
      </c>
      <c r="AK172" s="24">
        <f>MIN(Q172-AA172,MAX(0,$C172-SUMPRODUCT(($D$3:$M$3&lt;G$3)*($N172:$W172-$X172:$AG172))))</f>
        <v/>
      </c>
      <c r="AL172" s="24">
        <f>MIN(R172-AB172,MAX(0,$C172-SUMPRODUCT(($D$3:$M$3&lt;H$3)*($N172:$W172-$X172:$AG172))))</f>
        <v/>
      </c>
      <c r="AM172" s="24">
        <f>MIN(S172-AC172,MAX(0,$C172-SUMPRODUCT(($D$3:$M$3&lt;I$3)*($N172:$W172-$X172:$AG172))))</f>
        <v/>
      </c>
      <c r="AN172" s="24">
        <f>MIN(T172-AD172,MAX(0,$C172-SUMPRODUCT(($D$3:$M$3&lt;J$3)*($N172:$W172-$X172:$AG172))))</f>
        <v/>
      </c>
      <c r="AO172" s="24">
        <f>MIN(U172-AE172,MAX(0,$C172-SUMPRODUCT(($D$3:$M$3&lt;K$3)*($N172:$W172-$X172:$AG172))))</f>
        <v/>
      </c>
      <c r="AP172" s="24">
        <f>MIN(V172-AF172,MAX(0,$C172-SUMPRODUCT(($D$3:$M$3&lt;L$3)*($N172:$W172-$X172:$AG172))))</f>
        <v/>
      </c>
      <c r="AQ172" s="24">
        <f>MIN(W172-AG172,MAX(0,$C172-SUMPRODUCT(($D$3:$M$3&lt;M$3)*($N172:$W172-$X172:$AG172))))</f>
        <v/>
      </c>
      <c r="AR172" s="24">
        <f>ROUND(N172-X172-AH172,2)</f>
        <v/>
      </c>
      <c r="AS172" s="24">
        <f>ROUND(O172-Y172-AI172,2)</f>
        <v/>
      </c>
      <c r="AT172" s="24">
        <f>ROUND(P172-Z172-AJ172,2)</f>
        <v/>
      </c>
      <c r="AU172" s="24">
        <f>ROUND(Q172-AA172-AK172,2)</f>
        <v/>
      </c>
      <c r="AV172" s="24">
        <f>ROUND(R172-AB172-AL172,2)</f>
        <v/>
      </c>
      <c r="AW172" s="24">
        <f>ROUND(S172-AC172-AM172,2)</f>
        <v/>
      </c>
      <c r="AX172" s="24">
        <f>ROUND(T172-AD172-AN172,2)</f>
        <v/>
      </c>
      <c r="AY172" s="24">
        <f>ROUND(U172-AE172-AO172,2)</f>
        <v/>
      </c>
      <c r="AZ172" s="24">
        <f>ROUND(V172-AF172-AP172,2)</f>
        <v/>
      </c>
      <c r="BA172" s="24">
        <f>ROUND(W172-AG172-AQ172,2)</f>
        <v/>
      </c>
      <c r="BB172" s="24">
        <f>SUM(AR172:BA172)</f>
        <v/>
      </c>
    </row>
    <row r="173">
      <c r="A173" t="n">
        <v>169</v>
      </c>
      <c r="B173" s="23">
        <f>EOMONTH(TODAY(),168)</f>
        <v/>
      </c>
      <c r="C173" s="24">
        <f>MAX(0,(SUM('My Loans'!$E$6:$E$15)+'My Loans'!$D$3)-SUM($X173:$AG173))</f>
        <v/>
      </c>
      <c r="D173" s="24">
        <f>MAX(0,AR172)</f>
        <v/>
      </c>
      <c r="E173" s="24">
        <f>MAX(0,AS172)</f>
        <v/>
      </c>
      <c r="F173" s="24">
        <f>MAX(0,AT172)</f>
        <v/>
      </c>
      <c r="G173" s="24">
        <f>MAX(0,AU172)</f>
        <v/>
      </c>
      <c r="H173" s="24">
        <f>MAX(0,AV172)</f>
        <v/>
      </c>
      <c r="I173" s="24">
        <f>MAX(0,AW172)</f>
        <v/>
      </c>
      <c r="J173" s="24">
        <f>MAX(0,AX172)</f>
        <v/>
      </c>
      <c r="K173" s="24">
        <f>MAX(0,AY172)</f>
        <v/>
      </c>
      <c r="L173" s="24">
        <f>MAX(0,AZ172)</f>
        <v/>
      </c>
      <c r="M173" s="24">
        <f>MAX(0,BA172)</f>
        <v/>
      </c>
      <c r="N173" s="24">
        <f>IF(D173&lt;0.5,0,D173*(1+N('My Loans'!D6)/1200))</f>
        <v/>
      </c>
      <c r="O173" s="24">
        <f>IF(E173&lt;0.5,0,E173*(1+N('My Loans'!D7)/1200))</f>
        <v/>
      </c>
      <c r="P173" s="24">
        <f>IF(F173&lt;0.5,0,F173*(1+N('My Loans'!D8)/1200))</f>
        <v/>
      </c>
      <c r="Q173" s="24">
        <f>IF(G173&lt;0.5,0,G173*(1+N('My Loans'!D9)/1200))</f>
        <v/>
      </c>
      <c r="R173" s="24">
        <f>IF(H173&lt;0.5,0,H173*(1+N('My Loans'!D10)/1200))</f>
        <v/>
      </c>
      <c r="S173" s="24">
        <f>IF(I173&lt;0.5,0,I173*(1+N('My Loans'!D11)/1200))</f>
        <v/>
      </c>
      <c r="T173" s="24">
        <f>IF(J173&lt;0.5,0,J173*(1+N('My Loans'!D12)/1200))</f>
        <v/>
      </c>
      <c r="U173" s="24">
        <f>IF(K173&lt;0.5,0,K173*(1+N('My Loans'!D13)/1200))</f>
        <v/>
      </c>
      <c r="V173" s="24">
        <f>IF(L173&lt;0.5,0,L173*(1+N('My Loans'!D14)/1200))</f>
        <v/>
      </c>
      <c r="W173" s="24">
        <f>IF(M173&lt;0.5,0,M173*(1+N('My Loans'!D15)/1200))</f>
        <v/>
      </c>
      <c r="X173" s="24">
        <f>MIN(N173,N('My Loans'!E6))</f>
        <v/>
      </c>
      <c r="Y173" s="24">
        <f>MIN(O173,N('My Loans'!E7))</f>
        <v/>
      </c>
      <c r="Z173" s="24">
        <f>MIN(P173,N('My Loans'!E8))</f>
        <v/>
      </c>
      <c r="AA173" s="24">
        <f>MIN(Q173,N('My Loans'!E9))</f>
        <v/>
      </c>
      <c r="AB173" s="24">
        <f>MIN(R173,N('My Loans'!E10))</f>
        <v/>
      </c>
      <c r="AC173" s="24">
        <f>MIN(S173,N('My Loans'!E11))</f>
        <v/>
      </c>
      <c r="AD173" s="24">
        <f>MIN(T173,N('My Loans'!E12))</f>
        <v/>
      </c>
      <c r="AE173" s="24">
        <f>MIN(U173,N('My Loans'!E13))</f>
        <v/>
      </c>
      <c r="AF173" s="24">
        <f>MIN(V173,N('My Loans'!E14))</f>
        <v/>
      </c>
      <c r="AG173" s="24">
        <f>MIN(W173,N('My Loans'!E15))</f>
        <v/>
      </c>
      <c r="AH173" s="24">
        <f>MIN(N173-X173,MAX(0,$C173-SUMPRODUCT(($D$3:$M$3&lt;D$3)*($N173:$W173-$X173:$AG173))))</f>
        <v/>
      </c>
      <c r="AI173" s="24">
        <f>MIN(O173-Y173,MAX(0,$C173-SUMPRODUCT(($D$3:$M$3&lt;E$3)*($N173:$W173-$X173:$AG173))))</f>
        <v/>
      </c>
      <c r="AJ173" s="24">
        <f>MIN(P173-Z173,MAX(0,$C173-SUMPRODUCT(($D$3:$M$3&lt;F$3)*($N173:$W173-$X173:$AG173))))</f>
        <v/>
      </c>
      <c r="AK173" s="24">
        <f>MIN(Q173-AA173,MAX(0,$C173-SUMPRODUCT(($D$3:$M$3&lt;G$3)*($N173:$W173-$X173:$AG173))))</f>
        <v/>
      </c>
      <c r="AL173" s="24">
        <f>MIN(R173-AB173,MAX(0,$C173-SUMPRODUCT(($D$3:$M$3&lt;H$3)*($N173:$W173-$X173:$AG173))))</f>
        <v/>
      </c>
      <c r="AM173" s="24">
        <f>MIN(S173-AC173,MAX(0,$C173-SUMPRODUCT(($D$3:$M$3&lt;I$3)*($N173:$W173-$X173:$AG173))))</f>
        <v/>
      </c>
      <c r="AN173" s="24">
        <f>MIN(T173-AD173,MAX(0,$C173-SUMPRODUCT(($D$3:$M$3&lt;J$3)*($N173:$W173-$X173:$AG173))))</f>
        <v/>
      </c>
      <c r="AO173" s="24">
        <f>MIN(U173-AE173,MAX(0,$C173-SUMPRODUCT(($D$3:$M$3&lt;K$3)*($N173:$W173-$X173:$AG173))))</f>
        <v/>
      </c>
      <c r="AP173" s="24">
        <f>MIN(V173-AF173,MAX(0,$C173-SUMPRODUCT(($D$3:$M$3&lt;L$3)*($N173:$W173-$X173:$AG173))))</f>
        <v/>
      </c>
      <c r="AQ173" s="24">
        <f>MIN(W173-AG173,MAX(0,$C173-SUMPRODUCT(($D$3:$M$3&lt;M$3)*($N173:$W173-$X173:$AG173))))</f>
        <v/>
      </c>
      <c r="AR173" s="24">
        <f>ROUND(N173-X173-AH173,2)</f>
        <v/>
      </c>
      <c r="AS173" s="24">
        <f>ROUND(O173-Y173-AI173,2)</f>
        <v/>
      </c>
      <c r="AT173" s="24">
        <f>ROUND(P173-Z173-AJ173,2)</f>
        <v/>
      </c>
      <c r="AU173" s="24">
        <f>ROUND(Q173-AA173-AK173,2)</f>
        <v/>
      </c>
      <c r="AV173" s="24">
        <f>ROUND(R173-AB173-AL173,2)</f>
        <v/>
      </c>
      <c r="AW173" s="24">
        <f>ROUND(S173-AC173-AM173,2)</f>
        <v/>
      </c>
      <c r="AX173" s="24">
        <f>ROUND(T173-AD173-AN173,2)</f>
        <v/>
      </c>
      <c r="AY173" s="24">
        <f>ROUND(U173-AE173-AO173,2)</f>
        <v/>
      </c>
      <c r="AZ173" s="24">
        <f>ROUND(V173-AF173-AP173,2)</f>
        <v/>
      </c>
      <c r="BA173" s="24">
        <f>ROUND(W173-AG173-AQ173,2)</f>
        <v/>
      </c>
      <c r="BB173" s="24">
        <f>SUM(AR173:BA173)</f>
        <v/>
      </c>
    </row>
    <row r="174">
      <c r="A174" t="n">
        <v>170</v>
      </c>
      <c r="B174" s="23">
        <f>EOMONTH(TODAY(),169)</f>
        <v/>
      </c>
      <c r="C174" s="24">
        <f>MAX(0,(SUM('My Loans'!$E$6:$E$15)+'My Loans'!$D$3)-SUM($X174:$AG174))</f>
        <v/>
      </c>
      <c r="D174" s="24">
        <f>MAX(0,AR173)</f>
        <v/>
      </c>
      <c r="E174" s="24">
        <f>MAX(0,AS173)</f>
        <v/>
      </c>
      <c r="F174" s="24">
        <f>MAX(0,AT173)</f>
        <v/>
      </c>
      <c r="G174" s="24">
        <f>MAX(0,AU173)</f>
        <v/>
      </c>
      <c r="H174" s="24">
        <f>MAX(0,AV173)</f>
        <v/>
      </c>
      <c r="I174" s="24">
        <f>MAX(0,AW173)</f>
        <v/>
      </c>
      <c r="J174" s="24">
        <f>MAX(0,AX173)</f>
        <v/>
      </c>
      <c r="K174" s="24">
        <f>MAX(0,AY173)</f>
        <v/>
      </c>
      <c r="L174" s="24">
        <f>MAX(0,AZ173)</f>
        <v/>
      </c>
      <c r="M174" s="24">
        <f>MAX(0,BA173)</f>
        <v/>
      </c>
      <c r="N174" s="24">
        <f>IF(D174&lt;0.5,0,D174*(1+N('My Loans'!D6)/1200))</f>
        <v/>
      </c>
      <c r="O174" s="24">
        <f>IF(E174&lt;0.5,0,E174*(1+N('My Loans'!D7)/1200))</f>
        <v/>
      </c>
      <c r="P174" s="24">
        <f>IF(F174&lt;0.5,0,F174*(1+N('My Loans'!D8)/1200))</f>
        <v/>
      </c>
      <c r="Q174" s="24">
        <f>IF(G174&lt;0.5,0,G174*(1+N('My Loans'!D9)/1200))</f>
        <v/>
      </c>
      <c r="R174" s="24">
        <f>IF(H174&lt;0.5,0,H174*(1+N('My Loans'!D10)/1200))</f>
        <v/>
      </c>
      <c r="S174" s="24">
        <f>IF(I174&lt;0.5,0,I174*(1+N('My Loans'!D11)/1200))</f>
        <v/>
      </c>
      <c r="T174" s="24">
        <f>IF(J174&lt;0.5,0,J174*(1+N('My Loans'!D12)/1200))</f>
        <v/>
      </c>
      <c r="U174" s="24">
        <f>IF(K174&lt;0.5,0,K174*(1+N('My Loans'!D13)/1200))</f>
        <v/>
      </c>
      <c r="V174" s="24">
        <f>IF(L174&lt;0.5,0,L174*(1+N('My Loans'!D14)/1200))</f>
        <v/>
      </c>
      <c r="W174" s="24">
        <f>IF(M174&lt;0.5,0,M174*(1+N('My Loans'!D15)/1200))</f>
        <v/>
      </c>
      <c r="X174" s="24">
        <f>MIN(N174,N('My Loans'!E6))</f>
        <v/>
      </c>
      <c r="Y174" s="24">
        <f>MIN(O174,N('My Loans'!E7))</f>
        <v/>
      </c>
      <c r="Z174" s="24">
        <f>MIN(P174,N('My Loans'!E8))</f>
        <v/>
      </c>
      <c r="AA174" s="24">
        <f>MIN(Q174,N('My Loans'!E9))</f>
        <v/>
      </c>
      <c r="AB174" s="24">
        <f>MIN(R174,N('My Loans'!E10))</f>
        <v/>
      </c>
      <c r="AC174" s="24">
        <f>MIN(S174,N('My Loans'!E11))</f>
        <v/>
      </c>
      <c r="AD174" s="24">
        <f>MIN(T174,N('My Loans'!E12))</f>
        <v/>
      </c>
      <c r="AE174" s="24">
        <f>MIN(U174,N('My Loans'!E13))</f>
        <v/>
      </c>
      <c r="AF174" s="24">
        <f>MIN(V174,N('My Loans'!E14))</f>
        <v/>
      </c>
      <c r="AG174" s="24">
        <f>MIN(W174,N('My Loans'!E15))</f>
        <v/>
      </c>
      <c r="AH174" s="24">
        <f>MIN(N174-X174,MAX(0,$C174-SUMPRODUCT(($D$3:$M$3&lt;D$3)*($N174:$W174-$X174:$AG174))))</f>
        <v/>
      </c>
      <c r="AI174" s="24">
        <f>MIN(O174-Y174,MAX(0,$C174-SUMPRODUCT(($D$3:$M$3&lt;E$3)*($N174:$W174-$X174:$AG174))))</f>
        <v/>
      </c>
      <c r="AJ174" s="24">
        <f>MIN(P174-Z174,MAX(0,$C174-SUMPRODUCT(($D$3:$M$3&lt;F$3)*($N174:$W174-$X174:$AG174))))</f>
        <v/>
      </c>
      <c r="AK174" s="24">
        <f>MIN(Q174-AA174,MAX(0,$C174-SUMPRODUCT(($D$3:$M$3&lt;G$3)*($N174:$W174-$X174:$AG174))))</f>
        <v/>
      </c>
      <c r="AL174" s="24">
        <f>MIN(R174-AB174,MAX(0,$C174-SUMPRODUCT(($D$3:$M$3&lt;H$3)*($N174:$W174-$X174:$AG174))))</f>
        <v/>
      </c>
      <c r="AM174" s="24">
        <f>MIN(S174-AC174,MAX(0,$C174-SUMPRODUCT(($D$3:$M$3&lt;I$3)*($N174:$W174-$X174:$AG174))))</f>
        <v/>
      </c>
      <c r="AN174" s="24">
        <f>MIN(T174-AD174,MAX(0,$C174-SUMPRODUCT(($D$3:$M$3&lt;J$3)*($N174:$W174-$X174:$AG174))))</f>
        <v/>
      </c>
      <c r="AO174" s="24">
        <f>MIN(U174-AE174,MAX(0,$C174-SUMPRODUCT(($D$3:$M$3&lt;K$3)*($N174:$W174-$X174:$AG174))))</f>
        <v/>
      </c>
      <c r="AP174" s="24">
        <f>MIN(V174-AF174,MAX(0,$C174-SUMPRODUCT(($D$3:$M$3&lt;L$3)*($N174:$W174-$X174:$AG174))))</f>
        <v/>
      </c>
      <c r="AQ174" s="24">
        <f>MIN(W174-AG174,MAX(0,$C174-SUMPRODUCT(($D$3:$M$3&lt;M$3)*($N174:$W174-$X174:$AG174))))</f>
        <v/>
      </c>
      <c r="AR174" s="24">
        <f>ROUND(N174-X174-AH174,2)</f>
        <v/>
      </c>
      <c r="AS174" s="24">
        <f>ROUND(O174-Y174-AI174,2)</f>
        <v/>
      </c>
      <c r="AT174" s="24">
        <f>ROUND(P174-Z174-AJ174,2)</f>
        <v/>
      </c>
      <c r="AU174" s="24">
        <f>ROUND(Q174-AA174-AK174,2)</f>
        <v/>
      </c>
      <c r="AV174" s="24">
        <f>ROUND(R174-AB174-AL174,2)</f>
        <v/>
      </c>
      <c r="AW174" s="24">
        <f>ROUND(S174-AC174-AM174,2)</f>
        <v/>
      </c>
      <c r="AX174" s="24">
        <f>ROUND(T174-AD174-AN174,2)</f>
        <v/>
      </c>
      <c r="AY174" s="24">
        <f>ROUND(U174-AE174-AO174,2)</f>
        <v/>
      </c>
      <c r="AZ174" s="24">
        <f>ROUND(V174-AF174-AP174,2)</f>
        <v/>
      </c>
      <c r="BA174" s="24">
        <f>ROUND(W174-AG174-AQ174,2)</f>
        <v/>
      </c>
      <c r="BB174" s="24">
        <f>SUM(AR174:BA174)</f>
        <v/>
      </c>
    </row>
    <row r="175">
      <c r="A175" t="n">
        <v>171</v>
      </c>
      <c r="B175" s="23">
        <f>EOMONTH(TODAY(),170)</f>
        <v/>
      </c>
      <c r="C175" s="24">
        <f>MAX(0,(SUM('My Loans'!$E$6:$E$15)+'My Loans'!$D$3)-SUM($X175:$AG175))</f>
        <v/>
      </c>
      <c r="D175" s="24">
        <f>MAX(0,AR174)</f>
        <v/>
      </c>
      <c r="E175" s="24">
        <f>MAX(0,AS174)</f>
        <v/>
      </c>
      <c r="F175" s="24">
        <f>MAX(0,AT174)</f>
        <v/>
      </c>
      <c r="G175" s="24">
        <f>MAX(0,AU174)</f>
        <v/>
      </c>
      <c r="H175" s="24">
        <f>MAX(0,AV174)</f>
        <v/>
      </c>
      <c r="I175" s="24">
        <f>MAX(0,AW174)</f>
        <v/>
      </c>
      <c r="J175" s="24">
        <f>MAX(0,AX174)</f>
        <v/>
      </c>
      <c r="K175" s="24">
        <f>MAX(0,AY174)</f>
        <v/>
      </c>
      <c r="L175" s="24">
        <f>MAX(0,AZ174)</f>
        <v/>
      </c>
      <c r="M175" s="24">
        <f>MAX(0,BA174)</f>
        <v/>
      </c>
      <c r="N175" s="24">
        <f>IF(D175&lt;0.5,0,D175*(1+N('My Loans'!D6)/1200))</f>
        <v/>
      </c>
      <c r="O175" s="24">
        <f>IF(E175&lt;0.5,0,E175*(1+N('My Loans'!D7)/1200))</f>
        <v/>
      </c>
      <c r="P175" s="24">
        <f>IF(F175&lt;0.5,0,F175*(1+N('My Loans'!D8)/1200))</f>
        <v/>
      </c>
      <c r="Q175" s="24">
        <f>IF(G175&lt;0.5,0,G175*(1+N('My Loans'!D9)/1200))</f>
        <v/>
      </c>
      <c r="R175" s="24">
        <f>IF(H175&lt;0.5,0,H175*(1+N('My Loans'!D10)/1200))</f>
        <v/>
      </c>
      <c r="S175" s="24">
        <f>IF(I175&lt;0.5,0,I175*(1+N('My Loans'!D11)/1200))</f>
        <v/>
      </c>
      <c r="T175" s="24">
        <f>IF(J175&lt;0.5,0,J175*(1+N('My Loans'!D12)/1200))</f>
        <v/>
      </c>
      <c r="U175" s="24">
        <f>IF(K175&lt;0.5,0,K175*(1+N('My Loans'!D13)/1200))</f>
        <v/>
      </c>
      <c r="V175" s="24">
        <f>IF(L175&lt;0.5,0,L175*(1+N('My Loans'!D14)/1200))</f>
        <v/>
      </c>
      <c r="W175" s="24">
        <f>IF(M175&lt;0.5,0,M175*(1+N('My Loans'!D15)/1200))</f>
        <v/>
      </c>
      <c r="X175" s="24">
        <f>MIN(N175,N('My Loans'!E6))</f>
        <v/>
      </c>
      <c r="Y175" s="24">
        <f>MIN(O175,N('My Loans'!E7))</f>
        <v/>
      </c>
      <c r="Z175" s="24">
        <f>MIN(P175,N('My Loans'!E8))</f>
        <v/>
      </c>
      <c r="AA175" s="24">
        <f>MIN(Q175,N('My Loans'!E9))</f>
        <v/>
      </c>
      <c r="AB175" s="24">
        <f>MIN(R175,N('My Loans'!E10))</f>
        <v/>
      </c>
      <c r="AC175" s="24">
        <f>MIN(S175,N('My Loans'!E11))</f>
        <v/>
      </c>
      <c r="AD175" s="24">
        <f>MIN(T175,N('My Loans'!E12))</f>
        <v/>
      </c>
      <c r="AE175" s="24">
        <f>MIN(U175,N('My Loans'!E13))</f>
        <v/>
      </c>
      <c r="AF175" s="24">
        <f>MIN(V175,N('My Loans'!E14))</f>
        <v/>
      </c>
      <c r="AG175" s="24">
        <f>MIN(W175,N('My Loans'!E15))</f>
        <v/>
      </c>
      <c r="AH175" s="24">
        <f>MIN(N175-X175,MAX(0,$C175-SUMPRODUCT(($D$3:$M$3&lt;D$3)*($N175:$W175-$X175:$AG175))))</f>
        <v/>
      </c>
      <c r="AI175" s="24">
        <f>MIN(O175-Y175,MAX(0,$C175-SUMPRODUCT(($D$3:$M$3&lt;E$3)*($N175:$W175-$X175:$AG175))))</f>
        <v/>
      </c>
      <c r="AJ175" s="24">
        <f>MIN(P175-Z175,MAX(0,$C175-SUMPRODUCT(($D$3:$M$3&lt;F$3)*($N175:$W175-$X175:$AG175))))</f>
        <v/>
      </c>
      <c r="AK175" s="24">
        <f>MIN(Q175-AA175,MAX(0,$C175-SUMPRODUCT(($D$3:$M$3&lt;G$3)*($N175:$W175-$X175:$AG175))))</f>
        <v/>
      </c>
      <c r="AL175" s="24">
        <f>MIN(R175-AB175,MAX(0,$C175-SUMPRODUCT(($D$3:$M$3&lt;H$3)*($N175:$W175-$X175:$AG175))))</f>
        <v/>
      </c>
      <c r="AM175" s="24">
        <f>MIN(S175-AC175,MAX(0,$C175-SUMPRODUCT(($D$3:$M$3&lt;I$3)*($N175:$W175-$X175:$AG175))))</f>
        <v/>
      </c>
      <c r="AN175" s="24">
        <f>MIN(T175-AD175,MAX(0,$C175-SUMPRODUCT(($D$3:$M$3&lt;J$3)*($N175:$W175-$X175:$AG175))))</f>
        <v/>
      </c>
      <c r="AO175" s="24">
        <f>MIN(U175-AE175,MAX(0,$C175-SUMPRODUCT(($D$3:$M$3&lt;K$3)*($N175:$W175-$X175:$AG175))))</f>
        <v/>
      </c>
      <c r="AP175" s="24">
        <f>MIN(V175-AF175,MAX(0,$C175-SUMPRODUCT(($D$3:$M$3&lt;L$3)*($N175:$W175-$X175:$AG175))))</f>
        <v/>
      </c>
      <c r="AQ175" s="24">
        <f>MIN(W175-AG175,MAX(0,$C175-SUMPRODUCT(($D$3:$M$3&lt;M$3)*($N175:$W175-$X175:$AG175))))</f>
        <v/>
      </c>
      <c r="AR175" s="24">
        <f>ROUND(N175-X175-AH175,2)</f>
        <v/>
      </c>
      <c r="AS175" s="24">
        <f>ROUND(O175-Y175-AI175,2)</f>
        <v/>
      </c>
      <c r="AT175" s="24">
        <f>ROUND(P175-Z175-AJ175,2)</f>
        <v/>
      </c>
      <c r="AU175" s="24">
        <f>ROUND(Q175-AA175-AK175,2)</f>
        <v/>
      </c>
      <c r="AV175" s="24">
        <f>ROUND(R175-AB175-AL175,2)</f>
        <v/>
      </c>
      <c r="AW175" s="24">
        <f>ROUND(S175-AC175-AM175,2)</f>
        <v/>
      </c>
      <c r="AX175" s="24">
        <f>ROUND(T175-AD175-AN175,2)</f>
        <v/>
      </c>
      <c r="AY175" s="24">
        <f>ROUND(U175-AE175-AO175,2)</f>
        <v/>
      </c>
      <c r="AZ175" s="24">
        <f>ROUND(V175-AF175-AP175,2)</f>
        <v/>
      </c>
      <c r="BA175" s="24">
        <f>ROUND(W175-AG175-AQ175,2)</f>
        <v/>
      </c>
      <c r="BB175" s="24">
        <f>SUM(AR175:BA175)</f>
        <v/>
      </c>
    </row>
    <row r="176">
      <c r="A176" t="n">
        <v>172</v>
      </c>
      <c r="B176" s="23">
        <f>EOMONTH(TODAY(),171)</f>
        <v/>
      </c>
      <c r="C176" s="24">
        <f>MAX(0,(SUM('My Loans'!$E$6:$E$15)+'My Loans'!$D$3)-SUM($X176:$AG176))</f>
        <v/>
      </c>
      <c r="D176" s="24">
        <f>MAX(0,AR175)</f>
        <v/>
      </c>
      <c r="E176" s="24">
        <f>MAX(0,AS175)</f>
        <v/>
      </c>
      <c r="F176" s="24">
        <f>MAX(0,AT175)</f>
        <v/>
      </c>
      <c r="G176" s="24">
        <f>MAX(0,AU175)</f>
        <v/>
      </c>
      <c r="H176" s="24">
        <f>MAX(0,AV175)</f>
        <v/>
      </c>
      <c r="I176" s="24">
        <f>MAX(0,AW175)</f>
        <v/>
      </c>
      <c r="J176" s="24">
        <f>MAX(0,AX175)</f>
        <v/>
      </c>
      <c r="K176" s="24">
        <f>MAX(0,AY175)</f>
        <v/>
      </c>
      <c r="L176" s="24">
        <f>MAX(0,AZ175)</f>
        <v/>
      </c>
      <c r="M176" s="24">
        <f>MAX(0,BA175)</f>
        <v/>
      </c>
      <c r="N176" s="24">
        <f>IF(D176&lt;0.5,0,D176*(1+N('My Loans'!D6)/1200))</f>
        <v/>
      </c>
      <c r="O176" s="24">
        <f>IF(E176&lt;0.5,0,E176*(1+N('My Loans'!D7)/1200))</f>
        <v/>
      </c>
      <c r="P176" s="24">
        <f>IF(F176&lt;0.5,0,F176*(1+N('My Loans'!D8)/1200))</f>
        <v/>
      </c>
      <c r="Q176" s="24">
        <f>IF(G176&lt;0.5,0,G176*(1+N('My Loans'!D9)/1200))</f>
        <v/>
      </c>
      <c r="R176" s="24">
        <f>IF(H176&lt;0.5,0,H176*(1+N('My Loans'!D10)/1200))</f>
        <v/>
      </c>
      <c r="S176" s="24">
        <f>IF(I176&lt;0.5,0,I176*(1+N('My Loans'!D11)/1200))</f>
        <v/>
      </c>
      <c r="T176" s="24">
        <f>IF(J176&lt;0.5,0,J176*(1+N('My Loans'!D12)/1200))</f>
        <v/>
      </c>
      <c r="U176" s="24">
        <f>IF(K176&lt;0.5,0,K176*(1+N('My Loans'!D13)/1200))</f>
        <v/>
      </c>
      <c r="V176" s="24">
        <f>IF(L176&lt;0.5,0,L176*(1+N('My Loans'!D14)/1200))</f>
        <v/>
      </c>
      <c r="W176" s="24">
        <f>IF(M176&lt;0.5,0,M176*(1+N('My Loans'!D15)/1200))</f>
        <v/>
      </c>
      <c r="X176" s="24">
        <f>MIN(N176,N('My Loans'!E6))</f>
        <v/>
      </c>
      <c r="Y176" s="24">
        <f>MIN(O176,N('My Loans'!E7))</f>
        <v/>
      </c>
      <c r="Z176" s="24">
        <f>MIN(P176,N('My Loans'!E8))</f>
        <v/>
      </c>
      <c r="AA176" s="24">
        <f>MIN(Q176,N('My Loans'!E9))</f>
        <v/>
      </c>
      <c r="AB176" s="24">
        <f>MIN(R176,N('My Loans'!E10))</f>
        <v/>
      </c>
      <c r="AC176" s="24">
        <f>MIN(S176,N('My Loans'!E11))</f>
        <v/>
      </c>
      <c r="AD176" s="24">
        <f>MIN(T176,N('My Loans'!E12))</f>
        <v/>
      </c>
      <c r="AE176" s="24">
        <f>MIN(U176,N('My Loans'!E13))</f>
        <v/>
      </c>
      <c r="AF176" s="24">
        <f>MIN(V176,N('My Loans'!E14))</f>
        <v/>
      </c>
      <c r="AG176" s="24">
        <f>MIN(W176,N('My Loans'!E15))</f>
        <v/>
      </c>
      <c r="AH176" s="24">
        <f>MIN(N176-X176,MAX(0,$C176-SUMPRODUCT(($D$3:$M$3&lt;D$3)*($N176:$W176-$X176:$AG176))))</f>
        <v/>
      </c>
      <c r="AI176" s="24">
        <f>MIN(O176-Y176,MAX(0,$C176-SUMPRODUCT(($D$3:$M$3&lt;E$3)*($N176:$W176-$X176:$AG176))))</f>
        <v/>
      </c>
      <c r="AJ176" s="24">
        <f>MIN(P176-Z176,MAX(0,$C176-SUMPRODUCT(($D$3:$M$3&lt;F$3)*($N176:$W176-$X176:$AG176))))</f>
        <v/>
      </c>
      <c r="AK176" s="24">
        <f>MIN(Q176-AA176,MAX(0,$C176-SUMPRODUCT(($D$3:$M$3&lt;G$3)*($N176:$W176-$X176:$AG176))))</f>
        <v/>
      </c>
      <c r="AL176" s="24">
        <f>MIN(R176-AB176,MAX(0,$C176-SUMPRODUCT(($D$3:$M$3&lt;H$3)*($N176:$W176-$X176:$AG176))))</f>
        <v/>
      </c>
      <c r="AM176" s="24">
        <f>MIN(S176-AC176,MAX(0,$C176-SUMPRODUCT(($D$3:$M$3&lt;I$3)*($N176:$W176-$X176:$AG176))))</f>
        <v/>
      </c>
      <c r="AN176" s="24">
        <f>MIN(T176-AD176,MAX(0,$C176-SUMPRODUCT(($D$3:$M$3&lt;J$3)*($N176:$W176-$X176:$AG176))))</f>
        <v/>
      </c>
      <c r="AO176" s="24">
        <f>MIN(U176-AE176,MAX(0,$C176-SUMPRODUCT(($D$3:$M$3&lt;K$3)*($N176:$W176-$X176:$AG176))))</f>
        <v/>
      </c>
      <c r="AP176" s="24">
        <f>MIN(V176-AF176,MAX(0,$C176-SUMPRODUCT(($D$3:$M$3&lt;L$3)*($N176:$W176-$X176:$AG176))))</f>
        <v/>
      </c>
      <c r="AQ176" s="24">
        <f>MIN(W176-AG176,MAX(0,$C176-SUMPRODUCT(($D$3:$M$3&lt;M$3)*($N176:$W176-$X176:$AG176))))</f>
        <v/>
      </c>
      <c r="AR176" s="24">
        <f>ROUND(N176-X176-AH176,2)</f>
        <v/>
      </c>
      <c r="AS176" s="24">
        <f>ROUND(O176-Y176-AI176,2)</f>
        <v/>
      </c>
      <c r="AT176" s="24">
        <f>ROUND(P176-Z176-AJ176,2)</f>
        <v/>
      </c>
      <c r="AU176" s="24">
        <f>ROUND(Q176-AA176-AK176,2)</f>
        <v/>
      </c>
      <c r="AV176" s="24">
        <f>ROUND(R176-AB176-AL176,2)</f>
        <v/>
      </c>
      <c r="AW176" s="24">
        <f>ROUND(S176-AC176-AM176,2)</f>
        <v/>
      </c>
      <c r="AX176" s="24">
        <f>ROUND(T176-AD176-AN176,2)</f>
        <v/>
      </c>
      <c r="AY176" s="24">
        <f>ROUND(U176-AE176-AO176,2)</f>
        <v/>
      </c>
      <c r="AZ176" s="24">
        <f>ROUND(V176-AF176-AP176,2)</f>
        <v/>
      </c>
      <c r="BA176" s="24">
        <f>ROUND(W176-AG176-AQ176,2)</f>
        <v/>
      </c>
      <c r="BB176" s="24">
        <f>SUM(AR176:BA176)</f>
        <v/>
      </c>
    </row>
    <row r="177">
      <c r="A177" t="n">
        <v>173</v>
      </c>
      <c r="B177" s="23">
        <f>EOMONTH(TODAY(),172)</f>
        <v/>
      </c>
      <c r="C177" s="24">
        <f>MAX(0,(SUM('My Loans'!$E$6:$E$15)+'My Loans'!$D$3)-SUM($X177:$AG177))</f>
        <v/>
      </c>
      <c r="D177" s="24">
        <f>MAX(0,AR176)</f>
        <v/>
      </c>
      <c r="E177" s="24">
        <f>MAX(0,AS176)</f>
        <v/>
      </c>
      <c r="F177" s="24">
        <f>MAX(0,AT176)</f>
        <v/>
      </c>
      <c r="G177" s="24">
        <f>MAX(0,AU176)</f>
        <v/>
      </c>
      <c r="H177" s="24">
        <f>MAX(0,AV176)</f>
        <v/>
      </c>
      <c r="I177" s="24">
        <f>MAX(0,AW176)</f>
        <v/>
      </c>
      <c r="J177" s="24">
        <f>MAX(0,AX176)</f>
        <v/>
      </c>
      <c r="K177" s="24">
        <f>MAX(0,AY176)</f>
        <v/>
      </c>
      <c r="L177" s="24">
        <f>MAX(0,AZ176)</f>
        <v/>
      </c>
      <c r="M177" s="24">
        <f>MAX(0,BA176)</f>
        <v/>
      </c>
      <c r="N177" s="24">
        <f>IF(D177&lt;0.5,0,D177*(1+N('My Loans'!D6)/1200))</f>
        <v/>
      </c>
      <c r="O177" s="24">
        <f>IF(E177&lt;0.5,0,E177*(1+N('My Loans'!D7)/1200))</f>
        <v/>
      </c>
      <c r="P177" s="24">
        <f>IF(F177&lt;0.5,0,F177*(1+N('My Loans'!D8)/1200))</f>
        <v/>
      </c>
      <c r="Q177" s="24">
        <f>IF(G177&lt;0.5,0,G177*(1+N('My Loans'!D9)/1200))</f>
        <v/>
      </c>
      <c r="R177" s="24">
        <f>IF(H177&lt;0.5,0,H177*(1+N('My Loans'!D10)/1200))</f>
        <v/>
      </c>
      <c r="S177" s="24">
        <f>IF(I177&lt;0.5,0,I177*(1+N('My Loans'!D11)/1200))</f>
        <v/>
      </c>
      <c r="T177" s="24">
        <f>IF(J177&lt;0.5,0,J177*(1+N('My Loans'!D12)/1200))</f>
        <v/>
      </c>
      <c r="U177" s="24">
        <f>IF(K177&lt;0.5,0,K177*(1+N('My Loans'!D13)/1200))</f>
        <v/>
      </c>
      <c r="V177" s="24">
        <f>IF(L177&lt;0.5,0,L177*(1+N('My Loans'!D14)/1200))</f>
        <v/>
      </c>
      <c r="W177" s="24">
        <f>IF(M177&lt;0.5,0,M177*(1+N('My Loans'!D15)/1200))</f>
        <v/>
      </c>
      <c r="X177" s="24">
        <f>MIN(N177,N('My Loans'!E6))</f>
        <v/>
      </c>
      <c r="Y177" s="24">
        <f>MIN(O177,N('My Loans'!E7))</f>
        <v/>
      </c>
      <c r="Z177" s="24">
        <f>MIN(P177,N('My Loans'!E8))</f>
        <v/>
      </c>
      <c r="AA177" s="24">
        <f>MIN(Q177,N('My Loans'!E9))</f>
        <v/>
      </c>
      <c r="AB177" s="24">
        <f>MIN(R177,N('My Loans'!E10))</f>
        <v/>
      </c>
      <c r="AC177" s="24">
        <f>MIN(S177,N('My Loans'!E11))</f>
        <v/>
      </c>
      <c r="AD177" s="24">
        <f>MIN(T177,N('My Loans'!E12))</f>
        <v/>
      </c>
      <c r="AE177" s="24">
        <f>MIN(U177,N('My Loans'!E13))</f>
        <v/>
      </c>
      <c r="AF177" s="24">
        <f>MIN(V177,N('My Loans'!E14))</f>
        <v/>
      </c>
      <c r="AG177" s="24">
        <f>MIN(W177,N('My Loans'!E15))</f>
        <v/>
      </c>
      <c r="AH177" s="24">
        <f>MIN(N177-X177,MAX(0,$C177-SUMPRODUCT(($D$3:$M$3&lt;D$3)*($N177:$W177-$X177:$AG177))))</f>
        <v/>
      </c>
      <c r="AI177" s="24">
        <f>MIN(O177-Y177,MAX(0,$C177-SUMPRODUCT(($D$3:$M$3&lt;E$3)*($N177:$W177-$X177:$AG177))))</f>
        <v/>
      </c>
      <c r="AJ177" s="24">
        <f>MIN(P177-Z177,MAX(0,$C177-SUMPRODUCT(($D$3:$M$3&lt;F$3)*($N177:$W177-$X177:$AG177))))</f>
        <v/>
      </c>
      <c r="AK177" s="24">
        <f>MIN(Q177-AA177,MAX(0,$C177-SUMPRODUCT(($D$3:$M$3&lt;G$3)*($N177:$W177-$X177:$AG177))))</f>
        <v/>
      </c>
      <c r="AL177" s="24">
        <f>MIN(R177-AB177,MAX(0,$C177-SUMPRODUCT(($D$3:$M$3&lt;H$3)*($N177:$W177-$X177:$AG177))))</f>
        <v/>
      </c>
      <c r="AM177" s="24">
        <f>MIN(S177-AC177,MAX(0,$C177-SUMPRODUCT(($D$3:$M$3&lt;I$3)*($N177:$W177-$X177:$AG177))))</f>
        <v/>
      </c>
      <c r="AN177" s="24">
        <f>MIN(T177-AD177,MAX(0,$C177-SUMPRODUCT(($D$3:$M$3&lt;J$3)*($N177:$W177-$X177:$AG177))))</f>
        <v/>
      </c>
      <c r="AO177" s="24">
        <f>MIN(U177-AE177,MAX(0,$C177-SUMPRODUCT(($D$3:$M$3&lt;K$3)*($N177:$W177-$X177:$AG177))))</f>
        <v/>
      </c>
      <c r="AP177" s="24">
        <f>MIN(V177-AF177,MAX(0,$C177-SUMPRODUCT(($D$3:$M$3&lt;L$3)*($N177:$W177-$X177:$AG177))))</f>
        <v/>
      </c>
      <c r="AQ177" s="24">
        <f>MIN(W177-AG177,MAX(0,$C177-SUMPRODUCT(($D$3:$M$3&lt;M$3)*($N177:$W177-$X177:$AG177))))</f>
        <v/>
      </c>
      <c r="AR177" s="24">
        <f>ROUND(N177-X177-AH177,2)</f>
        <v/>
      </c>
      <c r="AS177" s="24">
        <f>ROUND(O177-Y177-AI177,2)</f>
        <v/>
      </c>
      <c r="AT177" s="24">
        <f>ROUND(P177-Z177-AJ177,2)</f>
        <v/>
      </c>
      <c r="AU177" s="24">
        <f>ROUND(Q177-AA177-AK177,2)</f>
        <v/>
      </c>
      <c r="AV177" s="24">
        <f>ROUND(R177-AB177-AL177,2)</f>
        <v/>
      </c>
      <c r="AW177" s="24">
        <f>ROUND(S177-AC177-AM177,2)</f>
        <v/>
      </c>
      <c r="AX177" s="24">
        <f>ROUND(T177-AD177-AN177,2)</f>
        <v/>
      </c>
      <c r="AY177" s="24">
        <f>ROUND(U177-AE177-AO177,2)</f>
        <v/>
      </c>
      <c r="AZ177" s="24">
        <f>ROUND(V177-AF177-AP177,2)</f>
        <v/>
      </c>
      <c r="BA177" s="24">
        <f>ROUND(W177-AG177-AQ177,2)</f>
        <v/>
      </c>
      <c r="BB177" s="24">
        <f>SUM(AR177:BA177)</f>
        <v/>
      </c>
    </row>
    <row r="178">
      <c r="A178" t="n">
        <v>174</v>
      </c>
      <c r="B178" s="23">
        <f>EOMONTH(TODAY(),173)</f>
        <v/>
      </c>
      <c r="C178" s="24">
        <f>MAX(0,(SUM('My Loans'!$E$6:$E$15)+'My Loans'!$D$3)-SUM($X178:$AG178))</f>
        <v/>
      </c>
      <c r="D178" s="24">
        <f>MAX(0,AR177)</f>
        <v/>
      </c>
      <c r="E178" s="24">
        <f>MAX(0,AS177)</f>
        <v/>
      </c>
      <c r="F178" s="24">
        <f>MAX(0,AT177)</f>
        <v/>
      </c>
      <c r="G178" s="24">
        <f>MAX(0,AU177)</f>
        <v/>
      </c>
      <c r="H178" s="24">
        <f>MAX(0,AV177)</f>
        <v/>
      </c>
      <c r="I178" s="24">
        <f>MAX(0,AW177)</f>
        <v/>
      </c>
      <c r="J178" s="24">
        <f>MAX(0,AX177)</f>
        <v/>
      </c>
      <c r="K178" s="24">
        <f>MAX(0,AY177)</f>
        <v/>
      </c>
      <c r="L178" s="24">
        <f>MAX(0,AZ177)</f>
        <v/>
      </c>
      <c r="M178" s="24">
        <f>MAX(0,BA177)</f>
        <v/>
      </c>
      <c r="N178" s="24">
        <f>IF(D178&lt;0.5,0,D178*(1+N('My Loans'!D6)/1200))</f>
        <v/>
      </c>
      <c r="O178" s="24">
        <f>IF(E178&lt;0.5,0,E178*(1+N('My Loans'!D7)/1200))</f>
        <v/>
      </c>
      <c r="P178" s="24">
        <f>IF(F178&lt;0.5,0,F178*(1+N('My Loans'!D8)/1200))</f>
        <v/>
      </c>
      <c r="Q178" s="24">
        <f>IF(G178&lt;0.5,0,G178*(1+N('My Loans'!D9)/1200))</f>
        <v/>
      </c>
      <c r="R178" s="24">
        <f>IF(H178&lt;0.5,0,H178*(1+N('My Loans'!D10)/1200))</f>
        <v/>
      </c>
      <c r="S178" s="24">
        <f>IF(I178&lt;0.5,0,I178*(1+N('My Loans'!D11)/1200))</f>
        <v/>
      </c>
      <c r="T178" s="24">
        <f>IF(J178&lt;0.5,0,J178*(1+N('My Loans'!D12)/1200))</f>
        <v/>
      </c>
      <c r="U178" s="24">
        <f>IF(K178&lt;0.5,0,K178*(1+N('My Loans'!D13)/1200))</f>
        <v/>
      </c>
      <c r="V178" s="24">
        <f>IF(L178&lt;0.5,0,L178*(1+N('My Loans'!D14)/1200))</f>
        <v/>
      </c>
      <c r="W178" s="24">
        <f>IF(M178&lt;0.5,0,M178*(1+N('My Loans'!D15)/1200))</f>
        <v/>
      </c>
      <c r="X178" s="24">
        <f>MIN(N178,N('My Loans'!E6))</f>
        <v/>
      </c>
      <c r="Y178" s="24">
        <f>MIN(O178,N('My Loans'!E7))</f>
        <v/>
      </c>
      <c r="Z178" s="24">
        <f>MIN(P178,N('My Loans'!E8))</f>
        <v/>
      </c>
      <c r="AA178" s="24">
        <f>MIN(Q178,N('My Loans'!E9))</f>
        <v/>
      </c>
      <c r="AB178" s="24">
        <f>MIN(R178,N('My Loans'!E10))</f>
        <v/>
      </c>
      <c r="AC178" s="24">
        <f>MIN(S178,N('My Loans'!E11))</f>
        <v/>
      </c>
      <c r="AD178" s="24">
        <f>MIN(T178,N('My Loans'!E12))</f>
        <v/>
      </c>
      <c r="AE178" s="24">
        <f>MIN(U178,N('My Loans'!E13))</f>
        <v/>
      </c>
      <c r="AF178" s="24">
        <f>MIN(V178,N('My Loans'!E14))</f>
        <v/>
      </c>
      <c r="AG178" s="24">
        <f>MIN(W178,N('My Loans'!E15))</f>
        <v/>
      </c>
      <c r="AH178" s="24">
        <f>MIN(N178-X178,MAX(0,$C178-SUMPRODUCT(($D$3:$M$3&lt;D$3)*($N178:$W178-$X178:$AG178))))</f>
        <v/>
      </c>
      <c r="AI178" s="24">
        <f>MIN(O178-Y178,MAX(0,$C178-SUMPRODUCT(($D$3:$M$3&lt;E$3)*($N178:$W178-$X178:$AG178))))</f>
        <v/>
      </c>
      <c r="AJ178" s="24">
        <f>MIN(P178-Z178,MAX(0,$C178-SUMPRODUCT(($D$3:$M$3&lt;F$3)*($N178:$W178-$X178:$AG178))))</f>
        <v/>
      </c>
      <c r="AK178" s="24">
        <f>MIN(Q178-AA178,MAX(0,$C178-SUMPRODUCT(($D$3:$M$3&lt;G$3)*($N178:$W178-$X178:$AG178))))</f>
        <v/>
      </c>
      <c r="AL178" s="24">
        <f>MIN(R178-AB178,MAX(0,$C178-SUMPRODUCT(($D$3:$M$3&lt;H$3)*($N178:$W178-$X178:$AG178))))</f>
        <v/>
      </c>
      <c r="AM178" s="24">
        <f>MIN(S178-AC178,MAX(0,$C178-SUMPRODUCT(($D$3:$M$3&lt;I$3)*($N178:$W178-$X178:$AG178))))</f>
        <v/>
      </c>
      <c r="AN178" s="24">
        <f>MIN(T178-AD178,MAX(0,$C178-SUMPRODUCT(($D$3:$M$3&lt;J$3)*($N178:$W178-$X178:$AG178))))</f>
        <v/>
      </c>
      <c r="AO178" s="24">
        <f>MIN(U178-AE178,MAX(0,$C178-SUMPRODUCT(($D$3:$M$3&lt;K$3)*($N178:$W178-$X178:$AG178))))</f>
        <v/>
      </c>
      <c r="AP178" s="24">
        <f>MIN(V178-AF178,MAX(0,$C178-SUMPRODUCT(($D$3:$M$3&lt;L$3)*($N178:$W178-$X178:$AG178))))</f>
        <v/>
      </c>
      <c r="AQ178" s="24">
        <f>MIN(W178-AG178,MAX(0,$C178-SUMPRODUCT(($D$3:$M$3&lt;M$3)*($N178:$W178-$X178:$AG178))))</f>
        <v/>
      </c>
      <c r="AR178" s="24">
        <f>ROUND(N178-X178-AH178,2)</f>
        <v/>
      </c>
      <c r="AS178" s="24">
        <f>ROUND(O178-Y178-AI178,2)</f>
        <v/>
      </c>
      <c r="AT178" s="24">
        <f>ROUND(P178-Z178-AJ178,2)</f>
        <v/>
      </c>
      <c r="AU178" s="24">
        <f>ROUND(Q178-AA178-AK178,2)</f>
        <v/>
      </c>
      <c r="AV178" s="24">
        <f>ROUND(R178-AB178-AL178,2)</f>
        <v/>
      </c>
      <c r="AW178" s="24">
        <f>ROUND(S178-AC178-AM178,2)</f>
        <v/>
      </c>
      <c r="AX178" s="24">
        <f>ROUND(T178-AD178-AN178,2)</f>
        <v/>
      </c>
      <c r="AY178" s="24">
        <f>ROUND(U178-AE178-AO178,2)</f>
        <v/>
      </c>
      <c r="AZ178" s="24">
        <f>ROUND(V178-AF178-AP178,2)</f>
        <v/>
      </c>
      <c r="BA178" s="24">
        <f>ROUND(W178-AG178-AQ178,2)</f>
        <v/>
      </c>
      <c r="BB178" s="24">
        <f>SUM(AR178:BA178)</f>
        <v/>
      </c>
    </row>
    <row r="179">
      <c r="A179" t="n">
        <v>175</v>
      </c>
      <c r="B179" s="23">
        <f>EOMONTH(TODAY(),174)</f>
        <v/>
      </c>
      <c r="C179" s="24">
        <f>MAX(0,(SUM('My Loans'!$E$6:$E$15)+'My Loans'!$D$3)-SUM($X179:$AG179))</f>
        <v/>
      </c>
      <c r="D179" s="24">
        <f>MAX(0,AR178)</f>
        <v/>
      </c>
      <c r="E179" s="24">
        <f>MAX(0,AS178)</f>
        <v/>
      </c>
      <c r="F179" s="24">
        <f>MAX(0,AT178)</f>
        <v/>
      </c>
      <c r="G179" s="24">
        <f>MAX(0,AU178)</f>
        <v/>
      </c>
      <c r="H179" s="24">
        <f>MAX(0,AV178)</f>
        <v/>
      </c>
      <c r="I179" s="24">
        <f>MAX(0,AW178)</f>
        <v/>
      </c>
      <c r="J179" s="24">
        <f>MAX(0,AX178)</f>
        <v/>
      </c>
      <c r="K179" s="24">
        <f>MAX(0,AY178)</f>
        <v/>
      </c>
      <c r="L179" s="24">
        <f>MAX(0,AZ178)</f>
        <v/>
      </c>
      <c r="M179" s="24">
        <f>MAX(0,BA178)</f>
        <v/>
      </c>
      <c r="N179" s="24">
        <f>IF(D179&lt;0.5,0,D179*(1+N('My Loans'!D6)/1200))</f>
        <v/>
      </c>
      <c r="O179" s="24">
        <f>IF(E179&lt;0.5,0,E179*(1+N('My Loans'!D7)/1200))</f>
        <v/>
      </c>
      <c r="P179" s="24">
        <f>IF(F179&lt;0.5,0,F179*(1+N('My Loans'!D8)/1200))</f>
        <v/>
      </c>
      <c r="Q179" s="24">
        <f>IF(G179&lt;0.5,0,G179*(1+N('My Loans'!D9)/1200))</f>
        <v/>
      </c>
      <c r="R179" s="24">
        <f>IF(H179&lt;0.5,0,H179*(1+N('My Loans'!D10)/1200))</f>
        <v/>
      </c>
      <c r="S179" s="24">
        <f>IF(I179&lt;0.5,0,I179*(1+N('My Loans'!D11)/1200))</f>
        <v/>
      </c>
      <c r="T179" s="24">
        <f>IF(J179&lt;0.5,0,J179*(1+N('My Loans'!D12)/1200))</f>
        <v/>
      </c>
      <c r="U179" s="24">
        <f>IF(K179&lt;0.5,0,K179*(1+N('My Loans'!D13)/1200))</f>
        <v/>
      </c>
      <c r="V179" s="24">
        <f>IF(L179&lt;0.5,0,L179*(1+N('My Loans'!D14)/1200))</f>
        <v/>
      </c>
      <c r="W179" s="24">
        <f>IF(M179&lt;0.5,0,M179*(1+N('My Loans'!D15)/1200))</f>
        <v/>
      </c>
      <c r="X179" s="24">
        <f>MIN(N179,N('My Loans'!E6))</f>
        <v/>
      </c>
      <c r="Y179" s="24">
        <f>MIN(O179,N('My Loans'!E7))</f>
        <v/>
      </c>
      <c r="Z179" s="24">
        <f>MIN(P179,N('My Loans'!E8))</f>
        <v/>
      </c>
      <c r="AA179" s="24">
        <f>MIN(Q179,N('My Loans'!E9))</f>
        <v/>
      </c>
      <c r="AB179" s="24">
        <f>MIN(R179,N('My Loans'!E10))</f>
        <v/>
      </c>
      <c r="AC179" s="24">
        <f>MIN(S179,N('My Loans'!E11))</f>
        <v/>
      </c>
      <c r="AD179" s="24">
        <f>MIN(T179,N('My Loans'!E12))</f>
        <v/>
      </c>
      <c r="AE179" s="24">
        <f>MIN(U179,N('My Loans'!E13))</f>
        <v/>
      </c>
      <c r="AF179" s="24">
        <f>MIN(V179,N('My Loans'!E14))</f>
        <v/>
      </c>
      <c r="AG179" s="24">
        <f>MIN(W179,N('My Loans'!E15))</f>
        <v/>
      </c>
      <c r="AH179" s="24">
        <f>MIN(N179-X179,MAX(0,$C179-SUMPRODUCT(($D$3:$M$3&lt;D$3)*($N179:$W179-$X179:$AG179))))</f>
        <v/>
      </c>
      <c r="AI179" s="24">
        <f>MIN(O179-Y179,MAX(0,$C179-SUMPRODUCT(($D$3:$M$3&lt;E$3)*($N179:$W179-$X179:$AG179))))</f>
        <v/>
      </c>
      <c r="AJ179" s="24">
        <f>MIN(P179-Z179,MAX(0,$C179-SUMPRODUCT(($D$3:$M$3&lt;F$3)*($N179:$W179-$X179:$AG179))))</f>
        <v/>
      </c>
      <c r="AK179" s="24">
        <f>MIN(Q179-AA179,MAX(0,$C179-SUMPRODUCT(($D$3:$M$3&lt;G$3)*($N179:$W179-$X179:$AG179))))</f>
        <v/>
      </c>
      <c r="AL179" s="24">
        <f>MIN(R179-AB179,MAX(0,$C179-SUMPRODUCT(($D$3:$M$3&lt;H$3)*($N179:$W179-$X179:$AG179))))</f>
        <v/>
      </c>
      <c r="AM179" s="24">
        <f>MIN(S179-AC179,MAX(0,$C179-SUMPRODUCT(($D$3:$M$3&lt;I$3)*($N179:$W179-$X179:$AG179))))</f>
        <v/>
      </c>
      <c r="AN179" s="24">
        <f>MIN(T179-AD179,MAX(0,$C179-SUMPRODUCT(($D$3:$M$3&lt;J$3)*($N179:$W179-$X179:$AG179))))</f>
        <v/>
      </c>
      <c r="AO179" s="24">
        <f>MIN(U179-AE179,MAX(0,$C179-SUMPRODUCT(($D$3:$M$3&lt;K$3)*($N179:$W179-$X179:$AG179))))</f>
        <v/>
      </c>
      <c r="AP179" s="24">
        <f>MIN(V179-AF179,MAX(0,$C179-SUMPRODUCT(($D$3:$M$3&lt;L$3)*($N179:$W179-$X179:$AG179))))</f>
        <v/>
      </c>
      <c r="AQ179" s="24">
        <f>MIN(W179-AG179,MAX(0,$C179-SUMPRODUCT(($D$3:$M$3&lt;M$3)*($N179:$W179-$X179:$AG179))))</f>
        <v/>
      </c>
      <c r="AR179" s="24">
        <f>ROUND(N179-X179-AH179,2)</f>
        <v/>
      </c>
      <c r="AS179" s="24">
        <f>ROUND(O179-Y179-AI179,2)</f>
        <v/>
      </c>
      <c r="AT179" s="24">
        <f>ROUND(P179-Z179-AJ179,2)</f>
        <v/>
      </c>
      <c r="AU179" s="24">
        <f>ROUND(Q179-AA179-AK179,2)</f>
        <v/>
      </c>
      <c r="AV179" s="24">
        <f>ROUND(R179-AB179-AL179,2)</f>
        <v/>
      </c>
      <c r="AW179" s="24">
        <f>ROUND(S179-AC179-AM179,2)</f>
        <v/>
      </c>
      <c r="AX179" s="24">
        <f>ROUND(T179-AD179-AN179,2)</f>
        <v/>
      </c>
      <c r="AY179" s="24">
        <f>ROUND(U179-AE179-AO179,2)</f>
        <v/>
      </c>
      <c r="AZ179" s="24">
        <f>ROUND(V179-AF179-AP179,2)</f>
        <v/>
      </c>
      <c r="BA179" s="24">
        <f>ROUND(W179-AG179-AQ179,2)</f>
        <v/>
      </c>
      <c r="BB179" s="24">
        <f>SUM(AR179:BA179)</f>
        <v/>
      </c>
    </row>
    <row r="180">
      <c r="A180" t="n">
        <v>176</v>
      </c>
      <c r="B180" s="23">
        <f>EOMONTH(TODAY(),175)</f>
        <v/>
      </c>
      <c r="C180" s="24">
        <f>MAX(0,(SUM('My Loans'!$E$6:$E$15)+'My Loans'!$D$3)-SUM($X180:$AG180))</f>
        <v/>
      </c>
      <c r="D180" s="24">
        <f>MAX(0,AR179)</f>
        <v/>
      </c>
      <c r="E180" s="24">
        <f>MAX(0,AS179)</f>
        <v/>
      </c>
      <c r="F180" s="24">
        <f>MAX(0,AT179)</f>
        <v/>
      </c>
      <c r="G180" s="24">
        <f>MAX(0,AU179)</f>
        <v/>
      </c>
      <c r="H180" s="24">
        <f>MAX(0,AV179)</f>
        <v/>
      </c>
      <c r="I180" s="24">
        <f>MAX(0,AW179)</f>
        <v/>
      </c>
      <c r="J180" s="24">
        <f>MAX(0,AX179)</f>
        <v/>
      </c>
      <c r="K180" s="24">
        <f>MAX(0,AY179)</f>
        <v/>
      </c>
      <c r="L180" s="24">
        <f>MAX(0,AZ179)</f>
        <v/>
      </c>
      <c r="M180" s="24">
        <f>MAX(0,BA179)</f>
        <v/>
      </c>
      <c r="N180" s="24">
        <f>IF(D180&lt;0.5,0,D180*(1+N('My Loans'!D6)/1200))</f>
        <v/>
      </c>
      <c r="O180" s="24">
        <f>IF(E180&lt;0.5,0,E180*(1+N('My Loans'!D7)/1200))</f>
        <v/>
      </c>
      <c r="P180" s="24">
        <f>IF(F180&lt;0.5,0,F180*(1+N('My Loans'!D8)/1200))</f>
        <v/>
      </c>
      <c r="Q180" s="24">
        <f>IF(G180&lt;0.5,0,G180*(1+N('My Loans'!D9)/1200))</f>
        <v/>
      </c>
      <c r="R180" s="24">
        <f>IF(H180&lt;0.5,0,H180*(1+N('My Loans'!D10)/1200))</f>
        <v/>
      </c>
      <c r="S180" s="24">
        <f>IF(I180&lt;0.5,0,I180*(1+N('My Loans'!D11)/1200))</f>
        <v/>
      </c>
      <c r="T180" s="24">
        <f>IF(J180&lt;0.5,0,J180*(1+N('My Loans'!D12)/1200))</f>
        <v/>
      </c>
      <c r="U180" s="24">
        <f>IF(K180&lt;0.5,0,K180*(1+N('My Loans'!D13)/1200))</f>
        <v/>
      </c>
      <c r="V180" s="24">
        <f>IF(L180&lt;0.5,0,L180*(1+N('My Loans'!D14)/1200))</f>
        <v/>
      </c>
      <c r="W180" s="24">
        <f>IF(M180&lt;0.5,0,M180*(1+N('My Loans'!D15)/1200))</f>
        <v/>
      </c>
      <c r="X180" s="24">
        <f>MIN(N180,N('My Loans'!E6))</f>
        <v/>
      </c>
      <c r="Y180" s="24">
        <f>MIN(O180,N('My Loans'!E7))</f>
        <v/>
      </c>
      <c r="Z180" s="24">
        <f>MIN(P180,N('My Loans'!E8))</f>
        <v/>
      </c>
      <c r="AA180" s="24">
        <f>MIN(Q180,N('My Loans'!E9))</f>
        <v/>
      </c>
      <c r="AB180" s="24">
        <f>MIN(R180,N('My Loans'!E10))</f>
        <v/>
      </c>
      <c r="AC180" s="24">
        <f>MIN(S180,N('My Loans'!E11))</f>
        <v/>
      </c>
      <c r="AD180" s="24">
        <f>MIN(T180,N('My Loans'!E12))</f>
        <v/>
      </c>
      <c r="AE180" s="24">
        <f>MIN(U180,N('My Loans'!E13))</f>
        <v/>
      </c>
      <c r="AF180" s="24">
        <f>MIN(V180,N('My Loans'!E14))</f>
        <v/>
      </c>
      <c r="AG180" s="24">
        <f>MIN(W180,N('My Loans'!E15))</f>
        <v/>
      </c>
      <c r="AH180" s="24">
        <f>MIN(N180-X180,MAX(0,$C180-SUMPRODUCT(($D$3:$M$3&lt;D$3)*($N180:$W180-$X180:$AG180))))</f>
        <v/>
      </c>
      <c r="AI180" s="24">
        <f>MIN(O180-Y180,MAX(0,$C180-SUMPRODUCT(($D$3:$M$3&lt;E$3)*($N180:$W180-$X180:$AG180))))</f>
        <v/>
      </c>
      <c r="AJ180" s="24">
        <f>MIN(P180-Z180,MAX(0,$C180-SUMPRODUCT(($D$3:$M$3&lt;F$3)*($N180:$W180-$X180:$AG180))))</f>
        <v/>
      </c>
      <c r="AK180" s="24">
        <f>MIN(Q180-AA180,MAX(0,$C180-SUMPRODUCT(($D$3:$M$3&lt;G$3)*($N180:$W180-$X180:$AG180))))</f>
        <v/>
      </c>
      <c r="AL180" s="24">
        <f>MIN(R180-AB180,MAX(0,$C180-SUMPRODUCT(($D$3:$M$3&lt;H$3)*($N180:$W180-$X180:$AG180))))</f>
        <v/>
      </c>
      <c r="AM180" s="24">
        <f>MIN(S180-AC180,MAX(0,$C180-SUMPRODUCT(($D$3:$M$3&lt;I$3)*($N180:$W180-$X180:$AG180))))</f>
        <v/>
      </c>
      <c r="AN180" s="24">
        <f>MIN(T180-AD180,MAX(0,$C180-SUMPRODUCT(($D$3:$M$3&lt;J$3)*($N180:$W180-$X180:$AG180))))</f>
        <v/>
      </c>
      <c r="AO180" s="24">
        <f>MIN(U180-AE180,MAX(0,$C180-SUMPRODUCT(($D$3:$M$3&lt;K$3)*($N180:$W180-$X180:$AG180))))</f>
        <v/>
      </c>
      <c r="AP180" s="24">
        <f>MIN(V180-AF180,MAX(0,$C180-SUMPRODUCT(($D$3:$M$3&lt;L$3)*($N180:$W180-$X180:$AG180))))</f>
        <v/>
      </c>
      <c r="AQ180" s="24">
        <f>MIN(W180-AG180,MAX(0,$C180-SUMPRODUCT(($D$3:$M$3&lt;M$3)*($N180:$W180-$X180:$AG180))))</f>
        <v/>
      </c>
      <c r="AR180" s="24">
        <f>ROUND(N180-X180-AH180,2)</f>
        <v/>
      </c>
      <c r="AS180" s="24">
        <f>ROUND(O180-Y180-AI180,2)</f>
        <v/>
      </c>
      <c r="AT180" s="24">
        <f>ROUND(P180-Z180-AJ180,2)</f>
        <v/>
      </c>
      <c r="AU180" s="24">
        <f>ROUND(Q180-AA180-AK180,2)</f>
        <v/>
      </c>
      <c r="AV180" s="24">
        <f>ROUND(R180-AB180-AL180,2)</f>
        <v/>
      </c>
      <c r="AW180" s="24">
        <f>ROUND(S180-AC180-AM180,2)</f>
        <v/>
      </c>
      <c r="AX180" s="24">
        <f>ROUND(T180-AD180-AN180,2)</f>
        <v/>
      </c>
      <c r="AY180" s="24">
        <f>ROUND(U180-AE180-AO180,2)</f>
        <v/>
      </c>
      <c r="AZ180" s="24">
        <f>ROUND(V180-AF180-AP180,2)</f>
        <v/>
      </c>
      <c r="BA180" s="24">
        <f>ROUND(W180-AG180-AQ180,2)</f>
        <v/>
      </c>
      <c r="BB180" s="24">
        <f>SUM(AR180:BA180)</f>
        <v/>
      </c>
    </row>
    <row r="181">
      <c r="A181" t="n">
        <v>177</v>
      </c>
      <c r="B181" s="23">
        <f>EOMONTH(TODAY(),176)</f>
        <v/>
      </c>
      <c r="C181" s="24">
        <f>MAX(0,(SUM('My Loans'!$E$6:$E$15)+'My Loans'!$D$3)-SUM($X181:$AG181))</f>
        <v/>
      </c>
      <c r="D181" s="24">
        <f>MAX(0,AR180)</f>
        <v/>
      </c>
      <c r="E181" s="24">
        <f>MAX(0,AS180)</f>
        <v/>
      </c>
      <c r="F181" s="24">
        <f>MAX(0,AT180)</f>
        <v/>
      </c>
      <c r="G181" s="24">
        <f>MAX(0,AU180)</f>
        <v/>
      </c>
      <c r="H181" s="24">
        <f>MAX(0,AV180)</f>
        <v/>
      </c>
      <c r="I181" s="24">
        <f>MAX(0,AW180)</f>
        <v/>
      </c>
      <c r="J181" s="24">
        <f>MAX(0,AX180)</f>
        <v/>
      </c>
      <c r="K181" s="24">
        <f>MAX(0,AY180)</f>
        <v/>
      </c>
      <c r="L181" s="24">
        <f>MAX(0,AZ180)</f>
        <v/>
      </c>
      <c r="M181" s="24">
        <f>MAX(0,BA180)</f>
        <v/>
      </c>
      <c r="N181" s="24">
        <f>IF(D181&lt;0.5,0,D181*(1+N('My Loans'!D6)/1200))</f>
        <v/>
      </c>
      <c r="O181" s="24">
        <f>IF(E181&lt;0.5,0,E181*(1+N('My Loans'!D7)/1200))</f>
        <v/>
      </c>
      <c r="P181" s="24">
        <f>IF(F181&lt;0.5,0,F181*(1+N('My Loans'!D8)/1200))</f>
        <v/>
      </c>
      <c r="Q181" s="24">
        <f>IF(G181&lt;0.5,0,G181*(1+N('My Loans'!D9)/1200))</f>
        <v/>
      </c>
      <c r="R181" s="24">
        <f>IF(H181&lt;0.5,0,H181*(1+N('My Loans'!D10)/1200))</f>
        <v/>
      </c>
      <c r="S181" s="24">
        <f>IF(I181&lt;0.5,0,I181*(1+N('My Loans'!D11)/1200))</f>
        <v/>
      </c>
      <c r="T181" s="24">
        <f>IF(J181&lt;0.5,0,J181*(1+N('My Loans'!D12)/1200))</f>
        <v/>
      </c>
      <c r="U181" s="24">
        <f>IF(K181&lt;0.5,0,K181*(1+N('My Loans'!D13)/1200))</f>
        <v/>
      </c>
      <c r="V181" s="24">
        <f>IF(L181&lt;0.5,0,L181*(1+N('My Loans'!D14)/1200))</f>
        <v/>
      </c>
      <c r="W181" s="24">
        <f>IF(M181&lt;0.5,0,M181*(1+N('My Loans'!D15)/1200))</f>
        <v/>
      </c>
      <c r="X181" s="24">
        <f>MIN(N181,N('My Loans'!E6))</f>
        <v/>
      </c>
      <c r="Y181" s="24">
        <f>MIN(O181,N('My Loans'!E7))</f>
        <v/>
      </c>
      <c r="Z181" s="24">
        <f>MIN(P181,N('My Loans'!E8))</f>
        <v/>
      </c>
      <c r="AA181" s="24">
        <f>MIN(Q181,N('My Loans'!E9))</f>
        <v/>
      </c>
      <c r="AB181" s="24">
        <f>MIN(R181,N('My Loans'!E10))</f>
        <v/>
      </c>
      <c r="AC181" s="24">
        <f>MIN(S181,N('My Loans'!E11))</f>
        <v/>
      </c>
      <c r="AD181" s="24">
        <f>MIN(T181,N('My Loans'!E12))</f>
        <v/>
      </c>
      <c r="AE181" s="24">
        <f>MIN(U181,N('My Loans'!E13))</f>
        <v/>
      </c>
      <c r="AF181" s="24">
        <f>MIN(V181,N('My Loans'!E14))</f>
        <v/>
      </c>
      <c r="AG181" s="24">
        <f>MIN(W181,N('My Loans'!E15))</f>
        <v/>
      </c>
      <c r="AH181" s="24">
        <f>MIN(N181-X181,MAX(0,$C181-SUMPRODUCT(($D$3:$M$3&lt;D$3)*($N181:$W181-$X181:$AG181))))</f>
        <v/>
      </c>
      <c r="AI181" s="24">
        <f>MIN(O181-Y181,MAX(0,$C181-SUMPRODUCT(($D$3:$M$3&lt;E$3)*($N181:$W181-$X181:$AG181))))</f>
        <v/>
      </c>
      <c r="AJ181" s="24">
        <f>MIN(P181-Z181,MAX(0,$C181-SUMPRODUCT(($D$3:$M$3&lt;F$3)*($N181:$W181-$X181:$AG181))))</f>
        <v/>
      </c>
      <c r="AK181" s="24">
        <f>MIN(Q181-AA181,MAX(0,$C181-SUMPRODUCT(($D$3:$M$3&lt;G$3)*($N181:$W181-$X181:$AG181))))</f>
        <v/>
      </c>
      <c r="AL181" s="24">
        <f>MIN(R181-AB181,MAX(0,$C181-SUMPRODUCT(($D$3:$M$3&lt;H$3)*($N181:$W181-$X181:$AG181))))</f>
        <v/>
      </c>
      <c r="AM181" s="24">
        <f>MIN(S181-AC181,MAX(0,$C181-SUMPRODUCT(($D$3:$M$3&lt;I$3)*($N181:$W181-$X181:$AG181))))</f>
        <v/>
      </c>
      <c r="AN181" s="24">
        <f>MIN(T181-AD181,MAX(0,$C181-SUMPRODUCT(($D$3:$M$3&lt;J$3)*($N181:$W181-$X181:$AG181))))</f>
        <v/>
      </c>
      <c r="AO181" s="24">
        <f>MIN(U181-AE181,MAX(0,$C181-SUMPRODUCT(($D$3:$M$3&lt;K$3)*($N181:$W181-$X181:$AG181))))</f>
        <v/>
      </c>
      <c r="AP181" s="24">
        <f>MIN(V181-AF181,MAX(0,$C181-SUMPRODUCT(($D$3:$M$3&lt;L$3)*($N181:$W181-$X181:$AG181))))</f>
        <v/>
      </c>
      <c r="AQ181" s="24">
        <f>MIN(W181-AG181,MAX(0,$C181-SUMPRODUCT(($D$3:$M$3&lt;M$3)*($N181:$W181-$X181:$AG181))))</f>
        <v/>
      </c>
      <c r="AR181" s="24">
        <f>ROUND(N181-X181-AH181,2)</f>
        <v/>
      </c>
      <c r="AS181" s="24">
        <f>ROUND(O181-Y181-AI181,2)</f>
        <v/>
      </c>
      <c r="AT181" s="24">
        <f>ROUND(P181-Z181-AJ181,2)</f>
        <v/>
      </c>
      <c r="AU181" s="24">
        <f>ROUND(Q181-AA181-AK181,2)</f>
        <v/>
      </c>
      <c r="AV181" s="24">
        <f>ROUND(R181-AB181-AL181,2)</f>
        <v/>
      </c>
      <c r="AW181" s="24">
        <f>ROUND(S181-AC181-AM181,2)</f>
        <v/>
      </c>
      <c r="AX181" s="24">
        <f>ROUND(T181-AD181-AN181,2)</f>
        <v/>
      </c>
      <c r="AY181" s="24">
        <f>ROUND(U181-AE181-AO181,2)</f>
        <v/>
      </c>
      <c r="AZ181" s="24">
        <f>ROUND(V181-AF181-AP181,2)</f>
        <v/>
      </c>
      <c r="BA181" s="24">
        <f>ROUND(W181-AG181-AQ181,2)</f>
        <v/>
      </c>
      <c r="BB181" s="24">
        <f>SUM(AR181:BA181)</f>
        <v/>
      </c>
    </row>
    <row r="182">
      <c r="A182" t="n">
        <v>178</v>
      </c>
      <c r="B182" s="23">
        <f>EOMONTH(TODAY(),177)</f>
        <v/>
      </c>
      <c r="C182" s="24">
        <f>MAX(0,(SUM('My Loans'!$E$6:$E$15)+'My Loans'!$D$3)-SUM($X182:$AG182))</f>
        <v/>
      </c>
      <c r="D182" s="24">
        <f>MAX(0,AR181)</f>
        <v/>
      </c>
      <c r="E182" s="24">
        <f>MAX(0,AS181)</f>
        <v/>
      </c>
      <c r="F182" s="24">
        <f>MAX(0,AT181)</f>
        <v/>
      </c>
      <c r="G182" s="24">
        <f>MAX(0,AU181)</f>
        <v/>
      </c>
      <c r="H182" s="24">
        <f>MAX(0,AV181)</f>
        <v/>
      </c>
      <c r="I182" s="24">
        <f>MAX(0,AW181)</f>
        <v/>
      </c>
      <c r="J182" s="24">
        <f>MAX(0,AX181)</f>
        <v/>
      </c>
      <c r="K182" s="24">
        <f>MAX(0,AY181)</f>
        <v/>
      </c>
      <c r="L182" s="24">
        <f>MAX(0,AZ181)</f>
        <v/>
      </c>
      <c r="M182" s="24">
        <f>MAX(0,BA181)</f>
        <v/>
      </c>
      <c r="N182" s="24">
        <f>IF(D182&lt;0.5,0,D182*(1+N('My Loans'!D6)/1200))</f>
        <v/>
      </c>
      <c r="O182" s="24">
        <f>IF(E182&lt;0.5,0,E182*(1+N('My Loans'!D7)/1200))</f>
        <v/>
      </c>
      <c r="P182" s="24">
        <f>IF(F182&lt;0.5,0,F182*(1+N('My Loans'!D8)/1200))</f>
        <v/>
      </c>
      <c r="Q182" s="24">
        <f>IF(G182&lt;0.5,0,G182*(1+N('My Loans'!D9)/1200))</f>
        <v/>
      </c>
      <c r="R182" s="24">
        <f>IF(H182&lt;0.5,0,H182*(1+N('My Loans'!D10)/1200))</f>
        <v/>
      </c>
      <c r="S182" s="24">
        <f>IF(I182&lt;0.5,0,I182*(1+N('My Loans'!D11)/1200))</f>
        <v/>
      </c>
      <c r="T182" s="24">
        <f>IF(J182&lt;0.5,0,J182*(1+N('My Loans'!D12)/1200))</f>
        <v/>
      </c>
      <c r="U182" s="24">
        <f>IF(K182&lt;0.5,0,K182*(1+N('My Loans'!D13)/1200))</f>
        <v/>
      </c>
      <c r="V182" s="24">
        <f>IF(L182&lt;0.5,0,L182*(1+N('My Loans'!D14)/1200))</f>
        <v/>
      </c>
      <c r="W182" s="24">
        <f>IF(M182&lt;0.5,0,M182*(1+N('My Loans'!D15)/1200))</f>
        <v/>
      </c>
      <c r="X182" s="24">
        <f>MIN(N182,N('My Loans'!E6))</f>
        <v/>
      </c>
      <c r="Y182" s="24">
        <f>MIN(O182,N('My Loans'!E7))</f>
        <v/>
      </c>
      <c r="Z182" s="24">
        <f>MIN(P182,N('My Loans'!E8))</f>
        <v/>
      </c>
      <c r="AA182" s="24">
        <f>MIN(Q182,N('My Loans'!E9))</f>
        <v/>
      </c>
      <c r="AB182" s="24">
        <f>MIN(R182,N('My Loans'!E10))</f>
        <v/>
      </c>
      <c r="AC182" s="24">
        <f>MIN(S182,N('My Loans'!E11))</f>
        <v/>
      </c>
      <c r="AD182" s="24">
        <f>MIN(T182,N('My Loans'!E12))</f>
        <v/>
      </c>
      <c r="AE182" s="24">
        <f>MIN(U182,N('My Loans'!E13))</f>
        <v/>
      </c>
      <c r="AF182" s="24">
        <f>MIN(V182,N('My Loans'!E14))</f>
        <v/>
      </c>
      <c r="AG182" s="24">
        <f>MIN(W182,N('My Loans'!E15))</f>
        <v/>
      </c>
      <c r="AH182" s="24">
        <f>MIN(N182-X182,MAX(0,$C182-SUMPRODUCT(($D$3:$M$3&lt;D$3)*($N182:$W182-$X182:$AG182))))</f>
        <v/>
      </c>
      <c r="AI182" s="24">
        <f>MIN(O182-Y182,MAX(0,$C182-SUMPRODUCT(($D$3:$M$3&lt;E$3)*($N182:$W182-$X182:$AG182))))</f>
        <v/>
      </c>
      <c r="AJ182" s="24">
        <f>MIN(P182-Z182,MAX(0,$C182-SUMPRODUCT(($D$3:$M$3&lt;F$3)*($N182:$W182-$X182:$AG182))))</f>
        <v/>
      </c>
      <c r="AK182" s="24">
        <f>MIN(Q182-AA182,MAX(0,$C182-SUMPRODUCT(($D$3:$M$3&lt;G$3)*($N182:$W182-$X182:$AG182))))</f>
        <v/>
      </c>
      <c r="AL182" s="24">
        <f>MIN(R182-AB182,MAX(0,$C182-SUMPRODUCT(($D$3:$M$3&lt;H$3)*($N182:$W182-$X182:$AG182))))</f>
        <v/>
      </c>
      <c r="AM182" s="24">
        <f>MIN(S182-AC182,MAX(0,$C182-SUMPRODUCT(($D$3:$M$3&lt;I$3)*($N182:$W182-$X182:$AG182))))</f>
        <v/>
      </c>
      <c r="AN182" s="24">
        <f>MIN(T182-AD182,MAX(0,$C182-SUMPRODUCT(($D$3:$M$3&lt;J$3)*($N182:$W182-$X182:$AG182))))</f>
        <v/>
      </c>
      <c r="AO182" s="24">
        <f>MIN(U182-AE182,MAX(0,$C182-SUMPRODUCT(($D$3:$M$3&lt;K$3)*($N182:$W182-$X182:$AG182))))</f>
        <v/>
      </c>
      <c r="AP182" s="24">
        <f>MIN(V182-AF182,MAX(0,$C182-SUMPRODUCT(($D$3:$M$3&lt;L$3)*($N182:$W182-$X182:$AG182))))</f>
        <v/>
      </c>
      <c r="AQ182" s="24">
        <f>MIN(W182-AG182,MAX(0,$C182-SUMPRODUCT(($D$3:$M$3&lt;M$3)*($N182:$W182-$X182:$AG182))))</f>
        <v/>
      </c>
      <c r="AR182" s="24">
        <f>ROUND(N182-X182-AH182,2)</f>
        <v/>
      </c>
      <c r="AS182" s="24">
        <f>ROUND(O182-Y182-AI182,2)</f>
        <v/>
      </c>
      <c r="AT182" s="24">
        <f>ROUND(P182-Z182-AJ182,2)</f>
        <v/>
      </c>
      <c r="AU182" s="24">
        <f>ROUND(Q182-AA182-AK182,2)</f>
        <v/>
      </c>
      <c r="AV182" s="24">
        <f>ROUND(R182-AB182-AL182,2)</f>
        <v/>
      </c>
      <c r="AW182" s="24">
        <f>ROUND(S182-AC182-AM182,2)</f>
        <v/>
      </c>
      <c r="AX182" s="24">
        <f>ROUND(T182-AD182-AN182,2)</f>
        <v/>
      </c>
      <c r="AY182" s="24">
        <f>ROUND(U182-AE182-AO182,2)</f>
        <v/>
      </c>
      <c r="AZ182" s="24">
        <f>ROUND(V182-AF182-AP182,2)</f>
        <v/>
      </c>
      <c r="BA182" s="24">
        <f>ROUND(W182-AG182-AQ182,2)</f>
        <v/>
      </c>
      <c r="BB182" s="24">
        <f>SUM(AR182:BA182)</f>
        <v/>
      </c>
    </row>
    <row r="183">
      <c r="A183" t="n">
        <v>179</v>
      </c>
      <c r="B183" s="23">
        <f>EOMONTH(TODAY(),178)</f>
        <v/>
      </c>
      <c r="C183" s="24">
        <f>MAX(0,(SUM('My Loans'!$E$6:$E$15)+'My Loans'!$D$3)-SUM($X183:$AG183))</f>
        <v/>
      </c>
      <c r="D183" s="24">
        <f>MAX(0,AR182)</f>
        <v/>
      </c>
      <c r="E183" s="24">
        <f>MAX(0,AS182)</f>
        <v/>
      </c>
      <c r="F183" s="24">
        <f>MAX(0,AT182)</f>
        <v/>
      </c>
      <c r="G183" s="24">
        <f>MAX(0,AU182)</f>
        <v/>
      </c>
      <c r="H183" s="24">
        <f>MAX(0,AV182)</f>
        <v/>
      </c>
      <c r="I183" s="24">
        <f>MAX(0,AW182)</f>
        <v/>
      </c>
      <c r="J183" s="24">
        <f>MAX(0,AX182)</f>
        <v/>
      </c>
      <c r="K183" s="24">
        <f>MAX(0,AY182)</f>
        <v/>
      </c>
      <c r="L183" s="24">
        <f>MAX(0,AZ182)</f>
        <v/>
      </c>
      <c r="M183" s="24">
        <f>MAX(0,BA182)</f>
        <v/>
      </c>
      <c r="N183" s="24">
        <f>IF(D183&lt;0.5,0,D183*(1+N('My Loans'!D6)/1200))</f>
        <v/>
      </c>
      <c r="O183" s="24">
        <f>IF(E183&lt;0.5,0,E183*(1+N('My Loans'!D7)/1200))</f>
        <v/>
      </c>
      <c r="P183" s="24">
        <f>IF(F183&lt;0.5,0,F183*(1+N('My Loans'!D8)/1200))</f>
        <v/>
      </c>
      <c r="Q183" s="24">
        <f>IF(G183&lt;0.5,0,G183*(1+N('My Loans'!D9)/1200))</f>
        <v/>
      </c>
      <c r="R183" s="24">
        <f>IF(H183&lt;0.5,0,H183*(1+N('My Loans'!D10)/1200))</f>
        <v/>
      </c>
      <c r="S183" s="24">
        <f>IF(I183&lt;0.5,0,I183*(1+N('My Loans'!D11)/1200))</f>
        <v/>
      </c>
      <c r="T183" s="24">
        <f>IF(J183&lt;0.5,0,J183*(1+N('My Loans'!D12)/1200))</f>
        <v/>
      </c>
      <c r="U183" s="24">
        <f>IF(K183&lt;0.5,0,K183*(1+N('My Loans'!D13)/1200))</f>
        <v/>
      </c>
      <c r="V183" s="24">
        <f>IF(L183&lt;0.5,0,L183*(1+N('My Loans'!D14)/1200))</f>
        <v/>
      </c>
      <c r="W183" s="24">
        <f>IF(M183&lt;0.5,0,M183*(1+N('My Loans'!D15)/1200))</f>
        <v/>
      </c>
      <c r="X183" s="24">
        <f>MIN(N183,N('My Loans'!E6))</f>
        <v/>
      </c>
      <c r="Y183" s="24">
        <f>MIN(O183,N('My Loans'!E7))</f>
        <v/>
      </c>
      <c r="Z183" s="24">
        <f>MIN(P183,N('My Loans'!E8))</f>
        <v/>
      </c>
      <c r="AA183" s="24">
        <f>MIN(Q183,N('My Loans'!E9))</f>
        <v/>
      </c>
      <c r="AB183" s="24">
        <f>MIN(R183,N('My Loans'!E10))</f>
        <v/>
      </c>
      <c r="AC183" s="24">
        <f>MIN(S183,N('My Loans'!E11))</f>
        <v/>
      </c>
      <c r="AD183" s="24">
        <f>MIN(T183,N('My Loans'!E12))</f>
        <v/>
      </c>
      <c r="AE183" s="24">
        <f>MIN(U183,N('My Loans'!E13))</f>
        <v/>
      </c>
      <c r="AF183" s="24">
        <f>MIN(V183,N('My Loans'!E14))</f>
        <v/>
      </c>
      <c r="AG183" s="24">
        <f>MIN(W183,N('My Loans'!E15))</f>
        <v/>
      </c>
      <c r="AH183" s="24">
        <f>MIN(N183-X183,MAX(0,$C183-SUMPRODUCT(($D$3:$M$3&lt;D$3)*($N183:$W183-$X183:$AG183))))</f>
        <v/>
      </c>
      <c r="AI183" s="24">
        <f>MIN(O183-Y183,MAX(0,$C183-SUMPRODUCT(($D$3:$M$3&lt;E$3)*($N183:$W183-$X183:$AG183))))</f>
        <v/>
      </c>
      <c r="AJ183" s="24">
        <f>MIN(P183-Z183,MAX(0,$C183-SUMPRODUCT(($D$3:$M$3&lt;F$3)*($N183:$W183-$X183:$AG183))))</f>
        <v/>
      </c>
      <c r="AK183" s="24">
        <f>MIN(Q183-AA183,MAX(0,$C183-SUMPRODUCT(($D$3:$M$3&lt;G$3)*($N183:$W183-$X183:$AG183))))</f>
        <v/>
      </c>
      <c r="AL183" s="24">
        <f>MIN(R183-AB183,MAX(0,$C183-SUMPRODUCT(($D$3:$M$3&lt;H$3)*($N183:$W183-$X183:$AG183))))</f>
        <v/>
      </c>
      <c r="AM183" s="24">
        <f>MIN(S183-AC183,MAX(0,$C183-SUMPRODUCT(($D$3:$M$3&lt;I$3)*($N183:$W183-$X183:$AG183))))</f>
        <v/>
      </c>
      <c r="AN183" s="24">
        <f>MIN(T183-AD183,MAX(0,$C183-SUMPRODUCT(($D$3:$M$3&lt;J$3)*($N183:$W183-$X183:$AG183))))</f>
        <v/>
      </c>
      <c r="AO183" s="24">
        <f>MIN(U183-AE183,MAX(0,$C183-SUMPRODUCT(($D$3:$M$3&lt;K$3)*($N183:$W183-$X183:$AG183))))</f>
        <v/>
      </c>
      <c r="AP183" s="24">
        <f>MIN(V183-AF183,MAX(0,$C183-SUMPRODUCT(($D$3:$M$3&lt;L$3)*($N183:$W183-$X183:$AG183))))</f>
        <v/>
      </c>
      <c r="AQ183" s="24">
        <f>MIN(W183-AG183,MAX(0,$C183-SUMPRODUCT(($D$3:$M$3&lt;M$3)*($N183:$W183-$X183:$AG183))))</f>
        <v/>
      </c>
      <c r="AR183" s="24">
        <f>ROUND(N183-X183-AH183,2)</f>
        <v/>
      </c>
      <c r="AS183" s="24">
        <f>ROUND(O183-Y183-AI183,2)</f>
        <v/>
      </c>
      <c r="AT183" s="24">
        <f>ROUND(P183-Z183-AJ183,2)</f>
        <v/>
      </c>
      <c r="AU183" s="24">
        <f>ROUND(Q183-AA183-AK183,2)</f>
        <v/>
      </c>
      <c r="AV183" s="24">
        <f>ROUND(R183-AB183-AL183,2)</f>
        <v/>
      </c>
      <c r="AW183" s="24">
        <f>ROUND(S183-AC183-AM183,2)</f>
        <v/>
      </c>
      <c r="AX183" s="24">
        <f>ROUND(T183-AD183-AN183,2)</f>
        <v/>
      </c>
      <c r="AY183" s="24">
        <f>ROUND(U183-AE183-AO183,2)</f>
        <v/>
      </c>
      <c r="AZ183" s="24">
        <f>ROUND(V183-AF183-AP183,2)</f>
        <v/>
      </c>
      <c r="BA183" s="24">
        <f>ROUND(W183-AG183-AQ183,2)</f>
        <v/>
      </c>
      <c r="BB183" s="24">
        <f>SUM(AR183:BA183)</f>
        <v/>
      </c>
    </row>
    <row r="184">
      <c r="A184" t="n">
        <v>180</v>
      </c>
      <c r="B184" s="23">
        <f>EOMONTH(TODAY(),179)</f>
        <v/>
      </c>
      <c r="C184" s="24">
        <f>MAX(0,(SUM('My Loans'!$E$6:$E$15)+'My Loans'!$D$3)-SUM($X184:$AG184))</f>
        <v/>
      </c>
      <c r="D184" s="24">
        <f>MAX(0,AR183)</f>
        <v/>
      </c>
      <c r="E184" s="24">
        <f>MAX(0,AS183)</f>
        <v/>
      </c>
      <c r="F184" s="24">
        <f>MAX(0,AT183)</f>
        <v/>
      </c>
      <c r="G184" s="24">
        <f>MAX(0,AU183)</f>
        <v/>
      </c>
      <c r="H184" s="24">
        <f>MAX(0,AV183)</f>
        <v/>
      </c>
      <c r="I184" s="24">
        <f>MAX(0,AW183)</f>
        <v/>
      </c>
      <c r="J184" s="24">
        <f>MAX(0,AX183)</f>
        <v/>
      </c>
      <c r="K184" s="24">
        <f>MAX(0,AY183)</f>
        <v/>
      </c>
      <c r="L184" s="24">
        <f>MAX(0,AZ183)</f>
        <v/>
      </c>
      <c r="M184" s="24">
        <f>MAX(0,BA183)</f>
        <v/>
      </c>
      <c r="N184" s="24">
        <f>IF(D184&lt;0.5,0,D184*(1+N('My Loans'!D6)/1200))</f>
        <v/>
      </c>
      <c r="O184" s="24">
        <f>IF(E184&lt;0.5,0,E184*(1+N('My Loans'!D7)/1200))</f>
        <v/>
      </c>
      <c r="P184" s="24">
        <f>IF(F184&lt;0.5,0,F184*(1+N('My Loans'!D8)/1200))</f>
        <v/>
      </c>
      <c r="Q184" s="24">
        <f>IF(G184&lt;0.5,0,G184*(1+N('My Loans'!D9)/1200))</f>
        <v/>
      </c>
      <c r="R184" s="24">
        <f>IF(H184&lt;0.5,0,H184*(1+N('My Loans'!D10)/1200))</f>
        <v/>
      </c>
      <c r="S184" s="24">
        <f>IF(I184&lt;0.5,0,I184*(1+N('My Loans'!D11)/1200))</f>
        <v/>
      </c>
      <c r="T184" s="24">
        <f>IF(J184&lt;0.5,0,J184*(1+N('My Loans'!D12)/1200))</f>
        <v/>
      </c>
      <c r="U184" s="24">
        <f>IF(K184&lt;0.5,0,K184*(1+N('My Loans'!D13)/1200))</f>
        <v/>
      </c>
      <c r="V184" s="24">
        <f>IF(L184&lt;0.5,0,L184*(1+N('My Loans'!D14)/1200))</f>
        <v/>
      </c>
      <c r="W184" s="24">
        <f>IF(M184&lt;0.5,0,M184*(1+N('My Loans'!D15)/1200))</f>
        <v/>
      </c>
      <c r="X184" s="24">
        <f>MIN(N184,N('My Loans'!E6))</f>
        <v/>
      </c>
      <c r="Y184" s="24">
        <f>MIN(O184,N('My Loans'!E7))</f>
        <v/>
      </c>
      <c r="Z184" s="24">
        <f>MIN(P184,N('My Loans'!E8))</f>
        <v/>
      </c>
      <c r="AA184" s="24">
        <f>MIN(Q184,N('My Loans'!E9))</f>
        <v/>
      </c>
      <c r="AB184" s="24">
        <f>MIN(R184,N('My Loans'!E10))</f>
        <v/>
      </c>
      <c r="AC184" s="24">
        <f>MIN(S184,N('My Loans'!E11))</f>
        <v/>
      </c>
      <c r="AD184" s="24">
        <f>MIN(T184,N('My Loans'!E12))</f>
        <v/>
      </c>
      <c r="AE184" s="24">
        <f>MIN(U184,N('My Loans'!E13))</f>
        <v/>
      </c>
      <c r="AF184" s="24">
        <f>MIN(V184,N('My Loans'!E14))</f>
        <v/>
      </c>
      <c r="AG184" s="24">
        <f>MIN(W184,N('My Loans'!E15))</f>
        <v/>
      </c>
      <c r="AH184" s="24">
        <f>MIN(N184-X184,MAX(0,$C184-SUMPRODUCT(($D$3:$M$3&lt;D$3)*($N184:$W184-$X184:$AG184))))</f>
        <v/>
      </c>
      <c r="AI184" s="24">
        <f>MIN(O184-Y184,MAX(0,$C184-SUMPRODUCT(($D$3:$M$3&lt;E$3)*($N184:$W184-$X184:$AG184))))</f>
        <v/>
      </c>
      <c r="AJ184" s="24">
        <f>MIN(P184-Z184,MAX(0,$C184-SUMPRODUCT(($D$3:$M$3&lt;F$3)*($N184:$W184-$X184:$AG184))))</f>
        <v/>
      </c>
      <c r="AK184" s="24">
        <f>MIN(Q184-AA184,MAX(0,$C184-SUMPRODUCT(($D$3:$M$3&lt;G$3)*($N184:$W184-$X184:$AG184))))</f>
        <v/>
      </c>
      <c r="AL184" s="24">
        <f>MIN(R184-AB184,MAX(0,$C184-SUMPRODUCT(($D$3:$M$3&lt;H$3)*($N184:$W184-$X184:$AG184))))</f>
        <v/>
      </c>
      <c r="AM184" s="24">
        <f>MIN(S184-AC184,MAX(0,$C184-SUMPRODUCT(($D$3:$M$3&lt;I$3)*($N184:$W184-$X184:$AG184))))</f>
        <v/>
      </c>
      <c r="AN184" s="24">
        <f>MIN(T184-AD184,MAX(0,$C184-SUMPRODUCT(($D$3:$M$3&lt;J$3)*($N184:$W184-$X184:$AG184))))</f>
        <v/>
      </c>
      <c r="AO184" s="24">
        <f>MIN(U184-AE184,MAX(0,$C184-SUMPRODUCT(($D$3:$M$3&lt;K$3)*($N184:$W184-$X184:$AG184))))</f>
        <v/>
      </c>
      <c r="AP184" s="24">
        <f>MIN(V184-AF184,MAX(0,$C184-SUMPRODUCT(($D$3:$M$3&lt;L$3)*($N184:$W184-$X184:$AG184))))</f>
        <v/>
      </c>
      <c r="AQ184" s="24">
        <f>MIN(W184-AG184,MAX(0,$C184-SUMPRODUCT(($D$3:$M$3&lt;M$3)*($N184:$W184-$X184:$AG184))))</f>
        <v/>
      </c>
      <c r="AR184" s="24">
        <f>ROUND(N184-X184-AH184,2)</f>
        <v/>
      </c>
      <c r="AS184" s="24">
        <f>ROUND(O184-Y184-AI184,2)</f>
        <v/>
      </c>
      <c r="AT184" s="24">
        <f>ROUND(P184-Z184-AJ184,2)</f>
        <v/>
      </c>
      <c r="AU184" s="24">
        <f>ROUND(Q184-AA184-AK184,2)</f>
        <v/>
      </c>
      <c r="AV184" s="24">
        <f>ROUND(R184-AB184-AL184,2)</f>
        <v/>
      </c>
      <c r="AW184" s="24">
        <f>ROUND(S184-AC184-AM184,2)</f>
        <v/>
      </c>
      <c r="AX184" s="24">
        <f>ROUND(T184-AD184-AN184,2)</f>
        <v/>
      </c>
      <c r="AY184" s="24">
        <f>ROUND(U184-AE184-AO184,2)</f>
        <v/>
      </c>
      <c r="AZ184" s="24">
        <f>ROUND(V184-AF184-AP184,2)</f>
        <v/>
      </c>
      <c r="BA184" s="24">
        <f>ROUND(W184-AG184-AQ184,2)</f>
        <v/>
      </c>
      <c r="BB184" s="24">
        <f>SUM(AR184:BA184)</f>
        <v/>
      </c>
    </row>
    <row r="185">
      <c r="A185" t="n">
        <v>181</v>
      </c>
      <c r="B185" s="23">
        <f>EOMONTH(TODAY(),180)</f>
        <v/>
      </c>
      <c r="C185" s="24">
        <f>MAX(0,(SUM('My Loans'!$E$6:$E$15)+'My Loans'!$D$3)-SUM($X185:$AG185))</f>
        <v/>
      </c>
      <c r="D185" s="24">
        <f>MAX(0,AR184)</f>
        <v/>
      </c>
      <c r="E185" s="24">
        <f>MAX(0,AS184)</f>
        <v/>
      </c>
      <c r="F185" s="24">
        <f>MAX(0,AT184)</f>
        <v/>
      </c>
      <c r="G185" s="24">
        <f>MAX(0,AU184)</f>
        <v/>
      </c>
      <c r="H185" s="24">
        <f>MAX(0,AV184)</f>
        <v/>
      </c>
      <c r="I185" s="24">
        <f>MAX(0,AW184)</f>
        <v/>
      </c>
      <c r="J185" s="24">
        <f>MAX(0,AX184)</f>
        <v/>
      </c>
      <c r="K185" s="24">
        <f>MAX(0,AY184)</f>
        <v/>
      </c>
      <c r="L185" s="24">
        <f>MAX(0,AZ184)</f>
        <v/>
      </c>
      <c r="M185" s="24">
        <f>MAX(0,BA184)</f>
        <v/>
      </c>
      <c r="N185" s="24">
        <f>IF(D185&lt;0.5,0,D185*(1+N('My Loans'!D6)/1200))</f>
        <v/>
      </c>
      <c r="O185" s="24">
        <f>IF(E185&lt;0.5,0,E185*(1+N('My Loans'!D7)/1200))</f>
        <v/>
      </c>
      <c r="P185" s="24">
        <f>IF(F185&lt;0.5,0,F185*(1+N('My Loans'!D8)/1200))</f>
        <v/>
      </c>
      <c r="Q185" s="24">
        <f>IF(G185&lt;0.5,0,G185*(1+N('My Loans'!D9)/1200))</f>
        <v/>
      </c>
      <c r="R185" s="24">
        <f>IF(H185&lt;0.5,0,H185*(1+N('My Loans'!D10)/1200))</f>
        <v/>
      </c>
      <c r="S185" s="24">
        <f>IF(I185&lt;0.5,0,I185*(1+N('My Loans'!D11)/1200))</f>
        <v/>
      </c>
      <c r="T185" s="24">
        <f>IF(J185&lt;0.5,0,J185*(1+N('My Loans'!D12)/1200))</f>
        <v/>
      </c>
      <c r="U185" s="24">
        <f>IF(K185&lt;0.5,0,K185*(1+N('My Loans'!D13)/1200))</f>
        <v/>
      </c>
      <c r="V185" s="24">
        <f>IF(L185&lt;0.5,0,L185*(1+N('My Loans'!D14)/1200))</f>
        <v/>
      </c>
      <c r="W185" s="24">
        <f>IF(M185&lt;0.5,0,M185*(1+N('My Loans'!D15)/1200))</f>
        <v/>
      </c>
      <c r="X185" s="24">
        <f>MIN(N185,N('My Loans'!E6))</f>
        <v/>
      </c>
      <c r="Y185" s="24">
        <f>MIN(O185,N('My Loans'!E7))</f>
        <v/>
      </c>
      <c r="Z185" s="24">
        <f>MIN(P185,N('My Loans'!E8))</f>
        <v/>
      </c>
      <c r="AA185" s="24">
        <f>MIN(Q185,N('My Loans'!E9))</f>
        <v/>
      </c>
      <c r="AB185" s="24">
        <f>MIN(R185,N('My Loans'!E10))</f>
        <v/>
      </c>
      <c r="AC185" s="24">
        <f>MIN(S185,N('My Loans'!E11))</f>
        <v/>
      </c>
      <c r="AD185" s="24">
        <f>MIN(T185,N('My Loans'!E12))</f>
        <v/>
      </c>
      <c r="AE185" s="24">
        <f>MIN(U185,N('My Loans'!E13))</f>
        <v/>
      </c>
      <c r="AF185" s="24">
        <f>MIN(V185,N('My Loans'!E14))</f>
        <v/>
      </c>
      <c r="AG185" s="24">
        <f>MIN(W185,N('My Loans'!E15))</f>
        <v/>
      </c>
      <c r="AH185" s="24">
        <f>MIN(N185-X185,MAX(0,$C185-SUMPRODUCT(($D$3:$M$3&lt;D$3)*($N185:$W185-$X185:$AG185))))</f>
        <v/>
      </c>
      <c r="AI185" s="24">
        <f>MIN(O185-Y185,MAX(0,$C185-SUMPRODUCT(($D$3:$M$3&lt;E$3)*($N185:$W185-$X185:$AG185))))</f>
        <v/>
      </c>
      <c r="AJ185" s="24">
        <f>MIN(P185-Z185,MAX(0,$C185-SUMPRODUCT(($D$3:$M$3&lt;F$3)*($N185:$W185-$X185:$AG185))))</f>
        <v/>
      </c>
      <c r="AK185" s="24">
        <f>MIN(Q185-AA185,MAX(0,$C185-SUMPRODUCT(($D$3:$M$3&lt;G$3)*($N185:$W185-$X185:$AG185))))</f>
        <v/>
      </c>
      <c r="AL185" s="24">
        <f>MIN(R185-AB185,MAX(0,$C185-SUMPRODUCT(($D$3:$M$3&lt;H$3)*($N185:$W185-$X185:$AG185))))</f>
        <v/>
      </c>
      <c r="AM185" s="24">
        <f>MIN(S185-AC185,MAX(0,$C185-SUMPRODUCT(($D$3:$M$3&lt;I$3)*($N185:$W185-$X185:$AG185))))</f>
        <v/>
      </c>
      <c r="AN185" s="24">
        <f>MIN(T185-AD185,MAX(0,$C185-SUMPRODUCT(($D$3:$M$3&lt;J$3)*($N185:$W185-$X185:$AG185))))</f>
        <v/>
      </c>
      <c r="AO185" s="24">
        <f>MIN(U185-AE185,MAX(0,$C185-SUMPRODUCT(($D$3:$M$3&lt;K$3)*($N185:$W185-$X185:$AG185))))</f>
        <v/>
      </c>
      <c r="AP185" s="24">
        <f>MIN(V185-AF185,MAX(0,$C185-SUMPRODUCT(($D$3:$M$3&lt;L$3)*($N185:$W185-$X185:$AG185))))</f>
        <v/>
      </c>
      <c r="AQ185" s="24">
        <f>MIN(W185-AG185,MAX(0,$C185-SUMPRODUCT(($D$3:$M$3&lt;M$3)*($N185:$W185-$X185:$AG185))))</f>
        <v/>
      </c>
      <c r="AR185" s="24">
        <f>ROUND(N185-X185-AH185,2)</f>
        <v/>
      </c>
      <c r="AS185" s="24">
        <f>ROUND(O185-Y185-AI185,2)</f>
        <v/>
      </c>
      <c r="AT185" s="24">
        <f>ROUND(P185-Z185-AJ185,2)</f>
        <v/>
      </c>
      <c r="AU185" s="24">
        <f>ROUND(Q185-AA185-AK185,2)</f>
        <v/>
      </c>
      <c r="AV185" s="24">
        <f>ROUND(R185-AB185-AL185,2)</f>
        <v/>
      </c>
      <c r="AW185" s="24">
        <f>ROUND(S185-AC185-AM185,2)</f>
        <v/>
      </c>
      <c r="AX185" s="24">
        <f>ROUND(T185-AD185-AN185,2)</f>
        <v/>
      </c>
      <c r="AY185" s="24">
        <f>ROUND(U185-AE185-AO185,2)</f>
        <v/>
      </c>
      <c r="AZ185" s="24">
        <f>ROUND(V185-AF185-AP185,2)</f>
        <v/>
      </c>
      <c r="BA185" s="24">
        <f>ROUND(W185-AG185-AQ185,2)</f>
        <v/>
      </c>
      <c r="BB185" s="24">
        <f>SUM(AR185:BA185)</f>
        <v/>
      </c>
    </row>
    <row r="186">
      <c r="A186" t="n">
        <v>182</v>
      </c>
      <c r="B186" s="23">
        <f>EOMONTH(TODAY(),181)</f>
        <v/>
      </c>
      <c r="C186" s="24">
        <f>MAX(0,(SUM('My Loans'!$E$6:$E$15)+'My Loans'!$D$3)-SUM($X186:$AG186))</f>
        <v/>
      </c>
      <c r="D186" s="24">
        <f>MAX(0,AR185)</f>
        <v/>
      </c>
      <c r="E186" s="24">
        <f>MAX(0,AS185)</f>
        <v/>
      </c>
      <c r="F186" s="24">
        <f>MAX(0,AT185)</f>
        <v/>
      </c>
      <c r="G186" s="24">
        <f>MAX(0,AU185)</f>
        <v/>
      </c>
      <c r="H186" s="24">
        <f>MAX(0,AV185)</f>
        <v/>
      </c>
      <c r="I186" s="24">
        <f>MAX(0,AW185)</f>
        <v/>
      </c>
      <c r="J186" s="24">
        <f>MAX(0,AX185)</f>
        <v/>
      </c>
      <c r="K186" s="24">
        <f>MAX(0,AY185)</f>
        <v/>
      </c>
      <c r="L186" s="24">
        <f>MAX(0,AZ185)</f>
        <v/>
      </c>
      <c r="M186" s="24">
        <f>MAX(0,BA185)</f>
        <v/>
      </c>
      <c r="N186" s="24">
        <f>IF(D186&lt;0.5,0,D186*(1+N('My Loans'!D6)/1200))</f>
        <v/>
      </c>
      <c r="O186" s="24">
        <f>IF(E186&lt;0.5,0,E186*(1+N('My Loans'!D7)/1200))</f>
        <v/>
      </c>
      <c r="P186" s="24">
        <f>IF(F186&lt;0.5,0,F186*(1+N('My Loans'!D8)/1200))</f>
        <v/>
      </c>
      <c r="Q186" s="24">
        <f>IF(G186&lt;0.5,0,G186*(1+N('My Loans'!D9)/1200))</f>
        <v/>
      </c>
      <c r="R186" s="24">
        <f>IF(H186&lt;0.5,0,H186*(1+N('My Loans'!D10)/1200))</f>
        <v/>
      </c>
      <c r="S186" s="24">
        <f>IF(I186&lt;0.5,0,I186*(1+N('My Loans'!D11)/1200))</f>
        <v/>
      </c>
      <c r="T186" s="24">
        <f>IF(J186&lt;0.5,0,J186*(1+N('My Loans'!D12)/1200))</f>
        <v/>
      </c>
      <c r="U186" s="24">
        <f>IF(K186&lt;0.5,0,K186*(1+N('My Loans'!D13)/1200))</f>
        <v/>
      </c>
      <c r="V186" s="24">
        <f>IF(L186&lt;0.5,0,L186*(1+N('My Loans'!D14)/1200))</f>
        <v/>
      </c>
      <c r="W186" s="24">
        <f>IF(M186&lt;0.5,0,M186*(1+N('My Loans'!D15)/1200))</f>
        <v/>
      </c>
      <c r="X186" s="24">
        <f>MIN(N186,N('My Loans'!E6))</f>
        <v/>
      </c>
      <c r="Y186" s="24">
        <f>MIN(O186,N('My Loans'!E7))</f>
        <v/>
      </c>
      <c r="Z186" s="24">
        <f>MIN(P186,N('My Loans'!E8))</f>
        <v/>
      </c>
      <c r="AA186" s="24">
        <f>MIN(Q186,N('My Loans'!E9))</f>
        <v/>
      </c>
      <c r="AB186" s="24">
        <f>MIN(R186,N('My Loans'!E10))</f>
        <v/>
      </c>
      <c r="AC186" s="24">
        <f>MIN(S186,N('My Loans'!E11))</f>
        <v/>
      </c>
      <c r="AD186" s="24">
        <f>MIN(T186,N('My Loans'!E12))</f>
        <v/>
      </c>
      <c r="AE186" s="24">
        <f>MIN(U186,N('My Loans'!E13))</f>
        <v/>
      </c>
      <c r="AF186" s="24">
        <f>MIN(V186,N('My Loans'!E14))</f>
        <v/>
      </c>
      <c r="AG186" s="24">
        <f>MIN(W186,N('My Loans'!E15))</f>
        <v/>
      </c>
      <c r="AH186" s="24">
        <f>MIN(N186-X186,MAX(0,$C186-SUMPRODUCT(($D$3:$M$3&lt;D$3)*($N186:$W186-$X186:$AG186))))</f>
        <v/>
      </c>
      <c r="AI186" s="24">
        <f>MIN(O186-Y186,MAX(0,$C186-SUMPRODUCT(($D$3:$M$3&lt;E$3)*($N186:$W186-$X186:$AG186))))</f>
        <v/>
      </c>
      <c r="AJ186" s="24">
        <f>MIN(P186-Z186,MAX(0,$C186-SUMPRODUCT(($D$3:$M$3&lt;F$3)*($N186:$W186-$X186:$AG186))))</f>
        <v/>
      </c>
      <c r="AK186" s="24">
        <f>MIN(Q186-AA186,MAX(0,$C186-SUMPRODUCT(($D$3:$M$3&lt;G$3)*($N186:$W186-$X186:$AG186))))</f>
        <v/>
      </c>
      <c r="AL186" s="24">
        <f>MIN(R186-AB186,MAX(0,$C186-SUMPRODUCT(($D$3:$M$3&lt;H$3)*($N186:$W186-$X186:$AG186))))</f>
        <v/>
      </c>
      <c r="AM186" s="24">
        <f>MIN(S186-AC186,MAX(0,$C186-SUMPRODUCT(($D$3:$M$3&lt;I$3)*($N186:$W186-$X186:$AG186))))</f>
        <v/>
      </c>
      <c r="AN186" s="24">
        <f>MIN(T186-AD186,MAX(0,$C186-SUMPRODUCT(($D$3:$M$3&lt;J$3)*($N186:$W186-$X186:$AG186))))</f>
        <v/>
      </c>
      <c r="AO186" s="24">
        <f>MIN(U186-AE186,MAX(0,$C186-SUMPRODUCT(($D$3:$M$3&lt;K$3)*($N186:$W186-$X186:$AG186))))</f>
        <v/>
      </c>
      <c r="AP186" s="24">
        <f>MIN(V186-AF186,MAX(0,$C186-SUMPRODUCT(($D$3:$M$3&lt;L$3)*($N186:$W186-$X186:$AG186))))</f>
        <v/>
      </c>
      <c r="AQ186" s="24">
        <f>MIN(W186-AG186,MAX(0,$C186-SUMPRODUCT(($D$3:$M$3&lt;M$3)*($N186:$W186-$X186:$AG186))))</f>
        <v/>
      </c>
      <c r="AR186" s="24">
        <f>ROUND(N186-X186-AH186,2)</f>
        <v/>
      </c>
      <c r="AS186" s="24">
        <f>ROUND(O186-Y186-AI186,2)</f>
        <v/>
      </c>
      <c r="AT186" s="24">
        <f>ROUND(P186-Z186-AJ186,2)</f>
        <v/>
      </c>
      <c r="AU186" s="24">
        <f>ROUND(Q186-AA186-AK186,2)</f>
        <v/>
      </c>
      <c r="AV186" s="24">
        <f>ROUND(R186-AB186-AL186,2)</f>
        <v/>
      </c>
      <c r="AW186" s="24">
        <f>ROUND(S186-AC186-AM186,2)</f>
        <v/>
      </c>
      <c r="AX186" s="24">
        <f>ROUND(T186-AD186-AN186,2)</f>
        <v/>
      </c>
      <c r="AY186" s="24">
        <f>ROUND(U186-AE186-AO186,2)</f>
        <v/>
      </c>
      <c r="AZ186" s="24">
        <f>ROUND(V186-AF186-AP186,2)</f>
        <v/>
      </c>
      <c r="BA186" s="24">
        <f>ROUND(W186-AG186-AQ186,2)</f>
        <v/>
      </c>
      <c r="BB186" s="24">
        <f>SUM(AR186:BA186)</f>
        <v/>
      </c>
    </row>
    <row r="187">
      <c r="A187" t="n">
        <v>183</v>
      </c>
      <c r="B187" s="23">
        <f>EOMONTH(TODAY(),182)</f>
        <v/>
      </c>
      <c r="C187" s="24">
        <f>MAX(0,(SUM('My Loans'!$E$6:$E$15)+'My Loans'!$D$3)-SUM($X187:$AG187))</f>
        <v/>
      </c>
      <c r="D187" s="24">
        <f>MAX(0,AR186)</f>
        <v/>
      </c>
      <c r="E187" s="24">
        <f>MAX(0,AS186)</f>
        <v/>
      </c>
      <c r="F187" s="24">
        <f>MAX(0,AT186)</f>
        <v/>
      </c>
      <c r="G187" s="24">
        <f>MAX(0,AU186)</f>
        <v/>
      </c>
      <c r="H187" s="24">
        <f>MAX(0,AV186)</f>
        <v/>
      </c>
      <c r="I187" s="24">
        <f>MAX(0,AW186)</f>
        <v/>
      </c>
      <c r="J187" s="24">
        <f>MAX(0,AX186)</f>
        <v/>
      </c>
      <c r="K187" s="24">
        <f>MAX(0,AY186)</f>
        <v/>
      </c>
      <c r="L187" s="24">
        <f>MAX(0,AZ186)</f>
        <v/>
      </c>
      <c r="M187" s="24">
        <f>MAX(0,BA186)</f>
        <v/>
      </c>
      <c r="N187" s="24">
        <f>IF(D187&lt;0.5,0,D187*(1+N('My Loans'!D6)/1200))</f>
        <v/>
      </c>
      <c r="O187" s="24">
        <f>IF(E187&lt;0.5,0,E187*(1+N('My Loans'!D7)/1200))</f>
        <v/>
      </c>
      <c r="P187" s="24">
        <f>IF(F187&lt;0.5,0,F187*(1+N('My Loans'!D8)/1200))</f>
        <v/>
      </c>
      <c r="Q187" s="24">
        <f>IF(G187&lt;0.5,0,G187*(1+N('My Loans'!D9)/1200))</f>
        <v/>
      </c>
      <c r="R187" s="24">
        <f>IF(H187&lt;0.5,0,H187*(1+N('My Loans'!D10)/1200))</f>
        <v/>
      </c>
      <c r="S187" s="24">
        <f>IF(I187&lt;0.5,0,I187*(1+N('My Loans'!D11)/1200))</f>
        <v/>
      </c>
      <c r="T187" s="24">
        <f>IF(J187&lt;0.5,0,J187*(1+N('My Loans'!D12)/1200))</f>
        <v/>
      </c>
      <c r="U187" s="24">
        <f>IF(K187&lt;0.5,0,K187*(1+N('My Loans'!D13)/1200))</f>
        <v/>
      </c>
      <c r="V187" s="24">
        <f>IF(L187&lt;0.5,0,L187*(1+N('My Loans'!D14)/1200))</f>
        <v/>
      </c>
      <c r="W187" s="24">
        <f>IF(M187&lt;0.5,0,M187*(1+N('My Loans'!D15)/1200))</f>
        <v/>
      </c>
      <c r="X187" s="24">
        <f>MIN(N187,N('My Loans'!E6))</f>
        <v/>
      </c>
      <c r="Y187" s="24">
        <f>MIN(O187,N('My Loans'!E7))</f>
        <v/>
      </c>
      <c r="Z187" s="24">
        <f>MIN(P187,N('My Loans'!E8))</f>
        <v/>
      </c>
      <c r="AA187" s="24">
        <f>MIN(Q187,N('My Loans'!E9))</f>
        <v/>
      </c>
      <c r="AB187" s="24">
        <f>MIN(R187,N('My Loans'!E10))</f>
        <v/>
      </c>
      <c r="AC187" s="24">
        <f>MIN(S187,N('My Loans'!E11))</f>
        <v/>
      </c>
      <c r="AD187" s="24">
        <f>MIN(T187,N('My Loans'!E12))</f>
        <v/>
      </c>
      <c r="AE187" s="24">
        <f>MIN(U187,N('My Loans'!E13))</f>
        <v/>
      </c>
      <c r="AF187" s="24">
        <f>MIN(V187,N('My Loans'!E14))</f>
        <v/>
      </c>
      <c r="AG187" s="24">
        <f>MIN(W187,N('My Loans'!E15))</f>
        <v/>
      </c>
      <c r="AH187" s="24">
        <f>MIN(N187-X187,MAX(0,$C187-SUMPRODUCT(($D$3:$M$3&lt;D$3)*($N187:$W187-$X187:$AG187))))</f>
        <v/>
      </c>
      <c r="AI187" s="24">
        <f>MIN(O187-Y187,MAX(0,$C187-SUMPRODUCT(($D$3:$M$3&lt;E$3)*($N187:$W187-$X187:$AG187))))</f>
        <v/>
      </c>
      <c r="AJ187" s="24">
        <f>MIN(P187-Z187,MAX(0,$C187-SUMPRODUCT(($D$3:$M$3&lt;F$3)*($N187:$W187-$X187:$AG187))))</f>
        <v/>
      </c>
      <c r="AK187" s="24">
        <f>MIN(Q187-AA187,MAX(0,$C187-SUMPRODUCT(($D$3:$M$3&lt;G$3)*($N187:$W187-$X187:$AG187))))</f>
        <v/>
      </c>
      <c r="AL187" s="24">
        <f>MIN(R187-AB187,MAX(0,$C187-SUMPRODUCT(($D$3:$M$3&lt;H$3)*($N187:$W187-$X187:$AG187))))</f>
        <v/>
      </c>
      <c r="AM187" s="24">
        <f>MIN(S187-AC187,MAX(0,$C187-SUMPRODUCT(($D$3:$M$3&lt;I$3)*($N187:$W187-$X187:$AG187))))</f>
        <v/>
      </c>
      <c r="AN187" s="24">
        <f>MIN(T187-AD187,MAX(0,$C187-SUMPRODUCT(($D$3:$M$3&lt;J$3)*($N187:$W187-$X187:$AG187))))</f>
        <v/>
      </c>
      <c r="AO187" s="24">
        <f>MIN(U187-AE187,MAX(0,$C187-SUMPRODUCT(($D$3:$M$3&lt;K$3)*($N187:$W187-$X187:$AG187))))</f>
        <v/>
      </c>
      <c r="AP187" s="24">
        <f>MIN(V187-AF187,MAX(0,$C187-SUMPRODUCT(($D$3:$M$3&lt;L$3)*($N187:$W187-$X187:$AG187))))</f>
        <v/>
      </c>
      <c r="AQ187" s="24">
        <f>MIN(W187-AG187,MAX(0,$C187-SUMPRODUCT(($D$3:$M$3&lt;M$3)*($N187:$W187-$X187:$AG187))))</f>
        <v/>
      </c>
      <c r="AR187" s="24">
        <f>ROUND(N187-X187-AH187,2)</f>
        <v/>
      </c>
      <c r="AS187" s="24">
        <f>ROUND(O187-Y187-AI187,2)</f>
        <v/>
      </c>
      <c r="AT187" s="24">
        <f>ROUND(P187-Z187-AJ187,2)</f>
        <v/>
      </c>
      <c r="AU187" s="24">
        <f>ROUND(Q187-AA187-AK187,2)</f>
        <v/>
      </c>
      <c r="AV187" s="24">
        <f>ROUND(R187-AB187-AL187,2)</f>
        <v/>
      </c>
      <c r="AW187" s="24">
        <f>ROUND(S187-AC187-AM187,2)</f>
        <v/>
      </c>
      <c r="AX187" s="24">
        <f>ROUND(T187-AD187-AN187,2)</f>
        <v/>
      </c>
      <c r="AY187" s="24">
        <f>ROUND(U187-AE187-AO187,2)</f>
        <v/>
      </c>
      <c r="AZ187" s="24">
        <f>ROUND(V187-AF187-AP187,2)</f>
        <v/>
      </c>
      <c r="BA187" s="24">
        <f>ROUND(W187-AG187-AQ187,2)</f>
        <v/>
      </c>
      <c r="BB187" s="24">
        <f>SUM(AR187:BA187)</f>
        <v/>
      </c>
    </row>
    <row r="188">
      <c r="A188" t="n">
        <v>184</v>
      </c>
      <c r="B188" s="23">
        <f>EOMONTH(TODAY(),183)</f>
        <v/>
      </c>
      <c r="C188" s="24">
        <f>MAX(0,(SUM('My Loans'!$E$6:$E$15)+'My Loans'!$D$3)-SUM($X188:$AG188))</f>
        <v/>
      </c>
      <c r="D188" s="24">
        <f>MAX(0,AR187)</f>
        <v/>
      </c>
      <c r="E188" s="24">
        <f>MAX(0,AS187)</f>
        <v/>
      </c>
      <c r="F188" s="24">
        <f>MAX(0,AT187)</f>
        <v/>
      </c>
      <c r="G188" s="24">
        <f>MAX(0,AU187)</f>
        <v/>
      </c>
      <c r="H188" s="24">
        <f>MAX(0,AV187)</f>
        <v/>
      </c>
      <c r="I188" s="24">
        <f>MAX(0,AW187)</f>
        <v/>
      </c>
      <c r="J188" s="24">
        <f>MAX(0,AX187)</f>
        <v/>
      </c>
      <c r="K188" s="24">
        <f>MAX(0,AY187)</f>
        <v/>
      </c>
      <c r="L188" s="24">
        <f>MAX(0,AZ187)</f>
        <v/>
      </c>
      <c r="M188" s="24">
        <f>MAX(0,BA187)</f>
        <v/>
      </c>
      <c r="N188" s="24">
        <f>IF(D188&lt;0.5,0,D188*(1+N('My Loans'!D6)/1200))</f>
        <v/>
      </c>
      <c r="O188" s="24">
        <f>IF(E188&lt;0.5,0,E188*(1+N('My Loans'!D7)/1200))</f>
        <v/>
      </c>
      <c r="P188" s="24">
        <f>IF(F188&lt;0.5,0,F188*(1+N('My Loans'!D8)/1200))</f>
        <v/>
      </c>
      <c r="Q188" s="24">
        <f>IF(G188&lt;0.5,0,G188*(1+N('My Loans'!D9)/1200))</f>
        <v/>
      </c>
      <c r="R188" s="24">
        <f>IF(H188&lt;0.5,0,H188*(1+N('My Loans'!D10)/1200))</f>
        <v/>
      </c>
      <c r="S188" s="24">
        <f>IF(I188&lt;0.5,0,I188*(1+N('My Loans'!D11)/1200))</f>
        <v/>
      </c>
      <c r="T188" s="24">
        <f>IF(J188&lt;0.5,0,J188*(1+N('My Loans'!D12)/1200))</f>
        <v/>
      </c>
      <c r="U188" s="24">
        <f>IF(K188&lt;0.5,0,K188*(1+N('My Loans'!D13)/1200))</f>
        <v/>
      </c>
      <c r="V188" s="24">
        <f>IF(L188&lt;0.5,0,L188*(1+N('My Loans'!D14)/1200))</f>
        <v/>
      </c>
      <c r="W188" s="24">
        <f>IF(M188&lt;0.5,0,M188*(1+N('My Loans'!D15)/1200))</f>
        <v/>
      </c>
      <c r="X188" s="24">
        <f>MIN(N188,N('My Loans'!E6))</f>
        <v/>
      </c>
      <c r="Y188" s="24">
        <f>MIN(O188,N('My Loans'!E7))</f>
        <v/>
      </c>
      <c r="Z188" s="24">
        <f>MIN(P188,N('My Loans'!E8))</f>
        <v/>
      </c>
      <c r="AA188" s="24">
        <f>MIN(Q188,N('My Loans'!E9))</f>
        <v/>
      </c>
      <c r="AB188" s="24">
        <f>MIN(R188,N('My Loans'!E10))</f>
        <v/>
      </c>
      <c r="AC188" s="24">
        <f>MIN(S188,N('My Loans'!E11))</f>
        <v/>
      </c>
      <c r="AD188" s="24">
        <f>MIN(T188,N('My Loans'!E12))</f>
        <v/>
      </c>
      <c r="AE188" s="24">
        <f>MIN(U188,N('My Loans'!E13))</f>
        <v/>
      </c>
      <c r="AF188" s="24">
        <f>MIN(V188,N('My Loans'!E14))</f>
        <v/>
      </c>
      <c r="AG188" s="24">
        <f>MIN(W188,N('My Loans'!E15))</f>
        <v/>
      </c>
      <c r="AH188" s="24">
        <f>MIN(N188-X188,MAX(0,$C188-SUMPRODUCT(($D$3:$M$3&lt;D$3)*($N188:$W188-$X188:$AG188))))</f>
        <v/>
      </c>
      <c r="AI188" s="24">
        <f>MIN(O188-Y188,MAX(0,$C188-SUMPRODUCT(($D$3:$M$3&lt;E$3)*($N188:$W188-$X188:$AG188))))</f>
        <v/>
      </c>
      <c r="AJ188" s="24">
        <f>MIN(P188-Z188,MAX(0,$C188-SUMPRODUCT(($D$3:$M$3&lt;F$3)*($N188:$W188-$X188:$AG188))))</f>
        <v/>
      </c>
      <c r="AK188" s="24">
        <f>MIN(Q188-AA188,MAX(0,$C188-SUMPRODUCT(($D$3:$M$3&lt;G$3)*($N188:$W188-$X188:$AG188))))</f>
        <v/>
      </c>
      <c r="AL188" s="24">
        <f>MIN(R188-AB188,MAX(0,$C188-SUMPRODUCT(($D$3:$M$3&lt;H$3)*($N188:$W188-$X188:$AG188))))</f>
        <v/>
      </c>
      <c r="AM188" s="24">
        <f>MIN(S188-AC188,MAX(0,$C188-SUMPRODUCT(($D$3:$M$3&lt;I$3)*($N188:$W188-$X188:$AG188))))</f>
        <v/>
      </c>
      <c r="AN188" s="24">
        <f>MIN(T188-AD188,MAX(0,$C188-SUMPRODUCT(($D$3:$M$3&lt;J$3)*($N188:$W188-$X188:$AG188))))</f>
        <v/>
      </c>
      <c r="AO188" s="24">
        <f>MIN(U188-AE188,MAX(0,$C188-SUMPRODUCT(($D$3:$M$3&lt;K$3)*($N188:$W188-$X188:$AG188))))</f>
        <v/>
      </c>
      <c r="AP188" s="24">
        <f>MIN(V188-AF188,MAX(0,$C188-SUMPRODUCT(($D$3:$M$3&lt;L$3)*($N188:$W188-$X188:$AG188))))</f>
        <v/>
      </c>
      <c r="AQ188" s="24">
        <f>MIN(W188-AG188,MAX(0,$C188-SUMPRODUCT(($D$3:$M$3&lt;M$3)*($N188:$W188-$X188:$AG188))))</f>
        <v/>
      </c>
      <c r="AR188" s="24">
        <f>ROUND(N188-X188-AH188,2)</f>
        <v/>
      </c>
      <c r="AS188" s="24">
        <f>ROUND(O188-Y188-AI188,2)</f>
        <v/>
      </c>
      <c r="AT188" s="24">
        <f>ROUND(P188-Z188-AJ188,2)</f>
        <v/>
      </c>
      <c r="AU188" s="24">
        <f>ROUND(Q188-AA188-AK188,2)</f>
        <v/>
      </c>
      <c r="AV188" s="24">
        <f>ROUND(R188-AB188-AL188,2)</f>
        <v/>
      </c>
      <c r="AW188" s="24">
        <f>ROUND(S188-AC188-AM188,2)</f>
        <v/>
      </c>
      <c r="AX188" s="24">
        <f>ROUND(T188-AD188-AN188,2)</f>
        <v/>
      </c>
      <c r="AY188" s="24">
        <f>ROUND(U188-AE188-AO188,2)</f>
        <v/>
      </c>
      <c r="AZ188" s="24">
        <f>ROUND(V188-AF188-AP188,2)</f>
        <v/>
      </c>
      <c r="BA188" s="24">
        <f>ROUND(W188-AG188-AQ188,2)</f>
        <v/>
      </c>
      <c r="BB188" s="24">
        <f>SUM(AR188:BA188)</f>
        <v/>
      </c>
    </row>
    <row r="189">
      <c r="A189" t="n">
        <v>185</v>
      </c>
      <c r="B189" s="23">
        <f>EOMONTH(TODAY(),184)</f>
        <v/>
      </c>
      <c r="C189" s="24">
        <f>MAX(0,(SUM('My Loans'!$E$6:$E$15)+'My Loans'!$D$3)-SUM($X189:$AG189))</f>
        <v/>
      </c>
      <c r="D189" s="24">
        <f>MAX(0,AR188)</f>
        <v/>
      </c>
      <c r="E189" s="24">
        <f>MAX(0,AS188)</f>
        <v/>
      </c>
      <c r="F189" s="24">
        <f>MAX(0,AT188)</f>
        <v/>
      </c>
      <c r="G189" s="24">
        <f>MAX(0,AU188)</f>
        <v/>
      </c>
      <c r="H189" s="24">
        <f>MAX(0,AV188)</f>
        <v/>
      </c>
      <c r="I189" s="24">
        <f>MAX(0,AW188)</f>
        <v/>
      </c>
      <c r="J189" s="24">
        <f>MAX(0,AX188)</f>
        <v/>
      </c>
      <c r="K189" s="24">
        <f>MAX(0,AY188)</f>
        <v/>
      </c>
      <c r="L189" s="24">
        <f>MAX(0,AZ188)</f>
        <v/>
      </c>
      <c r="M189" s="24">
        <f>MAX(0,BA188)</f>
        <v/>
      </c>
      <c r="N189" s="24">
        <f>IF(D189&lt;0.5,0,D189*(1+N('My Loans'!D6)/1200))</f>
        <v/>
      </c>
      <c r="O189" s="24">
        <f>IF(E189&lt;0.5,0,E189*(1+N('My Loans'!D7)/1200))</f>
        <v/>
      </c>
      <c r="P189" s="24">
        <f>IF(F189&lt;0.5,0,F189*(1+N('My Loans'!D8)/1200))</f>
        <v/>
      </c>
      <c r="Q189" s="24">
        <f>IF(G189&lt;0.5,0,G189*(1+N('My Loans'!D9)/1200))</f>
        <v/>
      </c>
      <c r="R189" s="24">
        <f>IF(H189&lt;0.5,0,H189*(1+N('My Loans'!D10)/1200))</f>
        <v/>
      </c>
      <c r="S189" s="24">
        <f>IF(I189&lt;0.5,0,I189*(1+N('My Loans'!D11)/1200))</f>
        <v/>
      </c>
      <c r="T189" s="24">
        <f>IF(J189&lt;0.5,0,J189*(1+N('My Loans'!D12)/1200))</f>
        <v/>
      </c>
      <c r="U189" s="24">
        <f>IF(K189&lt;0.5,0,K189*(1+N('My Loans'!D13)/1200))</f>
        <v/>
      </c>
      <c r="V189" s="24">
        <f>IF(L189&lt;0.5,0,L189*(1+N('My Loans'!D14)/1200))</f>
        <v/>
      </c>
      <c r="W189" s="24">
        <f>IF(M189&lt;0.5,0,M189*(1+N('My Loans'!D15)/1200))</f>
        <v/>
      </c>
      <c r="X189" s="24">
        <f>MIN(N189,N('My Loans'!E6))</f>
        <v/>
      </c>
      <c r="Y189" s="24">
        <f>MIN(O189,N('My Loans'!E7))</f>
        <v/>
      </c>
      <c r="Z189" s="24">
        <f>MIN(P189,N('My Loans'!E8))</f>
        <v/>
      </c>
      <c r="AA189" s="24">
        <f>MIN(Q189,N('My Loans'!E9))</f>
        <v/>
      </c>
      <c r="AB189" s="24">
        <f>MIN(R189,N('My Loans'!E10))</f>
        <v/>
      </c>
      <c r="AC189" s="24">
        <f>MIN(S189,N('My Loans'!E11))</f>
        <v/>
      </c>
      <c r="AD189" s="24">
        <f>MIN(T189,N('My Loans'!E12))</f>
        <v/>
      </c>
      <c r="AE189" s="24">
        <f>MIN(U189,N('My Loans'!E13))</f>
        <v/>
      </c>
      <c r="AF189" s="24">
        <f>MIN(V189,N('My Loans'!E14))</f>
        <v/>
      </c>
      <c r="AG189" s="24">
        <f>MIN(W189,N('My Loans'!E15))</f>
        <v/>
      </c>
      <c r="AH189" s="24">
        <f>MIN(N189-X189,MAX(0,$C189-SUMPRODUCT(($D$3:$M$3&lt;D$3)*($N189:$W189-$X189:$AG189))))</f>
        <v/>
      </c>
      <c r="AI189" s="24">
        <f>MIN(O189-Y189,MAX(0,$C189-SUMPRODUCT(($D$3:$M$3&lt;E$3)*($N189:$W189-$X189:$AG189))))</f>
        <v/>
      </c>
      <c r="AJ189" s="24">
        <f>MIN(P189-Z189,MAX(0,$C189-SUMPRODUCT(($D$3:$M$3&lt;F$3)*($N189:$W189-$X189:$AG189))))</f>
        <v/>
      </c>
      <c r="AK189" s="24">
        <f>MIN(Q189-AA189,MAX(0,$C189-SUMPRODUCT(($D$3:$M$3&lt;G$3)*($N189:$W189-$X189:$AG189))))</f>
        <v/>
      </c>
      <c r="AL189" s="24">
        <f>MIN(R189-AB189,MAX(0,$C189-SUMPRODUCT(($D$3:$M$3&lt;H$3)*($N189:$W189-$X189:$AG189))))</f>
        <v/>
      </c>
      <c r="AM189" s="24">
        <f>MIN(S189-AC189,MAX(0,$C189-SUMPRODUCT(($D$3:$M$3&lt;I$3)*($N189:$W189-$X189:$AG189))))</f>
        <v/>
      </c>
      <c r="AN189" s="24">
        <f>MIN(T189-AD189,MAX(0,$C189-SUMPRODUCT(($D$3:$M$3&lt;J$3)*($N189:$W189-$X189:$AG189))))</f>
        <v/>
      </c>
      <c r="AO189" s="24">
        <f>MIN(U189-AE189,MAX(0,$C189-SUMPRODUCT(($D$3:$M$3&lt;K$3)*($N189:$W189-$X189:$AG189))))</f>
        <v/>
      </c>
      <c r="AP189" s="24">
        <f>MIN(V189-AF189,MAX(0,$C189-SUMPRODUCT(($D$3:$M$3&lt;L$3)*($N189:$W189-$X189:$AG189))))</f>
        <v/>
      </c>
      <c r="AQ189" s="24">
        <f>MIN(W189-AG189,MAX(0,$C189-SUMPRODUCT(($D$3:$M$3&lt;M$3)*($N189:$W189-$X189:$AG189))))</f>
        <v/>
      </c>
      <c r="AR189" s="24">
        <f>ROUND(N189-X189-AH189,2)</f>
        <v/>
      </c>
      <c r="AS189" s="24">
        <f>ROUND(O189-Y189-AI189,2)</f>
        <v/>
      </c>
      <c r="AT189" s="24">
        <f>ROUND(P189-Z189-AJ189,2)</f>
        <v/>
      </c>
      <c r="AU189" s="24">
        <f>ROUND(Q189-AA189-AK189,2)</f>
        <v/>
      </c>
      <c r="AV189" s="24">
        <f>ROUND(R189-AB189-AL189,2)</f>
        <v/>
      </c>
      <c r="AW189" s="24">
        <f>ROUND(S189-AC189-AM189,2)</f>
        <v/>
      </c>
      <c r="AX189" s="24">
        <f>ROUND(T189-AD189-AN189,2)</f>
        <v/>
      </c>
      <c r="AY189" s="24">
        <f>ROUND(U189-AE189-AO189,2)</f>
        <v/>
      </c>
      <c r="AZ189" s="24">
        <f>ROUND(V189-AF189-AP189,2)</f>
        <v/>
      </c>
      <c r="BA189" s="24">
        <f>ROUND(W189-AG189-AQ189,2)</f>
        <v/>
      </c>
      <c r="BB189" s="24">
        <f>SUM(AR189:BA189)</f>
        <v/>
      </c>
    </row>
    <row r="190">
      <c r="A190" t="n">
        <v>186</v>
      </c>
      <c r="B190" s="23">
        <f>EOMONTH(TODAY(),185)</f>
        <v/>
      </c>
      <c r="C190" s="24">
        <f>MAX(0,(SUM('My Loans'!$E$6:$E$15)+'My Loans'!$D$3)-SUM($X190:$AG190))</f>
        <v/>
      </c>
      <c r="D190" s="24">
        <f>MAX(0,AR189)</f>
        <v/>
      </c>
      <c r="E190" s="24">
        <f>MAX(0,AS189)</f>
        <v/>
      </c>
      <c r="F190" s="24">
        <f>MAX(0,AT189)</f>
        <v/>
      </c>
      <c r="G190" s="24">
        <f>MAX(0,AU189)</f>
        <v/>
      </c>
      <c r="H190" s="24">
        <f>MAX(0,AV189)</f>
        <v/>
      </c>
      <c r="I190" s="24">
        <f>MAX(0,AW189)</f>
        <v/>
      </c>
      <c r="J190" s="24">
        <f>MAX(0,AX189)</f>
        <v/>
      </c>
      <c r="K190" s="24">
        <f>MAX(0,AY189)</f>
        <v/>
      </c>
      <c r="L190" s="24">
        <f>MAX(0,AZ189)</f>
        <v/>
      </c>
      <c r="M190" s="24">
        <f>MAX(0,BA189)</f>
        <v/>
      </c>
      <c r="N190" s="24">
        <f>IF(D190&lt;0.5,0,D190*(1+N('My Loans'!D6)/1200))</f>
        <v/>
      </c>
      <c r="O190" s="24">
        <f>IF(E190&lt;0.5,0,E190*(1+N('My Loans'!D7)/1200))</f>
        <v/>
      </c>
      <c r="P190" s="24">
        <f>IF(F190&lt;0.5,0,F190*(1+N('My Loans'!D8)/1200))</f>
        <v/>
      </c>
      <c r="Q190" s="24">
        <f>IF(G190&lt;0.5,0,G190*(1+N('My Loans'!D9)/1200))</f>
        <v/>
      </c>
      <c r="R190" s="24">
        <f>IF(H190&lt;0.5,0,H190*(1+N('My Loans'!D10)/1200))</f>
        <v/>
      </c>
      <c r="S190" s="24">
        <f>IF(I190&lt;0.5,0,I190*(1+N('My Loans'!D11)/1200))</f>
        <v/>
      </c>
      <c r="T190" s="24">
        <f>IF(J190&lt;0.5,0,J190*(1+N('My Loans'!D12)/1200))</f>
        <v/>
      </c>
      <c r="U190" s="24">
        <f>IF(K190&lt;0.5,0,K190*(1+N('My Loans'!D13)/1200))</f>
        <v/>
      </c>
      <c r="V190" s="24">
        <f>IF(L190&lt;0.5,0,L190*(1+N('My Loans'!D14)/1200))</f>
        <v/>
      </c>
      <c r="W190" s="24">
        <f>IF(M190&lt;0.5,0,M190*(1+N('My Loans'!D15)/1200))</f>
        <v/>
      </c>
      <c r="X190" s="24">
        <f>MIN(N190,N('My Loans'!E6))</f>
        <v/>
      </c>
      <c r="Y190" s="24">
        <f>MIN(O190,N('My Loans'!E7))</f>
        <v/>
      </c>
      <c r="Z190" s="24">
        <f>MIN(P190,N('My Loans'!E8))</f>
        <v/>
      </c>
      <c r="AA190" s="24">
        <f>MIN(Q190,N('My Loans'!E9))</f>
        <v/>
      </c>
      <c r="AB190" s="24">
        <f>MIN(R190,N('My Loans'!E10))</f>
        <v/>
      </c>
      <c r="AC190" s="24">
        <f>MIN(S190,N('My Loans'!E11))</f>
        <v/>
      </c>
      <c r="AD190" s="24">
        <f>MIN(T190,N('My Loans'!E12))</f>
        <v/>
      </c>
      <c r="AE190" s="24">
        <f>MIN(U190,N('My Loans'!E13))</f>
        <v/>
      </c>
      <c r="AF190" s="24">
        <f>MIN(V190,N('My Loans'!E14))</f>
        <v/>
      </c>
      <c r="AG190" s="24">
        <f>MIN(W190,N('My Loans'!E15))</f>
        <v/>
      </c>
      <c r="AH190" s="24">
        <f>MIN(N190-X190,MAX(0,$C190-SUMPRODUCT(($D$3:$M$3&lt;D$3)*($N190:$W190-$X190:$AG190))))</f>
        <v/>
      </c>
      <c r="AI190" s="24">
        <f>MIN(O190-Y190,MAX(0,$C190-SUMPRODUCT(($D$3:$M$3&lt;E$3)*($N190:$W190-$X190:$AG190))))</f>
        <v/>
      </c>
      <c r="AJ190" s="24">
        <f>MIN(P190-Z190,MAX(0,$C190-SUMPRODUCT(($D$3:$M$3&lt;F$3)*($N190:$W190-$X190:$AG190))))</f>
        <v/>
      </c>
      <c r="AK190" s="24">
        <f>MIN(Q190-AA190,MAX(0,$C190-SUMPRODUCT(($D$3:$M$3&lt;G$3)*($N190:$W190-$X190:$AG190))))</f>
        <v/>
      </c>
      <c r="AL190" s="24">
        <f>MIN(R190-AB190,MAX(0,$C190-SUMPRODUCT(($D$3:$M$3&lt;H$3)*($N190:$W190-$X190:$AG190))))</f>
        <v/>
      </c>
      <c r="AM190" s="24">
        <f>MIN(S190-AC190,MAX(0,$C190-SUMPRODUCT(($D$3:$M$3&lt;I$3)*($N190:$W190-$X190:$AG190))))</f>
        <v/>
      </c>
      <c r="AN190" s="24">
        <f>MIN(T190-AD190,MAX(0,$C190-SUMPRODUCT(($D$3:$M$3&lt;J$3)*($N190:$W190-$X190:$AG190))))</f>
        <v/>
      </c>
      <c r="AO190" s="24">
        <f>MIN(U190-AE190,MAX(0,$C190-SUMPRODUCT(($D$3:$M$3&lt;K$3)*($N190:$W190-$X190:$AG190))))</f>
        <v/>
      </c>
      <c r="AP190" s="24">
        <f>MIN(V190-AF190,MAX(0,$C190-SUMPRODUCT(($D$3:$M$3&lt;L$3)*($N190:$W190-$X190:$AG190))))</f>
        <v/>
      </c>
      <c r="AQ190" s="24">
        <f>MIN(W190-AG190,MAX(0,$C190-SUMPRODUCT(($D$3:$M$3&lt;M$3)*($N190:$W190-$X190:$AG190))))</f>
        <v/>
      </c>
      <c r="AR190" s="24">
        <f>ROUND(N190-X190-AH190,2)</f>
        <v/>
      </c>
      <c r="AS190" s="24">
        <f>ROUND(O190-Y190-AI190,2)</f>
        <v/>
      </c>
      <c r="AT190" s="24">
        <f>ROUND(P190-Z190-AJ190,2)</f>
        <v/>
      </c>
      <c r="AU190" s="24">
        <f>ROUND(Q190-AA190-AK190,2)</f>
        <v/>
      </c>
      <c r="AV190" s="24">
        <f>ROUND(R190-AB190-AL190,2)</f>
        <v/>
      </c>
      <c r="AW190" s="24">
        <f>ROUND(S190-AC190-AM190,2)</f>
        <v/>
      </c>
      <c r="AX190" s="24">
        <f>ROUND(T190-AD190-AN190,2)</f>
        <v/>
      </c>
      <c r="AY190" s="24">
        <f>ROUND(U190-AE190-AO190,2)</f>
        <v/>
      </c>
      <c r="AZ190" s="24">
        <f>ROUND(V190-AF190-AP190,2)</f>
        <v/>
      </c>
      <c r="BA190" s="24">
        <f>ROUND(W190-AG190-AQ190,2)</f>
        <v/>
      </c>
      <c r="BB190" s="24">
        <f>SUM(AR190:BA190)</f>
        <v/>
      </c>
    </row>
    <row r="191">
      <c r="A191" t="n">
        <v>187</v>
      </c>
      <c r="B191" s="23">
        <f>EOMONTH(TODAY(),186)</f>
        <v/>
      </c>
      <c r="C191" s="24">
        <f>MAX(0,(SUM('My Loans'!$E$6:$E$15)+'My Loans'!$D$3)-SUM($X191:$AG191))</f>
        <v/>
      </c>
      <c r="D191" s="24">
        <f>MAX(0,AR190)</f>
        <v/>
      </c>
      <c r="E191" s="24">
        <f>MAX(0,AS190)</f>
        <v/>
      </c>
      <c r="F191" s="24">
        <f>MAX(0,AT190)</f>
        <v/>
      </c>
      <c r="G191" s="24">
        <f>MAX(0,AU190)</f>
        <v/>
      </c>
      <c r="H191" s="24">
        <f>MAX(0,AV190)</f>
        <v/>
      </c>
      <c r="I191" s="24">
        <f>MAX(0,AW190)</f>
        <v/>
      </c>
      <c r="J191" s="24">
        <f>MAX(0,AX190)</f>
        <v/>
      </c>
      <c r="K191" s="24">
        <f>MAX(0,AY190)</f>
        <v/>
      </c>
      <c r="L191" s="24">
        <f>MAX(0,AZ190)</f>
        <v/>
      </c>
      <c r="M191" s="24">
        <f>MAX(0,BA190)</f>
        <v/>
      </c>
      <c r="N191" s="24">
        <f>IF(D191&lt;0.5,0,D191*(1+N('My Loans'!D6)/1200))</f>
        <v/>
      </c>
      <c r="O191" s="24">
        <f>IF(E191&lt;0.5,0,E191*(1+N('My Loans'!D7)/1200))</f>
        <v/>
      </c>
      <c r="P191" s="24">
        <f>IF(F191&lt;0.5,0,F191*(1+N('My Loans'!D8)/1200))</f>
        <v/>
      </c>
      <c r="Q191" s="24">
        <f>IF(G191&lt;0.5,0,G191*(1+N('My Loans'!D9)/1200))</f>
        <v/>
      </c>
      <c r="R191" s="24">
        <f>IF(H191&lt;0.5,0,H191*(1+N('My Loans'!D10)/1200))</f>
        <v/>
      </c>
      <c r="S191" s="24">
        <f>IF(I191&lt;0.5,0,I191*(1+N('My Loans'!D11)/1200))</f>
        <v/>
      </c>
      <c r="T191" s="24">
        <f>IF(J191&lt;0.5,0,J191*(1+N('My Loans'!D12)/1200))</f>
        <v/>
      </c>
      <c r="U191" s="24">
        <f>IF(K191&lt;0.5,0,K191*(1+N('My Loans'!D13)/1200))</f>
        <v/>
      </c>
      <c r="V191" s="24">
        <f>IF(L191&lt;0.5,0,L191*(1+N('My Loans'!D14)/1200))</f>
        <v/>
      </c>
      <c r="W191" s="24">
        <f>IF(M191&lt;0.5,0,M191*(1+N('My Loans'!D15)/1200))</f>
        <v/>
      </c>
      <c r="X191" s="24">
        <f>MIN(N191,N('My Loans'!E6))</f>
        <v/>
      </c>
      <c r="Y191" s="24">
        <f>MIN(O191,N('My Loans'!E7))</f>
        <v/>
      </c>
      <c r="Z191" s="24">
        <f>MIN(P191,N('My Loans'!E8))</f>
        <v/>
      </c>
      <c r="AA191" s="24">
        <f>MIN(Q191,N('My Loans'!E9))</f>
        <v/>
      </c>
      <c r="AB191" s="24">
        <f>MIN(R191,N('My Loans'!E10))</f>
        <v/>
      </c>
      <c r="AC191" s="24">
        <f>MIN(S191,N('My Loans'!E11))</f>
        <v/>
      </c>
      <c r="AD191" s="24">
        <f>MIN(T191,N('My Loans'!E12))</f>
        <v/>
      </c>
      <c r="AE191" s="24">
        <f>MIN(U191,N('My Loans'!E13))</f>
        <v/>
      </c>
      <c r="AF191" s="24">
        <f>MIN(V191,N('My Loans'!E14))</f>
        <v/>
      </c>
      <c r="AG191" s="24">
        <f>MIN(W191,N('My Loans'!E15))</f>
        <v/>
      </c>
      <c r="AH191" s="24">
        <f>MIN(N191-X191,MAX(0,$C191-SUMPRODUCT(($D$3:$M$3&lt;D$3)*($N191:$W191-$X191:$AG191))))</f>
        <v/>
      </c>
      <c r="AI191" s="24">
        <f>MIN(O191-Y191,MAX(0,$C191-SUMPRODUCT(($D$3:$M$3&lt;E$3)*($N191:$W191-$X191:$AG191))))</f>
        <v/>
      </c>
      <c r="AJ191" s="24">
        <f>MIN(P191-Z191,MAX(0,$C191-SUMPRODUCT(($D$3:$M$3&lt;F$3)*($N191:$W191-$X191:$AG191))))</f>
        <v/>
      </c>
      <c r="AK191" s="24">
        <f>MIN(Q191-AA191,MAX(0,$C191-SUMPRODUCT(($D$3:$M$3&lt;G$3)*($N191:$W191-$X191:$AG191))))</f>
        <v/>
      </c>
      <c r="AL191" s="24">
        <f>MIN(R191-AB191,MAX(0,$C191-SUMPRODUCT(($D$3:$M$3&lt;H$3)*($N191:$W191-$X191:$AG191))))</f>
        <v/>
      </c>
      <c r="AM191" s="24">
        <f>MIN(S191-AC191,MAX(0,$C191-SUMPRODUCT(($D$3:$M$3&lt;I$3)*($N191:$W191-$X191:$AG191))))</f>
        <v/>
      </c>
      <c r="AN191" s="24">
        <f>MIN(T191-AD191,MAX(0,$C191-SUMPRODUCT(($D$3:$M$3&lt;J$3)*($N191:$W191-$X191:$AG191))))</f>
        <v/>
      </c>
      <c r="AO191" s="24">
        <f>MIN(U191-AE191,MAX(0,$C191-SUMPRODUCT(($D$3:$M$3&lt;K$3)*($N191:$W191-$X191:$AG191))))</f>
        <v/>
      </c>
      <c r="AP191" s="24">
        <f>MIN(V191-AF191,MAX(0,$C191-SUMPRODUCT(($D$3:$M$3&lt;L$3)*($N191:$W191-$X191:$AG191))))</f>
        <v/>
      </c>
      <c r="AQ191" s="24">
        <f>MIN(W191-AG191,MAX(0,$C191-SUMPRODUCT(($D$3:$M$3&lt;M$3)*($N191:$W191-$X191:$AG191))))</f>
        <v/>
      </c>
      <c r="AR191" s="24">
        <f>ROUND(N191-X191-AH191,2)</f>
        <v/>
      </c>
      <c r="AS191" s="24">
        <f>ROUND(O191-Y191-AI191,2)</f>
        <v/>
      </c>
      <c r="AT191" s="24">
        <f>ROUND(P191-Z191-AJ191,2)</f>
        <v/>
      </c>
      <c r="AU191" s="24">
        <f>ROUND(Q191-AA191-AK191,2)</f>
        <v/>
      </c>
      <c r="AV191" s="24">
        <f>ROUND(R191-AB191-AL191,2)</f>
        <v/>
      </c>
      <c r="AW191" s="24">
        <f>ROUND(S191-AC191-AM191,2)</f>
        <v/>
      </c>
      <c r="AX191" s="24">
        <f>ROUND(T191-AD191-AN191,2)</f>
        <v/>
      </c>
      <c r="AY191" s="24">
        <f>ROUND(U191-AE191-AO191,2)</f>
        <v/>
      </c>
      <c r="AZ191" s="24">
        <f>ROUND(V191-AF191-AP191,2)</f>
        <v/>
      </c>
      <c r="BA191" s="24">
        <f>ROUND(W191-AG191-AQ191,2)</f>
        <v/>
      </c>
      <c r="BB191" s="24">
        <f>SUM(AR191:BA191)</f>
        <v/>
      </c>
    </row>
    <row r="192">
      <c r="A192" t="n">
        <v>188</v>
      </c>
      <c r="B192" s="23">
        <f>EOMONTH(TODAY(),187)</f>
        <v/>
      </c>
      <c r="C192" s="24">
        <f>MAX(0,(SUM('My Loans'!$E$6:$E$15)+'My Loans'!$D$3)-SUM($X192:$AG192))</f>
        <v/>
      </c>
      <c r="D192" s="24">
        <f>MAX(0,AR191)</f>
        <v/>
      </c>
      <c r="E192" s="24">
        <f>MAX(0,AS191)</f>
        <v/>
      </c>
      <c r="F192" s="24">
        <f>MAX(0,AT191)</f>
        <v/>
      </c>
      <c r="G192" s="24">
        <f>MAX(0,AU191)</f>
        <v/>
      </c>
      <c r="H192" s="24">
        <f>MAX(0,AV191)</f>
        <v/>
      </c>
      <c r="I192" s="24">
        <f>MAX(0,AW191)</f>
        <v/>
      </c>
      <c r="J192" s="24">
        <f>MAX(0,AX191)</f>
        <v/>
      </c>
      <c r="K192" s="24">
        <f>MAX(0,AY191)</f>
        <v/>
      </c>
      <c r="L192" s="24">
        <f>MAX(0,AZ191)</f>
        <v/>
      </c>
      <c r="M192" s="24">
        <f>MAX(0,BA191)</f>
        <v/>
      </c>
      <c r="N192" s="24">
        <f>IF(D192&lt;0.5,0,D192*(1+N('My Loans'!D6)/1200))</f>
        <v/>
      </c>
      <c r="O192" s="24">
        <f>IF(E192&lt;0.5,0,E192*(1+N('My Loans'!D7)/1200))</f>
        <v/>
      </c>
      <c r="P192" s="24">
        <f>IF(F192&lt;0.5,0,F192*(1+N('My Loans'!D8)/1200))</f>
        <v/>
      </c>
      <c r="Q192" s="24">
        <f>IF(G192&lt;0.5,0,G192*(1+N('My Loans'!D9)/1200))</f>
        <v/>
      </c>
      <c r="R192" s="24">
        <f>IF(H192&lt;0.5,0,H192*(1+N('My Loans'!D10)/1200))</f>
        <v/>
      </c>
      <c r="S192" s="24">
        <f>IF(I192&lt;0.5,0,I192*(1+N('My Loans'!D11)/1200))</f>
        <v/>
      </c>
      <c r="T192" s="24">
        <f>IF(J192&lt;0.5,0,J192*(1+N('My Loans'!D12)/1200))</f>
        <v/>
      </c>
      <c r="U192" s="24">
        <f>IF(K192&lt;0.5,0,K192*(1+N('My Loans'!D13)/1200))</f>
        <v/>
      </c>
      <c r="V192" s="24">
        <f>IF(L192&lt;0.5,0,L192*(1+N('My Loans'!D14)/1200))</f>
        <v/>
      </c>
      <c r="W192" s="24">
        <f>IF(M192&lt;0.5,0,M192*(1+N('My Loans'!D15)/1200))</f>
        <v/>
      </c>
      <c r="X192" s="24">
        <f>MIN(N192,N('My Loans'!E6))</f>
        <v/>
      </c>
      <c r="Y192" s="24">
        <f>MIN(O192,N('My Loans'!E7))</f>
        <v/>
      </c>
      <c r="Z192" s="24">
        <f>MIN(P192,N('My Loans'!E8))</f>
        <v/>
      </c>
      <c r="AA192" s="24">
        <f>MIN(Q192,N('My Loans'!E9))</f>
        <v/>
      </c>
      <c r="AB192" s="24">
        <f>MIN(R192,N('My Loans'!E10))</f>
        <v/>
      </c>
      <c r="AC192" s="24">
        <f>MIN(S192,N('My Loans'!E11))</f>
        <v/>
      </c>
      <c r="AD192" s="24">
        <f>MIN(T192,N('My Loans'!E12))</f>
        <v/>
      </c>
      <c r="AE192" s="24">
        <f>MIN(U192,N('My Loans'!E13))</f>
        <v/>
      </c>
      <c r="AF192" s="24">
        <f>MIN(V192,N('My Loans'!E14))</f>
        <v/>
      </c>
      <c r="AG192" s="24">
        <f>MIN(W192,N('My Loans'!E15))</f>
        <v/>
      </c>
      <c r="AH192" s="24">
        <f>MIN(N192-X192,MAX(0,$C192-SUMPRODUCT(($D$3:$M$3&lt;D$3)*($N192:$W192-$X192:$AG192))))</f>
        <v/>
      </c>
      <c r="AI192" s="24">
        <f>MIN(O192-Y192,MAX(0,$C192-SUMPRODUCT(($D$3:$M$3&lt;E$3)*($N192:$W192-$X192:$AG192))))</f>
        <v/>
      </c>
      <c r="AJ192" s="24">
        <f>MIN(P192-Z192,MAX(0,$C192-SUMPRODUCT(($D$3:$M$3&lt;F$3)*($N192:$W192-$X192:$AG192))))</f>
        <v/>
      </c>
      <c r="AK192" s="24">
        <f>MIN(Q192-AA192,MAX(0,$C192-SUMPRODUCT(($D$3:$M$3&lt;G$3)*($N192:$W192-$X192:$AG192))))</f>
        <v/>
      </c>
      <c r="AL192" s="24">
        <f>MIN(R192-AB192,MAX(0,$C192-SUMPRODUCT(($D$3:$M$3&lt;H$3)*($N192:$W192-$X192:$AG192))))</f>
        <v/>
      </c>
      <c r="AM192" s="24">
        <f>MIN(S192-AC192,MAX(0,$C192-SUMPRODUCT(($D$3:$M$3&lt;I$3)*($N192:$W192-$X192:$AG192))))</f>
        <v/>
      </c>
      <c r="AN192" s="24">
        <f>MIN(T192-AD192,MAX(0,$C192-SUMPRODUCT(($D$3:$M$3&lt;J$3)*($N192:$W192-$X192:$AG192))))</f>
        <v/>
      </c>
      <c r="AO192" s="24">
        <f>MIN(U192-AE192,MAX(0,$C192-SUMPRODUCT(($D$3:$M$3&lt;K$3)*($N192:$W192-$X192:$AG192))))</f>
        <v/>
      </c>
      <c r="AP192" s="24">
        <f>MIN(V192-AF192,MAX(0,$C192-SUMPRODUCT(($D$3:$M$3&lt;L$3)*($N192:$W192-$X192:$AG192))))</f>
        <v/>
      </c>
      <c r="AQ192" s="24">
        <f>MIN(W192-AG192,MAX(0,$C192-SUMPRODUCT(($D$3:$M$3&lt;M$3)*($N192:$W192-$X192:$AG192))))</f>
        <v/>
      </c>
      <c r="AR192" s="24">
        <f>ROUND(N192-X192-AH192,2)</f>
        <v/>
      </c>
      <c r="AS192" s="24">
        <f>ROUND(O192-Y192-AI192,2)</f>
        <v/>
      </c>
      <c r="AT192" s="24">
        <f>ROUND(P192-Z192-AJ192,2)</f>
        <v/>
      </c>
      <c r="AU192" s="24">
        <f>ROUND(Q192-AA192-AK192,2)</f>
        <v/>
      </c>
      <c r="AV192" s="24">
        <f>ROUND(R192-AB192-AL192,2)</f>
        <v/>
      </c>
      <c r="AW192" s="24">
        <f>ROUND(S192-AC192-AM192,2)</f>
        <v/>
      </c>
      <c r="AX192" s="24">
        <f>ROUND(T192-AD192-AN192,2)</f>
        <v/>
      </c>
      <c r="AY192" s="24">
        <f>ROUND(U192-AE192-AO192,2)</f>
        <v/>
      </c>
      <c r="AZ192" s="24">
        <f>ROUND(V192-AF192-AP192,2)</f>
        <v/>
      </c>
      <c r="BA192" s="24">
        <f>ROUND(W192-AG192-AQ192,2)</f>
        <v/>
      </c>
      <c r="BB192" s="24">
        <f>SUM(AR192:BA192)</f>
        <v/>
      </c>
    </row>
    <row r="193">
      <c r="A193" t="n">
        <v>189</v>
      </c>
      <c r="B193" s="23">
        <f>EOMONTH(TODAY(),188)</f>
        <v/>
      </c>
      <c r="C193" s="24">
        <f>MAX(0,(SUM('My Loans'!$E$6:$E$15)+'My Loans'!$D$3)-SUM($X193:$AG193))</f>
        <v/>
      </c>
      <c r="D193" s="24">
        <f>MAX(0,AR192)</f>
        <v/>
      </c>
      <c r="E193" s="24">
        <f>MAX(0,AS192)</f>
        <v/>
      </c>
      <c r="F193" s="24">
        <f>MAX(0,AT192)</f>
        <v/>
      </c>
      <c r="G193" s="24">
        <f>MAX(0,AU192)</f>
        <v/>
      </c>
      <c r="H193" s="24">
        <f>MAX(0,AV192)</f>
        <v/>
      </c>
      <c r="I193" s="24">
        <f>MAX(0,AW192)</f>
        <v/>
      </c>
      <c r="J193" s="24">
        <f>MAX(0,AX192)</f>
        <v/>
      </c>
      <c r="K193" s="24">
        <f>MAX(0,AY192)</f>
        <v/>
      </c>
      <c r="L193" s="24">
        <f>MAX(0,AZ192)</f>
        <v/>
      </c>
      <c r="M193" s="24">
        <f>MAX(0,BA192)</f>
        <v/>
      </c>
      <c r="N193" s="24">
        <f>IF(D193&lt;0.5,0,D193*(1+N('My Loans'!D6)/1200))</f>
        <v/>
      </c>
      <c r="O193" s="24">
        <f>IF(E193&lt;0.5,0,E193*(1+N('My Loans'!D7)/1200))</f>
        <v/>
      </c>
      <c r="P193" s="24">
        <f>IF(F193&lt;0.5,0,F193*(1+N('My Loans'!D8)/1200))</f>
        <v/>
      </c>
      <c r="Q193" s="24">
        <f>IF(G193&lt;0.5,0,G193*(1+N('My Loans'!D9)/1200))</f>
        <v/>
      </c>
      <c r="R193" s="24">
        <f>IF(H193&lt;0.5,0,H193*(1+N('My Loans'!D10)/1200))</f>
        <v/>
      </c>
      <c r="S193" s="24">
        <f>IF(I193&lt;0.5,0,I193*(1+N('My Loans'!D11)/1200))</f>
        <v/>
      </c>
      <c r="T193" s="24">
        <f>IF(J193&lt;0.5,0,J193*(1+N('My Loans'!D12)/1200))</f>
        <v/>
      </c>
      <c r="U193" s="24">
        <f>IF(K193&lt;0.5,0,K193*(1+N('My Loans'!D13)/1200))</f>
        <v/>
      </c>
      <c r="V193" s="24">
        <f>IF(L193&lt;0.5,0,L193*(1+N('My Loans'!D14)/1200))</f>
        <v/>
      </c>
      <c r="W193" s="24">
        <f>IF(M193&lt;0.5,0,M193*(1+N('My Loans'!D15)/1200))</f>
        <v/>
      </c>
      <c r="X193" s="24">
        <f>MIN(N193,N('My Loans'!E6))</f>
        <v/>
      </c>
      <c r="Y193" s="24">
        <f>MIN(O193,N('My Loans'!E7))</f>
        <v/>
      </c>
      <c r="Z193" s="24">
        <f>MIN(P193,N('My Loans'!E8))</f>
        <v/>
      </c>
      <c r="AA193" s="24">
        <f>MIN(Q193,N('My Loans'!E9))</f>
        <v/>
      </c>
      <c r="AB193" s="24">
        <f>MIN(R193,N('My Loans'!E10))</f>
        <v/>
      </c>
      <c r="AC193" s="24">
        <f>MIN(S193,N('My Loans'!E11))</f>
        <v/>
      </c>
      <c r="AD193" s="24">
        <f>MIN(T193,N('My Loans'!E12))</f>
        <v/>
      </c>
      <c r="AE193" s="24">
        <f>MIN(U193,N('My Loans'!E13))</f>
        <v/>
      </c>
      <c r="AF193" s="24">
        <f>MIN(V193,N('My Loans'!E14))</f>
        <v/>
      </c>
      <c r="AG193" s="24">
        <f>MIN(W193,N('My Loans'!E15))</f>
        <v/>
      </c>
      <c r="AH193" s="24">
        <f>MIN(N193-X193,MAX(0,$C193-SUMPRODUCT(($D$3:$M$3&lt;D$3)*($N193:$W193-$X193:$AG193))))</f>
        <v/>
      </c>
      <c r="AI193" s="24">
        <f>MIN(O193-Y193,MAX(0,$C193-SUMPRODUCT(($D$3:$M$3&lt;E$3)*($N193:$W193-$X193:$AG193))))</f>
        <v/>
      </c>
      <c r="AJ193" s="24">
        <f>MIN(P193-Z193,MAX(0,$C193-SUMPRODUCT(($D$3:$M$3&lt;F$3)*($N193:$W193-$X193:$AG193))))</f>
        <v/>
      </c>
      <c r="AK193" s="24">
        <f>MIN(Q193-AA193,MAX(0,$C193-SUMPRODUCT(($D$3:$M$3&lt;G$3)*($N193:$W193-$X193:$AG193))))</f>
        <v/>
      </c>
      <c r="AL193" s="24">
        <f>MIN(R193-AB193,MAX(0,$C193-SUMPRODUCT(($D$3:$M$3&lt;H$3)*($N193:$W193-$X193:$AG193))))</f>
        <v/>
      </c>
      <c r="AM193" s="24">
        <f>MIN(S193-AC193,MAX(0,$C193-SUMPRODUCT(($D$3:$M$3&lt;I$3)*($N193:$W193-$X193:$AG193))))</f>
        <v/>
      </c>
      <c r="AN193" s="24">
        <f>MIN(T193-AD193,MAX(0,$C193-SUMPRODUCT(($D$3:$M$3&lt;J$3)*($N193:$W193-$X193:$AG193))))</f>
        <v/>
      </c>
      <c r="AO193" s="24">
        <f>MIN(U193-AE193,MAX(0,$C193-SUMPRODUCT(($D$3:$M$3&lt;K$3)*($N193:$W193-$X193:$AG193))))</f>
        <v/>
      </c>
      <c r="AP193" s="24">
        <f>MIN(V193-AF193,MAX(0,$C193-SUMPRODUCT(($D$3:$M$3&lt;L$3)*($N193:$W193-$X193:$AG193))))</f>
        <v/>
      </c>
      <c r="AQ193" s="24">
        <f>MIN(W193-AG193,MAX(0,$C193-SUMPRODUCT(($D$3:$M$3&lt;M$3)*($N193:$W193-$X193:$AG193))))</f>
        <v/>
      </c>
      <c r="AR193" s="24">
        <f>ROUND(N193-X193-AH193,2)</f>
        <v/>
      </c>
      <c r="AS193" s="24">
        <f>ROUND(O193-Y193-AI193,2)</f>
        <v/>
      </c>
      <c r="AT193" s="24">
        <f>ROUND(P193-Z193-AJ193,2)</f>
        <v/>
      </c>
      <c r="AU193" s="24">
        <f>ROUND(Q193-AA193-AK193,2)</f>
        <v/>
      </c>
      <c r="AV193" s="24">
        <f>ROUND(R193-AB193-AL193,2)</f>
        <v/>
      </c>
      <c r="AW193" s="24">
        <f>ROUND(S193-AC193-AM193,2)</f>
        <v/>
      </c>
      <c r="AX193" s="24">
        <f>ROUND(T193-AD193-AN193,2)</f>
        <v/>
      </c>
      <c r="AY193" s="24">
        <f>ROUND(U193-AE193-AO193,2)</f>
        <v/>
      </c>
      <c r="AZ193" s="24">
        <f>ROUND(V193-AF193-AP193,2)</f>
        <v/>
      </c>
      <c r="BA193" s="24">
        <f>ROUND(W193-AG193-AQ193,2)</f>
        <v/>
      </c>
      <c r="BB193" s="24">
        <f>SUM(AR193:BA193)</f>
        <v/>
      </c>
    </row>
    <row r="194">
      <c r="A194" t="n">
        <v>190</v>
      </c>
      <c r="B194" s="23">
        <f>EOMONTH(TODAY(),189)</f>
        <v/>
      </c>
      <c r="C194" s="24">
        <f>MAX(0,(SUM('My Loans'!$E$6:$E$15)+'My Loans'!$D$3)-SUM($X194:$AG194))</f>
        <v/>
      </c>
      <c r="D194" s="24">
        <f>MAX(0,AR193)</f>
        <v/>
      </c>
      <c r="E194" s="24">
        <f>MAX(0,AS193)</f>
        <v/>
      </c>
      <c r="F194" s="24">
        <f>MAX(0,AT193)</f>
        <v/>
      </c>
      <c r="G194" s="24">
        <f>MAX(0,AU193)</f>
        <v/>
      </c>
      <c r="H194" s="24">
        <f>MAX(0,AV193)</f>
        <v/>
      </c>
      <c r="I194" s="24">
        <f>MAX(0,AW193)</f>
        <v/>
      </c>
      <c r="J194" s="24">
        <f>MAX(0,AX193)</f>
        <v/>
      </c>
      <c r="K194" s="24">
        <f>MAX(0,AY193)</f>
        <v/>
      </c>
      <c r="L194" s="24">
        <f>MAX(0,AZ193)</f>
        <v/>
      </c>
      <c r="M194" s="24">
        <f>MAX(0,BA193)</f>
        <v/>
      </c>
      <c r="N194" s="24">
        <f>IF(D194&lt;0.5,0,D194*(1+N('My Loans'!D6)/1200))</f>
        <v/>
      </c>
      <c r="O194" s="24">
        <f>IF(E194&lt;0.5,0,E194*(1+N('My Loans'!D7)/1200))</f>
        <v/>
      </c>
      <c r="P194" s="24">
        <f>IF(F194&lt;0.5,0,F194*(1+N('My Loans'!D8)/1200))</f>
        <v/>
      </c>
      <c r="Q194" s="24">
        <f>IF(G194&lt;0.5,0,G194*(1+N('My Loans'!D9)/1200))</f>
        <v/>
      </c>
      <c r="R194" s="24">
        <f>IF(H194&lt;0.5,0,H194*(1+N('My Loans'!D10)/1200))</f>
        <v/>
      </c>
      <c r="S194" s="24">
        <f>IF(I194&lt;0.5,0,I194*(1+N('My Loans'!D11)/1200))</f>
        <v/>
      </c>
      <c r="T194" s="24">
        <f>IF(J194&lt;0.5,0,J194*(1+N('My Loans'!D12)/1200))</f>
        <v/>
      </c>
      <c r="U194" s="24">
        <f>IF(K194&lt;0.5,0,K194*(1+N('My Loans'!D13)/1200))</f>
        <v/>
      </c>
      <c r="V194" s="24">
        <f>IF(L194&lt;0.5,0,L194*(1+N('My Loans'!D14)/1200))</f>
        <v/>
      </c>
      <c r="W194" s="24">
        <f>IF(M194&lt;0.5,0,M194*(1+N('My Loans'!D15)/1200))</f>
        <v/>
      </c>
      <c r="X194" s="24">
        <f>MIN(N194,N('My Loans'!E6))</f>
        <v/>
      </c>
      <c r="Y194" s="24">
        <f>MIN(O194,N('My Loans'!E7))</f>
        <v/>
      </c>
      <c r="Z194" s="24">
        <f>MIN(P194,N('My Loans'!E8))</f>
        <v/>
      </c>
      <c r="AA194" s="24">
        <f>MIN(Q194,N('My Loans'!E9))</f>
        <v/>
      </c>
      <c r="AB194" s="24">
        <f>MIN(R194,N('My Loans'!E10))</f>
        <v/>
      </c>
      <c r="AC194" s="24">
        <f>MIN(S194,N('My Loans'!E11))</f>
        <v/>
      </c>
      <c r="AD194" s="24">
        <f>MIN(T194,N('My Loans'!E12))</f>
        <v/>
      </c>
      <c r="AE194" s="24">
        <f>MIN(U194,N('My Loans'!E13))</f>
        <v/>
      </c>
      <c r="AF194" s="24">
        <f>MIN(V194,N('My Loans'!E14))</f>
        <v/>
      </c>
      <c r="AG194" s="24">
        <f>MIN(W194,N('My Loans'!E15))</f>
        <v/>
      </c>
      <c r="AH194" s="24">
        <f>MIN(N194-X194,MAX(0,$C194-SUMPRODUCT(($D$3:$M$3&lt;D$3)*($N194:$W194-$X194:$AG194))))</f>
        <v/>
      </c>
      <c r="AI194" s="24">
        <f>MIN(O194-Y194,MAX(0,$C194-SUMPRODUCT(($D$3:$M$3&lt;E$3)*($N194:$W194-$X194:$AG194))))</f>
        <v/>
      </c>
      <c r="AJ194" s="24">
        <f>MIN(P194-Z194,MAX(0,$C194-SUMPRODUCT(($D$3:$M$3&lt;F$3)*($N194:$W194-$X194:$AG194))))</f>
        <v/>
      </c>
      <c r="AK194" s="24">
        <f>MIN(Q194-AA194,MAX(0,$C194-SUMPRODUCT(($D$3:$M$3&lt;G$3)*($N194:$W194-$X194:$AG194))))</f>
        <v/>
      </c>
      <c r="AL194" s="24">
        <f>MIN(R194-AB194,MAX(0,$C194-SUMPRODUCT(($D$3:$M$3&lt;H$3)*($N194:$W194-$X194:$AG194))))</f>
        <v/>
      </c>
      <c r="AM194" s="24">
        <f>MIN(S194-AC194,MAX(0,$C194-SUMPRODUCT(($D$3:$M$3&lt;I$3)*($N194:$W194-$X194:$AG194))))</f>
        <v/>
      </c>
      <c r="AN194" s="24">
        <f>MIN(T194-AD194,MAX(0,$C194-SUMPRODUCT(($D$3:$M$3&lt;J$3)*($N194:$W194-$X194:$AG194))))</f>
        <v/>
      </c>
      <c r="AO194" s="24">
        <f>MIN(U194-AE194,MAX(0,$C194-SUMPRODUCT(($D$3:$M$3&lt;K$3)*($N194:$W194-$X194:$AG194))))</f>
        <v/>
      </c>
      <c r="AP194" s="24">
        <f>MIN(V194-AF194,MAX(0,$C194-SUMPRODUCT(($D$3:$M$3&lt;L$3)*($N194:$W194-$X194:$AG194))))</f>
        <v/>
      </c>
      <c r="AQ194" s="24">
        <f>MIN(W194-AG194,MAX(0,$C194-SUMPRODUCT(($D$3:$M$3&lt;M$3)*($N194:$W194-$X194:$AG194))))</f>
        <v/>
      </c>
      <c r="AR194" s="24">
        <f>ROUND(N194-X194-AH194,2)</f>
        <v/>
      </c>
      <c r="AS194" s="24">
        <f>ROUND(O194-Y194-AI194,2)</f>
        <v/>
      </c>
      <c r="AT194" s="24">
        <f>ROUND(P194-Z194-AJ194,2)</f>
        <v/>
      </c>
      <c r="AU194" s="24">
        <f>ROUND(Q194-AA194-AK194,2)</f>
        <v/>
      </c>
      <c r="AV194" s="24">
        <f>ROUND(R194-AB194-AL194,2)</f>
        <v/>
      </c>
      <c r="AW194" s="24">
        <f>ROUND(S194-AC194-AM194,2)</f>
        <v/>
      </c>
      <c r="AX194" s="24">
        <f>ROUND(T194-AD194-AN194,2)</f>
        <v/>
      </c>
      <c r="AY194" s="24">
        <f>ROUND(U194-AE194-AO194,2)</f>
        <v/>
      </c>
      <c r="AZ194" s="24">
        <f>ROUND(V194-AF194-AP194,2)</f>
        <v/>
      </c>
      <c r="BA194" s="24">
        <f>ROUND(W194-AG194-AQ194,2)</f>
        <v/>
      </c>
      <c r="BB194" s="24">
        <f>SUM(AR194:BA194)</f>
        <v/>
      </c>
    </row>
    <row r="195">
      <c r="A195" t="n">
        <v>191</v>
      </c>
      <c r="B195" s="23">
        <f>EOMONTH(TODAY(),190)</f>
        <v/>
      </c>
      <c r="C195" s="24">
        <f>MAX(0,(SUM('My Loans'!$E$6:$E$15)+'My Loans'!$D$3)-SUM($X195:$AG195))</f>
        <v/>
      </c>
      <c r="D195" s="24">
        <f>MAX(0,AR194)</f>
        <v/>
      </c>
      <c r="E195" s="24">
        <f>MAX(0,AS194)</f>
        <v/>
      </c>
      <c r="F195" s="24">
        <f>MAX(0,AT194)</f>
        <v/>
      </c>
      <c r="G195" s="24">
        <f>MAX(0,AU194)</f>
        <v/>
      </c>
      <c r="H195" s="24">
        <f>MAX(0,AV194)</f>
        <v/>
      </c>
      <c r="I195" s="24">
        <f>MAX(0,AW194)</f>
        <v/>
      </c>
      <c r="J195" s="24">
        <f>MAX(0,AX194)</f>
        <v/>
      </c>
      <c r="K195" s="24">
        <f>MAX(0,AY194)</f>
        <v/>
      </c>
      <c r="L195" s="24">
        <f>MAX(0,AZ194)</f>
        <v/>
      </c>
      <c r="M195" s="24">
        <f>MAX(0,BA194)</f>
        <v/>
      </c>
      <c r="N195" s="24">
        <f>IF(D195&lt;0.5,0,D195*(1+N('My Loans'!D6)/1200))</f>
        <v/>
      </c>
      <c r="O195" s="24">
        <f>IF(E195&lt;0.5,0,E195*(1+N('My Loans'!D7)/1200))</f>
        <v/>
      </c>
      <c r="P195" s="24">
        <f>IF(F195&lt;0.5,0,F195*(1+N('My Loans'!D8)/1200))</f>
        <v/>
      </c>
      <c r="Q195" s="24">
        <f>IF(G195&lt;0.5,0,G195*(1+N('My Loans'!D9)/1200))</f>
        <v/>
      </c>
      <c r="R195" s="24">
        <f>IF(H195&lt;0.5,0,H195*(1+N('My Loans'!D10)/1200))</f>
        <v/>
      </c>
      <c r="S195" s="24">
        <f>IF(I195&lt;0.5,0,I195*(1+N('My Loans'!D11)/1200))</f>
        <v/>
      </c>
      <c r="T195" s="24">
        <f>IF(J195&lt;0.5,0,J195*(1+N('My Loans'!D12)/1200))</f>
        <v/>
      </c>
      <c r="U195" s="24">
        <f>IF(K195&lt;0.5,0,K195*(1+N('My Loans'!D13)/1200))</f>
        <v/>
      </c>
      <c r="V195" s="24">
        <f>IF(L195&lt;0.5,0,L195*(1+N('My Loans'!D14)/1200))</f>
        <v/>
      </c>
      <c r="W195" s="24">
        <f>IF(M195&lt;0.5,0,M195*(1+N('My Loans'!D15)/1200))</f>
        <v/>
      </c>
      <c r="X195" s="24">
        <f>MIN(N195,N('My Loans'!E6))</f>
        <v/>
      </c>
      <c r="Y195" s="24">
        <f>MIN(O195,N('My Loans'!E7))</f>
        <v/>
      </c>
      <c r="Z195" s="24">
        <f>MIN(P195,N('My Loans'!E8))</f>
        <v/>
      </c>
      <c r="AA195" s="24">
        <f>MIN(Q195,N('My Loans'!E9))</f>
        <v/>
      </c>
      <c r="AB195" s="24">
        <f>MIN(R195,N('My Loans'!E10))</f>
        <v/>
      </c>
      <c r="AC195" s="24">
        <f>MIN(S195,N('My Loans'!E11))</f>
        <v/>
      </c>
      <c r="AD195" s="24">
        <f>MIN(T195,N('My Loans'!E12))</f>
        <v/>
      </c>
      <c r="AE195" s="24">
        <f>MIN(U195,N('My Loans'!E13))</f>
        <v/>
      </c>
      <c r="AF195" s="24">
        <f>MIN(V195,N('My Loans'!E14))</f>
        <v/>
      </c>
      <c r="AG195" s="24">
        <f>MIN(W195,N('My Loans'!E15))</f>
        <v/>
      </c>
      <c r="AH195" s="24">
        <f>MIN(N195-X195,MAX(0,$C195-SUMPRODUCT(($D$3:$M$3&lt;D$3)*($N195:$W195-$X195:$AG195))))</f>
        <v/>
      </c>
      <c r="AI195" s="24">
        <f>MIN(O195-Y195,MAX(0,$C195-SUMPRODUCT(($D$3:$M$3&lt;E$3)*($N195:$W195-$X195:$AG195))))</f>
        <v/>
      </c>
      <c r="AJ195" s="24">
        <f>MIN(P195-Z195,MAX(0,$C195-SUMPRODUCT(($D$3:$M$3&lt;F$3)*($N195:$W195-$X195:$AG195))))</f>
        <v/>
      </c>
      <c r="AK195" s="24">
        <f>MIN(Q195-AA195,MAX(0,$C195-SUMPRODUCT(($D$3:$M$3&lt;G$3)*($N195:$W195-$X195:$AG195))))</f>
        <v/>
      </c>
      <c r="AL195" s="24">
        <f>MIN(R195-AB195,MAX(0,$C195-SUMPRODUCT(($D$3:$M$3&lt;H$3)*($N195:$W195-$X195:$AG195))))</f>
        <v/>
      </c>
      <c r="AM195" s="24">
        <f>MIN(S195-AC195,MAX(0,$C195-SUMPRODUCT(($D$3:$M$3&lt;I$3)*($N195:$W195-$X195:$AG195))))</f>
        <v/>
      </c>
      <c r="AN195" s="24">
        <f>MIN(T195-AD195,MAX(0,$C195-SUMPRODUCT(($D$3:$M$3&lt;J$3)*($N195:$W195-$X195:$AG195))))</f>
        <v/>
      </c>
      <c r="AO195" s="24">
        <f>MIN(U195-AE195,MAX(0,$C195-SUMPRODUCT(($D$3:$M$3&lt;K$3)*($N195:$W195-$X195:$AG195))))</f>
        <v/>
      </c>
      <c r="AP195" s="24">
        <f>MIN(V195-AF195,MAX(0,$C195-SUMPRODUCT(($D$3:$M$3&lt;L$3)*($N195:$W195-$X195:$AG195))))</f>
        <v/>
      </c>
      <c r="AQ195" s="24">
        <f>MIN(W195-AG195,MAX(0,$C195-SUMPRODUCT(($D$3:$M$3&lt;M$3)*($N195:$W195-$X195:$AG195))))</f>
        <v/>
      </c>
      <c r="AR195" s="24">
        <f>ROUND(N195-X195-AH195,2)</f>
        <v/>
      </c>
      <c r="AS195" s="24">
        <f>ROUND(O195-Y195-AI195,2)</f>
        <v/>
      </c>
      <c r="AT195" s="24">
        <f>ROUND(P195-Z195-AJ195,2)</f>
        <v/>
      </c>
      <c r="AU195" s="24">
        <f>ROUND(Q195-AA195-AK195,2)</f>
        <v/>
      </c>
      <c r="AV195" s="24">
        <f>ROUND(R195-AB195-AL195,2)</f>
        <v/>
      </c>
      <c r="AW195" s="24">
        <f>ROUND(S195-AC195-AM195,2)</f>
        <v/>
      </c>
      <c r="AX195" s="24">
        <f>ROUND(T195-AD195-AN195,2)</f>
        <v/>
      </c>
      <c r="AY195" s="24">
        <f>ROUND(U195-AE195-AO195,2)</f>
        <v/>
      </c>
      <c r="AZ195" s="24">
        <f>ROUND(V195-AF195-AP195,2)</f>
        <v/>
      </c>
      <c r="BA195" s="24">
        <f>ROUND(W195-AG195-AQ195,2)</f>
        <v/>
      </c>
      <c r="BB195" s="24">
        <f>SUM(AR195:BA195)</f>
        <v/>
      </c>
    </row>
    <row r="196">
      <c r="A196" t="n">
        <v>192</v>
      </c>
      <c r="B196" s="23">
        <f>EOMONTH(TODAY(),191)</f>
        <v/>
      </c>
      <c r="C196" s="24">
        <f>MAX(0,(SUM('My Loans'!$E$6:$E$15)+'My Loans'!$D$3)-SUM($X196:$AG196))</f>
        <v/>
      </c>
      <c r="D196" s="24">
        <f>MAX(0,AR195)</f>
        <v/>
      </c>
      <c r="E196" s="24">
        <f>MAX(0,AS195)</f>
        <v/>
      </c>
      <c r="F196" s="24">
        <f>MAX(0,AT195)</f>
        <v/>
      </c>
      <c r="G196" s="24">
        <f>MAX(0,AU195)</f>
        <v/>
      </c>
      <c r="H196" s="24">
        <f>MAX(0,AV195)</f>
        <v/>
      </c>
      <c r="I196" s="24">
        <f>MAX(0,AW195)</f>
        <v/>
      </c>
      <c r="J196" s="24">
        <f>MAX(0,AX195)</f>
        <v/>
      </c>
      <c r="K196" s="24">
        <f>MAX(0,AY195)</f>
        <v/>
      </c>
      <c r="L196" s="24">
        <f>MAX(0,AZ195)</f>
        <v/>
      </c>
      <c r="M196" s="24">
        <f>MAX(0,BA195)</f>
        <v/>
      </c>
      <c r="N196" s="24">
        <f>IF(D196&lt;0.5,0,D196*(1+N('My Loans'!D6)/1200))</f>
        <v/>
      </c>
      <c r="O196" s="24">
        <f>IF(E196&lt;0.5,0,E196*(1+N('My Loans'!D7)/1200))</f>
        <v/>
      </c>
      <c r="P196" s="24">
        <f>IF(F196&lt;0.5,0,F196*(1+N('My Loans'!D8)/1200))</f>
        <v/>
      </c>
      <c r="Q196" s="24">
        <f>IF(G196&lt;0.5,0,G196*(1+N('My Loans'!D9)/1200))</f>
        <v/>
      </c>
      <c r="R196" s="24">
        <f>IF(H196&lt;0.5,0,H196*(1+N('My Loans'!D10)/1200))</f>
        <v/>
      </c>
      <c r="S196" s="24">
        <f>IF(I196&lt;0.5,0,I196*(1+N('My Loans'!D11)/1200))</f>
        <v/>
      </c>
      <c r="T196" s="24">
        <f>IF(J196&lt;0.5,0,J196*(1+N('My Loans'!D12)/1200))</f>
        <v/>
      </c>
      <c r="U196" s="24">
        <f>IF(K196&lt;0.5,0,K196*(1+N('My Loans'!D13)/1200))</f>
        <v/>
      </c>
      <c r="V196" s="24">
        <f>IF(L196&lt;0.5,0,L196*(1+N('My Loans'!D14)/1200))</f>
        <v/>
      </c>
      <c r="W196" s="24">
        <f>IF(M196&lt;0.5,0,M196*(1+N('My Loans'!D15)/1200))</f>
        <v/>
      </c>
      <c r="X196" s="24">
        <f>MIN(N196,N('My Loans'!E6))</f>
        <v/>
      </c>
      <c r="Y196" s="24">
        <f>MIN(O196,N('My Loans'!E7))</f>
        <v/>
      </c>
      <c r="Z196" s="24">
        <f>MIN(P196,N('My Loans'!E8))</f>
        <v/>
      </c>
      <c r="AA196" s="24">
        <f>MIN(Q196,N('My Loans'!E9))</f>
        <v/>
      </c>
      <c r="AB196" s="24">
        <f>MIN(R196,N('My Loans'!E10))</f>
        <v/>
      </c>
      <c r="AC196" s="24">
        <f>MIN(S196,N('My Loans'!E11))</f>
        <v/>
      </c>
      <c r="AD196" s="24">
        <f>MIN(T196,N('My Loans'!E12))</f>
        <v/>
      </c>
      <c r="AE196" s="24">
        <f>MIN(U196,N('My Loans'!E13))</f>
        <v/>
      </c>
      <c r="AF196" s="24">
        <f>MIN(V196,N('My Loans'!E14))</f>
        <v/>
      </c>
      <c r="AG196" s="24">
        <f>MIN(W196,N('My Loans'!E15))</f>
        <v/>
      </c>
      <c r="AH196" s="24">
        <f>MIN(N196-X196,MAX(0,$C196-SUMPRODUCT(($D$3:$M$3&lt;D$3)*($N196:$W196-$X196:$AG196))))</f>
        <v/>
      </c>
      <c r="AI196" s="24">
        <f>MIN(O196-Y196,MAX(0,$C196-SUMPRODUCT(($D$3:$M$3&lt;E$3)*($N196:$W196-$X196:$AG196))))</f>
        <v/>
      </c>
      <c r="AJ196" s="24">
        <f>MIN(P196-Z196,MAX(0,$C196-SUMPRODUCT(($D$3:$M$3&lt;F$3)*($N196:$W196-$X196:$AG196))))</f>
        <v/>
      </c>
      <c r="AK196" s="24">
        <f>MIN(Q196-AA196,MAX(0,$C196-SUMPRODUCT(($D$3:$M$3&lt;G$3)*($N196:$W196-$X196:$AG196))))</f>
        <v/>
      </c>
      <c r="AL196" s="24">
        <f>MIN(R196-AB196,MAX(0,$C196-SUMPRODUCT(($D$3:$M$3&lt;H$3)*($N196:$W196-$X196:$AG196))))</f>
        <v/>
      </c>
      <c r="AM196" s="24">
        <f>MIN(S196-AC196,MAX(0,$C196-SUMPRODUCT(($D$3:$M$3&lt;I$3)*($N196:$W196-$X196:$AG196))))</f>
        <v/>
      </c>
      <c r="AN196" s="24">
        <f>MIN(T196-AD196,MAX(0,$C196-SUMPRODUCT(($D$3:$M$3&lt;J$3)*($N196:$W196-$X196:$AG196))))</f>
        <v/>
      </c>
      <c r="AO196" s="24">
        <f>MIN(U196-AE196,MAX(0,$C196-SUMPRODUCT(($D$3:$M$3&lt;K$3)*($N196:$W196-$X196:$AG196))))</f>
        <v/>
      </c>
      <c r="AP196" s="24">
        <f>MIN(V196-AF196,MAX(0,$C196-SUMPRODUCT(($D$3:$M$3&lt;L$3)*($N196:$W196-$X196:$AG196))))</f>
        <v/>
      </c>
      <c r="AQ196" s="24">
        <f>MIN(W196-AG196,MAX(0,$C196-SUMPRODUCT(($D$3:$M$3&lt;M$3)*($N196:$W196-$X196:$AG196))))</f>
        <v/>
      </c>
      <c r="AR196" s="24">
        <f>ROUND(N196-X196-AH196,2)</f>
        <v/>
      </c>
      <c r="AS196" s="24">
        <f>ROUND(O196-Y196-AI196,2)</f>
        <v/>
      </c>
      <c r="AT196" s="24">
        <f>ROUND(P196-Z196-AJ196,2)</f>
        <v/>
      </c>
      <c r="AU196" s="24">
        <f>ROUND(Q196-AA196-AK196,2)</f>
        <v/>
      </c>
      <c r="AV196" s="24">
        <f>ROUND(R196-AB196-AL196,2)</f>
        <v/>
      </c>
      <c r="AW196" s="24">
        <f>ROUND(S196-AC196-AM196,2)</f>
        <v/>
      </c>
      <c r="AX196" s="24">
        <f>ROUND(T196-AD196-AN196,2)</f>
        <v/>
      </c>
      <c r="AY196" s="24">
        <f>ROUND(U196-AE196-AO196,2)</f>
        <v/>
      </c>
      <c r="AZ196" s="24">
        <f>ROUND(V196-AF196-AP196,2)</f>
        <v/>
      </c>
      <c r="BA196" s="24">
        <f>ROUND(W196-AG196-AQ196,2)</f>
        <v/>
      </c>
      <c r="BB196" s="24">
        <f>SUM(AR196:BA196)</f>
        <v/>
      </c>
    </row>
    <row r="197">
      <c r="A197" t="n">
        <v>193</v>
      </c>
      <c r="B197" s="23">
        <f>EOMONTH(TODAY(),192)</f>
        <v/>
      </c>
      <c r="C197" s="24">
        <f>MAX(0,(SUM('My Loans'!$E$6:$E$15)+'My Loans'!$D$3)-SUM($X197:$AG197))</f>
        <v/>
      </c>
      <c r="D197" s="24">
        <f>MAX(0,AR196)</f>
        <v/>
      </c>
      <c r="E197" s="24">
        <f>MAX(0,AS196)</f>
        <v/>
      </c>
      <c r="F197" s="24">
        <f>MAX(0,AT196)</f>
        <v/>
      </c>
      <c r="G197" s="24">
        <f>MAX(0,AU196)</f>
        <v/>
      </c>
      <c r="H197" s="24">
        <f>MAX(0,AV196)</f>
        <v/>
      </c>
      <c r="I197" s="24">
        <f>MAX(0,AW196)</f>
        <v/>
      </c>
      <c r="J197" s="24">
        <f>MAX(0,AX196)</f>
        <v/>
      </c>
      <c r="K197" s="24">
        <f>MAX(0,AY196)</f>
        <v/>
      </c>
      <c r="L197" s="24">
        <f>MAX(0,AZ196)</f>
        <v/>
      </c>
      <c r="M197" s="24">
        <f>MAX(0,BA196)</f>
        <v/>
      </c>
      <c r="N197" s="24">
        <f>IF(D197&lt;0.5,0,D197*(1+N('My Loans'!D6)/1200))</f>
        <v/>
      </c>
      <c r="O197" s="24">
        <f>IF(E197&lt;0.5,0,E197*(1+N('My Loans'!D7)/1200))</f>
        <v/>
      </c>
      <c r="P197" s="24">
        <f>IF(F197&lt;0.5,0,F197*(1+N('My Loans'!D8)/1200))</f>
        <v/>
      </c>
      <c r="Q197" s="24">
        <f>IF(G197&lt;0.5,0,G197*(1+N('My Loans'!D9)/1200))</f>
        <v/>
      </c>
      <c r="R197" s="24">
        <f>IF(H197&lt;0.5,0,H197*(1+N('My Loans'!D10)/1200))</f>
        <v/>
      </c>
      <c r="S197" s="24">
        <f>IF(I197&lt;0.5,0,I197*(1+N('My Loans'!D11)/1200))</f>
        <v/>
      </c>
      <c r="T197" s="24">
        <f>IF(J197&lt;0.5,0,J197*(1+N('My Loans'!D12)/1200))</f>
        <v/>
      </c>
      <c r="U197" s="24">
        <f>IF(K197&lt;0.5,0,K197*(1+N('My Loans'!D13)/1200))</f>
        <v/>
      </c>
      <c r="V197" s="24">
        <f>IF(L197&lt;0.5,0,L197*(1+N('My Loans'!D14)/1200))</f>
        <v/>
      </c>
      <c r="W197" s="24">
        <f>IF(M197&lt;0.5,0,M197*(1+N('My Loans'!D15)/1200))</f>
        <v/>
      </c>
      <c r="X197" s="24">
        <f>MIN(N197,N('My Loans'!E6))</f>
        <v/>
      </c>
      <c r="Y197" s="24">
        <f>MIN(O197,N('My Loans'!E7))</f>
        <v/>
      </c>
      <c r="Z197" s="24">
        <f>MIN(P197,N('My Loans'!E8))</f>
        <v/>
      </c>
      <c r="AA197" s="24">
        <f>MIN(Q197,N('My Loans'!E9))</f>
        <v/>
      </c>
      <c r="AB197" s="24">
        <f>MIN(R197,N('My Loans'!E10))</f>
        <v/>
      </c>
      <c r="AC197" s="24">
        <f>MIN(S197,N('My Loans'!E11))</f>
        <v/>
      </c>
      <c r="AD197" s="24">
        <f>MIN(T197,N('My Loans'!E12))</f>
        <v/>
      </c>
      <c r="AE197" s="24">
        <f>MIN(U197,N('My Loans'!E13))</f>
        <v/>
      </c>
      <c r="AF197" s="24">
        <f>MIN(V197,N('My Loans'!E14))</f>
        <v/>
      </c>
      <c r="AG197" s="24">
        <f>MIN(W197,N('My Loans'!E15))</f>
        <v/>
      </c>
      <c r="AH197" s="24">
        <f>MIN(N197-X197,MAX(0,$C197-SUMPRODUCT(($D$3:$M$3&lt;D$3)*($N197:$W197-$X197:$AG197))))</f>
        <v/>
      </c>
      <c r="AI197" s="24">
        <f>MIN(O197-Y197,MAX(0,$C197-SUMPRODUCT(($D$3:$M$3&lt;E$3)*($N197:$W197-$X197:$AG197))))</f>
        <v/>
      </c>
      <c r="AJ197" s="24">
        <f>MIN(P197-Z197,MAX(0,$C197-SUMPRODUCT(($D$3:$M$3&lt;F$3)*($N197:$W197-$X197:$AG197))))</f>
        <v/>
      </c>
      <c r="AK197" s="24">
        <f>MIN(Q197-AA197,MAX(0,$C197-SUMPRODUCT(($D$3:$M$3&lt;G$3)*($N197:$W197-$X197:$AG197))))</f>
        <v/>
      </c>
      <c r="AL197" s="24">
        <f>MIN(R197-AB197,MAX(0,$C197-SUMPRODUCT(($D$3:$M$3&lt;H$3)*($N197:$W197-$X197:$AG197))))</f>
        <v/>
      </c>
      <c r="AM197" s="24">
        <f>MIN(S197-AC197,MAX(0,$C197-SUMPRODUCT(($D$3:$M$3&lt;I$3)*($N197:$W197-$X197:$AG197))))</f>
        <v/>
      </c>
      <c r="AN197" s="24">
        <f>MIN(T197-AD197,MAX(0,$C197-SUMPRODUCT(($D$3:$M$3&lt;J$3)*($N197:$W197-$X197:$AG197))))</f>
        <v/>
      </c>
      <c r="AO197" s="24">
        <f>MIN(U197-AE197,MAX(0,$C197-SUMPRODUCT(($D$3:$M$3&lt;K$3)*($N197:$W197-$X197:$AG197))))</f>
        <v/>
      </c>
      <c r="AP197" s="24">
        <f>MIN(V197-AF197,MAX(0,$C197-SUMPRODUCT(($D$3:$M$3&lt;L$3)*($N197:$W197-$X197:$AG197))))</f>
        <v/>
      </c>
      <c r="AQ197" s="24">
        <f>MIN(W197-AG197,MAX(0,$C197-SUMPRODUCT(($D$3:$M$3&lt;M$3)*($N197:$W197-$X197:$AG197))))</f>
        <v/>
      </c>
      <c r="AR197" s="24">
        <f>ROUND(N197-X197-AH197,2)</f>
        <v/>
      </c>
      <c r="AS197" s="24">
        <f>ROUND(O197-Y197-AI197,2)</f>
        <v/>
      </c>
      <c r="AT197" s="24">
        <f>ROUND(P197-Z197-AJ197,2)</f>
        <v/>
      </c>
      <c r="AU197" s="24">
        <f>ROUND(Q197-AA197-AK197,2)</f>
        <v/>
      </c>
      <c r="AV197" s="24">
        <f>ROUND(R197-AB197-AL197,2)</f>
        <v/>
      </c>
      <c r="AW197" s="24">
        <f>ROUND(S197-AC197-AM197,2)</f>
        <v/>
      </c>
      <c r="AX197" s="24">
        <f>ROUND(T197-AD197-AN197,2)</f>
        <v/>
      </c>
      <c r="AY197" s="24">
        <f>ROUND(U197-AE197-AO197,2)</f>
        <v/>
      </c>
      <c r="AZ197" s="24">
        <f>ROUND(V197-AF197-AP197,2)</f>
        <v/>
      </c>
      <c r="BA197" s="24">
        <f>ROUND(W197-AG197-AQ197,2)</f>
        <v/>
      </c>
      <c r="BB197" s="24">
        <f>SUM(AR197:BA197)</f>
        <v/>
      </c>
    </row>
    <row r="198">
      <c r="A198" t="n">
        <v>194</v>
      </c>
      <c r="B198" s="23">
        <f>EOMONTH(TODAY(),193)</f>
        <v/>
      </c>
      <c r="C198" s="24">
        <f>MAX(0,(SUM('My Loans'!$E$6:$E$15)+'My Loans'!$D$3)-SUM($X198:$AG198))</f>
        <v/>
      </c>
      <c r="D198" s="24">
        <f>MAX(0,AR197)</f>
        <v/>
      </c>
      <c r="E198" s="24">
        <f>MAX(0,AS197)</f>
        <v/>
      </c>
      <c r="F198" s="24">
        <f>MAX(0,AT197)</f>
        <v/>
      </c>
      <c r="G198" s="24">
        <f>MAX(0,AU197)</f>
        <v/>
      </c>
      <c r="H198" s="24">
        <f>MAX(0,AV197)</f>
        <v/>
      </c>
      <c r="I198" s="24">
        <f>MAX(0,AW197)</f>
        <v/>
      </c>
      <c r="J198" s="24">
        <f>MAX(0,AX197)</f>
        <v/>
      </c>
      <c r="K198" s="24">
        <f>MAX(0,AY197)</f>
        <v/>
      </c>
      <c r="L198" s="24">
        <f>MAX(0,AZ197)</f>
        <v/>
      </c>
      <c r="M198" s="24">
        <f>MAX(0,BA197)</f>
        <v/>
      </c>
      <c r="N198" s="24">
        <f>IF(D198&lt;0.5,0,D198*(1+N('My Loans'!D6)/1200))</f>
        <v/>
      </c>
      <c r="O198" s="24">
        <f>IF(E198&lt;0.5,0,E198*(1+N('My Loans'!D7)/1200))</f>
        <v/>
      </c>
      <c r="P198" s="24">
        <f>IF(F198&lt;0.5,0,F198*(1+N('My Loans'!D8)/1200))</f>
        <v/>
      </c>
      <c r="Q198" s="24">
        <f>IF(G198&lt;0.5,0,G198*(1+N('My Loans'!D9)/1200))</f>
        <v/>
      </c>
      <c r="R198" s="24">
        <f>IF(H198&lt;0.5,0,H198*(1+N('My Loans'!D10)/1200))</f>
        <v/>
      </c>
      <c r="S198" s="24">
        <f>IF(I198&lt;0.5,0,I198*(1+N('My Loans'!D11)/1200))</f>
        <v/>
      </c>
      <c r="T198" s="24">
        <f>IF(J198&lt;0.5,0,J198*(1+N('My Loans'!D12)/1200))</f>
        <v/>
      </c>
      <c r="U198" s="24">
        <f>IF(K198&lt;0.5,0,K198*(1+N('My Loans'!D13)/1200))</f>
        <v/>
      </c>
      <c r="V198" s="24">
        <f>IF(L198&lt;0.5,0,L198*(1+N('My Loans'!D14)/1200))</f>
        <v/>
      </c>
      <c r="W198" s="24">
        <f>IF(M198&lt;0.5,0,M198*(1+N('My Loans'!D15)/1200))</f>
        <v/>
      </c>
      <c r="X198" s="24">
        <f>MIN(N198,N('My Loans'!E6))</f>
        <v/>
      </c>
      <c r="Y198" s="24">
        <f>MIN(O198,N('My Loans'!E7))</f>
        <v/>
      </c>
      <c r="Z198" s="24">
        <f>MIN(P198,N('My Loans'!E8))</f>
        <v/>
      </c>
      <c r="AA198" s="24">
        <f>MIN(Q198,N('My Loans'!E9))</f>
        <v/>
      </c>
      <c r="AB198" s="24">
        <f>MIN(R198,N('My Loans'!E10))</f>
        <v/>
      </c>
      <c r="AC198" s="24">
        <f>MIN(S198,N('My Loans'!E11))</f>
        <v/>
      </c>
      <c r="AD198" s="24">
        <f>MIN(T198,N('My Loans'!E12))</f>
        <v/>
      </c>
      <c r="AE198" s="24">
        <f>MIN(U198,N('My Loans'!E13))</f>
        <v/>
      </c>
      <c r="AF198" s="24">
        <f>MIN(V198,N('My Loans'!E14))</f>
        <v/>
      </c>
      <c r="AG198" s="24">
        <f>MIN(W198,N('My Loans'!E15))</f>
        <v/>
      </c>
      <c r="AH198" s="24">
        <f>MIN(N198-X198,MAX(0,$C198-SUMPRODUCT(($D$3:$M$3&lt;D$3)*($N198:$W198-$X198:$AG198))))</f>
        <v/>
      </c>
      <c r="AI198" s="24">
        <f>MIN(O198-Y198,MAX(0,$C198-SUMPRODUCT(($D$3:$M$3&lt;E$3)*($N198:$W198-$X198:$AG198))))</f>
        <v/>
      </c>
      <c r="AJ198" s="24">
        <f>MIN(P198-Z198,MAX(0,$C198-SUMPRODUCT(($D$3:$M$3&lt;F$3)*($N198:$W198-$X198:$AG198))))</f>
        <v/>
      </c>
      <c r="AK198" s="24">
        <f>MIN(Q198-AA198,MAX(0,$C198-SUMPRODUCT(($D$3:$M$3&lt;G$3)*($N198:$W198-$X198:$AG198))))</f>
        <v/>
      </c>
      <c r="AL198" s="24">
        <f>MIN(R198-AB198,MAX(0,$C198-SUMPRODUCT(($D$3:$M$3&lt;H$3)*($N198:$W198-$X198:$AG198))))</f>
        <v/>
      </c>
      <c r="AM198" s="24">
        <f>MIN(S198-AC198,MAX(0,$C198-SUMPRODUCT(($D$3:$M$3&lt;I$3)*($N198:$W198-$X198:$AG198))))</f>
        <v/>
      </c>
      <c r="AN198" s="24">
        <f>MIN(T198-AD198,MAX(0,$C198-SUMPRODUCT(($D$3:$M$3&lt;J$3)*($N198:$W198-$X198:$AG198))))</f>
        <v/>
      </c>
      <c r="AO198" s="24">
        <f>MIN(U198-AE198,MAX(0,$C198-SUMPRODUCT(($D$3:$M$3&lt;K$3)*($N198:$W198-$X198:$AG198))))</f>
        <v/>
      </c>
      <c r="AP198" s="24">
        <f>MIN(V198-AF198,MAX(0,$C198-SUMPRODUCT(($D$3:$M$3&lt;L$3)*($N198:$W198-$X198:$AG198))))</f>
        <v/>
      </c>
      <c r="AQ198" s="24">
        <f>MIN(W198-AG198,MAX(0,$C198-SUMPRODUCT(($D$3:$M$3&lt;M$3)*($N198:$W198-$X198:$AG198))))</f>
        <v/>
      </c>
      <c r="AR198" s="24">
        <f>ROUND(N198-X198-AH198,2)</f>
        <v/>
      </c>
      <c r="AS198" s="24">
        <f>ROUND(O198-Y198-AI198,2)</f>
        <v/>
      </c>
      <c r="AT198" s="24">
        <f>ROUND(P198-Z198-AJ198,2)</f>
        <v/>
      </c>
      <c r="AU198" s="24">
        <f>ROUND(Q198-AA198-AK198,2)</f>
        <v/>
      </c>
      <c r="AV198" s="24">
        <f>ROUND(R198-AB198-AL198,2)</f>
        <v/>
      </c>
      <c r="AW198" s="24">
        <f>ROUND(S198-AC198-AM198,2)</f>
        <v/>
      </c>
      <c r="AX198" s="24">
        <f>ROUND(T198-AD198-AN198,2)</f>
        <v/>
      </c>
      <c r="AY198" s="24">
        <f>ROUND(U198-AE198-AO198,2)</f>
        <v/>
      </c>
      <c r="AZ198" s="24">
        <f>ROUND(V198-AF198-AP198,2)</f>
        <v/>
      </c>
      <c r="BA198" s="24">
        <f>ROUND(W198-AG198-AQ198,2)</f>
        <v/>
      </c>
      <c r="BB198" s="24">
        <f>SUM(AR198:BA198)</f>
        <v/>
      </c>
    </row>
    <row r="199">
      <c r="A199" t="n">
        <v>195</v>
      </c>
      <c r="B199" s="23">
        <f>EOMONTH(TODAY(),194)</f>
        <v/>
      </c>
      <c r="C199" s="24">
        <f>MAX(0,(SUM('My Loans'!$E$6:$E$15)+'My Loans'!$D$3)-SUM($X199:$AG199))</f>
        <v/>
      </c>
      <c r="D199" s="24">
        <f>MAX(0,AR198)</f>
        <v/>
      </c>
      <c r="E199" s="24">
        <f>MAX(0,AS198)</f>
        <v/>
      </c>
      <c r="F199" s="24">
        <f>MAX(0,AT198)</f>
        <v/>
      </c>
      <c r="G199" s="24">
        <f>MAX(0,AU198)</f>
        <v/>
      </c>
      <c r="H199" s="24">
        <f>MAX(0,AV198)</f>
        <v/>
      </c>
      <c r="I199" s="24">
        <f>MAX(0,AW198)</f>
        <v/>
      </c>
      <c r="J199" s="24">
        <f>MAX(0,AX198)</f>
        <v/>
      </c>
      <c r="K199" s="24">
        <f>MAX(0,AY198)</f>
        <v/>
      </c>
      <c r="L199" s="24">
        <f>MAX(0,AZ198)</f>
        <v/>
      </c>
      <c r="M199" s="24">
        <f>MAX(0,BA198)</f>
        <v/>
      </c>
      <c r="N199" s="24">
        <f>IF(D199&lt;0.5,0,D199*(1+N('My Loans'!D6)/1200))</f>
        <v/>
      </c>
      <c r="O199" s="24">
        <f>IF(E199&lt;0.5,0,E199*(1+N('My Loans'!D7)/1200))</f>
        <v/>
      </c>
      <c r="P199" s="24">
        <f>IF(F199&lt;0.5,0,F199*(1+N('My Loans'!D8)/1200))</f>
        <v/>
      </c>
      <c r="Q199" s="24">
        <f>IF(G199&lt;0.5,0,G199*(1+N('My Loans'!D9)/1200))</f>
        <v/>
      </c>
      <c r="R199" s="24">
        <f>IF(H199&lt;0.5,0,H199*(1+N('My Loans'!D10)/1200))</f>
        <v/>
      </c>
      <c r="S199" s="24">
        <f>IF(I199&lt;0.5,0,I199*(1+N('My Loans'!D11)/1200))</f>
        <v/>
      </c>
      <c r="T199" s="24">
        <f>IF(J199&lt;0.5,0,J199*(1+N('My Loans'!D12)/1200))</f>
        <v/>
      </c>
      <c r="U199" s="24">
        <f>IF(K199&lt;0.5,0,K199*(1+N('My Loans'!D13)/1200))</f>
        <v/>
      </c>
      <c r="V199" s="24">
        <f>IF(L199&lt;0.5,0,L199*(1+N('My Loans'!D14)/1200))</f>
        <v/>
      </c>
      <c r="W199" s="24">
        <f>IF(M199&lt;0.5,0,M199*(1+N('My Loans'!D15)/1200))</f>
        <v/>
      </c>
      <c r="X199" s="24">
        <f>MIN(N199,N('My Loans'!E6))</f>
        <v/>
      </c>
      <c r="Y199" s="24">
        <f>MIN(O199,N('My Loans'!E7))</f>
        <v/>
      </c>
      <c r="Z199" s="24">
        <f>MIN(P199,N('My Loans'!E8))</f>
        <v/>
      </c>
      <c r="AA199" s="24">
        <f>MIN(Q199,N('My Loans'!E9))</f>
        <v/>
      </c>
      <c r="AB199" s="24">
        <f>MIN(R199,N('My Loans'!E10))</f>
        <v/>
      </c>
      <c r="AC199" s="24">
        <f>MIN(S199,N('My Loans'!E11))</f>
        <v/>
      </c>
      <c r="AD199" s="24">
        <f>MIN(T199,N('My Loans'!E12))</f>
        <v/>
      </c>
      <c r="AE199" s="24">
        <f>MIN(U199,N('My Loans'!E13))</f>
        <v/>
      </c>
      <c r="AF199" s="24">
        <f>MIN(V199,N('My Loans'!E14))</f>
        <v/>
      </c>
      <c r="AG199" s="24">
        <f>MIN(W199,N('My Loans'!E15))</f>
        <v/>
      </c>
      <c r="AH199" s="24">
        <f>MIN(N199-X199,MAX(0,$C199-SUMPRODUCT(($D$3:$M$3&lt;D$3)*($N199:$W199-$X199:$AG199))))</f>
        <v/>
      </c>
      <c r="AI199" s="24">
        <f>MIN(O199-Y199,MAX(0,$C199-SUMPRODUCT(($D$3:$M$3&lt;E$3)*($N199:$W199-$X199:$AG199))))</f>
        <v/>
      </c>
      <c r="AJ199" s="24">
        <f>MIN(P199-Z199,MAX(0,$C199-SUMPRODUCT(($D$3:$M$3&lt;F$3)*($N199:$W199-$X199:$AG199))))</f>
        <v/>
      </c>
      <c r="AK199" s="24">
        <f>MIN(Q199-AA199,MAX(0,$C199-SUMPRODUCT(($D$3:$M$3&lt;G$3)*($N199:$W199-$X199:$AG199))))</f>
        <v/>
      </c>
      <c r="AL199" s="24">
        <f>MIN(R199-AB199,MAX(0,$C199-SUMPRODUCT(($D$3:$M$3&lt;H$3)*($N199:$W199-$X199:$AG199))))</f>
        <v/>
      </c>
      <c r="AM199" s="24">
        <f>MIN(S199-AC199,MAX(0,$C199-SUMPRODUCT(($D$3:$M$3&lt;I$3)*($N199:$W199-$X199:$AG199))))</f>
        <v/>
      </c>
      <c r="AN199" s="24">
        <f>MIN(T199-AD199,MAX(0,$C199-SUMPRODUCT(($D$3:$M$3&lt;J$3)*($N199:$W199-$X199:$AG199))))</f>
        <v/>
      </c>
      <c r="AO199" s="24">
        <f>MIN(U199-AE199,MAX(0,$C199-SUMPRODUCT(($D$3:$M$3&lt;K$3)*($N199:$W199-$X199:$AG199))))</f>
        <v/>
      </c>
      <c r="AP199" s="24">
        <f>MIN(V199-AF199,MAX(0,$C199-SUMPRODUCT(($D$3:$M$3&lt;L$3)*($N199:$W199-$X199:$AG199))))</f>
        <v/>
      </c>
      <c r="AQ199" s="24">
        <f>MIN(W199-AG199,MAX(0,$C199-SUMPRODUCT(($D$3:$M$3&lt;M$3)*($N199:$W199-$X199:$AG199))))</f>
        <v/>
      </c>
      <c r="AR199" s="24">
        <f>ROUND(N199-X199-AH199,2)</f>
        <v/>
      </c>
      <c r="AS199" s="24">
        <f>ROUND(O199-Y199-AI199,2)</f>
        <v/>
      </c>
      <c r="AT199" s="24">
        <f>ROUND(P199-Z199-AJ199,2)</f>
        <v/>
      </c>
      <c r="AU199" s="24">
        <f>ROUND(Q199-AA199-AK199,2)</f>
        <v/>
      </c>
      <c r="AV199" s="24">
        <f>ROUND(R199-AB199-AL199,2)</f>
        <v/>
      </c>
      <c r="AW199" s="24">
        <f>ROUND(S199-AC199-AM199,2)</f>
        <v/>
      </c>
      <c r="AX199" s="24">
        <f>ROUND(T199-AD199-AN199,2)</f>
        <v/>
      </c>
      <c r="AY199" s="24">
        <f>ROUND(U199-AE199-AO199,2)</f>
        <v/>
      </c>
      <c r="AZ199" s="24">
        <f>ROUND(V199-AF199-AP199,2)</f>
        <v/>
      </c>
      <c r="BA199" s="24">
        <f>ROUND(W199-AG199-AQ199,2)</f>
        <v/>
      </c>
      <c r="BB199" s="24">
        <f>SUM(AR199:BA199)</f>
        <v/>
      </c>
    </row>
    <row r="200">
      <c r="A200" t="n">
        <v>196</v>
      </c>
      <c r="B200" s="23">
        <f>EOMONTH(TODAY(),195)</f>
        <v/>
      </c>
      <c r="C200" s="24">
        <f>MAX(0,(SUM('My Loans'!$E$6:$E$15)+'My Loans'!$D$3)-SUM($X200:$AG200))</f>
        <v/>
      </c>
      <c r="D200" s="24">
        <f>MAX(0,AR199)</f>
        <v/>
      </c>
      <c r="E200" s="24">
        <f>MAX(0,AS199)</f>
        <v/>
      </c>
      <c r="F200" s="24">
        <f>MAX(0,AT199)</f>
        <v/>
      </c>
      <c r="G200" s="24">
        <f>MAX(0,AU199)</f>
        <v/>
      </c>
      <c r="H200" s="24">
        <f>MAX(0,AV199)</f>
        <v/>
      </c>
      <c r="I200" s="24">
        <f>MAX(0,AW199)</f>
        <v/>
      </c>
      <c r="J200" s="24">
        <f>MAX(0,AX199)</f>
        <v/>
      </c>
      <c r="K200" s="24">
        <f>MAX(0,AY199)</f>
        <v/>
      </c>
      <c r="L200" s="24">
        <f>MAX(0,AZ199)</f>
        <v/>
      </c>
      <c r="M200" s="24">
        <f>MAX(0,BA199)</f>
        <v/>
      </c>
      <c r="N200" s="24">
        <f>IF(D200&lt;0.5,0,D200*(1+N('My Loans'!D6)/1200))</f>
        <v/>
      </c>
      <c r="O200" s="24">
        <f>IF(E200&lt;0.5,0,E200*(1+N('My Loans'!D7)/1200))</f>
        <v/>
      </c>
      <c r="P200" s="24">
        <f>IF(F200&lt;0.5,0,F200*(1+N('My Loans'!D8)/1200))</f>
        <v/>
      </c>
      <c r="Q200" s="24">
        <f>IF(G200&lt;0.5,0,G200*(1+N('My Loans'!D9)/1200))</f>
        <v/>
      </c>
      <c r="R200" s="24">
        <f>IF(H200&lt;0.5,0,H200*(1+N('My Loans'!D10)/1200))</f>
        <v/>
      </c>
      <c r="S200" s="24">
        <f>IF(I200&lt;0.5,0,I200*(1+N('My Loans'!D11)/1200))</f>
        <v/>
      </c>
      <c r="T200" s="24">
        <f>IF(J200&lt;0.5,0,J200*(1+N('My Loans'!D12)/1200))</f>
        <v/>
      </c>
      <c r="U200" s="24">
        <f>IF(K200&lt;0.5,0,K200*(1+N('My Loans'!D13)/1200))</f>
        <v/>
      </c>
      <c r="V200" s="24">
        <f>IF(L200&lt;0.5,0,L200*(1+N('My Loans'!D14)/1200))</f>
        <v/>
      </c>
      <c r="W200" s="24">
        <f>IF(M200&lt;0.5,0,M200*(1+N('My Loans'!D15)/1200))</f>
        <v/>
      </c>
      <c r="X200" s="24">
        <f>MIN(N200,N('My Loans'!E6))</f>
        <v/>
      </c>
      <c r="Y200" s="24">
        <f>MIN(O200,N('My Loans'!E7))</f>
        <v/>
      </c>
      <c r="Z200" s="24">
        <f>MIN(P200,N('My Loans'!E8))</f>
        <v/>
      </c>
      <c r="AA200" s="24">
        <f>MIN(Q200,N('My Loans'!E9))</f>
        <v/>
      </c>
      <c r="AB200" s="24">
        <f>MIN(R200,N('My Loans'!E10))</f>
        <v/>
      </c>
      <c r="AC200" s="24">
        <f>MIN(S200,N('My Loans'!E11))</f>
        <v/>
      </c>
      <c r="AD200" s="24">
        <f>MIN(T200,N('My Loans'!E12))</f>
        <v/>
      </c>
      <c r="AE200" s="24">
        <f>MIN(U200,N('My Loans'!E13))</f>
        <v/>
      </c>
      <c r="AF200" s="24">
        <f>MIN(V200,N('My Loans'!E14))</f>
        <v/>
      </c>
      <c r="AG200" s="24">
        <f>MIN(W200,N('My Loans'!E15))</f>
        <v/>
      </c>
      <c r="AH200" s="24">
        <f>MIN(N200-X200,MAX(0,$C200-SUMPRODUCT(($D$3:$M$3&lt;D$3)*($N200:$W200-$X200:$AG200))))</f>
        <v/>
      </c>
      <c r="AI200" s="24">
        <f>MIN(O200-Y200,MAX(0,$C200-SUMPRODUCT(($D$3:$M$3&lt;E$3)*($N200:$W200-$X200:$AG200))))</f>
        <v/>
      </c>
      <c r="AJ200" s="24">
        <f>MIN(P200-Z200,MAX(0,$C200-SUMPRODUCT(($D$3:$M$3&lt;F$3)*($N200:$W200-$X200:$AG200))))</f>
        <v/>
      </c>
      <c r="AK200" s="24">
        <f>MIN(Q200-AA200,MAX(0,$C200-SUMPRODUCT(($D$3:$M$3&lt;G$3)*($N200:$W200-$X200:$AG200))))</f>
        <v/>
      </c>
      <c r="AL200" s="24">
        <f>MIN(R200-AB200,MAX(0,$C200-SUMPRODUCT(($D$3:$M$3&lt;H$3)*($N200:$W200-$X200:$AG200))))</f>
        <v/>
      </c>
      <c r="AM200" s="24">
        <f>MIN(S200-AC200,MAX(0,$C200-SUMPRODUCT(($D$3:$M$3&lt;I$3)*($N200:$W200-$X200:$AG200))))</f>
        <v/>
      </c>
      <c r="AN200" s="24">
        <f>MIN(T200-AD200,MAX(0,$C200-SUMPRODUCT(($D$3:$M$3&lt;J$3)*($N200:$W200-$X200:$AG200))))</f>
        <v/>
      </c>
      <c r="AO200" s="24">
        <f>MIN(U200-AE200,MAX(0,$C200-SUMPRODUCT(($D$3:$M$3&lt;K$3)*($N200:$W200-$X200:$AG200))))</f>
        <v/>
      </c>
      <c r="AP200" s="24">
        <f>MIN(V200-AF200,MAX(0,$C200-SUMPRODUCT(($D$3:$M$3&lt;L$3)*($N200:$W200-$X200:$AG200))))</f>
        <v/>
      </c>
      <c r="AQ200" s="24">
        <f>MIN(W200-AG200,MAX(0,$C200-SUMPRODUCT(($D$3:$M$3&lt;M$3)*($N200:$W200-$X200:$AG200))))</f>
        <v/>
      </c>
      <c r="AR200" s="24">
        <f>ROUND(N200-X200-AH200,2)</f>
        <v/>
      </c>
      <c r="AS200" s="24">
        <f>ROUND(O200-Y200-AI200,2)</f>
        <v/>
      </c>
      <c r="AT200" s="24">
        <f>ROUND(P200-Z200-AJ200,2)</f>
        <v/>
      </c>
      <c r="AU200" s="24">
        <f>ROUND(Q200-AA200-AK200,2)</f>
        <v/>
      </c>
      <c r="AV200" s="24">
        <f>ROUND(R200-AB200-AL200,2)</f>
        <v/>
      </c>
      <c r="AW200" s="24">
        <f>ROUND(S200-AC200-AM200,2)</f>
        <v/>
      </c>
      <c r="AX200" s="24">
        <f>ROUND(T200-AD200-AN200,2)</f>
        <v/>
      </c>
      <c r="AY200" s="24">
        <f>ROUND(U200-AE200-AO200,2)</f>
        <v/>
      </c>
      <c r="AZ200" s="24">
        <f>ROUND(V200-AF200-AP200,2)</f>
        <v/>
      </c>
      <c r="BA200" s="24">
        <f>ROUND(W200-AG200-AQ200,2)</f>
        <v/>
      </c>
      <c r="BB200" s="24">
        <f>SUM(AR200:BA200)</f>
        <v/>
      </c>
    </row>
    <row r="201">
      <c r="A201" t="n">
        <v>197</v>
      </c>
      <c r="B201" s="23">
        <f>EOMONTH(TODAY(),196)</f>
        <v/>
      </c>
      <c r="C201" s="24">
        <f>MAX(0,(SUM('My Loans'!$E$6:$E$15)+'My Loans'!$D$3)-SUM($X201:$AG201))</f>
        <v/>
      </c>
      <c r="D201" s="24">
        <f>MAX(0,AR200)</f>
        <v/>
      </c>
      <c r="E201" s="24">
        <f>MAX(0,AS200)</f>
        <v/>
      </c>
      <c r="F201" s="24">
        <f>MAX(0,AT200)</f>
        <v/>
      </c>
      <c r="G201" s="24">
        <f>MAX(0,AU200)</f>
        <v/>
      </c>
      <c r="H201" s="24">
        <f>MAX(0,AV200)</f>
        <v/>
      </c>
      <c r="I201" s="24">
        <f>MAX(0,AW200)</f>
        <v/>
      </c>
      <c r="J201" s="24">
        <f>MAX(0,AX200)</f>
        <v/>
      </c>
      <c r="K201" s="24">
        <f>MAX(0,AY200)</f>
        <v/>
      </c>
      <c r="L201" s="24">
        <f>MAX(0,AZ200)</f>
        <v/>
      </c>
      <c r="M201" s="24">
        <f>MAX(0,BA200)</f>
        <v/>
      </c>
      <c r="N201" s="24">
        <f>IF(D201&lt;0.5,0,D201*(1+N('My Loans'!D6)/1200))</f>
        <v/>
      </c>
      <c r="O201" s="24">
        <f>IF(E201&lt;0.5,0,E201*(1+N('My Loans'!D7)/1200))</f>
        <v/>
      </c>
      <c r="P201" s="24">
        <f>IF(F201&lt;0.5,0,F201*(1+N('My Loans'!D8)/1200))</f>
        <v/>
      </c>
      <c r="Q201" s="24">
        <f>IF(G201&lt;0.5,0,G201*(1+N('My Loans'!D9)/1200))</f>
        <v/>
      </c>
      <c r="R201" s="24">
        <f>IF(H201&lt;0.5,0,H201*(1+N('My Loans'!D10)/1200))</f>
        <v/>
      </c>
      <c r="S201" s="24">
        <f>IF(I201&lt;0.5,0,I201*(1+N('My Loans'!D11)/1200))</f>
        <v/>
      </c>
      <c r="T201" s="24">
        <f>IF(J201&lt;0.5,0,J201*(1+N('My Loans'!D12)/1200))</f>
        <v/>
      </c>
      <c r="U201" s="24">
        <f>IF(K201&lt;0.5,0,K201*(1+N('My Loans'!D13)/1200))</f>
        <v/>
      </c>
      <c r="V201" s="24">
        <f>IF(L201&lt;0.5,0,L201*(1+N('My Loans'!D14)/1200))</f>
        <v/>
      </c>
      <c r="W201" s="24">
        <f>IF(M201&lt;0.5,0,M201*(1+N('My Loans'!D15)/1200))</f>
        <v/>
      </c>
      <c r="X201" s="24">
        <f>MIN(N201,N('My Loans'!E6))</f>
        <v/>
      </c>
      <c r="Y201" s="24">
        <f>MIN(O201,N('My Loans'!E7))</f>
        <v/>
      </c>
      <c r="Z201" s="24">
        <f>MIN(P201,N('My Loans'!E8))</f>
        <v/>
      </c>
      <c r="AA201" s="24">
        <f>MIN(Q201,N('My Loans'!E9))</f>
        <v/>
      </c>
      <c r="AB201" s="24">
        <f>MIN(R201,N('My Loans'!E10))</f>
        <v/>
      </c>
      <c r="AC201" s="24">
        <f>MIN(S201,N('My Loans'!E11))</f>
        <v/>
      </c>
      <c r="AD201" s="24">
        <f>MIN(T201,N('My Loans'!E12))</f>
        <v/>
      </c>
      <c r="AE201" s="24">
        <f>MIN(U201,N('My Loans'!E13))</f>
        <v/>
      </c>
      <c r="AF201" s="24">
        <f>MIN(V201,N('My Loans'!E14))</f>
        <v/>
      </c>
      <c r="AG201" s="24">
        <f>MIN(W201,N('My Loans'!E15))</f>
        <v/>
      </c>
      <c r="AH201" s="24">
        <f>MIN(N201-X201,MAX(0,$C201-SUMPRODUCT(($D$3:$M$3&lt;D$3)*($N201:$W201-$X201:$AG201))))</f>
        <v/>
      </c>
      <c r="AI201" s="24">
        <f>MIN(O201-Y201,MAX(0,$C201-SUMPRODUCT(($D$3:$M$3&lt;E$3)*($N201:$W201-$X201:$AG201))))</f>
        <v/>
      </c>
      <c r="AJ201" s="24">
        <f>MIN(P201-Z201,MAX(0,$C201-SUMPRODUCT(($D$3:$M$3&lt;F$3)*($N201:$W201-$X201:$AG201))))</f>
        <v/>
      </c>
      <c r="AK201" s="24">
        <f>MIN(Q201-AA201,MAX(0,$C201-SUMPRODUCT(($D$3:$M$3&lt;G$3)*($N201:$W201-$X201:$AG201))))</f>
        <v/>
      </c>
      <c r="AL201" s="24">
        <f>MIN(R201-AB201,MAX(0,$C201-SUMPRODUCT(($D$3:$M$3&lt;H$3)*($N201:$W201-$X201:$AG201))))</f>
        <v/>
      </c>
      <c r="AM201" s="24">
        <f>MIN(S201-AC201,MAX(0,$C201-SUMPRODUCT(($D$3:$M$3&lt;I$3)*($N201:$W201-$X201:$AG201))))</f>
        <v/>
      </c>
      <c r="AN201" s="24">
        <f>MIN(T201-AD201,MAX(0,$C201-SUMPRODUCT(($D$3:$M$3&lt;J$3)*($N201:$W201-$X201:$AG201))))</f>
        <v/>
      </c>
      <c r="AO201" s="24">
        <f>MIN(U201-AE201,MAX(0,$C201-SUMPRODUCT(($D$3:$M$3&lt;K$3)*($N201:$W201-$X201:$AG201))))</f>
        <v/>
      </c>
      <c r="AP201" s="24">
        <f>MIN(V201-AF201,MAX(0,$C201-SUMPRODUCT(($D$3:$M$3&lt;L$3)*($N201:$W201-$X201:$AG201))))</f>
        <v/>
      </c>
      <c r="AQ201" s="24">
        <f>MIN(W201-AG201,MAX(0,$C201-SUMPRODUCT(($D$3:$M$3&lt;M$3)*($N201:$W201-$X201:$AG201))))</f>
        <v/>
      </c>
      <c r="AR201" s="24">
        <f>ROUND(N201-X201-AH201,2)</f>
        <v/>
      </c>
      <c r="AS201" s="24">
        <f>ROUND(O201-Y201-AI201,2)</f>
        <v/>
      </c>
      <c r="AT201" s="24">
        <f>ROUND(P201-Z201-AJ201,2)</f>
        <v/>
      </c>
      <c r="AU201" s="24">
        <f>ROUND(Q201-AA201-AK201,2)</f>
        <v/>
      </c>
      <c r="AV201" s="24">
        <f>ROUND(R201-AB201-AL201,2)</f>
        <v/>
      </c>
      <c r="AW201" s="24">
        <f>ROUND(S201-AC201-AM201,2)</f>
        <v/>
      </c>
      <c r="AX201" s="24">
        <f>ROUND(T201-AD201-AN201,2)</f>
        <v/>
      </c>
      <c r="AY201" s="24">
        <f>ROUND(U201-AE201-AO201,2)</f>
        <v/>
      </c>
      <c r="AZ201" s="24">
        <f>ROUND(V201-AF201-AP201,2)</f>
        <v/>
      </c>
      <c r="BA201" s="24">
        <f>ROUND(W201-AG201-AQ201,2)</f>
        <v/>
      </c>
      <c r="BB201" s="24">
        <f>SUM(AR201:BA201)</f>
        <v/>
      </c>
    </row>
    <row r="202">
      <c r="A202" t="n">
        <v>198</v>
      </c>
      <c r="B202" s="23">
        <f>EOMONTH(TODAY(),197)</f>
        <v/>
      </c>
      <c r="C202" s="24">
        <f>MAX(0,(SUM('My Loans'!$E$6:$E$15)+'My Loans'!$D$3)-SUM($X202:$AG202))</f>
        <v/>
      </c>
      <c r="D202" s="24">
        <f>MAX(0,AR201)</f>
        <v/>
      </c>
      <c r="E202" s="24">
        <f>MAX(0,AS201)</f>
        <v/>
      </c>
      <c r="F202" s="24">
        <f>MAX(0,AT201)</f>
        <v/>
      </c>
      <c r="G202" s="24">
        <f>MAX(0,AU201)</f>
        <v/>
      </c>
      <c r="H202" s="24">
        <f>MAX(0,AV201)</f>
        <v/>
      </c>
      <c r="I202" s="24">
        <f>MAX(0,AW201)</f>
        <v/>
      </c>
      <c r="J202" s="24">
        <f>MAX(0,AX201)</f>
        <v/>
      </c>
      <c r="K202" s="24">
        <f>MAX(0,AY201)</f>
        <v/>
      </c>
      <c r="L202" s="24">
        <f>MAX(0,AZ201)</f>
        <v/>
      </c>
      <c r="M202" s="24">
        <f>MAX(0,BA201)</f>
        <v/>
      </c>
      <c r="N202" s="24">
        <f>IF(D202&lt;0.5,0,D202*(1+N('My Loans'!D6)/1200))</f>
        <v/>
      </c>
      <c r="O202" s="24">
        <f>IF(E202&lt;0.5,0,E202*(1+N('My Loans'!D7)/1200))</f>
        <v/>
      </c>
      <c r="P202" s="24">
        <f>IF(F202&lt;0.5,0,F202*(1+N('My Loans'!D8)/1200))</f>
        <v/>
      </c>
      <c r="Q202" s="24">
        <f>IF(G202&lt;0.5,0,G202*(1+N('My Loans'!D9)/1200))</f>
        <v/>
      </c>
      <c r="R202" s="24">
        <f>IF(H202&lt;0.5,0,H202*(1+N('My Loans'!D10)/1200))</f>
        <v/>
      </c>
      <c r="S202" s="24">
        <f>IF(I202&lt;0.5,0,I202*(1+N('My Loans'!D11)/1200))</f>
        <v/>
      </c>
      <c r="T202" s="24">
        <f>IF(J202&lt;0.5,0,J202*(1+N('My Loans'!D12)/1200))</f>
        <v/>
      </c>
      <c r="U202" s="24">
        <f>IF(K202&lt;0.5,0,K202*(1+N('My Loans'!D13)/1200))</f>
        <v/>
      </c>
      <c r="V202" s="24">
        <f>IF(L202&lt;0.5,0,L202*(1+N('My Loans'!D14)/1200))</f>
        <v/>
      </c>
      <c r="W202" s="24">
        <f>IF(M202&lt;0.5,0,M202*(1+N('My Loans'!D15)/1200))</f>
        <v/>
      </c>
      <c r="X202" s="24">
        <f>MIN(N202,N('My Loans'!E6))</f>
        <v/>
      </c>
      <c r="Y202" s="24">
        <f>MIN(O202,N('My Loans'!E7))</f>
        <v/>
      </c>
      <c r="Z202" s="24">
        <f>MIN(P202,N('My Loans'!E8))</f>
        <v/>
      </c>
      <c r="AA202" s="24">
        <f>MIN(Q202,N('My Loans'!E9))</f>
        <v/>
      </c>
      <c r="AB202" s="24">
        <f>MIN(R202,N('My Loans'!E10))</f>
        <v/>
      </c>
      <c r="AC202" s="24">
        <f>MIN(S202,N('My Loans'!E11))</f>
        <v/>
      </c>
      <c r="AD202" s="24">
        <f>MIN(T202,N('My Loans'!E12))</f>
        <v/>
      </c>
      <c r="AE202" s="24">
        <f>MIN(U202,N('My Loans'!E13))</f>
        <v/>
      </c>
      <c r="AF202" s="24">
        <f>MIN(V202,N('My Loans'!E14))</f>
        <v/>
      </c>
      <c r="AG202" s="24">
        <f>MIN(W202,N('My Loans'!E15))</f>
        <v/>
      </c>
      <c r="AH202" s="24">
        <f>MIN(N202-X202,MAX(0,$C202-SUMPRODUCT(($D$3:$M$3&lt;D$3)*($N202:$W202-$X202:$AG202))))</f>
        <v/>
      </c>
      <c r="AI202" s="24">
        <f>MIN(O202-Y202,MAX(0,$C202-SUMPRODUCT(($D$3:$M$3&lt;E$3)*($N202:$W202-$X202:$AG202))))</f>
        <v/>
      </c>
      <c r="AJ202" s="24">
        <f>MIN(P202-Z202,MAX(0,$C202-SUMPRODUCT(($D$3:$M$3&lt;F$3)*($N202:$W202-$X202:$AG202))))</f>
        <v/>
      </c>
      <c r="AK202" s="24">
        <f>MIN(Q202-AA202,MAX(0,$C202-SUMPRODUCT(($D$3:$M$3&lt;G$3)*($N202:$W202-$X202:$AG202))))</f>
        <v/>
      </c>
      <c r="AL202" s="24">
        <f>MIN(R202-AB202,MAX(0,$C202-SUMPRODUCT(($D$3:$M$3&lt;H$3)*($N202:$W202-$X202:$AG202))))</f>
        <v/>
      </c>
      <c r="AM202" s="24">
        <f>MIN(S202-AC202,MAX(0,$C202-SUMPRODUCT(($D$3:$M$3&lt;I$3)*($N202:$W202-$X202:$AG202))))</f>
        <v/>
      </c>
      <c r="AN202" s="24">
        <f>MIN(T202-AD202,MAX(0,$C202-SUMPRODUCT(($D$3:$M$3&lt;J$3)*($N202:$W202-$X202:$AG202))))</f>
        <v/>
      </c>
      <c r="AO202" s="24">
        <f>MIN(U202-AE202,MAX(0,$C202-SUMPRODUCT(($D$3:$M$3&lt;K$3)*($N202:$W202-$X202:$AG202))))</f>
        <v/>
      </c>
      <c r="AP202" s="24">
        <f>MIN(V202-AF202,MAX(0,$C202-SUMPRODUCT(($D$3:$M$3&lt;L$3)*($N202:$W202-$X202:$AG202))))</f>
        <v/>
      </c>
      <c r="AQ202" s="24">
        <f>MIN(W202-AG202,MAX(0,$C202-SUMPRODUCT(($D$3:$M$3&lt;M$3)*($N202:$W202-$X202:$AG202))))</f>
        <v/>
      </c>
      <c r="AR202" s="24">
        <f>ROUND(N202-X202-AH202,2)</f>
        <v/>
      </c>
      <c r="AS202" s="24">
        <f>ROUND(O202-Y202-AI202,2)</f>
        <v/>
      </c>
      <c r="AT202" s="24">
        <f>ROUND(P202-Z202-AJ202,2)</f>
        <v/>
      </c>
      <c r="AU202" s="24">
        <f>ROUND(Q202-AA202-AK202,2)</f>
        <v/>
      </c>
      <c r="AV202" s="24">
        <f>ROUND(R202-AB202-AL202,2)</f>
        <v/>
      </c>
      <c r="AW202" s="24">
        <f>ROUND(S202-AC202-AM202,2)</f>
        <v/>
      </c>
      <c r="AX202" s="24">
        <f>ROUND(T202-AD202-AN202,2)</f>
        <v/>
      </c>
      <c r="AY202" s="24">
        <f>ROUND(U202-AE202-AO202,2)</f>
        <v/>
      </c>
      <c r="AZ202" s="24">
        <f>ROUND(V202-AF202-AP202,2)</f>
        <v/>
      </c>
      <c r="BA202" s="24">
        <f>ROUND(W202-AG202-AQ202,2)</f>
        <v/>
      </c>
      <c r="BB202" s="24">
        <f>SUM(AR202:BA202)</f>
        <v/>
      </c>
    </row>
    <row r="203">
      <c r="A203" t="n">
        <v>199</v>
      </c>
      <c r="B203" s="23">
        <f>EOMONTH(TODAY(),198)</f>
        <v/>
      </c>
      <c r="C203" s="24">
        <f>MAX(0,(SUM('My Loans'!$E$6:$E$15)+'My Loans'!$D$3)-SUM($X203:$AG203))</f>
        <v/>
      </c>
      <c r="D203" s="24">
        <f>MAX(0,AR202)</f>
        <v/>
      </c>
      <c r="E203" s="24">
        <f>MAX(0,AS202)</f>
        <v/>
      </c>
      <c r="F203" s="24">
        <f>MAX(0,AT202)</f>
        <v/>
      </c>
      <c r="G203" s="24">
        <f>MAX(0,AU202)</f>
        <v/>
      </c>
      <c r="H203" s="24">
        <f>MAX(0,AV202)</f>
        <v/>
      </c>
      <c r="I203" s="24">
        <f>MAX(0,AW202)</f>
        <v/>
      </c>
      <c r="J203" s="24">
        <f>MAX(0,AX202)</f>
        <v/>
      </c>
      <c r="K203" s="24">
        <f>MAX(0,AY202)</f>
        <v/>
      </c>
      <c r="L203" s="24">
        <f>MAX(0,AZ202)</f>
        <v/>
      </c>
      <c r="M203" s="24">
        <f>MAX(0,BA202)</f>
        <v/>
      </c>
      <c r="N203" s="24">
        <f>IF(D203&lt;0.5,0,D203*(1+N('My Loans'!D6)/1200))</f>
        <v/>
      </c>
      <c r="O203" s="24">
        <f>IF(E203&lt;0.5,0,E203*(1+N('My Loans'!D7)/1200))</f>
        <v/>
      </c>
      <c r="P203" s="24">
        <f>IF(F203&lt;0.5,0,F203*(1+N('My Loans'!D8)/1200))</f>
        <v/>
      </c>
      <c r="Q203" s="24">
        <f>IF(G203&lt;0.5,0,G203*(1+N('My Loans'!D9)/1200))</f>
        <v/>
      </c>
      <c r="R203" s="24">
        <f>IF(H203&lt;0.5,0,H203*(1+N('My Loans'!D10)/1200))</f>
        <v/>
      </c>
      <c r="S203" s="24">
        <f>IF(I203&lt;0.5,0,I203*(1+N('My Loans'!D11)/1200))</f>
        <v/>
      </c>
      <c r="T203" s="24">
        <f>IF(J203&lt;0.5,0,J203*(1+N('My Loans'!D12)/1200))</f>
        <v/>
      </c>
      <c r="U203" s="24">
        <f>IF(K203&lt;0.5,0,K203*(1+N('My Loans'!D13)/1200))</f>
        <v/>
      </c>
      <c r="V203" s="24">
        <f>IF(L203&lt;0.5,0,L203*(1+N('My Loans'!D14)/1200))</f>
        <v/>
      </c>
      <c r="W203" s="24">
        <f>IF(M203&lt;0.5,0,M203*(1+N('My Loans'!D15)/1200))</f>
        <v/>
      </c>
      <c r="X203" s="24">
        <f>MIN(N203,N('My Loans'!E6))</f>
        <v/>
      </c>
      <c r="Y203" s="24">
        <f>MIN(O203,N('My Loans'!E7))</f>
        <v/>
      </c>
      <c r="Z203" s="24">
        <f>MIN(P203,N('My Loans'!E8))</f>
        <v/>
      </c>
      <c r="AA203" s="24">
        <f>MIN(Q203,N('My Loans'!E9))</f>
        <v/>
      </c>
      <c r="AB203" s="24">
        <f>MIN(R203,N('My Loans'!E10))</f>
        <v/>
      </c>
      <c r="AC203" s="24">
        <f>MIN(S203,N('My Loans'!E11))</f>
        <v/>
      </c>
      <c r="AD203" s="24">
        <f>MIN(T203,N('My Loans'!E12))</f>
        <v/>
      </c>
      <c r="AE203" s="24">
        <f>MIN(U203,N('My Loans'!E13))</f>
        <v/>
      </c>
      <c r="AF203" s="24">
        <f>MIN(V203,N('My Loans'!E14))</f>
        <v/>
      </c>
      <c r="AG203" s="24">
        <f>MIN(W203,N('My Loans'!E15))</f>
        <v/>
      </c>
      <c r="AH203" s="24">
        <f>MIN(N203-X203,MAX(0,$C203-SUMPRODUCT(($D$3:$M$3&lt;D$3)*($N203:$W203-$X203:$AG203))))</f>
        <v/>
      </c>
      <c r="AI203" s="24">
        <f>MIN(O203-Y203,MAX(0,$C203-SUMPRODUCT(($D$3:$M$3&lt;E$3)*($N203:$W203-$X203:$AG203))))</f>
        <v/>
      </c>
      <c r="AJ203" s="24">
        <f>MIN(P203-Z203,MAX(0,$C203-SUMPRODUCT(($D$3:$M$3&lt;F$3)*($N203:$W203-$X203:$AG203))))</f>
        <v/>
      </c>
      <c r="AK203" s="24">
        <f>MIN(Q203-AA203,MAX(0,$C203-SUMPRODUCT(($D$3:$M$3&lt;G$3)*($N203:$W203-$X203:$AG203))))</f>
        <v/>
      </c>
      <c r="AL203" s="24">
        <f>MIN(R203-AB203,MAX(0,$C203-SUMPRODUCT(($D$3:$M$3&lt;H$3)*($N203:$W203-$X203:$AG203))))</f>
        <v/>
      </c>
      <c r="AM203" s="24">
        <f>MIN(S203-AC203,MAX(0,$C203-SUMPRODUCT(($D$3:$M$3&lt;I$3)*($N203:$W203-$X203:$AG203))))</f>
        <v/>
      </c>
      <c r="AN203" s="24">
        <f>MIN(T203-AD203,MAX(0,$C203-SUMPRODUCT(($D$3:$M$3&lt;J$3)*($N203:$W203-$X203:$AG203))))</f>
        <v/>
      </c>
      <c r="AO203" s="24">
        <f>MIN(U203-AE203,MAX(0,$C203-SUMPRODUCT(($D$3:$M$3&lt;K$3)*($N203:$W203-$X203:$AG203))))</f>
        <v/>
      </c>
      <c r="AP203" s="24">
        <f>MIN(V203-AF203,MAX(0,$C203-SUMPRODUCT(($D$3:$M$3&lt;L$3)*($N203:$W203-$X203:$AG203))))</f>
        <v/>
      </c>
      <c r="AQ203" s="24">
        <f>MIN(W203-AG203,MAX(0,$C203-SUMPRODUCT(($D$3:$M$3&lt;M$3)*($N203:$W203-$X203:$AG203))))</f>
        <v/>
      </c>
      <c r="AR203" s="24">
        <f>ROUND(N203-X203-AH203,2)</f>
        <v/>
      </c>
      <c r="AS203" s="24">
        <f>ROUND(O203-Y203-AI203,2)</f>
        <v/>
      </c>
      <c r="AT203" s="24">
        <f>ROUND(P203-Z203-AJ203,2)</f>
        <v/>
      </c>
      <c r="AU203" s="24">
        <f>ROUND(Q203-AA203-AK203,2)</f>
        <v/>
      </c>
      <c r="AV203" s="24">
        <f>ROUND(R203-AB203-AL203,2)</f>
        <v/>
      </c>
      <c r="AW203" s="24">
        <f>ROUND(S203-AC203-AM203,2)</f>
        <v/>
      </c>
      <c r="AX203" s="24">
        <f>ROUND(T203-AD203-AN203,2)</f>
        <v/>
      </c>
      <c r="AY203" s="24">
        <f>ROUND(U203-AE203-AO203,2)</f>
        <v/>
      </c>
      <c r="AZ203" s="24">
        <f>ROUND(V203-AF203-AP203,2)</f>
        <v/>
      </c>
      <c r="BA203" s="24">
        <f>ROUND(W203-AG203-AQ203,2)</f>
        <v/>
      </c>
      <c r="BB203" s="24">
        <f>SUM(AR203:BA203)</f>
        <v/>
      </c>
    </row>
    <row r="204">
      <c r="A204" t="n">
        <v>200</v>
      </c>
      <c r="B204" s="23">
        <f>EOMONTH(TODAY(),199)</f>
        <v/>
      </c>
      <c r="C204" s="24">
        <f>MAX(0,(SUM('My Loans'!$E$6:$E$15)+'My Loans'!$D$3)-SUM($X204:$AG204))</f>
        <v/>
      </c>
      <c r="D204" s="24">
        <f>MAX(0,AR203)</f>
        <v/>
      </c>
      <c r="E204" s="24">
        <f>MAX(0,AS203)</f>
        <v/>
      </c>
      <c r="F204" s="24">
        <f>MAX(0,AT203)</f>
        <v/>
      </c>
      <c r="G204" s="24">
        <f>MAX(0,AU203)</f>
        <v/>
      </c>
      <c r="H204" s="24">
        <f>MAX(0,AV203)</f>
        <v/>
      </c>
      <c r="I204" s="24">
        <f>MAX(0,AW203)</f>
        <v/>
      </c>
      <c r="J204" s="24">
        <f>MAX(0,AX203)</f>
        <v/>
      </c>
      <c r="K204" s="24">
        <f>MAX(0,AY203)</f>
        <v/>
      </c>
      <c r="L204" s="24">
        <f>MAX(0,AZ203)</f>
        <v/>
      </c>
      <c r="M204" s="24">
        <f>MAX(0,BA203)</f>
        <v/>
      </c>
      <c r="N204" s="24">
        <f>IF(D204&lt;0.5,0,D204*(1+N('My Loans'!D6)/1200))</f>
        <v/>
      </c>
      <c r="O204" s="24">
        <f>IF(E204&lt;0.5,0,E204*(1+N('My Loans'!D7)/1200))</f>
        <v/>
      </c>
      <c r="P204" s="24">
        <f>IF(F204&lt;0.5,0,F204*(1+N('My Loans'!D8)/1200))</f>
        <v/>
      </c>
      <c r="Q204" s="24">
        <f>IF(G204&lt;0.5,0,G204*(1+N('My Loans'!D9)/1200))</f>
        <v/>
      </c>
      <c r="R204" s="24">
        <f>IF(H204&lt;0.5,0,H204*(1+N('My Loans'!D10)/1200))</f>
        <v/>
      </c>
      <c r="S204" s="24">
        <f>IF(I204&lt;0.5,0,I204*(1+N('My Loans'!D11)/1200))</f>
        <v/>
      </c>
      <c r="T204" s="24">
        <f>IF(J204&lt;0.5,0,J204*(1+N('My Loans'!D12)/1200))</f>
        <v/>
      </c>
      <c r="U204" s="24">
        <f>IF(K204&lt;0.5,0,K204*(1+N('My Loans'!D13)/1200))</f>
        <v/>
      </c>
      <c r="V204" s="24">
        <f>IF(L204&lt;0.5,0,L204*(1+N('My Loans'!D14)/1200))</f>
        <v/>
      </c>
      <c r="W204" s="24">
        <f>IF(M204&lt;0.5,0,M204*(1+N('My Loans'!D15)/1200))</f>
        <v/>
      </c>
      <c r="X204" s="24">
        <f>MIN(N204,N('My Loans'!E6))</f>
        <v/>
      </c>
      <c r="Y204" s="24">
        <f>MIN(O204,N('My Loans'!E7))</f>
        <v/>
      </c>
      <c r="Z204" s="24">
        <f>MIN(P204,N('My Loans'!E8))</f>
        <v/>
      </c>
      <c r="AA204" s="24">
        <f>MIN(Q204,N('My Loans'!E9))</f>
        <v/>
      </c>
      <c r="AB204" s="24">
        <f>MIN(R204,N('My Loans'!E10))</f>
        <v/>
      </c>
      <c r="AC204" s="24">
        <f>MIN(S204,N('My Loans'!E11))</f>
        <v/>
      </c>
      <c r="AD204" s="24">
        <f>MIN(T204,N('My Loans'!E12))</f>
        <v/>
      </c>
      <c r="AE204" s="24">
        <f>MIN(U204,N('My Loans'!E13))</f>
        <v/>
      </c>
      <c r="AF204" s="24">
        <f>MIN(V204,N('My Loans'!E14))</f>
        <v/>
      </c>
      <c r="AG204" s="24">
        <f>MIN(W204,N('My Loans'!E15))</f>
        <v/>
      </c>
      <c r="AH204" s="24">
        <f>MIN(N204-X204,MAX(0,$C204-SUMPRODUCT(($D$3:$M$3&lt;D$3)*($N204:$W204-$X204:$AG204))))</f>
        <v/>
      </c>
      <c r="AI204" s="24">
        <f>MIN(O204-Y204,MAX(0,$C204-SUMPRODUCT(($D$3:$M$3&lt;E$3)*($N204:$W204-$X204:$AG204))))</f>
        <v/>
      </c>
      <c r="AJ204" s="24">
        <f>MIN(P204-Z204,MAX(0,$C204-SUMPRODUCT(($D$3:$M$3&lt;F$3)*($N204:$W204-$X204:$AG204))))</f>
        <v/>
      </c>
      <c r="AK204" s="24">
        <f>MIN(Q204-AA204,MAX(0,$C204-SUMPRODUCT(($D$3:$M$3&lt;G$3)*($N204:$W204-$X204:$AG204))))</f>
        <v/>
      </c>
      <c r="AL204" s="24">
        <f>MIN(R204-AB204,MAX(0,$C204-SUMPRODUCT(($D$3:$M$3&lt;H$3)*($N204:$W204-$X204:$AG204))))</f>
        <v/>
      </c>
      <c r="AM204" s="24">
        <f>MIN(S204-AC204,MAX(0,$C204-SUMPRODUCT(($D$3:$M$3&lt;I$3)*($N204:$W204-$X204:$AG204))))</f>
        <v/>
      </c>
      <c r="AN204" s="24">
        <f>MIN(T204-AD204,MAX(0,$C204-SUMPRODUCT(($D$3:$M$3&lt;J$3)*($N204:$W204-$X204:$AG204))))</f>
        <v/>
      </c>
      <c r="AO204" s="24">
        <f>MIN(U204-AE204,MAX(0,$C204-SUMPRODUCT(($D$3:$M$3&lt;K$3)*($N204:$W204-$X204:$AG204))))</f>
        <v/>
      </c>
      <c r="AP204" s="24">
        <f>MIN(V204-AF204,MAX(0,$C204-SUMPRODUCT(($D$3:$M$3&lt;L$3)*($N204:$W204-$X204:$AG204))))</f>
        <v/>
      </c>
      <c r="AQ204" s="24">
        <f>MIN(W204-AG204,MAX(0,$C204-SUMPRODUCT(($D$3:$M$3&lt;M$3)*($N204:$W204-$X204:$AG204))))</f>
        <v/>
      </c>
      <c r="AR204" s="24">
        <f>ROUND(N204-X204-AH204,2)</f>
        <v/>
      </c>
      <c r="AS204" s="24">
        <f>ROUND(O204-Y204-AI204,2)</f>
        <v/>
      </c>
      <c r="AT204" s="24">
        <f>ROUND(P204-Z204-AJ204,2)</f>
        <v/>
      </c>
      <c r="AU204" s="24">
        <f>ROUND(Q204-AA204-AK204,2)</f>
        <v/>
      </c>
      <c r="AV204" s="24">
        <f>ROUND(R204-AB204-AL204,2)</f>
        <v/>
      </c>
      <c r="AW204" s="24">
        <f>ROUND(S204-AC204-AM204,2)</f>
        <v/>
      </c>
      <c r="AX204" s="24">
        <f>ROUND(T204-AD204-AN204,2)</f>
        <v/>
      </c>
      <c r="AY204" s="24">
        <f>ROUND(U204-AE204-AO204,2)</f>
        <v/>
      </c>
      <c r="AZ204" s="24">
        <f>ROUND(V204-AF204-AP204,2)</f>
        <v/>
      </c>
      <c r="BA204" s="24">
        <f>ROUND(W204-AG204-AQ204,2)</f>
        <v/>
      </c>
      <c r="BB204" s="24">
        <f>SUM(AR204:BA204)</f>
        <v/>
      </c>
    </row>
    <row r="205">
      <c r="A205" t="n">
        <v>201</v>
      </c>
      <c r="B205" s="23">
        <f>EOMONTH(TODAY(),200)</f>
        <v/>
      </c>
      <c r="C205" s="24">
        <f>MAX(0,(SUM('My Loans'!$E$6:$E$15)+'My Loans'!$D$3)-SUM($X205:$AG205))</f>
        <v/>
      </c>
      <c r="D205" s="24">
        <f>MAX(0,AR204)</f>
        <v/>
      </c>
      <c r="E205" s="24">
        <f>MAX(0,AS204)</f>
        <v/>
      </c>
      <c r="F205" s="24">
        <f>MAX(0,AT204)</f>
        <v/>
      </c>
      <c r="G205" s="24">
        <f>MAX(0,AU204)</f>
        <v/>
      </c>
      <c r="H205" s="24">
        <f>MAX(0,AV204)</f>
        <v/>
      </c>
      <c r="I205" s="24">
        <f>MAX(0,AW204)</f>
        <v/>
      </c>
      <c r="J205" s="24">
        <f>MAX(0,AX204)</f>
        <v/>
      </c>
      <c r="K205" s="24">
        <f>MAX(0,AY204)</f>
        <v/>
      </c>
      <c r="L205" s="24">
        <f>MAX(0,AZ204)</f>
        <v/>
      </c>
      <c r="M205" s="24">
        <f>MAX(0,BA204)</f>
        <v/>
      </c>
      <c r="N205" s="24">
        <f>IF(D205&lt;0.5,0,D205*(1+N('My Loans'!D6)/1200))</f>
        <v/>
      </c>
      <c r="O205" s="24">
        <f>IF(E205&lt;0.5,0,E205*(1+N('My Loans'!D7)/1200))</f>
        <v/>
      </c>
      <c r="P205" s="24">
        <f>IF(F205&lt;0.5,0,F205*(1+N('My Loans'!D8)/1200))</f>
        <v/>
      </c>
      <c r="Q205" s="24">
        <f>IF(G205&lt;0.5,0,G205*(1+N('My Loans'!D9)/1200))</f>
        <v/>
      </c>
      <c r="R205" s="24">
        <f>IF(H205&lt;0.5,0,H205*(1+N('My Loans'!D10)/1200))</f>
        <v/>
      </c>
      <c r="S205" s="24">
        <f>IF(I205&lt;0.5,0,I205*(1+N('My Loans'!D11)/1200))</f>
        <v/>
      </c>
      <c r="T205" s="24">
        <f>IF(J205&lt;0.5,0,J205*(1+N('My Loans'!D12)/1200))</f>
        <v/>
      </c>
      <c r="U205" s="24">
        <f>IF(K205&lt;0.5,0,K205*(1+N('My Loans'!D13)/1200))</f>
        <v/>
      </c>
      <c r="V205" s="24">
        <f>IF(L205&lt;0.5,0,L205*(1+N('My Loans'!D14)/1200))</f>
        <v/>
      </c>
      <c r="W205" s="24">
        <f>IF(M205&lt;0.5,0,M205*(1+N('My Loans'!D15)/1200))</f>
        <v/>
      </c>
      <c r="X205" s="24">
        <f>MIN(N205,N('My Loans'!E6))</f>
        <v/>
      </c>
      <c r="Y205" s="24">
        <f>MIN(O205,N('My Loans'!E7))</f>
        <v/>
      </c>
      <c r="Z205" s="24">
        <f>MIN(P205,N('My Loans'!E8))</f>
        <v/>
      </c>
      <c r="AA205" s="24">
        <f>MIN(Q205,N('My Loans'!E9))</f>
        <v/>
      </c>
      <c r="AB205" s="24">
        <f>MIN(R205,N('My Loans'!E10))</f>
        <v/>
      </c>
      <c r="AC205" s="24">
        <f>MIN(S205,N('My Loans'!E11))</f>
        <v/>
      </c>
      <c r="AD205" s="24">
        <f>MIN(T205,N('My Loans'!E12))</f>
        <v/>
      </c>
      <c r="AE205" s="24">
        <f>MIN(U205,N('My Loans'!E13))</f>
        <v/>
      </c>
      <c r="AF205" s="24">
        <f>MIN(V205,N('My Loans'!E14))</f>
        <v/>
      </c>
      <c r="AG205" s="24">
        <f>MIN(W205,N('My Loans'!E15))</f>
        <v/>
      </c>
      <c r="AH205" s="24">
        <f>MIN(N205-X205,MAX(0,$C205-SUMPRODUCT(($D$3:$M$3&lt;D$3)*($N205:$W205-$X205:$AG205))))</f>
        <v/>
      </c>
      <c r="AI205" s="24">
        <f>MIN(O205-Y205,MAX(0,$C205-SUMPRODUCT(($D$3:$M$3&lt;E$3)*($N205:$W205-$X205:$AG205))))</f>
        <v/>
      </c>
      <c r="AJ205" s="24">
        <f>MIN(P205-Z205,MAX(0,$C205-SUMPRODUCT(($D$3:$M$3&lt;F$3)*($N205:$W205-$X205:$AG205))))</f>
        <v/>
      </c>
      <c r="AK205" s="24">
        <f>MIN(Q205-AA205,MAX(0,$C205-SUMPRODUCT(($D$3:$M$3&lt;G$3)*($N205:$W205-$X205:$AG205))))</f>
        <v/>
      </c>
      <c r="AL205" s="24">
        <f>MIN(R205-AB205,MAX(0,$C205-SUMPRODUCT(($D$3:$M$3&lt;H$3)*($N205:$W205-$X205:$AG205))))</f>
        <v/>
      </c>
      <c r="AM205" s="24">
        <f>MIN(S205-AC205,MAX(0,$C205-SUMPRODUCT(($D$3:$M$3&lt;I$3)*($N205:$W205-$X205:$AG205))))</f>
        <v/>
      </c>
      <c r="AN205" s="24">
        <f>MIN(T205-AD205,MAX(0,$C205-SUMPRODUCT(($D$3:$M$3&lt;J$3)*($N205:$W205-$X205:$AG205))))</f>
        <v/>
      </c>
      <c r="AO205" s="24">
        <f>MIN(U205-AE205,MAX(0,$C205-SUMPRODUCT(($D$3:$M$3&lt;K$3)*($N205:$W205-$X205:$AG205))))</f>
        <v/>
      </c>
      <c r="AP205" s="24">
        <f>MIN(V205-AF205,MAX(0,$C205-SUMPRODUCT(($D$3:$M$3&lt;L$3)*($N205:$W205-$X205:$AG205))))</f>
        <v/>
      </c>
      <c r="AQ205" s="24">
        <f>MIN(W205-AG205,MAX(0,$C205-SUMPRODUCT(($D$3:$M$3&lt;M$3)*($N205:$W205-$X205:$AG205))))</f>
        <v/>
      </c>
      <c r="AR205" s="24">
        <f>ROUND(N205-X205-AH205,2)</f>
        <v/>
      </c>
      <c r="AS205" s="24">
        <f>ROUND(O205-Y205-AI205,2)</f>
        <v/>
      </c>
      <c r="AT205" s="24">
        <f>ROUND(P205-Z205-AJ205,2)</f>
        <v/>
      </c>
      <c r="AU205" s="24">
        <f>ROUND(Q205-AA205-AK205,2)</f>
        <v/>
      </c>
      <c r="AV205" s="24">
        <f>ROUND(R205-AB205-AL205,2)</f>
        <v/>
      </c>
      <c r="AW205" s="24">
        <f>ROUND(S205-AC205-AM205,2)</f>
        <v/>
      </c>
      <c r="AX205" s="24">
        <f>ROUND(T205-AD205-AN205,2)</f>
        <v/>
      </c>
      <c r="AY205" s="24">
        <f>ROUND(U205-AE205-AO205,2)</f>
        <v/>
      </c>
      <c r="AZ205" s="24">
        <f>ROUND(V205-AF205-AP205,2)</f>
        <v/>
      </c>
      <c r="BA205" s="24">
        <f>ROUND(W205-AG205-AQ205,2)</f>
        <v/>
      </c>
      <c r="BB205" s="24">
        <f>SUM(AR205:BA205)</f>
        <v/>
      </c>
    </row>
    <row r="206">
      <c r="A206" t="n">
        <v>202</v>
      </c>
      <c r="B206" s="23">
        <f>EOMONTH(TODAY(),201)</f>
        <v/>
      </c>
      <c r="C206" s="24">
        <f>MAX(0,(SUM('My Loans'!$E$6:$E$15)+'My Loans'!$D$3)-SUM($X206:$AG206))</f>
        <v/>
      </c>
      <c r="D206" s="24">
        <f>MAX(0,AR205)</f>
        <v/>
      </c>
      <c r="E206" s="24">
        <f>MAX(0,AS205)</f>
        <v/>
      </c>
      <c r="F206" s="24">
        <f>MAX(0,AT205)</f>
        <v/>
      </c>
      <c r="G206" s="24">
        <f>MAX(0,AU205)</f>
        <v/>
      </c>
      <c r="H206" s="24">
        <f>MAX(0,AV205)</f>
        <v/>
      </c>
      <c r="I206" s="24">
        <f>MAX(0,AW205)</f>
        <v/>
      </c>
      <c r="J206" s="24">
        <f>MAX(0,AX205)</f>
        <v/>
      </c>
      <c r="K206" s="24">
        <f>MAX(0,AY205)</f>
        <v/>
      </c>
      <c r="L206" s="24">
        <f>MAX(0,AZ205)</f>
        <v/>
      </c>
      <c r="M206" s="24">
        <f>MAX(0,BA205)</f>
        <v/>
      </c>
      <c r="N206" s="24">
        <f>IF(D206&lt;0.5,0,D206*(1+N('My Loans'!D6)/1200))</f>
        <v/>
      </c>
      <c r="O206" s="24">
        <f>IF(E206&lt;0.5,0,E206*(1+N('My Loans'!D7)/1200))</f>
        <v/>
      </c>
      <c r="P206" s="24">
        <f>IF(F206&lt;0.5,0,F206*(1+N('My Loans'!D8)/1200))</f>
        <v/>
      </c>
      <c r="Q206" s="24">
        <f>IF(G206&lt;0.5,0,G206*(1+N('My Loans'!D9)/1200))</f>
        <v/>
      </c>
      <c r="R206" s="24">
        <f>IF(H206&lt;0.5,0,H206*(1+N('My Loans'!D10)/1200))</f>
        <v/>
      </c>
      <c r="S206" s="24">
        <f>IF(I206&lt;0.5,0,I206*(1+N('My Loans'!D11)/1200))</f>
        <v/>
      </c>
      <c r="T206" s="24">
        <f>IF(J206&lt;0.5,0,J206*(1+N('My Loans'!D12)/1200))</f>
        <v/>
      </c>
      <c r="U206" s="24">
        <f>IF(K206&lt;0.5,0,K206*(1+N('My Loans'!D13)/1200))</f>
        <v/>
      </c>
      <c r="V206" s="24">
        <f>IF(L206&lt;0.5,0,L206*(1+N('My Loans'!D14)/1200))</f>
        <v/>
      </c>
      <c r="W206" s="24">
        <f>IF(M206&lt;0.5,0,M206*(1+N('My Loans'!D15)/1200))</f>
        <v/>
      </c>
      <c r="X206" s="24">
        <f>MIN(N206,N('My Loans'!E6))</f>
        <v/>
      </c>
      <c r="Y206" s="24">
        <f>MIN(O206,N('My Loans'!E7))</f>
        <v/>
      </c>
      <c r="Z206" s="24">
        <f>MIN(P206,N('My Loans'!E8))</f>
        <v/>
      </c>
      <c r="AA206" s="24">
        <f>MIN(Q206,N('My Loans'!E9))</f>
        <v/>
      </c>
      <c r="AB206" s="24">
        <f>MIN(R206,N('My Loans'!E10))</f>
        <v/>
      </c>
      <c r="AC206" s="24">
        <f>MIN(S206,N('My Loans'!E11))</f>
        <v/>
      </c>
      <c r="AD206" s="24">
        <f>MIN(T206,N('My Loans'!E12))</f>
        <v/>
      </c>
      <c r="AE206" s="24">
        <f>MIN(U206,N('My Loans'!E13))</f>
        <v/>
      </c>
      <c r="AF206" s="24">
        <f>MIN(V206,N('My Loans'!E14))</f>
        <v/>
      </c>
      <c r="AG206" s="24">
        <f>MIN(W206,N('My Loans'!E15))</f>
        <v/>
      </c>
      <c r="AH206" s="24">
        <f>MIN(N206-X206,MAX(0,$C206-SUMPRODUCT(($D$3:$M$3&lt;D$3)*($N206:$W206-$X206:$AG206))))</f>
        <v/>
      </c>
      <c r="AI206" s="24">
        <f>MIN(O206-Y206,MAX(0,$C206-SUMPRODUCT(($D$3:$M$3&lt;E$3)*($N206:$W206-$X206:$AG206))))</f>
        <v/>
      </c>
      <c r="AJ206" s="24">
        <f>MIN(P206-Z206,MAX(0,$C206-SUMPRODUCT(($D$3:$M$3&lt;F$3)*($N206:$W206-$X206:$AG206))))</f>
        <v/>
      </c>
      <c r="AK206" s="24">
        <f>MIN(Q206-AA206,MAX(0,$C206-SUMPRODUCT(($D$3:$M$3&lt;G$3)*($N206:$W206-$X206:$AG206))))</f>
        <v/>
      </c>
      <c r="AL206" s="24">
        <f>MIN(R206-AB206,MAX(0,$C206-SUMPRODUCT(($D$3:$M$3&lt;H$3)*($N206:$W206-$X206:$AG206))))</f>
        <v/>
      </c>
      <c r="AM206" s="24">
        <f>MIN(S206-AC206,MAX(0,$C206-SUMPRODUCT(($D$3:$M$3&lt;I$3)*($N206:$W206-$X206:$AG206))))</f>
        <v/>
      </c>
      <c r="AN206" s="24">
        <f>MIN(T206-AD206,MAX(0,$C206-SUMPRODUCT(($D$3:$M$3&lt;J$3)*($N206:$W206-$X206:$AG206))))</f>
        <v/>
      </c>
      <c r="AO206" s="24">
        <f>MIN(U206-AE206,MAX(0,$C206-SUMPRODUCT(($D$3:$M$3&lt;K$3)*($N206:$W206-$X206:$AG206))))</f>
        <v/>
      </c>
      <c r="AP206" s="24">
        <f>MIN(V206-AF206,MAX(0,$C206-SUMPRODUCT(($D$3:$M$3&lt;L$3)*($N206:$W206-$X206:$AG206))))</f>
        <v/>
      </c>
      <c r="AQ206" s="24">
        <f>MIN(W206-AG206,MAX(0,$C206-SUMPRODUCT(($D$3:$M$3&lt;M$3)*($N206:$W206-$X206:$AG206))))</f>
        <v/>
      </c>
      <c r="AR206" s="24">
        <f>ROUND(N206-X206-AH206,2)</f>
        <v/>
      </c>
      <c r="AS206" s="24">
        <f>ROUND(O206-Y206-AI206,2)</f>
        <v/>
      </c>
      <c r="AT206" s="24">
        <f>ROUND(P206-Z206-AJ206,2)</f>
        <v/>
      </c>
      <c r="AU206" s="24">
        <f>ROUND(Q206-AA206-AK206,2)</f>
        <v/>
      </c>
      <c r="AV206" s="24">
        <f>ROUND(R206-AB206-AL206,2)</f>
        <v/>
      </c>
      <c r="AW206" s="24">
        <f>ROUND(S206-AC206-AM206,2)</f>
        <v/>
      </c>
      <c r="AX206" s="24">
        <f>ROUND(T206-AD206-AN206,2)</f>
        <v/>
      </c>
      <c r="AY206" s="24">
        <f>ROUND(U206-AE206-AO206,2)</f>
        <v/>
      </c>
      <c r="AZ206" s="24">
        <f>ROUND(V206-AF206-AP206,2)</f>
        <v/>
      </c>
      <c r="BA206" s="24">
        <f>ROUND(W206-AG206-AQ206,2)</f>
        <v/>
      </c>
      <c r="BB206" s="24">
        <f>SUM(AR206:BA206)</f>
        <v/>
      </c>
    </row>
    <row r="207">
      <c r="A207" t="n">
        <v>203</v>
      </c>
      <c r="B207" s="23">
        <f>EOMONTH(TODAY(),202)</f>
        <v/>
      </c>
      <c r="C207" s="24">
        <f>MAX(0,(SUM('My Loans'!$E$6:$E$15)+'My Loans'!$D$3)-SUM($X207:$AG207))</f>
        <v/>
      </c>
      <c r="D207" s="24">
        <f>MAX(0,AR206)</f>
        <v/>
      </c>
      <c r="E207" s="24">
        <f>MAX(0,AS206)</f>
        <v/>
      </c>
      <c r="F207" s="24">
        <f>MAX(0,AT206)</f>
        <v/>
      </c>
      <c r="G207" s="24">
        <f>MAX(0,AU206)</f>
        <v/>
      </c>
      <c r="H207" s="24">
        <f>MAX(0,AV206)</f>
        <v/>
      </c>
      <c r="I207" s="24">
        <f>MAX(0,AW206)</f>
        <v/>
      </c>
      <c r="J207" s="24">
        <f>MAX(0,AX206)</f>
        <v/>
      </c>
      <c r="K207" s="24">
        <f>MAX(0,AY206)</f>
        <v/>
      </c>
      <c r="L207" s="24">
        <f>MAX(0,AZ206)</f>
        <v/>
      </c>
      <c r="M207" s="24">
        <f>MAX(0,BA206)</f>
        <v/>
      </c>
      <c r="N207" s="24">
        <f>IF(D207&lt;0.5,0,D207*(1+N('My Loans'!D6)/1200))</f>
        <v/>
      </c>
      <c r="O207" s="24">
        <f>IF(E207&lt;0.5,0,E207*(1+N('My Loans'!D7)/1200))</f>
        <v/>
      </c>
      <c r="P207" s="24">
        <f>IF(F207&lt;0.5,0,F207*(1+N('My Loans'!D8)/1200))</f>
        <v/>
      </c>
      <c r="Q207" s="24">
        <f>IF(G207&lt;0.5,0,G207*(1+N('My Loans'!D9)/1200))</f>
        <v/>
      </c>
      <c r="R207" s="24">
        <f>IF(H207&lt;0.5,0,H207*(1+N('My Loans'!D10)/1200))</f>
        <v/>
      </c>
      <c r="S207" s="24">
        <f>IF(I207&lt;0.5,0,I207*(1+N('My Loans'!D11)/1200))</f>
        <v/>
      </c>
      <c r="T207" s="24">
        <f>IF(J207&lt;0.5,0,J207*(1+N('My Loans'!D12)/1200))</f>
        <v/>
      </c>
      <c r="U207" s="24">
        <f>IF(K207&lt;0.5,0,K207*(1+N('My Loans'!D13)/1200))</f>
        <v/>
      </c>
      <c r="V207" s="24">
        <f>IF(L207&lt;0.5,0,L207*(1+N('My Loans'!D14)/1200))</f>
        <v/>
      </c>
      <c r="W207" s="24">
        <f>IF(M207&lt;0.5,0,M207*(1+N('My Loans'!D15)/1200))</f>
        <v/>
      </c>
      <c r="X207" s="24">
        <f>MIN(N207,N('My Loans'!E6))</f>
        <v/>
      </c>
      <c r="Y207" s="24">
        <f>MIN(O207,N('My Loans'!E7))</f>
        <v/>
      </c>
      <c r="Z207" s="24">
        <f>MIN(P207,N('My Loans'!E8))</f>
        <v/>
      </c>
      <c r="AA207" s="24">
        <f>MIN(Q207,N('My Loans'!E9))</f>
        <v/>
      </c>
      <c r="AB207" s="24">
        <f>MIN(R207,N('My Loans'!E10))</f>
        <v/>
      </c>
      <c r="AC207" s="24">
        <f>MIN(S207,N('My Loans'!E11))</f>
        <v/>
      </c>
      <c r="AD207" s="24">
        <f>MIN(T207,N('My Loans'!E12))</f>
        <v/>
      </c>
      <c r="AE207" s="24">
        <f>MIN(U207,N('My Loans'!E13))</f>
        <v/>
      </c>
      <c r="AF207" s="24">
        <f>MIN(V207,N('My Loans'!E14))</f>
        <v/>
      </c>
      <c r="AG207" s="24">
        <f>MIN(W207,N('My Loans'!E15))</f>
        <v/>
      </c>
      <c r="AH207" s="24">
        <f>MIN(N207-X207,MAX(0,$C207-SUMPRODUCT(($D$3:$M$3&lt;D$3)*($N207:$W207-$X207:$AG207))))</f>
        <v/>
      </c>
      <c r="AI207" s="24">
        <f>MIN(O207-Y207,MAX(0,$C207-SUMPRODUCT(($D$3:$M$3&lt;E$3)*($N207:$W207-$X207:$AG207))))</f>
        <v/>
      </c>
      <c r="AJ207" s="24">
        <f>MIN(P207-Z207,MAX(0,$C207-SUMPRODUCT(($D$3:$M$3&lt;F$3)*($N207:$W207-$X207:$AG207))))</f>
        <v/>
      </c>
      <c r="AK207" s="24">
        <f>MIN(Q207-AA207,MAX(0,$C207-SUMPRODUCT(($D$3:$M$3&lt;G$3)*($N207:$W207-$X207:$AG207))))</f>
        <v/>
      </c>
      <c r="AL207" s="24">
        <f>MIN(R207-AB207,MAX(0,$C207-SUMPRODUCT(($D$3:$M$3&lt;H$3)*($N207:$W207-$X207:$AG207))))</f>
        <v/>
      </c>
      <c r="AM207" s="24">
        <f>MIN(S207-AC207,MAX(0,$C207-SUMPRODUCT(($D$3:$M$3&lt;I$3)*($N207:$W207-$X207:$AG207))))</f>
        <v/>
      </c>
      <c r="AN207" s="24">
        <f>MIN(T207-AD207,MAX(0,$C207-SUMPRODUCT(($D$3:$M$3&lt;J$3)*($N207:$W207-$X207:$AG207))))</f>
        <v/>
      </c>
      <c r="AO207" s="24">
        <f>MIN(U207-AE207,MAX(0,$C207-SUMPRODUCT(($D$3:$M$3&lt;K$3)*($N207:$W207-$X207:$AG207))))</f>
        <v/>
      </c>
      <c r="AP207" s="24">
        <f>MIN(V207-AF207,MAX(0,$C207-SUMPRODUCT(($D$3:$M$3&lt;L$3)*($N207:$W207-$X207:$AG207))))</f>
        <v/>
      </c>
      <c r="AQ207" s="24">
        <f>MIN(W207-AG207,MAX(0,$C207-SUMPRODUCT(($D$3:$M$3&lt;M$3)*($N207:$W207-$X207:$AG207))))</f>
        <v/>
      </c>
      <c r="AR207" s="24">
        <f>ROUND(N207-X207-AH207,2)</f>
        <v/>
      </c>
      <c r="AS207" s="24">
        <f>ROUND(O207-Y207-AI207,2)</f>
        <v/>
      </c>
      <c r="AT207" s="24">
        <f>ROUND(P207-Z207-AJ207,2)</f>
        <v/>
      </c>
      <c r="AU207" s="24">
        <f>ROUND(Q207-AA207-AK207,2)</f>
        <v/>
      </c>
      <c r="AV207" s="24">
        <f>ROUND(R207-AB207-AL207,2)</f>
        <v/>
      </c>
      <c r="AW207" s="24">
        <f>ROUND(S207-AC207-AM207,2)</f>
        <v/>
      </c>
      <c r="AX207" s="24">
        <f>ROUND(T207-AD207-AN207,2)</f>
        <v/>
      </c>
      <c r="AY207" s="24">
        <f>ROUND(U207-AE207-AO207,2)</f>
        <v/>
      </c>
      <c r="AZ207" s="24">
        <f>ROUND(V207-AF207-AP207,2)</f>
        <v/>
      </c>
      <c r="BA207" s="24">
        <f>ROUND(W207-AG207-AQ207,2)</f>
        <v/>
      </c>
      <c r="BB207" s="24">
        <f>SUM(AR207:BA207)</f>
        <v/>
      </c>
    </row>
    <row r="208">
      <c r="A208" t="n">
        <v>204</v>
      </c>
      <c r="B208" s="23">
        <f>EOMONTH(TODAY(),203)</f>
        <v/>
      </c>
      <c r="C208" s="24">
        <f>MAX(0,(SUM('My Loans'!$E$6:$E$15)+'My Loans'!$D$3)-SUM($X208:$AG208))</f>
        <v/>
      </c>
      <c r="D208" s="24">
        <f>MAX(0,AR207)</f>
        <v/>
      </c>
      <c r="E208" s="24">
        <f>MAX(0,AS207)</f>
        <v/>
      </c>
      <c r="F208" s="24">
        <f>MAX(0,AT207)</f>
        <v/>
      </c>
      <c r="G208" s="24">
        <f>MAX(0,AU207)</f>
        <v/>
      </c>
      <c r="H208" s="24">
        <f>MAX(0,AV207)</f>
        <v/>
      </c>
      <c r="I208" s="24">
        <f>MAX(0,AW207)</f>
        <v/>
      </c>
      <c r="J208" s="24">
        <f>MAX(0,AX207)</f>
        <v/>
      </c>
      <c r="K208" s="24">
        <f>MAX(0,AY207)</f>
        <v/>
      </c>
      <c r="L208" s="24">
        <f>MAX(0,AZ207)</f>
        <v/>
      </c>
      <c r="M208" s="24">
        <f>MAX(0,BA207)</f>
        <v/>
      </c>
      <c r="N208" s="24">
        <f>IF(D208&lt;0.5,0,D208*(1+N('My Loans'!D6)/1200))</f>
        <v/>
      </c>
      <c r="O208" s="24">
        <f>IF(E208&lt;0.5,0,E208*(1+N('My Loans'!D7)/1200))</f>
        <v/>
      </c>
      <c r="P208" s="24">
        <f>IF(F208&lt;0.5,0,F208*(1+N('My Loans'!D8)/1200))</f>
        <v/>
      </c>
      <c r="Q208" s="24">
        <f>IF(G208&lt;0.5,0,G208*(1+N('My Loans'!D9)/1200))</f>
        <v/>
      </c>
      <c r="R208" s="24">
        <f>IF(H208&lt;0.5,0,H208*(1+N('My Loans'!D10)/1200))</f>
        <v/>
      </c>
      <c r="S208" s="24">
        <f>IF(I208&lt;0.5,0,I208*(1+N('My Loans'!D11)/1200))</f>
        <v/>
      </c>
      <c r="T208" s="24">
        <f>IF(J208&lt;0.5,0,J208*(1+N('My Loans'!D12)/1200))</f>
        <v/>
      </c>
      <c r="U208" s="24">
        <f>IF(K208&lt;0.5,0,K208*(1+N('My Loans'!D13)/1200))</f>
        <v/>
      </c>
      <c r="V208" s="24">
        <f>IF(L208&lt;0.5,0,L208*(1+N('My Loans'!D14)/1200))</f>
        <v/>
      </c>
      <c r="W208" s="24">
        <f>IF(M208&lt;0.5,0,M208*(1+N('My Loans'!D15)/1200))</f>
        <v/>
      </c>
      <c r="X208" s="24">
        <f>MIN(N208,N('My Loans'!E6))</f>
        <v/>
      </c>
      <c r="Y208" s="24">
        <f>MIN(O208,N('My Loans'!E7))</f>
        <v/>
      </c>
      <c r="Z208" s="24">
        <f>MIN(P208,N('My Loans'!E8))</f>
        <v/>
      </c>
      <c r="AA208" s="24">
        <f>MIN(Q208,N('My Loans'!E9))</f>
        <v/>
      </c>
      <c r="AB208" s="24">
        <f>MIN(R208,N('My Loans'!E10))</f>
        <v/>
      </c>
      <c r="AC208" s="24">
        <f>MIN(S208,N('My Loans'!E11))</f>
        <v/>
      </c>
      <c r="AD208" s="24">
        <f>MIN(T208,N('My Loans'!E12))</f>
        <v/>
      </c>
      <c r="AE208" s="24">
        <f>MIN(U208,N('My Loans'!E13))</f>
        <v/>
      </c>
      <c r="AF208" s="24">
        <f>MIN(V208,N('My Loans'!E14))</f>
        <v/>
      </c>
      <c r="AG208" s="24">
        <f>MIN(W208,N('My Loans'!E15))</f>
        <v/>
      </c>
      <c r="AH208" s="24">
        <f>MIN(N208-X208,MAX(0,$C208-SUMPRODUCT(($D$3:$M$3&lt;D$3)*($N208:$W208-$X208:$AG208))))</f>
        <v/>
      </c>
      <c r="AI208" s="24">
        <f>MIN(O208-Y208,MAX(0,$C208-SUMPRODUCT(($D$3:$M$3&lt;E$3)*($N208:$W208-$X208:$AG208))))</f>
        <v/>
      </c>
      <c r="AJ208" s="24">
        <f>MIN(P208-Z208,MAX(0,$C208-SUMPRODUCT(($D$3:$M$3&lt;F$3)*($N208:$W208-$X208:$AG208))))</f>
        <v/>
      </c>
      <c r="AK208" s="24">
        <f>MIN(Q208-AA208,MAX(0,$C208-SUMPRODUCT(($D$3:$M$3&lt;G$3)*($N208:$W208-$X208:$AG208))))</f>
        <v/>
      </c>
      <c r="AL208" s="24">
        <f>MIN(R208-AB208,MAX(0,$C208-SUMPRODUCT(($D$3:$M$3&lt;H$3)*($N208:$W208-$X208:$AG208))))</f>
        <v/>
      </c>
      <c r="AM208" s="24">
        <f>MIN(S208-AC208,MAX(0,$C208-SUMPRODUCT(($D$3:$M$3&lt;I$3)*($N208:$W208-$X208:$AG208))))</f>
        <v/>
      </c>
      <c r="AN208" s="24">
        <f>MIN(T208-AD208,MAX(0,$C208-SUMPRODUCT(($D$3:$M$3&lt;J$3)*($N208:$W208-$X208:$AG208))))</f>
        <v/>
      </c>
      <c r="AO208" s="24">
        <f>MIN(U208-AE208,MAX(0,$C208-SUMPRODUCT(($D$3:$M$3&lt;K$3)*($N208:$W208-$X208:$AG208))))</f>
        <v/>
      </c>
      <c r="AP208" s="24">
        <f>MIN(V208-AF208,MAX(0,$C208-SUMPRODUCT(($D$3:$M$3&lt;L$3)*($N208:$W208-$X208:$AG208))))</f>
        <v/>
      </c>
      <c r="AQ208" s="24">
        <f>MIN(W208-AG208,MAX(0,$C208-SUMPRODUCT(($D$3:$M$3&lt;M$3)*($N208:$W208-$X208:$AG208))))</f>
        <v/>
      </c>
      <c r="AR208" s="24">
        <f>ROUND(N208-X208-AH208,2)</f>
        <v/>
      </c>
      <c r="AS208" s="24">
        <f>ROUND(O208-Y208-AI208,2)</f>
        <v/>
      </c>
      <c r="AT208" s="24">
        <f>ROUND(P208-Z208-AJ208,2)</f>
        <v/>
      </c>
      <c r="AU208" s="24">
        <f>ROUND(Q208-AA208-AK208,2)</f>
        <v/>
      </c>
      <c r="AV208" s="24">
        <f>ROUND(R208-AB208-AL208,2)</f>
        <v/>
      </c>
      <c r="AW208" s="24">
        <f>ROUND(S208-AC208-AM208,2)</f>
        <v/>
      </c>
      <c r="AX208" s="24">
        <f>ROUND(T208-AD208-AN208,2)</f>
        <v/>
      </c>
      <c r="AY208" s="24">
        <f>ROUND(U208-AE208-AO208,2)</f>
        <v/>
      </c>
      <c r="AZ208" s="24">
        <f>ROUND(V208-AF208-AP208,2)</f>
        <v/>
      </c>
      <c r="BA208" s="24">
        <f>ROUND(W208-AG208-AQ208,2)</f>
        <v/>
      </c>
      <c r="BB208" s="24">
        <f>SUM(AR208:BA208)</f>
        <v/>
      </c>
    </row>
    <row r="209">
      <c r="A209" t="n">
        <v>205</v>
      </c>
      <c r="B209" s="23">
        <f>EOMONTH(TODAY(),204)</f>
        <v/>
      </c>
      <c r="C209" s="24">
        <f>MAX(0,(SUM('My Loans'!$E$6:$E$15)+'My Loans'!$D$3)-SUM($X209:$AG209))</f>
        <v/>
      </c>
      <c r="D209" s="24">
        <f>MAX(0,AR208)</f>
        <v/>
      </c>
      <c r="E209" s="24">
        <f>MAX(0,AS208)</f>
        <v/>
      </c>
      <c r="F209" s="24">
        <f>MAX(0,AT208)</f>
        <v/>
      </c>
      <c r="G209" s="24">
        <f>MAX(0,AU208)</f>
        <v/>
      </c>
      <c r="H209" s="24">
        <f>MAX(0,AV208)</f>
        <v/>
      </c>
      <c r="I209" s="24">
        <f>MAX(0,AW208)</f>
        <v/>
      </c>
      <c r="J209" s="24">
        <f>MAX(0,AX208)</f>
        <v/>
      </c>
      <c r="K209" s="24">
        <f>MAX(0,AY208)</f>
        <v/>
      </c>
      <c r="L209" s="24">
        <f>MAX(0,AZ208)</f>
        <v/>
      </c>
      <c r="M209" s="24">
        <f>MAX(0,BA208)</f>
        <v/>
      </c>
      <c r="N209" s="24">
        <f>IF(D209&lt;0.5,0,D209*(1+N('My Loans'!D6)/1200))</f>
        <v/>
      </c>
      <c r="O209" s="24">
        <f>IF(E209&lt;0.5,0,E209*(1+N('My Loans'!D7)/1200))</f>
        <v/>
      </c>
      <c r="P209" s="24">
        <f>IF(F209&lt;0.5,0,F209*(1+N('My Loans'!D8)/1200))</f>
        <v/>
      </c>
      <c r="Q209" s="24">
        <f>IF(G209&lt;0.5,0,G209*(1+N('My Loans'!D9)/1200))</f>
        <v/>
      </c>
      <c r="R209" s="24">
        <f>IF(H209&lt;0.5,0,H209*(1+N('My Loans'!D10)/1200))</f>
        <v/>
      </c>
      <c r="S209" s="24">
        <f>IF(I209&lt;0.5,0,I209*(1+N('My Loans'!D11)/1200))</f>
        <v/>
      </c>
      <c r="T209" s="24">
        <f>IF(J209&lt;0.5,0,J209*(1+N('My Loans'!D12)/1200))</f>
        <v/>
      </c>
      <c r="U209" s="24">
        <f>IF(K209&lt;0.5,0,K209*(1+N('My Loans'!D13)/1200))</f>
        <v/>
      </c>
      <c r="V209" s="24">
        <f>IF(L209&lt;0.5,0,L209*(1+N('My Loans'!D14)/1200))</f>
        <v/>
      </c>
      <c r="W209" s="24">
        <f>IF(M209&lt;0.5,0,M209*(1+N('My Loans'!D15)/1200))</f>
        <v/>
      </c>
      <c r="X209" s="24">
        <f>MIN(N209,N('My Loans'!E6))</f>
        <v/>
      </c>
      <c r="Y209" s="24">
        <f>MIN(O209,N('My Loans'!E7))</f>
        <v/>
      </c>
      <c r="Z209" s="24">
        <f>MIN(P209,N('My Loans'!E8))</f>
        <v/>
      </c>
      <c r="AA209" s="24">
        <f>MIN(Q209,N('My Loans'!E9))</f>
        <v/>
      </c>
      <c r="AB209" s="24">
        <f>MIN(R209,N('My Loans'!E10))</f>
        <v/>
      </c>
      <c r="AC209" s="24">
        <f>MIN(S209,N('My Loans'!E11))</f>
        <v/>
      </c>
      <c r="AD209" s="24">
        <f>MIN(T209,N('My Loans'!E12))</f>
        <v/>
      </c>
      <c r="AE209" s="24">
        <f>MIN(U209,N('My Loans'!E13))</f>
        <v/>
      </c>
      <c r="AF209" s="24">
        <f>MIN(V209,N('My Loans'!E14))</f>
        <v/>
      </c>
      <c r="AG209" s="24">
        <f>MIN(W209,N('My Loans'!E15))</f>
        <v/>
      </c>
      <c r="AH209" s="24">
        <f>MIN(N209-X209,MAX(0,$C209-SUMPRODUCT(($D$3:$M$3&lt;D$3)*($N209:$W209-$X209:$AG209))))</f>
        <v/>
      </c>
      <c r="AI209" s="24">
        <f>MIN(O209-Y209,MAX(0,$C209-SUMPRODUCT(($D$3:$M$3&lt;E$3)*($N209:$W209-$X209:$AG209))))</f>
        <v/>
      </c>
      <c r="AJ209" s="24">
        <f>MIN(P209-Z209,MAX(0,$C209-SUMPRODUCT(($D$3:$M$3&lt;F$3)*($N209:$W209-$X209:$AG209))))</f>
        <v/>
      </c>
      <c r="AK209" s="24">
        <f>MIN(Q209-AA209,MAX(0,$C209-SUMPRODUCT(($D$3:$M$3&lt;G$3)*($N209:$W209-$X209:$AG209))))</f>
        <v/>
      </c>
      <c r="AL209" s="24">
        <f>MIN(R209-AB209,MAX(0,$C209-SUMPRODUCT(($D$3:$M$3&lt;H$3)*($N209:$W209-$X209:$AG209))))</f>
        <v/>
      </c>
      <c r="AM209" s="24">
        <f>MIN(S209-AC209,MAX(0,$C209-SUMPRODUCT(($D$3:$M$3&lt;I$3)*($N209:$W209-$X209:$AG209))))</f>
        <v/>
      </c>
      <c r="AN209" s="24">
        <f>MIN(T209-AD209,MAX(0,$C209-SUMPRODUCT(($D$3:$M$3&lt;J$3)*($N209:$W209-$X209:$AG209))))</f>
        <v/>
      </c>
      <c r="AO209" s="24">
        <f>MIN(U209-AE209,MAX(0,$C209-SUMPRODUCT(($D$3:$M$3&lt;K$3)*($N209:$W209-$X209:$AG209))))</f>
        <v/>
      </c>
      <c r="AP209" s="24">
        <f>MIN(V209-AF209,MAX(0,$C209-SUMPRODUCT(($D$3:$M$3&lt;L$3)*($N209:$W209-$X209:$AG209))))</f>
        <v/>
      </c>
      <c r="AQ209" s="24">
        <f>MIN(W209-AG209,MAX(0,$C209-SUMPRODUCT(($D$3:$M$3&lt;M$3)*($N209:$W209-$X209:$AG209))))</f>
        <v/>
      </c>
      <c r="AR209" s="24">
        <f>ROUND(N209-X209-AH209,2)</f>
        <v/>
      </c>
      <c r="AS209" s="24">
        <f>ROUND(O209-Y209-AI209,2)</f>
        <v/>
      </c>
      <c r="AT209" s="24">
        <f>ROUND(P209-Z209-AJ209,2)</f>
        <v/>
      </c>
      <c r="AU209" s="24">
        <f>ROUND(Q209-AA209-AK209,2)</f>
        <v/>
      </c>
      <c r="AV209" s="24">
        <f>ROUND(R209-AB209-AL209,2)</f>
        <v/>
      </c>
      <c r="AW209" s="24">
        <f>ROUND(S209-AC209-AM209,2)</f>
        <v/>
      </c>
      <c r="AX209" s="24">
        <f>ROUND(T209-AD209-AN209,2)</f>
        <v/>
      </c>
      <c r="AY209" s="24">
        <f>ROUND(U209-AE209-AO209,2)</f>
        <v/>
      </c>
      <c r="AZ209" s="24">
        <f>ROUND(V209-AF209-AP209,2)</f>
        <v/>
      </c>
      <c r="BA209" s="24">
        <f>ROUND(W209-AG209-AQ209,2)</f>
        <v/>
      </c>
      <c r="BB209" s="24">
        <f>SUM(AR209:BA209)</f>
        <v/>
      </c>
    </row>
    <row r="210">
      <c r="A210" t="n">
        <v>206</v>
      </c>
      <c r="B210" s="23">
        <f>EOMONTH(TODAY(),205)</f>
        <v/>
      </c>
      <c r="C210" s="24">
        <f>MAX(0,(SUM('My Loans'!$E$6:$E$15)+'My Loans'!$D$3)-SUM($X210:$AG210))</f>
        <v/>
      </c>
      <c r="D210" s="24">
        <f>MAX(0,AR209)</f>
        <v/>
      </c>
      <c r="E210" s="24">
        <f>MAX(0,AS209)</f>
        <v/>
      </c>
      <c r="F210" s="24">
        <f>MAX(0,AT209)</f>
        <v/>
      </c>
      <c r="G210" s="24">
        <f>MAX(0,AU209)</f>
        <v/>
      </c>
      <c r="H210" s="24">
        <f>MAX(0,AV209)</f>
        <v/>
      </c>
      <c r="I210" s="24">
        <f>MAX(0,AW209)</f>
        <v/>
      </c>
      <c r="J210" s="24">
        <f>MAX(0,AX209)</f>
        <v/>
      </c>
      <c r="K210" s="24">
        <f>MAX(0,AY209)</f>
        <v/>
      </c>
      <c r="L210" s="24">
        <f>MAX(0,AZ209)</f>
        <v/>
      </c>
      <c r="M210" s="24">
        <f>MAX(0,BA209)</f>
        <v/>
      </c>
      <c r="N210" s="24">
        <f>IF(D210&lt;0.5,0,D210*(1+N('My Loans'!D6)/1200))</f>
        <v/>
      </c>
      <c r="O210" s="24">
        <f>IF(E210&lt;0.5,0,E210*(1+N('My Loans'!D7)/1200))</f>
        <v/>
      </c>
      <c r="P210" s="24">
        <f>IF(F210&lt;0.5,0,F210*(1+N('My Loans'!D8)/1200))</f>
        <v/>
      </c>
      <c r="Q210" s="24">
        <f>IF(G210&lt;0.5,0,G210*(1+N('My Loans'!D9)/1200))</f>
        <v/>
      </c>
      <c r="R210" s="24">
        <f>IF(H210&lt;0.5,0,H210*(1+N('My Loans'!D10)/1200))</f>
        <v/>
      </c>
      <c r="S210" s="24">
        <f>IF(I210&lt;0.5,0,I210*(1+N('My Loans'!D11)/1200))</f>
        <v/>
      </c>
      <c r="T210" s="24">
        <f>IF(J210&lt;0.5,0,J210*(1+N('My Loans'!D12)/1200))</f>
        <v/>
      </c>
      <c r="U210" s="24">
        <f>IF(K210&lt;0.5,0,K210*(1+N('My Loans'!D13)/1200))</f>
        <v/>
      </c>
      <c r="V210" s="24">
        <f>IF(L210&lt;0.5,0,L210*(1+N('My Loans'!D14)/1200))</f>
        <v/>
      </c>
      <c r="W210" s="24">
        <f>IF(M210&lt;0.5,0,M210*(1+N('My Loans'!D15)/1200))</f>
        <v/>
      </c>
      <c r="X210" s="24">
        <f>MIN(N210,N('My Loans'!E6))</f>
        <v/>
      </c>
      <c r="Y210" s="24">
        <f>MIN(O210,N('My Loans'!E7))</f>
        <v/>
      </c>
      <c r="Z210" s="24">
        <f>MIN(P210,N('My Loans'!E8))</f>
        <v/>
      </c>
      <c r="AA210" s="24">
        <f>MIN(Q210,N('My Loans'!E9))</f>
        <v/>
      </c>
      <c r="AB210" s="24">
        <f>MIN(R210,N('My Loans'!E10))</f>
        <v/>
      </c>
      <c r="AC210" s="24">
        <f>MIN(S210,N('My Loans'!E11))</f>
        <v/>
      </c>
      <c r="AD210" s="24">
        <f>MIN(T210,N('My Loans'!E12))</f>
        <v/>
      </c>
      <c r="AE210" s="24">
        <f>MIN(U210,N('My Loans'!E13))</f>
        <v/>
      </c>
      <c r="AF210" s="24">
        <f>MIN(V210,N('My Loans'!E14))</f>
        <v/>
      </c>
      <c r="AG210" s="24">
        <f>MIN(W210,N('My Loans'!E15))</f>
        <v/>
      </c>
      <c r="AH210" s="24">
        <f>MIN(N210-X210,MAX(0,$C210-SUMPRODUCT(($D$3:$M$3&lt;D$3)*($N210:$W210-$X210:$AG210))))</f>
        <v/>
      </c>
      <c r="AI210" s="24">
        <f>MIN(O210-Y210,MAX(0,$C210-SUMPRODUCT(($D$3:$M$3&lt;E$3)*($N210:$W210-$X210:$AG210))))</f>
        <v/>
      </c>
      <c r="AJ210" s="24">
        <f>MIN(P210-Z210,MAX(0,$C210-SUMPRODUCT(($D$3:$M$3&lt;F$3)*($N210:$W210-$X210:$AG210))))</f>
        <v/>
      </c>
      <c r="AK210" s="24">
        <f>MIN(Q210-AA210,MAX(0,$C210-SUMPRODUCT(($D$3:$M$3&lt;G$3)*($N210:$W210-$X210:$AG210))))</f>
        <v/>
      </c>
      <c r="AL210" s="24">
        <f>MIN(R210-AB210,MAX(0,$C210-SUMPRODUCT(($D$3:$M$3&lt;H$3)*($N210:$W210-$X210:$AG210))))</f>
        <v/>
      </c>
      <c r="AM210" s="24">
        <f>MIN(S210-AC210,MAX(0,$C210-SUMPRODUCT(($D$3:$M$3&lt;I$3)*($N210:$W210-$X210:$AG210))))</f>
        <v/>
      </c>
      <c r="AN210" s="24">
        <f>MIN(T210-AD210,MAX(0,$C210-SUMPRODUCT(($D$3:$M$3&lt;J$3)*($N210:$W210-$X210:$AG210))))</f>
        <v/>
      </c>
      <c r="AO210" s="24">
        <f>MIN(U210-AE210,MAX(0,$C210-SUMPRODUCT(($D$3:$M$3&lt;K$3)*($N210:$W210-$X210:$AG210))))</f>
        <v/>
      </c>
      <c r="AP210" s="24">
        <f>MIN(V210-AF210,MAX(0,$C210-SUMPRODUCT(($D$3:$M$3&lt;L$3)*($N210:$W210-$X210:$AG210))))</f>
        <v/>
      </c>
      <c r="AQ210" s="24">
        <f>MIN(W210-AG210,MAX(0,$C210-SUMPRODUCT(($D$3:$M$3&lt;M$3)*($N210:$W210-$X210:$AG210))))</f>
        <v/>
      </c>
      <c r="AR210" s="24">
        <f>ROUND(N210-X210-AH210,2)</f>
        <v/>
      </c>
      <c r="AS210" s="24">
        <f>ROUND(O210-Y210-AI210,2)</f>
        <v/>
      </c>
      <c r="AT210" s="24">
        <f>ROUND(P210-Z210-AJ210,2)</f>
        <v/>
      </c>
      <c r="AU210" s="24">
        <f>ROUND(Q210-AA210-AK210,2)</f>
        <v/>
      </c>
      <c r="AV210" s="24">
        <f>ROUND(R210-AB210-AL210,2)</f>
        <v/>
      </c>
      <c r="AW210" s="24">
        <f>ROUND(S210-AC210-AM210,2)</f>
        <v/>
      </c>
      <c r="AX210" s="24">
        <f>ROUND(T210-AD210-AN210,2)</f>
        <v/>
      </c>
      <c r="AY210" s="24">
        <f>ROUND(U210-AE210-AO210,2)</f>
        <v/>
      </c>
      <c r="AZ210" s="24">
        <f>ROUND(V210-AF210-AP210,2)</f>
        <v/>
      </c>
      <c r="BA210" s="24">
        <f>ROUND(W210-AG210-AQ210,2)</f>
        <v/>
      </c>
      <c r="BB210" s="24">
        <f>SUM(AR210:BA210)</f>
        <v/>
      </c>
    </row>
    <row r="211">
      <c r="A211" t="n">
        <v>207</v>
      </c>
      <c r="B211" s="23">
        <f>EOMONTH(TODAY(),206)</f>
        <v/>
      </c>
      <c r="C211" s="24">
        <f>MAX(0,(SUM('My Loans'!$E$6:$E$15)+'My Loans'!$D$3)-SUM($X211:$AG211))</f>
        <v/>
      </c>
      <c r="D211" s="24">
        <f>MAX(0,AR210)</f>
        <v/>
      </c>
      <c r="E211" s="24">
        <f>MAX(0,AS210)</f>
        <v/>
      </c>
      <c r="F211" s="24">
        <f>MAX(0,AT210)</f>
        <v/>
      </c>
      <c r="G211" s="24">
        <f>MAX(0,AU210)</f>
        <v/>
      </c>
      <c r="H211" s="24">
        <f>MAX(0,AV210)</f>
        <v/>
      </c>
      <c r="I211" s="24">
        <f>MAX(0,AW210)</f>
        <v/>
      </c>
      <c r="J211" s="24">
        <f>MAX(0,AX210)</f>
        <v/>
      </c>
      <c r="K211" s="24">
        <f>MAX(0,AY210)</f>
        <v/>
      </c>
      <c r="L211" s="24">
        <f>MAX(0,AZ210)</f>
        <v/>
      </c>
      <c r="M211" s="24">
        <f>MAX(0,BA210)</f>
        <v/>
      </c>
      <c r="N211" s="24">
        <f>IF(D211&lt;0.5,0,D211*(1+N('My Loans'!D6)/1200))</f>
        <v/>
      </c>
      <c r="O211" s="24">
        <f>IF(E211&lt;0.5,0,E211*(1+N('My Loans'!D7)/1200))</f>
        <v/>
      </c>
      <c r="P211" s="24">
        <f>IF(F211&lt;0.5,0,F211*(1+N('My Loans'!D8)/1200))</f>
        <v/>
      </c>
      <c r="Q211" s="24">
        <f>IF(G211&lt;0.5,0,G211*(1+N('My Loans'!D9)/1200))</f>
        <v/>
      </c>
      <c r="R211" s="24">
        <f>IF(H211&lt;0.5,0,H211*(1+N('My Loans'!D10)/1200))</f>
        <v/>
      </c>
      <c r="S211" s="24">
        <f>IF(I211&lt;0.5,0,I211*(1+N('My Loans'!D11)/1200))</f>
        <v/>
      </c>
      <c r="T211" s="24">
        <f>IF(J211&lt;0.5,0,J211*(1+N('My Loans'!D12)/1200))</f>
        <v/>
      </c>
      <c r="U211" s="24">
        <f>IF(K211&lt;0.5,0,K211*(1+N('My Loans'!D13)/1200))</f>
        <v/>
      </c>
      <c r="V211" s="24">
        <f>IF(L211&lt;0.5,0,L211*(1+N('My Loans'!D14)/1200))</f>
        <v/>
      </c>
      <c r="W211" s="24">
        <f>IF(M211&lt;0.5,0,M211*(1+N('My Loans'!D15)/1200))</f>
        <v/>
      </c>
      <c r="X211" s="24">
        <f>MIN(N211,N('My Loans'!E6))</f>
        <v/>
      </c>
      <c r="Y211" s="24">
        <f>MIN(O211,N('My Loans'!E7))</f>
        <v/>
      </c>
      <c r="Z211" s="24">
        <f>MIN(P211,N('My Loans'!E8))</f>
        <v/>
      </c>
      <c r="AA211" s="24">
        <f>MIN(Q211,N('My Loans'!E9))</f>
        <v/>
      </c>
      <c r="AB211" s="24">
        <f>MIN(R211,N('My Loans'!E10))</f>
        <v/>
      </c>
      <c r="AC211" s="24">
        <f>MIN(S211,N('My Loans'!E11))</f>
        <v/>
      </c>
      <c r="AD211" s="24">
        <f>MIN(T211,N('My Loans'!E12))</f>
        <v/>
      </c>
      <c r="AE211" s="24">
        <f>MIN(U211,N('My Loans'!E13))</f>
        <v/>
      </c>
      <c r="AF211" s="24">
        <f>MIN(V211,N('My Loans'!E14))</f>
        <v/>
      </c>
      <c r="AG211" s="24">
        <f>MIN(W211,N('My Loans'!E15))</f>
        <v/>
      </c>
      <c r="AH211" s="24">
        <f>MIN(N211-X211,MAX(0,$C211-SUMPRODUCT(($D$3:$M$3&lt;D$3)*($N211:$W211-$X211:$AG211))))</f>
        <v/>
      </c>
      <c r="AI211" s="24">
        <f>MIN(O211-Y211,MAX(0,$C211-SUMPRODUCT(($D$3:$M$3&lt;E$3)*($N211:$W211-$X211:$AG211))))</f>
        <v/>
      </c>
      <c r="AJ211" s="24">
        <f>MIN(P211-Z211,MAX(0,$C211-SUMPRODUCT(($D$3:$M$3&lt;F$3)*($N211:$W211-$X211:$AG211))))</f>
        <v/>
      </c>
      <c r="AK211" s="24">
        <f>MIN(Q211-AA211,MAX(0,$C211-SUMPRODUCT(($D$3:$M$3&lt;G$3)*($N211:$W211-$X211:$AG211))))</f>
        <v/>
      </c>
      <c r="AL211" s="24">
        <f>MIN(R211-AB211,MAX(0,$C211-SUMPRODUCT(($D$3:$M$3&lt;H$3)*($N211:$W211-$X211:$AG211))))</f>
        <v/>
      </c>
      <c r="AM211" s="24">
        <f>MIN(S211-AC211,MAX(0,$C211-SUMPRODUCT(($D$3:$M$3&lt;I$3)*($N211:$W211-$X211:$AG211))))</f>
        <v/>
      </c>
      <c r="AN211" s="24">
        <f>MIN(T211-AD211,MAX(0,$C211-SUMPRODUCT(($D$3:$M$3&lt;J$3)*($N211:$W211-$X211:$AG211))))</f>
        <v/>
      </c>
      <c r="AO211" s="24">
        <f>MIN(U211-AE211,MAX(0,$C211-SUMPRODUCT(($D$3:$M$3&lt;K$3)*($N211:$W211-$X211:$AG211))))</f>
        <v/>
      </c>
      <c r="AP211" s="24">
        <f>MIN(V211-AF211,MAX(0,$C211-SUMPRODUCT(($D$3:$M$3&lt;L$3)*($N211:$W211-$X211:$AG211))))</f>
        <v/>
      </c>
      <c r="AQ211" s="24">
        <f>MIN(W211-AG211,MAX(0,$C211-SUMPRODUCT(($D$3:$M$3&lt;M$3)*($N211:$W211-$X211:$AG211))))</f>
        <v/>
      </c>
      <c r="AR211" s="24">
        <f>ROUND(N211-X211-AH211,2)</f>
        <v/>
      </c>
      <c r="AS211" s="24">
        <f>ROUND(O211-Y211-AI211,2)</f>
        <v/>
      </c>
      <c r="AT211" s="24">
        <f>ROUND(P211-Z211-AJ211,2)</f>
        <v/>
      </c>
      <c r="AU211" s="24">
        <f>ROUND(Q211-AA211-AK211,2)</f>
        <v/>
      </c>
      <c r="AV211" s="24">
        <f>ROUND(R211-AB211-AL211,2)</f>
        <v/>
      </c>
      <c r="AW211" s="24">
        <f>ROUND(S211-AC211-AM211,2)</f>
        <v/>
      </c>
      <c r="AX211" s="24">
        <f>ROUND(T211-AD211-AN211,2)</f>
        <v/>
      </c>
      <c r="AY211" s="24">
        <f>ROUND(U211-AE211-AO211,2)</f>
        <v/>
      </c>
      <c r="AZ211" s="24">
        <f>ROUND(V211-AF211-AP211,2)</f>
        <v/>
      </c>
      <c r="BA211" s="24">
        <f>ROUND(W211-AG211-AQ211,2)</f>
        <v/>
      </c>
      <c r="BB211" s="24">
        <f>SUM(AR211:BA211)</f>
        <v/>
      </c>
    </row>
    <row r="212">
      <c r="A212" t="n">
        <v>208</v>
      </c>
      <c r="B212" s="23">
        <f>EOMONTH(TODAY(),207)</f>
        <v/>
      </c>
      <c r="C212" s="24">
        <f>MAX(0,(SUM('My Loans'!$E$6:$E$15)+'My Loans'!$D$3)-SUM($X212:$AG212))</f>
        <v/>
      </c>
      <c r="D212" s="24">
        <f>MAX(0,AR211)</f>
        <v/>
      </c>
      <c r="E212" s="24">
        <f>MAX(0,AS211)</f>
        <v/>
      </c>
      <c r="F212" s="24">
        <f>MAX(0,AT211)</f>
        <v/>
      </c>
      <c r="G212" s="24">
        <f>MAX(0,AU211)</f>
        <v/>
      </c>
      <c r="H212" s="24">
        <f>MAX(0,AV211)</f>
        <v/>
      </c>
      <c r="I212" s="24">
        <f>MAX(0,AW211)</f>
        <v/>
      </c>
      <c r="J212" s="24">
        <f>MAX(0,AX211)</f>
        <v/>
      </c>
      <c r="K212" s="24">
        <f>MAX(0,AY211)</f>
        <v/>
      </c>
      <c r="L212" s="24">
        <f>MAX(0,AZ211)</f>
        <v/>
      </c>
      <c r="M212" s="24">
        <f>MAX(0,BA211)</f>
        <v/>
      </c>
      <c r="N212" s="24">
        <f>IF(D212&lt;0.5,0,D212*(1+N('My Loans'!D6)/1200))</f>
        <v/>
      </c>
      <c r="O212" s="24">
        <f>IF(E212&lt;0.5,0,E212*(1+N('My Loans'!D7)/1200))</f>
        <v/>
      </c>
      <c r="P212" s="24">
        <f>IF(F212&lt;0.5,0,F212*(1+N('My Loans'!D8)/1200))</f>
        <v/>
      </c>
      <c r="Q212" s="24">
        <f>IF(G212&lt;0.5,0,G212*(1+N('My Loans'!D9)/1200))</f>
        <v/>
      </c>
      <c r="R212" s="24">
        <f>IF(H212&lt;0.5,0,H212*(1+N('My Loans'!D10)/1200))</f>
        <v/>
      </c>
      <c r="S212" s="24">
        <f>IF(I212&lt;0.5,0,I212*(1+N('My Loans'!D11)/1200))</f>
        <v/>
      </c>
      <c r="T212" s="24">
        <f>IF(J212&lt;0.5,0,J212*(1+N('My Loans'!D12)/1200))</f>
        <v/>
      </c>
      <c r="U212" s="24">
        <f>IF(K212&lt;0.5,0,K212*(1+N('My Loans'!D13)/1200))</f>
        <v/>
      </c>
      <c r="V212" s="24">
        <f>IF(L212&lt;0.5,0,L212*(1+N('My Loans'!D14)/1200))</f>
        <v/>
      </c>
      <c r="W212" s="24">
        <f>IF(M212&lt;0.5,0,M212*(1+N('My Loans'!D15)/1200))</f>
        <v/>
      </c>
      <c r="X212" s="24">
        <f>MIN(N212,N('My Loans'!E6))</f>
        <v/>
      </c>
      <c r="Y212" s="24">
        <f>MIN(O212,N('My Loans'!E7))</f>
        <v/>
      </c>
      <c r="Z212" s="24">
        <f>MIN(P212,N('My Loans'!E8))</f>
        <v/>
      </c>
      <c r="AA212" s="24">
        <f>MIN(Q212,N('My Loans'!E9))</f>
        <v/>
      </c>
      <c r="AB212" s="24">
        <f>MIN(R212,N('My Loans'!E10))</f>
        <v/>
      </c>
      <c r="AC212" s="24">
        <f>MIN(S212,N('My Loans'!E11))</f>
        <v/>
      </c>
      <c r="AD212" s="24">
        <f>MIN(T212,N('My Loans'!E12))</f>
        <v/>
      </c>
      <c r="AE212" s="24">
        <f>MIN(U212,N('My Loans'!E13))</f>
        <v/>
      </c>
      <c r="AF212" s="24">
        <f>MIN(V212,N('My Loans'!E14))</f>
        <v/>
      </c>
      <c r="AG212" s="24">
        <f>MIN(W212,N('My Loans'!E15))</f>
        <v/>
      </c>
      <c r="AH212" s="24">
        <f>MIN(N212-X212,MAX(0,$C212-SUMPRODUCT(($D$3:$M$3&lt;D$3)*($N212:$W212-$X212:$AG212))))</f>
        <v/>
      </c>
      <c r="AI212" s="24">
        <f>MIN(O212-Y212,MAX(0,$C212-SUMPRODUCT(($D$3:$M$3&lt;E$3)*($N212:$W212-$X212:$AG212))))</f>
        <v/>
      </c>
      <c r="AJ212" s="24">
        <f>MIN(P212-Z212,MAX(0,$C212-SUMPRODUCT(($D$3:$M$3&lt;F$3)*($N212:$W212-$X212:$AG212))))</f>
        <v/>
      </c>
      <c r="AK212" s="24">
        <f>MIN(Q212-AA212,MAX(0,$C212-SUMPRODUCT(($D$3:$M$3&lt;G$3)*($N212:$W212-$X212:$AG212))))</f>
        <v/>
      </c>
      <c r="AL212" s="24">
        <f>MIN(R212-AB212,MAX(0,$C212-SUMPRODUCT(($D$3:$M$3&lt;H$3)*($N212:$W212-$X212:$AG212))))</f>
        <v/>
      </c>
      <c r="AM212" s="24">
        <f>MIN(S212-AC212,MAX(0,$C212-SUMPRODUCT(($D$3:$M$3&lt;I$3)*($N212:$W212-$X212:$AG212))))</f>
        <v/>
      </c>
      <c r="AN212" s="24">
        <f>MIN(T212-AD212,MAX(0,$C212-SUMPRODUCT(($D$3:$M$3&lt;J$3)*($N212:$W212-$X212:$AG212))))</f>
        <v/>
      </c>
      <c r="AO212" s="24">
        <f>MIN(U212-AE212,MAX(0,$C212-SUMPRODUCT(($D$3:$M$3&lt;K$3)*($N212:$W212-$X212:$AG212))))</f>
        <v/>
      </c>
      <c r="AP212" s="24">
        <f>MIN(V212-AF212,MAX(0,$C212-SUMPRODUCT(($D$3:$M$3&lt;L$3)*($N212:$W212-$X212:$AG212))))</f>
        <v/>
      </c>
      <c r="AQ212" s="24">
        <f>MIN(W212-AG212,MAX(0,$C212-SUMPRODUCT(($D$3:$M$3&lt;M$3)*($N212:$W212-$X212:$AG212))))</f>
        <v/>
      </c>
      <c r="AR212" s="24">
        <f>ROUND(N212-X212-AH212,2)</f>
        <v/>
      </c>
      <c r="AS212" s="24">
        <f>ROUND(O212-Y212-AI212,2)</f>
        <v/>
      </c>
      <c r="AT212" s="24">
        <f>ROUND(P212-Z212-AJ212,2)</f>
        <v/>
      </c>
      <c r="AU212" s="24">
        <f>ROUND(Q212-AA212-AK212,2)</f>
        <v/>
      </c>
      <c r="AV212" s="24">
        <f>ROUND(R212-AB212-AL212,2)</f>
        <v/>
      </c>
      <c r="AW212" s="24">
        <f>ROUND(S212-AC212-AM212,2)</f>
        <v/>
      </c>
      <c r="AX212" s="24">
        <f>ROUND(T212-AD212-AN212,2)</f>
        <v/>
      </c>
      <c r="AY212" s="24">
        <f>ROUND(U212-AE212-AO212,2)</f>
        <v/>
      </c>
      <c r="AZ212" s="24">
        <f>ROUND(V212-AF212-AP212,2)</f>
        <v/>
      </c>
      <c r="BA212" s="24">
        <f>ROUND(W212-AG212-AQ212,2)</f>
        <v/>
      </c>
      <c r="BB212" s="24">
        <f>SUM(AR212:BA212)</f>
        <v/>
      </c>
    </row>
    <row r="213">
      <c r="A213" t="n">
        <v>209</v>
      </c>
      <c r="B213" s="23">
        <f>EOMONTH(TODAY(),208)</f>
        <v/>
      </c>
      <c r="C213" s="24">
        <f>MAX(0,(SUM('My Loans'!$E$6:$E$15)+'My Loans'!$D$3)-SUM($X213:$AG213))</f>
        <v/>
      </c>
      <c r="D213" s="24">
        <f>MAX(0,AR212)</f>
        <v/>
      </c>
      <c r="E213" s="24">
        <f>MAX(0,AS212)</f>
        <v/>
      </c>
      <c r="F213" s="24">
        <f>MAX(0,AT212)</f>
        <v/>
      </c>
      <c r="G213" s="24">
        <f>MAX(0,AU212)</f>
        <v/>
      </c>
      <c r="H213" s="24">
        <f>MAX(0,AV212)</f>
        <v/>
      </c>
      <c r="I213" s="24">
        <f>MAX(0,AW212)</f>
        <v/>
      </c>
      <c r="J213" s="24">
        <f>MAX(0,AX212)</f>
        <v/>
      </c>
      <c r="K213" s="24">
        <f>MAX(0,AY212)</f>
        <v/>
      </c>
      <c r="L213" s="24">
        <f>MAX(0,AZ212)</f>
        <v/>
      </c>
      <c r="M213" s="24">
        <f>MAX(0,BA212)</f>
        <v/>
      </c>
      <c r="N213" s="24">
        <f>IF(D213&lt;0.5,0,D213*(1+N('My Loans'!D6)/1200))</f>
        <v/>
      </c>
      <c r="O213" s="24">
        <f>IF(E213&lt;0.5,0,E213*(1+N('My Loans'!D7)/1200))</f>
        <v/>
      </c>
      <c r="P213" s="24">
        <f>IF(F213&lt;0.5,0,F213*(1+N('My Loans'!D8)/1200))</f>
        <v/>
      </c>
      <c r="Q213" s="24">
        <f>IF(G213&lt;0.5,0,G213*(1+N('My Loans'!D9)/1200))</f>
        <v/>
      </c>
      <c r="R213" s="24">
        <f>IF(H213&lt;0.5,0,H213*(1+N('My Loans'!D10)/1200))</f>
        <v/>
      </c>
      <c r="S213" s="24">
        <f>IF(I213&lt;0.5,0,I213*(1+N('My Loans'!D11)/1200))</f>
        <v/>
      </c>
      <c r="T213" s="24">
        <f>IF(J213&lt;0.5,0,J213*(1+N('My Loans'!D12)/1200))</f>
        <v/>
      </c>
      <c r="U213" s="24">
        <f>IF(K213&lt;0.5,0,K213*(1+N('My Loans'!D13)/1200))</f>
        <v/>
      </c>
      <c r="V213" s="24">
        <f>IF(L213&lt;0.5,0,L213*(1+N('My Loans'!D14)/1200))</f>
        <v/>
      </c>
      <c r="W213" s="24">
        <f>IF(M213&lt;0.5,0,M213*(1+N('My Loans'!D15)/1200))</f>
        <v/>
      </c>
      <c r="X213" s="24">
        <f>MIN(N213,N('My Loans'!E6))</f>
        <v/>
      </c>
      <c r="Y213" s="24">
        <f>MIN(O213,N('My Loans'!E7))</f>
        <v/>
      </c>
      <c r="Z213" s="24">
        <f>MIN(P213,N('My Loans'!E8))</f>
        <v/>
      </c>
      <c r="AA213" s="24">
        <f>MIN(Q213,N('My Loans'!E9))</f>
        <v/>
      </c>
      <c r="AB213" s="24">
        <f>MIN(R213,N('My Loans'!E10))</f>
        <v/>
      </c>
      <c r="AC213" s="24">
        <f>MIN(S213,N('My Loans'!E11))</f>
        <v/>
      </c>
      <c r="AD213" s="24">
        <f>MIN(T213,N('My Loans'!E12))</f>
        <v/>
      </c>
      <c r="AE213" s="24">
        <f>MIN(U213,N('My Loans'!E13))</f>
        <v/>
      </c>
      <c r="AF213" s="24">
        <f>MIN(V213,N('My Loans'!E14))</f>
        <v/>
      </c>
      <c r="AG213" s="24">
        <f>MIN(W213,N('My Loans'!E15))</f>
        <v/>
      </c>
      <c r="AH213" s="24">
        <f>MIN(N213-X213,MAX(0,$C213-SUMPRODUCT(($D$3:$M$3&lt;D$3)*($N213:$W213-$X213:$AG213))))</f>
        <v/>
      </c>
      <c r="AI213" s="24">
        <f>MIN(O213-Y213,MAX(0,$C213-SUMPRODUCT(($D$3:$M$3&lt;E$3)*($N213:$W213-$X213:$AG213))))</f>
        <v/>
      </c>
      <c r="AJ213" s="24">
        <f>MIN(P213-Z213,MAX(0,$C213-SUMPRODUCT(($D$3:$M$3&lt;F$3)*($N213:$W213-$X213:$AG213))))</f>
        <v/>
      </c>
      <c r="AK213" s="24">
        <f>MIN(Q213-AA213,MAX(0,$C213-SUMPRODUCT(($D$3:$M$3&lt;G$3)*($N213:$W213-$X213:$AG213))))</f>
        <v/>
      </c>
      <c r="AL213" s="24">
        <f>MIN(R213-AB213,MAX(0,$C213-SUMPRODUCT(($D$3:$M$3&lt;H$3)*($N213:$W213-$X213:$AG213))))</f>
        <v/>
      </c>
      <c r="AM213" s="24">
        <f>MIN(S213-AC213,MAX(0,$C213-SUMPRODUCT(($D$3:$M$3&lt;I$3)*($N213:$W213-$X213:$AG213))))</f>
        <v/>
      </c>
      <c r="AN213" s="24">
        <f>MIN(T213-AD213,MAX(0,$C213-SUMPRODUCT(($D$3:$M$3&lt;J$3)*($N213:$W213-$X213:$AG213))))</f>
        <v/>
      </c>
      <c r="AO213" s="24">
        <f>MIN(U213-AE213,MAX(0,$C213-SUMPRODUCT(($D$3:$M$3&lt;K$3)*($N213:$W213-$X213:$AG213))))</f>
        <v/>
      </c>
      <c r="AP213" s="24">
        <f>MIN(V213-AF213,MAX(0,$C213-SUMPRODUCT(($D$3:$M$3&lt;L$3)*($N213:$W213-$X213:$AG213))))</f>
        <v/>
      </c>
      <c r="AQ213" s="24">
        <f>MIN(W213-AG213,MAX(0,$C213-SUMPRODUCT(($D$3:$M$3&lt;M$3)*($N213:$W213-$X213:$AG213))))</f>
        <v/>
      </c>
      <c r="AR213" s="24">
        <f>ROUND(N213-X213-AH213,2)</f>
        <v/>
      </c>
      <c r="AS213" s="24">
        <f>ROUND(O213-Y213-AI213,2)</f>
        <v/>
      </c>
      <c r="AT213" s="24">
        <f>ROUND(P213-Z213-AJ213,2)</f>
        <v/>
      </c>
      <c r="AU213" s="24">
        <f>ROUND(Q213-AA213-AK213,2)</f>
        <v/>
      </c>
      <c r="AV213" s="24">
        <f>ROUND(R213-AB213-AL213,2)</f>
        <v/>
      </c>
      <c r="AW213" s="24">
        <f>ROUND(S213-AC213-AM213,2)</f>
        <v/>
      </c>
      <c r="AX213" s="24">
        <f>ROUND(T213-AD213-AN213,2)</f>
        <v/>
      </c>
      <c r="AY213" s="24">
        <f>ROUND(U213-AE213-AO213,2)</f>
        <v/>
      </c>
      <c r="AZ213" s="24">
        <f>ROUND(V213-AF213-AP213,2)</f>
        <v/>
      </c>
      <c r="BA213" s="24">
        <f>ROUND(W213-AG213-AQ213,2)</f>
        <v/>
      </c>
      <c r="BB213" s="24">
        <f>SUM(AR213:BA213)</f>
        <v/>
      </c>
    </row>
    <row r="214">
      <c r="A214" t="n">
        <v>210</v>
      </c>
      <c r="B214" s="23">
        <f>EOMONTH(TODAY(),209)</f>
        <v/>
      </c>
      <c r="C214" s="24">
        <f>MAX(0,(SUM('My Loans'!$E$6:$E$15)+'My Loans'!$D$3)-SUM($X214:$AG214))</f>
        <v/>
      </c>
      <c r="D214" s="24">
        <f>MAX(0,AR213)</f>
        <v/>
      </c>
      <c r="E214" s="24">
        <f>MAX(0,AS213)</f>
        <v/>
      </c>
      <c r="F214" s="24">
        <f>MAX(0,AT213)</f>
        <v/>
      </c>
      <c r="G214" s="24">
        <f>MAX(0,AU213)</f>
        <v/>
      </c>
      <c r="H214" s="24">
        <f>MAX(0,AV213)</f>
        <v/>
      </c>
      <c r="I214" s="24">
        <f>MAX(0,AW213)</f>
        <v/>
      </c>
      <c r="J214" s="24">
        <f>MAX(0,AX213)</f>
        <v/>
      </c>
      <c r="K214" s="24">
        <f>MAX(0,AY213)</f>
        <v/>
      </c>
      <c r="L214" s="24">
        <f>MAX(0,AZ213)</f>
        <v/>
      </c>
      <c r="M214" s="24">
        <f>MAX(0,BA213)</f>
        <v/>
      </c>
      <c r="N214" s="24">
        <f>IF(D214&lt;0.5,0,D214*(1+N('My Loans'!D6)/1200))</f>
        <v/>
      </c>
      <c r="O214" s="24">
        <f>IF(E214&lt;0.5,0,E214*(1+N('My Loans'!D7)/1200))</f>
        <v/>
      </c>
      <c r="P214" s="24">
        <f>IF(F214&lt;0.5,0,F214*(1+N('My Loans'!D8)/1200))</f>
        <v/>
      </c>
      <c r="Q214" s="24">
        <f>IF(G214&lt;0.5,0,G214*(1+N('My Loans'!D9)/1200))</f>
        <v/>
      </c>
      <c r="R214" s="24">
        <f>IF(H214&lt;0.5,0,H214*(1+N('My Loans'!D10)/1200))</f>
        <v/>
      </c>
      <c r="S214" s="24">
        <f>IF(I214&lt;0.5,0,I214*(1+N('My Loans'!D11)/1200))</f>
        <v/>
      </c>
      <c r="T214" s="24">
        <f>IF(J214&lt;0.5,0,J214*(1+N('My Loans'!D12)/1200))</f>
        <v/>
      </c>
      <c r="U214" s="24">
        <f>IF(K214&lt;0.5,0,K214*(1+N('My Loans'!D13)/1200))</f>
        <v/>
      </c>
      <c r="V214" s="24">
        <f>IF(L214&lt;0.5,0,L214*(1+N('My Loans'!D14)/1200))</f>
        <v/>
      </c>
      <c r="W214" s="24">
        <f>IF(M214&lt;0.5,0,M214*(1+N('My Loans'!D15)/1200))</f>
        <v/>
      </c>
      <c r="X214" s="24">
        <f>MIN(N214,N('My Loans'!E6))</f>
        <v/>
      </c>
      <c r="Y214" s="24">
        <f>MIN(O214,N('My Loans'!E7))</f>
        <v/>
      </c>
      <c r="Z214" s="24">
        <f>MIN(P214,N('My Loans'!E8))</f>
        <v/>
      </c>
      <c r="AA214" s="24">
        <f>MIN(Q214,N('My Loans'!E9))</f>
        <v/>
      </c>
      <c r="AB214" s="24">
        <f>MIN(R214,N('My Loans'!E10))</f>
        <v/>
      </c>
      <c r="AC214" s="24">
        <f>MIN(S214,N('My Loans'!E11))</f>
        <v/>
      </c>
      <c r="AD214" s="24">
        <f>MIN(T214,N('My Loans'!E12))</f>
        <v/>
      </c>
      <c r="AE214" s="24">
        <f>MIN(U214,N('My Loans'!E13))</f>
        <v/>
      </c>
      <c r="AF214" s="24">
        <f>MIN(V214,N('My Loans'!E14))</f>
        <v/>
      </c>
      <c r="AG214" s="24">
        <f>MIN(W214,N('My Loans'!E15))</f>
        <v/>
      </c>
      <c r="AH214" s="24">
        <f>MIN(N214-X214,MAX(0,$C214-SUMPRODUCT(($D$3:$M$3&lt;D$3)*($N214:$W214-$X214:$AG214))))</f>
        <v/>
      </c>
      <c r="AI214" s="24">
        <f>MIN(O214-Y214,MAX(0,$C214-SUMPRODUCT(($D$3:$M$3&lt;E$3)*($N214:$W214-$X214:$AG214))))</f>
        <v/>
      </c>
      <c r="AJ214" s="24">
        <f>MIN(P214-Z214,MAX(0,$C214-SUMPRODUCT(($D$3:$M$3&lt;F$3)*($N214:$W214-$X214:$AG214))))</f>
        <v/>
      </c>
      <c r="AK214" s="24">
        <f>MIN(Q214-AA214,MAX(0,$C214-SUMPRODUCT(($D$3:$M$3&lt;G$3)*($N214:$W214-$X214:$AG214))))</f>
        <v/>
      </c>
      <c r="AL214" s="24">
        <f>MIN(R214-AB214,MAX(0,$C214-SUMPRODUCT(($D$3:$M$3&lt;H$3)*($N214:$W214-$X214:$AG214))))</f>
        <v/>
      </c>
      <c r="AM214" s="24">
        <f>MIN(S214-AC214,MAX(0,$C214-SUMPRODUCT(($D$3:$M$3&lt;I$3)*($N214:$W214-$X214:$AG214))))</f>
        <v/>
      </c>
      <c r="AN214" s="24">
        <f>MIN(T214-AD214,MAX(0,$C214-SUMPRODUCT(($D$3:$M$3&lt;J$3)*($N214:$W214-$X214:$AG214))))</f>
        <v/>
      </c>
      <c r="AO214" s="24">
        <f>MIN(U214-AE214,MAX(0,$C214-SUMPRODUCT(($D$3:$M$3&lt;K$3)*($N214:$W214-$X214:$AG214))))</f>
        <v/>
      </c>
      <c r="AP214" s="24">
        <f>MIN(V214-AF214,MAX(0,$C214-SUMPRODUCT(($D$3:$M$3&lt;L$3)*($N214:$W214-$X214:$AG214))))</f>
        <v/>
      </c>
      <c r="AQ214" s="24">
        <f>MIN(W214-AG214,MAX(0,$C214-SUMPRODUCT(($D$3:$M$3&lt;M$3)*($N214:$W214-$X214:$AG214))))</f>
        <v/>
      </c>
      <c r="AR214" s="24">
        <f>ROUND(N214-X214-AH214,2)</f>
        <v/>
      </c>
      <c r="AS214" s="24">
        <f>ROUND(O214-Y214-AI214,2)</f>
        <v/>
      </c>
      <c r="AT214" s="24">
        <f>ROUND(P214-Z214-AJ214,2)</f>
        <v/>
      </c>
      <c r="AU214" s="24">
        <f>ROUND(Q214-AA214-AK214,2)</f>
        <v/>
      </c>
      <c r="AV214" s="24">
        <f>ROUND(R214-AB214-AL214,2)</f>
        <v/>
      </c>
      <c r="AW214" s="24">
        <f>ROUND(S214-AC214-AM214,2)</f>
        <v/>
      </c>
      <c r="AX214" s="24">
        <f>ROUND(T214-AD214-AN214,2)</f>
        <v/>
      </c>
      <c r="AY214" s="24">
        <f>ROUND(U214-AE214-AO214,2)</f>
        <v/>
      </c>
      <c r="AZ214" s="24">
        <f>ROUND(V214-AF214-AP214,2)</f>
        <v/>
      </c>
      <c r="BA214" s="24">
        <f>ROUND(W214-AG214-AQ214,2)</f>
        <v/>
      </c>
      <c r="BB214" s="24">
        <f>SUM(AR214:BA214)</f>
        <v/>
      </c>
    </row>
    <row r="215">
      <c r="A215" t="n">
        <v>211</v>
      </c>
      <c r="B215" s="23">
        <f>EOMONTH(TODAY(),210)</f>
        <v/>
      </c>
      <c r="C215" s="24">
        <f>MAX(0,(SUM('My Loans'!$E$6:$E$15)+'My Loans'!$D$3)-SUM($X215:$AG215))</f>
        <v/>
      </c>
      <c r="D215" s="24">
        <f>MAX(0,AR214)</f>
        <v/>
      </c>
      <c r="E215" s="24">
        <f>MAX(0,AS214)</f>
        <v/>
      </c>
      <c r="F215" s="24">
        <f>MAX(0,AT214)</f>
        <v/>
      </c>
      <c r="G215" s="24">
        <f>MAX(0,AU214)</f>
        <v/>
      </c>
      <c r="H215" s="24">
        <f>MAX(0,AV214)</f>
        <v/>
      </c>
      <c r="I215" s="24">
        <f>MAX(0,AW214)</f>
        <v/>
      </c>
      <c r="J215" s="24">
        <f>MAX(0,AX214)</f>
        <v/>
      </c>
      <c r="K215" s="24">
        <f>MAX(0,AY214)</f>
        <v/>
      </c>
      <c r="L215" s="24">
        <f>MAX(0,AZ214)</f>
        <v/>
      </c>
      <c r="M215" s="24">
        <f>MAX(0,BA214)</f>
        <v/>
      </c>
      <c r="N215" s="24">
        <f>IF(D215&lt;0.5,0,D215*(1+N('My Loans'!D6)/1200))</f>
        <v/>
      </c>
      <c r="O215" s="24">
        <f>IF(E215&lt;0.5,0,E215*(1+N('My Loans'!D7)/1200))</f>
        <v/>
      </c>
      <c r="P215" s="24">
        <f>IF(F215&lt;0.5,0,F215*(1+N('My Loans'!D8)/1200))</f>
        <v/>
      </c>
      <c r="Q215" s="24">
        <f>IF(G215&lt;0.5,0,G215*(1+N('My Loans'!D9)/1200))</f>
        <v/>
      </c>
      <c r="R215" s="24">
        <f>IF(H215&lt;0.5,0,H215*(1+N('My Loans'!D10)/1200))</f>
        <v/>
      </c>
      <c r="S215" s="24">
        <f>IF(I215&lt;0.5,0,I215*(1+N('My Loans'!D11)/1200))</f>
        <v/>
      </c>
      <c r="T215" s="24">
        <f>IF(J215&lt;0.5,0,J215*(1+N('My Loans'!D12)/1200))</f>
        <v/>
      </c>
      <c r="U215" s="24">
        <f>IF(K215&lt;0.5,0,K215*(1+N('My Loans'!D13)/1200))</f>
        <v/>
      </c>
      <c r="V215" s="24">
        <f>IF(L215&lt;0.5,0,L215*(1+N('My Loans'!D14)/1200))</f>
        <v/>
      </c>
      <c r="W215" s="24">
        <f>IF(M215&lt;0.5,0,M215*(1+N('My Loans'!D15)/1200))</f>
        <v/>
      </c>
      <c r="X215" s="24">
        <f>MIN(N215,N('My Loans'!E6))</f>
        <v/>
      </c>
      <c r="Y215" s="24">
        <f>MIN(O215,N('My Loans'!E7))</f>
        <v/>
      </c>
      <c r="Z215" s="24">
        <f>MIN(P215,N('My Loans'!E8))</f>
        <v/>
      </c>
      <c r="AA215" s="24">
        <f>MIN(Q215,N('My Loans'!E9))</f>
        <v/>
      </c>
      <c r="AB215" s="24">
        <f>MIN(R215,N('My Loans'!E10))</f>
        <v/>
      </c>
      <c r="AC215" s="24">
        <f>MIN(S215,N('My Loans'!E11))</f>
        <v/>
      </c>
      <c r="AD215" s="24">
        <f>MIN(T215,N('My Loans'!E12))</f>
        <v/>
      </c>
      <c r="AE215" s="24">
        <f>MIN(U215,N('My Loans'!E13))</f>
        <v/>
      </c>
      <c r="AF215" s="24">
        <f>MIN(V215,N('My Loans'!E14))</f>
        <v/>
      </c>
      <c r="AG215" s="24">
        <f>MIN(W215,N('My Loans'!E15))</f>
        <v/>
      </c>
      <c r="AH215" s="24">
        <f>MIN(N215-X215,MAX(0,$C215-SUMPRODUCT(($D$3:$M$3&lt;D$3)*($N215:$W215-$X215:$AG215))))</f>
        <v/>
      </c>
      <c r="AI215" s="24">
        <f>MIN(O215-Y215,MAX(0,$C215-SUMPRODUCT(($D$3:$M$3&lt;E$3)*($N215:$W215-$X215:$AG215))))</f>
        <v/>
      </c>
      <c r="AJ215" s="24">
        <f>MIN(P215-Z215,MAX(0,$C215-SUMPRODUCT(($D$3:$M$3&lt;F$3)*($N215:$W215-$X215:$AG215))))</f>
        <v/>
      </c>
      <c r="AK215" s="24">
        <f>MIN(Q215-AA215,MAX(0,$C215-SUMPRODUCT(($D$3:$M$3&lt;G$3)*($N215:$W215-$X215:$AG215))))</f>
        <v/>
      </c>
      <c r="AL215" s="24">
        <f>MIN(R215-AB215,MAX(0,$C215-SUMPRODUCT(($D$3:$M$3&lt;H$3)*($N215:$W215-$X215:$AG215))))</f>
        <v/>
      </c>
      <c r="AM215" s="24">
        <f>MIN(S215-AC215,MAX(0,$C215-SUMPRODUCT(($D$3:$M$3&lt;I$3)*($N215:$W215-$X215:$AG215))))</f>
        <v/>
      </c>
      <c r="AN215" s="24">
        <f>MIN(T215-AD215,MAX(0,$C215-SUMPRODUCT(($D$3:$M$3&lt;J$3)*($N215:$W215-$X215:$AG215))))</f>
        <v/>
      </c>
      <c r="AO215" s="24">
        <f>MIN(U215-AE215,MAX(0,$C215-SUMPRODUCT(($D$3:$M$3&lt;K$3)*($N215:$W215-$X215:$AG215))))</f>
        <v/>
      </c>
      <c r="AP215" s="24">
        <f>MIN(V215-AF215,MAX(0,$C215-SUMPRODUCT(($D$3:$M$3&lt;L$3)*($N215:$W215-$X215:$AG215))))</f>
        <v/>
      </c>
      <c r="AQ215" s="24">
        <f>MIN(W215-AG215,MAX(0,$C215-SUMPRODUCT(($D$3:$M$3&lt;M$3)*($N215:$W215-$X215:$AG215))))</f>
        <v/>
      </c>
      <c r="AR215" s="24">
        <f>ROUND(N215-X215-AH215,2)</f>
        <v/>
      </c>
      <c r="AS215" s="24">
        <f>ROUND(O215-Y215-AI215,2)</f>
        <v/>
      </c>
      <c r="AT215" s="24">
        <f>ROUND(P215-Z215-AJ215,2)</f>
        <v/>
      </c>
      <c r="AU215" s="24">
        <f>ROUND(Q215-AA215-AK215,2)</f>
        <v/>
      </c>
      <c r="AV215" s="24">
        <f>ROUND(R215-AB215-AL215,2)</f>
        <v/>
      </c>
      <c r="AW215" s="24">
        <f>ROUND(S215-AC215-AM215,2)</f>
        <v/>
      </c>
      <c r="AX215" s="24">
        <f>ROUND(T215-AD215-AN215,2)</f>
        <v/>
      </c>
      <c r="AY215" s="24">
        <f>ROUND(U215-AE215-AO215,2)</f>
        <v/>
      </c>
      <c r="AZ215" s="24">
        <f>ROUND(V215-AF215-AP215,2)</f>
        <v/>
      </c>
      <c r="BA215" s="24">
        <f>ROUND(W215-AG215-AQ215,2)</f>
        <v/>
      </c>
      <c r="BB215" s="24">
        <f>SUM(AR215:BA215)</f>
        <v/>
      </c>
    </row>
    <row r="216">
      <c r="A216" t="n">
        <v>212</v>
      </c>
      <c r="B216" s="23">
        <f>EOMONTH(TODAY(),211)</f>
        <v/>
      </c>
      <c r="C216" s="24">
        <f>MAX(0,(SUM('My Loans'!$E$6:$E$15)+'My Loans'!$D$3)-SUM($X216:$AG216))</f>
        <v/>
      </c>
      <c r="D216" s="24">
        <f>MAX(0,AR215)</f>
        <v/>
      </c>
      <c r="E216" s="24">
        <f>MAX(0,AS215)</f>
        <v/>
      </c>
      <c r="F216" s="24">
        <f>MAX(0,AT215)</f>
        <v/>
      </c>
      <c r="G216" s="24">
        <f>MAX(0,AU215)</f>
        <v/>
      </c>
      <c r="H216" s="24">
        <f>MAX(0,AV215)</f>
        <v/>
      </c>
      <c r="I216" s="24">
        <f>MAX(0,AW215)</f>
        <v/>
      </c>
      <c r="J216" s="24">
        <f>MAX(0,AX215)</f>
        <v/>
      </c>
      <c r="K216" s="24">
        <f>MAX(0,AY215)</f>
        <v/>
      </c>
      <c r="L216" s="24">
        <f>MAX(0,AZ215)</f>
        <v/>
      </c>
      <c r="M216" s="24">
        <f>MAX(0,BA215)</f>
        <v/>
      </c>
      <c r="N216" s="24">
        <f>IF(D216&lt;0.5,0,D216*(1+N('My Loans'!D6)/1200))</f>
        <v/>
      </c>
      <c r="O216" s="24">
        <f>IF(E216&lt;0.5,0,E216*(1+N('My Loans'!D7)/1200))</f>
        <v/>
      </c>
      <c r="P216" s="24">
        <f>IF(F216&lt;0.5,0,F216*(1+N('My Loans'!D8)/1200))</f>
        <v/>
      </c>
      <c r="Q216" s="24">
        <f>IF(G216&lt;0.5,0,G216*(1+N('My Loans'!D9)/1200))</f>
        <v/>
      </c>
      <c r="R216" s="24">
        <f>IF(H216&lt;0.5,0,H216*(1+N('My Loans'!D10)/1200))</f>
        <v/>
      </c>
      <c r="S216" s="24">
        <f>IF(I216&lt;0.5,0,I216*(1+N('My Loans'!D11)/1200))</f>
        <v/>
      </c>
      <c r="T216" s="24">
        <f>IF(J216&lt;0.5,0,J216*(1+N('My Loans'!D12)/1200))</f>
        <v/>
      </c>
      <c r="U216" s="24">
        <f>IF(K216&lt;0.5,0,K216*(1+N('My Loans'!D13)/1200))</f>
        <v/>
      </c>
      <c r="V216" s="24">
        <f>IF(L216&lt;0.5,0,L216*(1+N('My Loans'!D14)/1200))</f>
        <v/>
      </c>
      <c r="W216" s="24">
        <f>IF(M216&lt;0.5,0,M216*(1+N('My Loans'!D15)/1200))</f>
        <v/>
      </c>
      <c r="X216" s="24">
        <f>MIN(N216,N('My Loans'!E6))</f>
        <v/>
      </c>
      <c r="Y216" s="24">
        <f>MIN(O216,N('My Loans'!E7))</f>
        <v/>
      </c>
      <c r="Z216" s="24">
        <f>MIN(P216,N('My Loans'!E8))</f>
        <v/>
      </c>
      <c r="AA216" s="24">
        <f>MIN(Q216,N('My Loans'!E9))</f>
        <v/>
      </c>
      <c r="AB216" s="24">
        <f>MIN(R216,N('My Loans'!E10))</f>
        <v/>
      </c>
      <c r="AC216" s="24">
        <f>MIN(S216,N('My Loans'!E11))</f>
        <v/>
      </c>
      <c r="AD216" s="24">
        <f>MIN(T216,N('My Loans'!E12))</f>
        <v/>
      </c>
      <c r="AE216" s="24">
        <f>MIN(U216,N('My Loans'!E13))</f>
        <v/>
      </c>
      <c r="AF216" s="24">
        <f>MIN(V216,N('My Loans'!E14))</f>
        <v/>
      </c>
      <c r="AG216" s="24">
        <f>MIN(W216,N('My Loans'!E15))</f>
        <v/>
      </c>
      <c r="AH216" s="24">
        <f>MIN(N216-X216,MAX(0,$C216-SUMPRODUCT(($D$3:$M$3&lt;D$3)*($N216:$W216-$X216:$AG216))))</f>
        <v/>
      </c>
      <c r="AI216" s="24">
        <f>MIN(O216-Y216,MAX(0,$C216-SUMPRODUCT(($D$3:$M$3&lt;E$3)*($N216:$W216-$X216:$AG216))))</f>
        <v/>
      </c>
      <c r="AJ216" s="24">
        <f>MIN(P216-Z216,MAX(0,$C216-SUMPRODUCT(($D$3:$M$3&lt;F$3)*($N216:$W216-$X216:$AG216))))</f>
        <v/>
      </c>
      <c r="AK216" s="24">
        <f>MIN(Q216-AA216,MAX(0,$C216-SUMPRODUCT(($D$3:$M$3&lt;G$3)*($N216:$W216-$X216:$AG216))))</f>
        <v/>
      </c>
      <c r="AL216" s="24">
        <f>MIN(R216-AB216,MAX(0,$C216-SUMPRODUCT(($D$3:$M$3&lt;H$3)*($N216:$W216-$X216:$AG216))))</f>
        <v/>
      </c>
      <c r="AM216" s="24">
        <f>MIN(S216-AC216,MAX(0,$C216-SUMPRODUCT(($D$3:$M$3&lt;I$3)*($N216:$W216-$X216:$AG216))))</f>
        <v/>
      </c>
      <c r="AN216" s="24">
        <f>MIN(T216-AD216,MAX(0,$C216-SUMPRODUCT(($D$3:$M$3&lt;J$3)*($N216:$W216-$X216:$AG216))))</f>
        <v/>
      </c>
      <c r="AO216" s="24">
        <f>MIN(U216-AE216,MAX(0,$C216-SUMPRODUCT(($D$3:$M$3&lt;K$3)*($N216:$W216-$X216:$AG216))))</f>
        <v/>
      </c>
      <c r="AP216" s="24">
        <f>MIN(V216-AF216,MAX(0,$C216-SUMPRODUCT(($D$3:$M$3&lt;L$3)*($N216:$W216-$X216:$AG216))))</f>
        <v/>
      </c>
      <c r="AQ216" s="24">
        <f>MIN(W216-AG216,MAX(0,$C216-SUMPRODUCT(($D$3:$M$3&lt;M$3)*($N216:$W216-$X216:$AG216))))</f>
        <v/>
      </c>
      <c r="AR216" s="24">
        <f>ROUND(N216-X216-AH216,2)</f>
        <v/>
      </c>
      <c r="AS216" s="24">
        <f>ROUND(O216-Y216-AI216,2)</f>
        <v/>
      </c>
      <c r="AT216" s="24">
        <f>ROUND(P216-Z216-AJ216,2)</f>
        <v/>
      </c>
      <c r="AU216" s="24">
        <f>ROUND(Q216-AA216-AK216,2)</f>
        <v/>
      </c>
      <c r="AV216" s="24">
        <f>ROUND(R216-AB216-AL216,2)</f>
        <v/>
      </c>
      <c r="AW216" s="24">
        <f>ROUND(S216-AC216-AM216,2)</f>
        <v/>
      </c>
      <c r="AX216" s="24">
        <f>ROUND(T216-AD216-AN216,2)</f>
        <v/>
      </c>
      <c r="AY216" s="24">
        <f>ROUND(U216-AE216-AO216,2)</f>
        <v/>
      </c>
      <c r="AZ216" s="24">
        <f>ROUND(V216-AF216-AP216,2)</f>
        <v/>
      </c>
      <c r="BA216" s="24">
        <f>ROUND(W216-AG216-AQ216,2)</f>
        <v/>
      </c>
      <c r="BB216" s="24">
        <f>SUM(AR216:BA216)</f>
        <v/>
      </c>
    </row>
    <row r="217">
      <c r="A217" t="n">
        <v>213</v>
      </c>
      <c r="B217" s="23">
        <f>EOMONTH(TODAY(),212)</f>
        <v/>
      </c>
      <c r="C217" s="24">
        <f>MAX(0,(SUM('My Loans'!$E$6:$E$15)+'My Loans'!$D$3)-SUM($X217:$AG217))</f>
        <v/>
      </c>
      <c r="D217" s="24">
        <f>MAX(0,AR216)</f>
        <v/>
      </c>
      <c r="E217" s="24">
        <f>MAX(0,AS216)</f>
        <v/>
      </c>
      <c r="F217" s="24">
        <f>MAX(0,AT216)</f>
        <v/>
      </c>
      <c r="G217" s="24">
        <f>MAX(0,AU216)</f>
        <v/>
      </c>
      <c r="H217" s="24">
        <f>MAX(0,AV216)</f>
        <v/>
      </c>
      <c r="I217" s="24">
        <f>MAX(0,AW216)</f>
        <v/>
      </c>
      <c r="J217" s="24">
        <f>MAX(0,AX216)</f>
        <v/>
      </c>
      <c r="K217" s="24">
        <f>MAX(0,AY216)</f>
        <v/>
      </c>
      <c r="L217" s="24">
        <f>MAX(0,AZ216)</f>
        <v/>
      </c>
      <c r="M217" s="24">
        <f>MAX(0,BA216)</f>
        <v/>
      </c>
      <c r="N217" s="24">
        <f>IF(D217&lt;0.5,0,D217*(1+N('My Loans'!D6)/1200))</f>
        <v/>
      </c>
      <c r="O217" s="24">
        <f>IF(E217&lt;0.5,0,E217*(1+N('My Loans'!D7)/1200))</f>
        <v/>
      </c>
      <c r="P217" s="24">
        <f>IF(F217&lt;0.5,0,F217*(1+N('My Loans'!D8)/1200))</f>
        <v/>
      </c>
      <c r="Q217" s="24">
        <f>IF(G217&lt;0.5,0,G217*(1+N('My Loans'!D9)/1200))</f>
        <v/>
      </c>
      <c r="R217" s="24">
        <f>IF(H217&lt;0.5,0,H217*(1+N('My Loans'!D10)/1200))</f>
        <v/>
      </c>
      <c r="S217" s="24">
        <f>IF(I217&lt;0.5,0,I217*(1+N('My Loans'!D11)/1200))</f>
        <v/>
      </c>
      <c r="T217" s="24">
        <f>IF(J217&lt;0.5,0,J217*(1+N('My Loans'!D12)/1200))</f>
        <v/>
      </c>
      <c r="U217" s="24">
        <f>IF(K217&lt;0.5,0,K217*(1+N('My Loans'!D13)/1200))</f>
        <v/>
      </c>
      <c r="V217" s="24">
        <f>IF(L217&lt;0.5,0,L217*(1+N('My Loans'!D14)/1200))</f>
        <v/>
      </c>
      <c r="W217" s="24">
        <f>IF(M217&lt;0.5,0,M217*(1+N('My Loans'!D15)/1200))</f>
        <v/>
      </c>
      <c r="X217" s="24">
        <f>MIN(N217,N('My Loans'!E6))</f>
        <v/>
      </c>
      <c r="Y217" s="24">
        <f>MIN(O217,N('My Loans'!E7))</f>
        <v/>
      </c>
      <c r="Z217" s="24">
        <f>MIN(P217,N('My Loans'!E8))</f>
        <v/>
      </c>
      <c r="AA217" s="24">
        <f>MIN(Q217,N('My Loans'!E9))</f>
        <v/>
      </c>
      <c r="AB217" s="24">
        <f>MIN(R217,N('My Loans'!E10))</f>
        <v/>
      </c>
      <c r="AC217" s="24">
        <f>MIN(S217,N('My Loans'!E11))</f>
        <v/>
      </c>
      <c r="AD217" s="24">
        <f>MIN(T217,N('My Loans'!E12))</f>
        <v/>
      </c>
      <c r="AE217" s="24">
        <f>MIN(U217,N('My Loans'!E13))</f>
        <v/>
      </c>
      <c r="AF217" s="24">
        <f>MIN(V217,N('My Loans'!E14))</f>
        <v/>
      </c>
      <c r="AG217" s="24">
        <f>MIN(W217,N('My Loans'!E15))</f>
        <v/>
      </c>
      <c r="AH217" s="24">
        <f>MIN(N217-X217,MAX(0,$C217-SUMPRODUCT(($D$3:$M$3&lt;D$3)*($N217:$W217-$X217:$AG217))))</f>
        <v/>
      </c>
      <c r="AI217" s="24">
        <f>MIN(O217-Y217,MAX(0,$C217-SUMPRODUCT(($D$3:$M$3&lt;E$3)*($N217:$W217-$X217:$AG217))))</f>
        <v/>
      </c>
      <c r="AJ217" s="24">
        <f>MIN(P217-Z217,MAX(0,$C217-SUMPRODUCT(($D$3:$M$3&lt;F$3)*($N217:$W217-$X217:$AG217))))</f>
        <v/>
      </c>
      <c r="AK217" s="24">
        <f>MIN(Q217-AA217,MAX(0,$C217-SUMPRODUCT(($D$3:$M$3&lt;G$3)*($N217:$W217-$X217:$AG217))))</f>
        <v/>
      </c>
      <c r="AL217" s="24">
        <f>MIN(R217-AB217,MAX(0,$C217-SUMPRODUCT(($D$3:$M$3&lt;H$3)*($N217:$W217-$X217:$AG217))))</f>
        <v/>
      </c>
      <c r="AM217" s="24">
        <f>MIN(S217-AC217,MAX(0,$C217-SUMPRODUCT(($D$3:$M$3&lt;I$3)*($N217:$W217-$X217:$AG217))))</f>
        <v/>
      </c>
      <c r="AN217" s="24">
        <f>MIN(T217-AD217,MAX(0,$C217-SUMPRODUCT(($D$3:$M$3&lt;J$3)*($N217:$W217-$X217:$AG217))))</f>
        <v/>
      </c>
      <c r="AO217" s="24">
        <f>MIN(U217-AE217,MAX(0,$C217-SUMPRODUCT(($D$3:$M$3&lt;K$3)*($N217:$W217-$X217:$AG217))))</f>
        <v/>
      </c>
      <c r="AP217" s="24">
        <f>MIN(V217-AF217,MAX(0,$C217-SUMPRODUCT(($D$3:$M$3&lt;L$3)*($N217:$W217-$X217:$AG217))))</f>
        <v/>
      </c>
      <c r="AQ217" s="24">
        <f>MIN(W217-AG217,MAX(0,$C217-SUMPRODUCT(($D$3:$M$3&lt;M$3)*($N217:$W217-$X217:$AG217))))</f>
        <v/>
      </c>
      <c r="AR217" s="24">
        <f>ROUND(N217-X217-AH217,2)</f>
        <v/>
      </c>
      <c r="AS217" s="24">
        <f>ROUND(O217-Y217-AI217,2)</f>
        <v/>
      </c>
      <c r="AT217" s="24">
        <f>ROUND(P217-Z217-AJ217,2)</f>
        <v/>
      </c>
      <c r="AU217" s="24">
        <f>ROUND(Q217-AA217-AK217,2)</f>
        <v/>
      </c>
      <c r="AV217" s="24">
        <f>ROUND(R217-AB217-AL217,2)</f>
        <v/>
      </c>
      <c r="AW217" s="24">
        <f>ROUND(S217-AC217-AM217,2)</f>
        <v/>
      </c>
      <c r="AX217" s="24">
        <f>ROUND(T217-AD217-AN217,2)</f>
        <v/>
      </c>
      <c r="AY217" s="24">
        <f>ROUND(U217-AE217-AO217,2)</f>
        <v/>
      </c>
      <c r="AZ217" s="24">
        <f>ROUND(V217-AF217-AP217,2)</f>
        <v/>
      </c>
      <c r="BA217" s="24">
        <f>ROUND(W217-AG217-AQ217,2)</f>
        <v/>
      </c>
      <c r="BB217" s="24">
        <f>SUM(AR217:BA217)</f>
        <v/>
      </c>
    </row>
    <row r="218">
      <c r="A218" t="n">
        <v>214</v>
      </c>
      <c r="B218" s="23">
        <f>EOMONTH(TODAY(),213)</f>
        <v/>
      </c>
      <c r="C218" s="24">
        <f>MAX(0,(SUM('My Loans'!$E$6:$E$15)+'My Loans'!$D$3)-SUM($X218:$AG218))</f>
        <v/>
      </c>
      <c r="D218" s="24">
        <f>MAX(0,AR217)</f>
        <v/>
      </c>
      <c r="E218" s="24">
        <f>MAX(0,AS217)</f>
        <v/>
      </c>
      <c r="F218" s="24">
        <f>MAX(0,AT217)</f>
        <v/>
      </c>
      <c r="G218" s="24">
        <f>MAX(0,AU217)</f>
        <v/>
      </c>
      <c r="H218" s="24">
        <f>MAX(0,AV217)</f>
        <v/>
      </c>
      <c r="I218" s="24">
        <f>MAX(0,AW217)</f>
        <v/>
      </c>
      <c r="J218" s="24">
        <f>MAX(0,AX217)</f>
        <v/>
      </c>
      <c r="K218" s="24">
        <f>MAX(0,AY217)</f>
        <v/>
      </c>
      <c r="L218" s="24">
        <f>MAX(0,AZ217)</f>
        <v/>
      </c>
      <c r="M218" s="24">
        <f>MAX(0,BA217)</f>
        <v/>
      </c>
      <c r="N218" s="24">
        <f>IF(D218&lt;0.5,0,D218*(1+N('My Loans'!D6)/1200))</f>
        <v/>
      </c>
      <c r="O218" s="24">
        <f>IF(E218&lt;0.5,0,E218*(1+N('My Loans'!D7)/1200))</f>
        <v/>
      </c>
      <c r="P218" s="24">
        <f>IF(F218&lt;0.5,0,F218*(1+N('My Loans'!D8)/1200))</f>
        <v/>
      </c>
      <c r="Q218" s="24">
        <f>IF(G218&lt;0.5,0,G218*(1+N('My Loans'!D9)/1200))</f>
        <v/>
      </c>
      <c r="R218" s="24">
        <f>IF(H218&lt;0.5,0,H218*(1+N('My Loans'!D10)/1200))</f>
        <v/>
      </c>
      <c r="S218" s="24">
        <f>IF(I218&lt;0.5,0,I218*(1+N('My Loans'!D11)/1200))</f>
        <v/>
      </c>
      <c r="T218" s="24">
        <f>IF(J218&lt;0.5,0,J218*(1+N('My Loans'!D12)/1200))</f>
        <v/>
      </c>
      <c r="U218" s="24">
        <f>IF(K218&lt;0.5,0,K218*(1+N('My Loans'!D13)/1200))</f>
        <v/>
      </c>
      <c r="V218" s="24">
        <f>IF(L218&lt;0.5,0,L218*(1+N('My Loans'!D14)/1200))</f>
        <v/>
      </c>
      <c r="W218" s="24">
        <f>IF(M218&lt;0.5,0,M218*(1+N('My Loans'!D15)/1200))</f>
        <v/>
      </c>
      <c r="X218" s="24">
        <f>MIN(N218,N('My Loans'!E6))</f>
        <v/>
      </c>
      <c r="Y218" s="24">
        <f>MIN(O218,N('My Loans'!E7))</f>
        <v/>
      </c>
      <c r="Z218" s="24">
        <f>MIN(P218,N('My Loans'!E8))</f>
        <v/>
      </c>
      <c r="AA218" s="24">
        <f>MIN(Q218,N('My Loans'!E9))</f>
        <v/>
      </c>
      <c r="AB218" s="24">
        <f>MIN(R218,N('My Loans'!E10))</f>
        <v/>
      </c>
      <c r="AC218" s="24">
        <f>MIN(S218,N('My Loans'!E11))</f>
        <v/>
      </c>
      <c r="AD218" s="24">
        <f>MIN(T218,N('My Loans'!E12))</f>
        <v/>
      </c>
      <c r="AE218" s="24">
        <f>MIN(U218,N('My Loans'!E13))</f>
        <v/>
      </c>
      <c r="AF218" s="24">
        <f>MIN(V218,N('My Loans'!E14))</f>
        <v/>
      </c>
      <c r="AG218" s="24">
        <f>MIN(W218,N('My Loans'!E15))</f>
        <v/>
      </c>
      <c r="AH218" s="24">
        <f>MIN(N218-X218,MAX(0,$C218-SUMPRODUCT(($D$3:$M$3&lt;D$3)*($N218:$W218-$X218:$AG218))))</f>
        <v/>
      </c>
      <c r="AI218" s="24">
        <f>MIN(O218-Y218,MAX(0,$C218-SUMPRODUCT(($D$3:$M$3&lt;E$3)*($N218:$W218-$X218:$AG218))))</f>
        <v/>
      </c>
      <c r="AJ218" s="24">
        <f>MIN(P218-Z218,MAX(0,$C218-SUMPRODUCT(($D$3:$M$3&lt;F$3)*($N218:$W218-$X218:$AG218))))</f>
        <v/>
      </c>
      <c r="AK218" s="24">
        <f>MIN(Q218-AA218,MAX(0,$C218-SUMPRODUCT(($D$3:$M$3&lt;G$3)*($N218:$W218-$X218:$AG218))))</f>
        <v/>
      </c>
      <c r="AL218" s="24">
        <f>MIN(R218-AB218,MAX(0,$C218-SUMPRODUCT(($D$3:$M$3&lt;H$3)*($N218:$W218-$X218:$AG218))))</f>
        <v/>
      </c>
      <c r="AM218" s="24">
        <f>MIN(S218-AC218,MAX(0,$C218-SUMPRODUCT(($D$3:$M$3&lt;I$3)*($N218:$W218-$X218:$AG218))))</f>
        <v/>
      </c>
      <c r="AN218" s="24">
        <f>MIN(T218-AD218,MAX(0,$C218-SUMPRODUCT(($D$3:$M$3&lt;J$3)*($N218:$W218-$X218:$AG218))))</f>
        <v/>
      </c>
      <c r="AO218" s="24">
        <f>MIN(U218-AE218,MAX(0,$C218-SUMPRODUCT(($D$3:$M$3&lt;K$3)*($N218:$W218-$X218:$AG218))))</f>
        <v/>
      </c>
      <c r="AP218" s="24">
        <f>MIN(V218-AF218,MAX(0,$C218-SUMPRODUCT(($D$3:$M$3&lt;L$3)*($N218:$W218-$X218:$AG218))))</f>
        <v/>
      </c>
      <c r="AQ218" s="24">
        <f>MIN(W218-AG218,MAX(0,$C218-SUMPRODUCT(($D$3:$M$3&lt;M$3)*($N218:$W218-$X218:$AG218))))</f>
        <v/>
      </c>
      <c r="AR218" s="24">
        <f>ROUND(N218-X218-AH218,2)</f>
        <v/>
      </c>
      <c r="AS218" s="24">
        <f>ROUND(O218-Y218-AI218,2)</f>
        <v/>
      </c>
      <c r="AT218" s="24">
        <f>ROUND(P218-Z218-AJ218,2)</f>
        <v/>
      </c>
      <c r="AU218" s="24">
        <f>ROUND(Q218-AA218-AK218,2)</f>
        <v/>
      </c>
      <c r="AV218" s="24">
        <f>ROUND(R218-AB218-AL218,2)</f>
        <v/>
      </c>
      <c r="AW218" s="24">
        <f>ROUND(S218-AC218-AM218,2)</f>
        <v/>
      </c>
      <c r="AX218" s="24">
        <f>ROUND(T218-AD218-AN218,2)</f>
        <v/>
      </c>
      <c r="AY218" s="24">
        <f>ROUND(U218-AE218-AO218,2)</f>
        <v/>
      </c>
      <c r="AZ218" s="24">
        <f>ROUND(V218-AF218-AP218,2)</f>
        <v/>
      </c>
      <c r="BA218" s="24">
        <f>ROUND(W218-AG218-AQ218,2)</f>
        <v/>
      </c>
      <c r="BB218" s="24">
        <f>SUM(AR218:BA218)</f>
        <v/>
      </c>
    </row>
    <row r="219">
      <c r="A219" t="n">
        <v>215</v>
      </c>
      <c r="B219" s="23">
        <f>EOMONTH(TODAY(),214)</f>
        <v/>
      </c>
      <c r="C219" s="24">
        <f>MAX(0,(SUM('My Loans'!$E$6:$E$15)+'My Loans'!$D$3)-SUM($X219:$AG219))</f>
        <v/>
      </c>
      <c r="D219" s="24">
        <f>MAX(0,AR218)</f>
        <v/>
      </c>
      <c r="E219" s="24">
        <f>MAX(0,AS218)</f>
        <v/>
      </c>
      <c r="F219" s="24">
        <f>MAX(0,AT218)</f>
        <v/>
      </c>
      <c r="G219" s="24">
        <f>MAX(0,AU218)</f>
        <v/>
      </c>
      <c r="H219" s="24">
        <f>MAX(0,AV218)</f>
        <v/>
      </c>
      <c r="I219" s="24">
        <f>MAX(0,AW218)</f>
        <v/>
      </c>
      <c r="J219" s="24">
        <f>MAX(0,AX218)</f>
        <v/>
      </c>
      <c r="K219" s="24">
        <f>MAX(0,AY218)</f>
        <v/>
      </c>
      <c r="L219" s="24">
        <f>MAX(0,AZ218)</f>
        <v/>
      </c>
      <c r="M219" s="24">
        <f>MAX(0,BA218)</f>
        <v/>
      </c>
      <c r="N219" s="24">
        <f>IF(D219&lt;0.5,0,D219*(1+N('My Loans'!D6)/1200))</f>
        <v/>
      </c>
      <c r="O219" s="24">
        <f>IF(E219&lt;0.5,0,E219*(1+N('My Loans'!D7)/1200))</f>
        <v/>
      </c>
      <c r="P219" s="24">
        <f>IF(F219&lt;0.5,0,F219*(1+N('My Loans'!D8)/1200))</f>
        <v/>
      </c>
      <c r="Q219" s="24">
        <f>IF(G219&lt;0.5,0,G219*(1+N('My Loans'!D9)/1200))</f>
        <v/>
      </c>
      <c r="R219" s="24">
        <f>IF(H219&lt;0.5,0,H219*(1+N('My Loans'!D10)/1200))</f>
        <v/>
      </c>
      <c r="S219" s="24">
        <f>IF(I219&lt;0.5,0,I219*(1+N('My Loans'!D11)/1200))</f>
        <v/>
      </c>
      <c r="T219" s="24">
        <f>IF(J219&lt;0.5,0,J219*(1+N('My Loans'!D12)/1200))</f>
        <v/>
      </c>
      <c r="U219" s="24">
        <f>IF(K219&lt;0.5,0,K219*(1+N('My Loans'!D13)/1200))</f>
        <v/>
      </c>
      <c r="V219" s="24">
        <f>IF(L219&lt;0.5,0,L219*(1+N('My Loans'!D14)/1200))</f>
        <v/>
      </c>
      <c r="W219" s="24">
        <f>IF(M219&lt;0.5,0,M219*(1+N('My Loans'!D15)/1200))</f>
        <v/>
      </c>
      <c r="X219" s="24">
        <f>MIN(N219,N('My Loans'!E6))</f>
        <v/>
      </c>
      <c r="Y219" s="24">
        <f>MIN(O219,N('My Loans'!E7))</f>
        <v/>
      </c>
      <c r="Z219" s="24">
        <f>MIN(P219,N('My Loans'!E8))</f>
        <v/>
      </c>
      <c r="AA219" s="24">
        <f>MIN(Q219,N('My Loans'!E9))</f>
        <v/>
      </c>
      <c r="AB219" s="24">
        <f>MIN(R219,N('My Loans'!E10))</f>
        <v/>
      </c>
      <c r="AC219" s="24">
        <f>MIN(S219,N('My Loans'!E11))</f>
        <v/>
      </c>
      <c r="AD219" s="24">
        <f>MIN(T219,N('My Loans'!E12))</f>
        <v/>
      </c>
      <c r="AE219" s="24">
        <f>MIN(U219,N('My Loans'!E13))</f>
        <v/>
      </c>
      <c r="AF219" s="24">
        <f>MIN(V219,N('My Loans'!E14))</f>
        <v/>
      </c>
      <c r="AG219" s="24">
        <f>MIN(W219,N('My Loans'!E15))</f>
        <v/>
      </c>
      <c r="AH219" s="24">
        <f>MIN(N219-X219,MAX(0,$C219-SUMPRODUCT(($D$3:$M$3&lt;D$3)*($N219:$W219-$X219:$AG219))))</f>
        <v/>
      </c>
      <c r="AI219" s="24">
        <f>MIN(O219-Y219,MAX(0,$C219-SUMPRODUCT(($D$3:$M$3&lt;E$3)*($N219:$W219-$X219:$AG219))))</f>
        <v/>
      </c>
      <c r="AJ219" s="24">
        <f>MIN(P219-Z219,MAX(0,$C219-SUMPRODUCT(($D$3:$M$3&lt;F$3)*($N219:$W219-$X219:$AG219))))</f>
        <v/>
      </c>
      <c r="AK219" s="24">
        <f>MIN(Q219-AA219,MAX(0,$C219-SUMPRODUCT(($D$3:$M$3&lt;G$3)*($N219:$W219-$X219:$AG219))))</f>
        <v/>
      </c>
      <c r="AL219" s="24">
        <f>MIN(R219-AB219,MAX(0,$C219-SUMPRODUCT(($D$3:$M$3&lt;H$3)*($N219:$W219-$X219:$AG219))))</f>
        <v/>
      </c>
      <c r="AM219" s="24">
        <f>MIN(S219-AC219,MAX(0,$C219-SUMPRODUCT(($D$3:$M$3&lt;I$3)*($N219:$W219-$X219:$AG219))))</f>
        <v/>
      </c>
      <c r="AN219" s="24">
        <f>MIN(T219-AD219,MAX(0,$C219-SUMPRODUCT(($D$3:$M$3&lt;J$3)*($N219:$W219-$X219:$AG219))))</f>
        <v/>
      </c>
      <c r="AO219" s="24">
        <f>MIN(U219-AE219,MAX(0,$C219-SUMPRODUCT(($D$3:$M$3&lt;K$3)*($N219:$W219-$X219:$AG219))))</f>
        <v/>
      </c>
      <c r="AP219" s="24">
        <f>MIN(V219-AF219,MAX(0,$C219-SUMPRODUCT(($D$3:$M$3&lt;L$3)*($N219:$W219-$X219:$AG219))))</f>
        <v/>
      </c>
      <c r="AQ219" s="24">
        <f>MIN(W219-AG219,MAX(0,$C219-SUMPRODUCT(($D$3:$M$3&lt;M$3)*($N219:$W219-$X219:$AG219))))</f>
        <v/>
      </c>
      <c r="AR219" s="24">
        <f>ROUND(N219-X219-AH219,2)</f>
        <v/>
      </c>
      <c r="AS219" s="24">
        <f>ROUND(O219-Y219-AI219,2)</f>
        <v/>
      </c>
      <c r="AT219" s="24">
        <f>ROUND(P219-Z219-AJ219,2)</f>
        <v/>
      </c>
      <c r="AU219" s="24">
        <f>ROUND(Q219-AA219-AK219,2)</f>
        <v/>
      </c>
      <c r="AV219" s="24">
        <f>ROUND(R219-AB219-AL219,2)</f>
        <v/>
      </c>
      <c r="AW219" s="24">
        <f>ROUND(S219-AC219-AM219,2)</f>
        <v/>
      </c>
      <c r="AX219" s="24">
        <f>ROUND(T219-AD219-AN219,2)</f>
        <v/>
      </c>
      <c r="AY219" s="24">
        <f>ROUND(U219-AE219-AO219,2)</f>
        <v/>
      </c>
      <c r="AZ219" s="24">
        <f>ROUND(V219-AF219-AP219,2)</f>
        <v/>
      </c>
      <c r="BA219" s="24">
        <f>ROUND(W219-AG219-AQ219,2)</f>
        <v/>
      </c>
      <c r="BB219" s="24">
        <f>SUM(AR219:BA219)</f>
        <v/>
      </c>
    </row>
    <row r="220">
      <c r="A220" t="n">
        <v>216</v>
      </c>
      <c r="B220" s="23">
        <f>EOMONTH(TODAY(),215)</f>
        <v/>
      </c>
      <c r="C220" s="24">
        <f>MAX(0,(SUM('My Loans'!$E$6:$E$15)+'My Loans'!$D$3)-SUM($X220:$AG220))</f>
        <v/>
      </c>
      <c r="D220" s="24">
        <f>MAX(0,AR219)</f>
        <v/>
      </c>
      <c r="E220" s="24">
        <f>MAX(0,AS219)</f>
        <v/>
      </c>
      <c r="F220" s="24">
        <f>MAX(0,AT219)</f>
        <v/>
      </c>
      <c r="G220" s="24">
        <f>MAX(0,AU219)</f>
        <v/>
      </c>
      <c r="H220" s="24">
        <f>MAX(0,AV219)</f>
        <v/>
      </c>
      <c r="I220" s="24">
        <f>MAX(0,AW219)</f>
        <v/>
      </c>
      <c r="J220" s="24">
        <f>MAX(0,AX219)</f>
        <v/>
      </c>
      <c r="K220" s="24">
        <f>MAX(0,AY219)</f>
        <v/>
      </c>
      <c r="L220" s="24">
        <f>MAX(0,AZ219)</f>
        <v/>
      </c>
      <c r="M220" s="24">
        <f>MAX(0,BA219)</f>
        <v/>
      </c>
      <c r="N220" s="24">
        <f>IF(D220&lt;0.5,0,D220*(1+N('My Loans'!D6)/1200))</f>
        <v/>
      </c>
      <c r="O220" s="24">
        <f>IF(E220&lt;0.5,0,E220*(1+N('My Loans'!D7)/1200))</f>
        <v/>
      </c>
      <c r="P220" s="24">
        <f>IF(F220&lt;0.5,0,F220*(1+N('My Loans'!D8)/1200))</f>
        <v/>
      </c>
      <c r="Q220" s="24">
        <f>IF(G220&lt;0.5,0,G220*(1+N('My Loans'!D9)/1200))</f>
        <v/>
      </c>
      <c r="R220" s="24">
        <f>IF(H220&lt;0.5,0,H220*(1+N('My Loans'!D10)/1200))</f>
        <v/>
      </c>
      <c r="S220" s="24">
        <f>IF(I220&lt;0.5,0,I220*(1+N('My Loans'!D11)/1200))</f>
        <v/>
      </c>
      <c r="T220" s="24">
        <f>IF(J220&lt;0.5,0,J220*(1+N('My Loans'!D12)/1200))</f>
        <v/>
      </c>
      <c r="U220" s="24">
        <f>IF(K220&lt;0.5,0,K220*(1+N('My Loans'!D13)/1200))</f>
        <v/>
      </c>
      <c r="V220" s="24">
        <f>IF(L220&lt;0.5,0,L220*(1+N('My Loans'!D14)/1200))</f>
        <v/>
      </c>
      <c r="W220" s="24">
        <f>IF(M220&lt;0.5,0,M220*(1+N('My Loans'!D15)/1200))</f>
        <v/>
      </c>
      <c r="X220" s="24">
        <f>MIN(N220,N('My Loans'!E6))</f>
        <v/>
      </c>
      <c r="Y220" s="24">
        <f>MIN(O220,N('My Loans'!E7))</f>
        <v/>
      </c>
      <c r="Z220" s="24">
        <f>MIN(P220,N('My Loans'!E8))</f>
        <v/>
      </c>
      <c r="AA220" s="24">
        <f>MIN(Q220,N('My Loans'!E9))</f>
        <v/>
      </c>
      <c r="AB220" s="24">
        <f>MIN(R220,N('My Loans'!E10))</f>
        <v/>
      </c>
      <c r="AC220" s="24">
        <f>MIN(S220,N('My Loans'!E11))</f>
        <v/>
      </c>
      <c r="AD220" s="24">
        <f>MIN(T220,N('My Loans'!E12))</f>
        <v/>
      </c>
      <c r="AE220" s="24">
        <f>MIN(U220,N('My Loans'!E13))</f>
        <v/>
      </c>
      <c r="AF220" s="24">
        <f>MIN(V220,N('My Loans'!E14))</f>
        <v/>
      </c>
      <c r="AG220" s="24">
        <f>MIN(W220,N('My Loans'!E15))</f>
        <v/>
      </c>
      <c r="AH220" s="24">
        <f>MIN(N220-X220,MAX(0,$C220-SUMPRODUCT(($D$3:$M$3&lt;D$3)*($N220:$W220-$X220:$AG220))))</f>
        <v/>
      </c>
      <c r="AI220" s="24">
        <f>MIN(O220-Y220,MAX(0,$C220-SUMPRODUCT(($D$3:$M$3&lt;E$3)*($N220:$W220-$X220:$AG220))))</f>
        <v/>
      </c>
      <c r="AJ220" s="24">
        <f>MIN(P220-Z220,MAX(0,$C220-SUMPRODUCT(($D$3:$M$3&lt;F$3)*($N220:$W220-$X220:$AG220))))</f>
        <v/>
      </c>
      <c r="AK220" s="24">
        <f>MIN(Q220-AA220,MAX(0,$C220-SUMPRODUCT(($D$3:$M$3&lt;G$3)*($N220:$W220-$X220:$AG220))))</f>
        <v/>
      </c>
      <c r="AL220" s="24">
        <f>MIN(R220-AB220,MAX(0,$C220-SUMPRODUCT(($D$3:$M$3&lt;H$3)*($N220:$W220-$X220:$AG220))))</f>
        <v/>
      </c>
      <c r="AM220" s="24">
        <f>MIN(S220-AC220,MAX(0,$C220-SUMPRODUCT(($D$3:$M$3&lt;I$3)*($N220:$W220-$X220:$AG220))))</f>
        <v/>
      </c>
      <c r="AN220" s="24">
        <f>MIN(T220-AD220,MAX(0,$C220-SUMPRODUCT(($D$3:$M$3&lt;J$3)*($N220:$W220-$X220:$AG220))))</f>
        <v/>
      </c>
      <c r="AO220" s="24">
        <f>MIN(U220-AE220,MAX(0,$C220-SUMPRODUCT(($D$3:$M$3&lt;K$3)*($N220:$W220-$X220:$AG220))))</f>
        <v/>
      </c>
      <c r="AP220" s="24">
        <f>MIN(V220-AF220,MAX(0,$C220-SUMPRODUCT(($D$3:$M$3&lt;L$3)*($N220:$W220-$X220:$AG220))))</f>
        <v/>
      </c>
      <c r="AQ220" s="24">
        <f>MIN(W220-AG220,MAX(0,$C220-SUMPRODUCT(($D$3:$M$3&lt;M$3)*($N220:$W220-$X220:$AG220))))</f>
        <v/>
      </c>
      <c r="AR220" s="24">
        <f>ROUND(N220-X220-AH220,2)</f>
        <v/>
      </c>
      <c r="AS220" s="24">
        <f>ROUND(O220-Y220-AI220,2)</f>
        <v/>
      </c>
      <c r="AT220" s="24">
        <f>ROUND(P220-Z220-AJ220,2)</f>
        <v/>
      </c>
      <c r="AU220" s="24">
        <f>ROUND(Q220-AA220-AK220,2)</f>
        <v/>
      </c>
      <c r="AV220" s="24">
        <f>ROUND(R220-AB220-AL220,2)</f>
        <v/>
      </c>
      <c r="AW220" s="24">
        <f>ROUND(S220-AC220-AM220,2)</f>
        <v/>
      </c>
      <c r="AX220" s="24">
        <f>ROUND(T220-AD220-AN220,2)</f>
        <v/>
      </c>
      <c r="AY220" s="24">
        <f>ROUND(U220-AE220-AO220,2)</f>
        <v/>
      </c>
      <c r="AZ220" s="24">
        <f>ROUND(V220-AF220-AP220,2)</f>
        <v/>
      </c>
      <c r="BA220" s="24">
        <f>ROUND(W220-AG220-AQ220,2)</f>
        <v/>
      </c>
      <c r="BB220" s="24">
        <f>SUM(AR220:BA220)</f>
        <v/>
      </c>
    </row>
    <row r="221">
      <c r="A221" t="n">
        <v>217</v>
      </c>
      <c r="B221" s="23">
        <f>EOMONTH(TODAY(),216)</f>
        <v/>
      </c>
      <c r="C221" s="24">
        <f>MAX(0,(SUM('My Loans'!$E$6:$E$15)+'My Loans'!$D$3)-SUM($X221:$AG221))</f>
        <v/>
      </c>
      <c r="D221" s="24">
        <f>MAX(0,AR220)</f>
        <v/>
      </c>
      <c r="E221" s="24">
        <f>MAX(0,AS220)</f>
        <v/>
      </c>
      <c r="F221" s="24">
        <f>MAX(0,AT220)</f>
        <v/>
      </c>
      <c r="G221" s="24">
        <f>MAX(0,AU220)</f>
        <v/>
      </c>
      <c r="H221" s="24">
        <f>MAX(0,AV220)</f>
        <v/>
      </c>
      <c r="I221" s="24">
        <f>MAX(0,AW220)</f>
        <v/>
      </c>
      <c r="J221" s="24">
        <f>MAX(0,AX220)</f>
        <v/>
      </c>
      <c r="K221" s="24">
        <f>MAX(0,AY220)</f>
        <v/>
      </c>
      <c r="L221" s="24">
        <f>MAX(0,AZ220)</f>
        <v/>
      </c>
      <c r="M221" s="24">
        <f>MAX(0,BA220)</f>
        <v/>
      </c>
      <c r="N221" s="24">
        <f>IF(D221&lt;0.5,0,D221*(1+N('My Loans'!D6)/1200))</f>
        <v/>
      </c>
      <c r="O221" s="24">
        <f>IF(E221&lt;0.5,0,E221*(1+N('My Loans'!D7)/1200))</f>
        <v/>
      </c>
      <c r="P221" s="24">
        <f>IF(F221&lt;0.5,0,F221*(1+N('My Loans'!D8)/1200))</f>
        <v/>
      </c>
      <c r="Q221" s="24">
        <f>IF(G221&lt;0.5,0,G221*(1+N('My Loans'!D9)/1200))</f>
        <v/>
      </c>
      <c r="R221" s="24">
        <f>IF(H221&lt;0.5,0,H221*(1+N('My Loans'!D10)/1200))</f>
        <v/>
      </c>
      <c r="S221" s="24">
        <f>IF(I221&lt;0.5,0,I221*(1+N('My Loans'!D11)/1200))</f>
        <v/>
      </c>
      <c r="T221" s="24">
        <f>IF(J221&lt;0.5,0,J221*(1+N('My Loans'!D12)/1200))</f>
        <v/>
      </c>
      <c r="U221" s="24">
        <f>IF(K221&lt;0.5,0,K221*(1+N('My Loans'!D13)/1200))</f>
        <v/>
      </c>
      <c r="V221" s="24">
        <f>IF(L221&lt;0.5,0,L221*(1+N('My Loans'!D14)/1200))</f>
        <v/>
      </c>
      <c r="W221" s="24">
        <f>IF(M221&lt;0.5,0,M221*(1+N('My Loans'!D15)/1200))</f>
        <v/>
      </c>
      <c r="X221" s="24">
        <f>MIN(N221,N('My Loans'!E6))</f>
        <v/>
      </c>
      <c r="Y221" s="24">
        <f>MIN(O221,N('My Loans'!E7))</f>
        <v/>
      </c>
      <c r="Z221" s="24">
        <f>MIN(P221,N('My Loans'!E8))</f>
        <v/>
      </c>
      <c r="AA221" s="24">
        <f>MIN(Q221,N('My Loans'!E9))</f>
        <v/>
      </c>
      <c r="AB221" s="24">
        <f>MIN(R221,N('My Loans'!E10))</f>
        <v/>
      </c>
      <c r="AC221" s="24">
        <f>MIN(S221,N('My Loans'!E11))</f>
        <v/>
      </c>
      <c r="AD221" s="24">
        <f>MIN(T221,N('My Loans'!E12))</f>
        <v/>
      </c>
      <c r="AE221" s="24">
        <f>MIN(U221,N('My Loans'!E13))</f>
        <v/>
      </c>
      <c r="AF221" s="24">
        <f>MIN(V221,N('My Loans'!E14))</f>
        <v/>
      </c>
      <c r="AG221" s="24">
        <f>MIN(W221,N('My Loans'!E15))</f>
        <v/>
      </c>
      <c r="AH221" s="24">
        <f>MIN(N221-X221,MAX(0,$C221-SUMPRODUCT(($D$3:$M$3&lt;D$3)*($N221:$W221-$X221:$AG221))))</f>
        <v/>
      </c>
      <c r="AI221" s="24">
        <f>MIN(O221-Y221,MAX(0,$C221-SUMPRODUCT(($D$3:$M$3&lt;E$3)*($N221:$W221-$X221:$AG221))))</f>
        <v/>
      </c>
      <c r="AJ221" s="24">
        <f>MIN(P221-Z221,MAX(0,$C221-SUMPRODUCT(($D$3:$M$3&lt;F$3)*($N221:$W221-$X221:$AG221))))</f>
        <v/>
      </c>
      <c r="AK221" s="24">
        <f>MIN(Q221-AA221,MAX(0,$C221-SUMPRODUCT(($D$3:$M$3&lt;G$3)*($N221:$W221-$X221:$AG221))))</f>
        <v/>
      </c>
      <c r="AL221" s="24">
        <f>MIN(R221-AB221,MAX(0,$C221-SUMPRODUCT(($D$3:$M$3&lt;H$3)*($N221:$W221-$X221:$AG221))))</f>
        <v/>
      </c>
      <c r="AM221" s="24">
        <f>MIN(S221-AC221,MAX(0,$C221-SUMPRODUCT(($D$3:$M$3&lt;I$3)*($N221:$W221-$X221:$AG221))))</f>
        <v/>
      </c>
      <c r="AN221" s="24">
        <f>MIN(T221-AD221,MAX(0,$C221-SUMPRODUCT(($D$3:$M$3&lt;J$3)*($N221:$W221-$X221:$AG221))))</f>
        <v/>
      </c>
      <c r="AO221" s="24">
        <f>MIN(U221-AE221,MAX(0,$C221-SUMPRODUCT(($D$3:$M$3&lt;K$3)*($N221:$W221-$X221:$AG221))))</f>
        <v/>
      </c>
      <c r="AP221" s="24">
        <f>MIN(V221-AF221,MAX(0,$C221-SUMPRODUCT(($D$3:$M$3&lt;L$3)*($N221:$W221-$X221:$AG221))))</f>
        <v/>
      </c>
      <c r="AQ221" s="24">
        <f>MIN(W221-AG221,MAX(0,$C221-SUMPRODUCT(($D$3:$M$3&lt;M$3)*($N221:$W221-$X221:$AG221))))</f>
        <v/>
      </c>
      <c r="AR221" s="24">
        <f>ROUND(N221-X221-AH221,2)</f>
        <v/>
      </c>
      <c r="AS221" s="24">
        <f>ROUND(O221-Y221-AI221,2)</f>
        <v/>
      </c>
      <c r="AT221" s="24">
        <f>ROUND(P221-Z221-AJ221,2)</f>
        <v/>
      </c>
      <c r="AU221" s="24">
        <f>ROUND(Q221-AA221-AK221,2)</f>
        <v/>
      </c>
      <c r="AV221" s="24">
        <f>ROUND(R221-AB221-AL221,2)</f>
        <v/>
      </c>
      <c r="AW221" s="24">
        <f>ROUND(S221-AC221-AM221,2)</f>
        <v/>
      </c>
      <c r="AX221" s="24">
        <f>ROUND(T221-AD221-AN221,2)</f>
        <v/>
      </c>
      <c r="AY221" s="24">
        <f>ROUND(U221-AE221-AO221,2)</f>
        <v/>
      </c>
      <c r="AZ221" s="24">
        <f>ROUND(V221-AF221-AP221,2)</f>
        <v/>
      </c>
      <c r="BA221" s="24">
        <f>ROUND(W221-AG221-AQ221,2)</f>
        <v/>
      </c>
      <c r="BB221" s="24">
        <f>SUM(AR221:BA221)</f>
        <v/>
      </c>
    </row>
    <row r="222">
      <c r="A222" t="n">
        <v>218</v>
      </c>
      <c r="B222" s="23">
        <f>EOMONTH(TODAY(),217)</f>
        <v/>
      </c>
      <c r="C222" s="24">
        <f>MAX(0,(SUM('My Loans'!$E$6:$E$15)+'My Loans'!$D$3)-SUM($X222:$AG222))</f>
        <v/>
      </c>
      <c r="D222" s="24">
        <f>MAX(0,AR221)</f>
        <v/>
      </c>
      <c r="E222" s="24">
        <f>MAX(0,AS221)</f>
        <v/>
      </c>
      <c r="F222" s="24">
        <f>MAX(0,AT221)</f>
        <v/>
      </c>
      <c r="G222" s="24">
        <f>MAX(0,AU221)</f>
        <v/>
      </c>
      <c r="H222" s="24">
        <f>MAX(0,AV221)</f>
        <v/>
      </c>
      <c r="I222" s="24">
        <f>MAX(0,AW221)</f>
        <v/>
      </c>
      <c r="J222" s="24">
        <f>MAX(0,AX221)</f>
        <v/>
      </c>
      <c r="K222" s="24">
        <f>MAX(0,AY221)</f>
        <v/>
      </c>
      <c r="L222" s="24">
        <f>MAX(0,AZ221)</f>
        <v/>
      </c>
      <c r="M222" s="24">
        <f>MAX(0,BA221)</f>
        <v/>
      </c>
      <c r="N222" s="24">
        <f>IF(D222&lt;0.5,0,D222*(1+N('My Loans'!D6)/1200))</f>
        <v/>
      </c>
      <c r="O222" s="24">
        <f>IF(E222&lt;0.5,0,E222*(1+N('My Loans'!D7)/1200))</f>
        <v/>
      </c>
      <c r="P222" s="24">
        <f>IF(F222&lt;0.5,0,F222*(1+N('My Loans'!D8)/1200))</f>
        <v/>
      </c>
      <c r="Q222" s="24">
        <f>IF(G222&lt;0.5,0,G222*(1+N('My Loans'!D9)/1200))</f>
        <v/>
      </c>
      <c r="R222" s="24">
        <f>IF(H222&lt;0.5,0,H222*(1+N('My Loans'!D10)/1200))</f>
        <v/>
      </c>
      <c r="S222" s="24">
        <f>IF(I222&lt;0.5,0,I222*(1+N('My Loans'!D11)/1200))</f>
        <v/>
      </c>
      <c r="T222" s="24">
        <f>IF(J222&lt;0.5,0,J222*(1+N('My Loans'!D12)/1200))</f>
        <v/>
      </c>
      <c r="U222" s="24">
        <f>IF(K222&lt;0.5,0,K222*(1+N('My Loans'!D13)/1200))</f>
        <v/>
      </c>
      <c r="V222" s="24">
        <f>IF(L222&lt;0.5,0,L222*(1+N('My Loans'!D14)/1200))</f>
        <v/>
      </c>
      <c r="W222" s="24">
        <f>IF(M222&lt;0.5,0,M222*(1+N('My Loans'!D15)/1200))</f>
        <v/>
      </c>
      <c r="X222" s="24">
        <f>MIN(N222,N('My Loans'!E6))</f>
        <v/>
      </c>
      <c r="Y222" s="24">
        <f>MIN(O222,N('My Loans'!E7))</f>
        <v/>
      </c>
      <c r="Z222" s="24">
        <f>MIN(P222,N('My Loans'!E8))</f>
        <v/>
      </c>
      <c r="AA222" s="24">
        <f>MIN(Q222,N('My Loans'!E9))</f>
        <v/>
      </c>
      <c r="AB222" s="24">
        <f>MIN(R222,N('My Loans'!E10))</f>
        <v/>
      </c>
      <c r="AC222" s="24">
        <f>MIN(S222,N('My Loans'!E11))</f>
        <v/>
      </c>
      <c r="AD222" s="24">
        <f>MIN(T222,N('My Loans'!E12))</f>
        <v/>
      </c>
      <c r="AE222" s="24">
        <f>MIN(U222,N('My Loans'!E13))</f>
        <v/>
      </c>
      <c r="AF222" s="24">
        <f>MIN(V222,N('My Loans'!E14))</f>
        <v/>
      </c>
      <c r="AG222" s="24">
        <f>MIN(W222,N('My Loans'!E15))</f>
        <v/>
      </c>
      <c r="AH222" s="24">
        <f>MIN(N222-X222,MAX(0,$C222-SUMPRODUCT(($D$3:$M$3&lt;D$3)*($N222:$W222-$X222:$AG222))))</f>
        <v/>
      </c>
      <c r="AI222" s="24">
        <f>MIN(O222-Y222,MAX(0,$C222-SUMPRODUCT(($D$3:$M$3&lt;E$3)*($N222:$W222-$X222:$AG222))))</f>
        <v/>
      </c>
      <c r="AJ222" s="24">
        <f>MIN(P222-Z222,MAX(0,$C222-SUMPRODUCT(($D$3:$M$3&lt;F$3)*($N222:$W222-$X222:$AG222))))</f>
        <v/>
      </c>
      <c r="AK222" s="24">
        <f>MIN(Q222-AA222,MAX(0,$C222-SUMPRODUCT(($D$3:$M$3&lt;G$3)*($N222:$W222-$X222:$AG222))))</f>
        <v/>
      </c>
      <c r="AL222" s="24">
        <f>MIN(R222-AB222,MAX(0,$C222-SUMPRODUCT(($D$3:$M$3&lt;H$3)*($N222:$W222-$X222:$AG222))))</f>
        <v/>
      </c>
      <c r="AM222" s="24">
        <f>MIN(S222-AC222,MAX(0,$C222-SUMPRODUCT(($D$3:$M$3&lt;I$3)*($N222:$W222-$X222:$AG222))))</f>
        <v/>
      </c>
      <c r="AN222" s="24">
        <f>MIN(T222-AD222,MAX(0,$C222-SUMPRODUCT(($D$3:$M$3&lt;J$3)*($N222:$W222-$X222:$AG222))))</f>
        <v/>
      </c>
      <c r="AO222" s="24">
        <f>MIN(U222-AE222,MAX(0,$C222-SUMPRODUCT(($D$3:$M$3&lt;K$3)*($N222:$W222-$X222:$AG222))))</f>
        <v/>
      </c>
      <c r="AP222" s="24">
        <f>MIN(V222-AF222,MAX(0,$C222-SUMPRODUCT(($D$3:$M$3&lt;L$3)*($N222:$W222-$X222:$AG222))))</f>
        <v/>
      </c>
      <c r="AQ222" s="24">
        <f>MIN(W222-AG222,MAX(0,$C222-SUMPRODUCT(($D$3:$M$3&lt;M$3)*($N222:$W222-$X222:$AG222))))</f>
        <v/>
      </c>
      <c r="AR222" s="24">
        <f>ROUND(N222-X222-AH222,2)</f>
        <v/>
      </c>
      <c r="AS222" s="24">
        <f>ROUND(O222-Y222-AI222,2)</f>
        <v/>
      </c>
      <c r="AT222" s="24">
        <f>ROUND(P222-Z222-AJ222,2)</f>
        <v/>
      </c>
      <c r="AU222" s="24">
        <f>ROUND(Q222-AA222-AK222,2)</f>
        <v/>
      </c>
      <c r="AV222" s="24">
        <f>ROUND(R222-AB222-AL222,2)</f>
        <v/>
      </c>
      <c r="AW222" s="24">
        <f>ROUND(S222-AC222-AM222,2)</f>
        <v/>
      </c>
      <c r="AX222" s="24">
        <f>ROUND(T222-AD222-AN222,2)</f>
        <v/>
      </c>
      <c r="AY222" s="24">
        <f>ROUND(U222-AE222-AO222,2)</f>
        <v/>
      </c>
      <c r="AZ222" s="24">
        <f>ROUND(V222-AF222-AP222,2)</f>
        <v/>
      </c>
      <c r="BA222" s="24">
        <f>ROUND(W222-AG222-AQ222,2)</f>
        <v/>
      </c>
      <c r="BB222" s="24">
        <f>SUM(AR222:BA222)</f>
        <v/>
      </c>
    </row>
    <row r="223">
      <c r="A223" t="n">
        <v>219</v>
      </c>
      <c r="B223" s="23">
        <f>EOMONTH(TODAY(),218)</f>
        <v/>
      </c>
      <c r="C223" s="24">
        <f>MAX(0,(SUM('My Loans'!$E$6:$E$15)+'My Loans'!$D$3)-SUM($X223:$AG223))</f>
        <v/>
      </c>
      <c r="D223" s="24">
        <f>MAX(0,AR222)</f>
        <v/>
      </c>
      <c r="E223" s="24">
        <f>MAX(0,AS222)</f>
        <v/>
      </c>
      <c r="F223" s="24">
        <f>MAX(0,AT222)</f>
        <v/>
      </c>
      <c r="G223" s="24">
        <f>MAX(0,AU222)</f>
        <v/>
      </c>
      <c r="H223" s="24">
        <f>MAX(0,AV222)</f>
        <v/>
      </c>
      <c r="I223" s="24">
        <f>MAX(0,AW222)</f>
        <v/>
      </c>
      <c r="J223" s="24">
        <f>MAX(0,AX222)</f>
        <v/>
      </c>
      <c r="K223" s="24">
        <f>MAX(0,AY222)</f>
        <v/>
      </c>
      <c r="L223" s="24">
        <f>MAX(0,AZ222)</f>
        <v/>
      </c>
      <c r="M223" s="24">
        <f>MAX(0,BA222)</f>
        <v/>
      </c>
      <c r="N223" s="24">
        <f>IF(D223&lt;0.5,0,D223*(1+N('My Loans'!D6)/1200))</f>
        <v/>
      </c>
      <c r="O223" s="24">
        <f>IF(E223&lt;0.5,0,E223*(1+N('My Loans'!D7)/1200))</f>
        <v/>
      </c>
      <c r="P223" s="24">
        <f>IF(F223&lt;0.5,0,F223*(1+N('My Loans'!D8)/1200))</f>
        <v/>
      </c>
      <c r="Q223" s="24">
        <f>IF(G223&lt;0.5,0,G223*(1+N('My Loans'!D9)/1200))</f>
        <v/>
      </c>
      <c r="R223" s="24">
        <f>IF(H223&lt;0.5,0,H223*(1+N('My Loans'!D10)/1200))</f>
        <v/>
      </c>
      <c r="S223" s="24">
        <f>IF(I223&lt;0.5,0,I223*(1+N('My Loans'!D11)/1200))</f>
        <v/>
      </c>
      <c r="T223" s="24">
        <f>IF(J223&lt;0.5,0,J223*(1+N('My Loans'!D12)/1200))</f>
        <v/>
      </c>
      <c r="U223" s="24">
        <f>IF(K223&lt;0.5,0,K223*(1+N('My Loans'!D13)/1200))</f>
        <v/>
      </c>
      <c r="V223" s="24">
        <f>IF(L223&lt;0.5,0,L223*(1+N('My Loans'!D14)/1200))</f>
        <v/>
      </c>
      <c r="W223" s="24">
        <f>IF(M223&lt;0.5,0,M223*(1+N('My Loans'!D15)/1200))</f>
        <v/>
      </c>
      <c r="X223" s="24">
        <f>MIN(N223,N('My Loans'!E6))</f>
        <v/>
      </c>
      <c r="Y223" s="24">
        <f>MIN(O223,N('My Loans'!E7))</f>
        <v/>
      </c>
      <c r="Z223" s="24">
        <f>MIN(P223,N('My Loans'!E8))</f>
        <v/>
      </c>
      <c r="AA223" s="24">
        <f>MIN(Q223,N('My Loans'!E9))</f>
        <v/>
      </c>
      <c r="AB223" s="24">
        <f>MIN(R223,N('My Loans'!E10))</f>
        <v/>
      </c>
      <c r="AC223" s="24">
        <f>MIN(S223,N('My Loans'!E11))</f>
        <v/>
      </c>
      <c r="AD223" s="24">
        <f>MIN(T223,N('My Loans'!E12))</f>
        <v/>
      </c>
      <c r="AE223" s="24">
        <f>MIN(U223,N('My Loans'!E13))</f>
        <v/>
      </c>
      <c r="AF223" s="24">
        <f>MIN(V223,N('My Loans'!E14))</f>
        <v/>
      </c>
      <c r="AG223" s="24">
        <f>MIN(W223,N('My Loans'!E15))</f>
        <v/>
      </c>
      <c r="AH223" s="24">
        <f>MIN(N223-X223,MAX(0,$C223-SUMPRODUCT(($D$3:$M$3&lt;D$3)*($N223:$W223-$X223:$AG223))))</f>
        <v/>
      </c>
      <c r="AI223" s="24">
        <f>MIN(O223-Y223,MAX(0,$C223-SUMPRODUCT(($D$3:$M$3&lt;E$3)*($N223:$W223-$X223:$AG223))))</f>
        <v/>
      </c>
      <c r="AJ223" s="24">
        <f>MIN(P223-Z223,MAX(0,$C223-SUMPRODUCT(($D$3:$M$3&lt;F$3)*($N223:$W223-$X223:$AG223))))</f>
        <v/>
      </c>
      <c r="AK223" s="24">
        <f>MIN(Q223-AA223,MAX(0,$C223-SUMPRODUCT(($D$3:$M$3&lt;G$3)*($N223:$W223-$X223:$AG223))))</f>
        <v/>
      </c>
      <c r="AL223" s="24">
        <f>MIN(R223-AB223,MAX(0,$C223-SUMPRODUCT(($D$3:$M$3&lt;H$3)*($N223:$W223-$X223:$AG223))))</f>
        <v/>
      </c>
      <c r="AM223" s="24">
        <f>MIN(S223-AC223,MAX(0,$C223-SUMPRODUCT(($D$3:$M$3&lt;I$3)*($N223:$W223-$X223:$AG223))))</f>
        <v/>
      </c>
      <c r="AN223" s="24">
        <f>MIN(T223-AD223,MAX(0,$C223-SUMPRODUCT(($D$3:$M$3&lt;J$3)*($N223:$W223-$X223:$AG223))))</f>
        <v/>
      </c>
      <c r="AO223" s="24">
        <f>MIN(U223-AE223,MAX(0,$C223-SUMPRODUCT(($D$3:$M$3&lt;K$3)*($N223:$W223-$X223:$AG223))))</f>
        <v/>
      </c>
      <c r="AP223" s="24">
        <f>MIN(V223-AF223,MAX(0,$C223-SUMPRODUCT(($D$3:$M$3&lt;L$3)*($N223:$W223-$X223:$AG223))))</f>
        <v/>
      </c>
      <c r="AQ223" s="24">
        <f>MIN(W223-AG223,MAX(0,$C223-SUMPRODUCT(($D$3:$M$3&lt;M$3)*($N223:$W223-$X223:$AG223))))</f>
        <v/>
      </c>
      <c r="AR223" s="24">
        <f>ROUND(N223-X223-AH223,2)</f>
        <v/>
      </c>
      <c r="AS223" s="24">
        <f>ROUND(O223-Y223-AI223,2)</f>
        <v/>
      </c>
      <c r="AT223" s="24">
        <f>ROUND(P223-Z223-AJ223,2)</f>
        <v/>
      </c>
      <c r="AU223" s="24">
        <f>ROUND(Q223-AA223-AK223,2)</f>
        <v/>
      </c>
      <c r="AV223" s="24">
        <f>ROUND(R223-AB223-AL223,2)</f>
        <v/>
      </c>
      <c r="AW223" s="24">
        <f>ROUND(S223-AC223-AM223,2)</f>
        <v/>
      </c>
      <c r="AX223" s="24">
        <f>ROUND(T223-AD223-AN223,2)</f>
        <v/>
      </c>
      <c r="AY223" s="24">
        <f>ROUND(U223-AE223-AO223,2)</f>
        <v/>
      </c>
      <c r="AZ223" s="24">
        <f>ROUND(V223-AF223-AP223,2)</f>
        <v/>
      </c>
      <c r="BA223" s="24">
        <f>ROUND(W223-AG223-AQ223,2)</f>
        <v/>
      </c>
      <c r="BB223" s="24">
        <f>SUM(AR223:BA223)</f>
        <v/>
      </c>
    </row>
    <row r="224">
      <c r="A224" t="n">
        <v>220</v>
      </c>
      <c r="B224" s="23">
        <f>EOMONTH(TODAY(),219)</f>
        <v/>
      </c>
      <c r="C224" s="24">
        <f>MAX(0,(SUM('My Loans'!$E$6:$E$15)+'My Loans'!$D$3)-SUM($X224:$AG224))</f>
        <v/>
      </c>
      <c r="D224" s="24">
        <f>MAX(0,AR223)</f>
        <v/>
      </c>
      <c r="E224" s="24">
        <f>MAX(0,AS223)</f>
        <v/>
      </c>
      <c r="F224" s="24">
        <f>MAX(0,AT223)</f>
        <v/>
      </c>
      <c r="G224" s="24">
        <f>MAX(0,AU223)</f>
        <v/>
      </c>
      <c r="H224" s="24">
        <f>MAX(0,AV223)</f>
        <v/>
      </c>
      <c r="I224" s="24">
        <f>MAX(0,AW223)</f>
        <v/>
      </c>
      <c r="J224" s="24">
        <f>MAX(0,AX223)</f>
        <v/>
      </c>
      <c r="K224" s="24">
        <f>MAX(0,AY223)</f>
        <v/>
      </c>
      <c r="L224" s="24">
        <f>MAX(0,AZ223)</f>
        <v/>
      </c>
      <c r="M224" s="24">
        <f>MAX(0,BA223)</f>
        <v/>
      </c>
      <c r="N224" s="24">
        <f>IF(D224&lt;0.5,0,D224*(1+N('My Loans'!D6)/1200))</f>
        <v/>
      </c>
      <c r="O224" s="24">
        <f>IF(E224&lt;0.5,0,E224*(1+N('My Loans'!D7)/1200))</f>
        <v/>
      </c>
      <c r="P224" s="24">
        <f>IF(F224&lt;0.5,0,F224*(1+N('My Loans'!D8)/1200))</f>
        <v/>
      </c>
      <c r="Q224" s="24">
        <f>IF(G224&lt;0.5,0,G224*(1+N('My Loans'!D9)/1200))</f>
        <v/>
      </c>
      <c r="R224" s="24">
        <f>IF(H224&lt;0.5,0,H224*(1+N('My Loans'!D10)/1200))</f>
        <v/>
      </c>
      <c r="S224" s="24">
        <f>IF(I224&lt;0.5,0,I224*(1+N('My Loans'!D11)/1200))</f>
        <v/>
      </c>
      <c r="T224" s="24">
        <f>IF(J224&lt;0.5,0,J224*(1+N('My Loans'!D12)/1200))</f>
        <v/>
      </c>
      <c r="U224" s="24">
        <f>IF(K224&lt;0.5,0,K224*(1+N('My Loans'!D13)/1200))</f>
        <v/>
      </c>
      <c r="V224" s="24">
        <f>IF(L224&lt;0.5,0,L224*(1+N('My Loans'!D14)/1200))</f>
        <v/>
      </c>
      <c r="W224" s="24">
        <f>IF(M224&lt;0.5,0,M224*(1+N('My Loans'!D15)/1200))</f>
        <v/>
      </c>
      <c r="X224" s="24">
        <f>MIN(N224,N('My Loans'!E6))</f>
        <v/>
      </c>
      <c r="Y224" s="24">
        <f>MIN(O224,N('My Loans'!E7))</f>
        <v/>
      </c>
      <c r="Z224" s="24">
        <f>MIN(P224,N('My Loans'!E8))</f>
        <v/>
      </c>
      <c r="AA224" s="24">
        <f>MIN(Q224,N('My Loans'!E9))</f>
        <v/>
      </c>
      <c r="AB224" s="24">
        <f>MIN(R224,N('My Loans'!E10))</f>
        <v/>
      </c>
      <c r="AC224" s="24">
        <f>MIN(S224,N('My Loans'!E11))</f>
        <v/>
      </c>
      <c r="AD224" s="24">
        <f>MIN(T224,N('My Loans'!E12))</f>
        <v/>
      </c>
      <c r="AE224" s="24">
        <f>MIN(U224,N('My Loans'!E13))</f>
        <v/>
      </c>
      <c r="AF224" s="24">
        <f>MIN(V224,N('My Loans'!E14))</f>
        <v/>
      </c>
      <c r="AG224" s="24">
        <f>MIN(W224,N('My Loans'!E15))</f>
        <v/>
      </c>
      <c r="AH224" s="24">
        <f>MIN(N224-X224,MAX(0,$C224-SUMPRODUCT(($D$3:$M$3&lt;D$3)*($N224:$W224-$X224:$AG224))))</f>
        <v/>
      </c>
      <c r="AI224" s="24">
        <f>MIN(O224-Y224,MAX(0,$C224-SUMPRODUCT(($D$3:$M$3&lt;E$3)*($N224:$W224-$X224:$AG224))))</f>
        <v/>
      </c>
      <c r="AJ224" s="24">
        <f>MIN(P224-Z224,MAX(0,$C224-SUMPRODUCT(($D$3:$M$3&lt;F$3)*($N224:$W224-$X224:$AG224))))</f>
        <v/>
      </c>
      <c r="AK224" s="24">
        <f>MIN(Q224-AA224,MAX(0,$C224-SUMPRODUCT(($D$3:$M$3&lt;G$3)*($N224:$W224-$X224:$AG224))))</f>
        <v/>
      </c>
      <c r="AL224" s="24">
        <f>MIN(R224-AB224,MAX(0,$C224-SUMPRODUCT(($D$3:$M$3&lt;H$3)*($N224:$W224-$X224:$AG224))))</f>
        <v/>
      </c>
      <c r="AM224" s="24">
        <f>MIN(S224-AC224,MAX(0,$C224-SUMPRODUCT(($D$3:$M$3&lt;I$3)*($N224:$W224-$X224:$AG224))))</f>
        <v/>
      </c>
      <c r="AN224" s="24">
        <f>MIN(T224-AD224,MAX(0,$C224-SUMPRODUCT(($D$3:$M$3&lt;J$3)*($N224:$W224-$X224:$AG224))))</f>
        <v/>
      </c>
      <c r="AO224" s="24">
        <f>MIN(U224-AE224,MAX(0,$C224-SUMPRODUCT(($D$3:$M$3&lt;K$3)*($N224:$W224-$X224:$AG224))))</f>
        <v/>
      </c>
      <c r="AP224" s="24">
        <f>MIN(V224-AF224,MAX(0,$C224-SUMPRODUCT(($D$3:$M$3&lt;L$3)*($N224:$W224-$X224:$AG224))))</f>
        <v/>
      </c>
      <c r="AQ224" s="24">
        <f>MIN(W224-AG224,MAX(0,$C224-SUMPRODUCT(($D$3:$M$3&lt;M$3)*($N224:$W224-$X224:$AG224))))</f>
        <v/>
      </c>
      <c r="AR224" s="24">
        <f>ROUND(N224-X224-AH224,2)</f>
        <v/>
      </c>
      <c r="AS224" s="24">
        <f>ROUND(O224-Y224-AI224,2)</f>
        <v/>
      </c>
      <c r="AT224" s="24">
        <f>ROUND(P224-Z224-AJ224,2)</f>
        <v/>
      </c>
      <c r="AU224" s="24">
        <f>ROUND(Q224-AA224-AK224,2)</f>
        <v/>
      </c>
      <c r="AV224" s="24">
        <f>ROUND(R224-AB224-AL224,2)</f>
        <v/>
      </c>
      <c r="AW224" s="24">
        <f>ROUND(S224-AC224-AM224,2)</f>
        <v/>
      </c>
      <c r="AX224" s="24">
        <f>ROUND(T224-AD224-AN224,2)</f>
        <v/>
      </c>
      <c r="AY224" s="24">
        <f>ROUND(U224-AE224-AO224,2)</f>
        <v/>
      </c>
      <c r="AZ224" s="24">
        <f>ROUND(V224-AF224-AP224,2)</f>
        <v/>
      </c>
      <c r="BA224" s="24">
        <f>ROUND(W224-AG224-AQ224,2)</f>
        <v/>
      </c>
      <c r="BB224" s="24">
        <f>SUM(AR224:BA224)</f>
        <v/>
      </c>
    </row>
    <row r="225">
      <c r="A225" t="n">
        <v>221</v>
      </c>
      <c r="B225" s="23">
        <f>EOMONTH(TODAY(),220)</f>
        <v/>
      </c>
      <c r="C225" s="24">
        <f>MAX(0,(SUM('My Loans'!$E$6:$E$15)+'My Loans'!$D$3)-SUM($X225:$AG225))</f>
        <v/>
      </c>
      <c r="D225" s="24">
        <f>MAX(0,AR224)</f>
        <v/>
      </c>
      <c r="E225" s="24">
        <f>MAX(0,AS224)</f>
        <v/>
      </c>
      <c r="F225" s="24">
        <f>MAX(0,AT224)</f>
        <v/>
      </c>
      <c r="G225" s="24">
        <f>MAX(0,AU224)</f>
        <v/>
      </c>
      <c r="H225" s="24">
        <f>MAX(0,AV224)</f>
        <v/>
      </c>
      <c r="I225" s="24">
        <f>MAX(0,AW224)</f>
        <v/>
      </c>
      <c r="J225" s="24">
        <f>MAX(0,AX224)</f>
        <v/>
      </c>
      <c r="K225" s="24">
        <f>MAX(0,AY224)</f>
        <v/>
      </c>
      <c r="L225" s="24">
        <f>MAX(0,AZ224)</f>
        <v/>
      </c>
      <c r="M225" s="24">
        <f>MAX(0,BA224)</f>
        <v/>
      </c>
      <c r="N225" s="24">
        <f>IF(D225&lt;0.5,0,D225*(1+N('My Loans'!D6)/1200))</f>
        <v/>
      </c>
      <c r="O225" s="24">
        <f>IF(E225&lt;0.5,0,E225*(1+N('My Loans'!D7)/1200))</f>
        <v/>
      </c>
      <c r="P225" s="24">
        <f>IF(F225&lt;0.5,0,F225*(1+N('My Loans'!D8)/1200))</f>
        <v/>
      </c>
      <c r="Q225" s="24">
        <f>IF(G225&lt;0.5,0,G225*(1+N('My Loans'!D9)/1200))</f>
        <v/>
      </c>
      <c r="R225" s="24">
        <f>IF(H225&lt;0.5,0,H225*(1+N('My Loans'!D10)/1200))</f>
        <v/>
      </c>
      <c r="S225" s="24">
        <f>IF(I225&lt;0.5,0,I225*(1+N('My Loans'!D11)/1200))</f>
        <v/>
      </c>
      <c r="T225" s="24">
        <f>IF(J225&lt;0.5,0,J225*(1+N('My Loans'!D12)/1200))</f>
        <v/>
      </c>
      <c r="U225" s="24">
        <f>IF(K225&lt;0.5,0,K225*(1+N('My Loans'!D13)/1200))</f>
        <v/>
      </c>
      <c r="V225" s="24">
        <f>IF(L225&lt;0.5,0,L225*(1+N('My Loans'!D14)/1200))</f>
        <v/>
      </c>
      <c r="W225" s="24">
        <f>IF(M225&lt;0.5,0,M225*(1+N('My Loans'!D15)/1200))</f>
        <v/>
      </c>
      <c r="X225" s="24">
        <f>MIN(N225,N('My Loans'!E6))</f>
        <v/>
      </c>
      <c r="Y225" s="24">
        <f>MIN(O225,N('My Loans'!E7))</f>
        <v/>
      </c>
      <c r="Z225" s="24">
        <f>MIN(P225,N('My Loans'!E8))</f>
        <v/>
      </c>
      <c r="AA225" s="24">
        <f>MIN(Q225,N('My Loans'!E9))</f>
        <v/>
      </c>
      <c r="AB225" s="24">
        <f>MIN(R225,N('My Loans'!E10))</f>
        <v/>
      </c>
      <c r="AC225" s="24">
        <f>MIN(S225,N('My Loans'!E11))</f>
        <v/>
      </c>
      <c r="AD225" s="24">
        <f>MIN(T225,N('My Loans'!E12))</f>
        <v/>
      </c>
      <c r="AE225" s="24">
        <f>MIN(U225,N('My Loans'!E13))</f>
        <v/>
      </c>
      <c r="AF225" s="24">
        <f>MIN(V225,N('My Loans'!E14))</f>
        <v/>
      </c>
      <c r="AG225" s="24">
        <f>MIN(W225,N('My Loans'!E15))</f>
        <v/>
      </c>
      <c r="AH225" s="24">
        <f>MIN(N225-X225,MAX(0,$C225-SUMPRODUCT(($D$3:$M$3&lt;D$3)*($N225:$W225-$X225:$AG225))))</f>
        <v/>
      </c>
      <c r="AI225" s="24">
        <f>MIN(O225-Y225,MAX(0,$C225-SUMPRODUCT(($D$3:$M$3&lt;E$3)*($N225:$W225-$X225:$AG225))))</f>
        <v/>
      </c>
      <c r="AJ225" s="24">
        <f>MIN(P225-Z225,MAX(0,$C225-SUMPRODUCT(($D$3:$M$3&lt;F$3)*($N225:$W225-$X225:$AG225))))</f>
        <v/>
      </c>
      <c r="AK225" s="24">
        <f>MIN(Q225-AA225,MAX(0,$C225-SUMPRODUCT(($D$3:$M$3&lt;G$3)*($N225:$W225-$X225:$AG225))))</f>
        <v/>
      </c>
      <c r="AL225" s="24">
        <f>MIN(R225-AB225,MAX(0,$C225-SUMPRODUCT(($D$3:$M$3&lt;H$3)*($N225:$W225-$X225:$AG225))))</f>
        <v/>
      </c>
      <c r="AM225" s="24">
        <f>MIN(S225-AC225,MAX(0,$C225-SUMPRODUCT(($D$3:$M$3&lt;I$3)*($N225:$W225-$X225:$AG225))))</f>
        <v/>
      </c>
      <c r="AN225" s="24">
        <f>MIN(T225-AD225,MAX(0,$C225-SUMPRODUCT(($D$3:$M$3&lt;J$3)*($N225:$W225-$X225:$AG225))))</f>
        <v/>
      </c>
      <c r="AO225" s="24">
        <f>MIN(U225-AE225,MAX(0,$C225-SUMPRODUCT(($D$3:$M$3&lt;K$3)*($N225:$W225-$X225:$AG225))))</f>
        <v/>
      </c>
      <c r="AP225" s="24">
        <f>MIN(V225-AF225,MAX(0,$C225-SUMPRODUCT(($D$3:$M$3&lt;L$3)*($N225:$W225-$X225:$AG225))))</f>
        <v/>
      </c>
      <c r="AQ225" s="24">
        <f>MIN(W225-AG225,MAX(0,$C225-SUMPRODUCT(($D$3:$M$3&lt;M$3)*($N225:$W225-$X225:$AG225))))</f>
        <v/>
      </c>
      <c r="AR225" s="24">
        <f>ROUND(N225-X225-AH225,2)</f>
        <v/>
      </c>
      <c r="AS225" s="24">
        <f>ROUND(O225-Y225-AI225,2)</f>
        <v/>
      </c>
      <c r="AT225" s="24">
        <f>ROUND(P225-Z225-AJ225,2)</f>
        <v/>
      </c>
      <c r="AU225" s="24">
        <f>ROUND(Q225-AA225-AK225,2)</f>
        <v/>
      </c>
      <c r="AV225" s="24">
        <f>ROUND(R225-AB225-AL225,2)</f>
        <v/>
      </c>
      <c r="AW225" s="24">
        <f>ROUND(S225-AC225-AM225,2)</f>
        <v/>
      </c>
      <c r="AX225" s="24">
        <f>ROUND(T225-AD225-AN225,2)</f>
        <v/>
      </c>
      <c r="AY225" s="24">
        <f>ROUND(U225-AE225-AO225,2)</f>
        <v/>
      </c>
      <c r="AZ225" s="24">
        <f>ROUND(V225-AF225-AP225,2)</f>
        <v/>
      </c>
      <c r="BA225" s="24">
        <f>ROUND(W225-AG225-AQ225,2)</f>
        <v/>
      </c>
      <c r="BB225" s="24">
        <f>SUM(AR225:BA225)</f>
        <v/>
      </c>
    </row>
    <row r="226">
      <c r="A226" t="n">
        <v>222</v>
      </c>
      <c r="B226" s="23">
        <f>EOMONTH(TODAY(),221)</f>
        <v/>
      </c>
      <c r="C226" s="24">
        <f>MAX(0,(SUM('My Loans'!$E$6:$E$15)+'My Loans'!$D$3)-SUM($X226:$AG226))</f>
        <v/>
      </c>
      <c r="D226" s="24">
        <f>MAX(0,AR225)</f>
        <v/>
      </c>
      <c r="E226" s="24">
        <f>MAX(0,AS225)</f>
        <v/>
      </c>
      <c r="F226" s="24">
        <f>MAX(0,AT225)</f>
        <v/>
      </c>
      <c r="G226" s="24">
        <f>MAX(0,AU225)</f>
        <v/>
      </c>
      <c r="H226" s="24">
        <f>MAX(0,AV225)</f>
        <v/>
      </c>
      <c r="I226" s="24">
        <f>MAX(0,AW225)</f>
        <v/>
      </c>
      <c r="J226" s="24">
        <f>MAX(0,AX225)</f>
        <v/>
      </c>
      <c r="K226" s="24">
        <f>MAX(0,AY225)</f>
        <v/>
      </c>
      <c r="L226" s="24">
        <f>MAX(0,AZ225)</f>
        <v/>
      </c>
      <c r="M226" s="24">
        <f>MAX(0,BA225)</f>
        <v/>
      </c>
      <c r="N226" s="24">
        <f>IF(D226&lt;0.5,0,D226*(1+N('My Loans'!D6)/1200))</f>
        <v/>
      </c>
      <c r="O226" s="24">
        <f>IF(E226&lt;0.5,0,E226*(1+N('My Loans'!D7)/1200))</f>
        <v/>
      </c>
      <c r="P226" s="24">
        <f>IF(F226&lt;0.5,0,F226*(1+N('My Loans'!D8)/1200))</f>
        <v/>
      </c>
      <c r="Q226" s="24">
        <f>IF(G226&lt;0.5,0,G226*(1+N('My Loans'!D9)/1200))</f>
        <v/>
      </c>
      <c r="R226" s="24">
        <f>IF(H226&lt;0.5,0,H226*(1+N('My Loans'!D10)/1200))</f>
        <v/>
      </c>
      <c r="S226" s="24">
        <f>IF(I226&lt;0.5,0,I226*(1+N('My Loans'!D11)/1200))</f>
        <v/>
      </c>
      <c r="T226" s="24">
        <f>IF(J226&lt;0.5,0,J226*(1+N('My Loans'!D12)/1200))</f>
        <v/>
      </c>
      <c r="U226" s="24">
        <f>IF(K226&lt;0.5,0,K226*(1+N('My Loans'!D13)/1200))</f>
        <v/>
      </c>
      <c r="V226" s="24">
        <f>IF(L226&lt;0.5,0,L226*(1+N('My Loans'!D14)/1200))</f>
        <v/>
      </c>
      <c r="W226" s="24">
        <f>IF(M226&lt;0.5,0,M226*(1+N('My Loans'!D15)/1200))</f>
        <v/>
      </c>
      <c r="X226" s="24">
        <f>MIN(N226,N('My Loans'!E6))</f>
        <v/>
      </c>
      <c r="Y226" s="24">
        <f>MIN(O226,N('My Loans'!E7))</f>
        <v/>
      </c>
      <c r="Z226" s="24">
        <f>MIN(P226,N('My Loans'!E8))</f>
        <v/>
      </c>
      <c r="AA226" s="24">
        <f>MIN(Q226,N('My Loans'!E9))</f>
        <v/>
      </c>
      <c r="AB226" s="24">
        <f>MIN(R226,N('My Loans'!E10))</f>
        <v/>
      </c>
      <c r="AC226" s="24">
        <f>MIN(S226,N('My Loans'!E11))</f>
        <v/>
      </c>
      <c r="AD226" s="24">
        <f>MIN(T226,N('My Loans'!E12))</f>
        <v/>
      </c>
      <c r="AE226" s="24">
        <f>MIN(U226,N('My Loans'!E13))</f>
        <v/>
      </c>
      <c r="AF226" s="24">
        <f>MIN(V226,N('My Loans'!E14))</f>
        <v/>
      </c>
      <c r="AG226" s="24">
        <f>MIN(W226,N('My Loans'!E15))</f>
        <v/>
      </c>
      <c r="AH226" s="24">
        <f>MIN(N226-X226,MAX(0,$C226-SUMPRODUCT(($D$3:$M$3&lt;D$3)*($N226:$W226-$X226:$AG226))))</f>
        <v/>
      </c>
      <c r="AI226" s="24">
        <f>MIN(O226-Y226,MAX(0,$C226-SUMPRODUCT(($D$3:$M$3&lt;E$3)*($N226:$W226-$X226:$AG226))))</f>
        <v/>
      </c>
      <c r="AJ226" s="24">
        <f>MIN(P226-Z226,MAX(0,$C226-SUMPRODUCT(($D$3:$M$3&lt;F$3)*($N226:$W226-$X226:$AG226))))</f>
        <v/>
      </c>
      <c r="AK226" s="24">
        <f>MIN(Q226-AA226,MAX(0,$C226-SUMPRODUCT(($D$3:$M$3&lt;G$3)*($N226:$W226-$X226:$AG226))))</f>
        <v/>
      </c>
      <c r="AL226" s="24">
        <f>MIN(R226-AB226,MAX(0,$C226-SUMPRODUCT(($D$3:$M$3&lt;H$3)*($N226:$W226-$X226:$AG226))))</f>
        <v/>
      </c>
      <c r="AM226" s="24">
        <f>MIN(S226-AC226,MAX(0,$C226-SUMPRODUCT(($D$3:$M$3&lt;I$3)*($N226:$W226-$X226:$AG226))))</f>
        <v/>
      </c>
      <c r="AN226" s="24">
        <f>MIN(T226-AD226,MAX(0,$C226-SUMPRODUCT(($D$3:$M$3&lt;J$3)*($N226:$W226-$X226:$AG226))))</f>
        <v/>
      </c>
      <c r="AO226" s="24">
        <f>MIN(U226-AE226,MAX(0,$C226-SUMPRODUCT(($D$3:$M$3&lt;K$3)*($N226:$W226-$X226:$AG226))))</f>
        <v/>
      </c>
      <c r="AP226" s="24">
        <f>MIN(V226-AF226,MAX(0,$C226-SUMPRODUCT(($D$3:$M$3&lt;L$3)*($N226:$W226-$X226:$AG226))))</f>
        <v/>
      </c>
      <c r="AQ226" s="24">
        <f>MIN(W226-AG226,MAX(0,$C226-SUMPRODUCT(($D$3:$M$3&lt;M$3)*($N226:$W226-$X226:$AG226))))</f>
        <v/>
      </c>
      <c r="AR226" s="24">
        <f>ROUND(N226-X226-AH226,2)</f>
        <v/>
      </c>
      <c r="AS226" s="24">
        <f>ROUND(O226-Y226-AI226,2)</f>
        <v/>
      </c>
      <c r="AT226" s="24">
        <f>ROUND(P226-Z226-AJ226,2)</f>
        <v/>
      </c>
      <c r="AU226" s="24">
        <f>ROUND(Q226-AA226-AK226,2)</f>
        <v/>
      </c>
      <c r="AV226" s="24">
        <f>ROUND(R226-AB226-AL226,2)</f>
        <v/>
      </c>
      <c r="AW226" s="24">
        <f>ROUND(S226-AC226-AM226,2)</f>
        <v/>
      </c>
      <c r="AX226" s="24">
        <f>ROUND(T226-AD226-AN226,2)</f>
        <v/>
      </c>
      <c r="AY226" s="24">
        <f>ROUND(U226-AE226-AO226,2)</f>
        <v/>
      </c>
      <c r="AZ226" s="24">
        <f>ROUND(V226-AF226-AP226,2)</f>
        <v/>
      </c>
      <c r="BA226" s="24">
        <f>ROUND(W226-AG226-AQ226,2)</f>
        <v/>
      </c>
      <c r="BB226" s="24">
        <f>SUM(AR226:BA226)</f>
        <v/>
      </c>
    </row>
    <row r="227">
      <c r="A227" t="n">
        <v>223</v>
      </c>
      <c r="B227" s="23">
        <f>EOMONTH(TODAY(),222)</f>
        <v/>
      </c>
      <c r="C227" s="24">
        <f>MAX(0,(SUM('My Loans'!$E$6:$E$15)+'My Loans'!$D$3)-SUM($X227:$AG227))</f>
        <v/>
      </c>
      <c r="D227" s="24">
        <f>MAX(0,AR226)</f>
        <v/>
      </c>
      <c r="E227" s="24">
        <f>MAX(0,AS226)</f>
        <v/>
      </c>
      <c r="F227" s="24">
        <f>MAX(0,AT226)</f>
        <v/>
      </c>
      <c r="G227" s="24">
        <f>MAX(0,AU226)</f>
        <v/>
      </c>
      <c r="H227" s="24">
        <f>MAX(0,AV226)</f>
        <v/>
      </c>
      <c r="I227" s="24">
        <f>MAX(0,AW226)</f>
        <v/>
      </c>
      <c r="J227" s="24">
        <f>MAX(0,AX226)</f>
        <v/>
      </c>
      <c r="K227" s="24">
        <f>MAX(0,AY226)</f>
        <v/>
      </c>
      <c r="L227" s="24">
        <f>MAX(0,AZ226)</f>
        <v/>
      </c>
      <c r="M227" s="24">
        <f>MAX(0,BA226)</f>
        <v/>
      </c>
      <c r="N227" s="24">
        <f>IF(D227&lt;0.5,0,D227*(1+N('My Loans'!D6)/1200))</f>
        <v/>
      </c>
      <c r="O227" s="24">
        <f>IF(E227&lt;0.5,0,E227*(1+N('My Loans'!D7)/1200))</f>
        <v/>
      </c>
      <c r="P227" s="24">
        <f>IF(F227&lt;0.5,0,F227*(1+N('My Loans'!D8)/1200))</f>
        <v/>
      </c>
      <c r="Q227" s="24">
        <f>IF(G227&lt;0.5,0,G227*(1+N('My Loans'!D9)/1200))</f>
        <v/>
      </c>
      <c r="R227" s="24">
        <f>IF(H227&lt;0.5,0,H227*(1+N('My Loans'!D10)/1200))</f>
        <v/>
      </c>
      <c r="S227" s="24">
        <f>IF(I227&lt;0.5,0,I227*(1+N('My Loans'!D11)/1200))</f>
        <v/>
      </c>
      <c r="T227" s="24">
        <f>IF(J227&lt;0.5,0,J227*(1+N('My Loans'!D12)/1200))</f>
        <v/>
      </c>
      <c r="U227" s="24">
        <f>IF(K227&lt;0.5,0,K227*(1+N('My Loans'!D13)/1200))</f>
        <v/>
      </c>
      <c r="V227" s="24">
        <f>IF(L227&lt;0.5,0,L227*(1+N('My Loans'!D14)/1200))</f>
        <v/>
      </c>
      <c r="W227" s="24">
        <f>IF(M227&lt;0.5,0,M227*(1+N('My Loans'!D15)/1200))</f>
        <v/>
      </c>
      <c r="X227" s="24">
        <f>MIN(N227,N('My Loans'!E6))</f>
        <v/>
      </c>
      <c r="Y227" s="24">
        <f>MIN(O227,N('My Loans'!E7))</f>
        <v/>
      </c>
      <c r="Z227" s="24">
        <f>MIN(P227,N('My Loans'!E8))</f>
        <v/>
      </c>
      <c r="AA227" s="24">
        <f>MIN(Q227,N('My Loans'!E9))</f>
        <v/>
      </c>
      <c r="AB227" s="24">
        <f>MIN(R227,N('My Loans'!E10))</f>
        <v/>
      </c>
      <c r="AC227" s="24">
        <f>MIN(S227,N('My Loans'!E11))</f>
        <v/>
      </c>
      <c r="AD227" s="24">
        <f>MIN(T227,N('My Loans'!E12))</f>
        <v/>
      </c>
      <c r="AE227" s="24">
        <f>MIN(U227,N('My Loans'!E13))</f>
        <v/>
      </c>
      <c r="AF227" s="24">
        <f>MIN(V227,N('My Loans'!E14))</f>
        <v/>
      </c>
      <c r="AG227" s="24">
        <f>MIN(W227,N('My Loans'!E15))</f>
        <v/>
      </c>
      <c r="AH227" s="24">
        <f>MIN(N227-X227,MAX(0,$C227-SUMPRODUCT(($D$3:$M$3&lt;D$3)*($N227:$W227-$X227:$AG227))))</f>
        <v/>
      </c>
      <c r="AI227" s="24">
        <f>MIN(O227-Y227,MAX(0,$C227-SUMPRODUCT(($D$3:$M$3&lt;E$3)*($N227:$W227-$X227:$AG227))))</f>
        <v/>
      </c>
      <c r="AJ227" s="24">
        <f>MIN(P227-Z227,MAX(0,$C227-SUMPRODUCT(($D$3:$M$3&lt;F$3)*($N227:$W227-$X227:$AG227))))</f>
        <v/>
      </c>
      <c r="AK227" s="24">
        <f>MIN(Q227-AA227,MAX(0,$C227-SUMPRODUCT(($D$3:$M$3&lt;G$3)*($N227:$W227-$X227:$AG227))))</f>
        <v/>
      </c>
      <c r="AL227" s="24">
        <f>MIN(R227-AB227,MAX(0,$C227-SUMPRODUCT(($D$3:$M$3&lt;H$3)*($N227:$W227-$X227:$AG227))))</f>
        <v/>
      </c>
      <c r="AM227" s="24">
        <f>MIN(S227-AC227,MAX(0,$C227-SUMPRODUCT(($D$3:$M$3&lt;I$3)*($N227:$W227-$X227:$AG227))))</f>
        <v/>
      </c>
      <c r="AN227" s="24">
        <f>MIN(T227-AD227,MAX(0,$C227-SUMPRODUCT(($D$3:$M$3&lt;J$3)*($N227:$W227-$X227:$AG227))))</f>
        <v/>
      </c>
      <c r="AO227" s="24">
        <f>MIN(U227-AE227,MAX(0,$C227-SUMPRODUCT(($D$3:$M$3&lt;K$3)*($N227:$W227-$X227:$AG227))))</f>
        <v/>
      </c>
      <c r="AP227" s="24">
        <f>MIN(V227-AF227,MAX(0,$C227-SUMPRODUCT(($D$3:$M$3&lt;L$3)*($N227:$W227-$X227:$AG227))))</f>
        <v/>
      </c>
      <c r="AQ227" s="24">
        <f>MIN(W227-AG227,MAX(0,$C227-SUMPRODUCT(($D$3:$M$3&lt;M$3)*($N227:$W227-$X227:$AG227))))</f>
        <v/>
      </c>
      <c r="AR227" s="24">
        <f>ROUND(N227-X227-AH227,2)</f>
        <v/>
      </c>
      <c r="AS227" s="24">
        <f>ROUND(O227-Y227-AI227,2)</f>
        <v/>
      </c>
      <c r="AT227" s="24">
        <f>ROUND(P227-Z227-AJ227,2)</f>
        <v/>
      </c>
      <c r="AU227" s="24">
        <f>ROUND(Q227-AA227-AK227,2)</f>
        <v/>
      </c>
      <c r="AV227" s="24">
        <f>ROUND(R227-AB227-AL227,2)</f>
        <v/>
      </c>
      <c r="AW227" s="24">
        <f>ROUND(S227-AC227-AM227,2)</f>
        <v/>
      </c>
      <c r="AX227" s="24">
        <f>ROUND(T227-AD227-AN227,2)</f>
        <v/>
      </c>
      <c r="AY227" s="24">
        <f>ROUND(U227-AE227-AO227,2)</f>
        <v/>
      </c>
      <c r="AZ227" s="24">
        <f>ROUND(V227-AF227-AP227,2)</f>
        <v/>
      </c>
      <c r="BA227" s="24">
        <f>ROUND(W227-AG227-AQ227,2)</f>
        <v/>
      </c>
      <c r="BB227" s="24">
        <f>SUM(AR227:BA227)</f>
        <v/>
      </c>
    </row>
    <row r="228">
      <c r="A228" t="n">
        <v>224</v>
      </c>
      <c r="B228" s="23">
        <f>EOMONTH(TODAY(),223)</f>
        <v/>
      </c>
      <c r="C228" s="24">
        <f>MAX(0,(SUM('My Loans'!$E$6:$E$15)+'My Loans'!$D$3)-SUM($X228:$AG228))</f>
        <v/>
      </c>
      <c r="D228" s="24">
        <f>MAX(0,AR227)</f>
        <v/>
      </c>
      <c r="E228" s="24">
        <f>MAX(0,AS227)</f>
        <v/>
      </c>
      <c r="F228" s="24">
        <f>MAX(0,AT227)</f>
        <v/>
      </c>
      <c r="G228" s="24">
        <f>MAX(0,AU227)</f>
        <v/>
      </c>
      <c r="H228" s="24">
        <f>MAX(0,AV227)</f>
        <v/>
      </c>
      <c r="I228" s="24">
        <f>MAX(0,AW227)</f>
        <v/>
      </c>
      <c r="J228" s="24">
        <f>MAX(0,AX227)</f>
        <v/>
      </c>
      <c r="K228" s="24">
        <f>MAX(0,AY227)</f>
        <v/>
      </c>
      <c r="L228" s="24">
        <f>MAX(0,AZ227)</f>
        <v/>
      </c>
      <c r="M228" s="24">
        <f>MAX(0,BA227)</f>
        <v/>
      </c>
      <c r="N228" s="24">
        <f>IF(D228&lt;0.5,0,D228*(1+N('My Loans'!D6)/1200))</f>
        <v/>
      </c>
      <c r="O228" s="24">
        <f>IF(E228&lt;0.5,0,E228*(1+N('My Loans'!D7)/1200))</f>
        <v/>
      </c>
      <c r="P228" s="24">
        <f>IF(F228&lt;0.5,0,F228*(1+N('My Loans'!D8)/1200))</f>
        <v/>
      </c>
      <c r="Q228" s="24">
        <f>IF(G228&lt;0.5,0,G228*(1+N('My Loans'!D9)/1200))</f>
        <v/>
      </c>
      <c r="R228" s="24">
        <f>IF(H228&lt;0.5,0,H228*(1+N('My Loans'!D10)/1200))</f>
        <v/>
      </c>
      <c r="S228" s="24">
        <f>IF(I228&lt;0.5,0,I228*(1+N('My Loans'!D11)/1200))</f>
        <v/>
      </c>
      <c r="T228" s="24">
        <f>IF(J228&lt;0.5,0,J228*(1+N('My Loans'!D12)/1200))</f>
        <v/>
      </c>
      <c r="U228" s="24">
        <f>IF(K228&lt;0.5,0,K228*(1+N('My Loans'!D13)/1200))</f>
        <v/>
      </c>
      <c r="V228" s="24">
        <f>IF(L228&lt;0.5,0,L228*(1+N('My Loans'!D14)/1200))</f>
        <v/>
      </c>
      <c r="W228" s="24">
        <f>IF(M228&lt;0.5,0,M228*(1+N('My Loans'!D15)/1200))</f>
        <v/>
      </c>
      <c r="X228" s="24">
        <f>MIN(N228,N('My Loans'!E6))</f>
        <v/>
      </c>
      <c r="Y228" s="24">
        <f>MIN(O228,N('My Loans'!E7))</f>
        <v/>
      </c>
      <c r="Z228" s="24">
        <f>MIN(P228,N('My Loans'!E8))</f>
        <v/>
      </c>
      <c r="AA228" s="24">
        <f>MIN(Q228,N('My Loans'!E9))</f>
        <v/>
      </c>
      <c r="AB228" s="24">
        <f>MIN(R228,N('My Loans'!E10))</f>
        <v/>
      </c>
      <c r="AC228" s="24">
        <f>MIN(S228,N('My Loans'!E11))</f>
        <v/>
      </c>
      <c r="AD228" s="24">
        <f>MIN(T228,N('My Loans'!E12))</f>
        <v/>
      </c>
      <c r="AE228" s="24">
        <f>MIN(U228,N('My Loans'!E13))</f>
        <v/>
      </c>
      <c r="AF228" s="24">
        <f>MIN(V228,N('My Loans'!E14))</f>
        <v/>
      </c>
      <c r="AG228" s="24">
        <f>MIN(W228,N('My Loans'!E15))</f>
        <v/>
      </c>
      <c r="AH228" s="24">
        <f>MIN(N228-X228,MAX(0,$C228-SUMPRODUCT(($D$3:$M$3&lt;D$3)*($N228:$W228-$X228:$AG228))))</f>
        <v/>
      </c>
      <c r="AI228" s="24">
        <f>MIN(O228-Y228,MAX(0,$C228-SUMPRODUCT(($D$3:$M$3&lt;E$3)*($N228:$W228-$X228:$AG228))))</f>
        <v/>
      </c>
      <c r="AJ228" s="24">
        <f>MIN(P228-Z228,MAX(0,$C228-SUMPRODUCT(($D$3:$M$3&lt;F$3)*($N228:$W228-$X228:$AG228))))</f>
        <v/>
      </c>
      <c r="AK228" s="24">
        <f>MIN(Q228-AA228,MAX(0,$C228-SUMPRODUCT(($D$3:$M$3&lt;G$3)*($N228:$W228-$X228:$AG228))))</f>
        <v/>
      </c>
      <c r="AL228" s="24">
        <f>MIN(R228-AB228,MAX(0,$C228-SUMPRODUCT(($D$3:$M$3&lt;H$3)*($N228:$W228-$X228:$AG228))))</f>
        <v/>
      </c>
      <c r="AM228" s="24">
        <f>MIN(S228-AC228,MAX(0,$C228-SUMPRODUCT(($D$3:$M$3&lt;I$3)*($N228:$W228-$X228:$AG228))))</f>
        <v/>
      </c>
      <c r="AN228" s="24">
        <f>MIN(T228-AD228,MAX(0,$C228-SUMPRODUCT(($D$3:$M$3&lt;J$3)*($N228:$W228-$X228:$AG228))))</f>
        <v/>
      </c>
      <c r="AO228" s="24">
        <f>MIN(U228-AE228,MAX(0,$C228-SUMPRODUCT(($D$3:$M$3&lt;K$3)*($N228:$W228-$X228:$AG228))))</f>
        <v/>
      </c>
      <c r="AP228" s="24">
        <f>MIN(V228-AF228,MAX(0,$C228-SUMPRODUCT(($D$3:$M$3&lt;L$3)*($N228:$W228-$X228:$AG228))))</f>
        <v/>
      </c>
      <c r="AQ228" s="24">
        <f>MIN(W228-AG228,MAX(0,$C228-SUMPRODUCT(($D$3:$M$3&lt;M$3)*($N228:$W228-$X228:$AG228))))</f>
        <v/>
      </c>
      <c r="AR228" s="24">
        <f>ROUND(N228-X228-AH228,2)</f>
        <v/>
      </c>
      <c r="AS228" s="24">
        <f>ROUND(O228-Y228-AI228,2)</f>
        <v/>
      </c>
      <c r="AT228" s="24">
        <f>ROUND(P228-Z228-AJ228,2)</f>
        <v/>
      </c>
      <c r="AU228" s="24">
        <f>ROUND(Q228-AA228-AK228,2)</f>
        <v/>
      </c>
      <c r="AV228" s="24">
        <f>ROUND(R228-AB228-AL228,2)</f>
        <v/>
      </c>
      <c r="AW228" s="24">
        <f>ROUND(S228-AC228-AM228,2)</f>
        <v/>
      </c>
      <c r="AX228" s="24">
        <f>ROUND(T228-AD228-AN228,2)</f>
        <v/>
      </c>
      <c r="AY228" s="24">
        <f>ROUND(U228-AE228-AO228,2)</f>
        <v/>
      </c>
      <c r="AZ228" s="24">
        <f>ROUND(V228-AF228-AP228,2)</f>
        <v/>
      </c>
      <c r="BA228" s="24">
        <f>ROUND(W228-AG228-AQ228,2)</f>
        <v/>
      </c>
      <c r="BB228" s="24">
        <f>SUM(AR228:BA228)</f>
        <v/>
      </c>
    </row>
    <row r="229">
      <c r="A229" t="n">
        <v>225</v>
      </c>
      <c r="B229" s="23">
        <f>EOMONTH(TODAY(),224)</f>
        <v/>
      </c>
      <c r="C229" s="24">
        <f>MAX(0,(SUM('My Loans'!$E$6:$E$15)+'My Loans'!$D$3)-SUM($X229:$AG229))</f>
        <v/>
      </c>
      <c r="D229" s="24">
        <f>MAX(0,AR228)</f>
        <v/>
      </c>
      <c r="E229" s="24">
        <f>MAX(0,AS228)</f>
        <v/>
      </c>
      <c r="F229" s="24">
        <f>MAX(0,AT228)</f>
        <v/>
      </c>
      <c r="G229" s="24">
        <f>MAX(0,AU228)</f>
        <v/>
      </c>
      <c r="H229" s="24">
        <f>MAX(0,AV228)</f>
        <v/>
      </c>
      <c r="I229" s="24">
        <f>MAX(0,AW228)</f>
        <v/>
      </c>
      <c r="J229" s="24">
        <f>MAX(0,AX228)</f>
        <v/>
      </c>
      <c r="K229" s="24">
        <f>MAX(0,AY228)</f>
        <v/>
      </c>
      <c r="L229" s="24">
        <f>MAX(0,AZ228)</f>
        <v/>
      </c>
      <c r="M229" s="24">
        <f>MAX(0,BA228)</f>
        <v/>
      </c>
      <c r="N229" s="24">
        <f>IF(D229&lt;0.5,0,D229*(1+N('My Loans'!D6)/1200))</f>
        <v/>
      </c>
      <c r="O229" s="24">
        <f>IF(E229&lt;0.5,0,E229*(1+N('My Loans'!D7)/1200))</f>
        <v/>
      </c>
      <c r="P229" s="24">
        <f>IF(F229&lt;0.5,0,F229*(1+N('My Loans'!D8)/1200))</f>
        <v/>
      </c>
      <c r="Q229" s="24">
        <f>IF(G229&lt;0.5,0,G229*(1+N('My Loans'!D9)/1200))</f>
        <v/>
      </c>
      <c r="R229" s="24">
        <f>IF(H229&lt;0.5,0,H229*(1+N('My Loans'!D10)/1200))</f>
        <v/>
      </c>
      <c r="S229" s="24">
        <f>IF(I229&lt;0.5,0,I229*(1+N('My Loans'!D11)/1200))</f>
        <v/>
      </c>
      <c r="T229" s="24">
        <f>IF(J229&lt;0.5,0,J229*(1+N('My Loans'!D12)/1200))</f>
        <v/>
      </c>
      <c r="U229" s="24">
        <f>IF(K229&lt;0.5,0,K229*(1+N('My Loans'!D13)/1200))</f>
        <v/>
      </c>
      <c r="V229" s="24">
        <f>IF(L229&lt;0.5,0,L229*(1+N('My Loans'!D14)/1200))</f>
        <v/>
      </c>
      <c r="W229" s="24">
        <f>IF(M229&lt;0.5,0,M229*(1+N('My Loans'!D15)/1200))</f>
        <v/>
      </c>
      <c r="X229" s="24">
        <f>MIN(N229,N('My Loans'!E6))</f>
        <v/>
      </c>
      <c r="Y229" s="24">
        <f>MIN(O229,N('My Loans'!E7))</f>
        <v/>
      </c>
      <c r="Z229" s="24">
        <f>MIN(P229,N('My Loans'!E8))</f>
        <v/>
      </c>
      <c r="AA229" s="24">
        <f>MIN(Q229,N('My Loans'!E9))</f>
        <v/>
      </c>
      <c r="AB229" s="24">
        <f>MIN(R229,N('My Loans'!E10))</f>
        <v/>
      </c>
      <c r="AC229" s="24">
        <f>MIN(S229,N('My Loans'!E11))</f>
        <v/>
      </c>
      <c r="AD229" s="24">
        <f>MIN(T229,N('My Loans'!E12))</f>
        <v/>
      </c>
      <c r="AE229" s="24">
        <f>MIN(U229,N('My Loans'!E13))</f>
        <v/>
      </c>
      <c r="AF229" s="24">
        <f>MIN(V229,N('My Loans'!E14))</f>
        <v/>
      </c>
      <c r="AG229" s="24">
        <f>MIN(W229,N('My Loans'!E15))</f>
        <v/>
      </c>
      <c r="AH229" s="24">
        <f>MIN(N229-X229,MAX(0,$C229-SUMPRODUCT(($D$3:$M$3&lt;D$3)*($N229:$W229-$X229:$AG229))))</f>
        <v/>
      </c>
      <c r="AI229" s="24">
        <f>MIN(O229-Y229,MAX(0,$C229-SUMPRODUCT(($D$3:$M$3&lt;E$3)*($N229:$W229-$X229:$AG229))))</f>
        <v/>
      </c>
      <c r="AJ229" s="24">
        <f>MIN(P229-Z229,MAX(0,$C229-SUMPRODUCT(($D$3:$M$3&lt;F$3)*($N229:$W229-$X229:$AG229))))</f>
        <v/>
      </c>
      <c r="AK229" s="24">
        <f>MIN(Q229-AA229,MAX(0,$C229-SUMPRODUCT(($D$3:$M$3&lt;G$3)*($N229:$W229-$X229:$AG229))))</f>
        <v/>
      </c>
      <c r="AL229" s="24">
        <f>MIN(R229-AB229,MAX(0,$C229-SUMPRODUCT(($D$3:$M$3&lt;H$3)*($N229:$W229-$X229:$AG229))))</f>
        <v/>
      </c>
      <c r="AM229" s="24">
        <f>MIN(S229-AC229,MAX(0,$C229-SUMPRODUCT(($D$3:$M$3&lt;I$3)*($N229:$W229-$X229:$AG229))))</f>
        <v/>
      </c>
      <c r="AN229" s="24">
        <f>MIN(T229-AD229,MAX(0,$C229-SUMPRODUCT(($D$3:$M$3&lt;J$3)*($N229:$W229-$X229:$AG229))))</f>
        <v/>
      </c>
      <c r="AO229" s="24">
        <f>MIN(U229-AE229,MAX(0,$C229-SUMPRODUCT(($D$3:$M$3&lt;K$3)*($N229:$W229-$X229:$AG229))))</f>
        <v/>
      </c>
      <c r="AP229" s="24">
        <f>MIN(V229-AF229,MAX(0,$C229-SUMPRODUCT(($D$3:$M$3&lt;L$3)*($N229:$W229-$X229:$AG229))))</f>
        <v/>
      </c>
      <c r="AQ229" s="24">
        <f>MIN(W229-AG229,MAX(0,$C229-SUMPRODUCT(($D$3:$M$3&lt;M$3)*($N229:$W229-$X229:$AG229))))</f>
        <v/>
      </c>
      <c r="AR229" s="24">
        <f>ROUND(N229-X229-AH229,2)</f>
        <v/>
      </c>
      <c r="AS229" s="24">
        <f>ROUND(O229-Y229-AI229,2)</f>
        <v/>
      </c>
      <c r="AT229" s="24">
        <f>ROUND(P229-Z229-AJ229,2)</f>
        <v/>
      </c>
      <c r="AU229" s="24">
        <f>ROUND(Q229-AA229-AK229,2)</f>
        <v/>
      </c>
      <c r="AV229" s="24">
        <f>ROUND(R229-AB229-AL229,2)</f>
        <v/>
      </c>
      <c r="AW229" s="24">
        <f>ROUND(S229-AC229-AM229,2)</f>
        <v/>
      </c>
      <c r="AX229" s="24">
        <f>ROUND(T229-AD229-AN229,2)</f>
        <v/>
      </c>
      <c r="AY229" s="24">
        <f>ROUND(U229-AE229-AO229,2)</f>
        <v/>
      </c>
      <c r="AZ229" s="24">
        <f>ROUND(V229-AF229-AP229,2)</f>
        <v/>
      </c>
      <c r="BA229" s="24">
        <f>ROUND(W229-AG229-AQ229,2)</f>
        <v/>
      </c>
      <c r="BB229" s="24">
        <f>SUM(AR229:BA229)</f>
        <v/>
      </c>
    </row>
    <row r="230">
      <c r="A230" t="n">
        <v>226</v>
      </c>
      <c r="B230" s="23">
        <f>EOMONTH(TODAY(),225)</f>
        <v/>
      </c>
      <c r="C230" s="24">
        <f>MAX(0,(SUM('My Loans'!$E$6:$E$15)+'My Loans'!$D$3)-SUM($X230:$AG230))</f>
        <v/>
      </c>
      <c r="D230" s="24">
        <f>MAX(0,AR229)</f>
        <v/>
      </c>
      <c r="E230" s="24">
        <f>MAX(0,AS229)</f>
        <v/>
      </c>
      <c r="F230" s="24">
        <f>MAX(0,AT229)</f>
        <v/>
      </c>
      <c r="G230" s="24">
        <f>MAX(0,AU229)</f>
        <v/>
      </c>
      <c r="H230" s="24">
        <f>MAX(0,AV229)</f>
        <v/>
      </c>
      <c r="I230" s="24">
        <f>MAX(0,AW229)</f>
        <v/>
      </c>
      <c r="J230" s="24">
        <f>MAX(0,AX229)</f>
        <v/>
      </c>
      <c r="K230" s="24">
        <f>MAX(0,AY229)</f>
        <v/>
      </c>
      <c r="L230" s="24">
        <f>MAX(0,AZ229)</f>
        <v/>
      </c>
      <c r="M230" s="24">
        <f>MAX(0,BA229)</f>
        <v/>
      </c>
      <c r="N230" s="24">
        <f>IF(D230&lt;0.5,0,D230*(1+N('My Loans'!D6)/1200))</f>
        <v/>
      </c>
      <c r="O230" s="24">
        <f>IF(E230&lt;0.5,0,E230*(1+N('My Loans'!D7)/1200))</f>
        <v/>
      </c>
      <c r="P230" s="24">
        <f>IF(F230&lt;0.5,0,F230*(1+N('My Loans'!D8)/1200))</f>
        <v/>
      </c>
      <c r="Q230" s="24">
        <f>IF(G230&lt;0.5,0,G230*(1+N('My Loans'!D9)/1200))</f>
        <v/>
      </c>
      <c r="R230" s="24">
        <f>IF(H230&lt;0.5,0,H230*(1+N('My Loans'!D10)/1200))</f>
        <v/>
      </c>
      <c r="S230" s="24">
        <f>IF(I230&lt;0.5,0,I230*(1+N('My Loans'!D11)/1200))</f>
        <v/>
      </c>
      <c r="T230" s="24">
        <f>IF(J230&lt;0.5,0,J230*(1+N('My Loans'!D12)/1200))</f>
        <v/>
      </c>
      <c r="U230" s="24">
        <f>IF(K230&lt;0.5,0,K230*(1+N('My Loans'!D13)/1200))</f>
        <v/>
      </c>
      <c r="V230" s="24">
        <f>IF(L230&lt;0.5,0,L230*(1+N('My Loans'!D14)/1200))</f>
        <v/>
      </c>
      <c r="W230" s="24">
        <f>IF(M230&lt;0.5,0,M230*(1+N('My Loans'!D15)/1200))</f>
        <v/>
      </c>
      <c r="X230" s="24">
        <f>MIN(N230,N('My Loans'!E6))</f>
        <v/>
      </c>
      <c r="Y230" s="24">
        <f>MIN(O230,N('My Loans'!E7))</f>
        <v/>
      </c>
      <c r="Z230" s="24">
        <f>MIN(P230,N('My Loans'!E8))</f>
        <v/>
      </c>
      <c r="AA230" s="24">
        <f>MIN(Q230,N('My Loans'!E9))</f>
        <v/>
      </c>
      <c r="AB230" s="24">
        <f>MIN(R230,N('My Loans'!E10))</f>
        <v/>
      </c>
      <c r="AC230" s="24">
        <f>MIN(S230,N('My Loans'!E11))</f>
        <v/>
      </c>
      <c r="AD230" s="24">
        <f>MIN(T230,N('My Loans'!E12))</f>
        <v/>
      </c>
      <c r="AE230" s="24">
        <f>MIN(U230,N('My Loans'!E13))</f>
        <v/>
      </c>
      <c r="AF230" s="24">
        <f>MIN(V230,N('My Loans'!E14))</f>
        <v/>
      </c>
      <c r="AG230" s="24">
        <f>MIN(W230,N('My Loans'!E15))</f>
        <v/>
      </c>
      <c r="AH230" s="24">
        <f>MIN(N230-X230,MAX(0,$C230-SUMPRODUCT(($D$3:$M$3&lt;D$3)*($N230:$W230-$X230:$AG230))))</f>
        <v/>
      </c>
      <c r="AI230" s="24">
        <f>MIN(O230-Y230,MAX(0,$C230-SUMPRODUCT(($D$3:$M$3&lt;E$3)*($N230:$W230-$X230:$AG230))))</f>
        <v/>
      </c>
      <c r="AJ230" s="24">
        <f>MIN(P230-Z230,MAX(0,$C230-SUMPRODUCT(($D$3:$M$3&lt;F$3)*($N230:$W230-$X230:$AG230))))</f>
        <v/>
      </c>
      <c r="AK230" s="24">
        <f>MIN(Q230-AA230,MAX(0,$C230-SUMPRODUCT(($D$3:$M$3&lt;G$3)*($N230:$W230-$X230:$AG230))))</f>
        <v/>
      </c>
      <c r="AL230" s="24">
        <f>MIN(R230-AB230,MAX(0,$C230-SUMPRODUCT(($D$3:$M$3&lt;H$3)*($N230:$W230-$X230:$AG230))))</f>
        <v/>
      </c>
      <c r="AM230" s="24">
        <f>MIN(S230-AC230,MAX(0,$C230-SUMPRODUCT(($D$3:$M$3&lt;I$3)*($N230:$W230-$X230:$AG230))))</f>
        <v/>
      </c>
      <c r="AN230" s="24">
        <f>MIN(T230-AD230,MAX(0,$C230-SUMPRODUCT(($D$3:$M$3&lt;J$3)*($N230:$W230-$X230:$AG230))))</f>
        <v/>
      </c>
      <c r="AO230" s="24">
        <f>MIN(U230-AE230,MAX(0,$C230-SUMPRODUCT(($D$3:$M$3&lt;K$3)*($N230:$W230-$X230:$AG230))))</f>
        <v/>
      </c>
      <c r="AP230" s="24">
        <f>MIN(V230-AF230,MAX(0,$C230-SUMPRODUCT(($D$3:$M$3&lt;L$3)*($N230:$W230-$X230:$AG230))))</f>
        <v/>
      </c>
      <c r="AQ230" s="24">
        <f>MIN(W230-AG230,MAX(0,$C230-SUMPRODUCT(($D$3:$M$3&lt;M$3)*($N230:$W230-$X230:$AG230))))</f>
        <v/>
      </c>
      <c r="AR230" s="24">
        <f>ROUND(N230-X230-AH230,2)</f>
        <v/>
      </c>
      <c r="AS230" s="24">
        <f>ROUND(O230-Y230-AI230,2)</f>
        <v/>
      </c>
      <c r="AT230" s="24">
        <f>ROUND(P230-Z230-AJ230,2)</f>
        <v/>
      </c>
      <c r="AU230" s="24">
        <f>ROUND(Q230-AA230-AK230,2)</f>
        <v/>
      </c>
      <c r="AV230" s="24">
        <f>ROUND(R230-AB230-AL230,2)</f>
        <v/>
      </c>
      <c r="AW230" s="24">
        <f>ROUND(S230-AC230-AM230,2)</f>
        <v/>
      </c>
      <c r="AX230" s="24">
        <f>ROUND(T230-AD230-AN230,2)</f>
        <v/>
      </c>
      <c r="AY230" s="24">
        <f>ROUND(U230-AE230-AO230,2)</f>
        <v/>
      </c>
      <c r="AZ230" s="24">
        <f>ROUND(V230-AF230-AP230,2)</f>
        <v/>
      </c>
      <c r="BA230" s="24">
        <f>ROUND(W230-AG230-AQ230,2)</f>
        <v/>
      </c>
      <c r="BB230" s="24">
        <f>SUM(AR230:BA230)</f>
        <v/>
      </c>
    </row>
    <row r="231">
      <c r="A231" t="n">
        <v>227</v>
      </c>
      <c r="B231" s="23">
        <f>EOMONTH(TODAY(),226)</f>
        <v/>
      </c>
      <c r="C231" s="24">
        <f>MAX(0,(SUM('My Loans'!$E$6:$E$15)+'My Loans'!$D$3)-SUM($X231:$AG231))</f>
        <v/>
      </c>
      <c r="D231" s="24">
        <f>MAX(0,AR230)</f>
        <v/>
      </c>
      <c r="E231" s="24">
        <f>MAX(0,AS230)</f>
        <v/>
      </c>
      <c r="F231" s="24">
        <f>MAX(0,AT230)</f>
        <v/>
      </c>
      <c r="G231" s="24">
        <f>MAX(0,AU230)</f>
        <v/>
      </c>
      <c r="H231" s="24">
        <f>MAX(0,AV230)</f>
        <v/>
      </c>
      <c r="I231" s="24">
        <f>MAX(0,AW230)</f>
        <v/>
      </c>
      <c r="J231" s="24">
        <f>MAX(0,AX230)</f>
        <v/>
      </c>
      <c r="K231" s="24">
        <f>MAX(0,AY230)</f>
        <v/>
      </c>
      <c r="L231" s="24">
        <f>MAX(0,AZ230)</f>
        <v/>
      </c>
      <c r="M231" s="24">
        <f>MAX(0,BA230)</f>
        <v/>
      </c>
      <c r="N231" s="24">
        <f>IF(D231&lt;0.5,0,D231*(1+N('My Loans'!D6)/1200))</f>
        <v/>
      </c>
      <c r="O231" s="24">
        <f>IF(E231&lt;0.5,0,E231*(1+N('My Loans'!D7)/1200))</f>
        <v/>
      </c>
      <c r="P231" s="24">
        <f>IF(F231&lt;0.5,0,F231*(1+N('My Loans'!D8)/1200))</f>
        <v/>
      </c>
      <c r="Q231" s="24">
        <f>IF(G231&lt;0.5,0,G231*(1+N('My Loans'!D9)/1200))</f>
        <v/>
      </c>
      <c r="R231" s="24">
        <f>IF(H231&lt;0.5,0,H231*(1+N('My Loans'!D10)/1200))</f>
        <v/>
      </c>
      <c r="S231" s="24">
        <f>IF(I231&lt;0.5,0,I231*(1+N('My Loans'!D11)/1200))</f>
        <v/>
      </c>
      <c r="T231" s="24">
        <f>IF(J231&lt;0.5,0,J231*(1+N('My Loans'!D12)/1200))</f>
        <v/>
      </c>
      <c r="U231" s="24">
        <f>IF(K231&lt;0.5,0,K231*(1+N('My Loans'!D13)/1200))</f>
        <v/>
      </c>
      <c r="V231" s="24">
        <f>IF(L231&lt;0.5,0,L231*(1+N('My Loans'!D14)/1200))</f>
        <v/>
      </c>
      <c r="W231" s="24">
        <f>IF(M231&lt;0.5,0,M231*(1+N('My Loans'!D15)/1200))</f>
        <v/>
      </c>
      <c r="X231" s="24">
        <f>MIN(N231,N('My Loans'!E6))</f>
        <v/>
      </c>
      <c r="Y231" s="24">
        <f>MIN(O231,N('My Loans'!E7))</f>
        <v/>
      </c>
      <c r="Z231" s="24">
        <f>MIN(P231,N('My Loans'!E8))</f>
        <v/>
      </c>
      <c r="AA231" s="24">
        <f>MIN(Q231,N('My Loans'!E9))</f>
        <v/>
      </c>
      <c r="AB231" s="24">
        <f>MIN(R231,N('My Loans'!E10))</f>
        <v/>
      </c>
      <c r="AC231" s="24">
        <f>MIN(S231,N('My Loans'!E11))</f>
        <v/>
      </c>
      <c r="AD231" s="24">
        <f>MIN(T231,N('My Loans'!E12))</f>
        <v/>
      </c>
      <c r="AE231" s="24">
        <f>MIN(U231,N('My Loans'!E13))</f>
        <v/>
      </c>
      <c r="AF231" s="24">
        <f>MIN(V231,N('My Loans'!E14))</f>
        <v/>
      </c>
      <c r="AG231" s="24">
        <f>MIN(W231,N('My Loans'!E15))</f>
        <v/>
      </c>
      <c r="AH231" s="24">
        <f>MIN(N231-X231,MAX(0,$C231-SUMPRODUCT(($D$3:$M$3&lt;D$3)*($N231:$W231-$X231:$AG231))))</f>
        <v/>
      </c>
      <c r="AI231" s="24">
        <f>MIN(O231-Y231,MAX(0,$C231-SUMPRODUCT(($D$3:$M$3&lt;E$3)*($N231:$W231-$X231:$AG231))))</f>
        <v/>
      </c>
      <c r="AJ231" s="24">
        <f>MIN(P231-Z231,MAX(0,$C231-SUMPRODUCT(($D$3:$M$3&lt;F$3)*($N231:$W231-$X231:$AG231))))</f>
        <v/>
      </c>
      <c r="AK231" s="24">
        <f>MIN(Q231-AA231,MAX(0,$C231-SUMPRODUCT(($D$3:$M$3&lt;G$3)*($N231:$W231-$X231:$AG231))))</f>
        <v/>
      </c>
      <c r="AL231" s="24">
        <f>MIN(R231-AB231,MAX(0,$C231-SUMPRODUCT(($D$3:$M$3&lt;H$3)*($N231:$W231-$X231:$AG231))))</f>
        <v/>
      </c>
      <c r="AM231" s="24">
        <f>MIN(S231-AC231,MAX(0,$C231-SUMPRODUCT(($D$3:$M$3&lt;I$3)*($N231:$W231-$X231:$AG231))))</f>
        <v/>
      </c>
      <c r="AN231" s="24">
        <f>MIN(T231-AD231,MAX(0,$C231-SUMPRODUCT(($D$3:$M$3&lt;J$3)*($N231:$W231-$X231:$AG231))))</f>
        <v/>
      </c>
      <c r="AO231" s="24">
        <f>MIN(U231-AE231,MAX(0,$C231-SUMPRODUCT(($D$3:$M$3&lt;K$3)*($N231:$W231-$X231:$AG231))))</f>
        <v/>
      </c>
      <c r="AP231" s="24">
        <f>MIN(V231-AF231,MAX(0,$C231-SUMPRODUCT(($D$3:$M$3&lt;L$3)*($N231:$W231-$X231:$AG231))))</f>
        <v/>
      </c>
      <c r="AQ231" s="24">
        <f>MIN(W231-AG231,MAX(0,$C231-SUMPRODUCT(($D$3:$M$3&lt;M$3)*($N231:$W231-$X231:$AG231))))</f>
        <v/>
      </c>
      <c r="AR231" s="24">
        <f>ROUND(N231-X231-AH231,2)</f>
        <v/>
      </c>
      <c r="AS231" s="24">
        <f>ROUND(O231-Y231-AI231,2)</f>
        <v/>
      </c>
      <c r="AT231" s="24">
        <f>ROUND(P231-Z231-AJ231,2)</f>
        <v/>
      </c>
      <c r="AU231" s="24">
        <f>ROUND(Q231-AA231-AK231,2)</f>
        <v/>
      </c>
      <c r="AV231" s="24">
        <f>ROUND(R231-AB231-AL231,2)</f>
        <v/>
      </c>
      <c r="AW231" s="24">
        <f>ROUND(S231-AC231-AM231,2)</f>
        <v/>
      </c>
      <c r="AX231" s="24">
        <f>ROUND(T231-AD231-AN231,2)</f>
        <v/>
      </c>
      <c r="AY231" s="24">
        <f>ROUND(U231-AE231-AO231,2)</f>
        <v/>
      </c>
      <c r="AZ231" s="24">
        <f>ROUND(V231-AF231-AP231,2)</f>
        <v/>
      </c>
      <c r="BA231" s="24">
        <f>ROUND(W231-AG231-AQ231,2)</f>
        <v/>
      </c>
      <c r="BB231" s="24">
        <f>SUM(AR231:BA231)</f>
        <v/>
      </c>
    </row>
    <row r="232">
      <c r="A232" t="n">
        <v>228</v>
      </c>
      <c r="B232" s="23">
        <f>EOMONTH(TODAY(),227)</f>
        <v/>
      </c>
      <c r="C232" s="24">
        <f>MAX(0,(SUM('My Loans'!$E$6:$E$15)+'My Loans'!$D$3)-SUM($X232:$AG232))</f>
        <v/>
      </c>
      <c r="D232" s="24">
        <f>MAX(0,AR231)</f>
        <v/>
      </c>
      <c r="E232" s="24">
        <f>MAX(0,AS231)</f>
        <v/>
      </c>
      <c r="F232" s="24">
        <f>MAX(0,AT231)</f>
        <v/>
      </c>
      <c r="G232" s="24">
        <f>MAX(0,AU231)</f>
        <v/>
      </c>
      <c r="H232" s="24">
        <f>MAX(0,AV231)</f>
        <v/>
      </c>
      <c r="I232" s="24">
        <f>MAX(0,AW231)</f>
        <v/>
      </c>
      <c r="J232" s="24">
        <f>MAX(0,AX231)</f>
        <v/>
      </c>
      <c r="K232" s="24">
        <f>MAX(0,AY231)</f>
        <v/>
      </c>
      <c r="L232" s="24">
        <f>MAX(0,AZ231)</f>
        <v/>
      </c>
      <c r="M232" s="24">
        <f>MAX(0,BA231)</f>
        <v/>
      </c>
      <c r="N232" s="24">
        <f>IF(D232&lt;0.5,0,D232*(1+N('My Loans'!D6)/1200))</f>
        <v/>
      </c>
      <c r="O232" s="24">
        <f>IF(E232&lt;0.5,0,E232*(1+N('My Loans'!D7)/1200))</f>
        <v/>
      </c>
      <c r="P232" s="24">
        <f>IF(F232&lt;0.5,0,F232*(1+N('My Loans'!D8)/1200))</f>
        <v/>
      </c>
      <c r="Q232" s="24">
        <f>IF(G232&lt;0.5,0,G232*(1+N('My Loans'!D9)/1200))</f>
        <v/>
      </c>
      <c r="R232" s="24">
        <f>IF(H232&lt;0.5,0,H232*(1+N('My Loans'!D10)/1200))</f>
        <v/>
      </c>
      <c r="S232" s="24">
        <f>IF(I232&lt;0.5,0,I232*(1+N('My Loans'!D11)/1200))</f>
        <v/>
      </c>
      <c r="T232" s="24">
        <f>IF(J232&lt;0.5,0,J232*(1+N('My Loans'!D12)/1200))</f>
        <v/>
      </c>
      <c r="U232" s="24">
        <f>IF(K232&lt;0.5,0,K232*(1+N('My Loans'!D13)/1200))</f>
        <v/>
      </c>
      <c r="V232" s="24">
        <f>IF(L232&lt;0.5,0,L232*(1+N('My Loans'!D14)/1200))</f>
        <v/>
      </c>
      <c r="W232" s="24">
        <f>IF(M232&lt;0.5,0,M232*(1+N('My Loans'!D15)/1200))</f>
        <v/>
      </c>
      <c r="X232" s="24">
        <f>MIN(N232,N('My Loans'!E6))</f>
        <v/>
      </c>
      <c r="Y232" s="24">
        <f>MIN(O232,N('My Loans'!E7))</f>
        <v/>
      </c>
      <c r="Z232" s="24">
        <f>MIN(P232,N('My Loans'!E8))</f>
        <v/>
      </c>
      <c r="AA232" s="24">
        <f>MIN(Q232,N('My Loans'!E9))</f>
        <v/>
      </c>
      <c r="AB232" s="24">
        <f>MIN(R232,N('My Loans'!E10))</f>
        <v/>
      </c>
      <c r="AC232" s="24">
        <f>MIN(S232,N('My Loans'!E11))</f>
        <v/>
      </c>
      <c r="AD232" s="24">
        <f>MIN(T232,N('My Loans'!E12))</f>
        <v/>
      </c>
      <c r="AE232" s="24">
        <f>MIN(U232,N('My Loans'!E13))</f>
        <v/>
      </c>
      <c r="AF232" s="24">
        <f>MIN(V232,N('My Loans'!E14))</f>
        <v/>
      </c>
      <c r="AG232" s="24">
        <f>MIN(W232,N('My Loans'!E15))</f>
        <v/>
      </c>
      <c r="AH232" s="24">
        <f>MIN(N232-X232,MAX(0,$C232-SUMPRODUCT(($D$3:$M$3&lt;D$3)*($N232:$W232-$X232:$AG232))))</f>
        <v/>
      </c>
      <c r="AI232" s="24">
        <f>MIN(O232-Y232,MAX(0,$C232-SUMPRODUCT(($D$3:$M$3&lt;E$3)*($N232:$W232-$X232:$AG232))))</f>
        <v/>
      </c>
      <c r="AJ232" s="24">
        <f>MIN(P232-Z232,MAX(0,$C232-SUMPRODUCT(($D$3:$M$3&lt;F$3)*($N232:$W232-$X232:$AG232))))</f>
        <v/>
      </c>
      <c r="AK232" s="24">
        <f>MIN(Q232-AA232,MAX(0,$C232-SUMPRODUCT(($D$3:$M$3&lt;G$3)*($N232:$W232-$X232:$AG232))))</f>
        <v/>
      </c>
      <c r="AL232" s="24">
        <f>MIN(R232-AB232,MAX(0,$C232-SUMPRODUCT(($D$3:$M$3&lt;H$3)*($N232:$W232-$X232:$AG232))))</f>
        <v/>
      </c>
      <c r="AM232" s="24">
        <f>MIN(S232-AC232,MAX(0,$C232-SUMPRODUCT(($D$3:$M$3&lt;I$3)*($N232:$W232-$X232:$AG232))))</f>
        <v/>
      </c>
      <c r="AN232" s="24">
        <f>MIN(T232-AD232,MAX(0,$C232-SUMPRODUCT(($D$3:$M$3&lt;J$3)*($N232:$W232-$X232:$AG232))))</f>
        <v/>
      </c>
      <c r="AO232" s="24">
        <f>MIN(U232-AE232,MAX(0,$C232-SUMPRODUCT(($D$3:$M$3&lt;K$3)*($N232:$W232-$X232:$AG232))))</f>
        <v/>
      </c>
      <c r="AP232" s="24">
        <f>MIN(V232-AF232,MAX(0,$C232-SUMPRODUCT(($D$3:$M$3&lt;L$3)*($N232:$W232-$X232:$AG232))))</f>
        <v/>
      </c>
      <c r="AQ232" s="24">
        <f>MIN(W232-AG232,MAX(0,$C232-SUMPRODUCT(($D$3:$M$3&lt;M$3)*($N232:$W232-$X232:$AG232))))</f>
        <v/>
      </c>
      <c r="AR232" s="24">
        <f>ROUND(N232-X232-AH232,2)</f>
        <v/>
      </c>
      <c r="AS232" s="24">
        <f>ROUND(O232-Y232-AI232,2)</f>
        <v/>
      </c>
      <c r="AT232" s="24">
        <f>ROUND(P232-Z232-AJ232,2)</f>
        <v/>
      </c>
      <c r="AU232" s="24">
        <f>ROUND(Q232-AA232-AK232,2)</f>
        <v/>
      </c>
      <c r="AV232" s="24">
        <f>ROUND(R232-AB232-AL232,2)</f>
        <v/>
      </c>
      <c r="AW232" s="24">
        <f>ROUND(S232-AC232-AM232,2)</f>
        <v/>
      </c>
      <c r="AX232" s="24">
        <f>ROUND(T232-AD232-AN232,2)</f>
        <v/>
      </c>
      <c r="AY232" s="24">
        <f>ROUND(U232-AE232-AO232,2)</f>
        <v/>
      </c>
      <c r="AZ232" s="24">
        <f>ROUND(V232-AF232-AP232,2)</f>
        <v/>
      </c>
      <c r="BA232" s="24">
        <f>ROUND(W232-AG232-AQ232,2)</f>
        <v/>
      </c>
      <c r="BB232" s="24">
        <f>SUM(AR232:BA232)</f>
        <v/>
      </c>
    </row>
    <row r="233">
      <c r="A233" t="n">
        <v>229</v>
      </c>
      <c r="B233" s="23">
        <f>EOMONTH(TODAY(),228)</f>
        <v/>
      </c>
      <c r="C233" s="24">
        <f>MAX(0,(SUM('My Loans'!$E$6:$E$15)+'My Loans'!$D$3)-SUM($X233:$AG233))</f>
        <v/>
      </c>
      <c r="D233" s="24">
        <f>MAX(0,AR232)</f>
        <v/>
      </c>
      <c r="E233" s="24">
        <f>MAX(0,AS232)</f>
        <v/>
      </c>
      <c r="F233" s="24">
        <f>MAX(0,AT232)</f>
        <v/>
      </c>
      <c r="G233" s="24">
        <f>MAX(0,AU232)</f>
        <v/>
      </c>
      <c r="H233" s="24">
        <f>MAX(0,AV232)</f>
        <v/>
      </c>
      <c r="I233" s="24">
        <f>MAX(0,AW232)</f>
        <v/>
      </c>
      <c r="J233" s="24">
        <f>MAX(0,AX232)</f>
        <v/>
      </c>
      <c r="K233" s="24">
        <f>MAX(0,AY232)</f>
        <v/>
      </c>
      <c r="L233" s="24">
        <f>MAX(0,AZ232)</f>
        <v/>
      </c>
      <c r="M233" s="24">
        <f>MAX(0,BA232)</f>
        <v/>
      </c>
      <c r="N233" s="24">
        <f>IF(D233&lt;0.5,0,D233*(1+N('My Loans'!D6)/1200))</f>
        <v/>
      </c>
      <c r="O233" s="24">
        <f>IF(E233&lt;0.5,0,E233*(1+N('My Loans'!D7)/1200))</f>
        <v/>
      </c>
      <c r="P233" s="24">
        <f>IF(F233&lt;0.5,0,F233*(1+N('My Loans'!D8)/1200))</f>
        <v/>
      </c>
      <c r="Q233" s="24">
        <f>IF(G233&lt;0.5,0,G233*(1+N('My Loans'!D9)/1200))</f>
        <v/>
      </c>
      <c r="R233" s="24">
        <f>IF(H233&lt;0.5,0,H233*(1+N('My Loans'!D10)/1200))</f>
        <v/>
      </c>
      <c r="S233" s="24">
        <f>IF(I233&lt;0.5,0,I233*(1+N('My Loans'!D11)/1200))</f>
        <v/>
      </c>
      <c r="T233" s="24">
        <f>IF(J233&lt;0.5,0,J233*(1+N('My Loans'!D12)/1200))</f>
        <v/>
      </c>
      <c r="U233" s="24">
        <f>IF(K233&lt;0.5,0,K233*(1+N('My Loans'!D13)/1200))</f>
        <v/>
      </c>
      <c r="V233" s="24">
        <f>IF(L233&lt;0.5,0,L233*(1+N('My Loans'!D14)/1200))</f>
        <v/>
      </c>
      <c r="W233" s="24">
        <f>IF(M233&lt;0.5,0,M233*(1+N('My Loans'!D15)/1200))</f>
        <v/>
      </c>
      <c r="X233" s="24">
        <f>MIN(N233,N('My Loans'!E6))</f>
        <v/>
      </c>
      <c r="Y233" s="24">
        <f>MIN(O233,N('My Loans'!E7))</f>
        <v/>
      </c>
      <c r="Z233" s="24">
        <f>MIN(P233,N('My Loans'!E8))</f>
        <v/>
      </c>
      <c r="AA233" s="24">
        <f>MIN(Q233,N('My Loans'!E9))</f>
        <v/>
      </c>
      <c r="AB233" s="24">
        <f>MIN(R233,N('My Loans'!E10))</f>
        <v/>
      </c>
      <c r="AC233" s="24">
        <f>MIN(S233,N('My Loans'!E11))</f>
        <v/>
      </c>
      <c r="AD233" s="24">
        <f>MIN(T233,N('My Loans'!E12))</f>
        <v/>
      </c>
      <c r="AE233" s="24">
        <f>MIN(U233,N('My Loans'!E13))</f>
        <v/>
      </c>
      <c r="AF233" s="24">
        <f>MIN(V233,N('My Loans'!E14))</f>
        <v/>
      </c>
      <c r="AG233" s="24">
        <f>MIN(W233,N('My Loans'!E15))</f>
        <v/>
      </c>
      <c r="AH233" s="24">
        <f>MIN(N233-X233,MAX(0,$C233-SUMPRODUCT(($D$3:$M$3&lt;D$3)*($N233:$W233-$X233:$AG233))))</f>
        <v/>
      </c>
      <c r="AI233" s="24">
        <f>MIN(O233-Y233,MAX(0,$C233-SUMPRODUCT(($D$3:$M$3&lt;E$3)*($N233:$W233-$X233:$AG233))))</f>
        <v/>
      </c>
      <c r="AJ233" s="24">
        <f>MIN(P233-Z233,MAX(0,$C233-SUMPRODUCT(($D$3:$M$3&lt;F$3)*($N233:$W233-$X233:$AG233))))</f>
        <v/>
      </c>
      <c r="AK233" s="24">
        <f>MIN(Q233-AA233,MAX(0,$C233-SUMPRODUCT(($D$3:$M$3&lt;G$3)*($N233:$W233-$X233:$AG233))))</f>
        <v/>
      </c>
      <c r="AL233" s="24">
        <f>MIN(R233-AB233,MAX(0,$C233-SUMPRODUCT(($D$3:$M$3&lt;H$3)*($N233:$W233-$X233:$AG233))))</f>
        <v/>
      </c>
      <c r="AM233" s="24">
        <f>MIN(S233-AC233,MAX(0,$C233-SUMPRODUCT(($D$3:$M$3&lt;I$3)*($N233:$W233-$X233:$AG233))))</f>
        <v/>
      </c>
      <c r="AN233" s="24">
        <f>MIN(T233-AD233,MAX(0,$C233-SUMPRODUCT(($D$3:$M$3&lt;J$3)*($N233:$W233-$X233:$AG233))))</f>
        <v/>
      </c>
      <c r="AO233" s="24">
        <f>MIN(U233-AE233,MAX(0,$C233-SUMPRODUCT(($D$3:$M$3&lt;K$3)*($N233:$W233-$X233:$AG233))))</f>
        <v/>
      </c>
      <c r="AP233" s="24">
        <f>MIN(V233-AF233,MAX(0,$C233-SUMPRODUCT(($D$3:$M$3&lt;L$3)*($N233:$W233-$X233:$AG233))))</f>
        <v/>
      </c>
      <c r="AQ233" s="24">
        <f>MIN(W233-AG233,MAX(0,$C233-SUMPRODUCT(($D$3:$M$3&lt;M$3)*($N233:$W233-$X233:$AG233))))</f>
        <v/>
      </c>
      <c r="AR233" s="24">
        <f>ROUND(N233-X233-AH233,2)</f>
        <v/>
      </c>
      <c r="AS233" s="24">
        <f>ROUND(O233-Y233-AI233,2)</f>
        <v/>
      </c>
      <c r="AT233" s="24">
        <f>ROUND(P233-Z233-AJ233,2)</f>
        <v/>
      </c>
      <c r="AU233" s="24">
        <f>ROUND(Q233-AA233-AK233,2)</f>
        <v/>
      </c>
      <c r="AV233" s="24">
        <f>ROUND(R233-AB233-AL233,2)</f>
        <v/>
      </c>
      <c r="AW233" s="24">
        <f>ROUND(S233-AC233-AM233,2)</f>
        <v/>
      </c>
      <c r="AX233" s="24">
        <f>ROUND(T233-AD233-AN233,2)</f>
        <v/>
      </c>
      <c r="AY233" s="24">
        <f>ROUND(U233-AE233-AO233,2)</f>
        <v/>
      </c>
      <c r="AZ233" s="24">
        <f>ROUND(V233-AF233-AP233,2)</f>
        <v/>
      </c>
      <c r="BA233" s="24">
        <f>ROUND(W233-AG233-AQ233,2)</f>
        <v/>
      </c>
      <c r="BB233" s="24">
        <f>SUM(AR233:BA233)</f>
        <v/>
      </c>
    </row>
    <row r="234">
      <c r="A234" t="n">
        <v>230</v>
      </c>
      <c r="B234" s="23">
        <f>EOMONTH(TODAY(),229)</f>
        <v/>
      </c>
      <c r="C234" s="24">
        <f>MAX(0,(SUM('My Loans'!$E$6:$E$15)+'My Loans'!$D$3)-SUM($X234:$AG234))</f>
        <v/>
      </c>
      <c r="D234" s="24">
        <f>MAX(0,AR233)</f>
        <v/>
      </c>
      <c r="E234" s="24">
        <f>MAX(0,AS233)</f>
        <v/>
      </c>
      <c r="F234" s="24">
        <f>MAX(0,AT233)</f>
        <v/>
      </c>
      <c r="G234" s="24">
        <f>MAX(0,AU233)</f>
        <v/>
      </c>
      <c r="H234" s="24">
        <f>MAX(0,AV233)</f>
        <v/>
      </c>
      <c r="I234" s="24">
        <f>MAX(0,AW233)</f>
        <v/>
      </c>
      <c r="J234" s="24">
        <f>MAX(0,AX233)</f>
        <v/>
      </c>
      <c r="K234" s="24">
        <f>MAX(0,AY233)</f>
        <v/>
      </c>
      <c r="L234" s="24">
        <f>MAX(0,AZ233)</f>
        <v/>
      </c>
      <c r="M234" s="24">
        <f>MAX(0,BA233)</f>
        <v/>
      </c>
      <c r="N234" s="24">
        <f>IF(D234&lt;0.5,0,D234*(1+N('My Loans'!D6)/1200))</f>
        <v/>
      </c>
      <c r="O234" s="24">
        <f>IF(E234&lt;0.5,0,E234*(1+N('My Loans'!D7)/1200))</f>
        <v/>
      </c>
      <c r="P234" s="24">
        <f>IF(F234&lt;0.5,0,F234*(1+N('My Loans'!D8)/1200))</f>
        <v/>
      </c>
      <c r="Q234" s="24">
        <f>IF(G234&lt;0.5,0,G234*(1+N('My Loans'!D9)/1200))</f>
        <v/>
      </c>
      <c r="R234" s="24">
        <f>IF(H234&lt;0.5,0,H234*(1+N('My Loans'!D10)/1200))</f>
        <v/>
      </c>
      <c r="S234" s="24">
        <f>IF(I234&lt;0.5,0,I234*(1+N('My Loans'!D11)/1200))</f>
        <v/>
      </c>
      <c r="T234" s="24">
        <f>IF(J234&lt;0.5,0,J234*(1+N('My Loans'!D12)/1200))</f>
        <v/>
      </c>
      <c r="U234" s="24">
        <f>IF(K234&lt;0.5,0,K234*(1+N('My Loans'!D13)/1200))</f>
        <v/>
      </c>
      <c r="V234" s="24">
        <f>IF(L234&lt;0.5,0,L234*(1+N('My Loans'!D14)/1200))</f>
        <v/>
      </c>
      <c r="W234" s="24">
        <f>IF(M234&lt;0.5,0,M234*(1+N('My Loans'!D15)/1200))</f>
        <v/>
      </c>
      <c r="X234" s="24">
        <f>MIN(N234,N('My Loans'!E6))</f>
        <v/>
      </c>
      <c r="Y234" s="24">
        <f>MIN(O234,N('My Loans'!E7))</f>
        <v/>
      </c>
      <c r="Z234" s="24">
        <f>MIN(P234,N('My Loans'!E8))</f>
        <v/>
      </c>
      <c r="AA234" s="24">
        <f>MIN(Q234,N('My Loans'!E9))</f>
        <v/>
      </c>
      <c r="AB234" s="24">
        <f>MIN(R234,N('My Loans'!E10))</f>
        <v/>
      </c>
      <c r="AC234" s="24">
        <f>MIN(S234,N('My Loans'!E11))</f>
        <v/>
      </c>
      <c r="AD234" s="24">
        <f>MIN(T234,N('My Loans'!E12))</f>
        <v/>
      </c>
      <c r="AE234" s="24">
        <f>MIN(U234,N('My Loans'!E13))</f>
        <v/>
      </c>
      <c r="AF234" s="24">
        <f>MIN(V234,N('My Loans'!E14))</f>
        <v/>
      </c>
      <c r="AG234" s="24">
        <f>MIN(W234,N('My Loans'!E15))</f>
        <v/>
      </c>
      <c r="AH234" s="24">
        <f>MIN(N234-X234,MAX(0,$C234-SUMPRODUCT(($D$3:$M$3&lt;D$3)*($N234:$W234-$X234:$AG234))))</f>
        <v/>
      </c>
      <c r="AI234" s="24">
        <f>MIN(O234-Y234,MAX(0,$C234-SUMPRODUCT(($D$3:$M$3&lt;E$3)*($N234:$W234-$X234:$AG234))))</f>
        <v/>
      </c>
      <c r="AJ234" s="24">
        <f>MIN(P234-Z234,MAX(0,$C234-SUMPRODUCT(($D$3:$M$3&lt;F$3)*($N234:$W234-$X234:$AG234))))</f>
        <v/>
      </c>
      <c r="AK234" s="24">
        <f>MIN(Q234-AA234,MAX(0,$C234-SUMPRODUCT(($D$3:$M$3&lt;G$3)*($N234:$W234-$X234:$AG234))))</f>
        <v/>
      </c>
      <c r="AL234" s="24">
        <f>MIN(R234-AB234,MAX(0,$C234-SUMPRODUCT(($D$3:$M$3&lt;H$3)*($N234:$W234-$X234:$AG234))))</f>
        <v/>
      </c>
      <c r="AM234" s="24">
        <f>MIN(S234-AC234,MAX(0,$C234-SUMPRODUCT(($D$3:$M$3&lt;I$3)*($N234:$W234-$X234:$AG234))))</f>
        <v/>
      </c>
      <c r="AN234" s="24">
        <f>MIN(T234-AD234,MAX(0,$C234-SUMPRODUCT(($D$3:$M$3&lt;J$3)*($N234:$W234-$X234:$AG234))))</f>
        <v/>
      </c>
      <c r="AO234" s="24">
        <f>MIN(U234-AE234,MAX(0,$C234-SUMPRODUCT(($D$3:$M$3&lt;K$3)*($N234:$W234-$X234:$AG234))))</f>
        <v/>
      </c>
      <c r="AP234" s="24">
        <f>MIN(V234-AF234,MAX(0,$C234-SUMPRODUCT(($D$3:$M$3&lt;L$3)*($N234:$W234-$X234:$AG234))))</f>
        <v/>
      </c>
      <c r="AQ234" s="24">
        <f>MIN(W234-AG234,MAX(0,$C234-SUMPRODUCT(($D$3:$M$3&lt;M$3)*($N234:$W234-$X234:$AG234))))</f>
        <v/>
      </c>
      <c r="AR234" s="24">
        <f>ROUND(N234-X234-AH234,2)</f>
        <v/>
      </c>
      <c r="AS234" s="24">
        <f>ROUND(O234-Y234-AI234,2)</f>
        <v/>
      </c>
      <c r="AT234" s="24">
        <f>ROUND(P234-Z234-AJ234,2)</f>
        <v/>
      </c>
      <c r="AU234" s="24">
        <f>ROUND(Q234-AA234-AK234,2)</f>
        <v/>
      </c>
      <c r="AV234" s="24">
        <f>ROUND(R234-AB234-AL234,2)</f>
        <v/>
      </c>
      <c r="AW234" s="24">
        <f>ROUND(S234-AC234-AM234,2)</f>
        <v/>
      </c>
      <c r="AX234" s="24">
        <f>ROUND(T234-AD234-AN234,2)</f>
        <v/>
      </c>
      <c r="AY234" s="24">
        <f>ROUND(U234-AE234-AO234,2)</f>
        <v/>
      </c>
      <c r="AZ234" s="24">
        <f>ROUND(V234-AF234-AP234,2)</f>
        <v/>
      </c>
      <c r="BA234" s="24">
        <f>ROUND(W234-AG234-AQ234,2)</f>
        <v/>
      </c>
      <c r="BB234" s="24">
        <f>SUM(AR234:BA234)</f>
        <v/>
      </c>
    </row>
    <row r="235">
      <c r="A235" t="n">
        <v>231</v>
      </c>
      <c r="B235" s="23">
        <f>EOMONTH(TODAY(),230)</f>
        <v/>
      </c>
      <c r="C235" s="24">
        <f>MAX(0,(SUM('My Loans'!$E$6:$E$15)+'My Loans'!$D$3)-SUM($X235:$AG235))</f>
        <v/>
      </c>
      <c r="D235" s="24">
        <f>MAX(0,AR234)</f>
        <v/>
      </c>
      <c r="E235" s="24">
        <f>MAX(0,AS234)</f>
        <v/>
      </c>
      <c r="F235" s="24">
        <f>MAX(0,AT234)</f>
        <v/>
      </c>
      <c r="G235" s="24">
        <f>MAX(0,AU234)</f>
        <v/>
      </c>
      <c r="H235" s="24">
        <f>MAX(0,AV234)</f>
        <v/>
      </c>
      <c r="I235" s="24">
        <f>MAX(0,AW234)</f>
        <v/>
      </c>
      <c r="J235" s="24">
        <f>MAX(0,AX234)</f>
        <v/>
      </c>
      <c r="K235" s="24">
        <f>MAX(0,AY234)</f>
        <v/>
      </c>
      <c r="L235" s="24">
        <f>MAX(0,AZ234)</f>
        <v/>
      </c>
      <c r="M235" s="24">
        <f>MAX(0,BA234)</f>
        <v/>
      </c>
      <c r="N235" s="24">
        <f>IF(D235&lt;0.5,0,D235*(1+N('My Loans'!D6)/1200))</f>
        <v/>
      </c>
      <c r="O235" s="24">
        <f>IF(E235&lt;0.5,0,E235*(1+N('My Loans'!D7)/1200))</f>
        <v/>
      </c>
      <c r="P235" s="24">
        <f>IF(F235&lt;0.5,0,F235*(1+N('My Loans'!D8)/1200))</f>
        <v/>
      </c>
      <c r="Q235" s="24">
        <f>IF(G235&lt;0.5,0,G235*(1+N('My Loans'!D9)/1200))</f>
        <v/>
      </c>
      <c r="R235" s="24">
        <f>IF(H235&lt;0.5,0,H235*(1+N('My Loans'!D10)/1200))</f>
        <v/>
      </c>
      <c r="S235" s="24">
        <f>IF(I235&lt;0.5,0,I235*(1+N('My Loans'!D11)/1200))</f>
        <v/>
      </c>
      <c r="T235" s="24">
        <f>IF(J235&lt;0.5,0,J235*(1+N('My Loans'!D12)/1200))</f>
        <v/>
      </c>
      <c r="U235" s="24">
        <f>IF(K235&lt;0.5,0,K235*(1+N('My Loans'!D13)/1200))</f>
        <v/>
      </c>
      <c r="V235" s="24">
        <f>IF(L235&lt;0.5,0,L235*(1+N('My Loans'!D14)/1200))</f>
        <v/>
      </c>
      <c r="W235" s="24">
        <f>IF(M235&lt;0.5,0,M235*(1+N('My Loans'!D15)/1200))</f>
        <v/>
      </c>
      <c r="X235" s="24">
        <f>MIN(N235,N('My Loans'!E6))</f>
        <v/>
      </c>
      <c r="Y235" s="24">
        <f>MIN(O235,N('My Loans'!E7))</f>
        <v/>
      </c>
      <c r="Z235" s="24">
        <f>MIN(P235,N('My Loans'!E8))</f>
        <v/>
      </c>
      <c r="AA235" s="24">
        <f>MIN(Q235,N('My Loans'!E9))</f>
        <v/>
      </c>
      <c r="AB235" s="24">
        <f>MIN(R235,N('My Loans'!E10))</f>
        <v/>
      </c>
      <c r="AC235" s="24">
        <f>MIN(S235,N('My Loans'!E11))</f>
        <v/>
      </c>
      <c r="AD235" s="24">
        <f>MIN(T235,N('My Loans'!E12))</f>
        <v/>
      </c>
      <c r="AE235" s="24">
        <f>MIN(U235,N('My Loans'!E13))</f>
        <v/>
      </c>
      <c r="AF235" s="24">
        <f>MIN(V235,N('My Loans'!E14))</f>
        <v/>
      </c>
      <c r="AG235" s="24">
        <f>MIN(W235,N('My Loans'!E15))</f>
        <v/>
      </c>
      <c r="AH235" s="24">
        <f>MIN(N235-X235,MAX(0,$C235-SUMPRODUCT(($D$3:$M$3&lt;D$3)*($N235:$W235-$X235:$AG235))))</f>
        <v/>
      </c>
      <c r="AI235" s="24">
        <f>MIN(O235-Y235,MAX(0,$C235-SUMPRODUCT(($D$3:$M$3&lt;E$3)*($N235:$W235-$X235:$AG235))))</f>
        <v/>
      </c>
      <c r="AJ235" s="24">
        <f>MIN(P235-Z235,MAX(0,$C235-SUMPRODUCT(($D$3:$M$3&lt;F$3)*($N235:$W235-$X235:$AG235))))</f>
        <v/>
      </c>
      <c r="AK235" s="24">
        <f>MIN(Q235-AA235,MAX(0,$C235-SUMPRODUCT(($D$3:$M$3&lt;G$3)*($N235:$W235-$X235:$AG235))))</f>
        <v/>
      </c>
      <c r="AL235" s="24">
        <f>MIN(R235-AB235,MAX(0,$C235-SUMPRODUCT(($D$3:$M$3&lt;H$3)*($N235:$W235-$X235:$AG235))))</f>
        <v/>
      </c>
      <c r="AM235" s="24">
        <f>MIN(S235-AC235,MAX(0,$C235-SUMPRODUCT(($D$3:$M$3&lt;I$3)*($N235:$W235-$X235:$AG235))))</f>
        <v/>
      </c>
      <c r="AN235" s="24">
        <f>MIN(T235-AD235,MAX(0,$C235-SUMPRODUCT(($D$3:$M$3&lt;J$3)*($N235:$W235-$X235:$AG235))))</f>
        <v/>
      </c>
      <c r="AO235" s="24">
        <f>MIN(U235-AE235,MAX(0,$C235-SUMPRODUCT(($D$3:$M$3&lt;K$3)*($N235:$W235-$X235:$AG235))))</f>
        <v/>
      </c>
      <c r="AP235" s="24">
        <f>MIN(V235-AF235,MAX(0,$C235-SUMPRODUCT(($D$3:$M$3&lt;L$3)*($N235:$W235-$X235:$AG235))))</f>
        <v/>
      </c>
      <c r="AQ235" s="24">
        <f>MIN(W235-AG235,MAX(0,$C235-SUMPRODUCT(($D$3:$M$3&lt;M$3)*($N235:$W235-$X235:$AG235))))</f>
        <v/>
      </c>
      <c r="AR235" s="24">
        <f>ROUND(N235-X235-AH235,2)</f>
        <v/>
      </c>
      <c r="AS235" s="24">
        <f>ROUND(O235-Y235-AI235,2)</f>
        <v/>
      </c>
      <c r="AT235" s="24">
        <f>ROUND(P235-Z235-AJ235,2)</f>
        <v/>
      </c>
      <c r="AU235" s="24">
        <f>ROUND(Q235-AA235-AK235,2)</f>
        <v/>
      </c>
      <c r="AV235" s="24">
        <f>ROUND(R235-AB235-AL235,2)</f>
        <v/>
      </c>
      <c r="AW235" s="24">
        <f>ROUND(S235-AC235-AM235,2)</f>
        <v/>
      </c>
      <c r="AX235" s="24">
        <f>ROUND(T235-AD235-AN235,2)</f>
        <v/>
      </c>
      <c r="AY235" s="24">
        <f>ROUND(U235-AE235-AO235,2)</f>
        <v/>
      </c>
      <c r="AZ235" s="24">
        <f>ROUND(V235-AF235-AP235,2)</f>
        <v/>
      </c>
      <c r="BA235" s="24">
        <f>ROUND(W235-AG235-AQ235,2)</f>
        <v/>
      </c>
      <c r="BB235" s="24">
        <f>SUM(AR235:BA235)</f>
        <v/>
      </c>
    </row>
    <row r="236">
      <c r="A236" t="n">
        <v>232</v>
      </c>
      <c r="B236" s="23">
        <f>EOMONTH(TODAY(),231)</f>
        <v/>
      </c>
      <c r="C236" s="24">
        <f>MAX(0,(SUM('My Loans'!$E$6:$E$15)+'My Loans'!$D$3)-SUM($X236:$AG236))</f>
        <v/>
      </c>
      <c r="D236" s="24">
        <f>MAX(0,AR235)</f>
        <v/>
      </c>
      <c r="E236" s="24">
        <f>MAX(0,AS235)</f>
        <v/>
      </c>
      <c r="F236" s="24">
        <f>MAX(0,AT235)</f>
        <v/>
      </c>
      <c r="G236" s="24">
        <f>MAX(0,AU235)</f>
        <v/>
      </c>
      <c r="H236" s="24">
        <f>MAX(0,AV235)</f>
        <v/>
      </c>
      <c r="I236" s="24">
        <f>MAX(0,AW235)</f>
        <v/>
      </c>
      <c r="J236" s="24">
        <f>MAX(0,AX235)</f>
        <v/>
      </c>
      <c r="K236" s="24">
        <f>MAX(0,AY235)</f>
        <v/>
      </c>
      <c r="L236" s="24">
        <f>MAX(0,AZ235)</f>
        <v/>
      </c>
      <c r="M236" s="24">
        <f>MAX(0,BA235)</f>
        <v/>
      </c>
      <c r="N236" s="24">
        <f>IF(D236&lt;0.5,0,D236*(1+N('My Loans'!D6)/1200))</f>
        <v/>
      </c>
      <c r="O236" s="24">
        <f>IF(E236&lt;0.5,0,E236*(1+N('My Loans'!D7)/1200))</f>
        <v/>
      </c>
      <c r="P236" s="24">
        <f>IF(F236&lt;0.5,0,F236*(1+N('My Loans'!D8)/1200))</f>
        <v/>
      </c>
      <c r="Q236" s="24">
        <f>IF(G236&lt;0.5,0,G236*(1+N('My Loans'!D9)/1200))</f>
        <v/>
      </c>
      <c r="R236" s="24">
        <f>IF(H236&lt;0.5,0,H236*(1+N('My Loans'!D10)/1200))</f>
        <v/>
      </c>
      <c r="S236" s="24">
        <f>IF(I236&lt;0.5,0,I236*(1+N('My Loans'!D11)/1200))</f>
        <v/>
      </c>
      <c r="T236" s="24">
        <f>IF(J236&lt;0.5,0,J236*(1+N('My Loans'!D12)/1200))</f>
        <v/>
      </c>
      <c r="U236" s="24">
        <f>IF(K236&lt;0.5,0,K236*(1+N('My Loans'!D13)/1200))</f>
        <v/>
      </c>
      <c r="V236" s="24">
        <f>IF(L236&lt;0.5,0,L236*(1+N('My Loans'!D14)/1200))</f>
        <v/>
      </c>
      <c r="W236" s="24">
        <f>IF(M236&lt;0.5,0,M236*(1+N('My Loans'!D15)/1200))</f>
        <v/>
      </c>
      <c r="X236" s="24">
        <f>MIN(N236,N('My Loans'!E6))</f>
        <v/>
      </c>
      <c r="Y236" s="24">
        <f>MIN(O236,N('My Loans'!E7))</f>
        <v/>
      </c>
      <c r="Z236" s="24">
        <f>MIN(P236,N('My Loans'!E8))</f>
        <v/>
      </c>
      <c r="AA236" s="24">
        <f>MIN(Q236,N('My Loans'!E9))</f>
        <v/>
      </c>
      <c r="AB236" s="24">
        <f>MIN(R236,N('My Loans'!E10))</f>
        <v/>
      </c>
      <c r="AC236" s="24">
        <f>MIN(S236,N('My Loans'!E11))</f>
        <v/>
      </c>
      <c r="AD236" s="24">
        <f>MIN(T236,N('My Loans'!E12))</f>
        <v/>
      </c>
      <c r="AE236" s="24">
        <f>MIN(U236,N('My Loans'!E13))</f>
        <v/>
      </c>
      <c r="AF236" s="24">
        <f>MIN(V236,N('My Loans'!E14))</f>
        <v/>
      </c>
      <c r="AG236" s="24">
        <f>MIN(W236,N('My Loans'!E15))</f>
        <v/>
      </c>
      <c r="AH236" s="24">
        <f>MIN(N236-X236,MAX(0,$C236-SUMPRODUCT(($D$3:$M$3&lt;D$3)*($N236:$W236-$X236:$AG236))))</f>
        <v/>
      </c>
      <c r="AI236" s="24">
        <f>MIN(O236-Y236,MAX(0,$C236-SUMPRODUCT(($D$3:$M$3&lt;E$3)*($N236:$W236-$X236:$AG236))))</f>
        <v/>
      </c>
      <c r="AJ236" s="24">
        <f>MIN(P236-Z236,MAX(0,$C236-SUMPRODUCT(($D$3:$M$3&lt;F$3)*($N236:$W236-$X236:$AG236))))</f>
        <v/>
      </c>
      <c r="AK236" s="24">
        <f>MIN(Q236-AA236,MAX(0,$C236-SUMPRODUCT(($D$3:$M$3&lt;G$3)*($N236:$W236-$X236:$AG236))))</f>
        <v/>
      </c>
      <c r="AL236" s="24">
        <f>MIN(R236-AB236,MAX(0,$C236-SUMPRODUCT(($D$3:$M$3&lt;H$3)*($N236:$W236-$X236:$AG236))))</f>
        <v/>
      </c>
      <c r="AM236" s="24">
        <f>MIN(S236-AC236,MAX(0,$C236-SUMPRODUCT(($D$3:$M$3&lt;I$3)*($N236:$W236-$X236:$AG236))))</f>
        <v/>
      </c>
      <c r="AN236" s="24">
        <f>MIN(T236-AD236,MAX(0,$C236-SUMPRODUCT(($D$3:$M$3&lt;J$3)*($N236:$W236-$X236:$AG236))))</f>
        <v/>
      </c>
      <c r="AO236" s="24">
        <f>MIN(U236-AE236,MAX(0,$C236-SUMPRODUCT(($D$3:$M$3&lt;K$3)*($N236:$W236-$X236:$AG236))))</f>
        <v/>
      </c>
      <c r="AP236" s="24">
        <f>MIN(V236-AF236,MAX(0,$C236-SUMPRODUCT(($D$3:$M$3&lt;L$3)*($N236:$W236-$X236:$AG236))))</f>
        <v/>
      </c>
      <c r="AQ236" s="24">
        <f>MIN(W236-AG236,MAX(0,$C236-SUMPRODUCT(($D$3:$M$3&lt;M$3)*($N236:$W236-$X236:$AG236))))</f>
        <v/>
      </c>
      <c r="AR236" s="24">
        <f>ROUND(N236-X236-AH236,2)</f>
        <v/>
      </c>
      <c r="AS236" s="24">
        <f>ROUND(O236-Y236-AI236,2)</f>
        <v/>
      </c>
      <c r="AT236" s="24">
        <f>ROUND(P236-Z236-AJ236,2)</f>
        <v/>
      </c>
      <c r="AU236" s="24">
        <f>ROUND(Q236-AA236-AK236,2)</f>
        <v/>
      </c>
      <c r="AV236" s="24">
        <f>ROUND(R236-AB236-AL236,2)</f>
        <v/>
      </c>
      <c r="AW236" s="24">
        <f>ROUND(S236-AC236-AM236,2)</f>
        <v/>
      </c>
      <c r="AX236" s="24">
        <f>ROUND(T236-AD236-AN236,2)</f>
        <v/>
      </c>
      <c r="AY236" s="24">
        <f>ROUND(U236-AE236-AO236,2)</f>
        <v/>
      </c>
      <c r="AZ236" s="24">
        <f>ROUND(V236-AF236-AP236,2)</f>
        <v/>
      </c>
      <c r="BA236" s="24">
        <f>ROUND(W236-AG236-AQ236,2)</f>
        <v/>
      </c>
      <c r="BB236" s="24">
        <f>SUM(AR236:BA236)</f>
        <v/>
      </c>
    </row>
    <row r="237">
      <c r="A237" t="n">
        <v>233</v>
      </c>
      <c r="B237" s="23">
        <f>EOMONTH(TODAY(),232)</f>
        <v/>
      </c>
      <c r="C237" s="24">
        <f>MAX(0,(SUM('My Loans'!$E$6:$E$15)+'My Loans'!$D$3)-SUM($X237:$AG237))</f>
        <v/>
      </c>
      <c r="D237" s="24">
        <f>MAX(0,AR236)</f>
        <v/>
      </c>
      <c r="E237" s="24">
        <f>MAX(0,AS236)</f>
        <v/>
      </c>
      <c r="F237" s="24">
        <f>MAX(0,AT236)</f>
        <v/>
      </c>
      <c r="G237" s="24">
        <f>MAX(0,AU236)</f>
        <v/>
      </c>
      <c r="H237" s="24">
        <f>MAX(0,AV236)</f>
        <v/>
      </c>
      <c r="I237" s="24">
        <f>MAX(0,AW236)</f>
        <v/>
      </c>
      <c r="J237" s="24">
        <f>MAX(0,AX236)</f>
        <v/>
      </c>
      <c r="K237" s="24">
        <f>MAX(0,AY236)</f>
        <v/>
      </c>
      <c r="L237" s="24">
        <f>MAX(0,AZ236)</f>
        <v/>
      </c>
      <c r="M237" s="24">
        <f>MAX(0,BA236)</f>
        <v/>
      </c>
      <c r="N237" s="24">
        <f>IF(D237&lt;0.5,0,D237*(1+N('My Loans'!D6)/1200))</f>
        <v/>
      </c>
      <c r="O237" s="24">
        <f>IF(E237&lt;0.5,0,E237*(1+N('My Loans'!D7)/1200))</f>
        <v/>
      </c>
      <c r="P237" s="24">
        <f>IF(F237&lt;0.5,0,F237*(1+N('My Loans'!D8)/1200))</f>
        <v/>
      </c>
      <c r="Q237" s="24">
        <f>IF(G237&lt;0.5,0,G237*(1+N('My Loans'!D9)/1200))</f>
        <v/>
      </c>
      <c r="R237" s="24">
        <f>IF(H237&lt;0.5,0,H237*(1+N('My Loans'!D10)/1200))</f>
        <v/>
      </c>
      <c r="S237" s="24">
        <f>IF(I237&lt;0.5,0,I237*(1+N('My Loans'!D11)/1200))</f>
        <v/>
      </c>
      <c r="T237" s="24">
        <f>IF(J237&lt;0.5,0,J237*(1+N('My Loans'!D12)/1200))</f>
        <v/>
      </c>
      <c r="U237" s="24">
        <f>IF(K237&lt;0.5,0,K237*(1+N('My Loans'!D13)/1200))</f>
        <v/>
      </c>
      <c r="V237" s="24">
        <f>IF(L237&lt;0.5,0,L237*(1+N('My Loans'!D14)/1200))</f>
        <v/>
      </c>
      <c r="W237" s="24">
        <f>IF(M237&lt;0.5,0,M237*(1+N('My Loans'!D15)/1200))</f>
        <v/>
      </c>
      <c r="X237" s="24">
        <f>MIN(N237,N('My Loans'!E6))</f>
        <v/>
      </c>
      <c r="Y237" s="24">
        <f>MIN(O237,N('My Loans'!E7))</f>
        <v/>
      </c>
      <c r="Z237" s="24">
        <f>MIN(P237,N('My Loans'!E8))</f>
        <v/>
      </c>
      <c r="AA237" s="24">
        <f>MIN(Q237,N('My Loans'!E9))</f>
        <v/>
      </c>
      <c r="AB237" s="24">
        <f>MIN(R237,N('My Loans'!E10))</f>
        <v/>
      </c>
      <c r="AC237" s="24">
        <f>MIN(S237,N('My Loans'!E11))</f>
        <v/>
      </c>
      <c r="AD237" s="24">
        <f>MIN(T237,N('My Loans'!E12))</f>
        <v/>
      </c>
      <c r="AE237" s="24">
        <f>MIN(U237,N('My Loans'!E13))</f>
        <v/>
      </c>
      <c r="AF237" s="24">
        <f>MIN(V237,N('My Loans'!E14))</f>
        <v/>
      </c>
      <c r="AG237" s="24">
        <f>MIN(W237,N('My Loans'!E15))</f>
        <v/>
      </c>
      <c r="AH237" s="24">
        <f>MIN(N237-X237,MAX(0,$C237-SUMPRODUCT(($D$3:$M$3&lt;D$3)*($N237:$W237-$X237:$AG237))))</f>
        <v/>
      </c>
      <c r="AI237" s="24">
        <f>MIN(O237-Y237,MAX(0,$C237-SUMPRODUCT(($D$3:$M$3&lt;E$3)*($N237:$W237-$X237:$AG237))))</f>
        <v/>
      </c>
      <c r="AJ237" s="24">
        <f>MIN(P237-Z237,MAX(0,$C237-SUMPRODUCT(($D$3:$M$3&lt;F$3)*($N237:$W237-$X237:$AG237))))</f>
        <v/>
      </c>
      <c r="AK237" s="24">
        <f>MIN(Q237-AA237,MAX(0,$C237-SUMPRODUCT(($D$3:$M$3&lt;G$3)*($N237:$W237-$X237:$AG237))))</f>
        <v/>
      </c>
      <c r="AL237" s="24">
        <f>MIN(R237-AB237,MAX(0,$C237-SUMPRODUCT(($D$3:$M$3&lt;H$3)*($N237:$W237-$X237:$AG237))))</f>
        <v/>
      </c>
      <c r="AM237" s="24">
        <f>MIN(S237-AC237,MAX(0,$C237-SUMPRODUCT(($D$3:$M$3&lt;I$3)*($N237:$W237-$X237:$AG237))))</f>
        <v/>
      </c>
      <c r="AN237" s="24">
        <f>MIN(T237-AD237,MAX(0,$C237-SUMPRODUCT(($D$3:$M$3&lt;J$3)*($N237:$W237-$X237:$AG237))))</f>
        <v/>
      </c>
      <c r="AO237" s="24">
        <f>MIN(U237-AE237,MAX(0,$C237-SUMPRODUCT(($D$3:$M$3&lt;K$3)*($N237:$W237-$X237:$AG237))))</f>
        <v/>
      </c>
      <c r="AP237" s="24">
        <f>MIN(V237-AF237,MAX(0,$C237-SUMPRODUCT(($D$3:$M$3&lt;L$3)*($N237:$W237-$X237:$AG237))))</f>
        <v/>
      </c>
      <c r="AQ237" s="24">
        <f>MIN(W237-AG237,MAX(0,$C237-SUMPRODUCT(($D$3:$M$3&lt;M$3)*($N237:$W237-$X237:$AG237))))</f>
        <v/>
      </c>
      <c r="AR237" s="24">
        <f>ROUND(N237-X237-AH237,2)</f>
        <v/>
      </c>
      <c r="AS237" s="24">
        <f>ROUND(O237-Y237-AI237,2)</f>
        <v/>
      </c>
      <c r="AT237" s="24">
        <f>ROUND(P237-Z237-AJ237,2)</f>
        <v/>
      </c>
      <c r="AU237" s="24">
        <f>ROUND(Q237-AA237-AK237,2)</f>
        <v/>
      </c>
      <c r="AV237" s="24">
        <f>ROUND(R237-AB237-AL237,2)</f>
        <v/>
      </c>
      <c r="AW237" s="24">
        <f>ROUND(S237-AC237-AM237,2)</f>
        <v/>
      </c>
      <c r="AX237" s="24">
        <f>ROUND(T237-AD237-AN237,2)</f>
        <v/>
      </c>
      <c r="AY237" s="24">
        <f>ROUND(U237-AE237-AO237,2)</f>
        <v/>
      </c>
      <c r="AZ237" s="24">
        <f>ROUND(V237-AF237-AP237,2)</f>
        <v/>
      </c>
      <c r="BA237" s="24">
        <f>ROUND(W237-AG237-AQ237,2)</f>
        <v/>
      </c>
      <c r="BB237" s="24">
        <f>SUM(AR237:BA237)</f>
        <v/>
      </c>
    </row>
    <row r="238">
      <c r="A238" t="n">
        <v>234</v>
      </c>
      <c r="B238" s="23">
        <f>EOMONTH(TODAY(),233)</f>
        <v/>
      </c>
      <c r="C238" s="24">
        <f>MAX(0,(SUM('My Loans'!$E$6:$E$15)+'My Loans'!$D$3)-SUM($X238:$AG238))</f>
        <v/>
      </c>
      <c r="D238" s="24">
        <f>MAX(0,AR237)</f>
        <v/>
      </c>
      <c r="E238" s="24">
        <f>MAX(0,AS237)</f>
        <v/>
      </c>
      <c r="F238" s="24">
        <f>MAX(0,AT237)</f>
        <v/>
      </c>
      <c r="G238" s="24">
        <f>MAX(0,AU237)</f>
        <v/>
      </c>
      <c r="H238" s="24">
        <f>MAX(0,AV237)</f>
        <v/>
      </c>
      <c r="I238" s="24">
        <f>MAX(0,AW237)</f>
        <v/>
      </c>
      <c r="J238" s="24">
        <f>MAX(0,AX237)</f>
        <v/>
      </c>
      <c r="K238" s="24">
        <f>MAX(0,AY237)</f>
        <v/>
      </c>
      <c r="L238" s="24">
        <f>MAX(0,AZ237)</f>
        <v/>
      </c>
      <c r="M238" s="24">
        <f>MAX(0,BA237)</f>
        <v/>
      </c>
      <c r="N238" s="24">
        <f>IF(D238&lt;0.5,0,D238*(1+N('My Loans'!D6)/1200))</f>
        <v/>
      </c>
      <c r="O238" s="24">
        <f>IF(E238&lt;0.5,0,E238*(1+N('My Loans'!D7)/1200))</f>
        <v/>
      </c>
      <c r="P238" s="24">
        <f>IF(F238&lt;0.5,0,F238*(1+N('My Loans'!D8)/1200))</f>
        <v/>
      </c>
      <c r="Q238" s="24">
        <f>IF(G238&lt;0.5,0,G238*(1+N('My Loans'!D9)/1200))</f>
        <v/>
      </c>
      <c r="R238" s="24">
        <f>IF(H238&lt;0.5,0,H238*(1+N('My Loans'!D10)/1200))</f>
        <v/>
      </c>
      <c r="S238" s="24">
        <f>IF(I238&lt;0.5,0,I238*(1+N('My Loans'!D11)/1200))</f>
        <v/>
      </c>
      <c r="T238" s="24">
        <f>IF(J238&lt;0.5,0,J238*(1+N('My Loans'!D12)/1200))</f>
        <v/>
      </c>
      <c r="U238" s="24">
        <f>IF(K238&lt;0.5,0,K238*(1+N('My Loans'!D13)/1200))</f>
        <v/>
      </c>
      <c r="V238" s="24">
        <f>IF(L238&lt;0.5,0,L238*(1+N('My Loans'!D14)/1200))</f>
        <v/>
      </c>
      <c r="W238" s="24">
        <f>IF(M238&lt;0.5,0,M238*(1+N('My Loans'!D15)/1200))</f>
        <v/>
      </c>
      <c r="X238" s="24">
        <f>MIN(N238,N('My Loans'!E6))</f>
        <v/>
      </c>
      <c r="Y238" s="24">
        <f>MIN(O238,N('My Loans'!E7))</f>
        <v/>
      </c>
      <c r="Z238" s="24">
        <f>MIN(P238,N('My Loans'!E8))</f>
        <v/>
      </c>
      <c r="AA238" s="24">
        <f>MIN(Q238,N('My Loans'!E9))</f>
        <v/>
      </c>
      <c r="AB238" s="24">
        <f>MIN(R238,N('My Loans'!E10))</f>
        <v/>
      </c>
      <c r="AC238" s="24">
        <f>MIN(S238,N('My Loans'!E11))</f>
        <v/>
      </c>
      <c r="AD238" s="24">
        <f>MIN(T238,N('My Loans'!E12))</f>
        <v/>
      </c>
      <c r="AE238" s="24">
        <f>MIN(U238,N('My Loans'!E13))</f>
        <v/>
      </c>
      <c r="AF238" s="24">
        <f>MIN(V238,N('My Loans'!E14))</f>
        <v/>
      </c>
      <c r="AG238" s="24">
        <f>MIN(W238,N('My Loans'!E15))</f>
        <v/>
      </c>
      <c r="AH238" s="24">
        <f>MIN(N238-X238,MAX(0,$C238-SUMPRODUCT(($D$3:$M$3&lt;D$3)*($N238:$W238-$X238:$AG238))))</f>
        <v/>
      </c>
      <c r="AI238" s="24">
        <f>MIN(O238-Y238,MAX(0,$C238-SUMPRODUCT(($D$3:$M$3&lt;E$3)*($N238:$W238-$X238:$AG238))))</f>
        <v/>
      </c>
      <c r="AJ238" s="24">
        <f>MIN(P238-Z238,MAX(0,$C238-SUMPRODUCT(($D$3:$M$3&lt;F$3)*($N238:$W238-$X238:$AG238))))</f>
        <v/>
      </c>
      <c r="AK238" s="24">
        <f>MIN(Q238-AA238,MAX(0,$C238-SUMPRODUCT(($D$3:$M$3&lt;G$3)*($N238:$W238-$X238:$AG238))))</f>
        <v/>
      </c>
      <c r="AL238" s="24">
        <f>MIN(R238-AB238,MAX(0,$C238-SUMPRODUCT(($D$3:$M$3&lt;H$3)*($N238:$W238-$X238:$AG238))))</f>
        <v/>
      </c>
      <c r="AM238" s="24">
        <f>MIN(S238-AC238,MAX(0,$C238-SUMPRODUCT(($D$3:$M$3&lt;I$3)*($N238:$W238-$X238:$AG238))))</f>
        <v/>
      </c>
      <c r="AN238" s="24">
        <f>MIN(T238-AD238,MAX(0,$C238-SUMPRODUCT(($D$3:$M$3&lt;J$3)*($N238:$W238-$X238:$AG238))))</f>
        <v/>
      </c>
      <c r="AO238" s="24">
        <f>MIN(U238-AE238,MAX(0,$C238-SUMPRODUCT(($D$3:$M$3&lt;K$3)*($N238:$W238-$X238:$AG238))))</f>
        <v/>
      </c>
      <c r="AP238" s="24">
        <f>MIN(V238-AF238,MAX(0,$C238-SUMPRODUCT(($D$3:$M$3&lt;L$3)*($N238:$W238-$X238:$AG238))))</f>
        <v/>
      </c>
      <c r="AQ238" s="24">
        <f>MIN(W238-AG238,MAX(0,$C238-SUMPRODUCT(($D$3:$M$3&lt;M$3)*($N238:$W238-$X238:$AG238))))</f>
        <v/>
      </c>
      <c r="AR238" s="24">
        <f>ROUND(N238-X238-AH238,2)</f>
        <v/>
      </c>
      <c r="AS238" s="24">
        <f>ROUND(O238-Y238-AI238,2)</f>
        <v/>
      </c>
      <c r="AT238" s="24">
        <f>ROUND(P238-Z238-AJ238,2)</f>
        <v/>
      </c>
      <c r="AU238" s="24">
        <f>ROUND(Q238-AA238-AK238,2)</f>
        <v/>
      </c>
      <c r="AV238" s="24">
        <f>ROUND(R238-AB238-AL238,2)</f>
        <v/>
      </c>
      <c r="AW238" s="24">
        <f>ROUND(S238-AC238-AM238,2)</f>
        <v/>
      </c>
      <c r="AX238" s="24">
        <f>ROUND(T238-AD238-AN238,2)</f>
        <v/>
      </c>
      <c r="AY238" s="24">
        <f>ROUND(U238-AE238-AO238,2)</f>
        <v/>
      </c>
      <c r="AZ238" s="24">
        <f>ROUND(V238-AF238-AP238,2)</f>
        <v/>
      </c>
      <c r="BA238" s="24">
        <f>ROUND(W238-AG238-AQ238,2)</f>
        <v/>
      </c>
      <c r="BB238" s="24">
        <f>SUM(AR238:BA238)</f>
        <v/>
      </c>
    </row>
    <row r="239">
      <c r="A239" t="n">
        <v>235</v>
      </c>
      <c r="B239" s="23">
        <f>EOMONTH(TODAY(),234)</f>
        <v/>
      </c>
      <c r="C239" s="24">
        <f>MAX(0,(SUM('My Loans'!$E$6:$E$15)+'My Loans'!$D$3)-SUM($X239:$AG239))</f>
        <v/>
      </c>
      <c r="D239" s="24">
        <f>MAX(0,AR238)</f>
        <v/>
      </c>
      <c r="E239" s="24">
        <f>MAX(0,AS238)</f>
        <v/>
      </c>
      <c r="F239" s="24">
        <f>MAX(0,AT238)</f>
        <v/>
      </c>
      <c r="G239" s="24">
        <f>MAX(0,AU238)</f>
        <v/>
      </c>
      <c r="H239" s="24">
        <f>MAX(0,AV238)</f>
        <v/>
      </c>
      <c r="I239" s="24">
        <f>MAX(0,AW238)</f>
        <v/>
      </c>
      <c r="J239" s="24">
        <f>MAX(0,AX238)</f>
        <v/>
      </c>
      <c r="K239" s="24">
        <f>MAX(0,AY238)</f>
        <v/>
      </c>
      <c r="L239" s="24">
        <f>MAX(0,AZ238)</f>
        <v/>
      </c>
      <c r="M239" s="24">
        <f>MAX(0,BA238)</f>
        <v/>
      </c>
      <c r="N239" s="24">
        <f>IF(D239&lt;0.5,0,D239*(1+N('My Loans'!D6)/1200))</f>
        <v/>
      </c>
      <c r="O239" s="24">
        <f>IF(E239&lt;0.5,0,E239*(1+N('My Loans'!D7)/1200))</f>
        <v/>
      </c>
      <c r="P239" s="24">
        <f>IF(F239&lt;0.5,0,F239*(1+N('My Loans'!D8)/1200))</f>
        <v/>
      </c>
      <c r="Q239" s="24">
        <f>IF(G239&lt;0.5,0,G239*(1+N('My Loans'!D9)/1200))</f>
        <v/>
      </c>
      <c r="R239" s="24">
        <f>IF(H239&lt;0.5,0,H239*(1+N('My Loans'!D10)/1200))</f>
        <v/>
      </c>
      <c r="S239" s="24">
        <f>IF(I239&lt;0.5,0,I239*(1+N('My Loans'!D11)/1200))</f>
        <v/>
      </c>
      <c r="T239" s="24">
        <f>IF(J239&lt;0.5,0,J239*(1+N('My Loans'!D12)/1200))</f>
        <v/>
      </c>
      <c r="U239" s="24">
        <f>IF(K239&lt;0.5,0,K239*(1+N('My Loans'!D13)/1200))</f>
        <v/>
      </c>
      <c r="V239" s="24">
        <f>IF(L239&lt;0.5,0,L239*(1+N('My Loans'!D14)/1200))</f>
        <v/>
      </c>
      <c r="W239" s="24">
        <f>IF(M239&lt;0.5,0,M239*(1+N('My Loans'!D15)/1200))</f>
        <v/>
      </c>
      <c r="X239" s="24">
        <f>MIN(N239,N('My Loans'!E6))</f>
        <v/>
      </c>
      <c r="Y239" s="24">
        <f>MIN(O239,N('My Loans'!E7))</f>
        <v/>
      </c>
      <c r="Z239" s="24">
        <f>MIN(P239,N('My Loans'!E8))</f>
        <v/>
      </c>
      <c r="AA239" s="24">
        <f>MIN(Q239,N('My Loans'!E9))</f>
        <v/>
      </c>
      <c r="AB239" s="24">
        <f>MIN(R239,N('My Loans'!E10))</f>
        <v/>
      </c>
      <c r="AC239" s="24">
        <f>MIN(S239,N('My Loans'!E11))</f>
        <v/>
      </c>
      <c r="AD239" s="24">
        <f>MIN(T239,N('My Loans'!E12))</f>
        <v/>
      </c>
      <c r="AE239" s="24">
        <f>MIN(U239,N('My Loans'!E13))</f>
        <v/>
      </c>
      <c r="AF239" s="24">
        <f>MIN(V239,N('My Loans'!E14))</f>
        <v/>
      </c>
      <c r="AG239" s="24">
        <f>MIN(W239,N('My Loans'!E15))</f>
        <v/>
      </c>
      <c r="AH239" s="24">
        <f>MIN(N239-X239,MAX(0,$C239-SUMPRODUCT(($D$3:$M$3&lt;D$3)*($N239:$W239-$X239:$AG239))))</f>
        <v/>
      </c>
      <c r="AI239" s="24">
        <f>MIN(O239-Y239,MAX(0,$C239-SUMPRODUCT(($D$3:$M$3&lt;E$3)*($N239:$W239-$X239:$AG239))))</f>
        <v/>
      </c>
      <c r="AJ239" s="24">
        <f>MIN(P239-Z239,MAX(0,$C239-SUMPRODUCT(($D$3:$M$3&lt;F$3)*($N239:$W239-$X239:$AG239))))</f>
        <v/>
      </c>
      <c r="AK239" s="24">
        <f>MIN(Q239-AA239,MAX(0,$C239-SUMPRODUCT(($D$3:$M$3&lt;G$3)*($N239:$W239-$X239:$AG239))))</f>
        <v/>
      </c>
      <c r="AL239" s="24">
        <f>MIN(R239-AB239,MAX(0,$C239-SUMPRODUCT(($D$3:$M$3&lt;H$3)*($N239:$W239-$X239:$AG239))))</f>
        <v/>
      </c>
      <c r="AM239" s="24">
        <f>MIN(S239-AC239,MAX(0,$C239-SUMPRODUCT(($D$3:$M$3&lt;I$3)*($N239:$W239-$X239:$AG239))))</f>
        <v/>
      </c>
      <c r="AN239" s="24">
        <f>MIN(T239-AD239,MAX(0,$C239-SUMPRODUCT(($D$3:$M$3&lt;J$3)*($N239:$W239-$X239:$AG239))))</f>
        <v/>
      </c>
      <c r="AO239" s="24">
        <f>MIN(U239-AE239,MAX(0,$C239-SUMPRODUCT(($D$3:$M$3&lt;K$3)*($N239:$W239-$X239:$AG239))))</f>
        <v/>
      </c>
      <c r="AP239" s="24">
        <f>MIN(V239-AF239,MAX(0,$C239-SUMPRODUCT(($D$3:$M$3&lt;L$3)*($N239:$W239-$X239:$AG239))))</f>
        <v/>
      </c>
      <c r="AQ239" s="24">
        <f>MIN(W239-AG239,MAX(0,$C239-SUMPRODUCT(($D$3:$M$3&lt;M$3)*($N239:$W239-$X239:$AG239))))</f>
        <v/>
      </c>
      <c r="AR239" s="24">
        <f>ROUND(N239-X239-AH239,2)</f>
        <v/>
      </c>
      <c r="AS239" s="24">
        <f>ROUND(O239-Y239-AI239,2)</f>
        <v/>
      </c>
      <c r="AT239" s="24">
        <f>ROUND(P239-Z239-AJ239,2)</f>
        <v/>
      </c>
      <c r="AU239" s="24">
        <f>ROUND(Q239-AA239-AK239,2)</f>
        <v/>
      </c>
      <c r="AV239" s="24">
        <f>ROUND(R239-AB239-AL239,2)</f>
        <v/>
      </c>
      <c r="AW239" s="24">
        <f>ROUND(S239-AC239-AM239,2)</f>
        <v/>
      </c>
      <c r="AX239" s="24">
        <f>ROUND(T239-AD239-AN239,2)</f>
        <v/>
      </c>
      <c r="AY239" s="24">
        <f>ROUND(U239-AE239-AO239,2)</f>
        <v/>
      </c>
      <c r="AZ239" s="24">
        <f>ROUND(V239-AF239-AP239,2)</f>
        <v/>
      </c>
      <c r="BA239" s="24">
        <f>ROUND(W239-AG239-AQ239,2)</f>
        <v/>
      </c>
      <c r="BB239" s="24">
        <f>SUM(AR239:BA239)</f>
        <v/>
      </c>
    </row>
    <row r="240">
      <c r="A240" t="n">
        <v>236</v>
      </c>
      <c r="B240" s="23">
        <f>EOMONTH(TODAY(),235)</f>
        <v/>
      </c>
      <c r="C240" s="24">
        <f>MAX(0,(SUM('My Loans'!$E$6:$E$15)+'My Loans'!$D$3)-SUM($X240:$AG240))</f>
        <v/>
      </c>
      <c r="D240" s="24">
        <f>MAX(0,AR239)</f>
        <v/>
      </c>
      <c r="E240" s="24">
        <f>MAX(0,AS239)</f>
        <v/>
      </c>
      <c r="F240" s="24">
        <f>MAX(0,AT239)</f>
        <v/>
      </c>
      <c r="G240" s="24">
        <f>MAX(0,AU239)</f>
        <v/>
      </c>
      <c r="H240" s="24">
        <f>MAX(0,AV239)</f>
        <v/>
      </c>
      <c r="I240" s="24">
        <f>MAX(0,AW239)</f>
        <v/>
      </c>
      <c r="J240" s="24">
        <f>MAX(0,AX239)</f>
        <v/>
      </c>
      <c r="K240" s="24">
        <f>MAX(0,AY239)</f>
        <v/>
      </c>
      <c r="L240" s="24">
        <f>MAX(0,AZ239)</f>
        <v/>
      </c>
      <c r="M240" s="24">
        <f>MAX(0,BA239)</f>
        <v/>
      </c>
      <c r="N240" s="24">
        <f>IF(D240&lt;0.5,0,D240*(1+N('My Loans'!D6)/1200))</f>
        <v/>
      </c>
      <c r="O240" s="24">
        <f>IF(E240&lt;0.5,0,E240*(1+N('My Loans'!D7)/1200))</f>
        <v/>
      </c>
      <c r="P240" s="24">
        <f>IF(F240&lt;0.5,0,F240*(1+N('My Loans'!D8)/1200))</f>
        <v/>
      </c>
      <c r="Q240" s="24">
        <f>IF(G240&lt;0.5,0,G240*(1+N('My Loans'!D9)/1200))</f>
        <v/>
      </c>
      <c r="R240" s="24">
        <f>IF(H240&lt;0.5,0,H240*(1+N('My Loans'!D10)/1200))</f>
        <v/>
      </c>
      <c r="S240" s="24">
        <f>IF(I240&lt;0.5,0,I240*(1+N('My Loans'!D11)/1200))</f>
        <v/>
      </c>
      <c r="T240" s="24">
        <f>IF(J240&lt;0.5,0,J240*(1+N('My Loans'!D12)/1200))</f>
        <v/>
      </c>
      <c r="U240" s="24">
        <f>IF(K240&lt;0.5,0,K240*(1+N('My Loans'!D13)/1200))</f>
        <v/>
      </c>
      <c r="V240" s="24">
        <f>IF(L240&lt;0.5,0,L240*(1+N('My Loans'!D14)/1200))</f>
        <v/>
      </c>
      <c r="W240" s="24">
        <f>IF(M240&lt;0.5,0,M240*(1+N('My Loans'!D15)/1200))</f>
        <v/>
      </c>
      <c r="X240" s="24">
        <f>MIN(N240,N('My Loans'!E6))</f>
        <v/>
      </c>
      <c r="Y240" s="24">
        <f>MIN(O240,N('My Loans'!E7))</f>
        <v/>
      </c>
      <c r="Z240" s="24">
        <f>MIN(P240,N('My Loans'!E8))</f>
        <v/>
      </c>
      <c r="AA240" s="24">
        <f>MIN(Q240,N('My Loans'!E9))</f>
        <v/>
      </c>
      <c r="AB240" s="24">
        <f>MIN(R240,N('My Loans'!E10))</f>
        <v/>
      </c>
      <c r="AC240" s="24">
        <f>MIN(S240,N('My Loans'!E11))</f>
        <v/>
      </c>
      <c r="AD240" s="24">
        <f>MIN(T240,N('My Loans'!E12))</f>
        <v/>
      </c>
      <c r="AE240" s="24">
        <f>MIN(U240,N('My Loans'!E13))</f>
        <v/>
      </c>
      <c r="AF240" s="24">
        <f>MIN(V240,N('My Loans'!E14))</f>
        <v/>
      </c>
      <c r="AG240" s="24">
        <f>MIN(W240,N('My Loans'!E15))</f>
        <v/>
      </c>
      <c r="AH240" s="24">
        <f>MIN(N240-X240,MAX(0,$C240-SUMPRODUCT(($D$3:$M$3&lt;D$3)*($N240:$W240-$X240:$AG240))))</f>
        <v/>
      </c>
      <c r="AI240" s="24">
        <f>MIN(O240-Y240,MAX(0,$C240-SUMPRODUCT(($D$3:$M$3&lt;E$3)*($N240:$W240-$X240:$AG240))))</f>
        <v/>
      </c>
      <c r="AJ240" s="24">
        <f>MIN(P240-Z240,MAX(0,$C240-SUMPRODUCT(($D$3:$M$3&lt;F$3)*($N240:$W240-$X240:$AG240))))</f>
        <v/>
      </c>
      <c r="AK240" s="24">
        <f>MIN(Q240-AA240,MAX(0,$C240-SUMPRODUCT(($D$3:$M$3&lt;G$3)*($N240:$W240-$X240:$AG240))))</f>
        <v/>
      </c>
      <c r="AL240" s="24">
        <f>MIN(R240-AB240,MAX(0,$C240-SUMPRODUCT(($D$3:$M$3&lt;H$3)*($N240:$W240-$X240:$AG240))))</f>
        <v/>
      </c>
      <c r="AM240" s="24">
        <f>MIN(S240-AC240,MAX(0,$C240-SUMPRODUCT(($D$3:$M$3&lt;I$3)*($N240:$W240-$X240:$AG240))))</f>
        <v/>
      </c>
      <c r="AN240" s="24">
        <f>MIN(T240-AD240,MAX(0,$C240-SUMPRODUCT(($D$3:$M$3&lt;J$3)*($N240:$W240-$X240:$AG240))))</f>
        <v/>
      </c>
      <c r="AO240" s="24">
        <f>MIN(U240-AE240,MAX(0,$C240-SUMPRODUCT(($D$3:$M$3&lt;K$3)*($N240:$W240-$X240:$AG240))))</f>
        <v/>
      </c>
      <c r="AP240" s="24">
        <f>MIN(V240-AF240,MAX(0,$C240-SUMPRODUCT(($D$3:$M$3&lt;L$3)*($N240:$W240-$X240:$AG240))))</f>
        <v/>
      </c>
      <c r="AQ240" s="24">
        <f>MIN(W240-AG240,MAX(0,$C240-SUMPRODUCT(($D$3:$M$3&lt;M$3)*($N240:$W240-$X240:$AG240))))</f>
        <v/>
      </c>
      <c r="AR240" s="24">
        <f>ROUND(N240-X240-AH240,2)</f>
        <v/>
      </c>
      <c r="AS240" s="24">
        <f>ROUND(O240-Y240-AI240,2)</f>
        <v/>
      </c>
      <c r="AT240" s="24">
        <f>ROUND(P240-Z240-AJ240,2)</f>
        <v/>
      </c>
      <c r="AU240" s="24">
        <f>ROUND(Q240-AA240-AK240,2)</f>
        <v/>
      </c>
      <c r="AV240" s="24">
        <f>ROUND(R240-AB240-AL240,2)</f>
        <v/>
      </c>
      <c r="AW240" s="24">
        <f>ROUND(S240-AC240-AM240,2)</f>
        <v/>
      </c>
      <c r="AX240" s="24">
        <f>ROUND(T240-AD240-AN240,2)</f>
        <v/>
      </c>
      <c r="AY240" s="24">
        <f>ROUND(U240-AE240-AO240,2)</f>
        <v/>
      </c>
      <c r="AZ240" s="24">
        <f>ROUND(V240-AF240-AP240,2)</f>
        <v/>
      </c>
      <c r="BA240" s="24">
        <f>ROUND(W240-AG240-AQ240,2)</f>
        <v/>
      </c>
      <c r="BB240" s="24">
        <f>SUM(AR240:BA240)</f>
        <v/>
      </c>
    </row>
    <row r="241">
      <c r="A241" t="n">
        <v>237</v>
      </c>
      <c r="B241" s="23">
        <f>EOMONTH(TODAY(),236)</f>
        <v/>
      </c>
      <c r="C241" s="24">
        <f>MAX(0,(SUM('My Loans'!$E$6:$E$15)+'My Loans'!$D$3)-SUM($X241:$AG241))</f>
        <v/>
      </c>
      <c r="D241" s="24">
        <f>MAX(0,AR240)</f>
        <v/>
      </c>
      <c r="E241" s="24">
        <f>MAX(0,AS240)</f>
        <v/>
      </c>
      <c r="F241" s="24">
        <f>MAX(0,AT240)</f>
        <v/>
      </c>
      <c r="G241" s="24">
        <f>MAX(0,AU240)</f>
        <v/>
      </c>
      <c r="H241" s="24">
        <f>MAX(0,AV240)</f>
        <v/>
      </c>
      <c r="I241" s="24">
        <f>MAX(0,AW240)</f>
        <v/>
      </c>
      <c r="J241" s="24">
        <f>MAX(0,AX240)</f>
        <v/>
      </c>
      <c r="K241" s="24">
        <f>MAX(0,AY240)</f>
        <v/>
      </c>
      <c r="L241" s="24">
        <f>MAX(0,AZ240)</f>
        <v/>
      </c>
      <c r="M241" s="24">
        <f>MAX(0,BA240)</f>
        <v/>
      </c>
      <c r="N241" s="24">
        <f>IF(D241&lt;0.5,0,D241*(1+N('My Loans'!D6)/1200))</f>
        <v/>
      </c>
      <c r="O241" s="24">
        <f>IF(E241&lt;0.5,0,E241*(1+N('My Loans'!D7)/1200))</f>
        <v/>
      </c>
      <c r="P241" s="24">
        <f>IF(F241&lt;0.5,0,F241*(1+N('My Loans'!D8)/1200))</f>
        <v/>
      </c>
      <c r="Q241" s="24">
        <f>IF(G241&lt;0.5,0,G241*(1+N('My Loans'!D9)/1200))</f>
        <v/>
      </c>
      <c r="R241" s="24">
        <f>IF(H241&lt;0.5,0,H241*(1+N('My Loans'!D10)/1200))</f>
        <v/>
      </c>
      <c r="S241" s="24">
        <f>IF(I241&lt;0.5,0,I241*(1+N('My Loans'!D11)/1200))</f>
        <v/>
      </c>
      <c r="T241" s="24">
        <f>IF(J241&lt;0.5,0,J241*(1+N('My Loans'!D12)/1200))</f>
        <v/>
      </c>
      <c r="U241" s="24">
        <f>IF(K241&lt;0.5,0,K241*(1+N('My Loans'!D13)/1200))</f>
        <v/>
      </c>
      <c r="V241" s="24">
        <f>IF(L241&lt;0.5,0,L241*(1+N('My Loans'!D14)/1200))</f>
        <v/>
      </c>
      <c r="W241" s="24">
        <f>IF(M241&lt;0.5,0,M241*(1+N('My Loans'!D15)/1200))</f>
        <v/>
      </c>
      <c r="X241" s="24">
        <f>MIN(N241,N('My Loans'!E6))</f>
        <v/>
      </c>
      <c r="Y241" s="24">
        <f>MIN(O241,N('My Loans'!E7))</f>
        <v/>
      </c>
      <c r="Z241" s="24">
        <f>MIN(P241,N('My Loans'!E8))</f>
        <v/>
      </c>
      <c r="AA241" s="24">
        <f>MIN(Q241,N('My Loans'!E9))</f>
        <v/>
      </c>
      <c r="AB241" s="24">
        <f>MIN(R241,N('My Loans'!E10))</f>
        <v/>
      </c>
      <c r="AC241" s="24">
        <f>MIN(S241,N('My Loans'!E11))</f>
        <v/>
      </c>
      <c r="AD241" s="24">
        <f>MIN(T241,N('My Loans'!E12))</f>
        <v/>
      </c>
      <c r="AE241" s="24">
        <f>MIN(U241,N('My Loans'!E13))</f>
        <v/>
      </c>
      <c r="AF241" s="24">
        <f>MIN(V241,N('My Loans'!E14))</f>
        <v/>
      </c>
      <c r="AG241" s="24">
        <f>MIN(W241,N('My Loans'!E15))</f>
        <v/>
      </c>
      <c r="AH241" s="24">
        <f>MIN(N241-X241,MAX(0,$C241-SUMPRODUCT(($D$3:$M$3&lt;D$3)*($N241:$W241-$X241:$AG241))))</f>
        <v/>
      </c>
      <c r="AI241" s="24">
        <f>MIN(O241-Y241,MAX(0,$C241-SUMPRODUCT(($D$3:$M$3&lt;E$3)*($N241:$W241-$X241:$AG241))))</f>
        <v/>
      </c>
      <c r="AJ241" s="24">
        <f>MIN(P241-Z241,MAX(0,$C241-SUMPRODUCT(($D$3:$M$3&lt;F$3)*($N241:$W241-$X241:$AG241))))</f>
        <v/>
      </c>
      <c r="AK241" s="24">
        <f>MIN(Q241-AA241,MAX(0,$C241-SUMPRODUCT(($D$3:$M$3&lt;G$3)*($N241:$W241-$X241:$AG241))))</f>
        <v/>
      </c>
      <c r="AL241" s="24">
        <f>MIN(R241-AB241,MAX(0,$C241-SUMPRODUCT(($D$3:$M$3&lt;H$3)*($N241:$W241-$X241:$AG241))))</f>
        <v/>
      </c>
      <c r="AM241" s="24">
        <f>MIN(S241-AC241,MAX(0,$C241-SUMPRODUCT(($D$3:$M$3&lt;I$3)*($N241:$W241-$X241:$AG241))))</f>
        <v/>
      </c>
      <c r="AN241" s="24">
        <f>MIN(T241-AD241,MAX(0,$C241-SUMPRODUCT(($D$3:$M$3&lt;J$3)*($N241:$W241-$X241:$AG241))))</f>
        <v/>
      </c>
      <c r="AO241" s="24">
        <f>MIN(U241-AE241,MAX(0,$C241-SUMPRODUCT(($D$3:$M$3&lt;K$3)*($N241:$W241-$X241:$AG241))))</f>
        <v/>
      </c>
      <c r="AP241" s="24">
        <f>MIN(V241-AF241,MAX(0,$C241-SUMPRODUCT(($D$3:$M$3&lt;L$3)*($N241:$W241-$X241:$AG241))))</f>
        <v/>
      </c>
      <c r="AQ241" s="24">
        <f>MIN(W241-AG241,MAX(0,$C241-SUMPRODUCT(($D$3:$M$3&lt;M$3)*($N241:$W241-$X241:$AG241))))</f>
        <v/>
      </c>
      <c r="AR241" s="24">
        <f>ROUND(N241-X241-AH241,2)</f>
        <v/>
      </c>
      <c r="AS241" s="24">
        <f>ROUND(O241-Y241-AI241,2)</f>
        <v/>
      </c>
      <c r="AT241" s="24">
        <f>ROUND(P241-Z241-AJ241,2)</f>
        <v/>
      </c>
      <c r="AU241" s="24">
        <f>ROUND(Q241-AA241-AK241,2)</f>
        <v/>
      </c>
      <c r="AV241" s="24">
        <f>ROUND(R241-AB241-AL241,2)</f>
        <v/>
      </c>
      <c r="AW241" s="24">
        <f>ROUND(S241-AC241-AM241,2)</f>
        <v/>
      </c>
      <c r="AX241" s="24">
        <f>ROUND(T241-AD241-AN241,2)</f>
        <v/>
      </c>
      <c r="AY241" s="24">
        <f>ROUND(U241-AE241-AO241,2)</f>
        <v/>
      </c>
      <c r="AZ241" s="24">
        <f>ROUND(V241-AF241-AP241,2)</f>
        <v/>
      </c>
      <c r="BA241" s="24">
        <f>ROUND(W241-AG241-AQ241,2)</f>
        <v/>
      </c>
      <c r="BB241" s="24">
        <f>SUM(AR241:BA241)</f>
        <v/>
      </c>
    </row>
    <row r="242">
      <c r="A242" t="n">
        <v>238</v>
      </c>
      <c r="B242" s="23">
        <f>EOMONTH(TODAY(),237)</f>
        <v/>
      </c>
      <c r="C242" s="24">
        <f>MAX(0,(SUM('My Loans'!$E$6:$E$15)+'My Loans'!$D$3)-SUM($X242:$AG242))</f>
        <v/>
      </c>
      <c r="D242" s="24">
        <f>MAX(0,AR241)</f>
        <v/>
      </c>
      <c r="E242" s="24">
        <f>MAX(0,AS241)</f>
        <v/>
      </c>
      <c r="F242" s="24">
        <f>MAX(0,AT241)</f>
        <v/>
      </c>
      <c r="G242" s="24">
        <f>MAX(0,AU241)</f>
        <v/>
      </c>
      <c r="H242" s="24">
        <f>MAX(0,AV241)</f>
        <v/>
      </c>
      <c r="I242" s="24">
        <f>MAX(0,AW241)</f>
        <v/>
      </c>
      <c r="J242" s="24">
        <f>MAX(0,AX241)</f>
        <v/>
      </c>
      <c r="K242" s="24">
        <f>MAX(0,AY241)</f>
        <v/>
      </c>
      <c r="L242" s="24">
        <f>MAX(0,AZ241)</f>
        <v/>
      </c>
      <c r="M242" s="24">
        <f>MAX(0,BA241)</f>
        <v/>
      </c>
      <c r="N242" s="24">
        <f>IF(D242&lt;0.5,0,D242*(1+N('My Loans'!D6)/1200))</f>
        <v/>
      </c>
      <c r="O242" s="24">
        <f>IF(E242&lt;0.5,0,E242*(1+N('My Loans'!D7)/1200))</f>
        <v/>
      </c>
      <c r="P242" s="24">
        <f>IF(F242&lt;0.5,0,F242*(1+N('My Loans'!D8)/1200))</f>
        <v/>
      </c>
      <c r="Q242" s="24">
        <f>IF(G242&lt;0.5,0,G242*(1+N('My Loans'!D9)/1200))</f>
        <v/>
      </c>
      <c r="R242" s="24">
        <f>IF(H242&lt;0.5,0,H242*(1+N('My Loans'!D10)/1200))</f>
        <v/>
      </c>
      <c r="S242" s="24">
        <f>IF(I242&lt;0.5,0,I242*(1+N('My Loans'!D11)/1200))</f>
        <v/>
      </c>
      <c r="T242" s="24">
        <f>IF(J242&lt;0.5,0,J242*(1+N('My Loans'!D12)/1200))</f>
        <v/>
      </c>
      <c r="U242" s="24">
        <f>IF(K242&lt;0.5,0,K242*(1+N('My Loans'!D13)/1200))</f>
        <v/>
      </c>
      <c r="V242" s="24">
        <f>IF(L242&lt;0.5,0,L242*(1+N('My Loans'!D14)/1200))</f>
        <v/>
      </c>
      <c r="W242" s="24">
        <f>IF(M242&lt;0.5,0,M242*(1+N('My Loans'!D15)/1200))</f>
        <v/>
      </c>
      <c r="X242" s="24">
        <f>MIN(N242,N('My Loans'!E6))</f>
        <v/>
      </c>
      <c r="Y242" s="24">
        <f>MIN(O242,N('My Loans'!E7))</f>
        <v/>
      </c>
      <c r="Z242" s="24">
        <f>MIN(P242,N('My Loans'!E8))</f>
        <v/>
      </c>
      <c r="AA242" s="24">
        <f>MIN(Q242,N('My Loans'!E9))</f>
        <v/>
      </c>
      <c r="AB242" s="24">
        <f>MIN(R242,N('My Loans'!E10))</f>
        <v/>
      </c>
      <c r="AC242" s="24">
        <f>MIN(S242,N('My Loans'!E11))</f>
        <v/>
      </c>
      <c r="AD242" s="24">
        <f>MIN(T242,N('My Loans'!E12))</f>
        <v/>
      </c>
      <c r="AE242" s="24">
        <f>MIN(U242,N('My Loans'!E13))</f>
        <v/>
      </c>
      <c r="AF242" s="24">
        <f>MIN(V242,N('My Loans'!E14))</f>
        <v/>
      </c>
      <c r="AG242" s="24">
        <f>MIN(W242,N('My Loans'!E15))</f>
        <v/>
      </c>
      <c r="AH242" s="24">
        <f>MIN(N242-X242,MAX(0,$C242-SUMPRODUCT(($D$3:$M$3&lt;D$3)*($N242:$W242-$X242:$AG242))))</f>
        <v/>
      </c>
      <c r="AI242" s="24">
        <f>MIN(O242-Y242,MAX(0,$C242-SUMPRODUCT(($D$3:$M$3&lt;E$3)*($N242:$W242-$X242:$AG242))))</f>
        <v/>
      </c>
      <c r="AJ242" s="24">
        <f>MIN(P242-Z242,MAX(0,$C242-SUMPRODUCT(($D$3:$M$3&lt;F$3)*($N242:$W242-$X242:$AG242))))</f>
        <v/>
      </c>
      <c r="AK242" s="24">
        <f>MIN(Q242-AA242,MAX(0,$C242-SUMPRODUCT(($D$3:$M$3&lt;G$3)*($N242:$W242-$X242:$AG242))))</f>
        <v/>
      </c>
      <c r="AL242" s="24">
        <f>MIN(R242-AB242,MAX(0,$C242-SUMPRODUCT(($D$3:$M$3&lt;H$3)*($N242:$W242-$X242:$AG242))))</f>
        <v/>
      </c>
      <c r="AM242" s="24">
        <f>MIN(S242-AC242,MAX(0,$C242-SUMPRODUCT(($D$3:$M$3&lt;I$3)*($N242:$W242-$X242:$AG242))))</f>
        <v/>
      </c>
      <c r="AN242" s="24">
        <f>MIN(T242-AD242,MAX(0,$C242-SUMPRODUCT(($D$3:$M$3&lt;J$3)*($N242:$W242-$X242:$AG242))))</f>
        <v/>
      </c>
      <c r="AO242" s="24">
        <f>MIN(U242-AE242,MAX(0,$C242-SUMPRODUCT(($D$3:$M$3&lt;K$3)*($N242:$W242-$X242:$AG242))))</f>
        <v/>
      </c>
      <c r="AP242" s="24">
        <f>MIN(V242-AF242,MAX(0,$C242-SUMPRODUCT(($D$3:$M$3&lt;L$3)*($N242:$W242-$X242:$AG242))))</f>
        <v/>
      </c>
      <c r="AQ242" s="24">
        <f>MIN(W242-AG242,MAX(0,$C242-SUMPRODUCT(($D$3:$M$3&lt;M$3)*($N242:$W242-$X242:$AG242))))</f>
        <v/>
      </c>
      <c r="AR242" s="24">
        <f>ROUND(N242-X242-AH242,2)</f>
        <v/>
      </c>
      <c r="AS242" s="24">
        <f>ROUND(O242-Y242-AI242,2)</f>
        <v/>
      </c>
      <c r="AT242" s="24">
        <f>ROUND(P242-Z242-AJ242,2)</f>
        <v/>
      </c>
      <c r="AU242" s="24">
        <f>ROUND(Q242-AA242-AK242,2)</f>
        <v/>
      </c>
      <c r="AV242" s="24">
        <f>ROUND(R242-AB242-AL242,2)</f>
        <v/>
      </c>
      <c r="AW242" s="24">
        <f>ROUND(S242-AC242-AM242,2)</f>
        <v/>
      </c>
      <c r="AX242" s="24">
        <f>ROUND(T242-AD242-AN242,2)</f>
        <v/>
      </c>
      <c r="AY242" s="24">
        <f>ROUND(U242-AE242-AO242,2)</f>
        <v/>
      </c>
      <c r="AZ242" s="24">
        <f>ROUND(V242-AF242-AP242,2)</f>
        <v/>
      </c>
      <c r="BA242" s="24">
        <f>ROUND(W242-AG242-AQ242,2)</f>
        <v/>
      </c>
      <c r="BB242" s="24">
        <f>SUM(AR242:BA242)</f>
        <v/>
      </c>
    </row>
    <row r="243">
      <c r="A243" t="n">
        <v>239</v>
      </c>
      <c r="B243" s="23">
        <f>EOMONTH(TODAY(),238)</f>
        <v/>
      </c>
      <c r="C243" s="24">
        <f>MAX(0,(SUM('My Loans'!$E$6:$E$15)+'My Loans'!$D$3)-SUM($X243:$AG243))</f>
        <v/>
      </c>
      <c r="D243" s="24">
        <f>MAX(0,AR242)</f>
        <v/>
      </c>
      <c r="E243" s="24">
        <f>MAX(0,AS242)</f>
        <v/>
      </c>
      <c r="F243" s="24">
        <f>MAX(0,AT242)</f>
        <v/>
      </c>
      <c r="G243" s="24">
        <f>MAX(0,AU242)</f>
        <v/>
      </c>
      <c r="H243" s="24">
        <f>MAX(0,AV242)</f>
        <v/>
      </c>
      <c r="I243" s="24">
        <f>MAX(0,AW242)</f>
        <v/>
      </c>
      <c r="J243" s="24">
        <f>MAX(0,AX242)</f>
        <v/>
      </c>
      <c r="K243" s="24">
        <f>MAX(0,AY242)</f>
        <v/>
      </c>
      <c r="L243" s="24">
        <f>MAX(0,AZ242)</f>
        <v/>
      </c>
      <c r="M243" s="24">
        <f>MAX(0,BA242)</f>
        <v/>
      </c>
      <c r="N243" s="24">
        <f>IF(D243&lt;0.5,0,D243*(1+N('My Loans'!D6)/1200))</f>
        <v/>
      </c>
      <c r="O243" s="24">
        <f>IF(E243&lt;0.5,0,E243*(1+N('My Loans'!D7)/1200))</f>
        <v/>
      </c>
      <c r="P243" s="24">
        <f>IF(F243&lt;0.5,0,F243*(1+N('My Loans'!D8)/1200))</f>
        <v/>
      </c>
      <c r="Q243" s="24">
        <f>IF(G243&lt;0.5,0,G243*(1+N('My Loans'!D9)/1200))</f>
        <v/>
      </c>
      <c r="R243" s="24">
        <f>IF(H243&lt;0.5,0,H243*(1+N('My Loans'!D10)/1200))</f>
        <v/>
      </c>
      <c r="S243" s="24">
        <f>IF(I243&lt;0.5,0,I243*(1+N('My Loans'!D11)/1200))</f>
        <v/>
      </c>
      <c r="T243" s="24">
        <f>IF(J243&lt;0.5,0,J243*(1+N('My Loans'!D12)/1200))</f>
        <v/>
      </c>
      <c r="U243" s="24">
        <f>IF(K243&lt;0.5,0,K243*(1+N('My Loans'!D13)/1200))</f>
        <v/>
      </c>
      <c r="V243" s="24">
        <f>IF(L243&lt;0.5,0,L243*(1+N('My Loans'!D14)/1200))</f>
        <v/>
      </c>
      <c r="W243" s="24">
        <f>IF(M243&lt;0.5,0,M243*(1+N('My Loans'!D15)/1200))</f>
        <v/>
      </c>
      <c r="X243" s="24">
        <f>MIN(N243,N('My Loans'!E6))</f>
        <v/>
      </c>
      <c r="Y243" s="24">
        <f>MIN(O243,N('My Loans'!E7))</f>
        <v/>
      </c>
      <c r="Z243" s="24">
        <f>MIN(P243,N('My Loans'!E8))</f>
        <v/>
      </c>
      <c r="AA243" s="24">
        <f>MIN(Q243,N('My Loans'!E9))</f>
        <v/>
      </c>
      <c r="AB243" s="24">
        <f>MIN(R243,N('My Loans'!E10))</f>
        <v/>
      </c>
      <c r="AC243" s="24">
        <f>MIN(S243,N('My Loans'!E11))</f>
        <v/>
      </c>
      <c r="AD243" s="24">
        <f>MIN(T243,N('My Loans'!E12))</f>
        <v/>
      </c>
      <c r="AE243" s="24">
        <f>MIN(U243,N('My Loans'!E13))</f>
        <v/>
      </c>
      <c r="AF243" s="24">
        <f>MIN(V243,N('My Loans'!E14))</f>
        <v/>
      </c>
      <c r="AG243" s="24">
        <f>MIN(W243,N('My Loans'!E15))</f>
        <v/>
      </c>
      <c r="AH243" s="24">
        <f>MIN(N243-X243,MAX(0,$C243-SUMPRODUCT(($D$3:$M$3&lt;D$3)*($N243:$W243-$X243:$AG243))))</f>
        <v/>
      </c>
      <c r="AI243" s="24">
        <f>MIN(O243-Y243,MAX(0,$C243-SUMPRODUCT(($D$3:$M$3&lt;E$3)*($N243:$W243-$X243:$AG243))))</f>
        <v/>
      </c>
      <c r="AJ243" s="24">
        <f>MIN(P243-Z243,MAX(0,$C243-SUMPRODUCT(($D$3:$M$3&lt;F$3)*($N243:$W243-$X243:$AG243))))</f>
        <v/>
      </c>
      <c r="AK243" s="24">
        <f>MIN(Q243-AA243,MAX(0,$C243-SUMPRODUCT(($D$3:$M$3&lt;G$3)*($N243:$W243-$X243:$AG243))))</f>
        <v/>
      </c>
      <c r="AL243" s="24">
        <f>MIN(R243-AB243,MAX(0,$C243-SUMPRODUCT(($D$3:$M$3&lt;H$3)*($N243:$W243-$X243:$AG243))))</f>
        <v/>
      </c>
      <c r="AM243" s="24">
        <f>MIN(S243-AC243,MAX(0,$C243-SUMPRODUCT(($D$3:$M$3&lt;I$3)*($N243:$W243-$X243:$AG243))))</f>
        <v/>
      </c>
      <c r="AN243" s="24">
        <f>MIN(T243-AD243,MAX(0,$C243-SUMPRODUCT(($D$3:$M$3&lt;J$3)*($N243:$W243-$X243:$AG243))))</f>
        <v/>
      </c>
      <c r="AO243" s="24">
        <f>MIN(U243-AE243,MAX(0,$C243-SUMPRODUCT(($D$3:$M$3&lt;K$3)*($N243:$W243-$X243:$AG243))))</f>
        <v/>
      </c>
      <c r="AP243" s="24">
        <f>MIN(V243-AF243,MAX(0,$C243-SUMPRODUCT(($D$3:$M$3&lt;L$3)*($N243:$W243-$X243:$AG243))))</f>
        <v/>
      </c>
      <c r="AQ243" s="24">
        <f>MIN(W243-AG243,MAX(0,$C243-SUMPRODUCT(($D$3:$M$3&lt;M$3)*($N243:$W243-$X243:$AG243))))</f>
        <v/>
      </c>
      <c r="AR243" s="24">
        <f>ROUND(N243-X243-AH243,2)</f>
        <v/>
      </c>
      <c r="AS243" s="24">
        <f>ROUND(O243-Y243-AI243,2)</f>
        <v/>
      </c>
      <c r="AT243" s="24">
        <f>ROUND(P243-Z243-AJ243,2)</f>
        <v/>
      </c>
      <c r="AU243" s="24">
        <f>ROUND(Q243-AA243-AK243,2)</f>
        <v/>
      </c>
      <c r="AV243" s="24">
        <f>ROUND(R243-AB243-AL243,2)</f>
        <v/>
      </c>
      <c r="AW243" s="24">
        <f>ROUND(S243-AC243-AM243,2)</f>
        <v/>
      </c>
      <c r="AX243" s="24">
        <f>ROUND(T243-AD243-AN243,2)</f>
        <v/>
      </c>
      <c r="AY243" s="24">
        <f>ROUND(U243-AE243-AO243,2)</f>
        <v/>
      </c>
      <c r="AZ243" s="24">
        <f>ROUND(V243-AF243-AP243,2)</f>
        <v/>
      </c>
      <c r="BA243" s="24">
        <f>ROUND(W243-AG243-AQ243,2)</f>
        <v/>
      </c>
      <c r="BB243" s="24">
        <f>SUM(AR243:BA243)</f>
        <v/>
      </c>
    </row>
    <row r="244">
      <c r="A244" t="n">
        <v>240</v>
      </c>
      <c r="B244" s="23">
        <f>EOMONTH(TODAY(),239)</f>
        <v/>
      </c>
      <c r="C244" s="24">
        <f>MAX(0,(SUM('My Loans'!$E$6:$E$15)+'My Loans'!$D$3)-SUM($X244:$AG244))</f>
        <v/>
      </c>
      <c r="D244" s="24">
        <f>MAX(0,AR243)</f>
        <v/>
      </c>
      <c r="E244" s="24">
        <f>MAX(0,AS243)</f>
        <v/>
      </c>
      <c r="F244" s="24">
        <f>MAX(0,AT243)</f>
        <v/>
      </c>
      <c r="G244" s="24">
        <f>MAX(0,AU243)</f>
        <v/>
      </c>
      <c r="H244" s="24">
        <f>MAX(0,AV243)</f>
        <v/>
      </c>
      <c r="I244" s="24">
        <f>MAX(0,AW243)</f>
        <v/>
      </c>
      <c r="J244" s="24">
        <f>MAX(0,AX243)</f>
        <v/>
      </c>
      <c r="K244" s="24">
        <f>MAX(0,AY243)</f>
        <v/>
      </c>
      <c r="L244" s="24">
        <f>MAX(0,AZ243)</f>
        <v/>
      </c>
      <c r="M244" s="24">
        <f>MAX(0,BA243)</f>
        <v/>
      </c>
      <c r="N244" s="24">
        <f>IF(D244&lt;0.5,0,D244*(1+N('My Loans'!D6)/1200))</f>
        <v/>
      </c>
      <c r="O244" s="24">
        <f>IF(E244&lt;0.5,0,E244*(1+N('My Loans'!D7)/1200))</f>
        <v/>
      </c>
      <c r="P244" s="24">
        <f>IF(F244&lt;0.5,0,F244*(1+N('My Loans'!D8)/1200))</f>
        <v/>
      </c>
      <c r="Q244" s="24">
        <f>IF(G244&lt;0.5,0,G244*(1+N('My Loans'!D9)/1200))</f>
        <v/>
      </c>
      <c r="R244" s="24">
        <f>IF(H244&lt;0.5,0,H244*(1+N('My Loans'!D10)/1200))</f>
        <v/>
      </c>
      <c r="S244" s="24">
        <f>IF(I244&lt;0.5,0,I244*(1+N('My Loans'!D11)/1200))</f>
        <v/>
      </c>
      <c r="T244" s="24">
        <f>IF(J244&lt;0.5,0,J244*(1+N('My Loans'!D12)/1200))</f>
        <v/>
      </c>
      <c r="U244" s="24">
        <f>IF(K244&lt;0.5,0,K244*(1+N('My Loans'!D13)/1200))</f>
        <v/>
      </c>
      <c r="V244" s="24">
        <f>IF(L244&lt;0.5,0,L244*(1+N('My Loans'!D14)/1200))</f>
        <v/>
      </c>
      <c r="W244" s="24">
        <f>IF(M244&lt;0.5,0,M244*(1+N('My Loans'!D15)/1200))</f>
        <v/>
      </c>
      <c r="X244" s="24">
        <f>MIN(N244,N('My Loans'!E6))</f>
        <v/>
      </c>
      <c r="Y244" s="24">
        <f>MIN(O244,N('My Loans'!E7))</f>
        <v/>
      </c>
      <c r="Z244" s="24">
        <f>MIN(P244,N('My Loans'!E8))</f>
        <v/>
      </c>
      <c r="AA244" s="24">
        <f>MIN(Q244,N('My Loans'!E9))</f>
        <v/>
      </c>
      <c r="AB244" s="24">
        <f>MIN(R244,N('My Loans'!E10))</f>
        <v/>
      </c>
      <c r="AC244" s="24">
        <f>MIN(S244,N('My Loans'!E11))</f>
        <v/>
      </c>
      <c r="AD244" s="24">
        <f>MIN(T244,N('My Loans'!E12))</f>
        <v/>
      </c>
      <c r="AE244" s="24">
        <f>MIN(U244,N('My Loans'!E13))</f>
        <v/>
      </c>
      <c r="AF244" s="24">
        <f>MIN(V244,N('My Loans'!E14))</f>
        <v/>
      </c>
      <c r="AG244" s="24">
        <f>MIN(W244,N('My Loans'!E15))</f>
        <v/>
      </c>
      <c r="AH244" s="24">
        <f>MIN(N244-X244,MAX(0,$C244-SUMPRODUCT(($D$3:$M$3&lt;D$3)*($N244:$W244-$X244:$AG244))))</f>
        <v/>
      </c>
      <c r="AI244" s="24">
        <f>MIN(O244-Y244,MAX(0,$C244-SUMPRODUCT(($D$3:$M$3&lt;E$3)*($N244:$W244-$X244:$AG244))))</f>
        <v/>
      </c>
      <c r="AJ244" s="24">
        <f>MIN(P244-Z244,MAX(0,$C244-SUMPRODUCT(($D$3:$M$3&lt;F$3)*($N244:$W244-$X244:$AG244))))</f>
        <v/>
      </c>
      <c r="AK244" s="24">
        <f>MIN(Q244-AA244,MAX(0,$C244-SUMPRODUCT(($D$3:$M$3&lt;G$3)*($N244:$W244-$X244:$AG244))))</f>
        <v/>
      </c>
      <c r="AL244" s="24">
        <f>MIN(R244-AB244,MAX(0,$C244-SUMPRODUCT(($D$3:$M$3&lt;H$3)*($N244:$W244-$X244:$AG244))))</f>
        <v/>
      </c>
      <c r="AM244" s="24">
        <f>MIN(S244-AC244,MAX(0,$C244-SUMPRODUCT(($D$3:$M$3&lt;I$3)*($N244:$W244-$X244:$AG244))))</f>
        <v/>
      </c>
      <c r="AN244" s="24">
        <f>MIN(T244-AD244,MAX(0,$C244-SUMPRODUCT(($D$3:$M$3&lt;J$3)*($N244:$W244-$X244:$AG244))))</f>
        <v/>
      </c>
      <c r="AO244" s="24">
        <f>MIN(U244-AE244,MAX(0,$C244-SUMPRODUCT(($D$3:$M$3&lt;K$3)*($N244:$W244-$X244:$AG244))))</f>
        <v/>
      </c>
      <c r="AP244" s="24">
        <f>MIN(V244-AF244,MAX(0,$C244-SUMPRODUCT(($D$3:$M$3&lt;L$3)*($N244:$W244-$X244:$AG244))))</f>
        <v/>
      </c>
      <c r="AQ244" s="24">
        <f>MIN(W244-AG244,MAX(0,$C244-SUMPRODUCT(($D$3:$M$3&lt;M$3)*($N244:$W244-$X244:$AG244))))</f>
        <v/>
      </c>
      <c r="AR244" s="24">
        <f>ROUND(N244-X244-AH244,2)</f>
        <v/>
      </c>
      <c r="AS244" s="24">
        <f>ROUND(O244-Y244-AI244,2)</f>
        <v/>
      </c>
      <c r="AT244" s="24">
        <f>ROUND(P244-Z244-AJ244,2)</f>
        <v/>
      </c>
      <c r="AU244" s="24">
        <f>ROUND(Q244-AA244-AK244,2)</f>
        <v/>
      </c>
      <c r="AV244" s="24">
        <f>ROUND(R244-AB244-AL244,2)</f>
        <v/>
      </c>
      <c r="AW244" s="24">
        <f>ROUND(S244-AC244-AM244,2)</f>
        <v/>
      </c>
      <c r="AX244" s="24">
        <f>ROUND(T244-AD244-AN244,2)</f>
        <v/>
      </c>
      <c r="AY244" s="24">
        <f>ROUND(U244-AE244-AO244,2)</f>
        <v/>
      </c>
      <c r="AZ244" s="24">
        <f>ROUND(V244-AF244-AP244,2)</f>
        <v/>
      </c>
      <c r="BA244" s="24">
        <f>ROUND(W244-AG244-AQ244,2)</f>
        <v/>
      </c>
      <c r="BB244" s="24">
        <f>SUM(AR244:BA244)</f>
        <v/>
      </c>
    </row>
    <row r="245">
      <c r="A245" t="n">
        <v>241</v>
      </c>
      <c r="B245" s="23">
        <f>EOMONTH(TODAY(),240)</f>
        <v/>
      </c>
      <c r="C245" s="24">
        <f>MAX(0,(SUM('My Loans'!$E$6:$E$15)+'My Loans'!$D$3)-SUM($X245:$AG245))</f>
        <v/>
      </c>
      <c r="D245" s="24">
        <f>MAX(0,AR244)</f>
        <v/>
      </c>
      <c r="E245" s="24">
        <f>MAX(0,AS244)</f>
        <v/>
      </c>
      <c r="F245" s="24">
        <f>MAX(0,AT244)</f>
        <v/>
      </c>
      <c r="G245" s="24">
        <f>MAX(0,AU244)</f>
        <v/>
      </c>
      <c r="H245" s="24">
        <f>MAX(0,AV244)</f>
        <v/>
      </c>
      <c r="I245" s="24">
        <f>MAX(0,AW244)</f>
        <v/>
      </c>
      <c r="J245" s="24">
        <f>MAX(0,AX244)</f>
        <v/>
      </c>
      <c r="K245" s="24">
        <f>MAX(0,AY244)</f>
        <v/>
      </c>
      <c r="L245" s="24">
        <f>MAX(0,AZ244)</f>
        <v/>
      </c>
      <c r="M245" s="24">
        <f>MAX(0,BA244)</f>
        <v/>
      </c>
      <c r="N245" s="24">
        <f>IF(D245&lt;0.5,0,D245*(1+N('My Loans'!D6)/1200))</f>
        <v/>
      </c>
      <c r="O245" s="24">
        <f>IF(E245&lt;0.5,0,E245*(1+N('My Loans'!D7)/1200))</f>
        <v/>
      </c>
      <c r="P245" s="24">
        <f>IF(F245&lt;0.5,0,F245*(1+N('My Loans'!D8)/1200))</f>
        <v/>
      </c>
      <c r="Q245" s="24">
        <f>IF(G245&lt;0.5,0,G245*(1+N('My Loans'!D9)/1200))</f>
        <v/>
      </c>
      <c r="R245" s="24">
        <f>IF(H245&lt;0.5,0,H245*(1+N('My Loans'!D10)/1200))</f>
        <v/>
      </c>
      <c r="S245" s="24">
        <f>IF(I245&lt;0.5,0,I245*(1+N('My Loans'!D11)/1200))</f>
        <v/>
      </c>
      <c r="T245" s="24">
        <f>IF(J245&lt;0.5,0,J245*(1+N('My Loans'!D12)/1200))</f>
        <v/>
      </c>
      <c r="U245" s="24">
        <f>IF(K245&lt;0.5,0,K245*(1+N('My Loans'!D13)/1200))</f>
        <v/>
      </c>
      <c r="V245" s="24">
        <f>IF(L245&lt;0.5,0,L245*(1+N('My Loans'!D14)/1200))</f>
        <v/>
      </c>
      <c r="W245" s="24">
        <f>IF(M245&lt;0.5,0,M245*(1+N('My Loans'!D15)/1200))</f>
        <v/>
      </c>
      <c r="X245" s="24">
        <f>MIN(N245,N('My Loans'!E6))</f>
        <v/>
      </c>
      <c r="Y245" s="24">
        <f>MIN(O245,N('My Loans'!E7))</f>
        <v/>
      </c>
      <c r="Z245" s="24">
        <f>MIN(P245,N('My Loans'!E8))</f>
        <v/>
      </c>
      <c r="AA245" s="24">
        <f>MIN(Q245,N('My Loans'!E9))</f>
        <v/>
      </c>
      <c r="AB245" s="24">
        <f>MIN(R245,N('My Loans'!E10))</f>
        <v/>
      </c>
      <c r="AC245" s="24">
        <f>MIN(S245,N('My Loans'!E11))</f>
        <v/>
      </c>
      <c r="AD245" s="24">
        <f>MIN(T245,N('My Loans'!E12))</f>
        <v/>
      </c>
      <c r="AE245" s="24">
        <f>MIN(U245,N('My Loans'!E13))</f>
        <v/>
      </c>
      <c r="AF245" s="24">
        <f>MIN(V245,N('My Loans'!E14))</f>
        <v/>
      </c>
      <c r="AG245" s="24">
        <f>MIN(W245,N('My Loans'!E15))</f>
        <v/>
      </c>
      <c r="AH245" s="24">
        <f>MIN(N245-X245,MAX(0,$C245-SUMPRODUCT(($D$3:$M$3&lt;D$3)*($N245:$W245-$X245:$AG245))))</f>
        <v/>
      </c>
      <c r="AI245" s="24">
        <f>MIN(O245-Y245,MAX(0,$C245-SUMPRODUCT(($D$3:$M$3&lt;E$3)*($N245:$W245-$X245:$AG245))))</f>
        <v/>
      </c>
      <c r="AJ245" s="24">
        <f>MIN(P245-Z245,MAX(0,$C245-SUMPRODUCT(($D$3:$M$3&lt;F$3)*($N245:$W245-$X245:$AG245))))</f>
        <v/>
      </c>
      <c r="AK245" s="24">
        <f>MIN(Q245-AA245,MAX(0,$C245-SUMPRODUCT(($D$3:$M$3&lt;G$3)*($N245:$W245-$X245:$AG245))))</f>
        <v/>
      </c>
      <c r="AL245" s="24">
        <f>MIN(R245-AB245,MAX(0,$C245-SUMPRODUCT(($D$3:$M$3&lt;H$3)*($N245:$W245-$X245:$AG245))))</f>
        <v/>
      </c>
      <c r="AM245" s="24">
        <f>MIN(S245-AC245,MAX(0,$C245-SUMPRODUCT(($D$3:$M$3&lt;I$3)*($N245:$W245-$X245:$AG245))))</f>
        <v/>
      </c>
      <c r="AN245" s="24">
        <f>MIN(T245-AD245,MAX(0,$C245-SUMPRODUCT(($D$3:$M$3&lt;J$3)*($N245:$W245-$X245:$AG245))))</f>
        <v/>
      </c>
      <c r="AO245" s="24">
        <f>MIN(U245-AE245,MAX(0,$C245-SUMPRODUCT(($D$3:$M$3&lt;K$3)*($N245:$W245-$X245:$AG245))))</f>
        <v/>
      </c>
      <c r="AP245" s="24">
        <f>MIN(V245-AF245,MAX(0,$C245-SUMPRODUCT(($D$3:$M$3&lt;L$3)*($N245:$W245-$X245:$AG245))))</f>
        <v/>
      </c>
      <c r="AQ245" s="24">
        <f>MIN(W245-AG245,MAX(0,$C245-SUMPRODUCT(($D$3:$M$3&lt;M$3)*($N245:$W245-$X245:$AG245))))</f>
        <v/>
      </c>
      <c r="AR245" s="24">
        <f>ROUND(N245-X245-AH245,2)</f>
        <v/>
      </c>
      <c r="AS245" s="24">
        <f>ROUND(O245-Y245-AI245,2)</f>
        <v/>
      </c>
      <c r="AT245" s="24">
        <f>ROUND(P245-Z245-AJ245,2)</f>
        <v/>
      </c>
      <c r="AU245" s="24">
        <f>ROUND(Q245-AA245-AK245,2)</f>
        <v/>
      </c>
      <c r="AV245" s="24">
        <f>ROUND(R245-AB245-AL245,2)</f>
        <v/>
      </c>
      <c r="AW245" s="24">
        <f>ROUND(S245-AC245-AM245,2)</f>
        <v/>
      </c>
      <c r="AX245" s="24">
        <f>ROUND(T245-AD245-AN245,2)</f>
        <v/>
      </c>
      <c r="AY245" s="24">
        <f>ROUND(U245-AE245-AO245,2)</f>
        <v/>
      </c>
      <c r="AZ245" s="24">
        <f>ROUND(V245-AF245-AP245,2)</f>
        <v/>
      </c>
      <c r="BA245" s="24">
        <f>ROUND(W245-AG245-AQ245,2)</f>
        <v/>
      </c>
      <c r="BB245" s="24">
        <f>SUM(AR245:BA245)</f>
        <v/>
      </c>
    </row>
    <row r="246">
      <c r="A246" t="n">
        <v>242</v>
      </c>
      <c r="B246" s="23">
        <f>EOMONTH(TODAY(),241)</f>
        <v/>
      </c>
      <c r="C246" s="24">
        <f>MAX(0,(SUM('My Loans'!$E$6:$E$15)+'My Loans'!$D$3)-SUM($X246:$AG246))</f>
        <v/>
      </c>
      <c r="D246" s="24">
        <f>MAX(0,AR245)</f>
        <v/>
      </c>
      <c r="E246" s="24">
        <f>MAX(0,AS245)</f>
        <v/>
      </c>
      <c r="F246" s="24">
        <f>MAX(0,AT245)</f>
        <v/>
      </c>
      <c r="G246" s="24">
        <f>MAX(0,AU245)</f>
        <v/>
      </c>
      <c r="H246" s="24">
        <f>MAX(0,AV245)</f>
        <v/>
      </c>
      <c r="I246" s="24">
        <f>MAX(0,AW245)</f>
        <v/>
      </c>
      <c r="J246" s="24">
        <f>MAX(0,AX245)</f>
        <v/>
      </c>
      <c r="K246" s="24">
        <f>MAX(0,AY245)</f>
        <v/>
      </c>
      <c r="L246" s="24">
        <f>MAX(0,AZ245)</f>
        <v/>
      </c>
      <c r="M246" s="24">
        <f>MAX(0,BA245)</f>
        <v/>
      </c>
      <c r="N246" s="24">
        <f>IF(D246&lt;0.5,0,D246*(1+N('My Loans'!D6)/1200))</f>
        <v/>
      </c>
      <c r="O246" s="24">
        <f>IF(E246&lt;0.5,0,E246*(1+N('My Loans'!D7)/1200))</f>
        <v/>
      </c>
      <c r="P246" s="24">
        <f>IF(F246&lt;0.5,0,F246*(1+N('My Loans'!D8)/1200))</f>
        <v/>
      </c>
      <c r="Q246" s="24">
        <f>IF(G246&lt;0.5,0,G246*(1+N('My Loans'!D9)/1200))</f>
        <v/>
      </c>
      <c r="R246" s="24">
        <f>IF(H246&lt;0.5,0,H246*(1+N('My Loans'!D10)/1200))</f>
        <v/>
      </c>
      <c r="S246" s="24">
        <f>IF(I246&lt;0.5,0,I246*(1+N('My Loans'!D11)/1200))</f>
        <v/>
      </c>
      <c r="T246" s="24">
        <f>IF(J246&lt;0.5,0,J246*(1+N('My Loans'!D12)/1200))</f>
        <v/>
      </c>
      <c r="U246" s="24">
        <f>IF(K246&lt;0.5,0,K246*(1+N('My Loans'!D13)/1200))</f>
        <v/>
      </c>
      <c r="V246" s="24">
        <f>IF(L246&lt;0.5,0,L246*(1+N('My Loans'!D14)/1200))</f>
        <v/>
      </c>
      <c r="W246" s="24">
        <f>IF(M246&lt;0.5,0,M246*(1+N('My Loans'!D15)/1200))</f>
        <v/>
      </c>
      <c r="X246" s="24">
        <f>MIN(N246,N('My Loans'!E6))</f>
        <v/>
      </c>
      <c r="Y246" s="24">
        <f>MIN(O246,N('My Loans'!E7))</f>
        <v/>
      </c>
      <c r="Z246" s="24">
        <f>MIN(P246,N('My Loans'!E8))</f>
        <v/>
      </c>
      <c r="AA246" s="24">
        <f>MIN(Q246,N('My Loans'!E9))</f>
        <v/>
      </c>
      <c r="AB246" s="24">
        <f>MIN(R246,N('My Loans'!E10))</f>
        <v/>
      </c>
      <c r="AC246" s="24">
        <f>MIN(S246,N('My Loans'!E11))</f>
        <v/>
      </c>
      <c r="AD246" s="24">
        <f>MIN(T246,N('My Loans'!E12))</f>
        <v/>
      </c>
      <c r="AE246" s="24">
        <f>MIN(U246,N('My Loans'!E13))</f>
        <v/>
      </c>
      <c r="AF246" s="24">
        <f>MIN(V246,N('My Loans'!E14))</f>
        <v/>
      </c>
      <c r="AG246" s="24">
        <f>MIN(W246,N('My Loans'!E15))</f>
        <v/>
      </c>
      <c r="AH246" s="24">
        <f>MIN(N246-X246,MAX(0,$C246-SUMPRODUCT(($D$3:$M$3&lt;D$3)*($N246:$W246-$X246:$AG246))))</f>
        <v/>
      </c>
      <c r="AI246" s="24">
        <f>MIN(O246-Y246,MAX(0,$C246-SUMPRODUCT(($D$3:$M$3&lt;E$3)*($N246:$W246-$X246:$AG246))))</f>
        <v/>
      </c>
      <c r="AJ246" s="24">
        <f>MIN(P246-Z246,MAX(0,$C246-SUMPRODUCT(($D$3:$M$3&lt;F$3)*($N246:$W246-$X246:$AG246))))</f>
        <v/>
      </c>
      <c r="AK246" s="24">
        <f>MIN(Q246-AA246,MAX(0,$C246-SUMPRODUCT(($D$3:$M$3&lt;G$3)*($N246:$W246-$X246:$AG246))))</f>
        <v/>
      </c>
      <c r="AL246" s="24">
        <f>MIN(R246-AB246,MAX(0,$C246-SUMPRODUCT(($D$3:$M$3&lt;H$3)*($N246:$W246-$X246:$AG246))))</f>
        <v/>
      </c>
      <c r="AM246" s="24">
        <f>MIN(S246-AC246,MAX(0,$C246-SUMPRODUCT(($D$3:$M$3&lt;I$3)*($N246:$W246-$X246:$AG246))))</f>
        <v/>
      </c>
      <c r="AN246" s="24">
        <f>MIN(T246-AD246,MAX(0,$C246-SUMPRODUCT(($D$3:$M$3&lt;J$3)*($N246:$W246-$X246:$AG246))))</f>
        <v/>
      </c>
      <c r="AO246" s="24">
        <f>MIN(U246-AE246,MAX(0,$C246-SUMPRODUCT(($D$3:$M$3&lt;K$3)*($N246:$W246-$X246:$AG246))))</f>
        <v/>
      </c>
      <c r="AP246" s="24">
        <f>MIN(V246-AF246,MAX(0,$C246-SUMPRODUCT(($D$3:$M$3&lt;L$3)*($N246:$W246-$X246:$AG246))))</f>
        <v/>
      </c>
      <c r="AQ246" s="24">
        <f>MIN(W246-AG246,MAX(0,$C246-SUMPRODUCT(($D$3:$M$3&lt;M$3)*($N246:$W246-$X246:$AG246))))</f>
        <v/>
      </c>
      <c r="AR246" s="24">
        <f>ROUND(N246-X246-AH246,2)</f>
        <v/>
      </c>
      <c r="AS246" s="24">
        <f>ROUND(O246-Y246-AI246,2)</f>
        <v/>
      </c>
      <c r="AT246" s="24">
        <f>ROUND(P246-Z246-AJ246,2)</f>
        <v/>
      </c>
      <c r="AU246" s="24">
        <f>ROUND(Q246-AA246-AK246,2)</f>
        <v/>
      </c>
      <c r="AV246" s="24">
        <f>ROUND(R246-AB246-AL246,2)</f>
        <v/>
      </c>
      <c r="AW246" s="24">
        <f>ROUND(S246-AC246-AM246,2)</f>
        <v/>
      </c>
      <c r="AX246" s="24">
        <f>ROUND(T246-AD246-AN246,2)</f>
        <v/>
      </c>
      <c r="AY246" s="24">
        <f>ROUND(U246-AE246-AO246,2)</f>
        <v/>
      </c>
      <c r="AZ246" s="24">
        <f>ROUND(V246-AF246-AP246,2)</f>
        <v/>
      </c>
      <c r="BA246" s="24">
        <f>ROUND(W246-AG246-AQ246,2)</f>
        <v/>
      </c>
      <c r="BB246" s="24">
        <f>SUM(AR246:BA246)</f>
        <v/>
      </c>
    </row>
    <row r="247">
      <c r="A247" t="n">
        <v>243</v>
      </c>
      <c r="B247" s="23">
        <f>EOMONTH(TODAY(),242)</f>
        <v/>
      </c>
      <c r="C247" s="24">
        <f>MAX(0,(SUM('My Loans'!$E$6:$E$15)+'My Loans'!$D$3)-SUM($X247:$AG247))</f>
        <v/>
      </c>
      <c r="D247" s="24">
        <f>MAX(0,AR246)</f>
        <v/>
      </c>
      <c r="E247" s="24">
        <f>MAX(0,AS246)</f>
        <v/>
      </c>
      <c r="F247" s="24">
        <f>MAX(0,AT246)</f>
        <v/>
      </c>
      <c r="G247" s="24">
        <f>MAX(0,AU246)</f>
        <v/>
      </c>
      <c r="H247" s="24">
        <f>MAX(0,AV246)</f>
        <v/>
      </c>
      <c r="I247" s="24">
        <f>MAX(0,AW246)</f>
        <v/>
      </c>
      <c r="J247" s="24">
        <f>MAX(0,AX246)</f>
        <v/>
      </c>
      <c r="K247" s="24">
        <f>MAX(0,AY246)</f>
        <v/>
      </c>
      <c r="L247" s="24">
        <f>MAX(0,AZ246)</f>
        <v/>
      </c>
      <c r="M247" s="24">
        <f>MAX(0,BA246)</f>
        <v/>
      </c>
      <c r="N247" s="24">
        <f>IF(D247&lt;0.5,0,D247*(1+N('My Loans'!D6)/1200))</f>
        <v/>
      </c>
      <c r="O247" s="24">
        <f>IF(E247&lt;0.5,0,E247*(1+N('My Loans'!D7)/1200))</f>
        <v/>
      </c>
      <c r="P247" s="24">
        <f>IF(F247&lt;0.5,0,F247*(1+N('My Loans'!D8)/1200))</f>
        <v/>
      </c>
      <c r="Q247" s="24">
        <f>IF(G247&lt;0.5,0,G247*(1+N('My Loans'!D9)/1200))</f>
        <v/>
      </c>
      <c r="R247" s="24">
        <f>IF(H247&lt;0.5,0,H247*(1+N('My Loans'!D10)/1200))</f>
        <v/>
      </c>
      <c r="S247" s="24">
        <f>IF(I247&lt;0.5,0,I247*(1+N('My Loans'!D11)/1200))</f>
        <v/>
      </c>
      <c r="T247" s="24">
        <f>IF(J247&lt;0.5,0,J247*(1+N('My Loans'!D12)/1200))</f>
        <v/>
      </c>
      <c r="U247" s="24">
        <f>IF(K247&lt;0.5,0,K247*(1+N('My Loans'!D13)/1200))</f>
        <v/>
      </c>
      <c r="V247" s="24">
        <f>IF(L247&lt;0.5,0,L247*(1+N('My Loans'!D14)/1200))</f>
        <v/>
      </c>
      <c r="W247" s="24">
        <f>IF(M247&lt;0.5,0,M247*(1+N('My Loans'!D15)/1200))</f>
        <v/>
      </c>
      <c r="X247" s="24">
        <f>MIN(N247,N('My Loans'!E6))</f>
        <v/>
      </c>
      <c r="Y247" s="24">
        <f>MIN(O247,N('My Loans'!E7))</f>
        <v/>
      </c>
      <c r="Z247" s="24">
        <f>MIN(P247,N('My Loans'!E8))</f>
        <v/>
      </c>
      <c r="AA247" s="24">
        <f>MIN(Q247,N('My Loans'!E9))</f>
        <v/>
      </c>
      <c r="AB247" s="24">
        <f>MIN(R247,N('My Loans'!E10))</f>
        <v/>
      </c>
      <c r="AC247" s="24">
        <f>MIN(S247,N('My Loans'!E11))</f>
        <v/>
      </c>
      <c r="AD247" s="24">
        <f>MIN(T247,N('My Loans'!E12))</f>
        <v/>
      </c>
      <c r="AE247" s="24">
        <f>MIN(U247,N('My Loans'!E13))</f>
        <v/>
      </c>
      <c r="AF247" s="24">
        <f>MIN(V247,N('My Loans'!E14))</f>
        <v/>
      </c>
      <c r="AG247" s="24">
        <f>MIN(W247,N('My Loans'!E15))</f>
        <v/>
      </c>
      <c r="AH247" s="24">
        <f>MIN(N247-X247,MAX(0,$C247-SUMPRODUCT(($D$3:$M$3&lt;D$3)*($N247:$W247-$X247:$AG247))))</f>
        <v/>
      </c>
      <c r="AI247" s="24">
        <f>MIN(O247-Y247,MAX(0,$C247-SUMPRODUCT(($D$3:$M$3&lt;E$3)*($N247:$W247-$X247:$AG247))))</f>
        <v/>
      </c>
      <c r="AJ247" s="24">
        <f>MIN(P247-Z247,MAX(0,$C247-SUMPRODUCT(($D$3:$M$3&lt;F$3)*($N247:$W247-$X247:$AG247))))</f>
        <v/>
      </c>
      <c r="AK247" s="24">
        <f>MIN(Q247-AA247,MAX(0,$C247-SUMPRODUCT(($D$3:$M$3&lt;G$3)*($N247:$W247-$X247:$AG247))))</f>
        <v/>
      </c>
      <c r="AL247" s="24">
        <f>MIN(R247-AB247,MAX(0,$C247-SUMPRODUCT(($D$3:$M$3&lt;H$3)*($N247:$W247-$X247:$AG247))))</f>
        <v/>
      </c>
      <c r="AM247" s="24">
        <f>MIN(S247-AC247,MAX(0,$C247-SUMPRODUCT(($D$3:$M$3&lt;I$3)*($N247:$W247-$X247:$AG247))))</f>
        <v/>
      </c>
      <c r="AN247" s="24">
        <f>MIN(T247-AD247,MAX(0,$C247-SUMPRODUCT(($D$3:$M$3&lt;J$3)*($N247:$W247-$X247:$AG247))))</f>
        <v/>
      </c>
      <c r="AO247" s="24">
        <f>MIN(U247-AE247,MAX(0,$C247-SUMPRODUCT(($D$3:$M$3&lt;K$3)*($N247:$W247-$X247:$AG247))))</f>
        <v/>
      </c>
      <c r="AP247" s="24">
        <f>MIN(V247-AF247,MAX(0,$C247-SUMPRODUCT(($D$3:$M$3&lt;L$3)*($N247:$W247-$X247:$AG247))))</f>
        <v/>
      </c>
      <c r="AQ247" s="24">
        <f>MIN(W247-AG247,MAX(0,$C247-SUMPRODUCT(($D$3:$M$3&lt;M$3)*($N247:$W247-$X247:$AG247))))</f>
        <v/>
      </c>
      <c r="AR247" s="24">
        <f>ROUND(N247-X247-AH247,2)</f>
        <v/>
      </c>
      <c r="AS247" s="24">
        <f>ROUND(O247-Y247-AI247,2)</f>
        <v/>
      </c>
      <c r="AT247" s="24">
        <f>ROUND(P247-Z247-AJ247,2)</f>
        <v/>
      </c>
      <c r="AU247" s="24">
        <f>ROUND(Q247-AA247-AK247,2)</f>
        <v/>
      </c>
      <c r="AV247" s="24">
        <f>ROUND(R247-AB247-AL247,2)</f>
        <v/>
      </c>
      <c r="AW247" s="24">
        <f>ROUND(S247-AC247-AM247,2)</f>
        <v/>
      </c>
      <c r="AX247" s="24">
        <f>ROUND(T247-AD247-AN247,2)</f>
        <v/>
      </c>
      <c r="AY247" s="24">
        <f>ROUND(U247-AE247-AO247,2)</f>
        <v/>
      </c>
      <c r="AZ247" s="24">
        <f>ROUND(V247-AF247-AP247,2)</f>
        <v/>
      </c>
      <c r="BA247" s="24">
        <f>ROUND(W247-AG247-AQ247,2)</f>
        <v/>
      </c>
      <c r="BB247" s="24">
        <f>SUM(AR247:BA247)</f>
        <v/>
      </c>
    </row>
    <row r="248">
      <c r="A248" t="n">
        <v>244</v>
      </c>
      <c r="B248" s="23">
        <f>EOMONTH(TODAY(),243)</f>
        <v/>
      </c>
      <c r="C248" s="24">
        <f>MAX(0,(SUM('My Loans'!$E$6:$E$15)+'My Loans'!$D$3)-SUM($X248:$AG248))</f>
        <v/>
      </c>
      <c r="D248" s="24">
        <f>MAX(0,AR247)</f>
        <v/>
      </c>
      <c r="E248" s="24">
        <f>MAX(0,AS247)</f>
        <v/>
      </c>
      <c r="F248" s="24">
        <f>MAX(0,AT247)</f>
        <v/>
      </c>
      <c r="G248" s="24">
        <f>MAX(0,AU247)</f>
        <v/>
      </c>
      <c r="H248" s="24">
        <f>MAX(0,AV247)</f>
        <v/>
      </c>
      <c r="I248" s="24">
        <f>MAX(0,AW247)</f>
        <v/>
      </c>
      <c r="J248" s="24">
        <f>MAX(0,AX247)</f>
        <v/>
      </c>
      <c r="K248" s="24">
        <f>MAX(0,AY247)</f>
        <v/>
      </c>
      <c r="L248" s="24">
        <f>MAX(0,AZ247)</f>
        <v/>
      </c>
      <c r="M248" s="24">
        <f>MAX(0,BA247)</f>
        <v/>
      </c>
      <c r="N248" s="24">
        <f>IF(D248&lt;0.5,0,D248*(1+N('My Loans'!D6)/1200))</f>
        <v/>
      </c>
      <c r="O248" s="24">
        <f>IF(E248&lt;0.5,0,E248*(1+N('My Loans'!D7)/1200))</f>
        <v/>
      </c>
      <c r="P248" s="24">
        <f>IF(F248&lt;0.5,0,F248*(1+N('My Loans'!D8)/1200))</f>
        <v/>
      </c>
      <c r="Q248" s="24">
        <f>IF(G248&lt;0.5,0,G248*(1+N('My Loans'!D9)/1200))</f>
        <v/>
      </c>
      <c r="R248" s="24">
        <f>IF(H248&lt;0.5,0,H248*(1+N('My Loans'!D10)/1200))</f>
        <v/>
      </c>
      <c r="S248" s="24">
        <f>IF(I248&lt;0.5,0,I248*(1+N('My Loans'!D11)/1200))</f>
        <v/>
      </c>
      <c r="T248" s="24">
        <f>IF(J248&lt;0.5,0,J248*(1+N('My Loans'!D12)/1200))</f>
        <v/>
      </c>
      <c r="U248" s="24">
        <f>IF(K248&lt;0.5,0,K248*(1+N('My Loans'!D13)/1200))</f>
        <v/>
      </c>
      <c r="V248" s="24">
        <f>IF(L248&lt;0.5,0,L248*(1+N('My Loans'!D14)/1200))</f>
        <v/>
      </c>
      <c r="W248" s="24">
        <f>IF(M248&lt;0.5,0,M248*(1+N('My Loans'!D15)/1200))</f>
        <v/>
      </c>
      <c r="X248" s="24">
        <f>MIN(N248,N('My Loans'!E6))</f>
        <v/>
      </c>
      <c r="Y248" s="24">
        <f>MIN(O248,N('My Loans'!E7))</f>
        <v/>
      </c>
      <c r="Z248" s="24">
        <f>MIN(P248,N('My Loans'!E8))</f>
        <v/>
      </c>
      <c r="AA248" s="24">
        <f>MIN(Q248,N('My Loans'!E9))</f>
        <v/>
      </c>
      <c r="AB248" s="24">
        <f>MIN(R248,N('My Loans'!E10))</f>
        <v/>
      </c>
      <c r="AC248" s="24">
        <f>MIN(S248,N('My Loans'!E11))</f>
        <v/>
      </c>
      <c r="AD248" s="24">
        <f>MIN(T248,N('My Loans'!E12))</f>
        <v/>
      </c>
      <c r="AE248" s="24">
        <f>MIN(U248,N('My Loans'!E13))</f>
        <v/>
      </c>
      <c r="AF248" s="24">
        <f>MIN(V248,N('My Loans'!E14))</f>
        <v/>
      </c>
      <c r="AG248" s="24">
        <f>MIN(W248,N('My Loans'!E15))</f>
        <v/>
      </c>
      <c r="AH248" s="24">
        <f>MIN(N248-X248,MAX(0,$C248-SUMPRODUCT(($D$3:$M$3&lt;D$3)*($N248:$W248-$X248:$AG248))))</f>
        <v/>
      </c>
      <c r="AI248" s="24">
        <f>MIN(O248-Y248,MAX(0,$C248-SUMPRODUCT(($D$3:$M$3&lt;E$3)*($N248:$W248-$X248:$AG248))))</f>
        <v/>
      </c>
      <c r="AJ248" s="24">
        <f>MIN(P248-Z248,MAX(0,$C248-SUMPRODUCT(($D$3:$M$3&lt;F$3)*($N248:$W248-$X248:$AG248))))</f>
        <v/>
      </c>
      <c r="AK248" s="24">
        <f>MIN(Q248-AA248,MAX(0,$C248-SUMPRODUCT(($D$3:$M$3&lt;G$3)*($N248:$W248-$X248:$AG248))))</f>
        <v/>
      </c>
      <c r="AL248" s="24">
        <f>MIN(R248-AB248,MAX(0,$C248-SUMPRODUCT(($D$3:$M$3&lt;H$3)*($N248:$W248-$X248:$AG248))))</f>
        <v/>
      </c>
      <c r="AM248" s="24">
        <f>MIN(S248-AC248,MAX(0,$C248-SUMPRODUCT(($D$3:$M$3&lt;I$3)*($N248:$W248-$X248:$AG248))))</f>
        <v/>
      </c>
      <c r="AN248" s="24">
        <f>MIN(T248-AD248,MAX(0,$C248-SUMPRODUCT(($D$3:$M$3&lt;J$3)*($N248:$W248-$X248:$AG248))))</f>
        <v/>
      </c>
      <c r="AO248" s="24">
        <f>MIN(U248-AE248,MAX(0,$C248-SUMPRODUCT(($D$3:$M$3&lt;K$3)*($N248:$W248-$X248:$AG248))))</f>
        <v/>
      </c>
      <c r="AP248" s="24">
        <f>MIN(V248-AF248,MAX(0,$C248-SUMPRODUCT(($D$3:$M$3&lt;L$3)*($N248:$W248-$X248:$AG248))))</f>
        <v/>
      </c>
      <c r="AQ248" s="24">
        <f>MIN(W248-AG248,MAX(0,$C248-SUMPRODUCT(($D$3:$M$3&lt;M$3)*($N248:$W248-$X248:$AG248))))</f>
        <v/>
      </c>
      <c r="AR248" s="24">
        <f>ROUND(N248-X248-AH248,2)</f>
        <v/>
      </c>
      <c r="AS248" s="24">
        <f>ROUND(O248-Y248-AI248,2)</f>
        <v/>
      </c>
      <c r="AT248" s="24">
        <f>ROUND(P248-Z248-AJ248,2)</f>
        <v/>
      </c>
      <c r="AU248" s="24">
        <f>ROUND(Q248-AA248-AK248,2)</f>
        <v/>
      </c>
      <c r="AV248" s="24">
        <f>ROUND(R248-AB248-AL248,2)</f>
        <v/>
      </c>
      <c r="AW248" s="24">
        <f>ROUND(S248-AC248-AM248,2)</f>
        <v/>
      </c>
      <c r="AX248" s="24">
        <f>ROUND(T248-AD248-AN248,2)</f>
        <v/>
      </c>
      <c r="AY248" s="24">
        <f>ROUND(U248-AE248-AO248,2)</f>
        <v/>
      </c>
      <c r="AZ248" s="24">
        <f>ROUND(V248-AF248-AP248,2)</f>
        <v/>
      </c>
      <c r="BA248" s="24">
        <f>ROUND(W248-AG248-AQ248,2)</f>
        <v/>
      </c>
      <c r="BB248" s="24">
        <f>SUM(AR248:BA248)</f>
        <v/>
      </c>
    </row>
    <row r="249">
      <c r="A249" t="n">
        <v>245</v>
      </c>
      <c r="B249" s="23">
        <f>EOMONTH(TODAY(),244)</f>
        <v/>
      </c>
      <c r="C249" s="24">
        <f>MAX(0,(SUM('My Loans'!$E$6:$E$15)+'My Loans'!$D$3)-SUM($X249:$AG249))</f>
        <v/>
      </c>
      <c r="D249" s="24">
        <f>MAX(0,AR248)</f>
        <v/>
      </c>
      <c r="E249" s="24">
        <f>MAX(0,AS248)</f>
        <v/>
      </c>
      <c r="F249" s="24">
        <f>MAX(0,AT248)</f>
        <v/>
      </c>
      <c r="G249" s="24">
        <f>MAX(0,AU248)</f>
        <v/>
      </c>
      <c r="H249" s="24">
        <f>MAX(0,AV248)</f>
        <v/>
      </c>
      <c r="I249" s="24">
        <f>MAX(0,AW248)</f>
        <v/>
      </c>
      <c r="J249" s="24">
        <f>MAX(0,AX248)</f>
        <v/>
      </c>
      <c r="K249" s="24">
        <f>MAX(0,AY248)</f>
        <v/>
      </c>
      <c r="L249" s="24">
        <f>MAX(0,AZ248)</f>
        <v/>
      </c>
      <c r="M249" s="24">
        <f>MAX(0,BA248)</f>
        <v/>
      </c>
      <c r="N249" s="24">
        <f>IF(D249&lt;0.5,0,D249*(1+N('My Loans'!D6)/1200))</f>
        <v/>
      </c>
      <c r="O249" s="24">
        <f>IF(E249&lt;0.5,0,E249*(1+N('My Loans'!D7)/1200))</f>
        <v/>
      </c>
      <c r="P249" s="24">
        <f>IF(F249&lt;0.5,0,F249*(1+N('My Loans'!D8)/1200))</f>
        <v/>
      </c>
      <c r="Q249" s="24">
        <f>IF(G249&lt;0.5,0,G249*(1+N('My Loans'!D9)/1200))</f>
        <v/>
      </c>
      <c r="R249" s="24">
        <f>IF(H249&lt;0.5,0,H249*(1+N('My Loans'!D10)/1200))</f>
        <v/>
      </c>
      <c r="S249" s="24">
        <f>IF(I249&lt;0.5,0,I249*(1+N('My Loans'!D11)/1200))</f>
        <v/>
      </c>
      <c r="T249" s="24">
        <f>IF(J249&lt;0.5,0,J249*(1+N('My Loans'!D12)/1200))</f>
        <v/>
      </c>
      <c r="U249" s="24">
        <f>IF(K249&lt;0.5,0,K249*(1+N('My Loans'!D13)/1200))</f>
        <v/>
      </c>
      <c r="V249" s="24">
        <f>IF(L249&lt;0.5,0,L249*(1+N('My Loans'!D14)/1200))</f>
        <v/>
      </c>
      <c r="W249" s="24">
        <f>IF(M249&lt;0.5,0,M249*(1+N('My Loans'!D15)/1200))</f>
        <v/>
      </c>
      <c r="X249" s="24">
        <f>MIN(N249,N('My Loans'!E6))</f>
        <v/>
      </c>
      <c r="Y249" s="24">
        <f>MIN(O249,N('My Loans'!E7))</f>
        <v/>
      </c>
      <c r="Z249" s="24">
        <f>MIN(P249,N('My Loans'!E8))</f>
        <v/>
      </c>
      <c r="AA249" s="24">
        <f>MIN(Q249,N('My Loans'!E9))</f>
        <v/>
      </c>
      <c r="AB249" s="24">
        <f>MIN(R249,N('My Loans'!E10))</f>
        <v/>
      </c>
      <c r="AC249" s="24">
        <f>MIN(S249,N('My Loans'!E11))</f>
        <v/>
      </c>
      <c r="AD249" s="24">
        <f>MIN(T249,N('My Loans'!E12))</f>
        <v/>
      </c>
      <c r="AE249" s="24">
        <f>MIN(U249,N('My Loans'!E13))</f>
        <v/>
      </c>
      <c r="AF249" s="24">
        <f>MIN(V249,N('My Loans'!E14))</f>
        <v/>
      </c>
      <c r="AG249" s="24">
        <f>MIN(W249,N('My Loans'!E15))</f>
        <v/>
      </c>
      <c r="AH249" s="24">
        <f>MIN(N249-X249,MAX(0,$C249-SUMPRODUCT(($D$3:$M$3&lt;D$3)*($N249:$W249-$X249:$AG249))))</f>
        <v/>
      </c>
      <c r="AI249" s="24">
        <f>MIN(O249-Y249,MAX(0,$C249-SUMPRODUCT(($D$3:$M$3&lt;E$3)*($N249:$W249-$X249:$AG249))))</f>
        <v/>
      </c>
      <c r="AJ249" s="24">
        <f>MIN(P249-Z249,MAX(0,$C249-SUMPRODUCT(($D$3:$M$3&lt;F$3)*($N249:$W249-$X249:$AG249))))</f>
        <v/>
      </c>
      <c r="AK249" s="24">
        <f>MIN(Q249-AA249,MAX(0,$C249-SUMPRODUCT(($D$3:$M$3&lt;G$3)*($N249:$W249-$X249:$AG249))))</f>
        <v/>
      </c>
      <c r="AL249" s="24">
        <f>MIN(R249-AB249,MAX(0,$C249-SUMPRODUCT(($D$3:$M$3&lt;H$3)*($N249:$W249-$X249:$AG249))))</f>
        <v/>
      </c>
      <c r="AM249" s="24">
        <f>MIN(S249-AC249,MAX(0,$C249-SUMPRODUCT(($D$3:$M$3&lt;I$3)*($N249:$W249-$X249:$AG249))))</f>
        <v/>
      </c>
      <c r="AN249" s="24">
        <f>MIN(T249-AD249,MAX(0,$C249-SUMPRODUCT(($D$3:$M$3&lt;J$3)*($N249:$W249-$X249:$AG249))))</f>
        <v/>
      </c>
      <c r="AO249" s="24">
        <f>MIN(U249-AE249,MAX(0,$C249-SUMPRODUCT(($D$3:$M$3&lt;K$3)*($N249:$W249-$X249:$AG249))))</f>
        <v/>
      </c>
      <c r="AP249" s="24">
        <f>MIN(V249-AF249,MAX(0,$C249-SUMPRODUCT(($D$3:$M$3&lt;L$3)*($N249:$W249-$X249:$AG249))))</f>
        <v/>
      </c>
      <c r="AQ249" s="24">
        <f>MIN(W249-AG249,MAX(0,$C249-SUMPRODUCT(($D$3:$M$3&lt;M$3)*($N249:$W249-$X249:$AG249))))</f>
        <v/>
      </c>
      <c r="AR249" s="24">
        <f>ROUND(N249-X249-AH249,2)</f>
        <v/>
      </c>
      <c r="AS249" s="24">
        <f>ROUND(O249-Y249-AI249,2)</f>
        <v/>
      </c>
      <c r="AT249" s="24">
        <f>ROUND(P249-Z249-AJ249,2)</f>
        <v/>
      </c>
      <c r="AU249" s="24">
        <f>ROUND(Q249-AA249-AK249,2)</f>
        <v/>
      </c>
      <c r="AV249" s="24">
        <f>ROUND(R249-AB249-AL249,2)</f>
        <v/>
      </c>
      <c r="AW249" s="24">
        <f>ROUND(S249-AC249-AM249,2)</f>
        <v/>
      </c>
      <c r="AX249" s="24">
        <f>ROUND(T249-AD249-AN249,2)</f>
        <v/>
      </c>
      <c r="AY249" s="24">
        <f>ROUND(U249-AE249-AO249,2)</f>
        <v/>
      </c>
      <c r="AZ249" s="24">
        <f>ROUND(V249-AF249-AP249,2)</f>
        <v/>
      </c>
      <c r="BA249" s="24">
        <f>ROUND(W249-AG249-AQ249,2)</f>
        <v/>
      </c>
      <c r="BB249" s="24">
        <f>SUM(AR249:BA249)</f>
        <v/>
      </c>
    </row>
    <row r="250">
      <c r="A250" t="n">
        <v>246</v>
      </c>
      <c r="B250" s="23">
        <f>EOMONTH(TODAY(),245)</f>
        <v/>
      </c>
      <c r="C250" s="24">
        <f>MAX(0,(SUM('My Loans'!$E$6:$E$15)+'My Loans'!$D$3)-SUM($X250:$AG250))</f>
        <v/>
      </c>
      <c r="D250" s="24">
        <f>MAX(0,AR249)</f>
        <v/>
      </c>
      <c r="E250" s="24">
        <f>MAX(0,AS249)</f>
        <v/>
      </c>
      <c r="F250" s="24">
        <f>MAX(0,AT249)</f>
        <v/>
      </c>
      <c r="G250" s="24">
        <f>MAX(0,AU249)</f>
        <v/>
      </c>
      <c r="H250" s="24">
        <f>MAX(0,AV249)</f>
        <v/>
      </c>
      <c r="I250" s="24">
        <f>MAX(0,AW249)</f>
        <v/>
      </c>
      <c r="J250" s="24">
        <f>MAX(0,AX249)</f>
        <v/>
      </c>
      <c r="K250" s="24">
        <f>MAX(0,AY249)</f>
        <v/>
      </c>
      <c r="L250" s="24">
        <f>MAX(0,AZ249)</f>
        <v/>
      </c>
      <c r="M250" s="24">
        <f>MAX(0,BA249)</f>
        <v/>
      </c>
      <c r="N250" s="24">
        <f>IF(D250&lt;0.5,0,D250*(1+N('My Loans'!D6)/1200))</f>
        <v/>
      </c>
      <c r="O250" s="24">
        <f>IF(E250&lt;0.5,0,E250*(1+N('My Loans'!D7)/1200))</f>
        <v/>
      </c>
      <c r="P250" s="24">
        <f>IF(F250&lt;0.5,0,F250*(1+N('My Loans'!D8)/1200))</f>
        <v/>
      </c>
      <c r="Q250" s="24">
        <f>IF(G250&lt;0.5,0,G250*(1+N('My Loans'!D9)/1200))</f>
        <v/>
      </c>
      <c r="R250" s="24">
        <f>IF(H250&lt;0.5,0,H250*(1+N('My Loans'!D10)/1200))</f>
        <v/>
      </c>
      <c r="S250" s="24">
        <f>IF(I250&lt;0.5,0,I250*(1+N('My Loans'!D11)/1200))</f>
        <v/>
      </c>
      <c r="T250" s="24">
        <f>IF(J250&lt;0.5,0,J250*(1+N('My Loans'!D12)/1200))</f>
        <v/>
      </c>
      <c r="U250" s="24">
        <f>IF(K250&lt;0.5,0,K250*(1+N('My Loans'!D13)/1200))</f>
        <v/>
      </c>
      <c r="V250" s="24">
        <f>IF(L250&lt;0.5,0,L250*(1+N('My Loans'!D14)/1200))</f>
        <v/>
      </c>
      <c r="W250" s="24">
        <f>IF(M250&lt;0.5,0,M250*(1+N('My Loans'!D15)/1200))</f>
        <v/>
      </c>
      <c r="X250" s="24">
        <f>MIN(N250,N('My Loans'!E6))</f>
        <v/>
      </c>
      <c r="Y250" s="24">
        <f>MIN(O250,N('My Loans'!E7))</f>
        <v/>
      </c>
      <c r="Z250" s="24">
        <f>MIN(P250,N('My Loans'!E8))</f>
        <v/>
      </c>
      <c r="AA250" s="24">
        <f>MIN(Q250,N('My Loans'!E9))</f>
        <v/>
      </c>
      <c r="AB250" s="24">
        <f>MIN(R250,N('My Loans'!E10))</f>
        <v/>
      </c>
      <c r="AC250" s="24">
        <f>MIN(S250,N('My Loans'!E11))</f>
        <v/>
      </c>
      <c r="AD250" s="24">
        <f>MIN(T250,N('My Loans'!E12))</f>
        <v/>
      </c>
      <c r="AE250" s="24">
        <f>MIN(U250,N('My Loans'!E13))</f>
        <v/>
      </c>
      <c r="AF250" s="24">
        <f>MIN(V250,N('My Loans'!E14))</f>
        <v/>
      </c>
      <c r="AG250" s="24">
        <f>MIN(W250,N('My Loans'!E15))</f>
        <v/>
      </c>
      <c r="AH250" s="24">
        <f>MIN(N250-X250,MAX(0,$C250-SUMPRODUCT(($D$3:$M$3&lt;D$3)*($N250:$W250-$X250:$AG250))))</f>
        <v/>
      </c>
      <c r="AI250" s="24">
        <f>MIN(O250-Y250,MAX(0,$C250-SUMPRODUCT(($D$3:$M$3&lt;E$3)*($N250:$W250-$X250:$AG250))))</f>
        <v/>
      </c>
      <c r="AJ250" s="24">
        <f>MIN(P250-Z250,MAX(0,$C250-SUMPRODUCT(($D$3:$M$3&lt;F$3)*($N250:$W250-$X250:$AG250))))</f>
        <v/>
      </c>
      <c r="AK250" s="24">
        <f>MIN(Q250-AA250,MAX(0,$C250-SUMPRODUCT(($D$3:$M$3&lt;G$3)*($N250:$W250-$X250:$AG250))))</f>
        <v/>
      </c>
      <c r="AL250" s="24">
        <f>MIN(R250-AB250,MAX(0,$C250-SUMPRODUCT(($D$3:$M$3&lt;H$3)*($N250:$W250-$X250:$AG250))))</f>
        <v/>
      </c>
      <c r="AM250" s="24">
        <f>MIN(S250-AC250,MAX(0,$C250-SUMPRODUCT(($D$3:$M$3&lt;I$3)*($N250:$W250-$X250:$AG250))))</f>
        <v/>
      </c>
      <c r="AN250" s="24">
        <f>MIN(T250-AD250,MAX(0,$C250-SUMPRODUCT(($D$3:$M$3&lt;J$3)*($N250:$W250-$X250:$AG250))))</f>
        <v/>
      </c>
      <c r="AO250" s="24">
        <f>MIN(U250-AE250,MAX(0,$C250-SUMPRODUCT(($D$3:$M$3&lt;K$3)*($N250:$W250-$X250:$AG250))))</f>
        <v/>
      </c>
      <c r="AP250" s="24">
        <f>MIN(V250-AF250,MAX(0,$C250-SUMPRODUCT(($D$3:$M$3&lt;L$3)*($N250:$W250-$X250:$AG250))))</f>
        <v/>
      </c>
      <c r="AQ250" s="24">
        <f>MIN(W250-AG250,MAX(0,$C250-SUMPRODUCT(($D$3:$M$3&lt;M$3)*($N250:$W250-$X250:$AG250))))</f>
        <v/>
      </c>
      <c r="AR250" s="24">
        <f>ROUND(N250-X250-AH250,2)</f>
        <v/>
      </c>
      <c r="AS250" s="24">
        <f>ROUND(O250-Y250-AI250,2)</f>
        <v/>
      </c>
      <c r="AT250" s="24">
        <f>ROUND(P250-Z250-AJ250,2)</f>
        <v/>
      </c>
      <c r="AU250" s="24">
        <f>ROUND(Q250-AA250-AK250,2)</f>
        <v/>
      </c>
      <c r="AV250" s="24">
        <f>ROUND(R250-AB250-AL250,2)</f>
        <v/>
      </c>
      <c r="AW250" s="24">
        <f>ROUND(S250-AC250-AM250,2)</f>
        <v/>
      </c>
      <c r="AX250" s="24">
        <f>ROUND(T250-AD250-AN250,2)</f>
        <v/>
      </c>
      <c r="AY250" s="24">
        <f>ROUND(U250-AE250-AO250,2)</f>
        <v/>
      </c>
      <c r="AZ250" s="24">
        <f>ROUND(V250-AF250-AP250,2)</f>
        <v/>
      </c>
      <c r="BA250" s="24">
        <f>ROUND(W250-AG250-AQ250,2)</f>
        <v/>
      </c>
      <c r="BB250" s="24">
        <f>SUM(AR250:BA250)</f>
        <v/>
      </c>
    </row>
    <row r="251">
      <c r="A251" t="n">
        <v>247</v>
      </c>
      <c r="B251" s="23">
        <f>EOMONTH(TODAY(),246)</f>
        <v/>
      </c>
      <c r="C251" s="24">
        <f>MAX(0,(SUM('My Loans'!$E$6:$E$15)+'My Loans'!$D$3)-SUM($X251:$AG251))</f>
        <v/>
      </c>
      <c r="D251" s="24">
        <f>MAX(0,AR250)</f>
        <v/>
      </c>
      <c r="E251" s="24">
        <f>MAX(0,AS250)</f>
        <v/>
      </c>
      <c r="F251" s="24">
        <f>MAX(0,AT250)</f>
        <v/>
      </c>
      <c r="G251" s="24">
        <f>MAX(0,AU250)</f>
        <v/>
      </c>
      <c r="H251" s="24">
        <f>MAX(0,AV250)</f>
        <v/>
      </c>
      <c r="I251" s="24">
        <f>MAX(0,AW250)</f>
        <v/>
      </c>
      <c r="J251" s="24">
        <f>MAX(0,AX250)</f>
        <v/>
      </c>
      <c r="K251" s="24">
        <f>MAX(0,AY250)</f>
        <v/>
      </c>
      <c r="L251" s="24">
        <f>MAX(0,AZ250)</f>
        <v/>
      </c>
      <c r="M251" s="24">
        <f>MAX(0,BA250)</f>
        <v/>
      </c>
      <c r="N251" s="24">
        <f>IF(D251&lt;0.5,0,D251*(1+N('My Loans'!D6)/1200))</f>
        <v/>
      </c>
      <c r="O251" s="24">
        <f>IF(E251&lt;0.5,0,E251*(1+N('My Loans'!D7)/1200))</f>
        <v/>
      </c>
      <c r="P251" s="24">
        <f>IF(F251&lt;0.5,0,F251*(1+N('My Loans'!D8)/1200))</f>
        <v/>
      </c>
      <c r="Q251" s="24">
        <f>IF(G251&lt;0.5,0,G251*(1+N('My Loans'!D9)/1200))</f>
        <v/>
      </c>
      <c r="R251" s="24">
        <f>IF(H251&lt;0.5,0,H251*(1+N('My Loans'!D10)/1200))</f>
        <v/>
      </c>
      <c r="S251" s="24">
        <f>IF(I251&lt;0.5,0,I251*(1+N('My Loans'!D11)/1200))</f>
        <v/>
      </c>
      <c r="T251" s="24">
        <f>IF(J251&lt;0.5,0,J251*(1+N('My Loans'!D12)/1200))</f>
        <v/>
      </c>
      <c r="U251" s="24">
        <f>IF(K251&lt;0.5,0,K251*(1+N('My Loans'!D13)/1200))</f>
        <v/>
      </c>
      <c r="V251" s="24">
        <f>IF(L251&lt;0.5,0,L251*(1+N('My Loans'!D14)/1200))</f>
        <v/>
      </c>
      <c r="W251" s="24">
        <f>IF(M251&lt;0.5,0,M251*(1+N('My Loans'!D15)/1200))</f>
        <v/>
      </c>
      <c r="X251" s="24">
        <f>MIN(N251,N('My Loans'!E6))</f>
        <v/>
      </c>
      <c r="Y251" s="24">
        <f>MIN(O251,N('My Loans'!E7))</f>
        <v/>
      </c>
      <c r="Z251" s="24">
        <f>MIN(P251,N('My Loans'!E8))</f>
        <v/>
      </c>
      <c r="AA251" s="24">
        <f>MIN(Q251,N('My Loans'!E9))</f>
        <v/>
      </c>
      <c r="AB251" s="24">
        <f>MIN(R251,N('My Loans'!E10))</f>
        <v/>
      </c>
      <c r="AC251" s="24">
        <f>MIN(S251,N('My Loans'!E11))</f>
        <v/>
      </c>
      <c r="AD251" s="24">
        <f>MIN(T251,N('My Loans'!E12))</f>
        <v/>
      </c>
      <c r="AE251" s="24">
        <f>MIN(U251,N('My Loans'!E13))</f>
        <v/>
      </c>
      <c r="AF251" s="24">
        <f>MIN(V251,N('My Loans'!E14))</f>
        <v/>
      </c>
      <c r="AG251" s="24">
        <f>MIN(W251,N('My Loans'!E15))</f>
        <v/>
      </c>
      <c r="AH251" s="24">
        <f>MIN(N251-X251,MAX(0,$C251-SUMPRODUCT(($D$3:$M$3&lt;D$3)*($N251:$W251-$X251:$AG251))))</f>
        <v/>
      </c>
      <c r="AI251" s="24">
        <f>MIN(O251-Y251,MAX(0,$C251-SUMPRODUCT(($D$3:$M$3&lt;E$3)*($N251:$W251-$X251:$AG251))))</f>
        <v/>
      </c>
      <c r="AJ251" s="24">
        <f>MIN(P251-Z251,MAX(0,$C251-SUMPRODUCT(($D$3:$M$3&lt;F$3)*($N251:$W251-$X251:$AG251))))</f>
        <v/>
      </c>
      <c r="AK251" s="24">
        <f>MIN(Q251-AA251,MAX(0,$C251-SUMPRODUCT(($D$3:$M$3&lt;G$3)*($N251:$W251-$X251:$AG251))))</f>
        <v/>
      </c>
      <c r="AL251" s="24">
        <f>MIN(R251-AB251,MAX(0,$C251-SUMPRODUCT(($D$3:$M$3&lt;H$3)*($N251:$W251-$X251:$AG251))))</f>
        <v/>
      </c>
      <c r="AM251" s="24">
        <f>MIN(S251-AC251,MAX(0,$C251-SUMPRODUCT(($D$3:$M$3&lt;I$3)*($N251:$W251-$X251:$AG251))))</f>
        <v/>
      </c>
      <c r="AN251" s="24">
        <f>MIN(T251-AD251,MAX(0,$C251-SUMPRODUCT(($D$3:$M$3&lt;J$3)*($N251:$W251-$X251:$AG251))))</f>
        <v/>
      </c>
      <c r="AO251" s="24">
        <f>MIN(U251-AE251,MAX(0,$C251-SUMPRODUCT(($D$3:$M$3&lt;K$3)*($N251:$W251-$X251:$AG251))))</f>
        <v/>
      </c>
      <c r="AP251" s="24">
        <f>MIN(V251-AF251,MAX(0,$C251-SUMPRODUCT(($D$3:$M$3&lt;L$3)*($N251:$W251-$X251:$AG251))))</f>
        <v/>
      </c>
      <c r="AQ251" s="24">
        <f>MIN(W251-AG251,MAX(0,$C251-SUMPRODUCT(($D$3:$M$3&lt;M$3)*($N251:$W251-$X251:$AG251))))</f>
        <v/>
      </c>
      <c r="AR251" s="24">
        <f>ROUND(N251-X251-AH251,2)</f>
        <v/>
      </c>
      <c r="AS251" s="24">
        <f>ROUND(O251-Y251-AI251,2)</f>
        <v/>
      </c>
      <c r="AT251" s="24">
        <f>ROUND(P251-Z251-AJ251,2)</f>
        <v/>
      </c>
      <c r="AU251" s="24">
        <f>ROUND(Q251-AA251-AK251,2)</f>
        <v/>
      </c>
      <c r="AV251" s="24">
        <f>ROUND(R251-AB251-AL251,2)</f>
        <v/>
      </c>
      <c r="AW251" s="24">
        <f>ROUND(S251-AC251-AM251,2)</f>
        <v/>
      </c>
      <c r="AX251" s="24">
        <f>ROUND(T251-AD251-AN251,2)</f>
        <v/>
      </c>
      <c r="AY251" s="24">
        <f>ROUND(U251-AE251-AO251,2)</f>
        <v/>
      </c>
      <c r="AZ251" s="24">
        <f>ROUND(V251-AF251-AP251,2)</f>
        <v/>
      </c>
      <c r="BA251" s="24">
        <f>ROUND(W251-AG251-AQ251,2)</f>
        <v/>
      </c>
      <c r="BB251" s="24">
        <f>SUM(AR251:BA251)</f>
        <v/>
      </c>
    </row>
    <row r="252">
      <c r="A252" t="n">
        <v>248</v>
      </c>
      <c r="B252" s="23">
        <f>EOMONTH(TODAY(),247)</f>
        <v/>
      </c>
      <c r="C252" s="24">
        <f>MAX(0,(SUM('My Loans'!$E$6:$E$15)+'My Loans'!$D$3)-SUM($X252:$AG252))</f>
        <v/>
      </c>
      <c r="D252" s="24">
        <f>MAX(0,AR251)</f>
        <v/>
      </c>
      <c r="E252" s="24">
        <f>MAX(0,AS251)</f>
        <v/>
      </c>
      <c r="F252" s="24">
        <f>MAX(0,AT251)</f>
        <v/>
      </c>
      <c r="G252" s="24">
        <f>MAX(0,AU251)</f>
        <v/>
      </c>
      <c r="H252" s="24">
        <f>MAX(0,AV251)</f>
        <v/>
      </c>
      <c r="I252" s="24">
        <f>MAX(0,AW251)</f>
        <v/>
      </c>
      <c r="J252" s="24">
        <f>MAX(0,AX251)</f>
        <v/>
      </c>
      <c r="K252" s="24">
        <f>MAX(0,AY251)</f>
        <v/>
      </c>
      <c r="L252" s="24">
        <f>MAX(0,AZ251)</f>
        <v/>
      </c>
      <c r="M252" s="24">
        <f>MAX(0,BA251)</f>
        <v/>
      </c>
      <c r="N252" s="24">
        <f>IF(D252&lt;0.5,0,D252*(1+N('My Loans'!D6)/1200))</f>
        <v/>
      </c>
      <c r="O252" s="24">
        <f>IF(E252&lt;0.5,0,E252*(1+N('My Loans'!D7)/1200))</f>
        <v/>
      </c>
      <c r="P252" s="24">
        <f>IF(F252&lt;0.5,0,F252*(1+N('My Loans'!D8)/1200))</f>
        <v/>
      </c>
      <c r="Q252" s="24">
        <f>IF(G252&lt;0.5,0,G252*(1+N('My Loans'!D9)/1200))</f>
        <v/>
      </c>
      <c r="R252" s="24">
        <f>IF(H252&lt;0.5,0,H252*(1+N('My Loans'!D10)/1200))</f>
        <v/>
      </c>
      <c r="S252" s="24">
        <f>IF(I252&lt;0.5,0,I252*(1+N('My Loans'!D11)/1200))</f>
        <v/>
      </c>
      <c r="T252" s="24">
        <f>IF(J252&lt;0.5,0,J252*(1+N('My Loans'!D12)/1200))</f>
        <v/>
      </c>
      <c r="U252" s="24">
        <f>IF(K252&lt;0.5,0,K252*(1+N('My Loans'!D13)/1200))</f>
        <v/>
      </c>
      <c r="V252" s="24">
        <f>IF(L252&lt;0.5,0,L252*(1+N('My Loans'!D14)/1200))</f>
        <v/>
      </c>
      <c r="W252" s="24">
        <f>IF(M252&lt;0.5,0,M252*(1+N('My Loans'!D15)/1200))</f>
        <v/>
      </c>
      <c r="X252" s="24">
        <f>MIN(N252,N('My Loans'!E6))</f>
        <v/>
      </c>
      <c r="Y252" s="24">
        <f>MIN(O252,N('My Loans'!E7))</f>
        <v/>
      </c>
      <c r="Z252" s="24">
        <f>MIN(P252,N('My Loans'!E8))</f>
        <v/>
      </c>
      <c r="AA252" s="24">
        <f>MIN(Q252,N('My Loans'!E9))</f>
        <v/>
      </c>
      <c r="AB252" s="24">
        <f>MIN(R252,N('My Loans'!E10))</f>
        <v/>
      </c>
      <c r="AC252" s="24">
        <f>MIN(S252,N('My Loans'!E11))</f>
        <v/>
      </c>
      <c r="AD252" s="24">
        <f>MIN(T252,N('My Loans'!E12))</f>
        <v/>
      </c>
      <c r="AE252" s="24">
        <f>MIN(U252,N('My Loans'!E13))</f>
        <v/>
      </c>
      <c r="AF252" s="24">
        <f>MIN(V252,N('My Loans'!E14))</f>
        <v/>
      </c>
      <c r="AG252" s="24">
        <f>MIN(W252,N('My Loans'!E15))</f>
        <v/>
      </c>
      <c r="AH252" s="24">
        <f>MIN(N252-X252,MAX(0,$C252-SUMPRODUCT(($D$3:$M$3&lt;D$3)*($N252:$W252-$X252:$AG252))))</f>
        <v/>
      </c>
      <c r="AI252" s="24">
        <f>MIN(O252-Y252,MAX(0,$C252-SUMPRODUCT(($D$3:$M$3&lt;E$3)*($N252:$W252-$X252:$AG252))))</f>
        <v/>
      </c>
      <c r="AJ252" s="24">
        <f>MIN(P252-Z252,MAX(0,$C252-SUMPRODUCT(($D$3:$M$3&lt;F$3)*($N252:$W252-$X252:$AG252))))</f>
        <v/>
      </c>
      <c r="AK252" s="24">
        <f>MIN(Q252-AA252,MAX(0,$C252-SUMPRODUCT(($D$3:$M$3&lt;G$3)*($N252:$W252-$X252:$AG252))))</f>
        <v/>
      </c>
      <c r="AL252" s="24">
        <f>MIN(R252-AB252,MAX(0,$C252-SUMPRODUCT(($D$3:$M$3&lt;H$3)*($N252:$W252-$X252:$AG252))))</f>
        <v/>
      </c>
      <c r="AM252" s="24">
        <f>MIN(S252-AC252,MAX(0,$C252-SUMPRODUCT(($D$3:$M$3&lt;I$3)*($N252:$W252-$X252:$AG252))))</f>
        <v/>
      </c>
      <c r="AN252" s="24">
        <f>MIN(T252-AD252,MAX(0,$C252-SUMPRODUCT(($D$3:$M$3&lt;J$3)*($N252:$W252-$X252:$AG252))))</f>
        <v/>
      </c>
      <c r="AO252" s="24">
        <f>MIN(U252-AE252,MAX(0,$C252-SUMPRODUCT(($D$3:$M$3&lt;K$3)*($N252:$W252-$X252:$AG252))))</f>
        <v/>
      </c>
      <c r="AP252" s="24">
        <f>MIN(V252-AF252,MAX(0,$C252-SUMPRODUCT(($D$3:$M$3&lt;L$3)*($N252:$W252-$X252:$AG252))))</f>
        <v/>
      </c>
      <c r="AQ252" s="24">
        <f>MIN(W252-AG252,MAX(0,$C252-SUMPRODUCT(($D$3:$M$3&lt;M$3)*($N252:$W252-$X252:$AG252))))</f>
        <v/>
      </c>
      <c r="AR252" s="24">
        <f>ROUND(N252-X252-AH252,2)</f>
        <v/>
      </c>
      <c r="AS252" s="24">
        <f>ROUND(O252-Y252-AI252,2)</f>
        <v/>
      </c>
      <c r="AT252" s="24">
        <f>ROUND(P252-Z252-AJ252,2)</f>
        <v/>
      </c>
      <c r="AU252" s="24">
        <f>ROUND(Q252-AA252-AK252,2)</f>
        <v/>
      </c>
      <c r="AV252" s="24">
        <f>ROUND(R252-AB252-AL252,2)</f>
        <v/>
      </c>
      <c r="AW252" s="24">
        <f>ROUND(S252-AC252-AM252,2)</f>
        <v/>
      </c>
      <c r="AX252" s="24">
        <f>ROUND(T252-AD252-AN252,2)</f>
        <v/>
      </c>
      <c r="AY252" s="24">
        <f>ROUND(U252-AE252-AO252,2)</f>
        <v/>
      </c>
      <c r="AZ252" s="24">
        <f>ROUND(V252-AF252-AP252,2)</f>
        <v/>
      </c>
      <c r="BA252" s="24">
        <f>ROUND(W252-AG252-AQ252,2)</f>
        <v/>
      </c>
      <c r="BB252" s="24">
        <f>SUM(AR252:BA252)</f>
        <v/>
      </c>
    </row>
    <row r="253">
      <c r="A253" t="n">
        <v>249</v>
      </c>
      <c r="B253" s="23">
        <f>EOMONTH(TODAY(),248)</f>
        <v/>
      </c>
      <c r="C253" s="24">
        <f>MAX(0,(SUM('My Loans'!$E$6:$E$15)+'My Loans'!$D$3)-SUM($X253:$AG253))</f>
        <v/>
      </c>
      <c r="D253" s="24">
        <f>MAX(0,AR252)</f>
        <v/>
      </c>
      <c r="E253" s="24">
        <f>MAX(0,AS252)</f>
        <v/>
      </c>
      <c r="F253" s="24">
        <f>MAX(0,AT252)</f>
        <v/>
      </c>
      <c r="G253" s="24">
        <f>MAX(0,AU252)</f>
        <v/>
      </c>
      <c r="H253" s="24">
        <f>MAX(0,AV252)</f>
        <v/>
      </c>
      <c r="I253" s="24">
        <f>MAX(0,AW252)</f>
        <v/>
      </c>
      <c r="J253" s="24">
        <f>MAX(0,AX252)</f>
        <v/>
      </c>
      <c r="K253" s="24">
        <f>MAX(0,AY252)</f>
        <v/>
      </c>
      <c r="L253" s="24">
        <f>MAX(0,AZ252)</f>
        <v/>
      </c>
      <c r="M253" s="24">
        <f>MAX(0,BA252)</f>
        <v/>
      </c>
      <c r="N253" s="24">
        <f>IF(D253&lt;0.5,0,D253*(1+N('My Loans'!D6)/1200))</f>
        <v/>
      </c>
      <c r="O253" s="24">
        <f>IF(E253&lt;0.5,0,E253*(1+N('My Loans'!D7)/1200))</f>
        <v/>
      </c>
      <c r="P253" s="24">
        <f>IF(F253&lt;0.5,0,F253*(1+N('My Loans'!D8)/1200))</f>
        <v/>
      </c>
      <c r="Q253" s="24">
        <f>IF(G253&lt;0.5,0,G253*(1+N('My Loans'!D9)/1200))</f>
        <v/>
      </c>
      <c r="R253" s="24">
        <f>IF(H253&lt;0.5,0,H253*(1+N('My Loans'!D10)/1200))</f>
        <v/>
      </c>
      <c r="S253" s="24">
        <f>IF(I253&lt;0.5,0,I253*(1+N('My Loans'!D11)/1200))</f>
        <v/>
      </c>
      <c r="T253" s="24">
        <f>IF(J253&lt;0.5,0,J253*(1+N('My Loans'!D12)/1200))</f>
        <v/>
      </c>
      <c r="U253" s="24">
        <f>IF(K253&lt;0.5,0,K253*(1+N('My Loans'!D13)/1200))</f>
        <v/>
      </c>
      <c r="V253" s="24">
        <f>IF(L253&lt;0.5,0,L253*(1+N('My Loans'!D14)/1200))</f>
        <v/>
      </c>
      <c r="W253" s="24">
        <f>IF(M253&lt;0.5,0,M253*(1+N('My Loans'!D15)/1200))</f>
        <v/>
      </c>
      <c r="X253" s="24">
        <f>MIN(N253,N('My Loans'!E6))</f>
        <v/>
      </c>
      <c r="Y253" s="24">
        <f>MIN(O253,N('My Loans'!E7))</f>
        <v/>
      </c>
      <c r="Z253" s="24">
        <f>MIN(P253,N('My Loans'!E8))</f>
        <v/>
      </c>
      <c r="AA253" s="24">
        <f>MIN(Q253,N('My Loans'!E9))</f>
        <v/>
      </c>
      <c r="AB253" s="24">
        <f>MIN(R253,N('My Loans'!E10))</f>
        <v/>
      </c>
      <c r="AC253" s="24">
        <f>MIN(S253,N('My Loans'!E11))</f>
        <v/>
      </c>
      <c r="AD253" s="24">
        <f>MIN(T253,N('My Loans'!E12))</f>
        <v/>
      </c>
      <c r="AE253" s="24">
        <f>MIN(U253,N('My Loans'!E13))</f>
        <v/>
      </c>
      <c r="AF253" s="24">
        <f>MIN(V253,N('My Loans'!E14))</f>
        <v/>
      </c>
      <c r="AG253" s="24">
        <f>MIN(W253,N('My Loans'!E15))</f>
        <v/>
      </c>
      <c r="AH253" s="24">
        <f>MIN(N253-X253,MAX(0,$C253-SUMPRODUCT(($D$3:$M$3&lt;D$3)*($N253:$W253-$X253:$AG253))))</f>
        <v/>
      </c>
      <c r="AI253" s="24">
        <f>MIN(O253-Y253,MAX(0,$C253-SUMPRODUCT(($D$3:$M$3&lt;E$3)*($N253:$W253-$X253:$AG253))))</f>
        <v/>
      </c>
      <c r="AJ253" s="24">
        <f>MIN(P253-Z253,MAX(0,$C253-SUMPRODUCT(($D$3:$M$3&lt;F$3)*($N253:$W253-$X253:$AG253))))</f>
        <v/>
      </c>
      <c r="AK253" s="24">
        <f>MIN(Q253-AA253,MAX(0,$C253-SUMPRODUCT(($D$3:$M$3&lt;G$3)*($N253:$W253-$X253:$AG253))))</f>
        <v/>
      </c>
      <c r="AL253" s="24">
        <f>MIN(R253-AB253,MAX(0,$C253-SUMPRODUCT(($D$3:$M$3&lt;H$3)*($N253:$W253-$X253:$AG253))))</f>
        <v/>
      </c>
      <c r="AM253" s="24">
        <f>MIN(S253-AC253,MAX(0,$C253-SUMPRODUCT(($D$3:$M$3&lt;I$3)*($N253:$W253-$X253:$AG253))))</f>
        <v/>
      </c>
      <c r="AN253" s="24">
        <f>MIN(T253-AD253,MAX(0,$C253-SUMPRODUCT(($D$3:$M$3&lt;J$3)*($N253:$W253-$X253:$AG253))))</f>
        <v/>
      </c>
      <c r="AO253" s="24">
        <f>MIN(U253-AE253,MAX(0,$C253-SUMPRODUCT(($D$3:$M$3&lt;K$3)*($N253:$W253-$X253:$AG253))))</f>
        <v/>
      </c>
      <c r="AP253" s="24">
        <f>MIN(V253-AF253,MAX(0,$C253-SUMPRODUCT(($D$3:$M$3&lt;L$3)*($N253:$W253-$X253:$AG253))))</f>
        <v/>
      </c>
      <c r="AQ253" s="24">
        <f>MIN(W253-AG253,MAX(0,$C253-SUMPRODUCT(($D$3:$M$3&lt;M$3)*($N253:$W253-$X253:$AG253))))</f>
        <v/>
      </c>
      <c r="AR253" s="24">
        <f>ROUND(N253-X253-AH253,2)</f>
        <v/>
      </c>
      <c r="AS253" s="24">
        <f>ROUND(O253-Y253-AI253,2)</f>
        <v/>
      </c>
      <c r="AT253" s="24">
        <f>ROUND(P253-Z253-AJ253,2)</f>
        <v/>
      </c>
      <c r="AU253" s="24">
        <f>ROUND(Q253-AA253-AK253,2)</f>
        <v/>
      </c>
      <c r="AV253" s="24">
        <f>ROUND(R253-AB253-AL253,2)</f>
        <v/>
      </c>
      <c r="AW253" s="24">
        <f>ROUND(S253-AC253-AM253,2)</f>
        <v/>
      </c>
      <c r="AX253" s="24">
        <f>ROUND(T253-AD253-AN253,2)</f>
        <v/>
      </c>
      <c r="AY253" s="24">
        <f>ROUND(U253-AE253-AO253,2)</f>
        <v/>
      </c>
      <c r="AZ253" s="24">
        <f>ROUND(V253-AF253-AP253,2)</f>
        <v/>
      </c>
      <c r="BA253" s="24">
        <f>ROUND(W253-AG253-AQ253,2)</f>
        <v/>
      </c>
      <c r="BB253" s="24">
        <f>SUM(AR253:BA253)</f>
        <v/>
      </c>
    </row>
    <row r="254">
      <c r="A254" t="n">
        <v>250</v>
      </c>
      <c r="B254" s="23">
        <f>EOMONTH(TODAY(),249)</f>
        <v/>
      </c>
      <c r="C254" s="24">
        <f>MAX(0,(SUM('My Loans'!$E$6:$E$15)+'My Loans'!$D$3)-SUM($X254:$AG254))</f>
        <v/>
      </c>
      <c r="D254" s="24">
        <f>MAX(0,AR253)</f>
        <v/>
      </c>
      <c r="E254" s="24">
        <f>MAX(0,AS253)</f>
        <v/>
      </c>
      <c r="F254" s="24">
        <f>MAX(0,AT253)</f>
        <v/>
      </c>
      <c r="G254" s="24">
        <f>MAX(0,AU253)</f>
        <v/>
      </c>
      <c r="H254" s="24">
        <f>MAX(0,AV253)</f>
        <v/>
      </c>
      <c r="I254" s="24">
        <f>MAX(0,AW253)</f>
        <v/>
      </c>
      <c r="J254" s="24">
        <f>MAX(0,AX253)</f>
        <v/>
      </c>
      <c r="K254" s="24">
        <f>MAX(0,AY253)</f>
        <v/>
      </c>
      <c r="L254" s="24">
        <f>MAX(0,AZ253)</f>
        <v/>
      </c>
      <c r="M254" s="24">
        <f>MAX(0,BA253)</f>
        <v/>
      </c>
      <c r="N254" s="24">
        <f>IF(D254&lt;0.5,0,D254*(1+N('My Loans'!D6)/1200))</f>
        <v/>
      </c>
      <c r="O254" s="24">
        <f>IF(E254&lt;0.5,0,E254*(1+N('My Loans'!D7)/1200))</f>
        <v/>
      </c>
      <c r="P254" s="24">
        <f>IF(F254&lt;0.5,0,F254*(1+N('My Loans'!D8)/1200))</f>
        <v/>
      </c>
      <c r="Q254" s="24">
        <f>IF(G254&lt;0.5,0,G254*(1+N('My Loans'!D9)/1200))</f>
        <v/>
      </c>
      <c r="R254" s="24">
        <f>IF(H254&lt;0.5,0,H254*(1+N('My Loans'!D10)/1200))</f>
        <v/>
      </c>
      <c r="S254" s="24">
        <f>IF(I254&lt;0.5,0,I254*(1+N('My Loans'!D11)/1200))</f>
        <v/>
      </c>
      <c r="T254" s="24">
        <f>IF(J254&lt;0.5,0,J254*(1+N('My Loans'!D12)/1200))</f>
        <v/>
      </c>
      <c r="U254" s="24">
        <f>IF(K254&lt;0.5,0,K254*(1+N('My Loans'!D13)/1200))</f>
        <v/>
      </c>
      <c r="V254" s="24">
        <f>IF(L254&lt;0.5,0,L254*(1+N('My Loans'!D14)/1200))</f>
        <v/>
      </c>
      <c r="W254" s="24">
        <f>IF(M254&lt;0.5,0,M254*(1+N('My Loans'!D15)/1200))</f>
        <v/>
      </c>
      <c r="X254" s="24">
        <f>MIN(N254,N('My Loans'!E6))</f>
        <v/>
      </c>
      <c r="Y254" s="24">
        <f>MIN(O254,N('My Loans'!E7))</f>
        <v/>
      </c>
      <c r="Z254" s="24">
        <f>MIN(P254,N('My Loans'!E8))</f>
        <v/>
      </c>
      <c r="AA254" s="24">
        <f>MIN(Q254,N('My Loans'!E9))</f>
        <v/>
      </c>
      <c r="AB254" s="24">
        <f>MIN(R254,N('My Loans'!E10))</f>
        <v/>
      </c>
      <c r="AC254" s="24">
        <f>MIN(S254,N('My Loans'!E11))</f>
        <v/>
      </c>
      <c r="AD254" s="24">
        <f>MIN(T254,N('My Loans'!E12))</f>
        <v/>
      </c>
      <c r="AE254" s="24">
        <f>MIN(U254,N('My Loans'!E13))</f>
        <v/>
      </c>
      <c r="AF254" s="24">
        <f>MIN(V254,N('My Loans'!E14))</f>
        <v/>
      </c>
      <c r="AG254" s="24">
        <f>MIN(W254,N('My Loans'!E15))</f>
        <v/>
      </c>
      <c r="AH254" s="24">
        <f>MIN(N254-X254,MAX(0,$C254-SUMPRODUCT(($D$3:$M$3&lt;D$3)*($N254:$W254-$X254:$AG254))))</f>
        <v/>
      </c>
      <c r="AI254" s="24">
        <f>MIN(O254-Y254,MAX(0,$C254-SUMPRODUCT(($D$3:$M$3&lt;E$3)*($N254:$W254-$X254:$AG254))))</f>
        <v/>
      </c>
      <c r="AJ254" s="24">
        <f>MIN(P254-Z254,MAX(0,$C254-SUMPRODUCT(($D$3:$M$3&lt;F$3)*($N254:$W254-$X254:$AG254))))</f>
        <v/>
      </c>
      <c r="AK254" s="24">
        <f>MIN(Q254-AA254,MAX(0,$C254-SUMPRODUCT(($D$3:$M$3&lt;G$3)*($N254:$W254-$X254:$AG254))))</f>
        <v/>
      </c>
      <c r="AL254" s="24">
        <f>MIN(R254-AB254,MAX(0,$C254-SUMPRODUCT(($D$3:$M$3&lt;H$3)*($N254:$W254-$X254:$AG254))))</f>
        <v/>
      </c>
      <c r="AM254" s="24">
        <f>MIN(S254-AC254,MAX(0,$C254-SUMPRODUCT(($D$3:$M$3&lt;I$3)*($N254:$W254-$X254:$AG254))))</f>
        <v/>
      </c>
      <c r="AN254" s="24">
        <f>MIN(T254-AD254,MAX(0,$C254-SUMPRODUCT(($D$3:$M$3&lt;J$3)*($N254:$W254-$X254:$AG254))))</f>
        <v/>
      </c>
      <c r="AO254" s="24">
        <f>MIN(U254-AE254,MAX(0,$C254-SUMPRODUCT(($D$3:$M$3&lt;K$3)*($N254:$W254-$X254:$AG254))))</f>
        <v/>
      </c>
      <c r="AP254" s="24">
        <f>MIN(V254-AF254,MAX(0,$C254-SUMPRODUCT(($D$3:$M$3&lt;L$3)*($N254:$W254-$X254:$AG254))))</f>
        <v/>
      </c>
      <c r="AQ254" s="24">
        <f>MIN(W254-AG254,MAX(0,$C254-SUMPRODUCT(($D$3:$M$3&lt;M$3)*($N254:$W254-$X254:$AG254))))</f>
        <v/>
      </c>
      <c r="AR254" s="24">
        <f>ROUND(N254-X254-AH254,2)</f>
        <v/>
      </c>
      <c r="AS254" s="24">
        <f>ROUND(O254-Y254-AI254,2)</f>
        <v/>
      </c>
      <c r="AT254" s="24">
        <f>ROUND(P254-Z254-AJ254,2)</f>
        <v/>
      </c>
      <c r="AU254" s="24">
        <f>ROUND(Q254-AA254-AK254,2)</f>
        <v/>
      </c>
      <c r="AV254" s="24">
        <f>ROUND(R254-AB254-AL254,2)</f>
        <v/>
      </c>
      <c r="AW254" s="24">
        <f>ROUND(S254-AC254-AM254,2)</f>
        <v/>
      </c>
      <c r="AX254" s="24">
        <f>ROUND(T254-AD254-AN254,2)</f>
        <v/>
      </c>
      <c r="AY254" s="24">
        <f>ROUND(U254-AE254-AO254,2)</f>
        <v/>
      </c>
      <c r="AZ254" s="24">
        <f>ROUND(V254-AF254-AP254,2)</f>
        <v/>
      </c>
      <c r="BA254" s="24">
        <f>ROUND(W254-AG254-AQ254,2)</f>
        <v/>
      </c>
      <c r="BB254" s="24">
        <f>SUM(AR254:BA254)</f>
        <v/>
      </c>
    </row>
    <row r="255">
      <c r="A255" t="n">
        <v>251</v>
      </c>
      <c r="B255" s="23">
        <f>EOMONTH(TODAY(),250)</f>
        <v/>
      </c>
      <c r="C255" s="24">
        <f>MAX(0,(SUM('My Loans'!$E$6:$E$15)+'My Loans'!$D$3)-SUM($X255:$AG255))</f>
        <v/>
      </c>
      <c r="D255" s="24">
        <f>MAX(0,AR254)</f>
        <v/>
      </c>
      <c r="E255" s="24">
        <f>MAX(0,AS254)</f>
        <v/>
      </c>
      <c r="F255" s="24">
        <f>MAX(0,AT254)</f>
        <v/>
      </c>
      <c r="G255" s="24">
        <f>MAX(0,AU254)</f>
        <v/>
      </c>
      <c r="H255" s="24">
        <f>MAX(0,AV254)</f>
        <v/>
      </c>
      <c r="I255" s="24">
        <f>MAX(0,AW254)</f>
        <v/>
      </c>
      <c r="J255" s="24">
        <f>MAX(0,AX254)</f>
        <v/>
      </c>
      <c r="K255" s="24">
        <f>MAX(0,AY254)</f>
        <v/>
      </c>
      <c r="L255" s="24">
        <f>MAX(0,AZ254)</f>
        <v/>
      </c>
      <c r="M255" s="24">
        <f>MAX(0,BA254)</f>
        <v/>
      </c>
      <c r="N255" s="24">
        <f>IF(D255&lt;0.5,0,D255*(1+N('My Loans'!D6)/1200))</f>
        <v/>
      </c>
      <c r="O255" s="24">
        <f>IF(E255&lt;0.5,0,E255*(1+N('My Loans'!D7)/1200))</f>
        <v/>
      </c>
      <c r="P255" s="24">
        <f>IF(F255&lt;0.5,0,F255*(1+N('My Loans'!D8)/1200))</f>
        <v/>
      </c>
      <c r="Q255" s="24">
        <f>IF(G255&lt;0.5,0,G255*(1+N('My Loans'!D9)/1200))</f>
        <v/>
      </c>
      <c r="R255" s="24">
        <f>IF(H255&lt;0.5,0,H255*(1+N('My Loans'!D10)/1200))</f>
        <v/>
      </c>
      <c r="S255" s="24">
        <f>IF(I255&lt;0.5,0,I255*(1+N('My Loans'!D11)/1200))</f>
        <v/>
      </c>
      <c r="T255" s="24">
        <f>IF(J255&lt;0.5,0,J255*(1+N('My Loans'!D12)/1200))</f>
        <v/>
      </c>
      <c r="U255" s="24">
        <f>IF(K255&lt;0.5,0,K255*(1+N('My Loans'!D13)/1200))</f>
        <v/>
      </c>
      <c r="V255" s="24">
        <f>IF(L255&lt;0.5,0,L255*(1+N('My Loans'!D14)/1200))</f>
        <v/>
      </c>
      <c r="W255" s="24">
        <f>IF(M255&lt;0.5,0,M255*(1+N('My Loans'!D15)/1200))</f>
        <v/>
      </c>
      <c r="X255" s="24">
        <f>MIN(N255,N('My Loans'!E6))</f>
        <v/>
      </c>
      <c r="Y255" s="24">
        <f>MIN(O255,N('My Loans'!E7))</f>
        <v/>
      </c>
      <c r="Z255" s="24">
        <f>MIN(P255,N('My Loans'!E8))</f>
        <v/>
      </c>
      <c r="AA255" s="24">
        <f>MIN(Q255,N('My Loans'!E9))</f>
        <v/>
      </c>
      <c r="AB255" s="24">
        <f>MIN(R255,N('My Loans'!E10))</f>
        <v/>
      </c>
      <c r="AC255" s="24">
        <f>MIN(S255,N('My Loans'!E11))</f>
        <v/>
      </c>
      <c r="AD255" s="24">
        <f>MIN(T255,N('My Loans'!E12))</f>
        <v/>
      </c>
      <c r="AE255" s="24">
        <f>MIN(U255,N('My Loans'!E13))</f>
        <v/>
      </c>
      <c r="AF255" s="24">
        <f>MIN(V255,N('My Loans'!E14))</f>
        <v/>
      </c>
      <c r="AG255" s="24">
        <f>MIN(W255,N('My Loans'!E15))</f>
        <v/>
      </c>
      <c r="AH255" s="24">
        <f>MIN(N255-X255,MAX(0,$C255-SUMPRODUCT(($D$3:$M$3&lt;D$3)*($N255:$W255-$X255:$AG255))))</f>
        <v/>
      </c>
      <c r="AI255" s="24">
        <f>MIN(O255-Y255,MAX(0,$C255-SUMPRODUCT(($D$3:$M$3&lt;E$3)*($N255:$W255-$X255:$AG255))))</f>
        <v/>
      </c>
      <c r="AJ255" s="24">
        <f>MIN(P255-Z255,MAX(0,$C255-SUMPRODUCT(($D$3:$M$3&lt;F$3)*($N255:$W255-$X255:$AG255))))</f>
        <v/>
      </c>
      <c r="AK255" s="24">
        <f>MIN(Q255-AA255,MAX(0,$C255-SUMPRODUCT(($D$3:$M$3&lt;G$3)*($N255:$W255-$X255:$AG255))))</f>
        <v/>
      </c>
      <c r="AL255" s="24">
        <f>MIN(R255-AB255,MAX(0,$C255-SUMPRODUCT(($D$3:$M$3&lt;H$3)*($N255:$W255-$X255:$AG255))))</f>
        <v/>
      </c>
      <c r="AM255" s="24">
        <f>MIN(S255-AC255,MAX(0,$C255-SUMPRODUCT(($D$3:$M$3&lt;I$3)*($N255:$W255-$X255:$AG255))))</f>
        <v/>
      </c>
      <c r="AN255" s="24">
        <f>MIN(T255-AD255,MAX(0,$C255-SUMPRODUCT(($D$3:$M$3&lt;J$3)*($N255:$W255-$X255:$AG255))))</f>
        <v/>
      </c>
      <c r="AO255" s="24">
        <f>MIN(U255-AE255,MAX(0,$C255-SUMPRODUCT(($D$3:$M$3&lt;K$3)*($N255:$W255-$X255:$AG255))))</f>
        <v/>
      </c>
      <c r="AP255" s="24">
        <f>MIN(V255-AF255,MAX(0,$C255-SUMPRODUCT(($D$3:$M$3&lt;L$3)*($N255:$W255-$X255:$AG255))))</f>
        <v/>
      </c>
      <c r="AQ255" s="24">
        <f>MIN(W255-AG255,MAX(0,$C255-SUMPRODUCT(($D$3:$M$3&lt;M$3)*($N255:$W255-$X255:$AG255))))</f>
        <v/>
      </c>
      <c r="AR255" s="24">
        <f>ROUND(N255-X255-AH255,2)</f>
        <v/>
      </c>
      <c r="AS255" s="24">
        <f>ROUND(O255-Y255-AI255,2)</f>
        <v/>
      </c>
      <c r="AT255" s="24">
        <f>ROUND(P255-Z255-AJ255,2)</f>
        <v/>
      </c>
      <c r="AU255" s="24">
        <f>ROUND(Q255-AA255-AK255,2)</f>
        <v/>
      </c>
      <c r="AV255" s="24">
        <f>ROUND(R255-AB255-AL255,2)</f>
        <v/>
      </c>
      <c r="AW255" s="24">
        <f>ROUND(S255-AC255-AM255,2)</f>
        <v/>
      </c>
      <c r="AX255" s="24">
        <f>ROUND(T255-AD255-AN255,2)</f>
        <v/>
      </c>
      <c r="AY255" s="24">
        <f>ROUND(U255-AE255-AO255,2)</f>
        <v/>
      </c>
      <c r="AZ255" s="24">
        <f>ROUND(V255-AF255-AP255,2)</f>
        <v/>
      </c>
      <c r="BA255" s="24">
        <f>ROUND(W255-AG255-AQ255,2)</f>
        <v/>
      </c>
      <c r="BB255" s="24">
        <f>SUM(AR255:BA255)</f>
        <v/>
      </c>
    </row>
    <row r="256">
      <c r="A256" t="n">
        <v>252</v>
      </c>
      <c r="B256" s="23">
        <f>EOMONTH(TODAY(),251)</f>
        <v/>
      </c>
      <c r="C256" s="24">
        <f>MAX(0,(SUM('My Loans'!$E$6:$E$15)+'My Loans'!$D$3)-SUM($X256:$AG256))</f>
        <v/>
      </c>
      <c r="D256" s="24">
        <f>MAX(0,AR255)</f>
        <v/>
      </c>
      <c r="E256" s="24">
        <f>MAX(0,AS255)</f>
        <v/>
      </c>
      <c r="F256" s="24">
        <f>MAX(0,AT255)</f>
        <v/>
      </c>
      <c r="G256" s="24">
        <f>MAX(0,AU255)</f>
        <v/>
      </c>
      <c r="H256" s="24">
        <f>MAX(0,AV255)</f>
        <v/>
      </c>
      <c r="I256" s="24">
        <f>MAX(0,AW255)</f>
        <v/>
      </c>
      <c r="J256" s="24">
        <f>MAX(0,AX255)</f>
        <v/>
      </c>
      <c r="K256" s="24">
        <f>MAX(0,AY255)</f>
        <v/>
      </c>
      <c r="L256" s="24">
        <f>MAX(0,AZ255)</f>
        <v/>
      </c>
      <c r="M256" s="24">
        <f>MAX(0,BA255)</f>
        <v/>
      </c>
      <c r="N256" s="24">
        <f>IF(D256&lt;0.5,0,D256*(1+N('My Loans'!D6)/1200))</f>
        <v/>
      </c>
      <c r="O256" s="24">
        <f>IF(E256&lt;0.5,0,E256*(1+N('My Loans'!D7)/1200))</f>
        <v/>
      </c>
      <c r="P256" s="24">
        <f>IF(F256&lt;0.5,0,F256*(1+N('My Loans'!D8)/1200))</f>
        <v/>
      </c>
      <c r="Q256" s="24">
        <f>IF(G256&lt;0.5,0,G256*(1+N('My Loans'!D9)/1200))</f>
        <v/>
      </c>
      <c r="R256" s="24">
        <f>IF(H256&lt;0.5,0,H256*(1+N('My Loans'!D10)/1200))</f>
        <v/>
      </c>
      <c r="S256" s="24">
        <f>IF(I256&lt;0.5,0,I256*(1+N('My Loans'!D11)/1200))</f>
        <v/>
      </c>
      <c r="T256" s="24">
        <f>IF(J256&lt;0.5,0,J256*(1+N('My Loans'!D12)/1200))</f>
        <v/>
      </c>
      <c r="U256" s="24">
        <f>IF(K256&lt;0.5,0,K256*(1+N('My Loans'!D13)/1200))</f>
        <v/>
      </c>
      <c r="V256" s="24">
        <f>IF(L256&lt;0.5,0,L256*(1+N('My Loans'!D14)/1200))</f>
        <v/>
      </c>
      <c r="W256" s="24">
        <f>IF(M256&lt;0.5,0,M256*(1+N('My Loans'!D15)/1200))</f>
        <v/>
      </c>
      <c r="X256" s="24">
        <f>MIN(N256,N('My Loans'!E6))</f>
        <v/>
      </c>
      <c r="Y256" s="24">
        <f>MIN(O256,N('My Loans'!E7))</f>
        <v/>
      </c>
      <c r="Z256" s="24">
        <f>MIN(P256,N('My Loans'!E8))</f>
        <v/>
      </c>
      <c r="AA256" s="24">
        <f>MIN(Q256,N('My Loans'!E9))</f>
        <v/>
      </c>
      <c r="AB256" s="24">
        <f>MIN(R256,N('My Loans'!E10))</f>
        <v/>
      </c>
      <c r="AC256" s="24">
        <f>MIN(S256,N('My Loans'!E11))</f>
        <v/>
      </c>
      <c r="AD256" s="24">
        <f>MIN(T256,N('My Loans'!E12))</f>
        <v/>
      </c>
      <c r="AE256" s="24">
        <f>MIN(U256,N('My Loans'!E13))</f>
        <v/>
      </c>
      <c r="AF256" s="24">
        <f>MIN(V256,N('My Loans'!E14))</f>
        <v/>
      </c>
      <c r="AG256" s="24">
        <f>MIN(W256,N('My Loans'!E15))</f>
        <v/>
      </c>
      <c r="AH256" s="24">
        <f>MIN(N256-X256,MAX(0,$C256-SUMPRODUCT(($D$3:$M$3&lt;D$3)*($N256:$W256-$X256:$AG256))))</f>
        <v/>
      </c>
      <c r="AI256" s="24">
        <f>MIN(O256-Y256,MAX(0,$C256-SUMPRODUCT(($D$3:$M$3&lt;E$3)*($N256:$W256-$X256:$AG256))))</f>
        <v/>
      </c>
      <c r="AJ256" s="24">
        <f>MIN(P256-Z256,MAX(0,$C256-SUMPRODUCT(($D$3:$M$3&lt;F$3)*($N256:$W256-$X256:$AG256))))</f>
        <v/>
      </c>
      <c r="AK256" s="24">
        <f>MIN(Q256-AA256,MAX(0,$C256-SUMPRODUCT(($D$3:$M$3&lt;G$3)*($N256:$W256-$X256:$AG256))))</f>
        <v/>
      </c>
      <c r="AL256" s="24">
        <f>MIN(R256-AB256,MAX(0,$C256-SUMPRODUCT(($D$3:$M$3&lt;H$3)*($N256:$W256-$X256:$AG256))))</f>
        <v/>
      </c>
      <c r="AM256" s="24">
        <f>MIN(S256-AC256,MAX(0,$C256-SUMPRODUCT(($D$3:$M$3&lt;I$3)*($N256:$W256-$X256:$AG256))))</f>
        <v/>
      </c>
      <c r="AN256" s="24">
        <f>MIN(T256-AD256,MAX(0,$C256-SUMPRODUCT(($D$3:$M$3&lt;J$3)*($N256:$W256-$X256:$AG256))))</f>
        <v/>
      </c>
      <c r="AO256" s="24">
        <f>MIN(U256-AE256,MAX(0,$C256-SUMPRODUCT(($D$3:$M$3&lt;K$3)*($N256:$W256-$X256:$AG256))))</f>
        <v/>
      </c>
      <c r="AP256" s="24">
        <f>MIN(V256-AF256,MAX(0,$C256-SUMPRODUCT(($D$3:$M$3&lt;L$3)*($N256:$W256-$X256:$AG256))))</f>
        <v/>
      </c>
      <c r="AQ256" s="24">
        <f>MIN(W256-AG256,MAX(0,$C256-SUMPRODUCT(($D$3:$M$3&lt;M$3)*($N256:$W256-$X256:$AG256))))</f>
        <v/>
      </c>
      <c r="AR256" s="24">
        <f>ROUND(N256-X256-AH256,2)</f>
        <v/>
      </c>
      <c r="AS256" s="24">
        <f>ROUND(O256-Y256-AI256,2)</f>
        <v/>
      </c>
      <c r="AT256" s="24">
        <f>ROUND(P256-Z256-AJ256,2)</f>
        <v/>
      </c>
      <c r="AU256" s="24">
        <f>ROUND(Q256-AA256-AK256,2)</f>
        <v/>
      </c>
      <c r="AV256" s="24">
        <f>ROUND(R256-AB256-AL256,2)</f>
        <v/>
      </c>
      <c r="AW256" s="24">
        <f>ROUND(S256-AC256-AM256,2)</f>
        <v/>
      </c>
      <c r="AX256" s="24">
        <f>ROUND(T256-AD256-AN256,2)</f>
        <v/>
      </c>
      <c r="AY256" s="24">
        <f>ROUND(U256-AE256-AO256,2)</f>
        <v/>
      </c>
      <c r="AZ256" s="24">
        <f>ROUND(V256-AF256-AP256,2)</f>
        <v/>
      </c>
      <c r="BA256" s="24">
        <f>ROUND(W256-AG256-AQ256,2)</f>
        <v/>
      </c>
      <c r="BB256" s="24">
        <f>SUM(AR256:BA256)</f>
        <v/>
      </c>
    </row>
    <row r="257">
      <c r="A257" t="n">
        <v>253</v>
      </c>
      <c r="B257" s="23">
        <f>EOMONTH(TODAY(),252)</f>
        <v/>
      </c>
      <c r="C257" s="24">
        <f>MAX(0,(SUM('My Loans'!$E$6:$E$15)+'My Loans'!$D$3)-SUM($X257:$AG257))</f>
        <v/>
      </c>
      <c r="D257" s="24">
        <f>MAX(0,AR256)</f>
        <v/>
      </c>
      <c r="E257" s="24">
        <f>MAX(0,AS256)</f>
        <v/>
      </c>
      <c r="F257" s="24">
        <f>MAX(0,AT256)</f>
        <v/>
      </c>
      <c r="G257" s="24">
        <f>MAX(0,AU256)</f>
        <v/>
      </c>
      <c r="H257" s="24">
        <f>MAX(0,AV256)</f>
        <v/>
      </c>
      <c r="I257" s="24">
        <f>MAX(0,AW256)</f>
        <v/>
      </c>
      <c r="J257" s="24">
        <f>MAX(0,AX256)</f>
        <v/>
      </c>
      <c r="K257" s="24">
        <f>MAX(0,AY256)</f>
        <v/>
      </c>
      <c r="L257" s="24">
        <f>MAX(0,AZ256)</f>
        <v/>
      </c>
      <c r="M257" s="24">
        <f>MAX(0,BA256)</f>
        <v/>
      </c>
      <c r="N257" s="24">
        <f>IF(D257&lt;0.5,0,D257*(1+N('My Loans'!D6)/1200))</f>
        <v/>
      </c>
      <c r="O257" s="24">
        <f>IF(E257&lt;0.5,0,E257*(1+N('My Loans'!D7)/1200))</f>
        <v/>
      </c>
      <c r="P257" s="24">
        <f>IF(F257&lt;0.5,0,F257*(1+N('My Loans'!D8)/1200))</f>
        <v/>
      </c>
      <c r="Q257" s="24">
        <f>IF(G257&lt;0.5,0,G257*(1+N('My Loans'!D9)/1200))</f>
        <v/>
      </c>
      <c r="R257" s="24">
        <f>IF(H257&lt;0.5,0,H257*(1+N('My Loans'!D10)/1200))</f>
        <v/>
      </c>
      <c r="S257" s="24">
        <f>IF(I257&lt;0.5,0,I257*(1+N('My Loans'!D11)/1200))</f>
        <v/>
      </c>
      <c r="T257" s="24">
        <f>IF(J257&lt;0.5,0,J257*(1+N('My Loans'!D12)/1200))</f>
        <v/>
      </c>
      <c r="U257" s="24">
        <f>IF(K257&lt;0.5,0,K257*(1+N('My Loans'!D13)/1200))</f>
        <v/>
      </c>
      <c r="V257" s="24">
        <f>IF(L257&lt;0.5,0,L257*(1+N('My Loans'!D14)/1200))</f>
        <v/>
      </c>
      <c r="W257" s="24">
        <f>IF(M257&lt;0.5,0,M257*(1+N('My Loans'!D15)/1200))</f>
        <v/>
      </c>
      <c r="X257" s="24">
        <f>MIN(N257,N('My Loans'!E6))</f>
        <v/>
      </c>
      <c r="Y257" s="24">
        <f>MIN(O257,N('My Loans'!E7))</f>
        <v/>
      </c>
      <c r="Z257" s="24">
        <f>MIN(P257,N('My Loans'!E8))</f>
        <v/>
      </c>
      <c r="AA257" s="24">
        <f>MIN(Q257,N('My Loans'!E9))</f>
        <v/>
      </c>
      <c r="AB257" s="24">
        <f>MIN(R257,N('My Loans'!E10))</f>
        <v/>
      </c>
      <c r="AC257" s="24">
        <f>MIN(S257,N('My Loans'!E11))</f>
        <v/>
      </c>
      <c r="AD257" s="24">
        <f>MIN(T257,N('My Loans'!E12))</f>
        <v/>
      </c>
      <c r="AE257" s="24">
        <f>MIN(U257,N('My Loans'!E13))</f>
        <v/>
      </c>
      <c r="AF257" s="24">
        <f>MIN(V257,N('My Loans'!E14))</f>
        <v/>
      </c>
      <c r="AG257" s="24">
        <f>MIN(W257,N('My Loans'!E15))</f>
        <v/>
      </c>
      <c r="AH257" s="24">
        <f>MIN(N257-X257,MAX(0,$C257-SUMPRODUCT(($D$3:$M$3&lt;D$3)*($N257:$W257-$X257:$AG257))))</f>
        <v/>
      </c>
      <c r="AI257" s="24">
        <f>MIN(O257-Y257,MAX(0,$C257-SUMPRODUCT(($D$3:$M$3&lt;E$3)*($N257:$W257-$X257:$AG257))))</f>
        <v/>
      </c>
      <c r="AJ257" s="24">
        <f>MIN(P257-Z257,MAX(0,$C257-SUMPRODUCT(($D$3:$M$3&lt;F$3)*($N257:$W257-$X257:$AG257))))</f>
        <v/>
      </c>
      <c r="AK257" s="24">
        <f>MIN(Q257-AA257,MAX(0,$C257-SUMPRODUCT(($D$3:$M$3&lt;G$3)*($N257:$W257-$X257:$AG257))))</f>
        <v/>
      </c>
      <c r="AL257" s="24">
        <f>MIN(R257-AB257,MAX(0,$C257-SUMPRODUCT(($D$3:$M$3&lt;H$3)*($N257:$W257-$X257:$AG257))))</f>
        <v/>
      </c>
      <c r="AM257" s="24">
        <f>MIN(S257-AC257,MAX(0,$C257-SUMPRODUCT(($D$3:$M$3&lt;I$3)*($N257:$W257-$X257:$AG257))))</f>
        <v/>
      </c>
      <c r="AN257" s="24">
        <f>MIN(T257-AD257,MAX(0,$C257-SUMPRODUCT(($D$3:$M$3&lt;J$3)*($N257:$W257-$X257:$AG257))))</f>
        <v/>
      </c>
      <c r="AO257" s="24">
        <f>MIN(U257-AE257,MAX(0,$C257-SUMPRODUCT(($D$3:$M$3&lt;K$3)*($N257:$W257-$X257:$AG257))))</f>
        <v/>
      </c>
      <c r="AP257" s="24">
        <f>MIN(V257-AF257,MAX(0,$C257-SUMPRODUCT(($D$3:$M$3&lt;L$3)*($N257:$W257-$X257:$AG257))))</f>
        <v/>
      </c>
      <c r="AQ257" s="24">
        <f>MIN(W257-AG257,MAX(0,$C257-SUMPRODUCT(($D$3:$M$3&lt;M$3)*($N257:$W257-$X257:$AG257))))</f>
        <v/>
      </c>
      <c r="AR257" s="24">
        <f>ROUND(N257-X257-AH257,2)</f>
        <v/>
      </c>
      <c r="AS257" s="24">
        <f>ROUND(O257-Y257-AI257,2)</f>
        <v/>
      </c>
      <c r="AT257" s="24">
        <f>ROUND(P257-Z257-AJ257,2)</f>
        <v/>
      </c>
      <c r="AU257" s="24">
        <f>ROUND(Q257-AA257-AK257,2)</f>
        <v/>
      </c>
      <c r="AV257" s="24">
        <f>ROUND(R257-AB257-AL257,2)</f>
        <v/>
      </c>
      <c r="AW257" s="24">
        <f>ROUND(S257-AC257-AM257,2)</f>
        <v/>
      </c>
      <c r="AX257" s="24">
        <f>ROUND(T257-AD257-AN257,2)</f>
        <v/>
      </c>
      <c r="AY257" s="24">
        <f>ROUND(U257-AE257-AO257,2)</f>
        <v/>
      </c>
      <c r="AZ257" s="24">
        <f>ROUND(V257-AF257-AP257,2)</f>
        <v/>
      </c>
      <c r="BA257" s="24">
        <f>ROUND(W257-AG257-AQ257,2)</f>
        <v/>
      </c>
      <c r="BB257" s="24">
        <f>SUM(AR257:BA257)</f>
        <v/>
      </c>
    </row>
    <row r="258">
      <c r="A258" t="n">
        <v>254</v>
      </c>
      <c r="B258" s="23">
        <f>EOMONTH(TODAY(),253)</f>
        <v/>
      </c>
      <c r="C258" s="24">
        <f>MAX(0,(SUM('My Loans'!$E$6:$E$15)+'My Loans'!$D$3)-SUM($X258:$AG258))</f>
        <v/>
      </c>
      <c r="D258" s="24">
        <f>MAX(0,AR257)</f>
        <v/>
      </c>
      <c r="E258" s="24">
        <f>MAX(0,AS257)</f>
        <v/>
      </c>
      <c r="F258" s="24">
        <f>MAX(0,AT257)</f>
        <v/>
      </c>
      <c r="G258" s="24">
        <f>MAX(0,AU257)</f>
        <v/>
      </c>
      <c r="H258" s="24">
        <f>MAX(0,AV257)</f>
        <v/>
      </c>
      <c r="I258" s="24">
        <f>MAX(0,AW257)</f>
        <v/>
      </c>
      <c r="J258" s="24">
        <f>MAX(0,AX257)</f>
        <v/>
      </c>
      <c r="K258" s="24">
        <f>MAX(0,AY257)</f>
        <v/>
      </c>
      <c r="L258" s="24">
        <f>MAX(0,AZ257)</f>
        <v/>
      </c>
      <c r="M258" s="24">
        <f>MAX(0,BA257)</f>
        <v/>
      </c>
      <c r="N258" s="24">
        <f>IF(D258&lt;0.5,0,D258*(1+N('My Loans'!D6)/1200))</f>
        <v/>
      </c>
      <c r="O258" s="24">
        <f>IF(E258&lt;0.5,0,E258*(1+N('My Loans'!D7)/1200))</f>
        <v/>
      </c>
      <c r="P258" s="24">
        <f>IF(F258&lt;0.5,0,F258*(1+N('My Loans'!D8)/1200))</f>
        <v/>
      </c>
      <c r="Q258" s="24">
        <f>IF(G258&lt;0.5,0,G258*(1+N('My Loans'!D9)/1200))</f>
        <v/>
      </c>
      <c r="R258" s="24">
        <f>IF(H258&lt;0.5,0,H258*(1+N('My Loans'!D10)/1200))</f>
        <v/>
      </c>
      <c r="S258" s="24">
        <f>IF(I258&lt;0.5,0,I258*(1+N('My Loans'!D11)/1200))</f>
        <v/>
      </c>
      <c r="T258" s="24">
        <f>IF(J258&lt;0.5,0,J258*(1+N('My Loans'!D12)/1200))</f>
        <v/>
      </c>
      <c r="U258" s="24">
        <f>IF(K258&lt;0.5,0,K258*(1+N('My Loans'!D13)/1200))</f>
        <v/>
      </c>
      <c r="V258" s="24">
        <f>IF(L258&lt;0.5,0,L258*(1+N('My Loans'!D14)/1200))</f>
        <v/>
      </c>
      <c r="W258" s="24">
        <f>IF(M258&lt;0.5,0,M258*(1+N('My Loans'!D15)/1200))</f>
        <v/>
      </c>
      <c r="X258" s="24">
        <f>MIN(N258,N('My Loans'!E6))</f>
        <v/>
      </c>
      <c r="Y258" s="24">
        <f>MIN(O258,N('My Loans'!E7))</f>
        <v/>
      </c>
      <c r="Z258" s="24">
        <f>MIN(P258,N('My Loans'!E8))</f>
        <v/>
      </c>
      <c r="AA258" s="24">
        <f>MIN(Q258,N('My Loans'!E9))</f>
        <v/>
      </c>
      <c r="AB258" s="24">
        <f>MIN(R258,N('My Loans'!E10))</f>
        <v/>
      </c>
      <c r="AC258" s="24">
        <f>MIN(S258,N('My Loans'!E11))</f>
        <v/>
      </c>
      <c r="AD258" s="24">
        <f>MIN(T258,N('My Loans'!E12))</f>
        <v/>
      </c>
      <c r="AE258" s="24">
        <f>MIN(U258,N('My Loans'!E13))</f>
        <v/>
      </c>
      <c r="AF258" s="24">
        <f>MIN(V258,N('My Loans'!E14))</f>
        <v/>
      </c>
      <c r="AG258" s="24">
        <f>MIN(W258,N('My Loans'!E15))</f>
        <v/>
      </c>
      <c r="AH258" s="24">
        <f>MIN(N258-X258,MAX(0,$C258-SUMPRODUCT(($D$3:$M$3&lt;D$3)*($N258:$W258-$X258:$AG258))))</f>
        <v/>
      </c>
      <c r="AI258" s="24">
        <f>MIN(O258-Y258,MAX(0,$C258-SUMPRODUCT(($D$3:$M$3&lt;E$3)*($N258:$W258-$X258:$AG258))))</f>
        <v/>
      </c>
      <c r="AJ258" s="24">
        <f>MIN(P258-Z258,MAX(0,$C258-SUMPRODUCT(($D$3:$M$3&lt;F$3)*($N258:$W258-$X258:$AG258))))</f>
        <v/>
      </c>
      <c r="AK258" s="24">
        <f>MIN(Q258-AA258,MAX(0,$C258-SUMPRODUCT(($D$3:$M$3&lt;G$3)*($N258:$W258-$X258:$AG258))))</f>
        <v/>
      </c>
      <c r="AL258" s="24">
        <f>MIN(R258-AB258,MAX(0,$C258-SUMPRODUCT(($D$3:$M$3&lt;H$3)*($N258:$W258-$X258:$AG258))))</f>
        <v/>
      </c>
      <c r="AM258" s="24">
        <f>MIN(S258-AC258,MAX(0,$C258-SUMPRODUCT(($D$3:$M$3&lt;I$3)*($N258:$W258-$X258:$AG258))))</f>
        <v/>
      </c>
      <c r="AN258" s="24">
        <f>MIN(T258-AD258,MAX(0,$C258-SUMPRODUCT(($D$3:$M$3&lt;J$3)*($N258:$W258-$X258:$AG258))))</f>
        <v/>
      </c>
      <c r="AO258" s="24">
        <f>MIN(U258-AE258,MAX(0,$C258-SUMPRODUCT(($D$3:$M$3&lt;K$3)*($N258:$W258-$X258:$AG258))))</f>
        <v/>
      </c>
      <c r="AP258" s="24">
        <f>MIN(V258-AF258,MAX(0,$C258-SUMPRODUCT(($D$3:$M$3&lt;L$3)*($N258:$W258-$X258:$AG258))))</f>
        <v/>
      </c>
      <c r="AQ258" s="24">
        <f>MIN(W258-AG258,MAX(0,$C258-SUMPRODUCT(($D$3:$M$3&lt;M$3)*($N258:$W258-$X258:$AG258))))</f>
        <v/>
      </c>
      <c r="AR258" s="24">
        <f>ROUND(N258-X258-AH258,2)</f>
        <v/>
      </c>
      <c r="AS258" s="24">
        <f>ROUND(O258-Y258-AI258,2)</f>
        <v/>
      </c>
      <c r="AT258" s="24">
        <f>ROUND(P258-Z258-AJ258,2)</f>
        <v/>
      </c>
      <c r="AU258" s="24">
        <f>ROUND(Q258-AA258-AK258,2)</f>
        <v/>
      </c>
      <c r="AV258" s="24">
        <f>ROUND(R258-AB258-AL258,2)</f>
        <v/>
      </c>
      <c r="AW258" s="24">
        <f>ROUND(S258-AC258-AM258,2)</f>
        <v/>
      </c>
      <c r="AX258" s="24">
        <f>ROUND(T258-AD258-AN258,2)</f>
        <v/>
      </c>
      <c r="AY258" s="24">
        <f>ROUND(U258-AE258-AO258,2)</f>
        <v/>
      </c>
      <c r="AZ258" s="24">
        <f>ROUND(V258-AF258-AP258,2)</f>
        <v/>
      </c>
      <c r="BA258" s="24">
        <f>ROUND(W258-AG258-AQ258,2)</f>
        <v/>
      </c>
      <c r="BB258" s="24">
        <f>SUM(AR258:BA258)</f>
        <v/>
      </c>
    </row>
    <row r="259">
      <c r="A259" t="n">
        <v>255</v>
      </c>
      <c r="B259" s="23">
        <f>EOMONTH(TODAY(),254)</f>
        <v/>
      </c>
      <c r="C259" s="24">
        <f>MAX(0,(SUM('My Loans'!$E$6:$E$15)+'My Loans'!$D$3)-SUM($X259:$AG259))</f>
        <v/>
      </c>
      <c r="D259" s="24">
        <f>MAX(0,AR258)</f>
        <v/>
      </c>
      <c r="E259" s="24">
        <f>MAX(0,AS258)</f>
        <v/>
      </c>
      <c r="F259" s="24">
        <f>MAX(0,AT258)</f>
        <v/>
      </c>
      <c r="G259" s="24">
        <f>MAX(0,AU258)</f>
        <v/>
      </c>
      <c r="H259" s="24">
        <f>MAX(0,AV258)</f>
        <v/>
      </c>
      <c r="I259" s="24">
        <f>MAX(0,AW258)</f>
        <v/>
      </c>
      <c r="J259" s="24">
        <f>MAX(0,AX258)</f>
        <v/>
      </c>
      <c r="K259" s="24">
        <f>MAX(0,AY258)</f>
        <v/>
      </c>
      <c r="L259" s="24">
        <f>MAX(0,AZ258)</f>
        <v/>
      </c>
      <c r="M259" s="24">
        <f>MAX(0,BA258)</f>
        <v/>
      </c>
      <c r="N259" s="24">
        <f>IF(D259&lt;0.5,0,D259*(1+N('My Loans'!D6)/1200))</f>
        <v/>
      </c>
      <c r="O259" s="24">
        <f>IF(E259&lt;0.5,0,E259*(1+N('My Loans'!D7)/1200))</f>
        <v/>
      </c>
      <c r="P259" s="24">
        <f>IF(F259&lt;0.5,0,F259*(1+N('My Loans'!D8)/1200))</f>
        <v/>
      </c>
      <c r="Q259" s="24">
        <f>IF(G259&lt;0.5,0,G259*(1+N('My Loans'!D9)/1200))</f>
        <v/>
      </c>
      <c r="R259" s="24">
        <f>IF(H259&lt;0.5,0,H259*(1+N('My Loans'!D10)/1200))</f>
        <v/>
      </c>
      <c r="S259" s="24">
        <f>IF(I259&lt;0.5,0,I259*(1+N('My Loans'!D11)/1200))</f>
        <v/>
      </c>
      <c r="T259" s="24">
        <f>IF(J259&lt;0.5,0,J259*(1+N('My Loans'!D12)/1200))</f>
        <v/>
      </c>
      <c r="U259" s="24">
        <f>IF(K259&lt;0.5,0,K259*(1+N('My Loans'!D13)/1200))</f>
        <v/>
      </c>
      <c r="V259" s="24">
        <f>IF(L259&lt;0.5,0,L259*(1+N('My Loans'!D14)/1200))</f>
        <v/>
      </c>
      <c r="W259" s="24">
        <f>IF(M259&lt;0.5,0,M259*(1+N('My Loans'!D15)/1200))</f>
        <v/>
      </c>
      <c r="X259" s="24">
        <f>MIN(N259,N('My Loans'!E6))</f>
        <v/>
      </c>
      <c r="Y259" s="24">
        <f>MIN(O259,N('My Loans'!E7))</f>
        <v/>
      </c>
      <c r="Z259" s="24">
        <f>MIN(P259,N('My Loans'!E8))</f>
        <v/>
      </c>
      <c r="AA259" s="24">
        <f>MIN(Q259,N('My Loans'!E9))</f>
        <v/>
      </c>
      <c r="AB259" s="24">
        <f>MIN(R259,N('My Loans'!E10))</f>
        <v/>
      </c>
      <c r="AC259" s="24">
        <f>MIN(S259,N('My Loans'!E11))</f>
        <v/>
      </c>
      <c r="AD259" s="24">
        <f>MIN(T259,N('My Loans'!E12))</f>
        <v/>
      </c>
      <c r="AE259" s="24">
        <f>MIN(U259,N('My Loans'!E13))</f>
        <v/>
      </c>
      <c r="AF259" s="24">
        <f>MIN(V259,N('My Loans'!E14))</f>
        <v/>
      </c>
      <c r="AG259" s="24">
        <f>MIN(W259,N('My Loans'!E15))</f>
        <v/>
      </c>
      <c r="AH259" s="24">
        <f>MIN(N259-X259,MAX(0,$C259-SUMPRODUCT(($D$3:$M$3&lt;D$3)*($N259:$W259-$X259:$AG259))))</f>
        <v/>
      </c>
      <c r="AI259" s="24">
        <f>MIN(O259-Y259,MAX(0,$C259-SUMPRODUCT(($D$3:$M$3&lt;E$3)*($N259:$W259-$X259:$AG259))))</f>
        <v/>
      </c>
      <c r="AJ259" s="24">
        <f>MIN(P259-Z259,MAX(0,$C259-SUMPRODUCT(($D$3:$M$3&lt;F$3)*($N259:$W259-$X259:$AG259))))</f>
        <v/>
      </c>
      <c r="AK259" s="24">
        <f>MIN(Q259-AA259,MAX(0,$C259-SUMPRODUCT(($D$3:$M$3&lt;G$3)*($N259:$W259-$X259:$AG259))))</f>
        <v/>
      </c>
      <c r="AL259" s="24">
        <f>MIN(R259-AB259,MAX(0,$C259-SUMPRODUCT(($D$3:$M$3&lt;H$3)*($N259:$W259-$X259:$AG259))))</f>
        <v/>
      </c>
      <c r="AM259" s="24">
        <f>MIN(S259-AC259,MAX(0,$C259-SUMPRODUCT(($D$3:$M$3&lt;I$3)*($N259:$W259-$X259:$AG259))))</f>
        <v/>
      </c>
      <c r="AN259" s="24">
        <f>MIN(T259-AD259,MAX(0,$C259-SUMPRODUCT(($D$3:$M$3&lt;J$3)*($N259:$W259-$X259:$AG259))))</f>
        <v/>
      </c>
      <c r="AO259" s="24">
        <f>MIN(U259-AE259,MAX(0,$C259-SUMPRODUCT(($D$3:$M$3&lt;K$3)*($N259:$W259-$X259:$AG259))))</f>
        <v/>
      </c>
      <c r="AP259" s="24">
        <f>MIN(V259-AF259,MAX(0,$C259-SUMPRODUCT(($D$3:$M$3&lt;L$3)*($N259:$W259-$X259:$AG259))))</f>
        <v/>
      </c>
      <c r="AQ259" s="24">
        <f>MIN(W259-AG259,MAX(0,$C259-SUMPRODUCT(($D$3:$M$3&lt;M$3)*($N259:$W259-$X259:$AG259))))</f>
        <v/>
      </c>
      <c r="AR259" s="24">
        <f>ROUND(N259-X259-AH259,2)</f>
        <v/>
      </c>
      <c r="AS259" s="24">
        <f>ROUND(O259-Y259-AI259,2)</f>
        <v/>
      </c>
      <c r="AT259" s="24">
        <f>ROUND(P259-Z259-AJ259,2)</f>
        <v/>
      </c>
      <c r="AU259" s="24">
        <f>ROUND(Q259-AA259-AK259,2)</f>
        <v/>
      </c>
      <c r="AV259" s="24">
        <f>ROUND(R259-AB259-AL259,2)</f>
        <v/>
      </c>
      <c r="AW259" s="24">
        <f>ROUND(S259-AC259-AM259,2)</f>
        <v/>
      </c>
      <c r="AX259" s="24">
        <f>ROUND(T259-AD259-AN259,2)</f>
        <v/>
      </c>
      <c r="AY259" s="24">
        <f>ROUND(U259-AE259-AO259,2)</f>
        <v/>
      </c>
      <c r="AZ259" s="24">
        <f>ROUND(V259-AF259-AP259,2)</f>
        <v/>
      </c>
      <c r="BA259" s="24">
        <f>ROUND(W259-AG259-AQ259,2)</f>
        <v/>
      </c>
      <c r="BB259" s="24">
        <f>SUM(AR259:BA259)</f>
        <v/>
      </c>
    </row>
    <row r="260">
      <c r="A260" t="n">
        <v>256</v>
      </c>
      <c r="B260" s="23">
        <f>EOMONTH(TODAY(),255)</f>
        <v/>
      </c>
      <c r="C260" s="24">
        <f>MAX(0,(SUM('My Loans'!$E$6:$E$15)+'My Loans'!$D$3)-SUM($X260:$AG260))</f>
        <v/>
      </c>
      <c r="D260" s="24">
        <f>MAX(0,AR259)</f>
        <v/>
      </c>
      <c r="E260" s="24">
        <f>MAX(0,AS259)</f>
        <v/>
      </c>
      <c r="F260" s="24">
        <f>MAX(0,AT259)</f>
        <v/>
      </c>
      <c r="G260" s="24">
        <f>MAX(0,AU259)</f>
        <v/>
      </c>
      <c r="H260" s="24">
        <f>MAX(0,AV259)</f>
        <v/>
      </c>
      <c r="I260" s="24">
        <f>MAX(0,AW259)</f>
        <v/>
      </c>
      <c r="J260" s="24">
        <f>MAX(0,AX259)</f>
        <v/>
      </c>
      <c r="K260" s="24">
        <f>MAX(0,AY259)</f>
        <v/>
      </c>
      <c r="L260" s="24">
        <f>MAX(0,AZ259)</f>
        <v/>
      </c>
      <c r="M260" s="24">
        <f>MAX(0,BA259)</f>
        <v/>
      </c>
      <c r="N260" s="24">
        <f>IF(D260&lt;0.5,0,D260*(1+N('My Loans'!D6)/1200))</f>
        <v/>
      </c>
      <c r="O260" s="24">
        <f>IF(E260&lt;0.5,0,E260*(1+N('My Loans'!D7)/1200))</f>
        <v/>
      </c>
      <c r="P260" s="24">
        <f>IF(F260&lt;0.5,0,F260*(1+N('My Loans'!D8)/1200))</f>
        <v/>
      </c>
      <c r="Q260" s="24">
        <f>IF(G260&lt;0.5,0,G260*(1+N('My Loans'!D9)/1200))</f>
        <v/>
      </c>
      <c r="R260" s="24">
        <f>IF(H260&lt;0.5,0,H260*(1+N('My Loans'!D10)/1200))</f>
        <v/>
      </c>
      <c r="S260" s="24">
        <f>IF(I260&lt;0.5,0,I260*(1+N('My Loans'!D11)/1200))</f>
        <v/>
      </c>
      <c r="T260" s="24">
        <f>IF(J260&lt;0.5,0,J260*(1+N('My Loans'!D12)/1200))</f>
        <v/>
      </c>
      <c r="U260" s="24">
        <f>IF(K260&lt;0.5,0,K260*(1+N('My Loans'!D13)/1200))</f>
        <v/>
      </c>
      <c r="V260" s="24">
        <f>IF(L260&lt;0.5,0,L260*(1+N('My Loans'!D14)/1200))</f>
        <v/>
      </c>
      <c r="W260" s="24">
        <f>IF(M260&lt;0.5,0,M260*(1+N('My Loans'!D15)/1200))</f>
        <v/>
      </c>
      <c r="X260" s="24">
        <f>MIN(N260,N('My Loans'!E6))</f>
        <v/>
      </c>
      <c r="Y260" s="24">
        <f>MIN(O260,N('My Loans'!E7))</f>
        <v/>
      </c>
      <c r="Z260" s="24">
        <f>MIN(P260,N('My Loans'!E8))</f>
        <v/>
      </c>
      <c r="AA260" s="24">
        <f>MIN(Q260,N('My Loans'!E9))</f>
        <v/>
      </c>
      <c r="AB260" s="24">
        <f>MIN(R260,N('My Loans'!E10))</f>
        <v/>
      </c>
      <c r="AC260" s="24">
        <f>MIN(S260,N('My Loans'!E11))</f>
        <v/>
      </c>
      <c r="AD260" s="24">
        <f>MIN(T260,N('My Loans'!E12))</f>
        <v/>
      </c>
      <c r="AE260" s="24">
        <f>MIN(U260,N('My Loans'!E13))</f>
        <v/>
      </c>
      <c r="AF260" s="24">
        <f>MIN(V260,N('My Loans'!E14))</f>
        <v/>
      </c>
      <c r="AG260" s="24">
        <f>MIN(W260,N('My Loans'!E15))</f>
        <v/>
      </c>
      <c r="AH260" s="24">
        <f>MIN(N260-X260,MAX(0,$C260-SUMPRODUCT(($D$3:$M$3&lt;D$3)*($N260:$W260-$X260:$AG260))))</f>
        <v/>
      </c>
      <c r="AI260" s="24">
        <f>MIN(O260-Y260,MAX(0,$C260-SUMPRODUCT(($D$3:$M$3&lt;E$3)*($N260:$W260-$X260:$AG260))))</f>
        <v/>
      </c>
      <c r="AJ260" s="24">
        <f>MIN(P260-Z260,MAX(0,$C260-SUMPRODUCT(($D$3:$M$3&lt;F$3)*($N260:$W260-$X260:$AG260))))</f>
        <v/>
      </c>
      <c r="AK260" s="24">
        <f>MIN(Q260-AA260,MAX(0,$C260-SUMPRODUCT(($D$3:$M$3&lt;G$3)*($N260:$W260-$X260:$AG260))))</f>
        <v/>
      </c>
      <c r="AL260" s="24">
        <f>MIN(R260-AB260,MAX(0,$C260-SUMPRODUCT(($D$3:$M$3&lt;H$3)*($N260:$W260-$X260:$AG260))))</f>
        <v/>
      </c>
      <c r="AM260" s="24">
        <f>MIN(S260-AC260,MAX(0,$C260-SUMPRODUCT(($D$3:$M$3&lt;I$3)*($N260:$W260-$X260:$AG260))))</f>
        <v/>
      </c>
      <c r="AN260" s="24">
        <f>MIN(T260-AD260,MAX(0,$C260-SUMPRODUCT(($D$3:$M$3&lt;J$3)*($N260:$W260-$X260:$AG260))))</f>
        <v/>
      </c>
      <c r="AO260" s="24">
        <f>MIN(U260-AE260,MAX(0,$C260-SUMPRODUCT(($D$3:$M$3&lt;K$3)*($N260:$W260-$X260:$AG260))))</f>
        <v/>
      </c>
      <c r="AP260" s="24">
        <f>MIN(V260-AF260,MAX(0,$C260-SUMPRODUCT(($D$3:$M$3&lt;L$3)*($N260:$W260-$X260:$AG260))))</f>
        <v/>
      </c>
      <c r="AQ260" s="24">
        <f>MIN(W260-AG260,MAX(0,$C260-SUMPRODUCT(($D$3:$M$3&lt;M$3)*($N260:$W260-$X260:$AG260))))</f>
        <v/>
      </c>
      <c r="AR260" s="24">
        <f>ROUND(N260-X260-AH260,2)</f>
        <v/>
      </c>
      <c r="AS260" s="24">
        <f>ROUND(O260-Y260-AI260,2)</f>
        <v/>
      </c>
      <c r="AT260" s="24">
        <f>ROUND(P260-Z260-AJ260,2)</f>
        <v/>
      </c>
      <c r="AU260" s="24">
        <f>ROUND(Q260-AA260-AK260,2)</f>
        <v/>
      </c>
      <c r="AV260" s="24">
        <f>ROUND(R260-AB260-AL260,2)</f>
        <v/>
      </c>
      <c r="AW260" s="24">
        <f>ROUND(S260-AC260-AM260,2)</f>
        <v/>
      </c>
      <c r="AX260" s="24">
        <f>ROUND(T260-AD260-AN260,2)</f>
        <v/>
      </c>
      <c r="AY260" s="24">
        <f>ROUND(U260-AE260-AO260,2)</f>
        <v/>
      </c>
      <c r="AZ260" s="24">
        <f>ROUND(V260-AF260-AP260,2)</f>
        <v/>
      </c>
      <c r="BA260" s="24">
        <f>ROUND(W260-AG260-AQ260,2)</f>
        <v/>
      </c>
      <c r="BB260" s="24">
        <f>SUM(AR260:BA260)</f>
        <v/>
      </c>
    </row>
    <row r="261">
      <c r="A261" t="n">
        <v>257</v>
      </c>
      <c r="B261" s="23">
        <f>EOMONTH(TODAY(),256)</f>
        <v/>
      </c>
      <c r="C261" s="24">
        <f>MAX(0,(SUM('My Loans'!$E$6:$E$15)+'My Loans'!$D$3)-SUM($X261:$AG261))</f>
        <v/>
      </c>
      <c r="D261" s="24">
        <f>MAX(0,AR260)</f>
        <v/>
      </c>
      <c r="E261" s="24">
        <f>MAX(0,AS260)</f>
        <v/>
      </c>
      <c r="F261" s="24">
        <f>MAX(0,AT260)</f>
        <v/>
      </c>
      <c r="G261" s="24">
        <f>MAX(0,AU260)</f>
        <v/>
      </c>
      <c r="H261" s="24">
        <f>MAX(0,AV260)</f>
        <v/>
      </c>
      <c r="I261" s="24">
        <f>MAX(0,AW260)</f>
        <v/>
      </c>
      <c r="J261" s="24">
        <f>MAX(0,AX260)</f>
        <v/>
      </c>
      <c r="K261" s="24">
        <f>MAX(0,AY260)</f>
        <v/>
      </c>
      <c r="L261" s="24">
        <f>MAX(0,AZ260)</f>
        <v/>
      </c>
      <c r="M261" s="24">
        <f>MAX(0,BA260)</f>
        <v/>
      </c>
      <c r="N261" s="24">
        <f>IF(D261&lt;0.5,0,D261*(1+N('My Loans'!D6)/1200))</f>
        <v/>
      </c>
      <c r="O261" s="24">
        <f>IF(E261&lt;0.5,0,E261*(1+N('My Loans'!D7)/1200))</f>
        <v/>
      </c>
      <c r="P261" s="24">
        <f>IF(F261&lt;0.5,0,F261*(1+N('My Loans'!D8)/1200))</f>
        <v/>
      </c>
      <c r="Q261" s="24">
        <f>IF(G261&lt;0.5,0,G261*(1+N('My Loans'!D9)/1200))</f>
        <v/>
      </c>
      <c r="R261" s="24">
        <f>IF(H261&lt;0.5,0,H261*(1+N('My Loans'!D10)/1200))</f>
        <v/>
      </c>
      <c r="S261" s="24">
        <f>IF(I261&lt;0.5,0,I261*(1+N('My Loans'!D11)/1200))</f>
        <v/>
      </c>
      <c r="T261" s="24">
        <f>IF(J261&lt;0.5,0,J261*(1+N('My Loans'!D12)/1200))</f>
        <v/>
      </c>
      <c r="U261" s="24">
        <f>IF(K261&lt;0.5,0,K261*(1+N('My Loans'!D13)/1200))</f>
        <v/>
      </c>
      <c r="V261" s="24">
        <f>IF(L261&lt;0.5,0,L261*(1+N('My Loans'!D14)/1200))</f>
        <v/>
      </c>
      <c r="W261" s="24">
        <f>IF(M261&lt;0.5,0,M261*(1+N('My Loans'!D15)/1200))</f>
        <v/>
      </c>
      <c r="X261" s="24">
        <f>MIN(N261,N('My Loans'!E6))</f>
        <v/>
      </c>
      <c r="Y261" s="24">
        <f>MIN(O261,N('My Loans'!E7))</f>
        <v/>
      </c>
      <c r="Z261" s="24">
        <f>MIN(P261,N('My Loans'!E8))</f>
        <v/>
      </c>
      <c r="AA261" s="24">
        <f>MIN(Q261,N('My Loans'!E9))</f>
        <v/>
      </c>
      <c r="AB261" s="24">
        <f>MIN(R261,N('My Loans'!E10))</f>
        <v/>
      </c>
      <c r="AC261" s="24">
        <f>MIN(S261,N('My Loans'!E11))</f>
        <v/>
      </c>
      <c r="AD261" s="24">
        <f>MIN(T261,N('My Loans'!E12))</f>
        <v/>
      </c>
      <c r="AE261" s="24">
        <f>MIN(U261,N('My Loans'!E13))</f>
        <v/>
      </c>
      <c r="AF261" s="24">
        <f>MIN(V261,N('My Loans'!E14))</f>
        <v/>
      </c>
      <c r="AG261" s="24">
        <f>MIN(W261,N('My Loans'!E15))</f>
        <v/>
      </c>
      <c r="AH261" s="24">
        <f>MIN(N261-X261,MAX(0,$C261-SUMPRODUCT(($D$3:$M$3&lt;D$3)*($N261:$W261-$X261:$AG261))))</f>
        <v/>
      </c>
      <c r="AI261" s="24">
        <f>MIN(O261-Y261,MAX(0,$C261-SUMPRODUCT(($D$3:$M$3&lt;E$3)*($N261:$W261-$X261:$AG261))))</f>
        <v/>
      </c>
      <c r="AJ261" s="24">
        <f>MIN(P261-Z261,MAX(0,$C261-SUMPRODUCT(($D$3:$M$3&lt;F$3)*($N261:$W261-$X261:$AG261))))</f>
        <v/>
      </c>
      <c r="AK261" s="24">
        <f>MIN(Q261-AA261,MAX(0,$C261-SUMPRODUCT(($D$3:$M$3&lt;G$3)*($N261:$W261-$X261:$AG261))))</f>
        <v/>
      </c>
      <c r="AL261" s="24">
        <f>MIN(R261-AB261,MAX(0,$C261-SUMPRODUCT(($D$3:$M$3&lt;H$3)*($N261:$W261-$X261:$AG261))))</f>
        <v/>
      </c>
      <c r="AM261" s="24">
        <f>MIN(S261-AC261,MAX(0,$C261-SUMPRODUCT(($D$3:$M$3&lt;I$3)*($N261:$W261-$X261:$AG261))))</f>
        <v/>
      </c>
      <c r="AN261" s="24">
        <f>MIN(T261-AD261,MAX(0,$C261-SUMPRODUCT(($D$3:$M$3&lt;J$3)*($N261:$W261-$X261:$AG261))))</f>
        <v/>
      </c>
      <c r="AO261" s="24">
        <f>MIN(U261-AE261,MAX(0,$C261-SUMPRODUCT(($D$3:$M$3&lt;K$3)*($N261:$W261-$X261:$AG261))))</f>
        <v/>
      </c>
      <c r="AP261" s="24">
        <f>MIN(V261-AF261,MAX(0,$C261-SUMPRODUCT(($D$3:$M$3&lt;L$3)*($N261:$W261-$X261:$AG261))))</f>
        <v/>
      </c>
      <c r="AQ261" s="24">
        <f>MIN(W261-AG261,MAX(0,$C261-SUMPRODUCT(($D$3:$M$3&lt;M$3)*($N261:$W261-$X261:$AG261))))</f>
        <v/>
      </c>
      <c r="AR261" s="24">
        <f>ROUND(N261-X261-AH261,2)</f>
        <v/>
      </c>
      <c r="AS261" s="24">
        <f>ROUND(O261-Y261-AI261,2)</f>
        <v/>
      </c>
      <c r="AT261" s="24">
        <f>ROUND(P261-Z261-AJ261,2)</f>
        <v/>
      </c>
      <c r="AU261" s="24">
        <f>ROUND(Q261-AA261-AK261,2)</f>
        <v/>
      </c>
      <c r="AV261" s="24">
        <f>ROUND(R261-AB261-AL261,2)</f>
        <v/>
      </c>
      <c r="AW261" s="24">
        <f>ROUND(S261-AC261-AM261,2)</f>
        <v/>
      </c>
      <c r="AX261" s="24">
        <f>ROUND(T261-AD261-AN261,2)</f>
        <v/>
      </c>
      <c r="AY261" s="24">
        <f>ROUND(U261-AE261-AO261,2)</f>
        <v/>
      </c>
      <c r="AZ261" s="24">
        <f>ROUND(V261-AF261-AP261,2)</f>
        <v/>
      </c>
      <c r="BA261" s="24">
        <f>ROUND(W261-AG261-AQ261,2)</f>
        <v/>
      </c>
      <c r="BB261" s="24">
        <f>SUM(AR261:BA261)</f>
        <v/>
      </c>
    </row>
    <row r="262">
      <c r="A262" t="n">
        <v>258</v>
      </c>
      <c r="B262" s="23">
        <f>EOMONTH(TODAY(),257)</f>
        <v/>
      </c>
      <c r="C262" s="24">
        <f>MAX(0,(SUM('My Loans'!$E$6:$E$15)+'My Loans'!$D$3)-SUM($X262:$AG262))</f>
        <v/>
      </c>
      <c r="D262" s="24">
        <f>MAX(0,AR261)</f>
        <v/>
      </c>
      <c r="E262" s="24">
        <f>MAX(0,AS261)</f>
        <v/>
      </c>
      <c r="F262" s="24">
        <f>MAX(0,AT261)</f>
        <v/>
      </c>
      <c r="G262" s="24">
        <f>MAX(0,AU261)</f>
        <v/>
      </c>
      <c r="H262" s="24">
        <f>MAX(0,AV261)</f>
        <v/>
      </c>
      <c r="I262" s="24">
        <f>MAX(0,AW261)</f>
        <v/>
      </c>
      <c r="J262" s="24">
        <f>MAX(0,AX261)</f>
        <v/>
      </c>
      <c r="K262" s="24">
        <f>MAX(0,AY261)</f>
        <v/>
      </c>
      <c r="L262" s="24">
        <f>MAX(0,AZ261)</f>
        <v/>
      </c>
      <c r="M262" s="24">
        <f>MAX(0,BA261)</f>
        <v/>
      </c>
      <c r="N262" s="24">
        <f>IF(D262&lt;0.5,0,D262*(1+N('My Loans'!D6)/1200))</f>
        <v/>
      </c>
      <c r="O262" s="24">
        <f>IF(E262&lt;0.5,0,E262*(1+N('My Loans'!D7)/1200))</f>
        <v/>
      </c>
      <c r="P262" s="24">
        <f>IF(F262&lt;0.5,0,F262*(1+N('My Loans'!D8)/1200))</f>
        <v/>
      </c>
      <c r="Q262" s="24">
        <f>IF(G262&lt;0.5,0,G262*(1+N('My Loans'!D9)/1200))</f>
        <v/>
      </c>
      <c r="R262" s="24">
        <f>IF(H262&lt;0.5,0,H262*(1+N('My Loans'!D10)/1200))</f>
        <v/>
      </c>
      <c r="S262" s="24">
        <f>IF(I262&lt;0.5,0,I262*(1+N('My Loans'!D11)/1200))</f>
        <v/>
      </c>
      <c r="T262" s="24">
        <f>IF(J262&lt;0.5,0,J262*(1+N('My Loans'!D12)/1200))</f>
        <v/>
      </c>
      <c r="U262" s="24">
        <f>IF(K262&lt;0.5,0,K262*(1+N('My Loans'!D13)/1200))</f>
        <v/>
      </c>
      <c r="V262" s="24">
        <f>IF(L262&lt;0.5,0,L262*(1+N('My Loans'!D14)/1200))</f>
        <v/>
      </c>
      <c r="W262" s="24">
        <f>IF(M262&lt;0.5,0,M262*(1+N('My Loans'!D15)/1200))</f>
        <v/>
      </c>
      <c r="X262" s="24">
        <f>MIN(N262,N('My Loans'!E6))</f>
        <v/>
      </c>
      <c r="Y262" s="24">
        <f>MIN(O262,N('My Loans'!E7))</f>
        <v/>
      </c>
      <c r="Z262" s="24">
        <f>MIN(P262,N('My Loans'!E8))</f>
        <v/>
      </c>
      <c r="AA262" s="24">
        <f>MIN(Q262,N('My Loans'!E9))</f>
        <v/>
      </c>
      <c r="AB262" s="24">
        <f>MIN(R262,N('My Loans'!E10))</f>
        <v/>
      </c>
      <c r="AC262" s="24">
        <f>MIN(S262,N('My Loans'!E11))</f>
        <v/>
      </c>
      <c r="AD262" s="24">
        <f>MIN(T262,N('My Loans'!E12))</f>
        <v/>
      </c>
      <c r="AE262" s="24">
        <f>MIN(U262,N('My Loans'!E13))</f>
        <v/>
      </c>
      <c r="AF262" s="24">
        <f>MIN(V262,N('My Loans'!E14))</f>
        <v/>
      </c>
      <c r="AG262" s="24">
        <f>MIN(W262,N('My Loans'!E15))</f>
        <v/>
      </c>
      <c r="AH262" s="24">
        <f>MIN(N262-X262,MAX(0,$C262-SUMPRODUCT(($D$3:$M$3&lt;D$3)*($N262:$W262-$X262:$AG262))))</f>
        <v/>
      </c>
      <c r="AI262" s="24">
        <f>MIN(O262-Y262,MAX(0,$C262-SUMPRODUCT(($D$3:$M$3&lt;E$3)*($N262:$W262-$X262:$AG262))))</f>
        <v/>
      </c>
      <c r="AJ262" s="24">
        <f>MIN(P262-Z262,MAX(0,$C262-SUMPRODUCT(($D$3:$M$3&lt;F$3)*($N262:$W262-$X262:$AG262))))</f>
        <v/>
      </c>
      <c r="AK262" s="24">
        <f>MIN(Q262-AA262,MAX(0,$C262-SUMPRODUCT(($D$3:$M$3&lt;G$3)*($N262:$W262-$X262:$AG262))))</f>
        <v/>
      </c>
      <c r="AL262" s="24">
        <f>MIN(R262-AB262,MAX(0,$C262-SUMPRODUCT(($D$3:$M$3&lt;H$3)*($N262:$W262-$X262:$AG262))))</f>
        <v/>
      </c>
      <c r="AM262" s="24">
        <f>MIN(S262-AC262,MAX(0,$C262-SUMPRODUCT(($D$3:$M$3&lt;I$3)*($N262:$W262-$X262:$AG262))))</f>
        <v/>
      </c>
      <c r="AN262" s="24">
        <f>MIN(T262-AD262,MAX(0,$C262-SUMPRODUCT(($D$3:$M$3&lt;J$3)*($N262:$W262-$X262:$AG262))))</f>
        <v/>
      </c>
      <c r="AO262" s="24">
        <f>MIN(U262-AE262,MAX(0,$C262-SUMPRODUCT(($D$3:$M$3&lt;K$3)*($N262:$W262-$X262:$AG262))))</f>
        <v/>
      </c>
      <c r="AP262" s="24">
        <f>MIN(V262-AF262,MAX(0,$C262-SUMPRODUCT(($D$3:$M$3&lt;L$3)*($N262:$W262-$X262:$AG262))))</f>
        <v/>
      </c>
      <c r="AQ262" s="24">
        <f>MIN(W262-AG262,MAX(0,$C262-SUMPRODUCT(($D$3:$M$3&lt;M$3)*($N262:$W262-$X262:$AG262))))</f>
        <v/>
      </c>
      <c r="AR262" s="24">
        <f>ROUND(N262-X262-AH262,2)</f>
        <v/>
      </c>
      <c r="AS262" s="24">
        <f>ROUND(O262-Y262-AI262,2)</f>
        <v/>
      </c>
      <c r="AT262" s="24">
        <f>ROUND(P262-Z262-AJ262,2)</f>
        <v/>
      </c>
      <c r="AU262" s="24">
        <f>ROUND(Q262-AA262-AK262,2)</f>
        <v/>
      </c>
      <c r="AV262" s="24">
        <f>ROUND(R262-AB262-AL262,2)</f>
        <v/>
      </c>
      <c r="AW262" s="24">
        <f>ROUND(S262-AC262-AM262,2)</f>
        <v/>
      </c>
      <c r="AX262" s="24">
        <f>ROUND(T262-AD262-AN262,2)</f>
        <v/>
      </c>
      <c r="AY262" s="24">
        <f>ROUND(U262-AE262-AO262,2)</f>
        <v/>
      </c>
      <c r="AZ262" s="24">
        <f>ROUND(V262-AF262-AP262,2)</f>
        <v/>
      </c>
      <c r="BA262" s="24">
        <f>ROUND(W262-AG262-AQ262,2)</f>
        <v/>
      </c>
      <c r="BB262" s="24">
        <f>SUM(AR262:BA262)</f>
        <v/>
      </c>
    </row>
    <row r="263">
      <c r="A263" t="n">
        <v>259</v>
      </c>
      <c r="B263" s="23">
        <f>EOMONTH(TODAY(),258)</f>
        <v/>
      </c>
      <c r="C263" s="24">
        <f>MAX(0,(SUM('My Loans'!$E$6:$E$15)+'My Loans'!$D$3)-SUM($X263:$AG263))</f>
        <v/>
      </c>
      <c r="D263" s="24">
        <f>MAX(0,AR262)</f>
        <v/>
      </c>
      <c r="E263" s="24">
        <f>MAX(0,AS262)</f>
        <v/>
      </c>
      <c r="F263" s="24">
        <f>MAX(0,AT262)</f>
        <v/>
      </c>
      <c r="G263" s="24">
        <f>MAX(0,AU262)</f>
        <v/>
      </c>
      <c r="H263" s="24">
        <f>MAX(0,AV262)</f>
        <v/>
      </c>
      <c r="I263" s="24">
        <f>MAX(0,AW262)</f>
        <v/>
      </c>
      <c r="J263" s="24">
        <f>MAX(0,AX262)</f>
        <v/>
      </c>
      <c r="K263" s="24">
        <f>MAX(0,AY262)</f>
        <v/>
      </c>
      <c r="L263" s="24">
        <f>MAX(0,AZ262)</f>
        <v/>
      </c>
      <c r="M263" s="24">
        <f>MAX(0,BA262)</f>
        <v/>
      </c>
      <c r="N263" s="24">
        <f>IF(D263&lt;0.5,0,D263*(1+N('My Loans'!D6)/1200))</f>
        <v/>
      </c>
      <c r="O263" s="24">
        <f>IF(E263&lt;0.5,0,E263*(1+N('My Loans'!D7)/1200))</f>
        <v/>
      </c>
      <c r="P263" s="24">
        <f>IF(F263&lt;0.5,0,F263*(1+N('My Loans'!D8)/1200))</f>
        <v/>
      </c>
      <c r="Q263" s="24">
        <f>IF(G263&lt;0.5,0,G263*(1+N('My Loans'!D9)/1200))</f>
        <v/>
      </c>
      <c r="R263" s="24">
        <f>IF(H263&lt;0.5,0,H263*(1+N('My Loans'!D10)/1200))</f>
        <v/>
      </c>
      <c r="S263" s="24">
        <f>IF(I263&lt;0.5,0,I263*(1+N('My Loans'!D11)/1200))</f>
        <v/>
      </c>
      <c r="T263" s="24">
        <f>IF(J263&lt;0.5,0,J263*(1+N('My Loans'!D12)/1200))</f>
        <v/>
      </c>
      <c r="U263" s="24">
        <f>IF(K263&lt;0.5,0,K263*(1+N('My Loans'!D13)/1200))</f>
        <v/>
      </c>
      <c r="V263" s="24">
        <f>IF(L263&lt;0.5,0,L263*(1+N('My Loans'!D14)/1200))</f>
        <v/>
      </c>
      <c r="W263" s="24">
        <f>IF(M263&lt;0.5,0,M263*(1+N('My Loans'!D15)/1200))</f>
        <v/>
      </c>
      <c r="X263" s="24">
        <f>MIN(N263,N('My Loans'!E6))</f>
        <v/>
      </c>
      <c r="Y263" s="24">
        <f>MIN(O263,N('My Loans'!E7))</f>
        <v/>
      </c>
      <c r="Z263" s="24">
        <f>MIN(P263,N('My Loans'!E8))</f>
        <v/>
      </c>
      <c r="AA263" s="24">
        <f>MIN(Q263,N('My Loans'!E9))</f>
        <v/>
      </c>
      <c r="AB263" s="24">
        <f>MIN(R263,N('My Loans'!E10))</f>
        <v/>
      </c>
      <c r="AC263" s="24">
        <f>MIN(S263,N('My Loans'!E11))</f>
        <v/>
      </c>
      <c r="AD263" s="24">
        <f>MIN(T263,N('My Loans'!E12))</f>
        <v/>
      </c>
      <c r="AE263" s="24">
        <f>MIN(U263,N('My Loans'!E13))</f>
        <v/>
      </c>
      <c r="AF263" s="24">
        <f>MIN(V263,N('My Loans'!E14))</f>
        <v/>
      </c>
      <c r="AG263" s="24">
        <f>MIN(W263,N('My Loans'!E15))</f>
        <v/>
      </c>
      <c r="AH263" s="24">
        <f>MIN(N263-X263,MAX(0,$C263-SUMPRODUCT(($D$3:$M$3&lt;D$3)*($N263:$W263-$X263:$AG263))))</f>
        <v/>
      </c>
      <c r="AI263" s="24">
        <f>MIN(O263-Y263,MAX(0,$C263-SUMPRODUCT(($D$3:$M$3&lt;E$3)*($N263:$W263-$X263:$AG263))))</f>
        <v/>
      </c>
      <c r="AJ263" s="24">
        <f>MIN(P263-Z263,MAX(0,$C263-SUMPRODUCT(($D$3:$M$3&lt;F$3)*($N263:$W263-$X263:$AG263))))</f>
        <v/>
      </c>
      <c r="AK263" s="24">
        <f>MIN(Q263-AA263,MAX(0,$C263-SUMPRODUCT(($D$3:$M$3&lt;G$3)*($N263:$W263-$X263:$AG263))))</f>
        <v/>
      </c>
      <c r="AL263" s="24">
        <f>MIN(R263-AB263,MAX(0,$C263-SUMPRODUCT(($D$3:$M$3&lt;H$3)*($N263:$W263-$X263:$AG263))))</f>
        <v/>
      </c>
      <c r="AM263" s="24">
        <f>MIN(S263-AC263,MAX(0,$C263-SUMPRODUCT(($D$3:$M$3&lt;I$3)*($N263:$W263-$X263:$AG263))))</f>
        <v/>
      </c>
      <c r="AN263" s="24">
        <f>MIN(T263-AD263,MAX(0,$C263-SUMPRODUCT(($D$3:$M$3&lt;J$3)*($N263:$W263-$X263:$AG263))))</f>
        <v/>
      </c>
      <c r="AO263" s="24">
        <f>MIN(U263-AE263,MAX(0,$C263-SUMPRODUCT(($D$3:$M$3&lt;K$3)*($N263:$W263-$X263:$AG263))))</f>
        <v/>
      </c>
      <c r="AP263" s="24">
        <f>MIN(V263-AF263,MAX(0,$C263-SUMPRODUCT(($D$3:$M$3&lt;L$3)*($N263:$W263-$X263:$AG263))))</f>
        <v/>
      </c>
      <c r="AQ263" s="24">
        <f>MIN(W263-AG263,MAX(0,$C263-SUMPRODUCT(($D$3:$M$3&lt;M$3)*($N263:$W263-$X263:$AG263))))</f>
        <v/>
      </c>
      <c r="AR263" s="24">
        <f>ROUND(N263-X263-AH263,2)</f>
        <v/>
      </c>
      <c r="AS263" s="24">
        <f>ROUND(O263-Y263-AI263,2)</f>
        <v/>
      </c>
      <c r="AT263" s="24">
        <f>ROUND(P263-Z263-AJ263,2)</f>
        <v/>
      </c>
      <c r="AU263" s="24">
        <f>ROUND(Q263-AA263-AK263,2)</f>
        <v/>
      </c>
      <c r="AV263" s="24">
        <f>ROUND(R263-AB263-AL263,2)</f>
        <v/>
      </c>
      <c r="AW263" s="24">
        <f>ROUND(S263-AC263-AM263,2)</f>
        <v/>
      </c>
      <c r="AX263" s="24">
        <f>ROUND(T263-AD263-AN263,2)</f>
        <v/>
      </c>
      <c r="AY263" s="24">
        <f>ROUND(U263-AE263-AO263,2)</f>
        <v/>
      </c>
      <c r="AZ263" s="24">
        <f>ROUND(V263-AF263-AP263,2)</f>
        <v/>
      </c>
      <c r="BA263" s="24">
        <f>ROUND(W263-AG263-AQ263,2)</f>
        <v/>
      </c>
      <c r="BB263" s="24">
        <f>SUM(AR263:BA263)</f>
        <v/>
      </c>
    </row>
    <row r="264">
      <c r="A264" t="n">
        <v>260</v>
      </c>
      <c r="B264" s="23">
        <f>EOMONTH(TODAY(),259)</f>
        <v/>
      </c>
      <c r="C264" s="24">
        <f>MAX(0,(SUM('My Loans'!$E$6:$E$15)+'My Loans'!$D$3)-SUM($X264:$AG264))</f>
        <v/>
      </c>
      <c r="D264" s="24">
        <f>MAX(0,AR263)</f>
        <v/>
      </c>
      <c r="E264" s="24">
        <f>MAX(0,AS263)</f>
        <v/>
      </c>
      <c r="F264" s="24">
        <f>MAX(0,AT263)</f>
        <v/>
      </c>
      <c r="G264" s="24">
        <f>MAX(0,AU263)</f>
        <v/>
      </c>
      <c r="H264" s="24">
        <f>MAX(0,AV263)</f>
        <v/>
      </c>
      <c r="I264" s="24">
        <f>MAX(0,AW263)</f>
        <v/>
      </c>
      <c r="J264" s="24">
        <f>MAX(0,AX263)</f>
        <v/>
      </c>
      <c r="K264" s="24">
        <f>MAX(0,AY263)</f>
        <v/>
      </c>
      <c r="L264" s="24">
        <f>MAX(0,AZ263)</f>
        <v/>
      </c>
      <c r="M264" s="24">
        <f>MAX(0,BA263)</f>
        <v/>
      </c>
      <c r="N264" s="24">
        <f>IF(D264&lt;0.5,0,D264*(1+N('My Loans'!D6)/1200))</f>
        <v/>
      </c>
      <c r="O264" s="24">
        <f>IF(E264&lt;0.5,0,E264*(1+N('My Loans'!D7)/1200))</f>
        <v/>
      </c>
      <c r="P264" s="24">
        <f>IF(F264&lt;0.5,0,F264*(1+N('My Loans'!D8)/1200))</f>
        <v/>
      </c>
      <c r="Q264" s="24">
        <f>IF(G264&lt;0.5,0,G264*(1+N('My Loans'!D9)/1200))</f>
        <v/>
      </c>
      <c r="R264" s="24">
        <f>IF(H264&lt;0.5,0,H264*(1+N('My Loans'!D10)/1200))</f>
        <v/>
      </c>
      <c r="S264" s="24">
        <f>IF(I264&lt;0.5,0,I264*(1+N('My Loans'!D11)/1200))</f>
        <v/>
      </c>
      <c r="T264" s="24">
        <f>IF(J264&lt;0.5,0,J264*(1+N('My Loans'!D12)/1200))</f>
        <v/>
      </c>
      <c r="U264" s="24">
        <f>IF(K264&lt;0.5,0,K264*(1+N('My Loans'!D13)/1200))</f>
        <v/>
      </c>
      <c r="V264" s="24">
        <f>IF(L264&lt;0.5,0,L264*(1+N('My Loans'!D14)/1200))</f>
        <v/>
      </c>
      <c r="W264" s="24">
        <f>IF(M264&lt;0.5,0,M264*(1+N('My Loans'!D15)/1200))</f>
        <v/>
      </c>
      <c r="X264" s="24">
        <f>MIN(N264,N('My Loans'!E6))</f>
        <v/>
      </c>
      <c r="Y264" s="24">
        <f>MIN(O264,N('My Loans'!E7))</f>
        <v/>
      </c>
      <c r="Z264" s="24">
        <f>MIN(P264,N('My Loans'!E8))</f>
        <v/>
      </c>
      <c r="AA264" s="24">
        <f>MIN(Q264,N('My Loans'!E9))</f>
        <v/>
      </c>
      <c r="AB264" s="24">
        <f>MIN(R264,N('My Loans'!E10))</f>
        <v/>
      </c>
      <c r="AC264" s="24">
        <f>MIN(S264,N('My Loans'!E11))</f>
        <v/>
      </c>
      <c r="AD264" s="24">
        <f>MIN(T264,N('My Loans'!E12))</f>
        <v/>
      </c>
      <c r="AE264" s="24">
        <f>MIN(U264,N('My Loans'!E13))</f>
        <v/>
      </c>
      <c r="AF264" s="24">
        <f>MIN(V264,N('My Loans'!E14))</f>
        <v/>
      </c>
      <c r="AG264" s="24">
        <f>MIN(W264,N('My Loans'!E15))</f>
        <v/>
      </c>
      <c r="AH264" s="24">
        <f>MIN(N264-X264,MAX(0,$C264-SUMPRODUCT(($D$3:$M$3&lt;D$3)*($N264:$W264-$X264:$AG264))))</f>
        <v/>
      </c>
      <c r="AI264" s="24">
        <f>MIN(O264-Y264,MAX(0,$C264-SUMPRODUCT(($D$3:$M$3&lt;E$3)*($N264:$W264-$X264:$AG264))))</f>
        <v/>
      </c>
      <c r="AJ264" s="24">
        <f>MIN(P264-Z264,MAX(0,$C264-SUMPRODUCT(($D$3:$M$3&lt;F$3)*($N264:$W264-$X264:$AG264))))</f>
        <v/>
      </c>
      <c r="AK264" s="24">
        <f>MIN(Q264-AA264,MAX(0,$C264-SUMPRODUCT(($D$3:$M$3&lt;G$3)*($N264:$W264-$X264:$AG264))))</f>
        <v/>
      </c>
      <c r="AL264" s="24">
        <f>MIN(R264-AB264,MAX(0,$C264-SUMPRODUCT(($D$3:$M$3&lt;H$3)*($N264:$W264-$X264:$AG264))))</f>
        <v/>
      </c>
      <c r="AM264" s="24">
        <f>MIN(S264-AC264,MAX(0,$C264-SUMPRODUCT(($D$3:$M$3&lt;I$3)*($N264:$W264-$X264:$AG264))))</f>
        <v/>
      </c>
      <c r="AN264" s="24">
        <f>MIN(T264-AD264,MAX(0,$C264-SUMPRODUCT(($D$3:$M$3&lt;J$3)*($N264:$W264-$X264:$AG264))))</f>
        <v/>
      </c>
      <c r="AO264" s="24">
        <f>MIN(U264-AE264,MAX(0,$C264-SUMPRODUCT(($D$3:$M$3&lt;K$3)*($N264:$W264-$X264:$AG264))))</f>
        <v/>
      </c>
      <c r="AP264" s="24">
        <f>MIN(V264-AF264,MAX(0,$C264-SUMPRODUCT(($D$3:$M$3&lt;L$3)*($N264:$W264-$X264:$AG264))))</f>
        <v/>
      </c>
      <c r="AQ264" s="24">
        <f>MIN(W264-AG264,MAX(0,$C264-SUMPRODUCT(($D$3:$M$3&lt;M$3)*($N264:$W264-$X264:$AG264))))</f>
        <v/>
      </c>
      <c r="AR264" s="24">
        <f>ROUND(N264-X264-AH264,2)</f>
        <v/>
      </c>
      <c r="AS264" s="24">
        <f>ROUND(O264-Y264-AI264,2)</f>
        <v/>
      </c>
      <c r="AT264" s="24">
        <f>ROUND(P264-Z264-AJ264,2)</f>
        <v/>
      </c>
      <c r="AU264" s="24">
        <f>ROUND(Q264-AA264-AK264,2)</f>
        <v/>
      </c>
      <c r="AV264" s="24">
        <f>ROUND(R264-AB264-AL264,2)</f>
        <v/>
      </c>
      <c r="AW264" s="24">
        <f>ROUND(S264-AC264-AM264,2)</f>
        <v/>
      </c>
      <c r="AX264" s="24">
        <f>ROUND(T264-AD264-AN264,2)</f>
        <v/>
      </c>
      <c r="AY264" s="24">
        <f>ROUND(U264-AE264-AO264,2)</f>
        <v/>
      </c>
      <c r="AZ264" s="24">
        <f>ROUND(V264-AF264-AP264,2)</f>
        <v/>
      </c>
      <c r="BA264" s="24">
        <f>ROUND(W264-AG264-AQ264,2)</f>
        <v/>
      </c>
      <c r="BB264" s="24">
        <f>SUM(AR264:BA264)</f>
        <v/>
      </c>
    </row>
    <row r="265">
      <c r="A265" t="n">
        <v>261</v>
      </c>
      <c r="B265" s="23">
        <f>EOMONTH(TODAY(),260)</f>
        <v/>
      </c>
      <c r="C265" s="24">
        <f>MAX(0,(SUM('My Loans'!$E$6:$E$15)+'My Loans'!$D$3)-SUM($X265:$AG265))</f>
        <v/>
      </c>
      <c r="D265" s="24">
        <f>MAX(0,AR264)</f>
        <v/>
      </c>
      <c r="E265" s="24">
        <f>MAX(0,AS264)</f>
        <v/>
      </c>
      <c r="F265" s="24">
        <f>MAX(0,AT264)</f>
        <v/>
      </c>
      <c r="G265" s="24">
        <f>MAX(0,AU264)</f>
        <v/>
      </c>
      <c r="H265" s="24">
        <f>MAX(0,AV264)</f>
        <v/>
      </c>
      <c r="I265" s="24">
        <f>MAX(0,AW264)</f>
        <v/>
      </c>
      <c r="J265" s="24">
        <f>MAX(0,AX264)</f>
        <v/>
      </c>
      <c r="K265" s="24">
        <f>MAX(0,AY264)</f>
        <v/>
      </c>
      <c r="L265" s="24">
        <f>MAX(0,AZ264)</f>
        <v/>
      </c>
      <c r="M265" s="24">
        <f>MAX(0,BA264)</f>
        <v/>
      </c>
      <c r="N265" s="24">
        <f>IF(D265&lt;0.5,0,D265*(1+N('My Loans'!D6)/1200))</f>
        <v/>
      </c>
      <c r="O265" s="24">
        <f>IF(E265&lt;0.5,0,E265*(1+N('My Loans'!D7)/1200))</f>
        <v/>
      </c>
      <c r="P265" s="24">
        <f>IF(F265&lt;0.5,0,F265*(1+N('My Loans'!D8)/1200))</f>
        <v/>
      </c>
      <c r="Q265" s="24">
        <f>IF(G265&lt;0.5,0,G265*(1+N('My Loans'!D9)/1200))</f>
        <v/>
      </c>
      <c r="R265" s="24">
        <f>IF(H265&lt;0.5,0,H265*(1+N('My Loans'!D10)/1200))</f>
        <v/>
      </c>
      <c r="S265" s="24">
        <f>IF(I265&lt;0.5,0,I265*(1+N('My Loans'!D11)/1200))</f>
        <v/>
      </c>
      <c r="T265" s="24">
        <f>IF(J265&lt;0.5,0,J265*(1+N('My Loans'!D12)/1200))</f>
        <v/>
      </c>
      <c r="U265" s="24">
        <f>IF(K265&lt;0.5,0,K265*(1+N('My Loans'!D13)/1200))</f>
        <v/>
      </c>
      <c r="V265" s="24">
        <f>IF(L265&lt;0.5,0,L265*(1+N('My Loans'!D14)/1200))</f>
        <v/>
      </c>
      <c r="W265" s="24">
        <f>IF(M265&lt;0.5,0,M265*(1+N('My Loans'!D15)/1200))</f>
        <v/>
      </c>
      <c r="X265" s="24">
        <f>MIN(N265,N('My Loans'!E6))</f>
        <v/>
      </c>
      <c r="Y265" s="24">
        <f>MIN(O265,N('My Loans'!E7))</f>
        <v/>
      </c>
      <c r="Z265" s="24">
        <f>MIN(P265,N('My Loans'!E8))</f>
        <v/>
      </c>
      <c r="AA265" s="24">
        <f>MIN(Q265,N('My Loans'!E9))</f>
        <v/>
      </c>
      <c r="AB265" s="24">
        <f>MIN(R265,N('My Loans'!E10))</f>
        <v/>
      </c>
      <c r="AC265" s="24">
        <f>MIN(S265,N('My Loans'!E11))</f>
        <v/>
      </c>
      <c r="AD265" s="24">
        <f>MIN(T265,N('My Loans'!E12))</f>
        <v/>
      </c>
      <c r="AE265" s="24">
        <f>MIN(U265,N('My Loans'!E13))</f>
        <v/>
      </c>
      <c r="AF265" s="24">
        <f>MIN(V265,N('My Loans'!E14))</f>
        <v/>
      </c>
      <c r="AG265" s="24">
        <f>MIN(W265,N('My Loans'!E15))</f>
        <v/>
      </c>
      <c r="AH265" s="24">
        <f>MIN(N265-X265,MAX(0,$C265-SUMPRODUCT(($D$3:$M$3&lt;D$3)*($N265:$W265-$X265:$AG265))))</f>
        <v/>
      </c>
      <c r="AI265" s="24">
        <f>MIN(O265-Y265,MAX(0,$C265-SUMPRODUCT(($D$3:$M$3&lt;E$3)*($N265:$W265-$X265:$AG265))))</f>
        <v/>
      </c>
      <c r="AJ265" s="24">
        <f>MIN(P265-Z265,MAX(0,$C265-SUMPRODUCT(($D$3:$M$3&lt;F$3)*($N265:$W265-$X265:$AG265))))</f>
        <v/>
      </c>
      <c r="AK265" s="24">
        <f>MIN(Q265-AA265,MAX(0,$C265-SUMPRODUCT(($D$3:$M$3&lt;G$3)*($N265:$W265-$X265:$AG265))))</f>
        <v/>
      </c>
      <c r="AL265" s="24">
        <f>MIN(R265-AB265,MAX(0,$C265-SUMPRODUCT(($D$3:$M$3&lt;H$3)*($N265:$W265-$X265:$AG265))))</f>
        <v/>
      </c>
      <c r="AM265" s="24">
        <f>MIN(S265-AC265,MAX(0,$C265-SUMPRODUCT(($D$3:$M$3&lt;I$3)*($N265:$W265-$X265:$AG265))))</f>
        <v/>
      </c>
      <c r="AN265" s="24">
        <f>MIN(T265-AD265,MAX(0,$C265-SUMPRODUCT(($D$3:$M$3&lt;J$3)*($N265:$W265-$X265:$AG265))))</f>
        <v/>
      </c>
      <c r="AO265" s="24">
        <f>MIN(U265-AE265,MAX(0,$C265-SUMPRODUCT(($D$3:$M$3&lt;K$3)*($N265:$W265-$X265:$AG265))))</f>
        <v/>
      </c>
      <c r="AP265" s="24">
        <f>MIN(V265-AF265,MAX(0,$C265-SUMPRODUCT(($D$3:$M$3&lt;L$3)*($N265:$W265-$X265:$AG265))))</f>
        <v/>
      </c>
      <c r="AQ265" s="24">
        <f>MIN(W265-AG265,MAX(0,$C265-SUMPRODUCT(($D$3:$M$3&lt;M$3)*($N265:$W265-$X265:$AG265))))</f>
        <v/>
      </c>
      <c r="AR265" s="24">
        <f>ROUND(N265-X265-AH265,2)</f>
        <v/>
      </c>
      <c r="AS265" s="24">
        <f>ROUND(O265-Y265-AI265,2)</f>
        <v/>
      </c>
      <c r="AT265" s="24">
        <f>ROUND(P265-Z265-AJ265,2)</f>
        <v/>
      </c>
      <c r="AU265" s="24">
        <f>ROUND(Q265-AA265-AK265,2)</f>
        <v/>
      </c>
      <c r="AV265" s="24">
        <f>ROUND(R265-AB265-AL265,2)</f>
        <v/>
      </c>
      <c r="AW265" s="24">
        <f>ROUND(S265-AC265-AM265,2)</f>
        <v/>
      </c>
      <c r="AX265" s="24">
        <f>ROUND(T265-AD265-AN265,2)</f>
        <v/>
      </c>
      <c r="AY265" s="24">
        <f>ROUND(U265-AE265-AO265,2)</f>
        <v/>
      </c>
      <c r="AZ265" s="24">
        <f>ROUND(V265-AF265-AP265,2)</f>
        <v/>
      </c>
      <c r="BA265" s="24">
        <f>ROUND(W265-AG265-AQ265,2)</f>
        <v/>
      </c>
      <c r="BB265" s="24">
        <f>SUM(AR265:BA265)</f>
        <v/>
      </c>
    </row>
    <row r="266">
      <c r="A266" t="n">
        <v>262</v>
      </c>
      <c r="B266" s="23">
        <f>EOMONTH(TODAY(),261)</f>
        <v/>
      </c>
      <c r="C266" s="24">
        <f>MAX(0,(SUM('My Loans'!$E$6:$E$15)+'My Loans'!$D$3)-SUM($X266:$AG266))</f>
        <v/>
      </c>
      <c r="D266" s="24">
        <f>MAX(0,AR265)</f>
        <v/>
      </c>
      <c r="E266" s="24">
        <f>MAX(0,AS265)</f>
        <v/>
      </c>
      <c r="F266" s="24">
        <f>MAX(0,AT265)</f>
        <v/>
      </c>
      <c r="G266" s="24">
        <f>MAX(0,AU265)</f>
        <v/>
      </c>
      <c r="H266" s="24">
        <f>MAX(0,AV265)</f>
        <v/>
      </c>
      <c r="I266" s="24">
        <f>MAX(0,AW265)</f>
        <v/>
      </c>
      <c r="J266" s="24">
        <f>MAX(0,AX265)</f>
        <v/>
      </c>
      <c r="K266" s="24">
        <f>MAX(0,AY265)</f>
        <v/>
      </c>
      <c r="L266" s="24">
        <f>MAX(0,AZ265)</f>
        <v/>
      </c>
      <c r="M266" s="24">
        <f>MAX(0,BA265)</f>
        <v/>
      </c>
      <c r="N266" s="24">
        <f>IF(D266&lt;0.5,0,D266*(1+N('My Loans'!D6)/1200))</f>
        <v/>
      </c>
      <c r="O266" s="24">
        <f>IF(E266&lt;0.5,0,E266*(1+N('My Loans'!D7)/1200))</f>
        <v/>
      </c>
      <c r="P266" s="24">
        <f>IF(F266&lt;0.5,0,F266*(1+N('My Loans'!D8)/1200))</f>
        <v/>
      </c>
      <c r="Q266" s="24">
        <f>IF(G266&lt;0.5,0,G266*(1+N('My Loans'!D9)/1200))</f>
        <v/>
      </c>
      <c r="R266" s="24">
        <f>IF(H266&lt;0.5,0,H266*(1+N('My Loans'!D10)/1200))</f>
        <v/>
      </c>
      <c r="S266" s="24">
        <f>IF(I266&lt;0.5,0,I266*(1+N('My Loans'!D11)/1200))</f>
        <v/>
      </c>
      <c r="T266" s="24">
        <f>IF(J266&lt;0.5,0,J266*(1+N('My Loans'!D12)/1200))</f>
        <v/>
      </c>
      <c r="U266" s="24">
        <f>IF(K266&lt;0.5,0,K266*(1+N('My Loans'!D13)/1200))</f>
        <v/>
      </c>
      <c r="V266" s="24">
        <f>IF(L266&lt;0.5,0,L266*(1+N('My Loans'!D14)/1200))</f>
        <v/>
      </c>
      <c r="W266" s="24">
        <f>IF(M266&lt;0.5,0,M266*(1+N('My Loans'!D15)/1200))</f>
        <v/>
      </c>
      <c r="X266" s="24">
        <f>MIN(N266,N('My Loans'!E6))</f>
        <v/>
      </c>
      <c r="Y266" s="24">
        <f>MIN(O266,N('My Loans'!E7))</f>
        <v/>
      </c>
      <c r="Z266" s="24">
        <f>MIN(P266,N('My Loans'!E8))</f>
        <v/>
      </c>
      <c r="AA266" s="24">
        <f>MIN(Q266,N('My Loans'!E9))</f>
        <v/>
      </c>
      <c r="AB266" s="24">
        <f>MIN(R266,N('My Loans'!E10))</f>
        <v/>
      </c>
      <c r="AC266" s="24">
        <f>MIN(S266,N('My Loans'!E11))</f>
        <v/>
      </c>
      <c r="AD266" s="24">
        <f>MIN(T266,N('My Loans'!E12))</f>
        <v/>
      </c>
      <c r="AE266" s="24">
        <f>MIN(U266,N('My Loans'!E13))</f>
        <v/>
      </c>
      <c r="AF266" s="24">
        <f>MIN(V266,N('My Loans'!E14))</f>
        <v/>
      </c>
      <c r="AG266" s="24">
        <f>MIN(W266,N('My Loans'!E15))</f>
        <v/>
      </c>
      <c r="AH266" s="24">
        <f>MIN(N266-X266,MAX(0,$C266-SUMPRODUCT(($D$3:$M$3&lt;D$3)*($N266:$W266-$X266:$AG266))))</f>
        <v/>
      </c>
      <c r="AI266" s="24">
        <f>MIN(O266-Y266,MAX(0,$C266-SUMPRODUCT(($D$3:$M$3&lt;E$3)*($N266:$W266-$X266:$AG266))))</f>
        <v/>
      </c>
      <c r="AJ266" s="24">
        <f>MIN(P266-Z266,MAX(0,$C266-SUMPRODUCT(($D$3:$M$3&lt;F$3)*($N266:$W266-$X266:$AG266))))</f>
        <v/>
      </c>
      <c r="AK266" s="24">
        <f>MIN(Q266-AA266,MAX(0,$C266-SUMPRODUCT(($D$3:$M$3&lt;G$3)*($N266:$W266-$X266:$AG266))))</f>
        <v/>
      </c>
      <c r="AL266" s="24">
        <f>MIN(R266-AB266,MAX(0,$C266-SUMPRODUCT(($D$3:$M$3&lt;H$3)*($N266:$W266-$X266:$AG266))))</f>
        <v/>
      </c>
      <c r="AM266" s="24">
        <f>MIN(S266-AC266,MAX(0,$C266-SUMPRODUCT(($D$3:$M$3&lt;I$3)*($N266:$W266-$X266:$AG266))))</f>
        <v/>
      </c>
      <c r="AN266" s="24">
        <f>MIN(T266-AD266,MAX(0,$C266-SUMPRODUCT(($D$3:$M$3&lt;J$3)*($N266:$W266-$X266:$AG266))))</f>
        <v/>
      </c>
      <c r="AO266" s="24">
        <f>MIN(U266-AE266,MAX(0,$C266-SUMPRODUCT(($D$3:$M$3&lt;K$3)*($N266:$W266-$X266:$AG266))))</f>
        <v/>
      </c>
      <c r="AP266" s="24">
        <f>MIN(V266-AF266,MAX(0,$C266-SUMPRODUCT(($D$3:$M$3&lt;L$3)*($N266:$W266-$X266:$AG266))))</f>
        <v/>
      </c>
      <c r="AQ266" s="24">
        <f>MIN(W266-AG266,MAX(0,$C266-SUMPRODUCT(($D$3:$M$3&lt;M$3)*($N266:$W266-$X266:$AG266))))</f>
        <v/>
      </c>
      <c r="AR266" s="24">
        <f>ROUND(N266-X266-AH266,2)</f>
        <v/>
      </c>
      <c r="AS266" s="24">
        <f>ROUND(O266-Y266-AI266,2)</f>
        <v/>
      </c>
      <c r="AT266" s="24">
        <f>ROUND(P266-Z266-AJ266,2)</f>
        <v/>
      </c>
      <c r="AU266" s="24">
        <f>ROUND(Q266-AA266-AK266,2)</f>
        <v/>
      </c>
      <c r="AV266" s="24">
        <f>ROUND(R266-AB266-AL266,2)</f>
        <v/>
      </c>
      <c r="AW266" s="24">
        <f>ROUND(S266-AC266-AM266,2)</f>
        <v/>
      </c>
      <c r="AX266" s="24">
        <f>ROUND(T266-AD266-AN266,2)</f>
        <v/>
      </c>
      <c r="AY266" s="24">
        <f>ROUND(U266-AE266-AO266,2)</f>
        <v/>
      </c>
      <c r="AZ266" s="24">
        <f>ROUND(V266-AF266-AP266,2)</f>
        <v/>
      </c>
      <c r="BA266" s="24">
        <f>ROUND(W266-AG266-AQ266,2)</f>
        <v/>
      </c>
      <c r="BB266" s="24">
        <f>SUM(AR266:BA266)</f>
        <v/>
      </c>
    </row>
    <row r="267">
      <c r="A267" t="n">
        <v>263</v>
      </c>
      <c r="B267" s="23">
        <f>EOMONTH(TODAY(),262)</f>
        <v/>
      </c>
      <c r="C267" s="24">
        <f>MAX(0,(SUM('My Loans'!$E$6:$E$15)+'My Loans'!$D$3)-SUM($X267:$AG267))</f>
        <v/>
      </c>
      <c r="D267" s="24">
        <f>MAX(0,AR266)</f>
        <v/>
      </c>
      <c r="E267" s="24">
        <f>MAX(0,AS266)</f>
        <v/>
      </c>
      <c r="F267" s="24">
        <f>MAX(0,AT266)</f>
        <v/>
      </c>
      <c r="G267" s="24">
        <f>MAX(0,AU266)</f>
        <v/>
      </c>
      <c r="H267" s="24">
        <f>MAX(0,AV266)</f>
        <v/>
      </c>
      <c r="I267" s="24">
        <f>MAX(0,AW266)</f>
        <v/>
      </c>
      <c r="J267" s="24">
        <f>MAX(0,AX266)</f>
        <v/>
      </c>
      <c r="K267" s="24">
        <f>MAX(0,AY266)</f>
        <v/>
      </c>
      <c r="L267" s="24">
        <f>MAX(0,AZ266)</f>
        <v/>
      </c>
      <c r="M267" s="24">
        <f>MAX(0,BA266)</f>
        <v/>
      </c>
      <c r="N267" s="24">
        <f>IF(D267&lt;0.5,0,D267*(1+N('My Loans'!D6)/1200))</f>
        <v/>
      </c>
      <c r="O267" s="24">
        <f>IF(E267&lt;0.5,0,E267*(1+N('My Loans'!D7)/1200))</f>
        <v/>
      </c>
      <c r="P267" s="24">
        <f>IF(F267&lt;0.5,0,F267*(1+N('My Loans'!D8)/1200))</f>
        <v/>
      </c>
      <c r="Q267" s="24">
        <f>IF(G267&lt;0.5,0,G267*(1+N('My Loans'!D9)/1200))</f>
        <v/>
      </c>
      <c r="R267" s="24">
        <f>IF(H267&lt;0.5,0,H267*(1+N('My Loans'!D10)/1200))</f>
        <v/>
      </c>
      <c r="S267" s="24">
        <f>IF(I267&lt;0.5,0,I267*(1+N('My Loans'!D11)/1200))</f>
        <v/>
      </c>
      <c r="T267" s="24">
        <f>IF(J267&lt;0.5,0,J267*(1+N('My Loans'!D12)/1200))</f>
        <v/>
      </c>
      <c r="U267" s="24">
        <f>IF(K267&lt;0.5,0,K267*(1+N('My Loans'!D13)/1200))</f>
        <v/>
      </c>
      <c r="V267" s="24">
        <f>IF(L267&lt;0.5,0,L267*(1+N('My Loans'!D14)/1200))</f>
        <v/>
      </c>
      <c r="W267" s="24">
        <f>IF(M267&lt;0.5,0,M267*(1+N('My Loans'!D15)/1200))</f>
        <v/>
      </c>
      <c r="X267" s="24">
        <f>MIN(N267,N('My Loans'!E6))</f>
        <v/>
      </c>
      <c r="Y267" s="24">
        <f>MIN(O267,N('My Loans'!E7))</f>
        <v/>
      </c>
      <c r="Z267" s="24">
        <f>MIN(P267,N('My Loans'!E8))</f>
        <v/>
      </c>
      <c r="AA267" s="24">
        <f>MIN(Q267,N('My Loans'!E9))</f>
        <v/>
      </c>
      <c r="AB267" s="24">
        <f>MIN(R267,N('My Loans'!E10))</f>
        <v/>
      </c>
      <c r="AC267" s="24">
        <f>MIN(S267,N('My Loans'!E11))</f>
        <v/>
      </c>
      <c r="AD267" s="24">
        <f>MIN(T267,N('My Loans'!E12))</f>
        <v/>
      </c>
      <c r="AE267" s="24">
        <f>MIN(U267,N('My Loans'!E13))</f>
        <v/>
      </c>
      <c r="AF267" s="24">
        <f>MIN(V267,N('My Loans'!E14))</f>
        <v/>
      </c>
      <c r="AG267" s="24">
        <f>MIN(W267,N('My Loans'!E15))</f>
        <v/>
      </c>
      <c r="AH267" s="24">
        <f>MIN(N267-X267,MAX(0,$C267-SUMPRODUCT(($D$3:$M$3&lt;D$3)*($N267:$W267-$X267:$AG267))))</f>
        <v/>
      </c>
      <c r="AI267" s="24">
        <f>MIN(O267-Y267,MAX(0,$C267-SUMPRODUCT(($D$3:$M$3&lt;E$3)*($N267:$W267-$X267:$AG267))))</f>
        <v/>
      </c>
      <c r="AJ267" s="24">
        <f>MIN(P267-Z267,MAX(0,$C267-SUMPRODUCT(($D$3:$M$3&lt;F$3)*($N267:$W267-$X267:$AG267))))</f>
        <v/>
      </c>
      <c r="AK267" s="24">
        <f>MIN(Q267-AA267,MAX(0,$C267-SUMPRODUCT(($D$3:$M$3&lt;G$3)*($N267:$W267-$X267:$AG267))))</f>
        <v/>
      </c>
      <c r="AL267" s="24">
        <f>MIN(R267-AB267,MAX(0,$C267-SUMPRODUCT(($D$3:$M$3&lt;H$3)*($N267:$W267-$X267:$AG267))))</f>
        <v/>
      </c>
      <c r="AM267" s="24">
        <f>MIN(S267-AC267,MAX(0,$C267-SUMPRODUCT(($D$3:$M$3&lt;I$3)*($N267:$W267-$X267:$AG267))))</f>
        <v/>
      </c>
      <c r="AN267" s="24">
        <f>MIN(T267-AD267,MAX(0,$C267-SUMPRODUCT(($D$3:$M$3&lt;J$3)*($N267:$W267-$X267:$AG267))))</f>
        <v/>
      </c>
      <c r="AO267" s="24">
        <f>MIN(U267-AE267,MAX(0,$C267-SUMPRODUCT(($D$3:$M$3&lt;K$3)*($N267:$W267-$X267:$AG267))))</f>
        <v/>
      </c>
      <c r="AP267" s="24">
        <f>MIN(V267-AF267,MAX(0,$C267-SUMPRODUCT(($D$3:$M$3&lt;L$3)*($N267:$W267-$X267:$AG267))))</f>
        <v/>
      </c>
      <c r="AQ267" s="24">
        <f>MIN(W267-AG267,MAX(0,$C267-SUMPRODUCT(($D$3:$M$3&lt;M$3)*($N267:$W267-$X267:$AG267))))</f>
        <v/>
      </c>
      <c r="AR267" s="24">
        <f>ROUND(N267-X267-AH267,2)</f>
        <v/>
      </c>
      <c r="AS267" s="24">
        <f>ROUND(O267-Y267-AI267,2)</f>
        <v/>
      </c>
      <c r="AT267" s="24">
        <f>ROUND(P267-Z267-AJ267,2)</f>
        <v/>
      </c>
      <c r="AU267" s="24">
        <f>ROUND(Q267-AA267-AK267,2)</f>
        <v/>
      </c>
      <c r="AV267" s="24">
        <f>ROUND(R267-AB267-AL267,2)</f>
        <v/>
      </c>
      <c r="AW267" s="24">
        <f>ROUND(S267-AC267-AM267,2)</f>
        <v/>
      </c>
      <c r="AX267" s="24">
        <f>ROUND(T267-AD267-AN267,2)</f>
        <v/>
      </c>
      <c r="AY267" s="24">
        <f>ROUND(U267-AE267-AO267,2)</f>
        <v/>
      </c>
      <c r="AZ267" s="24">
        <f>ROUND(V267-AF267-AP267,2)</f>
        <v/>
      </c>
      <c r="BA267" s="24">
        <f>ROUND(W267-AG267-AQ267,2)</f>
        <v/>
      </c>
      <c r="BB267" s="24">
        <f>SUM(AR267:BA267)</f>
        <v/>
      </c>
    </row>
    <row r="268">
      <c r="A268" t="n">
        <v>264</v>
      </c>
      <c r="B268" s="23">
        <f>EOMONTH(TODAY(),263)</f>
        <v/>
      </c>
      <c r="C268" s="24">
        <f>MAX(0,(SUM('My Loans'!$E$6:$E$15)+'My Loans'!$D$3)-SUM($X268:$AG268))</f>
        <v/>
      </c>
      <c r="D268" s="24">
        <f>MAX(0,AR267)</f>
        <v/>
      </c>
      <c r="E268" s="24">
        <f>MAX(0,AS267)</f>
        <v/>
      </c>
      <c r="F268" s="24">
        <f>MAX(0,AT267)</f>
        <v/>
      </c>
      <c r="G268" s="24">
        <f>MAX(0,AU267)</f>
        <v/>
      </c>
      <c r="H268" s="24">
        <f>MAX(0,AV267)</f>
        <v/>
      </c>
      <c r="I268" s="24">
        <f>MAX(0,AW267)</f>
        <v/>
      </c>
      <c r="J268" s="24">
        <f>MAX(0,AX267)</f>
        <v/>
      </c>
      <c r="K268" s="24">
        <f>MAX(0,AY267)</f>
        <v/>
      </c>
      <c r="L268" s="24">
        <f>MAX(0,AZ267)</f>
        <v/>
      </c>
      <c r="M268" s="24">
        <f>MAX(0,BA267)</f>
        <v/>
      </c>
      <c r="N268" s="24">
        <f>IF(D268&lt;0.5,0,D268*(1+N('My Loans'!D6)/1200))</f>
        <v/>
      </c>
      <c r="O268" s="24">
        <f>IF(E268&lt;0.5,0,E268*(1+N('My Loans'!D7)/1200))</f>
        <v/>
      </c>
      <c r="P268" s="24">
        <f>IF(F268&lt;0.5,0,F268*(1+N('My Loans'!D8)/1200))</f>
        <v/>
      </c>
      <c r="Q268" s="24">
        <f>IF(G268&lt;0.5,0,G268*(1+N('My Loans'!D9)/1200))</f>
        <v/>
      </c>
      <c r="R268" s="24">
        <f>IF(H268&lt;0.5,0,H268*(1+N('My Loans'!D10)/1200))</f>
        <v/>
      </c>
      <c r="S268" s="24">
        <f>IF(I268&lt;0.5,0,I268*(1+N('My Loans'!D11)/1200))</f>
        <v/>
      </c>
      <c r="T268" s="24">
        <f>IF(J268&lt;0.5,0,J268*(1+N('My Loans'!D12)/1200))</f>
        <v/>
      </c>
      <c r="U268" s="24">
        <f>IF(K268&lt;0.5,0,K268*(1+N('My Loans'!D13)/1200))</f>
        <v/>
      </c>
      <c r="V268" s="24">
        <f>IF(L268&lt;0.5,0,L268*(1+N('My Loans'!D14)/1200))</f>
        <v/>
      </c>
      <c r="W268" s="24">
        <f>IF(M268&lt;0.5,0,M268*(1+N('My Loans'!D15)/1200))</f>
        <v/>
      </c>
      <c r="X268" s="24">
        <f>MIN(N268,N('My Loans'!E6))</f>
        <v/>
      </c>
      <c r="Y268" s="24">
        <f>MIN(O268,N('My Loans'!E7))</f>
        <v/>
      </c>
      <c r="Z268" s="24">
        <f>MIN(P268,N('My Loans'!E8))</f>
        <v/>
      </c>
      <c r="AA268" s="24">
        <f>MIN(Q268,N('My Loans'!E9))</f>
        <v/>
      </c>
      <c r="AB268" s="24">
        <f>MIN(R268,N('My Loans'!E10))</f>
        <v/>
      </c>
      <c r="AC268" s="24">
        <f>MIN(S268,N('My Loans'!E11))</f>
        <v/>
      </c>
      <c r="AD268" s="24">
        <f>MIN(T268,N('My Loans'!E12))</f>
        <v/>
      </c>
      <c r="AE268" s="24">
        <f>MIN(U268,N('My Loans'!E13))</f>
        <v/>
      </c>
      <c r="AF268" s="24">
        <f>MIN(V268,N('My Loans'!E14))</f>
        <v/>
      </c>
      <c r="AG268" s="24">
        <f>MIN(W268,N('My Loans'!E15))</f>
        <v/>
      </c>
      <c r="AH268" s="24">
        <f>MIN(N268-X268,MAX(0,$C268-SUMPRODUCT(($D$3:$M$3&lt;D$3)*($N268:$W268-$X268:$AG268))))</f>
        <v/>
      </c>
      <c r="AI268" s="24">
        <f>MIN(O268-Y268,MAX(0,$C268-SUMPRODUCT(($D$3:$M$3&lt;E$3)*($N268:$W268-$X268:$AG268))))</f>
        <v/>
      </c>
      <c r="AJ268" s="24">
        <f>MIN(P268-Z268,MAX(0,$C268-SUMPRODUCT(($D$3:$M$3&lt;F$3)*($N268:$W268-$X268:$AG268))))</f>
        <v/>
      </c>
      <c r="AK268" s="24">
        <f>MIN(Q268-AA268,MAX(0,$C268-SUMPRODUCT(($D$3:$M$3&lt;G$3)*($N268:$W268-$X268:$AG268))))</f>
        <v/>
      </c>
      <c r="AL268" s="24">
        <f>MIN(R268-AB268,MAX(0,$C268-SUMPRODUCT(($D$3:$M$3&lt;H$3)*($N268:$W268-$X268:$AG268))))</f>
        <v/>
      </c>
      <c r="AM268" s="24">
        <f>MIN(S268-AC268,MAX(0,$C268-SUMPRODUCT(($D$3:$M$3&lt;I$3)*($N268:$W268-$X268:$AG268))))</f>
        <v/>
      </c>
      <c r="AN268" s="24">
        <f>MIN(T268-AD268,MAX(0,$C268-SUMPRODUCT(($D$3:$M$3&lt;J$3)*($N268:$W268-$X268:$AG268))))</f>
        <v/>
      </c>
      <c r="AO268" s="24">
        <f>MIN(U268-AE268,MAX(0,$C268-SUMPRODUCT(($D$3:$M$3&lt;K$3)*($N268:$W268-$X268:$AG268))))</f>
        <v/>
      </c>
      <c r="AP268" s="24">
        <f>MIN(V268-AF268,MAX(0,$C268-SUMPRODUCT(($D$3:$M$3&lt;L$3)*($N268:$W268-$X268:$AG268))))</f>
        <v/>
      </c>
      <c r="AQ268" s="24">
        <f>MIN(W268-AG268,MAX(0,$C268-SUMPRODUCT(($D$3:$M$3&lt;M$3)*($N268:$W268-$X268:$AG268))))</f>
        <v/>
      </c>
      <c r="AR268" s="24">
        <f>ROUND(N268-X268-AH268,2)</f>
        <v/>
      </c>
      <c r="AS268" s="24">
        <f>ROUND(O268-Y268-AI268,2)</f>
        <v/>
      </c>
      <c r="AT268" s="24">
        <f>ROUND(P268-Z268-AJ268,2)</f>
        <v/>
      </c>
      <c r="AU268" s="24">
        <f>ROUND(Q268-AA268-AK268,2)</f>
        <v/>
      </c>
      <c r="AV268" s="24">
        <f>ROUND(R268-AB268-AL268,2)</f>
        <v/>
      </c>
      <c r="AW268" s="24">
        <f>ROUND(S268-AC268-AM268,2)</f>
        <v/>
      </c>
      <c r="AX268" s="24">
        <f>ROUND(T268-AD268-AN268,2)</f>
        <v/>
      </c>
      <c r="AY268" s="24">
        <f>ROUND(U268-AE268-AO268,2)</f>
        <v/>
      </c>
      <c r="AZ268" s="24">
        <f>ROUND(V268-AF268-AP268,2)</f>
        <v/>
      </c>
      <c r="BA268" s="24">
        <f>ROUND(W268-AG268-AQ268,2)</f>
        <v/>
      </c>
      <c r="BB268" s="24">
        <f>SUM(AR268:BA268)</f>
        <v/>
      </c>
    </row>
    <row r="269">
      <c r="A269" t="n">
        <v>265</v>
      </c>
      <c r="B269" s="23">
        <f>EOMONTH(TODAY(),264)</f>
        <v/>
      </c>
      <c r="C269" s="24">
        <f>MAX(0,(SUM('My Loans'!$E$6:$E$15)+'My Loans'!$D$3)-SUM($X269:$AG269))</f>
        <v/>
      </c>
      <c r="D269" s="24">
        <f>MAX(0,AR268)</f>
        <v/>
      </c>
      <c r="E269" s="24">
        <f>MAX(0,AS268)</f>
        <v/>
      </c>
      <c r="F269" s="24">
        <f>MAX(0,AT268)</f>
        <v/>
      </c>
      <c r="G269" s="24">
        <f>MAX(0,AU268)</f>
        <v/>
      </c>
      <c r="H269" s="24">
        <f>MAX(0,AV268)</f>
        <v/>
      </c>
      <c r="I269" s="24">
        <f>MAX(0,AW268)</f>
        <v/>
      </c>
      <c r="J269" s="24">
        <f>MAX(0,AX268)</f>
        <v/>
      </c>
      <c r="K269" s="24">
        <f>MAX(0,AY268)</f>
        <v/>
      </c>
      <c r="L269" s="24">
        <f>MAX(0,AZ268)</f>
        <v/>
      </c>
      <c r="M269" s="24">
        <f>MAX(0,BA268)</f>
        <v/>
      </c>
      <c r="N269" s="24">
        <f>IF(D269&lt;0.5,0,D269*(1+N('My Loans'!D6)/1200))</f>
        <v/>
      </c>
      <c r="O269" s="24">
        <f>IF(E269&lt;0.5,0,E269*(1+N('My Loans'!D7)/1200))</f>
        <v/>
      </c>
      <c r="P269" s="24">
        <f>IF(F269&lt;0.5,0,F269*(1+N('My Loans'!D8)/1200))</f>
        <v/>
      </c>
      <c r="Q269" s="24">
        <f>IF(G269&lt;0.5,0,G269*(1+N('My Loans'!D9)/1200))</f>
        <v/>
      </c>
      <c r="R269" s="24">
        <f>IF(H269&lt;0.5,0,H269*(1+N('My Loans'!D10)/1200))</f>
        <v/>
      </c>
      <c r="S269" s="24">
        <f>IF(I269&lt;0.5,0,I269*(1+N('My Loans'!D11)/1200))</f>
        <v/>
      </c>
      <c r="T269" s="24">
        <f>IF(J269&lt;0.5,0,J269*(1+N('My Loans'!D12)/1200))</f>
        <v/>
      </c>
      <c r="U269" s="24">
        <f>IF(K269&lt;0.5,0,K269*(1+N('My Loans'!D13)/1200))</f>
        <v/>
      </c>
      <c r="V269" s="24">
        <f>IF(L269&lt;0.5,0,L269*(1+N('My Loans'!D14)/1200))</f>
        <v/>
      </c>
      <c r="W269" s="24">
        <f>IF(M269&lt;0.5,0,M269*(1+N('My Loans'!D15)/1200))</f>
        <v/>
      </c>
      <c r="X269" s="24">
        <f>MIN(N269,N('My Loans'!E6))</f>
        <v/>
      </c>
      <c r="Y269" s="24">
        <f>MIN(O269,N('My Loans'!E7))</f>
        <v/>
      </c>
      <c r="Z269" s="24">
        <f>MIN(P269,N('My Loans'!E8))</f>
        <v/>
      </c>
      <c r="AA269" s="24">
        <f>MIN(Q269,N('My Loans'!E9))</f>
        <v/>
      </c>
      <c r="AB269" s="24">
        <f>MIN(R269,N('My Loans'!E10))</f>
        <v/>
      </c>
      <c r="AC269" s="24">
        <f>MIN(S269,N('My Loans'!E11))</f>
        <v/>
      </c>
      <c r="AD269" s="24">
        <f>MIN(T269,N('My Loans'!E12))</f>
        <v/>
      </c>
      <c r="AE269" s="24">
        <f>MIN(U269,N('My Loans'!E13))</f>
        <v/>
      </c>
      <c r="AF269" s="24">
        <f>MIN(V269,N('My Loans'!E14))</f>
        <v/>
      </c>
      <c r="AG269" s="24">
        <f>MIN(W269,N('My Loans'!E15))</f>
        <v/>
      </c>
      <c r="AH269" s="24">
        <f>MIN(N269-X269,MAX(0,$C269-SUMPRODUCT(($D$3:$M$3&lt;D$3)*($N269:$W269-$X269:$AG269))))</f>
        <v/>
      </c>
      <c r="AI269" s="24">
        <f>MIN(O269-Y269,MAX(0,$C269-SUMPRODUCT(($D$3:$M$3&lt;E$3)*($N269:$W269-$X269:$AG269))))</f>
        <v/>
      </c>
      <c r="AJ269" s="24">
        <f>MIN(P269-Z269,MAX(0,$C269-SUMPRODUCT(($D$3:$M$3&lt;F$3)*($N269:$W269-$X269:$AG269))))</f>
        <v/>
      </c>
      <c r="AK269" s="24">
        <f>MIN(Q269-AA269,MAX(0,$C269-SUMPRODUCT(($D$3:$M$3&lt;G$3)*($N269:$W269-$X269:$AG269))))</f>
        <v/>
      </c>
      <c r="AL269" s="24">
        <f>MIN(R269-AB269,MAX(0,$C269-SUMPRODUCT(($D$3:$M$3&lt;H$3)*($N269:$W269-$X269:$AG269))))</f>
        <v/>
      </c>
      <c r="AM269" s="24">
        <f>MIN(S269-AC269,MAX(0,$C269-SUMPRODUCT(($D$3:$M$3&lt;I$3)*($N269:$W269-$X269:$AG269))))</f>
        <v/>
      </c>
      <c r="AN269" s="24">
        <f>MIN(T269-AD269,MAX(0,$C269-SUMPRODUCT(($D$3:$M$3&lt;J$3)*($N269:$W269-$X269:$AG269))))</f>
        <v/>
      </c>
      <c r="AO269" s="24">
        <f>MIN(U269-AE269,MAX(0,$C269-SUMPRODUCT(($D$3:$M$3&lt;K$3)*($N269:$W269-$X269:$AG269))))</f>
        <v/>
      </c>
      <c r="AP269" s="24">
        <f>MIN(V269-AF269,MAX(0,$C269-SUMPRODUCT(($D$3:$M$3&lt;L$3)*($N269:$W269-$X269:$AG269))))</f>
        <v/>
      </c>
      <c r="AQ269" s="24">
        <f>MIN(W269-AG269,MAX(0,$C269-SUMPRODUCT(($D$3:$M$3&lt;M$3)*($N269:$W269-$X269:$AG269))))</f>
        <v/>
      </c>
      <c r="AR269" s="24">
        <f>ROUND(N269-X269-AH269,2)</f>
        <v/>
      </c>
      <c r="AS269" s="24">
        <f>ROUND(O269-Y269-AI269,2)</f>
        <v/>
      </c>
      <c r="AT269" s="24">
        <f>ROUND(P269-Z269-AJ269,2)</f>
        <v/>
      </c>
      <c r="AU269" s="24">
        <f>ROUND(Q269-AA269-AK269,2)</f>
        <v/>
      </c>
      <c r="AV269" s="24">
        <f>ROUND(R269-AB269-AL269,2)</f>
        <v/>
      </c>
      <c r="AW269" s="24">
        <f>ROUND(S269-AC269-AM269,2)</f>
        <v/>
      </c>
      <c r="AX269" s="24">
        <f>ROUND(T269-AD269-AN269,2)</f>
        <v/>
      </c>
      <c r="AY269" s="24">
        <f>ROUND(U269-AE269-AO269,2)</f>
        <v/>
      </c>
      <c r="AZ269" s="24">
        <f>ROUND(V269-AF269-AP269,2)</f>
        <v/>
      </c>
      <c r="BA269" s="24">
        <f>ROUND(W269-AG269-AQ269,2)</f>
        <v/>
      </c>
      <c r="BB269" s="24">
        <f>SUM(AR269:BA269)</f>
        <v/>
      </c>
    </row>
    <row r="270">
      <c r="A270" t="n">
        <v>266</v>
      </c>
      <c r="B270" s="23">
        <f>EOMONTH(TODAY(),265)</f>
        <v/>
      </c>
      <c r="C270" s="24">
        <f>MAX(0,(SUM('My Loans'!$E$6:$E$15)+'My Loans'!$D$3)-SUM($X270:$AG270))</f>
        <v/>
      </c>
      <c r="D270" s="24">
        <f>MAX(0,AR269)</f>
        <v/>
      </c>
      <c r="E270" s="24">
        <f>MAX(0,AS269)</f>
        <v/>
      </c>
      <c r="F270" s="24">
        <f>MAX(0,AT269)</f>
        <v/>
      </c>
      <c r="G270" s="24">
        <f>MAX(0,AU269)</f>
        <v/>
      </c>
      <c r="H270" s="24">
        <f>MAX(0,AV269)</f>
        <v/>
      </c>
      <c r="I270" s="24">
        <f>MAX(0,AW269)</f>
        <v/>
      </c>
      <c r="J270" s="24">
        <f>MAX(0,AX269)</f>
        <v/>
      </c>
      <c r="K270" s="24">
        <f>MAX(0,AY269)</f>
        <v/>
      </c>
      <c r="L270" s="24">
        <f>MAX(0,AZ269)</f>
        <v/>
      </c>
      <c r="M270" s="24">
        <f>MAX(0,BA269)</f>
        <v/>
      </c>
      <c r="N270" s="24">
        <f>IF(D270&lt;0.5,0,D270*(1+N('My Loans'!D6)/1200))</f>
        <v/>
      </c>
      <c r="O270" s="24">
        <f>IF(E270&lt;0.5,0,E270*(1+N('My Loans'!D7)/1200))</f>
        <v/>
      </c>
      <c r="P270" s="24">
        <f>IF(F270&lt;0.5,0,F270*(1+N('My Loans'!D8)/1200))</f>
        <v/>
      </c>
      <c r="Q270" s="24">
        <f>IF(G270&lt;0.5,0,G270*(1+N('My Loans'!D9)/1200))</f>
        <v/>
      </c>
      <c r="R270" s="24">
        <f>IF(H270&lt;0.5,0,H270*(1+N('My Loans'!D10)/1200))</f>
        <v/>
      </c>
      <c r="S270" s="24">
        <f>IF(I270&lt;0.5,0,I270*(1+N('My Loans'!D11)/1200))</f>
        <v/>
      </c>
      <c r="T270" s="24">
        <f>IF(J270&lt;0.5,0,J270*(1+N('My Loans'!D12)/1200))</f>
        <v/>
      </c>
      <c r="U270" s="24">
        <f>IF(K270&lt;0.5,0,K270*(1+N('My Loans'!D13)/1200))</f>
        <v/>
      </c>
      <c r="V270" s="24">
        <f>IF(L270&lt;0.5,0,L270*(1+N('My Loans'!D14)/1200))</f>
        <v/>
      </c>
      <c r="W270" s="24">
        <f>IF(M270&lt;0.5,0,M270*(1+N('My Loans'!D15)/1200))</f>
        <v/>
      </c>
      <c r="X270" s="24">
        <f>MIN(N270,N('My Loans'!E6))</f>
        <v/>
      </c>
      <c r="Y270" s="24">
        <f>MIN(O270,N('My Loans'!E7))</f>
        <v/>
      </c>
      <c r="Z270" s="24">
        <f>MIN(P270,N('My Loans'!E8))</f>
        <v/>
      </c>
      <c r="AA270" s="24">
        <f>MIN(Q270,N('My Loans'!E9))</f>
        <v/>
      </c>
      <c r="AB270" s="24">
        <f>MIN(R270,N('My Loans'!E10))</f>
        <v/>
      </c>
      <c r="AC270" s="24">
        <f>MIN(S270,N('My Loans'!E11))</f>
        <v/>
      </c>
      <c r="AD270" s="24">
        <f>MIN(T270,N('My Loans'!E12))</f>
        <v/>
      </c>
      <c r="AE270" s="24">
        <f>MIN(U270,N('My Loans'!E13))</f>
        <v/>
      </c>
      <c r="AF270" s="24">
        <f>MIN(V270,N('My Loans'!E14))</f>
        <v/>
      </c>
      <c r="AG270" s="24">
        <f>MIN(W270,N('My Loans'!E15))</f>
        <v/>
      </c>
      <c r="AH270" s="24">
        <f>MIN(N270-X270,MAX(0,$C270-SUMPRODUCT(($D$3:$M$3&lt;D$3)*($N270:$W270-$X270:$AG270))))</f>
        <v/>
      </c>
      <c r="AI270" s="24">
        <f>MIN(O270-Y270,MAX(0,$C270-SUMPRODUCT(($D$3:$M$3&lt;E$3)*($N270:$W270-$X270:$AG270))))</f>
        <v/>
      </c>
      <c r="AJ270" s="24">
        <f>MIN(P270-Z270,MAX(0,$C270-SUMPRODUCT(($D$3:$M$3&lt;F$3)*($N270:$W270-$X270:$AG270))))</f>
        <v/>
      </c>
      <c r="AK270" s="24">
        <f>MIN(Q270-AA270,MAX(0,$C270-SUMPRODUCT(($D$3:$M$3&lt;G$3)*($N270:$W270-$X270:$AG270))))</f>
        <v/>
      </c>
      <c r="AL270" s="24">
        <f>MIN(R270-AB270,MAX(0,$C270-SUMPRODUCT(($D$3:$M$3&lt;H$3)*($N270:$W270-$X270:$AG270))))</f>
        <v/>
      </c>
      <c r="AM270" s="24">
        <f>MIN(S270-AC270,MAX(0,$C270-SUMPRODUCT(($D$3:$M$3&lt;I$3)*($N270:$W270-$X270:$AG270))))</f>
        <v/>
      </c>
      <c r="AN270" s="24">
        <f>MIN(T270-AD270,MAX(0,$C270-SUMPRODUCT(($D$3:$M$3&lt;J$3)*($N270:$W270-$X270:$AG270))))</f>
        <v/>
      </c>
      <c r="AO270" s="24">
        <f>MIN(U270-AE270,MAX(0,$C270-SUMPRODUCT(($D$3:$M$3&lt;K$3)*($N270:$W270-$X270:$AG270))))</f>
        <v/>
      </c>
      <c r="AP270" s="24">
        <f>MIN(V270-AF270,MAX(0,$C270-SUMPRODUCT(($D$3:$M$3&lt;L$3)*($N270:$W270-$X270:$AG270))))</f>
        <v/>
      </c>
      <c r="AQ270" s="24">
        <f>MIN(W270-AG270,MAX(0,$C270-SUMPRODUCT(($D$3:$M$3&lt;M$3)*($N270:$W270-$X270:$AG270))))</f>
        <v/>
      </c>
      <c r="AR270" s="24">
        <f>ROUND(N270-X270-AH270,2)</f>
        <v/>
      </c>
      <c r="AS270" s="24">
        <f>ROUND(O270-Y270-AI270,2)</f>
        <v/>
      </c>
      <c r="AT270" s="24">
        <f>ROUND(P270-Z270-AJ270,2)</f>
        <v/>
      </c>
      <c r="AU270" s="24">
        <f>ROUND(Q270-AA270-AK270,2)</f>
        <v/>
      </c>
      <c r="AV270" s="24">
        <f>ROUND(R270-AB270-AL270,2)</f>
        <v/>
      </c>
      <c r="AW270" s="24">
        <f>ROUND(S270-AC270-AM270,2)</f>
        <v/>
      </c>
      <c r="AX270" s="24">
        <f>ROUND(T270-AD270-AN270,2)</f>
        <v/>
      </c>
      <c r="AY270" s="24">
        <f>ROUND(U270-AE270-AO270,2)</f>
        <v/>
      </c>
      <c r="AZ270" s="24">
        <f>ROUND(V270-AF270-AP270,2)</f>
        <v/>
      </c>
      <c r="BA270" s="24">
        <f>ROUND(W270-AG270-AQ270,2)</f>
        <v/>
      </c>
      <c r="BB270" s="24">
        <f>SUM(AR270:BA270)</f>
        <v/>
      </c>
    </row>
    <row r="271">
      <c r="A271" t="n">
        <v>267</v>
      </c>
      <c r="B271" s="23">
        <f>EOMONTH(TODAY(),266)</f>
        <v/>
      </c>
      <c r="C271" s="24">
        <f>MAX(0,(SUM('My Loans'!$E$6:$E$15)+'My Loans'!$D$3)-SUM($X271:$AG271))</f>
        <v/>
      </c>
      <c r="D271" s="24">
        <f>MAX(0,AR270)</f>
        <v/>
      </c>
      <c r="E271" s="24">
        <f>MAX(0,AS270)</f>
        <v/>
      </c>
      <c r="F271" s="24">
        <f>MAX(0,AT270)</f>
        <v/>
      </c>
      <c r="G271" s="24">
        <f>MAX(0,AU270)</f>
        <v/>
      </c>
      <c r="H271" s="24">
        <f>MAX(0,AV270)</f>
        <v/>
      </c>
      <c r="I271" s="24">
        <f>MAX(0,AW270)</f>
        <v/>
      </c>
      <c r="J271" s="24">
        <f>MAX(0,AX270)</f>
        <v/>
      </c>
      <c r="K271" s="24">
        <f>MAX(0,AY270)</f>
        <v/>
      </c>
      <c r="L271" s="24">
        <f>MAX(0,AZ270)</f>
        <v/>
      </c>
      <c r="M271" s="24">
        <f>MAX(0,BA270)</f>
        <v/>
      </c>
      <c r="N271" s="24">
        <f>IF(D271&lt;0.5,0,D271*(1+N('My Loans'!D6)/1200))</f>
        <v/>
      </c>
      <c r="O271" s="24">
        <f>IF(E271&lt;0.5,0,E271*(1+N('My Loans'!D7)/1200))</f>
        <v/>
      </c>
      <c r="P271" s="24">
        <f>IF(F271&lt;0.5,0,F271*(1+N('My Loans'!D8)/1200))</f>
        <v/>
      </c>
      <c r="Q271" s="24">
        <f>IF(G271&lt;0.5,0,G271*(1+N('My Loans'!D9)/1200))</f>
        <v/>
      </c>
      <c r="R271" s="24">
        <f>IF(H271&lt;0.5,0,H271*(1+N('My Loans'!D10)/1200))</f>
        <v/>
      </c>
      <c r="S271" s="24">
        <f>IF(I271&lt;0.5,0,I271*(1+N('My Loans'!D11)/1200))</f>
        <v/>
      </c>
      <c r="T271" s="24">
        <f>IF(J271&lt;0.5,0,J271*(1+N('My Loans'!D12)/1200))</f>
        <v/>
      </c>
      <c r="U271" s="24">
        <f>IF(K271&lt;0.5,0,K271*(1+N('My Loans'!D13)/1200))</f>
        <v/>
      </c>
      <c r="V271" s="24">
        <f>IF(L271&lt;0.5,0,L271*(1+N('My Loans'!D14)/1200))</f>
        <v/>
      </c>
      <c r="W271" s="24">
        <f>IF(M271&lt;0.5,0,M271*(1+N('My Loans'!D15)/1200))</f>
        <v/>
      </c>
      <c r="X271" s="24">
        <f>MIN(N271,N('My Loans'!E6))</f>
        <v/>
      </c>
      <c r="Y271" s="24">
        <f>MIN(O271,N('My Loans'!E7))</f>
        <v/>
      </c>
      <c r="Z271" s="24">
        <f>MIN(P271,N('My Loans'!E8))</f>
        <v/>
      </c>
      <c r="AA271" s="24">
        <f>MIN(Q271,N('My Loans'!E9))</f>
        <v/>
      </c>
      <c r="AB271" s="24">
        <f>MIN(R271,N('My Loans'!E10))</f>
        <v/>
      </c>
      <c r="AC271" s="24">
        <f>MIN(S271,N('My Loans'!E11))</f>
        <v/>
      </c>
      <c r="AD271" s="24">
        <f>MIN(T271,N('My Loans'!E12))</f>
        <v/>
      </c>
      <c r="AE271" s="24">
        <f>MIN(U271,N('My Loans'!E13))</f>
        <v/>
      </c>
      <c r="AF271" s="24">
        <f>MIN(V271,N('My Loans'!E14))</f>
        <v/>
      </c>
      <c r="AG271" s="24">
        <f>MIN(W271,N('My Loans'!E15))</f>
        <v/>
      </c>
      <c r="AH271" s="24">
        <f>MIN(N271-X271,MAX(0,$C271-SUMPRODUCT(($D$3:$M$3&lt;D$3)*($N271:$W271-$X271:$AG271))))</f>
        <v/>
      </c>
      <c r="AI271" s="24">
        <f>MIN(O271-Y271,MAX(0,$C271-SUMPRODUCT(($D$3:$M$3&lt;E$3)*($N271:$W271-$X271:$AG271))))</f>
        <v/>
      </c>
      <c r="AJ271" s="24">
        <f>MIN(P271-Z271,MAX(0,$C271-SUMPRODUCT(($D$3:$M$3&lt;F$3)*($N271:$W271-$X271:$AG271))))</f>
        <v/>
      </c>
      <c r="AK271" s="24">
        <f>MIN(Q271-AA271,MAX(0,$C271-SUMPRODUCT(($D$3:$M$3&lt;G$3)*($N271:$W271-$X271:$AG271))))</f>
        <v/>
      </c>
      <c r="AL271" s="24">
        <f>MIN(R271-AB271,MAX(0,$C271-SUMPRODUCT(($D$3:$M$3&lt;H$3)*($N271:$W271-$X271:$AG271))))</f>
        <v/>
      </c>
      <c r="AM271" s="24">
        <f>MIN(S271-AC271,MAX(0,$C271-SUMPRODUCT(($D$3:$M$3&lt;I$3)*($N271:$W271-$X271:$AG271))))</f>
        <v/>
      </c>
      <c r="AN271" s="24">
        <f>MIN(T271-AD271,MAX(0,$C271-SUMPRODUCT(($D$3:$M$3&lt;J$3)*($N271:$W271-$X271:$AG271))))</f>
        <v/>
      </c>
      <c r="AO271" s="24">
        <f>MIN(U271-AE271,MAX(0,$C271-SUMPRODUCT(($D$3:$M$3&lt;K$3)*($N271:$W271-$X271:$AG271))))</f>
        <v/>
      </c>
      <c r="AP271" s="24">
        <f>MIN(V271-AF271,MAX(0,$C271-SUMPRODUCT(($D$3:$M$3&lt;L$3)*($N271:$W271-$X271:$AG271))))</f>
        <v/>
      </c>
      <c r="AQ271" s="24">
        <f>MIN(W271-AG271,MAX(0,$C271-SUMPRODUCT(($D$3:$M$3&lt;M$3)*($N271:$W271-$X271:$AG271))))</f>
        <v/>
      </c>
      <c r="AR271" s="24">
        <f>ROUND(N271-X271-AH271,2)</f>
        <v/>
      </c>
      <c r="AS271" s="24">
        <f>ROUND(O271-Y271-AI271,2)</f>
        <v/>
      </c>
      <c r="AT271" s="24">
        <f>ROUND(P271-Z271-AJ271,2)</f>
        <v/>
      </c>
      <c r="AU271" s="24">
        <f>ROUND(Q271-AA271-AK271,2)</f>
        <v/>
      </c>
      <c r="AV271" s="24">
        <f>ROUND(R271-AB271-AL271,2)</f>
        <v/>
      </c>
      <c r="AW271" s="24">
        <f>ROUND(S271-AC271-AM271,2)</f>
        <v/>
      </c>
      <c r="AX271" s="24">
        <f>ROUND(T271-AD271-AN271,2)</f>
        <v/>
      </c>
      <c r="AY271" s="24">
        <f>ROUND(U271-AE271-AO271,2)</f>
        <v/>
      </c>
      <c r="AZ271" s="24">
        <f>ROUND(V271-AF271-AP271,2)</f>
        <v/>
      </c>
      <c r="BA271" s="24">
        <f>ROUND(W271-AG271-AQ271,2)</f>
        <v/>
      </c>
      <c r="BB271" s="24">
        <f>SUM(AR271:BA271)</f>
        <v/>
      </c>
    </row>
    <row r="272">
      <c r="A272" t="n">
        <v>268</v>
      </c>
      <c r="B272" s="23">
        <f>EOMONTH(TODAY(),267)</f>
        <v/>
      </c>
      <c r="C272" s="24">
        <f>MAX(0,(SUM('My Loans'!$E$6:$E$15)+'My Loans'!$D$3)-SUM($X272:$AG272))</f>
        <v/>
      </c>
      <c r="D272" s="24">
        <f>MAX(0,AR271)</f>
        <v/>
      </c>
      <c r="E272" s="24">
        <f>MAX(0,AS271)</f>
        <v/>
      </c>
      <c r="F272" s="24">
        <f>MAX(0,AT271)</f>
        <v/>
      </c>
      <c r="G272" s="24">
        <f>MAX(0,AU271)</f>
        <v/>
      </c>
      <c r="H272" s="24">
        <f>MAX(0,AV271)</f>
        <v/>
      </c>
      <c r="I272" s="24">
        <f>MAX(0,AW271)</f>
        <v/>
      </c>
      <c r="J272" s="24">
        <f>MAX(0,AX271)</f>
        <v/>
      </c>
      <c r="K272" s="24">
        <f>MAX(0,AY271)</f>
        <v/>
      </c>
      <c r="L272" s="24">
        <f>MAX(0,AZ271)</f>
        <v/>
      </c>
      <c r="M272" s="24">
        <f>MAX(0,BA271)</f>
        <v/>
      </c>
      <c r="N272" s="24">
        <f>IF(D272&lt;0.5,0,D272*(1+N('My Loans'!D6)/1200))</f>
        <v/>
      </c>
      <c r="O272" s="24">
        <f>IF(E272&lt;0.5,0,E272*(1+N('My Loans'!D7)/1200))</f>
        <v/>
      </c>
      <c r="P272" s="24">
        <f>IF(F272&lt;0.5,0,F272*(1+N('My Loans'!D8)/1200))</f>
        <v/>
      </c>
      <c r="Q272" s="24">
        <f>IF(G272&lt;0.5,0,G272*(1+N('My Loans'!D9)/1200))</f>
        <v/>
      </c>
      <c r="R272" s="24">
        <f>IF(H272&lt;0.5,0,H272*(1+N('My Loans'!D10)/1200))</f>
        <v/>
      </c>
      <c r="S272" s="24">
        <f>IF(I272&lt;0.5,0,I272*(1+N('My Loans'!D11)/1200))</f>
        <v/>
      </c>
      <c r="T272" s="24">
        <f>IF(J272&lt;0.5,0,J272*(1+N('My Loans'!D12)/1200))</f>
        <v/>
      </c>
      <c r="U272" s="24">
        <f>IF(K272&lt;0.5,0,K272*(1+N('My Loans'!D13)/1200))</f>
        <v/>
      </c>
      <c r="V272" s="24">
        <f>IF(L272&lt;0.5,0,L272*(1+N('My Loans'!D14)/1200))</f>
        <v/>
      </c>
      <c r="W272" s="24">
        <f>IF(M272&lt;0.5,0,M272*(1+N('My Loans'!D15)/1200))</f>
        <v/>
      </c>
      <c r="X272" s="24">
        <f>MIN(N272,N('My Loans'!E6))</f>
        <v/>
      </c>
      <c r="Y272" s="24">
        <f>MIN(O272,N('My Loans'!E7))</f>
        <v/>
      </c>
      <c r="Z272" s="24">
        <f>MIN(P272,N('My Loans'!E8))</f>
        <v/>
      </c>
      <c r="AA272" s="24">
        <f>MIN(Q272,N('My Loans'!E9))</f>
        <v/>
      </c>
      <c r="AB272" s="24">
        <f>MIN(R272,N('My Loans'!E10))</f>
        <v/>
      </c>
      <c r="AC272" s="24">
        <f>MIN(S272,N('My Loans'!E11))</f>
        <v/>
      </c>
      <c r="AD272" s="24">
        <f>MIN(T272,N('My Loans'!E12))</f>
        <v/>
      </c>
      <c r="AE272" s="24">
        <f>MIN(U272,N('My Loans'!E13))</f>
        <v/>
      </c>
      <c r="AF272" s="24">
        <f>MIN(V272,N('My Loans'!E14))</f>
        <v/>
      </c>
      <c r="AG272" s="24">
        <f>MIN(W272,N('My Loans'!E15))</f>
        <v/>
      </c>
      <c r="AH272" s="24">
        <f>MIN(N272-X272,MAX(0,$C272-SUMPRODUCT(($D$3:$M$3&lt;D$3)*($N272:$W272-$X272:$AG272))))</f>
        <v/>
      </c>
      <c r="AI272" s="24">
        <f>MIN(O272-Y272,MAX(0,$C272-SUMPRODUCT(($D$3:$M$3&lt;E$3)*($N272:$W272-$X272:$AG272))))</f>
        <v/>
      </c>
      <c r="AJ272" s="24">
        <f>MIN(P272-Z272,MAX(0,$C272-SUMPRODUCT(($D$3:$M$3&lt;F$3)*($N272:$W272-$X272:$AG272))))</f>
        <v/>
      </c>
      <c r="AK272" s="24">
        <f>MIN(Q272-AA272,MAX(0,$C272-SUMPRODUCT(($D$3:$M$3&lt;G$3)*($N272:$W272-$X272:$AG272))))</f>
        <v/>
      </c>
      <c r="AL272" s="24">
        <f>MIN(R272-AB272,MAX(0,$C272-SUMPRODUCT(($D$3:$M$3&lt;H$3)*($N272:$W272-$X272:$AG272))))</f>
        <v/>
      </c>
      <c r="AM272" s="24">
        <f>MIN(S272-AC272,MAX(0,$C272-SUMPRODUCT(($D$3:$M$3&lt;I$3)*($N272:$W272-$X272:$AG272))))</f>
        <v/>
      </c>
      <c r="AN272" s="24">
        <f>MIN(T272-AD272,MAX(0,$C272-SUMPRODUCT(($D$3:$M$3&lt;J$3)*($N272:$W272-$X272:$AG272))))</f>
        <v/>
      </c>
      <c r="AO272" s="24">
        <f>MIN(U272-AE272,MAX(0,$C272-SUMPRODUCT(($D$3:$M$3&lt;K$3)*($N272:$W272-$X272:$AG272))))</f>
        <v/>
      </c>
      <c r="AP272" s="24">
        <f>MIN(V272-AF272,MAX(0,$C272-SUMPRODUCT(($D$3:$M$3&lt;L$3)*($N272:$W272-$X272:$AG272))))</f>
        <v/>
      </c>
      <c r="AQ272" s="24">
        <f>MIN(W272-AG272,MAX(0,$C272-SUMPRODUCT(($D$3:$M$3&lt;M$3)*($N272:$W272-$X272:$AG272))))</f>
        <v/>
      </c>
      <c r="AR272" s="24">
        <f>ROUND(N272-X272-AH272,2)</f>
        <v/>
      </c>
      <c r="AS272" s="24">
        <f>ROUND(O272-Y272-AI272,2)</f>
        <v/>
      </c>
      <c r="AT272" s="24">
        <f>ROUND(P272-Z272-AJ272,2)</f>
        <v/>
      </c>
      <c r="AU272" s="24">
        <f>ROUND(Q272-AA272-AK272,2)</f>
        <v/>
      </c>
      <c r="AV272" s="24">
        <f>ROUND(R272-AB272-AL272,2)</f>
        <v/>
      </c>
      <c r="AW272" s="24">
        <f>ROUND(S272-AC272-AM272,2)</f>
        <v/>
      </c>
      <c r="AX272" s="24">
        <f>ROUND(T272-AD272-AN272,2)</f>
        <v/>
      </c>
      <c r="AY272" s="24">
        <f>ROUND(U272-AE272-AO272,2)</f>
        <v/>
      </c>
      <c r="AZ272" s="24">
        <f>ROUND(V272-AF272-AP272,2)</f>
        <v/>
      </c>
      <c r="BA272" s="24">
        <f>ROUND(W272-AG272-AQ272,2)</f>
        <v/>
      </c>
      <c r="BB272" s="24">
        <f>SUM(AR272:BA272)</f>
        <v/>
      </c>
    </row>
    <row r="273">
      <c r="A273" t="n">
        <v>269</v>
      </c>
      <c r="B273" s="23">
        <f>EOMONTH(TODAY(),268)</f>
        <v/>
      </c>
      <c r="C273" s="24">
        <f>MAX(0,(SUM('My Loans'!$E$6:$E$15)+'My Loans'!$D$3)-SUM($X273:$AG273))</f>
        <v/>
      </c>
      <c r="D273" s="24">
        <f>MAX(0,AR272)</f>
        <v/>
      </c>
      <c r="E273" s="24">
        <f>MAX(0,AS272)</f>
        <v/>
      </c>
      <c r="F273" s="24">
        <f>MAX(0,AT272)</f>
        <v/>
      </c>
      <c r="G273" s="24">
        <f>MAX(0,AU272)</f>
        <v/>
      </c>
      <c r="H273" s="24">
        <f>MAX(0,AV272)</f>
        <v/>
      </c>
      <c r="I273" s="24">
        <f>MAX(0,AW272)</f>
        <v/>
      </c>
      <c r="J273" s="24">
        <f>MAX(0,AX272)</f>
        <v/>
      </c>
      <c r="K273" s="24">
        <f>MAX(0,AY272)</f>
        <v/>
      </c>
      <c r="L273" s="24">
        <f>MAX(0,AZ272)</f>
        <v/>
      </c>
      <c r="M273" s="24">
        <f>MAX(0,BA272)</f>
        <v/>
      </c>
      <c r="N273" s="24">
        <f>IF(D273&lt;0.5,0,D273*(1+N('My Loans'!D6)/1200))</f>
        <v/>
      </c>
      <c r="O273" s="24">
        <f>IF(E273&lt;0.5,0,E273*(1+N('My Loans'!D7)/1200))</f>
        <v/>
      </c>
      <c r="P273" s="24">
        <f>IF(F273&lt;0.5,0,F273*(1+N('My Loans'!D8)/1200))</f>
        <v/>
      </c>
      <c r="Q273" s="24">
        <f>IF(G273&lt;0.5,0,G273*(1+N('My Loans'!D9)/1200))</f>
        <v/>
      </c>
      <c r="R273" s="24">
        <f>IF(H273&lt;0.5,0,H273*(1+N('My Loans'!D10)/1200))</f>
        <v/>
      </c>
      <c r="S273" s="24">
        <f>IF(I273&lt;0.5,0,I273*(1+N('My Loans'!D11)/1200))</f>
        <v/>
      </c>
      <c r="T273" s="24">
        <f>IF(J273&lt;0.5,0,J273*(1+N('My Loans'!D12)/1200))</f>
        <v/>
      </c>
      <c r="U273" s="24">
        <f>IF(K273&lt;0.5,0,K273*(1+N('My Loans'!D13)/1200))</f>
        <v/>
      </c>
      <c r="V273" s="24">
        <f>IF(L273&lt;0.5,0,L273*(1+N('My Loans'!D14)/1200))</f>
        <v/>
      </c>
      <c r="W273" s="24">
        <f>IF(M273&lt;0.5,0,M273*(1+N('My Loans'!D15)/1200))</f>
        <v/>
      </c>
      <c r="X273" s="24">
        <f>MIN(N273,N('My Loans'!E6))</f>
        <v/>
      </c>
      <c r="Y273" s="24">
        <f>MIN(O273,N('My Loans'!E7))</f>
        <v/>
      </c>
      <c r="Z273" s="24">
        <f>MIN(P273,N('My Loans'!E8))</f>
        <v/>
      </c>
      <c r="AA273" s="24">
        <f>MIN(Q273,N('My Loans'!E9))</f>
        <v/>
      </c>
      <c r="AB273" s="24">
        <f>MIN(R273,N('My Loans'!E10))</f>
        <v/>
      </c>
      <c r="AC273" s="24">
        <f>MIN(S273,N('My Loans'!E11))</f>
        <v/>
      </c>
      <c r="AD273" s="24">
        <f>MIN(T273,N('My Loans'!E12))</f>
        <v/>
      </c>
      <c r="AE273" s="24">
        <f>MIN(U273,N('My Loans'!E13))</f>
        <v/>
      </c>
      <c r="AF273" s="24">
        <f>MIN(V273,N('My Loans'!E14))</f>
        <v/>
      </c>
      <c r="AG273" s="24">
        <f>MIN(W273,N('My Loans'!E15))</f>
        <v/>
      </c>
      <c r="AH273" s="24">
        <f>MIN(N273-X273,MAX(0,$C273-SUMPRODUCT(($D$3:$M$3&lt;D$3)*($N273:$W273-$X273:$AG273))))</f>
        <v/>
      </c>
      <c r="AI273" s="24">
        <f>MIN(O273-Y273,MAX(0,$C273-SUMPRODUCT(($D$3:$M$3&lt;E$3)*($N273:$W273-$X273:$AG273))))</f>
        <v/>
      </c>
      <c r="AJ273" s="24">
        <f>MIN(P273-Z273,MAX(0,$C273-SUMPRODUCT(($D$3:$M$3&lt;F$3)*($N273:$W273-$X273:$AG273))))</f>
        <v/>
      </c>
      <c r="AK273" s="24">
        <f>MIN(Q273-AA273,MAX(0,$C273-SUMPRODUCT(($D$3:$M$3&lt;G$3)*($N273:$W273-$X273:$AG273))))</f>
        <v/>
      </c>
      <c r="AL273" s="24">
        <f>MIN(R273-AB273,MAX(0,$C273-SUMPRODUCT(($D$3:$M$3&lt;H$3)*($N273:$W273-$X273:$AG273))))</f>
        <v/>
      </c>
      <c r="AM273" s="24">
        <f>MIN(S273-AC273,MAX(0,$C273-SUMPRODUCT(($D$3:$M$3&lt;I$3)*($N273:$W273-$X273:$AG273))))</f>
        <v/>
      </c>
      <c r="AN273" s="24">
        <f>MIN(T273-AD273,MAX(0,$C273-SUMPRODUCT(($D$3:$M$3&lt;J$3)*($N273:$W273-$X273:$AG273))))</f>
        <v/>
      </c>
      <c r="AO273" s="24">
        <f>MIN(U273-AE273,MAX(0,$C273-SUMPRODUCT(($D$3:$M$3&lt;K$3)*($N273:$W273-$X273:$AG273))))</f>
        <v/>
      </c>
      <c r="AP273" s="24">
        <f>MIN(V273-AF273,MAX(0,$C273-SUMPRODUCT(($D$3:$M$3&lt;L$3)*($N273:$W273-$X273:$AG273))))</f>
        <v/>
      </c>
      <c r="AQ273" s="24">
        <f>MIN(W273-AG273,MAX(0,$C273-SUMPRODUCT(($D$3:$M$3&lt;M$3)*($N273:$W273-$X273:$AG273))))</f>
        <v/>
      </c>
      <c r="AR273" s="24">
        <f>ROUND(N273-X273-AH273,2)</f>
        <v/>
      </c>
      <c r="AS273" s="24">
        <f>ROUND(O273-Y273-AI273,2)</f>
        <v/>
      </c>
      <c r="AT273" s="24">
        <f>ROUND(P273-Z273-AJ273,2)</f>
        <v/>
      </c>
      <c r="AU273" s="24">
        <f>ROUND(Q273-AA273-AK273,2)</f>
        <v/>
      </c>
      <c r="AV273" s="24">
        <f>ROUND(R273-AB273-AL273,2)</f>
        <v/>
      </c>
      <c r="AW273" s="24">
        <f>ROUND(S273-AC273-AM273,2)</f>
        <v/>
      </c>
      <c r="AX273" s="24">
        <f>ROUND(T273-AD273-AN273,2)</f>
        <v/>
      </c>
      <c r="AY273" s="24">
        <f>ROUND(U273-AE273-AO273,2)</f>
        <v/>
      </c>
      <c r="AZ273" s="24">
        <f>ROUND(V273-AF273-AP273,2)</f>
        <v/>
      </c>
      <c r="BA273" s="24">
        <f>ROUND(W273-AG273-AQ273,2)</f>
        <v/>
      </c>
      <c r="BB273" s="24">
        <f>SUM(AR273:BA273)</f>
        <v/>
      </c>
    </row>
    <row r="274">
      <c r="A274" t="n">
        <v>270</v>
      </c>
      <c r="B274" s="23">
        <f>EOMONTH(TODAY(),269)</f>
        <v/>
      </c>
      <c r="C274" s="24">
        <f>MAX(0,(SUM('My Loans'!$E$6:$E$15)+'My Loans'!$D$3)-SUM($X274:$AG274))</f>
        <v/>
      </c>
      <c r="D274" s="24">
        <f>MAX(0,AR273)</f>
        <v/>
      </c>
      <c r="E274" s="24">
        <f>MAX(0,AS273)</f>
        <v/>
      </c>
      <c r="F274" s="24">
        <f>MAX(0,AT273)</f>
        <v/>
      </c>
      <c r="G274" s="24">
        <f>MAX(0,AU273)</f>
        <v/>
      </c>
      <c r="H274" s="24">
        <f>MAX(0,AV273)</f>
        <v/>
      </c>
      <c r="I274" s="24">
        <f>MAX(0,AW273)</f>
        <v/>
      </c>
      <c r="J274" s="24">
        <f>MAX(0,AX273)</f>
        <v/>
      </c>
      <c r="K274" s="24">
        <f>MAX(0,AY273)</f>
        <v/>
      </c>
      <c r="L274" s="24">
        <f>MAX(0,AZ273)</f>
        <v/>
      </c>
      <c r="M274" s="24">
        <f>MAX(0,BA273)</f>
        <v/>
      </c>
      <c r="N274" s="24">
        <f>IF(D274&lt;0.5,0,D274*(1+N('My Loans'!D6)/1200))</f>
        <v/>
      </c>
      <c r="O274" s="24">
        <f>IF(E274&lt;0.5,0,E274*(1+N('My Loans'!D7)/1200))</f>
        <v/>
      </c>
      <c r="P274" s="24">
        <f>IF(F274&lt;0.5,0,F274*(1+N('My Loans'!D8)/1200))</f>
        <v/>
      </c>
      <c r="Q274" s="24">
        <f>IF(G274&lt;0.5,0,G274*(1+N('My Loans'!D9)/1200))</f>
        <v/>
      </c>
      <c r="R274" s="24">
        <f>IF(H274&lt;0.5,0,H274*(1+N('My Loans'!D10)/1200))</f>
        <v/>
      </c>
      <c r="S274" s="24">
        <f>IF(I274&lt;0.5,0,I274*(1+N('My Loans'!D11)/1200))</f>
        <v/>
      </c>
      <c r="T274" s="24">
        <f>IF(J274&lt;0.5,0,J274*(1+N('My Loans'!D12)/1200))</f>
        <v/>
      </c>
      <c r="U274" s="24">
        <f>IF(K274&lt;0.5,0,K274*(1+N('My Loans'!D13)/1200))</f>
        <v/>
      </c>
      <c r="V274" s="24">
        <f>IF(L274&lt;0.5,0,L274*(1+N('My Loans'!D14)/1200))</f>
        <v/>
      </c>
      <c r="W274" s="24">
        <f>IF(M274&lt;0.5,0,M274*(1+N('My Loans'!D15)/1200))</f>
        <v/>
      </c>
      <c r="X274" s="24">
        <f>MIN(N274,N('My Loans'!E6))</f>
        <v/>
      </c>
      <c r="Y274" s="24">
        <f>MIN(O274,N('My Loans'!E7))</f>
        <v/>
      </c>
      <c r="Z274" s="24">
        <f>MIN(P274,N('My Loans'!E8))</f>
        <v/>
      </c>
      <c r="AA274" s="24">
        <f>MIN(Q274,N('My Loans'!E9))</f>
        <v/>
      </c>
      <c r="AB274" s="24">
        <f>MIN(R274,N('My Loans'!E10))</f>
        <v/>
      </c>
      <c r="AC274" s="24">
        <f>MIN(S274,N('My Loans'!E11))</f>
        <v/>
      </c>
      <c r="AD274" s="24">
        <f>MIN(T274,N('My Loans'!E12))</f>
        <v/>
      </c>
      <c r="AE274" s="24">
        <f>MIN(U274,N('My Loans'!E13))</f>
        <v/>
      </c>
      <c r="AF274" s="24">
        <f>MIN(V274,N('My Loans'!E14))</f>
        <v/>
      </c>
      <c r="AG274" s="24">
        <f>MIN(W274,N('My Loans'!E15))</f>
        <v/>
      </c>
      <c r="AH274" s="24">
        <f>MIN(N274-X274,MAX(0,$C274-SUMPRODUCT(($D$3:$M$3&lt;D$3)*($N274:$W274-$X274:$AG274))))</f>
        <v/>
      </c>
      <c r="AI274" s="24">
        <f>MIN(O274-Y274,MAX(0,$C274-SUMPRODUCT(($D$3:$M$3&lt;E$3)*($N274:$W274-$X274:$AG274))))</f>
        <v/>
      </c>
      <c r="AJ274" s="24">
        <f>MIN(P274-Z274,MAX(0,$C274-SUMPRODUCT(($D$3:$M$3&lt;F$3)*($N274:$W274-$X274:$AG274))))</f>
        <v/>
      </c>
      <c r="AK274" s="24">
        <f>MIN(Q274-AA274,MAX(0,$C274-SUMPRODUCT(($D$3:$M$3&lt;G$3)*($N274:$W274-$X274:$AG274))))</f>
        <v/>
      </c>
      <c r="AL274" s="24">
        <f>MIN(R274-AB274,MAX(0,$C274-SUMPRODUCT(($D$3:$M$3&lt;H$3)*($N274:$W274-$X274:$AG274))))</f>
        <v/>
      </c>
      <c r="AM274" s="24">
        <f>MIN(S274-AC274,MAX(0,$C274-SUMPRODUCT(($D$3:$M$3&lt;I$3)*($N274:$W274-$X274:$AG274))))</f>
        <v/>
      </c>
      <c r="AN274" s="24">
        <f>MIN(T274-AD274,MAX(0,$C274-SUMPRODUCT(($D$3:$M$3&lt;J$3)*($N274:$W274-$X274:$AG274))))</f>
        <v/>
      </c>
      <c r="AO274" s="24">
        <f>MIN(U274-AE274,MAX(0,$C274-SUMPRODUCT(($D$3:$M$3&lt;K$3)*($N274:$W274-$X274:$AG274))))</f>
        <v/>
      </c>
      <c r="AP274" s="24">
        <f>MIN(V274-AF274,MAX(0,$C274-SUMPRODUCT(($D$3:$M$3&lt;L$3)*($N274:$W274-$X274:$AG274))))</f>
        <v/>
      </c>
      <c r="AQ274" s="24">
        <f>MIN(W274-AG274,MAX(0,$C274-SUMPRODUCT(($D$3:$M$3&lt;M$3)*($N274:$W274-$X274:$AG274))))</f>
        <v/>
      </c>
      <c r="AR274" s="24">
        <f>ROUND(N274-X274-AH274,2)</f>
        <v/>
      </c>
      <c r="AS274" s="24">
        <f>ROUND(O274-Y274-AI274,2)</f>
        <v/>
      </c>
      <c r="AT274" s="24">
        <f>ROUND(P274-Z274-AJ274,2)</f>
        <v/>
      </c>
      <c r="AU274" s="24">
        <f>ROUND(Q274-AA274-AK274,2)</f>
        <v/>
      </c>
      <c r="AV274" s="24">
        <f>ROUND(R274-AB274-AL274,2)</f>
        <v/>
      </c>
      <c r="AW274" s="24">
        <f>ROUND(S274-AC274-AM274,2)</f>
        <v/>
      </c>
      <c r="AX274" s="24">
        <f>ROUND(T274-AD274-AN274,2)</f>
        <v/>
      </c>
      <c r="AY274" s="24">
        <f>ROUND(U274-AE274-AO274,2)</f>
        <v/>
      </c>
      <c r="AZ274" s="24">
        <f>ROUND(V274-AF274-AP274,2)</f>
        <v/>
      </c>
      <c r="BA274" s="24">
        <f>ROUND(W274-AG274-AQ274,2)</f>
        <v/>
      </c>
      <c r="BB274" s="24">
        <f>SUM(AR274:BA274)</f>
        <v/>
      </c>
    </row>
    <row r="275">
      <c r="A275" t="n">
        <v>271</v>
      </c>
      <c r="B275" s="23">
        <f>EOMONTH(TODAY(),270)</f>
        <v/>
      </c>
      <c r="C275" s="24">
        <f>MAX(0,(SUM('My Loans'!$E$6:$E$15)+'My Loans'!$D$3)-SUM($X275:$AG275))</f>
        <v/>
      </c>
      <c r="D275" s="24">
        <f>MAX(0,AR274)</f>
        <v/>
      </c>
      <c r="E275" s="24">
        <f>MAX(0,AS274)</f>
        <v/>
      </c>
      <c r="F275" s="24">
        <f>MAX(0,AT274)</f>
        <v/>
      </c>
      <c r="G275" s="24">
        <f>MAX(0,AU274)</f>
        <v/>
      </c>
      <c r="H275" s="24">
        <f>MAX(0,AV274)</f>
        <v/>
      </c>
      <c r="I275" s="24">
        <f>MAX(0,AW274)</f>
        <v/>
      </c>
      <c r="J275" s="24">
        <f>MAX(0,AX274)</f>
        <v/>
      </c>
      <c r="K275" s="24">
        <f>MAX(0,AY274)</f>
        <v/>
      </c>
      <c r="L275" s="24">
        <f>MAX(0,AZ274)</f>
        <v/>
      </c>
      <c r="M275" s="24">
        <f>MAX(0,BA274)</f>
        <v/>
      </c>
      <c r="N275" s="24">
        <f>IF(D275&lt;0.5,0,D275*(1+N('My Loans'!D6)/1200))</f>
        <v/>
      </c>
      <c r="O275" s="24">
        <f>IF(E275&lt;0.5,0,E275*(1+N('My Loans'!D7)/1200))</f>
        <v/>
      </c>
      <c r="P275" s="24">
        <f>IF(F275&lt;0.5,0,F275*(1+N('My Loans'!D8)/1200))</f>
        <v/>
      </c>
      <c r="Q275" s="24">
        <f>IF(G275&lt;0.5,0,G275*(1+N('My Loans'!D9)/1200))</f>
        <v/>
      </c>
      <c r="R275" s="24">
        <f>IF(H275&lt;0.5,0,H275*(1+N('My Loans'!D10)/1200))</f>
        <v/>
      </c>
      <c r="S275" s="24">
        <f>IF(I275&lt;0.5,0,I275*(1+N('My Loans'!D11)/1200))</f>
        <v/>
      </c>
      <c r="T275" s="24">
        <f>IF(J275&lt;0.5,0,J275*(1+N('My Loans'!D12)/1200))</f>
        <v/>
      </c>
      <c r="U275" s="24">
        <f>IF(K275&lt;0.5,0,K275*(1+N('My Loans'!D13)/1200))</f>
        <v/>
      </c>
      <c r="V275" s="24">
        <f>IF(L275&lt;0.5,0,L275*(1+N('My Loans'!D14)/1200))</f>
        <v/>
      </c>
      <c r="W275" s="24">
        <f>IF(M275&lt;0.5,0,M275*(1+N('My Loans'!D15)/1200))</f>
        <v/>
      </c>
      <c r="X275" s="24">
        <f>MIN(N275,N('My Loans'!E6))</f>
        <v/>
      </c>
      <c r="Y275" s="24">
        <f>MIN(O275,N('My Loans'!E7))</f>
        <v/>
      </c>
      <c r="Z275" s="24">
        <f>MIN(P275,N('My Loans'!E8))</f>
        <v/>
      </c>
      <c r="AA275" s="24">
        <f>MIN(Q275,N('My Loans'!E9))</f>
        <v/>
      </c>
      <c r="AB275" s="24">
        <f>MIN(R275,N('My Loans'!E10))</f>
        <v/>
      </c>
      <c r="AC275" s="24">
        <f>MIN(S275,N('My Loans'!E11))</f>
        <v/>
      </c>
      <c r="AD275" s="24">
        <f>MIN(T275,N('My Loans'!E12))</f>
        <v/>
      </c>
      <c r="AE275" s="24">
        <f>MIN(U275,N('My Loans'!E13))</f>
        <v/>
      </c>
      <c r="AF275" s="24">
        <f>MIN(V275,N('My Loans'!E14))</f>
        <v/>
      </c>
      <c r="AG275" s="24">
        <f>MIN(W275,N('My Loans'!E15))</f>
        <v/>
      </c>
      <c r="AH275" s="24">
        <f>MIN(N275-X275,MAX(0,$C275-SUMPRODUCT(($D$3:$M$3&lt;D$3)*($N275:$W275-$X275:$AG275))))</f>
        <v/>
      </c>
      <c r="AI275" s="24">
        <f>MIN(O275-Y275,MAX(0,$C275-SUMPRODUCT(($D$3:$M$3&lt;E$3)*($N275:$W275-$X275:$AG275))))</f>
        <v/>
      </c>
      <c r="AJ275" s="24">
        <f>MIN(P275-Z275,MAX(0,$C275-SUMPRODUCT(($D$3:$M$3&lt;F$3)*($N275:$W275-$X275:$AG275))))</f>
        <v/>
      </c>
      <c r="AK275" s="24">
        <f>MIN(Q275-AA275,MAX(0,$C275-SUMPRODUCT(($D$3:$M$3&lt;G$3)*($N275:$W275-$X275:$AG275))))</f>
        <v/>
      </c>
      <c r="AL275" s="24">
        <f>MIN(R275-AB275,MAX(0,$C275-SUMPRODUCT(($D$3:$M$3&lt;H$3)*($N275:$W275-$X275:$AG275))))</f>
        <v/>
      </c>
      <c r="AM275" s="24">
        <f>MIN(S275-AC275,MAX(0,$C275-SUMPRODUCT(($D$3:$M$3&lt;I$3)*($N275:$W275-$X275:$AG275))))</f>
        <v/>
      </c>
      <c r="AN275" s="24">
        <f>MIN(T275-AD275,MAX(0,$C275-SUMPRODUCT(($D$3:$M$3&lt;J$3)*($N275:$W275-$X275:$AG275))))</f>
        <v/>
      </c>
      <c r="AO275" s="24">
        <f>MIN(U275-AE275,MAX(0,$C275-SUMPRODUCT(($D$3:$M$3&lt;K$3)*($N275:$W275-$X275:$AG275))))</f>
        <v/>
      </c>
      <c r="AP275" s="24">
        <f>MIN(V275-AF275,MAX(0,$C275-SUMPRODUCT(($D$3:$M$3&lt;L$3)*($N275:$W275-$X275:$AG275))))</f>
        <v/>
      </c>
      <c r="AQ275" s="24">
        <f>MIN(W275-AG275,MAX(0,$C275-SUMPRODUCT(($D$3:$M$3&lt;M$3)*($N275:$W275-$X275:$AG275))))</f>
        <v/>
      </c>
      <c r="AR275" s="24">
        <f>ROUND(N275-X275-AH275,2)</f>
        <v/>
      </c>
      <c r="AS275" s="24">
        <f>ROUND(O275-Y275-AI275,2)</f>
        <v/>
      </c>
      <c r="AT275" s="24">
        <f>ROUND(P275-Z275-AJ275,2)</f>
        <v/>
      </c>
      <c r="AU275" s="24">
        <f>ROUND(Q275-AA275-AK275,2)</f>
        <v/>
      </c>
      <c r="AV275" s="24">
        <f>ROUND(R275-AB275-AL275,2)</f>
        <v/>
      </c>
      <c r="AW275" s="24">
        <f>ROUND(S275-AC275-AM275,2)</f>
        <v/>
      </c>
      <c r="AX275" s="24">
        <f>ROUND(T275-AD275-AN275,2)</f>
        <v/>
      </c>
      <c r="AY275" s="24">
        <f>ROUND(U275-AE275-AO275,2)</f>
        <v/>
      </c>
      <c r="AZ275" s="24">
        <f>ROUND(V275-AF275-AP275,2)</f>
        <v/>
      </c>
      <c r="BA275" s="24">
        <f>ROUND(W275-AG275-AQ275,2)</f>
        <v/>
      </c>
      <c r="BB275" s="24">
        <f>SUM(AR275:BA275)</f>
        <v/>
      </c>
    </row>
    <row r="276">
      <c r="A276" t="n">
        <v>272</v>
      </c>
      <c r="B276" s="23">
        <f>EOMONTH(TODAY(),271)</f>
        <v/>
      </c>
      <c r="C276" s="24">
        <f>MAX(0,(SUM('My Loans'!$E$6:$E$15)+'My Loans'!$D$3)-SUM($X276:$AG276))</f>
        <v/>
      </c>
      <c r="D276" s="24">
        <f>MAX(0,AR275)</f>
        <v/>
      </c>
      <c r="E276" s="24">
        <f>MAX(0,AS275)</f>
        <v/>
      </c>
      <c r="F276" s="24">
        <f>MAX(0,AT275)</f>
        <v/>
      </c>
      <c r="G276" s="24">
        <f>MAX(0,AU275)</f>
        <v/>
      </c>
      <c r="H276" s="24">
        <f>MAX(0,AV275)</f>
        <v/>
      </c>
      <c r="I276" s="24">
        <f>MAX(0,AW275)</f>
        <v/>
      </c>
      <c r="J276" s="24">
        <f>MAX(0,AX275)</f>
        <v/>
      </c>
      <c r="K276" s="24">
        <f>MAX(0,AY275)</f>
        <v/>
      </c>
      <c r="L276" s="24">
        <f>MAX(0,AZ275)</f>
        <v/>
      </c>
      <c r="M276" s="24">
        <f>MAX(0,BA275)</f>
        <v/>
      </c>
      <c r="N276" s="24">
        <f>IF(D276&lt;0.5,0,D276*(1+N('My Loans'!D6)/1200))</f>
        <v/>
      </c>
      <c r="O276" s="24">
        <f>IF(E276&lt;0.5,0,E276*(1+N('My Loans'!D7)/1200))</f>
        <v/>
      </c>
      <c r="P276" s="24">
        <f>IF(F276&lt;0.5,0,F276*(1+N('My Loans'!D8)/1200))</f>
        <v/>
      </c>
      <c r="Q276" s="24">
        <f>IF(G276&lt;0.5,0,G276*(1+N('My Loans'!D9)/1200))</f>
        <v/>
      </c>
      <c r="R276" s="24">
        <f>IF(H276&lt;0.5,0,H276*(1+N('My Loans'!D10)/1200))</f>
        <v/>
      </c>
      <c r="S276" s="24">
        <f>IF(I276&lt;0.5,0,I276*(1+N('My Loans'!D11)/1200))</f>
        <v/>
      </c>
      <c r="T276" s="24">
        <f>IF(J276&lt;0.5,0,J276*(1+N('My Loans'!D12)/1200))</f>
        <v/>
      </c>
      <c r="U276" s="24">
        <f>IF(K276&lt;0.5,0,K276*(1+N('My Loans'!D13)/1200))</f>
        <v/>
      </c>
      <c r="V276" s="24">
        <f>IF(L276&lt;0.5,0,L276*(1+N('My Loans'!D14)/1200))</f>
        <v/>
      </c>
      <c r="W276" s="24">
        <f>IF(M276&lt;0.5,0,M276*(1+N('My Loans'!D15)/1200))</f>
        <v/>
      </c>
      <c r="X276" s="24">
        <f>MIN(N276,N('My Loans'!E6))</f>
        <v/>
      </c>
      <c r="Y276" s="24">
        <f>MIN(O276,N('My Loans'!E7))</f>
        <v/>
      </c>
      <c r="Z276" s="24">
        <f>MIN(P276,N('My Loans'!E8))</f>
        <v/>
      </c>
      <c r="AA276" s="24">
        <f>MIN(Q276,N('My Loans'!E9))</f>
        <v/>
      </c>
      <c r="AB276" s="24">
        <f>MIN(R276,N('My Loans'!E10))</f>
        <v/>
      </c>
      <c r="AC276" s="24">
        <f>MIN(S276,N('My Loans'!E11))</f>
        <v/>
      </c>
      <c r="AD276" s="24">
        <f>MIN(T276,N('My Loans'!E12))</f>
        <v/>
      </c>
      <c r="AE276" s="24">
        <f>MIN(U276,N('My Loans'!E13))</f>
        <v/>
      </c>
      <c r="AF276" s="24">
        <f>MIN(V276,N('My Loans'!E14))</f>
        <v/>
      </c>
      <c r="AG276" s="24">
        <f>MIN(W276,N('My Loans'!E15))</f>
        <v/>
      </c>
      <c r="AH276" s="24">
        <f>MIN(N276-X276,MAX(0,$C276-SUMPRODUCT(($D$3:$M$3&lt;D$3)*($N276:$W276-$X276:$AG276))))</f>
        <v/>
      </c>
      <c r="AI276" s="24">
        <f>MIN(O276-Y276,MAX(0,$C276-SUMPRODUCT(($D$3:$M$3&lt;E$3)*($N276:$W276-$X276:$AG276))))</f>
        <v/>
      </c>
      <c r="AJ276" s="24">
        <f>MIN(P276-Z276,MAX(0,$C276-SUMPRODUCT(($D$3:$M$3&lt;F$3)*($N276:$W276-$X276:$AG276))))</f>
        <v/>
      </c>
      <c r="AK276" s="24">
        <f>MIN(Q276-AA276,MAX(0,$C276-SUMPRODUCT(($D$3:$M$3&lt;G$3)*($N276:$W276-$X276:$AG276))))</f>
        <v/>
      </c>
      <c r="AL276" s="24">
        <f>MIN(R276-AB276,MAX(0,$C276-SUMPRODUCT(($D$3:$M$3&lt;H$3)*($N276:$W276-$X276:$AG276))))</f>
        <v/>
      </c>
      <c r="AM276" s="24">
        <f>MIN(S276-AC276,MAX(0,$C276-SUMPRODUCT(($D$3:$M$3&lt;I$3)*($N276:$W276-$X276:$AG276))))</f>
        <v/>
      </c>
      <c r="AN276" s="24">
        <f>MIN(T276-AD276,MAX(0,$C276-SUMPRODUCT(($D$3:$M$3&lt;J$3)*($N276:$W276-$X276:$AG276))))</f>
        <v/>
      </c>
      <c r="AO276" s="24">
        <f>MIN(U276-AE276,MAX(0,$C276-SUMPRODUCT(($D$3:$M$3&lt;K$3)*($N276:$W276-$X276:$AG276))))</f>
        <v/>
      </c>
      <c r="AP276" s="24">
        <f>MIN(V276-AF276,MAX(0,$C276-SUMPRODUCT(($D$3:$M$3&lt;L$3)*($N276:$W276-$X276:$AG276))))</f>
        <v/>
      </c>
      <c r="AQ276" s="24">
        <f>MIN(W276-AG276,MAX(0,$C276-SUMPRODUCT(($D$3:$M$3&lt;M$3)*($N276:$W276-$X276:$AG276))))</f>
        <v/>
      </c>
      <c r="AR276" s="24">
        <f>ROUND(N276-X276-AH276,2)</f>
        <v/>
      </c>
      <c r="AS276" s="24">
        <f>ROUND(O276-Y276-AI276,2)</f>
        <v/>
      </c>
      <c r="AT276" s="24">
        <f>ROUND(P276-Z276-AJ276,2)</f>
        <v/>
      </c>
      <c r="AU276" s="24">
        <f>ROUND(Q276-AA276-AK276,2)</f>
        <v/>
      </c>
      <c r="AV276" s="24">
        <f>ROUND(R276-AB276-AL276,2)</f>
        <v/>
      </c>
      <c r="AW276" s="24">
        <f>ROUND(S276-AC276-AM276,2)</f>
        <v/>
      </c>
      <c r="AX276" s="24">
        <f>ROUND(T276-AD276-AN276,2)</f>
        <v/>
      </c>
      <c r="AY276" s="24">
        <f>ROUND(U276-AE276-AO276,2)</f>
        <v/>
      </c>
      <c r="AZ276" s="24">
        <f>ROUND(V276-AF276-AP276,2)</f>
        <v/>
      </c>
      <c r="BA276" s="24">
        <f>ROUND(W276-AG276-AQ276,2)</f>
        <v/>
      </c>
      <c r="BB276" s="24">
        <f>SUM(AR276:BA276)</f>
        <v/>
      </c>
    </row>
    <row r="277">
      <c r="A277" t="n">
        <v>273</v>
      </c>
      <c r="B277" s="23">
        <f>EOMONTH(TODAY(),272)</f>
        <v/>
      </c>
      <c r="C277" s="24">
        <f>MAX(0,(SUM('My Loans'!$E$6:$E$15)+'My Loans'!$D$3)-SUM($X277:$AG277))</f>
        <v/>
      </c>
      <c r="D277" s="24">
        <f>MAX(0,AR276)</f>
        <v/>
      </c>
      <c r="E277" s="24">
        <f>MAX(0,AS276)</f>
        <v/>
      </c>
      <c r="F277" s="24">
        <f>MAX(0,AT276)</f>
        <v/>
      </c>
      <c r="G277" s="24">
        <f>MAX(0,AU276)</f>
        <v/>
      </c>
      <c r="H277" s="24">
        <f>MAX(0,AV276)</f>
        <v/>
      </c>
      <c r="I277" s="24">
        <f>MAX(0,AW276)</f>
        <v/>
      </c>
      <c r="J277" s="24">
        <f>MAX(0,AX276)</f>
        <v/>
      </c>
      <c r="K277" s="24">
        <f>MAX(0,AY276)</f>
        <v/>
      </c>
      <c r="L277" s="24">
        <f>MAX(0,AZ276)</f>
        <v/>
      </c>
      <c r="M277" s="24">
        <f>MAX(0,BA276)</f>
        <v/>
      </c>
      <c r="N277" s="24">
        <f>IF(D277&lt;0.5,0,D277*(1+N('My Loans'!D6)/1200))</f>
        <v/>
      </c>
      <c r="O277" s="24">
        <f>IF(E277&lt;0.5,0,E277*(1+N('My Loans'!D7)/1200))</f>
        <v/>
      </c>
      <c r="P277" s="24">
        <f>IF(F277&lt;0.5,0,F277*(1+N('My Loans'!D8)/1200))</f>
        <v/>
      </c>
      <c r="Q277" s="24">
        <f>IF(G277&lt;0.5,0,G277*(1+N('My Loans'!D9)/1200))</f>
        <v/>
      </c>
      <c r="R277" s="24">
        <f>IF(H277&lt;0.5,0,H277*(1+N('My Loans'!D10)/1200))</f>
        <v/>
      </c>
      <c r="S277" s="24">
        <f>IF(I277&lt;0.5,0,I277*(1+N('My Loans'!D11)/1200))</f>
        <v/>
      </c>
      <c r="T277" s="24">
        <f>IF(J277&lt;0.5,0,J277*(1+N('My Loans'!D12)/1200))</f>
        <v/>
      </c>
      <c r="U277" s="24">
        <f>IF(K277&lt;0.5,0,K277*(1+N('My Loans'!D13)/1200))</f>
        <v/>
      </c>
      <c r="V277" s="24">
        <f>IF(L277&lt;0.5,0,L277*(1+N('My Loans'!D14)/1200))</f>
        <v/>
      </c>
      <c r="W277" s="24">
        <f>IF(M277&lt;0.5,0,M277*(1+N('My Loans'!D15)/1200))</f>
        <v/>
      </c>
      <c r="X277" s="24">
        <f>MIN(N277,N('My Loans'!E6))</f>
        <v/>
      </c>
      <c r="Y277" s="24">
        <f>MIN(O277,N('My Loans'!E7))</f>
        <v/>
      </c>
      <c r="Z277" s="24">
        <f>MIN(P277,N('My Loans'!E8))</f>
        <v/>
      </c>
      <c r="AA277" s="24">
        <f>MIN(Q277,N('My Loans'!E9))</f>
        <v/>
      </c>
      <c r="AB277" s="24">
        <f>MIN(R277,N('My Loans'!E10))</f>
        <v/>
      </c>
      <c r="AC277" s="24">
        <f>MIN(S277,N('My Loans'!E11))</f>
        <v/>
      </c>
      <c r="AD277" s="24">
        <f>MIN(T277,N('My Loans'!E12))</f>
        <v/>
      </c>
      <c r="AE277" s="24">
        <f>MIN(U277,N('My Loans'!E13))</f>
        <v/>
      </c>
      <c r="AF277" s="24">
        <f>MIN(V277,N('My Loans'!E14))</f>
        <v/>
      </c>
      <c r="AG277" s="24">
        <f>MIN(W277,N('My Loans'!E15))</f>
        <v/>
      </c>
      <c r="AH277" s="24">
        <f>MIN(N277-X277,MAX(0,$C277-SUMPRODUCT(($D$3:$M$3&lt;D$3)*($N277:$W277-$X277:$AG277))))</f>
        <v/>
      </c>
      <c r="AI277" s="24">
        <f>MIN(O277-Y277,MAX(0,$C277-SUMPRODUCT(($D$3:$M$3&lt;E$3)*($N277:$W277-$X277:$AG277))))</f>
        <v/>
      </c>
      <c r="AJ277" s="24">
        <f>MIN(P277-Z277,MAX(0,$C277-SUMPRODUCT(($D$3:$M$3&lt;F$3)*($N277:$W277-$X277:$AG277))))</f>
        <v/>
      </c>
      <c r="AK277" s="24">
        <f>MIN(Q277-AA277,MAX(0,$C277-SUMPRODUCT(($D$3:$M$3&lt;G$3)*($N277:$W277-$X277:$AG277))))</f>
        <v/>
      </c>
      <c r="AL277" s="24">
        <f>MIN(R277-AB277,MAX(0,$C277-SUMPRODUCT(($D$3:$M$3&lt;H$3)*($N277:$W277-$X277:$AG277))))</f>
        <v/>
      </c>
      <c r="AM277" s="24">
        <f>MIN(S277-AC277,MAX(0,$C277-SUMPRODUCT(($D$3:$M$3&lt;I$3)*($N277:$W277-$X277:$AG277))))</f>
        <v/>
      </c>
      <c r="AN277" s="24">
        <f>MIN(T277-AD277,MAX(0,$C277-SUMPRODUCT(($D$3:$M$3&lt;J$3)*($N277:$W277-$X277:$AG277))))</f>
        <v/>
      </c>
      <c r="AO277" s="24">
        <f>MIN(U277-AE277,MAX(0,$C277-SUMPRODUCT(($D$3:$M$3&lt;K$3)*($N277:$W277-$X277:$AG277))))</f>
        <v/>
      </c>
      <c r="AP277" s="24">
        <f>MIN(V277-AF277,MAX(0,$C277-SUMPRODUCT(($D$3:$M$3&lt;L$3)*($N277:$W277-$X277:$AG277))))</f>
        <v/>
      </c>
      <c r="AQ277" s="24">
        <f>MIN(W277-AG277,MAX(0,$C277-SUMPRODUCT(($D$3:$M$3&lt;M$3)*($N277:$W277-$X277:$AG277))))</f>
        <v/>
      </c>
      <c r="AR277" s="24">
        <f>ROUND(N277-X277-AH277,2)</f>
        <v/>
      </c>
      <c r="AS277" s="24">
        <f>ROUND(O277-Y277-AI277,2)</f>
        <v/>
      </c>
      <c r="AT277" s="24">
        <f>ROUND(P277-Z277-AJ277,2)</f>
        <v/>
      </c>
      <c r="AU277" s="24">
        <f>ROUND(Q277-AA277-AK277,2)</f>
        <v/>
      </c>
      <c r="AV277" s="24">
        <f>ROUND(R277-AB277-AL277,2)</f>
        <v/>
      </c>
      <c r="AW277" s="24">
        <f>ROUND(S277-AC277-AM277,2)</f>
        <v/>
      </c>
      <c r="AX277" s="24">
        <f>ROUND(T277-AD277-AN277,2)</f>
        <v/>
      </c>
      <c r="AY277" s="24">
        <f>ROUND(U277-AE277-AO277,2)</f>
        <v/>
      </c>
      <c r="AZ277" s="24">
        <f>ROUND(V277-AF277-AP277,2)</f>
        <v/>
      </c>
      <c r="BA277" s="24">
        <f>ROUND(W277-AG277-AQ277,2)</f>
        <v/>
      </c>
      <c r="BB277" s="24">
        <f>SUM(AR277:BA277)</f>
        <v/>
      </c>
    </row>
    <row r="278">
      <c r="A278" t="n">
        <v>274</v>
      </c>
      <c r="B278" s="23">
        <f>EOMONTH(TODAY(),273)</f>
        <v/>
      </c>
      <c r="C278" s="24">
        <f>MAX(0,(SUM('My Loans'!$E$6:$E$15)+'My Loans'!$D$3)-SUM($X278:$AG278))</f>
        <v/>
      </c>
      <c r="D278" s="24">
        <f>MAX(0,AR277)</f>
        <v/>
      </c>
      <c r="E278" s="24">
        <f>MAX(0,AS277)</f>
        <v/>
      </c>
      <c r="F278" s="24">
        <f>MAX(0,AT277)</f>
        <v/>
      </c>
      <c r="G278" s="24">
        <f>MAX(0,AU277)</f>
        <v/>
      </c>
      <c r="H278" s="24">
        <f>MAX(0,AV277)</f>
        <v/>
      </c>
      <c r="I278" s="24">
        <f>MAX(0,AW277)</f>
        <v/>
      </c>
      <c r="J278" s="24">
        <f>MAX(0,AX277)</f>
        <v/>
      </c>
      <c r="K278" s="24">
        <f>MAX(0,AY277)</f>
        <v/>
      </c>
      <c r="L278" s="24">
        <f>MAX(0,AZ277)</f>
        <v/>
      </c>
      <c r="M278" s="24">
        <f>MAX(0,BA277)</f>
        <v/>
      </c>
      <c r="N278" s="24">
        <f>IF(D278&lt;0.5,0,D278*(1+N('My Loans'!D6)/1200))</f>
        <v/>
      </c>
      <c r="O278" s="24">
        <f>IF(E278&lt;0.5,0,E278*(1+N('My Loans'!D7)/1200))</f>
        <v/>
      </c>
      <c r="P278" s="24">
        <f>IF(F278&lt;0.5,0,F278*(1+N('My Loans'!D8)/1200))</f>
        <v/>
      </c>
      <c r="Q278" s="24">
        <f>IF(G278&lt;0.5,0,G278*(1+N('My Loans'!D9)/1200))</f>
        <v/>
      </c>
      <c r="R278" s="24">
        <f>IF(H278&lt;0.5,0,H278*(1+N('My Loans'!D10)/1200))</f>
        <v/>
      </c>
      <c r="S278" s="24">
        <f>IF(I278&lt;0.5,0,I278*(1+N('My Loans'!D11)/1200))</f>
        <v/>
      </c>
      <c r="T278" s="24">
        <f>IF(J278&lt;0.5,0,J278*(1+N('My Loans'!D12)/1200))</f>
        <v/>
      </c>
      <c r="U278" s="24">
        <f>IF(K278&lt;0.5,0,K278*(1+N('My Loans'!D13)/1200))</f>
        <v/>
      </c>
      <c r="V278" s="24">
        <f>IF(L278&lt;0.5,0,L278*(1+N('My Loans'!D14)/1200))</f>
        <v/>
      </c>
      <c r="W278" s="24">
        <f>IF(M278&lt;0.5,0,M278*(1+N('My Loans'!D15)/1200))</f>
        <v/>
      </c>
      <c r="X278" s="24">
        <f>MIN(N278,N('My Loans'!E6))</f>
        <v/>
      </c>
      <c r="Y278" s="24">
        <f>MIN(O278,N('My Loans'!E7))</f>
        <v/>
      </c>
      <c r="Z278" s="24">
        <f>MIN(P278,N('My Loans'!E8))</f>
        <v/>
      </c>
      <c r="AA278" s="24">
        <f>MIN(Q278,N('My Loans'!E9))</f>
        <v/>
      </c>
      <c r="AB278" s="24">
        <f>MIN(R278,N('My Loans'!E10))</f>
        <v/>
      </c>
      <c r="AC278" s="24">
        <f>MIN(S278,N('My Loans'!E11))</f>
        <v/>
      </c>
      <c r="AD278" s="24">
        <f>MIN(T278,N('My Loans'!E12))</f>
        <v/>
      </c>
      <c r="AE278" s="24">
        <f>MIN(U278,N('My Loans'!E13))</f>
        <v/>
      </c>
      <c r="AF278" s="24">
        <f>MIN(V278,N('My Loans'!E14))</f>
        <v/>
      </c>
      <c r="AG278" s="24">
        <f>MIN(W278,N('My Loans'!E15))</f>
        <v/>
      </c>
      <c r="AH278" s="24">
        <f>MIN(N278-X278,MAX(0,$C278-SUMPRODUCT(($D$3:$M$3&lt;D$3)*($N278:$W278-$X278:$AG278))))</f>
        <v/>
      </c>
      <c r="AI278" s="24">
        <f>MIN(O278-Y278,MAX(0,$C278-SUMPRODUCT(($D$3:$M$3&lt;E$3)*($N278:$W278-$X278:$AG278))))</f>
        <v/>
      </c>
      <c r="AJ278" s="24">
        <f>MIN(P278-Z278,MAX(0,$C278-SUMPRODUCT(($D$3:$M$3&lt;F$3)*($N278:$W278-$X278:$AG278))))</f>
        <v/>
      </c>
      <c r="AK278" s="24">
        <f>MIN(Q278-AA278,MAX(0,$C278-SUMPRODUCT(($D$3:$M$3&lt;G$3)*($N278:$W278-$X278:$AG278))))</f>
        <v/>
      </c>
      <c r="AL278" s="24">
        <f>MIN(R278-AB278,MAX(0,$C278-SUMPRODUCT(($D$3:$M$3&lt;H$3)*($N278:$W278-$X278:$AG278))))</f>
        <v/>
      </c>
      <c r="AM278" s="24">
        <f>MIN(S278-AC278,MAX(0,$C278-SUMPRODUCT(($D$3:$M$3&lt;I$3)*($N278:$W278-$X278:$AG278))))</f>
        <v/>
      </c>
      <c r="AN278" s="24">
        <f>MIN(T278-AD278,MAX(0,$C278-SUMPRODUCT(($D$3:$M$3&lt;J$3)*($N278:$W278-$X278:$AG278))))</f>
        <v/>
      </c>
      <c r="AO278" s="24">
        <f>MIN(U278-AE278,MAX(0,$C278-SUMPRODUCT(($D$3:$M$3&lt;K$3)*($N278:$W278-$X278:$AG278))))</f>
        <v/>
      </c>
      <c r="AP278" s="24">
        <f>MIN(V278-AF278,MAX(0,$C278-SUMPRODUCT(($D$3:$M$3&lt;L$3)*($N278:$W278-$X278:$AG278))))</f>
        <v/>
      </c>
      <c r="AQ278" s="24">
        <f>MIN(W278-AG278,MAX(0,$C278-SUMPRODUCT(($D$3:$M$3&lt;M$3)*($N278:$W278-$X278:$AG278))))</f>
        <v/>
      </c>
      <c r="AR278" s="24">
        <f>ROUND(N278-X278-AH278,2)</f>
        <v/>
      </c>
      <c r="AS278" s="24">
        <f>ROUND(O278-Y278-AI278,2)</f>
        <v/>
      </c>
      <c r="AT278" s="24">
        <f>ROUND(P278-Z278-AJ278,2)</f>
        <v/>
      </c>
      <c r="AU278" s="24">
        <f>ROUND(Q278-AA278-AK278,2)</f>
        <v/>
      </c>
      <c r="AV278" s="24">
        <f>ROUND(R278-AB278-AL278,2)</f>
        <v/>
      </c>
      <c r="AW278" s="24">
        <f>ROUND(S278-AC278-AM278,2)</f>
        <v/>
      </c>
      <c r="AX278" s="24">
        <f>ROUND(T278-AD278-AN278,2)</f>
        <v/>
      </c>
      <c r="AY278" s="24">
        <f>ROUND(U278-AE278-AO278,2)</f>
        <v/>
      </c>
      <c r="AZ278" s="24">
        <f>ROUND(V278-AF278-AP278,2)</f>
        <v/>
      </c>
      <c r="BA278" s="24">
        <f>ROUND(W278-AG278-AQ278,2)</f>
        <v/>
      </c>
      <c r="BB278" s="24">
        <f>SUM(AR278:BA278)</f>
        <v/>
      </c>
    </row>
    <row r="279">
      <c r="A279" t="n">
        <v>275</v>
      </c>
      <c r="B279" s="23">
        <f>EOMONTH(TODAY(),274)</f>
        <v/>
      </c>
      <c r="C279" s="24">
        <f>MAX(0,(SUM('My Loans'!$E$6:$E$15)+'My Loans'!$D$3)-SUM($X279:$AG279))</f>
        <v/>
      </c>
      <c r="D279" s="24">
        <f>MAX(0,AR278)</f>
        <v/>
      </c>
      <c r="E279" s="24">
        <f>MAX(0,AS278)</f>
        <v/>
      </c>
      <c r="F279" s="24">
        <f>MAX(0,AT278)</f>
        <v/>
      </c>
      <c r="G279" s="24">
        <f>MAX(0,AU278)</f>
        <v/>
      </c>
      <c r="H279" s="24">
        <f>MAX(0,AV278)</f>
        <v/>
      </c>
      <c r="I279" s="24">
        <f>MAX(0,AW278)</f>
        <v/>
      </c>
      <c r="J279" s="24">
        <f>MAX(0,AX278)</f>
        <v/>
      </c>
      <c r="K279" s="24">
        <f>MAX(0,AY278)</f>
        <v/>
      </c>
      <c r="L279" s="24">
        <f>MAX(0,AZ278)</f>
        <v/>
      </c>
      <c r="M279" s="24">
        <f>MAX(0,BA278)</f>
        <v/>
      </c>
      <c r="N279" s="24">
        <f>IF(D279&lt;0.5,0,D279*(1+N('My Loans'!D6)/1200))</f>
        <v/>
      </c>
      <c r="O279" s="24">
        <f>IF(E279&lt;0.5,0,E279*(1+N('My Loans'!D7)/1200))</f>
        <v/>
      </c>
      <c r="P279" s="24">
        <f>IF(F279&lt;0.5,0,F279*(1+N('My Loans'!D8)/1200))</f>
        <v/>
      </c>
      <c r="Q279" s="24">
        <f>IF(G279&lt;0.5,0,G279*(1+N('My Loans'!D9)/1200))</f>
        <v/>
      </c>
      <c r="R279" s="24">
        <f>IF(H279&lt;0.5,0,H279*(1+N('My Loans'!D10)/1200))</f>
        <v/>
      </c>
      <c r="S279" s="24">
        <f>IF(I279&lt;0.5,0,I279*(1+N('My Loans'!D11)/1200))</f>
        <v/>
      </c>
      <c r="T279" s="24">
        <f>IF(J279&lt;0.5,0,J279*(1+N('My Loans'!D12)/1200))</f>
        <v/>
      </c>
      <c r="U279" s="24">
        <f>IF(K279&lt;0.5,0,K279*(1+N('My Loans'!D13)/1200))</f>
        <v/>
      </c>
      <c r="V279" s="24">
        <f>IF(L279&lt;0.5,0,L279*(1+N('My Loans'!D14)/1200))</f>
        <v/>
      </c>
      <c r="W279" s="24">
        <f>IF(M279&lt;0.5,0,M279*(1+N('My Loans'!D15)/1200))</f>
        <v/>
      </c>
      <c r="X279" s="24">
        <f>MIN(N279,N('My Loans'!E6))</f>
        <v/>
      </c>
      <c r="Y279" s="24">
        <f>MIN(O279,N('My Loans'!E7))</f>
        <v/>
      </c>
      <c r="Z279" s="24">
        <f>MIN(P279,N('My Loans'!E8))</f>
        <v/>
      </c>
      <c r="AA279" s="24">
        <f>MIN(Q279,N('My Loans'!E9))</f>
        <v/>
      </c>
      <c r="AB279" s="24">
        <f>MIN(R279,N('My Loans'!E10))</f>
        <v/>
      </c>
      <c r="AC279" s="24">
        <f>MIN(S279,N('My Loans'!E11))</f>
        <v/>
      </c>
      <c r="AD279" s="24">
        <f>MIN(T279,N('My Loans'!E12))</f>
        <v/>
      </c>
      <c r="AE279" s="24">
        <f>MIN(U279,N('My Loans'!E13))</f>
        <v/>
      </c>
      <c r="AF279" s="24">
        <f>MIN(V279,N('My Loans'!E14))</f>
        <v/>
      </c>
      <c r="AG279" s="24">
        <f>MIN(W279,N('My Loans'!E15))</f>
        <v/>
      </c>
      <c r="AH279" s="24">
        <f>MIN(N279-X279,MAX(0,$C279-SUMPRODUCT(($D$3:$M$3&lt;D$3)*($N279:$W279-$X279:$AG279))))</f>
        <v/>
      </c>
      <c r="AI279" s="24">
        <f>MIN(O279-Y279,MAX(0,$C279-SUMPRODUCT(($D$3:$M$3&lt;E$3)*($N279:$W279-$X279:$AG279))))</f>
        <v/>
      </c>
      <c r="AJ279" s="24">
        <f>MIN(P279-Z279,MAX(0,$C279-SUMPRODUCT(($D$3:$M$3&lt;F$3)*($N279:$W279-$X279:$AG279))))</f>
        <v/>
      </c>
      <c r="AK279" s="24">
        <f>MIN(Q279-AA279,MAX(0,$C279-SUMPRODUCT(($D$3:$M$3&lt;G$3)*($N279:$W279-$X279:$AG279))))</f>
        <v/>
      </c>
      <c r="AL279" s="24">
        <f>MIN(R279-AB279,MAX(0,$C279-SUMPRODUCT(($D$3:$M$3&lt;H$3)*($N279:$W279-$X279:$AG279))))</f>
        <v/>
      </c>
      <c r="AM279" s="24">
        <f>MIN(S279-AC279,MAX(0,$C279-SUMPRODUCT(($D$3:$M$3&lt;I$3)*($N279:$W279-$X279:$AG279))))</f>
        <v/>
      </c>
      <c r="AN279" s="24">
        <f>MIN(T279-AD279,MAX(0,$C279-SUMPRODUCT(($D$3:$M$3&lt;J$3)*($N279:$W279-$X279:$AG279))))</f>
        <v/>
      </c>
      <c r="AO279" s="24">
        <f>MIN(U279-AE279,MAX(0,$C279-SUMPRODUCT(($D$3:$M$3&lt;K$3)*($N279:$W279-$X279:$AG279))))</f>
        <v/>
      </c>
      <c r="AP279" s="24">
        <f>MIN(V279-AF279,MAX(0,$C279-SUMPRODUCT(($D$3:$M$3&lt;L$3)*($N279:$W279-$X279:$AG279))))</f>
        <v/>
      </c>
      <c r="AQ279" s="24">
        <f>MIN(W279-AG279,MAX(0,$C279-SUMPRODUCT(($D$3:$M$3&lt;M$3)*($N279:$W279-$X279:$AG279))))</f>
        <v/>
      </c>
      <c r="AR279" s="24">
        <f>ROUND(N279-X279-AH279,2)</f>
        <v/>
      </c>
      <c r="AS279" s="24">
        <f>ROUND(O279-Y279-AI279,2)</f>
        <v/>
      </c>
      <c r="AT279" s="24">
        <f>ROUND(P279-Z279-AJ279,2)</f>
        <v/>
      </c>
      <c r="AU279" s="24">
        <f>ROUND(Q279-AA279-AK279,2)</f>
        <v/>
      </c>
      <c r="AV279" s="24">
        <f>ROUND(R279-AB279-AL279,2)</f>
        <v/>
      </c>
      <c r="AW279" s="24">
        <f>ROUND(S279-AC279-AM279,2)</f>
        <v/>
      </c>
      <c r="AX279" s="24">
        <f>ROUND(T279-AD279-AN279,2)</f>
        <v/>
      </c>
      <c r="AY279" s="24">
        <f>ROUND(U279-AE279-AO279,2)</f>
        <v/>
      </c>
      <c r="AZ279" s="24">
        <f>ROUND(V279-AF279-AP279,2)</f>
        <v/>
      </c>
      <c r="BA279" s="24">
        <f>ROUND(W279-AG279-AQ279,2)</f>
        <v/>
      </c>
      <c r="BB279" s="24">
        <f>SUM(AR279:BA279)</f>
        <v/>
      </c>
    </row>
    <row r="280">
      <c r="A280" t="n">
        <v>276</v>
      </c>
      <c r="B280" s="23">
        <f>EOMONTH(TODAY(),275)</f>
        <v/>
      </c>
      <c r="C280" s="24">
        <f>MAX(0,(SUM('My Loans'!$E$6:$E$15)+'My Loans'!$D$3)-SUM($X280:$AG280))</f>
        <v/>
      </c>
      <c r="D280" s="24">
        <f>MAX(0,AR279)</f>
        <v/>
      </c>
      <c r="E280" s="24">
        <f>MAX(0,AS279)</f>
        <v/>
      </c>
      <c r="F280" s="24">
        <f>MAX(0,AT279)</f>
        <v/>
      </c>
      <c r="G280" s="24">
        <f>MAX(0,AU279)</f>
        <v/>
      </c>
      <c r="H280" s="24">
        <f>MAX(0,AV279)</f>
        <v/>
      </c>
      <c r="I280" s="24">
        <f>MAX(0,AW279)</f>
        <v/>
      </c>
      <c r="J280" s="24">
        <f>MAX(0,AX279)</f>
        <v/>
      </c>
      <c r="K280" s="24">
        <f>MAX(0,AY279)</f>
        <v/>
      </c>
      <c r="L280" s="24">
        <f>MAX(0,AZ279)</f>
        <v/>
      </c>
      <c r="M280" s="24">
        <f>MAX(0,BA279)</f>
        <v/>
      </c>
      <c r="N280" s="24">
        <f>IF(D280&lt;0.5,0,D280*(1+N('My Loans'!D6)/1200))</f>
        <v/>
      </c>
      <c r="O280" s="24">
        <f>IF(E280&lt;0.5,0,E280*(1+N('My Loans'!D7)/1200))</f>
        <v/>
      </c>
      <c r="P280" s="24">
        <f>IF(F280&lt;0.5,0,F280*(1+N('My Loans'!D8)/1200))</f>
        <v/>
      </c>
      <c r="Q280" s="24">
        <f>IF(G280&lt;0.5,0,G280*(1+N('My Loans'!D9)/1200))</f>
        <v/>
      </c>
      <c r="R280" s="24">
        <f>IF(H280&lt;0.5,0,H280*(1+N('My Loans'!D10)/1200))</f>
        <v/>
      </c>
      <c r="S280" s="24">
        <f>IF(I280&lt;0.5,0,I280*(1+N('My Loans'!D11)/1200))</f>
        <v/>
      </c>
      <c r="T280" s="24">
        <f>IF(J280&lt;0.5,0,J280*(1+N('My Loans'!D12)/1200))</f>
        <v/>
      </c>
      <c r="U280" s="24">
        <f>IF(K280&lt;0.5,0,K280*(1+N('My Loans'!D13)/1200))</f>
        <v/>
      </c>
      <c r="V280" s="24">
        <f>IF(L280&lt;0.5,0,L280*(1+N('My Loans'!D14)/1200))</f>
        <v/>
      </c>
      <c r="W280" s="24">
        <f>IF(M280&lt;0.5,0,M280*(1+N('My Loans'!D15)/1200))</f>
        <v/>
      </c>
      <c r="X280" s="24">
        <f>MIN(N280,N('My Loans'!E6))</f>
        <v/>
      </c>
      <c r="Y280" s="24">
        <f>MIN(O280,N('My Loans'!E7))</f>
        <v/>
      </c>
      <c r="Z280" s="24">
        <f>MIN(P280,N('My Loans'!E8))</f>
        <v/>
      </c>
      <c r="AA280" s="24">
        <f>MIN(Q280,N('My Loans'!E9))</f>
        <v/>
      </c>
      <c r="AB280" s="24">
        <f>MIN(R280,N('My Loans'!E10))</f>
        <v/>
      </c>
      <c r="AC280" s="24">
        <f>MIN(S280,N('My Loans'!E11))</f>
        <v/>
      </c>
      <c r="AD280" s="24">
        <f>MIN(T280,N('My Loans'!E12))</f>
        <v/>
      </c>
      <c r="AE280" s="24">
        <f>MIN(U280,N('My Loans'!E13))</f>
        <v/>
      </c>
      <c r="AF280" s="24">
        <f>MIN(V280,N('My Loans'!E14))</f>
        <v/>
      </c>
      <c r="AG280" s="24">
        <f>MIN(W280,N('My Loans'!E15))</f>
        <v/>
      </c>
      <c r="AH280" s="24">
        <f>MIN(N280-X280,MAX(0,$C280-SUMPRODUCT(($D$3:$M$3&lt;D$3)*($N280:$W280-$X280:$AG280))))</f>
        <v/>
      </c>
      <c r="AI280" s="24">
        <f>MIN(O280-Y280,MAX(0,$C280-SUMPRODUCT(($D$3:$M$3&lt;E$3)*($N280:$W280-$X280:$AG280))))</f>
        <v/>
      </c>
      <c r="AJ280" s="24">
        <f>MIN(P280-Z280,MAX(0,$C280-SUMPRODUCT(($D$3:$M$3&lt;F$3)*($N280:$W280-$X280:$AG280))))</f>
        <v/>
      </c>
      <c r="AK280" s="24">
        <f>MIN(Q280-AA280,MAX(0,$C280-SUMPRODUCT(($D$3:$M$3&lt;G$3)*($N280:$W280-$X280:$AG280))))</f>
        <v/>
      </c>
      <c r="AL280" s="24">
        <f>MIN(R280-AB280,MAX(0,$C280-SUMPRODUCT(($D$3:$M$3&lt;H$3)*($N280:$W280-$X280:$AG280))))</f>
        <v/>
      </c>
      <c r="AM280" s="24">
        <f>MIN(S280-AC280,MAX(0,$C280-SUMPRODUCT(($D$3:$M$3&lt;I$3)*($N280:$W280-$X280:$AG280))))</f>
        <v/>
      </c>
      <c r="AN280" s="24">
        <f>MIN(T280-AD280,MAX(0,$C280-SUMPRODUCT(($D$3:$M$3&lt;J$3)*($N280:$W280-$X280:$AG280))))</f>
        <v/>
      </c>
      <c r="AO280" s="24">
        <f>MIN(U280-AE280,MAX(0,$C280-SUMPRODUCT(($D$3:$M$3&lt;K$3)*($N280:$W280-$X280:$AG280))))</f>
        <v/>
      </c>
      <c r="AP280" s="24">
        <f>MIN(V280-AF280,MAX(0,$C280-SUMPRODUCT(($D$3:$M$3&lt;L$3)*($N280:$W280-$X280:$AG280))))</f>
        <v/>
      </c>
      <c r="AQ280" s="24">
        <f>MIN(W280-AG280,MAX(0,$C280-SUMPRODUCT(($D$3:$M$3&lt;M$3)*($N280:$W280-$X280:$AG280))))</f>
        <v/>
      </c>
      <c r="AR280" s="24">
        <f>ROUND(N280-X280-AH280,2)</f>
        <v/>
      </c>
      <c r="AS280" s="24">
        <f>ROUND(O280-Y280-AI280,2)</f>
        <v/>
      </c>
      <c r="AT280" s="24">
        <f>ROUND(P280-Z280-AJ280,2)</f>
        <v/>
      </c>
      <c r="AU280" s="24">
        <f>ROUND(Q280-AA280-AK280,2)</f>
        <v/>
      </c>
      <c r="AV280" s="24">
        <f>ROUND(R280-AB280-AL280,2)</f>
        <v/>
      </c>
      <c r="AW280" s="24">
        <f>ROUND(S280-AC280-AM280,2)</f>
        <v/>
      </c>
      <c r="AX280" s="24">
        <f>ROUND(T280-AD280-AN280,2)</f>
        <v/>
      </c>
      <c r="AY280" s="24">
        <f>ROUND(U280-AE280-AO280,2)</f>
        <v/>
      </c>
      <c r="AZ280" s="24">
        <f>ROUND(V280-AF280-AP280,2)</f>
        <v/>
      </c>
      <c r="BA280" s="24">
        <f>ROUND(W280-AG280-AQ280,2)</f>
        <v/>
      </c>
      <c r="BB280" s="24">
        <f>SUM(AR280:BA280)</f>
        <v/>
      </c>
    </row>
    <row r="281">
      <c r="A281" t="n">
        <v>277</v>
      </c>
      <c r="B281" s="23">
        <f>EOMONTH(TODAY(),276)</f>
        <v/>
      </c>
      <c r="C281" s="24">
        <f>MAX(0,(SUM('My Loans'!$E$6:$E$15)+'My Loans'!$D$3)-SUM($X281:$AG281))</f>
        <v/>
      </c>
      <c r="D281" s="24">
        <f>MAX(0,AR280)</f>
        <v/>
      </c>
      <c r="E281" s="24">
        <f>MAX(0,AS280)</f>
        <v/>
      </c>
      <c r="F281" s="24">
        <f>MAX(0,AT280)</f>
        <v/>
      </c>
      <c r="G281" s="24">
        <f>MAX(0,AU280)</f>
        <v/>
      </c>
      <c r="H281" s="24">
        <f>MAX(0,AV280)</f>
        <v/>
      </c>
      <c r="I281" s="24">
        <f>MAX(0,AW280)</f>
        <v/>
      </c>
      <c r="J281" s="24">
        <f>MAX(0,AX280)</f>
        <v/>
      </c>
      <c r="K281" s="24">
        <f>MAX(0,AY280)</f>
        <v/>
      </c>
      <c r="L281" s="24">
        <f>MAX(0,AZ280)</f>
        <v/>
      </c>
      <c r="M281" s="24">
        <f>MAX(0,BA280)</f>
        <v/>
      </c>
      <c r="N281" s="24">
        <f>IF(D281&lt;0.5,0,D281*(1+N('My Loans'!D6)/1200))</f>
        <v/>
      </c>
      <c r="O281" s="24">
        <f>IF(E281&lt;0.5,0,E281*(1+N('My Loans'!D7)/1200))</f>
        <v/>
      </c>
      <c r="P281" s="24">
        <f>IF(F281&lt;0.5,0,F281*(1+N('My Loans'!D8)/1200))</f>
        <v/>
      </c>
      <c r="Q281" s="24">
        <f>IF(G281&lt;0.5,0,G281*(1+N('My Loans'!D9)/1200))</f>
        <v/>
      </c>
      <c r="R281" s="24">
        <f>IF(H281&lt;0.5,0,H281*(1+N('My Loans'!D10)/1200))</f>
        <v/>
      </c>
      <c r="S281" s="24">
        <f>IF(I281&lt;0.5,0,I281*(1+N('My Loans'!D11)/1200))</f>
        <v/>
      </c>
      <c r="T281" s="24">
        <f>IF(J281&lt;0.5,0,J281*(1+N('My Loans'!D12)/1200))</f>
        <v/>
      </c>
      <c r="U281" s="24">
        <f>IF(K281&lt;0.5,0,K281*(1+N('My Loans'!D13)/1200))</f>
        <v/>
      </c>
      <c r="V281" s="24">
        <f>IF(L281&lt;0.5,0,L281*(1+N('My Loans'!D14)/1200))</f>
        <v/>
      </c>
      <c r="W281" s="24">
        <f>IF(M281&lt;0.5,0,M281*(1+N('My Loans'!D15)/1200))</f>
        <v/>
      </c>
      <c r="X281" s="24">
        <f>MIN(N281,N('My Loans'!E6))</f>
        <v/>
      </c>
      <c r="Y281" s="24">
        <f>MIN(O281,N('My Loans'!E7))</f>
        <v/>
      </c>
      <c r="Z281" s="24">
        <f>MIN(P281,N('My Loans'!E8))</f>
        <v/>
      </c>
      <c r="AA281" s="24">
        <f>MIN(Q281,N('My Loans'!E9))</f>
        <v/>
      </c>
      <c r="AB281" s="24">
        <f>MIN(R281,N('My Loans'!E10))</f>
        <v/>
      </c>
      <c r="AC281" s="24">
        <f>MIN(S281,N('My Loans'!E11))</f>
        <v/>
      </c>
      <c r="AD281" s="24">
        <f>MIN(T281,N('My Loans'!E12))</f>
        <v/>
      </c>
      <c r="AE281" s="24">
        <f>MIN(U281,N('My Loans'!E13))</f>
        <v/>
      </c>
      <c r="AF281" s="24">
        <f>MIN(V281,N('My Loans'!E14))</f>
        <v/>
      </c>
      <c r="AG281" s="24">
        <f>MIN(W281,N('My Loans'!E15))</f>
        <v/>
      </c>
      <c r="AH281" s="24">
        <f>MIN(N281-X281,MAX(0,$C281-SUMPRODUCT(($D$3:$M$3&lt;D$3)*($N281:$W281-$X281:$AG281))))</f>
        <v/>
      </c>
      <c r="AI281" s="24">
        <f>MIN(O281-Y281,MAX(0,$C281-SUMPRODUCT(($D$3:$M$3&lt;E$3)*($N281:$W281-$X281:$AG281))))</f>
        <v/>
      </c>
      <c r="AJ281" s="24">
        <f>MIN(P281-Z281,MAX(0,$C281-SUMPRODUCT(($D$3:$M$3&lt;F$3)*($N281:$W281-$X281:$AG281))))</f>
        <v/>
      </c>
      <c r="AK281" s="24">
        <f>MIN(Q281-AA281,MAX(0,$C281-SUMPRODUCT(($D$3:$M$3&lt;G$3)*($N281:$W281-$X281:$AG281))))</f>
        <v/>
      </c>
      <c r="AL281" s="24">
        <f>MIN(R281-AB281,MAX(0,$C281-SUMPRODUCT(($D$3:$M$3&lt;H$3)*($N281:$W281-$X281:$AG281))))</f>
        <v/>
      </c>
      <c r="AM281" s="24">
        <f>MIN(S281-AC281,MAX(0,$C281-SUMPRODUCT(($D$3:$M$3&lt;I$3)*($N281:$W281-$X281:$AG281))))</f>
        <v/>
      </c>
      <c r="AN281" s="24">
        <f>MIN(T281-AD281,MAX(0,$C281-SUMPRODUCT(($D$3:$M$3&lt;J$3)*($N281:$W281-$X281:$AG281))))</f>
        <v/>
      </c>
      <c r="AO281" s="24">
        <f>MIN(U281-AE281,MAX(0,$C281-SUMPRODUCT(($D$3:$M$3&lt;K$3)*($N281:$W281-$X281:$AG281))))</f>
        <v/>
      </c>
      <c r="AP281" s="24">
        <f>MIN(V281-AF281,MAX(0,$C281-SUMPRODUCT(($D$3:$M$3&lt;L$3)*($N281:$W281-$X281:$AG281))))</f>
        <v/>
      </c>
      <c r="AQ281" s="24">
        <f>MIN(W281-AG281,MAX(0,$C281-SUMPRODUCT(($D$3:$M$3&lt;M$3)*($N281:$W281-$X281:$AG281))))</f>
        <v/>
      </c>
      <c r="AR281" s="24">
        <f>ROUND(N281-X281-AH281,2)</f>
        <v/>
      </c>
      <c r="AS281" s="24">
        <f>ROUND(O281-Y281-AI281,2)</f>
        <v/>
      </c>
      <c r="AT281" s="24">
        <f>ROUND(P281-Z281-AJ281,2)</f>
        <v/>
      </c>
      <c r="AU281" s="24">
        <f>ROUND(Q281-AA281-AK281,2)</f>
        <v/>
      </c>
      <c r="AV281" s="24">
        <f>ROUND(R281-AB281-AL281,2)</f>
        <v/>
      </c>
      <c r="AW281" s="24">
        <f>ROUND(S281-AC281-AM281,2)</f>
        <v/>
      </c>
      <c r="AX281" s="24">
        <f>ROUND(T281-AD281-AN281,2)</f>
        <v/>
      </c>
      <c r="AY281" s="24">
        <f>ROUND(U281-AE281-AO281,2)</f>
        <v/>
      </c>
      <c r="AZ281" s="24">
        <f>ROUND(V281-AF281-AP281,2)</f>
        <v/>
      </c>
      <c r="BA281" s="24">
        <f>ROUND(W281-AG281-AQ281,2)</f>
        <v/>
      </c>
      <c r="BB281" s="24">
        <f>SUM(AR281:BA281)</f>
        <v/>
      </c>
    </row>
    <row r="282">
      <c r="A282" t="n">
        <v>278</v>
      </c>
      <c r="B282" s="23">
        <f>EOMONTH(TODAY(),277)</f>
        <v/>
      </c>
      <c r="C282" s="24">
        <f>MAX(0,(SUM('My Loans'!$E$6:$E$15)+'My Loans'!$D$3)-SUM($X282:$AG282))</f>
        <v/>
      </c>
      <c r="D282" s="24">
        <f>MAX(0,AR281)</f>
        <v/>
      </c>
      <c r="E282" s="24">
        <f>MAX(0,AS281)</f>
        <v/>
      </c>
      <c r="F282" s="24">
        <f>MAX(0,AT281)</f>
        <v/>
      </c>
      <c r="G282" s="24">
        <f>MAX(0,AU281)</f>
        <v/>
      </c>
      <c r="H282" s="24">
        <f>MAX(0,AV281)</f>
        <v/>
      </c>
      <c r="I282" s="24">
        <f>MAX(0,AW281)</f>
        <v/>
      </c>
      <c r="J282" s="24">
        <f>MAX(0,AX281)</f>
        <v/>
      </c>
      <c r="K282" s="24">
        <f>MAX(0,AY281)</f>
        <v/>
      </c>
      <c r="L282" s="24">
        <f>MAX(0,AZ281)</f>
        <v/>
      </c>
      <c r="M282" s="24">
        <f>MAX(0,BA281)</f>
        <v/>
      </c>
      <c r="N282" s="24">
        <f>IF(D282&lt;0.5,0,D282*(1+N('My Loans'!D6)/1200))</f>
        <v/>
      </c>
      <c r="O282" s="24">
        <f>IF(E282&lt;0.5,0,E282*(1+N('My Loans'!D7)/1200))</f>
        <v/>
      </c>
      <c r="P282" s="24">
        <f>IF(F282&lt;0.5,0,F282*(1+N('My Loans'!D8)/1200))</f>
        <v/>
      </c>
      <c r="Q282" s="24">
        <f>IF(G282&lt;0.5,0,G282*(1+N('My Loans'!D9)/1200))</f>
        <v/>
      </c>
      <c r="R282" s="24">
        <f>IF(H282&lt;0.5,0,H282*(1+N('My Loans'!D10)/1200))</f>
        <v/>
      </c>
      <c r="S282" s="24">
        <f>IF(I282&lt;0.5,0,I282*(1+N('My Loans'!D11)/1200))</f>
        <v/>
      </c>
      <c r="T282" s="24">
        <f>IF(J282&lt;0.5,0,J282*(1+N('My Loans'!D12)/1200))</f>
        <v/>
      </c>
      <c r="U282" s="24">
        <f>IF(K282&lt;0.5,0,K282*(1+N('My Loans'!D13)/1200))</f>
        <v/>
      </c>
      <c r="V282" s="24">
        <f>IF(L282&lt;0.5,0,L282*(1+N('My Loans'!D14)/1200))</f>
        <v/>
      </c>
      <c r="W282" s="24">
        <f>IF(M282&lt;0.5,0,M282*(1+N('My Loans'!D15)/1200))</f>
        <v/>
      </c>
      <c r="X282" s="24">
        <f>MIN(N282,N('My Loans'!E6))</f>
        <v/>
      </c>
      <c r="Y282" s="24">
        <f>MIN(O282,N('My Loans'!E7))</f>
        <v/>
      </c>
      <c r="Z282" s="24">
        <f>MIN(P282,N('My Loans'!E8))</f>
        <v/>
      </c>
      <c r="AA282" s="24">
        <f>MIN(Q282,N('My Loans'!E9))</f>
        <v/>
      </c>
      <c r="AB282" s="24">
        <f>MIN(R282,N('My Loans'!E10))</f>
        <v/>
      </c>
      <c r="AC282" s="24">
        <f>MIN(S282,N('My Loans'!E11))</f>
        <v/>
      </c>
      <c r="AD282" s="24">
        <f>MIN(T282,N('My Loans'!E12))</f>
        <v/>
      </c>
      <c r="AE282" s="24">
        <f>MIN(U282,N('My Loans'!E13))</f>
        <v/>
      </c>
      <c r="AF282" s="24">
        <f>MIN(V282,N('My Loans'!E14))</f>
        <v/>
      </c>
      <c r="AG282" s="24">
        <f>MIN(W282,N('My Loans'!E15))</f>
        <v/>
      </c>
      <c r="AH282" s="24">
        <f>MIN(N282-X282,MAX(0,$C282-SUMPRODUCT(($D$3:$M$3&lt;D$3)*($N282:$W282-$X282:$AG282))))</f>
        <v/>
      </c>
      <c r="AI282" s="24">
        <f>MIN(O282-Y282,MAX(0,$C282-SUMPRODUCT(($D$3:$M$3&lt;E$3)*($N282:$W282-$X282:$AG282))))</f>
        <v/>
      </c>
      <c r="AJ282" s="24">
        <f>MIN(P282-Z282,MAX(0,$C282-SUMPRODUCT(($D$3:$M$3&lt;F$3)*($N282:$W282-$X282:$AG282))))</f>
        <v/>
      </c>
      <c r="AK282" s="24">
        <f>MIN(Q282-AA282,MAX(0,$C282-SUMPRODUCT(($D$3:$M$3&lt;G$3)*($N282:$W282-$X282:$AG282))))</f>
        <v/>
      </c>
      <c r="AL282" s="24">
        <f>MIN(R282-AB282,MAX(0,$C282-SUMPRODUCT(($D$3:$M$3&lt;H$3)*($N282:$W282-$X282:$AG282))))</f>
        <v/>
      </c>
      <c r="AM282" s="24">
        <f>MIN(S282-AC282,MAX(0,$C282-SUMPRODUCT(($D$3:$M$3&lt;I$3)*($N282:$W282-$X282:$AG282))))</f>
        <v/>
      </c>
      <c r="AN282" s="24">
        <f>MIN(T282-AD282,MAX(0,$C282-SUMPRODUCT(($D$3:$M$3&lt;J$3)*($N282:$W282-$X282:$AG282))))</f>
        <v/>
      </c>
      <c r="AO282" s="24">
        <f>MIN(U282-AE282,MAX(0,$C282-SUMPRODUCT(($D$3:$M$3&lt;K$3)*($N282:$W282-$X282:$AG282))))</f>
        <v/>
      </c>
      <c r="AP282" s="24">
        <f>MIN(V282-AF282,MAX(0,$C282-SUMPRODUCT(($D$3:$M$3&lt;L$3)*($N282:$W282-$X282:$AG282))))</f>
        <v/>
      </c>
      <c r="AQ282" s="24">
        <f>MIN(W282-AG282,MAX(0,$C282-SUMPRODUCT(($D$3:$M$3&lt;M$3)*($N282:$W282-$X282:$AG282))))</f>
        <v/>
      </c>
      <c r="AR282" s="24">
        <f>ROUND(N282-X282-AH282,2)</f>
        <v/>
      </c>
      <c r="AS282" s="24">
        <f>ROUND(O282-Y282-AI282,2)</f>
        <v/>
      </c>
      <c r="AT282" s="24">
        <f>ROUND(P282-Z282-AJ282,2)</f>
        <v/>
      </c>
      <c r="AU282" s="24">
        <f>ROUND(Q282-AA282-AK282,2)</f>
        <v/>
      </c>
      <c r="AV282" s="24">
        <f>ROUND(R282-AB282-AL282,2)</f>
        <v/>
      </c>
      <c r="AW282" s="24">
        <f>ROUND(S282-AC282-AM282,2)</f>
        <v/>
      </c>
      <c r="AX282" s="24">
        <f>ROUND(T282-AD282-AN282,2)</f>
        <v/>
      </c>
      <c r="AY282" s="24">
        <f>ROUND(U282-AE282-AO282,2)</f>
        <v/>
      </c>
      <c r="AZ282" s="24">
        <f>ROUND(V282-AF282-AP282,2)</f>
        <v/>
      </c>
      <c r="BA282" s="24">
        <f>ROUND(W282-AG282-AQ282,2)</f>
        <v/>
      </c>
      <c r="BB282" s="24">
        <f>SUM(AR282:BA282)</f>
        <v/>
      </c>
    </row>
    <row r="283">
      <c r="A283" t="n">
        <v>279</v>
      </c>
      <c r="B283" s="23">
        <f>EOMONTH(TODAY(),278)</f>
        <v/>
      </c>
      <c r="C283" s="24">
        <f>MAX(0,(SUM('My Loans'!$E$6:$E$15)+'My Loans'!$D$3)-SUM($X283:$AG283))</f>
        <v/>
      </c>
      <c r="D283" s="24">
        <f>MAX(0,AR282)</f>
        <v/>
      </c>
      <c r="E283" s="24">
        <f>MAX(0,AS282)</f>
        <v/>
      </c>
      <c r="F283" s="24">
        <f>MAX(0,AT282)</f>
        <v/>
      </c>
      <c r="G283" s="24">
        <f>MAX(0,AU282)</f>
        <v/>
      </c>
      <c r="H283" s="24">
        <f>MAX(0,AV282)</f>
        <v/>
      </c>
      <c r="I283" s="24">
        <f>MAX(0,AW282)</f>
        <v/>
      </c>
      <c r="J283" s="24">
        <f>MAX(0,AX282)</f>
        <v/>
      </c>
      <c r="K283" s="24">
        <f>MAX(0,AY282)</f>
        <v/>
      </c>
      <c r="L283" s="24">
        <f>MAX(0,AZ282)</f>
        <v/>
      </c>
      <c r="M283" s="24">
        <f>MAX(0,BA282)</f>
        <v/>
      </c>
      <c r="N283" s="24">
        <f>IF(D283&lt;0.5,0,D283*(1+N('My Loans'!D6)/1200))</f>
        <v/>
      </c>
      <c r="O283" s="24">
        <f>IF(E283&lt;0.5,0,E283*(1+N('My Loans'!D7)/1200))</f>
        <v/>
      </c>
      <c r="P283" s="24">
        <f>IF(F283&lt;0.5,0,F283*(1+N('My Loans'!D8)/1200))</f>
        <v/>
      </c>
      <c r="Q283" s="24">
        <f>IF(G283&lt;0.5,0,G283*(1+N('My Loans'!D9)/1200))</f>
        <v/>
      </c>
      <c r="R283" s="24">
        <f>IF(H283&lt;0.5,0,H283*(1+N('My Loans'!D10)/1200))</f>
        <v/>
      </c>
      <c r="S283" s="24">
        <f>IF(I283&lt;0.5,0,I283*(1+N('My Loans'!D11)/1200))</f>
        <v/>
      </c>
      <c r="T283" s="24">
        <f>IF(J283&lt;0.5,0,J283*(1+N('My Loans'!D12)/1200))</f>
        <v/>
      </c>
      <c r="U283" s="24">
        <f>IF(K283&lt;0.5,0,K283*(1+N('My Loans'!D13)/1200))</f>
        <v/>
      </c>
      <c r="V283" s="24">
        <f>IF(L283&lt;0.5,0,L283*(1+N('My Loans'!D14)/1200))</f>
        <v/>
      </c>
      <c r="W283" s="24">
        <f>IF(M283&lt;0.5,0,M283*(1+N('My Loans'!D15)/1200))</f>
        <v/>
      </c>
      <c r="X283" s="24">
        <f>MIN(N283,N('My Loans'!E6))</f>
        <v/>
      </c>
      <c r="Y283" s="24">
        <f>MIN(O283,N('My Loans'!E7))</f>
        <v/>
      </c>
      <c r="Z283" s="24">
        <f>MIN(P283,N('My Loans'!E8))</f>
        <v/>
      </c>
      <c r="AA283" s="24">
        <f>MIN(Q283,N('My Loans'!E9))</f>
        <v/>
      </c>
      <c r="AB283" s="24">
        <f>MIN(R283,N('My Loans'!E10))</f>
        <v/>
      </c>
      <c r="AC283" s="24">
        <f>MIN(S283,N('My Loans'!E11))</f>
        <v/>
      </c>
      <c r="AD283" s="24">
        <f>MIN(T283,N('My Loans'!E12))</f>
        <v/>
      </c>
      <c r="AE283" s="24">
        <f>MIN(U283,N('My Loans'!E13))</f>
        <v/>
      </c>
      <c r="AF283" s="24">
        <f>MIN(V283,N('My Loans'!E14))</f>
        <v/>
      </c>
      <c r="AG283" s="24">
        <f>MIN(W283,N('My Loans'!E15))</f>
        <v/>
      </c>
      <c r="AH283" s="24">
        <f>MIN(N283-X283,MAX(0,$C283-SUMPRODUCT(($D$3:$M$3&lt;D$3)*($N283:$W283-$X283:$AG283))))</f>
        <v/>
      </c>
      <c r="AI283" s="24">
        <f>MIN(O283-Y283,MAX(0,$C283-SUMPRODUCT(($D$3:$M$3&lt;E$3)*($N283:$W283-$X283:$AG283))))</f>
        <v/>
      </c>
      <c r="AJ283" s="24">
        <f>MIN(P283-Z283,MAX(0,$C283-SUMPRODUCT(($D$3:$M$3&lt;F$3)*($N283:$W283-$X283:$AG283))))</f>
        <v/>
      </c>
      <c r="AK283" s="24">
        <f>MIN(Q283-AA283,MAX(0,$C283-SUMPRODUCT(($D$3:$M$3&lt;G$3)*($N283:$W283-$X283:$AG283))))</f>
        <v/>
      </c>
      <c r="AL283" s="24">
        <f>MIN(R283-AB283,MAX(0,$C283-SUMPRODUCT(($D$3:$M$3&lt;H$3)*($N283:$W283-$X283:$AG283))))</f>
        <v/>
      </c>
      <c r="AM283" s="24">
        <f>MIN(S283-AC283,MAX(0,$C283-SUMPRODUCT(($D$3:$M$3&lt;I$3)*($N283:$W283-$X283:$AG283))))</f>
        <v/>
      </c>
      <c r="AN283" s="24">
        <f>MIN(T283-AD283,MAX(0,$C283-SUMPRODUCT(($D$3:$M$3&lt;J$3)*($N283:$W283-$X283:$AG283))))</f>
        <v/>
      </c>
      <c r="AO283" s="24">
        <f>MIN(U283-AE283,MAX(0,$C283-SUMPRODUCT(($D$3:$M$3&lt;K$3)*($N283:$W283-$X283:$AG283))))</f>
        <v/>
      </c>
      <c r="AP283" s="24">
        <f>MIN(V283-AF283,MAX(0,$C283-SUMPRODUCT(($D$3:$M$3&lt;L$3)*($N283:$W283-$X283:$AG283))))</f>
        <v/>
      </c>
      <c r="AQ283" s="24">
        <f>MIN(W283-AG283,MAX(0,$C283-SUMPRODUCT(($D$3:$M$3&lt;M$3)*($N283:$W283-$X283:$AG283))))</f>
        <v/>
      </c>
      <c r="AR283" s="24">
        <f>ROUND(N283-X283-AH283,2)</f>
        <v/>
      </c>
      <c r="AS283" s="24">
        <f>ROUND(O283-Y283-AI283,2)</f>
        <v/>
      </c>
      <c r="AT283" s="24">
        <f>ROUND(P283-Z283-AJ283,2)</f>
        <v/>
      </c>
      <c r="AU283" s="24">
        <f>ROUND(Q283-AA283-AK283,2)</f>
        <v/>
      </c>
      <c r="AV283" s="24">
        <f>ROUND(R283-AB283-AL283,2)</f>
        <v/>
      </c>
      <c r="AW283" s="24">
        <f>ROUND(S283-AC283-AM283,2)</f>
        <v/>
      </c>
      <c r="AX283" s="24">
        <f>ROUND(T283-AD283-AN283,2)</f>
        <v/>
      </c>
      <c r="AY283" s="24">
        <f>ROUND(U283-AE283-AO283,2)</f>
        <v/>
      </c>
      <c r="AZ283" s="24">
        <f>ROUND(V283-AF283-AP283,2)</f>
        <v/>
      </c>
      <c r="BA283" s="24">
        <f>ROUND(W283-AG283-AQ283,2)</f>
        <v/>
      </c>
      <c r="BB283" s="24">
        <f>SUM(AR283:BA283)</f>
        <v/>
      </c>
    </row>
    <row r="284">
      <c r="A284" t="n">
        <v>280</v>
      </c>
      <c r="B284" s="23">
        <f>EOMONTH(TODAY(),279)</f>
        <v/>
      </c>
      <c r="C284" s="24">
        <f>MAX(0,(SUM('My Loans'!$E$6:$E$15)+'My Loans'!$D$3)-SUM($X284:$AG284))</f>
        <v/>
      </c>
      <c r="D284" s="24">
        <f>MAX(0,AR283)</f>
        <v/>
      </c>
      <c r="E284" s="24">
        <f>MAX(0,AS283)</f>
        <v/>
      </c>
      <c r="F284" s="24">
        <f>MAX(0,AT283)</f>
        <v/>
      </c>
      <c r="G284" s="24">
        <f>MAX(0,AU283)</f>
        <v/>
      </c>
      <c r="H284" s="24">
        <f>MAX(0,AV283)</f>
        <v/>
      </c>
      <c r="I284" s="24">
        <f>MAX(0,AW283)</f>
        <v/>
      </c>
      <c r="J284" s="24">
        <f>MAX(0,AX283)</f>
        <v/>
      </c>
      <c r="K284" s="24">
        <f>MAX(0,AY283)</f>
        <v/>
      </c>
      <c r="L284" s="24">
        <f>MAX(0,AZ283)</f>
        <v/>
      </c>
      <c r="M284" s="24">
        <f>MAX(0,BA283)</f>
        <v/>
      </c>
      <c r="N284" s="24">
        <f>IF(D284&lt;0.5,0,D284*(1+N('My Loans'!D6)/1200))</f>
        <v/>
      </c>
      <c r="O284" s="24">
        <f>IF(E284&lt;0.5,0,E284*(1+N('My Loans'!D7)/1200))</f>
        <v/>
      </c>
      <c r="P284" s="24">
        <f>IF(F284&lt;0.5,0,F284*(1+N('My Loans'!D8)/1200))</f>
        <v/>
      </c>
      <c r="Q284" s="24">
        <f>IF(G284&lt;0.5,0,G284*(1+N('My Loans'!D9)/1200))</f>
        <v/>
      </c>
      <c r="R284" s="24">
        <f>IF(H284&lt;0.5,0,H284*(1+N('My Loans'!D10)/1200))</f>
        <v/>
      </c>
      <c r="S284" s="24">
        <f>IF(I284&lt;0.5,0,I284*(1+N('My Loans'!D11)/1200))</f>
        <v/>
      </c>
      <c r="T284" s="24">
        <f>IF(J284&lt;0.5,0,J284*(1+N('My Loans'!D12)/1200))</f>
        <v/>
      </c>
      <c r="U284" s="24">
        <f>IF(K284&lt;0.5,0,K284*(1+N('My Loans'!D13)/1200))</f>
        <v/>
      </c>
      <c r="V284" s="24">
        <f>IF(L284&lt;0.5,0,L284*(1+N('My Loans'!D14)/1200))</f>
        <v/>
      </c>
      <c r="W284" s="24">
        <f>IF(M284&lt;0.5,0,M284*(1+N('My Loans'!D15)/1200))</f>
        <v/>
      </c>
      <c r="X284" s="24">
        <f>MIN(N284,N('My Loans'!E6))</f>
        <v/>
      </c>
      <c r="Y284" s="24">
        <f>MIN(O284,N('My Loans'!E7))</f>
        <v/>
      </c>
      <c r="Z284" s="24">
        <f>MIN(P284,N('My Loans'!E8))</f>
        <v/>
      </c>
      <c r="AA284" s="24">
        <f>MIN(Q284,N('My Loans'!E9))</f>
        <v/>
      </c>
      <c r="AB284" s="24">
        <f>MIN(R284,N('My Loans'!E10))</f>
        <v/>
      </c>
      <c r="AC284" s="24">
        <f>MIN(S284,N('My Loans'!E11))</f>
        <v/>
      </c>
      <c r="AD284" s="24">
        <f>MIN(T284,N('My Loans'!E12))</f>
        <v/>
      </c>
      <c r="AE284" s="24">
        <f>MIN(U284,N('My Loans'!E13))</f>
        <v/>
      </c>
      <c r="AF284" s="24">
        <f>MIN(V284,N('My Loans'!E14))</f>
        <v/>
      </c>
      <c r="AG284" s="24">
        <f>MIN(W284,N('My Loans'!E15))</f>
        <v/>
      </c>
      <c r="AH284" s="24">
        <f>MIN(N284-X284,MAX(0,$C284-SUMPRODUCT(($D$3:$M$3&lt;D$3)*($N284:$W284-$X284:$AG284))))</f>
        <v/>
      </c>
      <c r="AI284" s="24">
        <f>MIN(O284-Y284,MAX(0,$C284-SUMPRODUCT(($D$3:$M$3&lt;E$3)*($N284:$W284-$X284:$AG284))))</f>
        <v/>
      </c>
      <c r="AJ284" s="24">
        <f>MIN(P284-Z284,MAX(0,$C284-SUMPRODUCT(($D$3:$M$3&lt;F$3)*($N284:$W284-$X284:$AG284))))</f>
        <v/>
      </c>
      <c r="AK284" s="24">
        <f>MIN(Q284-AA284,MAX(0,$C284-SUMPRODUCT(($D$3:$M$3&lt;G$3)*($N284:$W284-$X284:$AG284))))</f>
        <v/>
      </c>
      <c r="AL284" s="24">
        <f>MIN(R284-AB284,MAX(0,$C284-SUMPRODUCT(($D$3:$M$3&lt;H$3)*($N284:$W284-$X284:$AG284))))</f>
        <v/>
      </c>
      <c r="AM284" s="24">
        <f>MIN(S284-AC284,MAX(0,$C284-SUMPRODUCT(($D$3:$M$3&lt;I$3)*($N284:$W284-$X284:$AG284))))</f>
        <v/>
      </c>
      <c r="AN284" s="24">
        <f>MIN(T284-AD284,MAX(0,$C284-SUMPRODUCT(($D$3:$M$3&lt;J$3)*($N284:$W284-$X284:$AG284))))</f>
        <v/>
      </c>
      <c r="AO284" s="24">
        <f>MIN(U284-AE284,MAX(0,$C284-SUMPRODUCT(($D$3:$M$3&lt;K$3)*($N284:$W284-$X284:$AG284))))</f>
        <v/>
      </c>
      <c r="AP284" s="24">
        <f>MIN(V284-AF284,MAX(0,$C284-SUMPRODUCT(($D$3:$M$3&lt;L$3)*($N284:$W284-$X284:$AG284))))</f>
        <v/>
      </c>
      <c r="AQ284" s="24">
        <f>MIN(W284-AG284,MAX(0,$C284-SUMPRODUCT(($D$3:$M$3&lt;M$3)*($N284:$W284-$X284:$AG284))))</f>
        <v/>
      </c>
      <c r="AR284" s="24">
        <f>ROUND(N284-X284-AH284,2)</f>
        <v/>
      </c>
      <c r="AS284" s="24">
        <f>ROUND(O284-Y284-AI284,2)</f>
        <v/>
      </c>
      <c r="AT284" s="24">
        <f>ROUND(P284-Z284-AJ284,2)</f>
        <v/>
      </c>
      <c r="AU284" s="24">
        <f>ROUND(Q284-AA284-AK284,2)</f>
        <v/>
      </c>
      <c r="AV284" s="24">
        <f>ROUND(R284-AB284-AL284,2)</f>
        <v/>
      </c>
      <c r="AW284" s="24">
        <f>ROUND(S284-AC284-AM284,2)</f>
        <v/>
      </c>
      <c r="AX284" s="24">
        <f>ROUND(T284-AD284-AN284,2)</f>
        <v/>
      </c>
      <c r="AY284" s="24">
        <f>ROUND(U284-AE284-AO284,2)</f>
        <v/>
      </c>
      <c r="AZ284" s="24">
        <f>ROUND(V284-AF284-AP284,2)</f>
        <v/>
      </c>
      <c r="BA284" s="24">
        <f>ROUND(W284-AG284-AQ284,2)</f>
        <v/>
      </c>
      <c r="BB284" s="24">
        <f>SUM(AR284:BA284)</f>
        <v/>
      </c>
    </row>
    <row r="285">
      <c r="A285" t="n">
        <v>281</v>
      </c>
      <c r="B285" s="23">
        <f>EOMONTH(TODAY(),280)</f>
        <v/>
      </c>
      <c r="C285" s="24">
        <f>MAX(0,(SUM('My Loans'!$E$6:$E$15)+'My Loans'!$D$3)-SUM($X285:$AG285))</f>
        <v/>
      </c>
      <c r="D285" s="24">
        <f>MAX(0,AR284)</f>
        <v/>
      </c>
      <c r="E285" s="24">
        <f>MAX(0,AS284)</f>
        <v/>
      </c>
      <c r="F285" s="24">
        <f>MAX(0,AT284)</f>
        <v/>
      </c>
      <c r="G285" s="24">
        <f>MAX(0,AU284)</f>
        <v/>
      </c>
      <c r="H285" s="24">
        <f>MAX(0,AV284)</f>
        <v/>
      </c>
      <c r="I285" s="24">
        <f>MAX(0,AW284)</f>
        <v/>
      </c>
      <c r="J285" s="24">
        <f>MAX(0,AX284)</f>
        <v/>
      </c>
      <c r="K285" s="24">
        <f>MAX(0,AY284)</f>
        <v/>
      </c>
      <c r="L285" s="24">
        <f>MAX(0,AZ284)</f>
        <v/>
      </c>
      <c r="M285" s="24">
        <f>MAX(0,BA284)</f>
        <v/>
      </c>
      <c r="N285" s="24">
        <f>IF(D285&lt;0.5,0,D285*(1+N('My Loans'!D6)/1200))</f>
        <v/>
      </c>
      <c r="O285" s="24">
        <f>IF(E285&lt;0.5,0,E285*(1+N('My Loans'!D7)/1200))</f>
        <v/>
      </c>
      <c r="P285" s="24">
        <f>IF(F285&lt;0.5,0,F285*(1+N('My Loans'!D8)/1200))</f>
        <v/>
      </c>
      <c r="Q285" s="24">
        <f>IF(G285&lt;0.5,0,G285*(1+N('My Loans'!D9)/1200))</f>
        <v/>
      </c>
      <c r="R285" s="24">
        <f>IF(H285&lt;0.5,0,H285*(1+N('My Loans'!D10)/1200))</f>
        <v/>
      </c>
      <c r="S285" s="24">
        <f>IF(I285&lt;0.5,0,I285*(1+N('My Loans'!D11)/1200))</f>
        <v/>
      </c>
      <c r="T285" s="24">
        <f>IF(J285&lt;0.5,0,J285*(1+N('My Loans'!D12)/1200))</f>
        <v/>
      </c>
      <c r="U285" s="24">
        <f>IF(K285&lt;0.5,0,K285*(1+N('My Loans'!D13)/1200))</f>
        <v/>
      </c>
      <c r="V285" s="24">
        <f>IF(L285&lt;0.5,0,L285*(1+N('My Loans'!D14)/1200))</f>
        <v/>
      </c>
      <c r="W285" s="24">
        <f>IF(M285&lt;0.5,0,M285*(1+N('My Loans'!D15)/1200))</f>
        <v/>
      </c>
      <c r="X285" s="24">
        <f>MIN(N285,N('My Loans'!E6))</f>
        <v/>
      </c>
      <c r="Y285" s="24">
        <f>MIN(O285,N('My Loans'!E7))</f>
        <v/>
      </c>
      <c r="Z285" s="24">
        <f>MIN(P285,N('My Loans'!E8))</f>
        <v/>
      </c>
      <c r="AA285" s="24">
        <f>MIN(Q285,N('My Loans'!E9))</f>
        <v/>
      </c>
      <c r="AB285" s="24">
        <f>MIN(R285,N('My Loans'!E10))</f>
        <v/>
      </c>
      <c r="AC285" s="24">
        <f>MIN(S285,N('My Loans'!E11))</f>
        <v/>
      </c>
      <c r="AD285" s="24">
        <f>MIN(T285,N('My Loans'!E12))</f>
        <v/>
      </c>
      <c r="AE285" s="24">
        <f>MIN(U285,N('My Loans'!E13))</f>
        <v/>
      </c>
      <c r="AF285" s="24">
        <f>MIN(V285,N('My Loans'!E14))</f>
        <v/>
      </c>
      <c r="AG285" s="24">
        <f>MIN(W285,N('My Loans'!E15))</f>
        <v/>
      </c>
      <c r="AH285" s="24">
        <f>MIN(N285-X285,MAX(0,$C285-SUMPRODUCT(($D$3:$M$3&lt;D$3)*($N285:$W285-$X285:$AG285))))</f>
        <v/>
      </c>
      <c r="AI285" s="24">
        <f>MIN(O285-Y285,MAX(0,$C285-SUMPRODUCT(($D$3:$M$3&lt;E$3)*($N285:$W285-$X285:$AG285))))</f>
        <v/>
      </c>
      <c r="AJ285" s="24">
        <f>MIN(P285-Z285,MAX(0,$C285-SUMPRODUCT(($D$3:$M$3&lt;F$3)*($N285:$W285-$X285:$AG285))))</f>
        <v/>
      </c>
      <c r="AK285" s="24">
        <f>MIN(Q285-AA285,MAX(0,$C285-SUMPRODUCT(($D$3:$M$3&lt;G$3)*($N285:$W285-$X285:$AG285))))</f>
        <v/>
      </c>
      <c r="AL285" s="24">
        <f>MIN(R285-AB285,MAX(0,$C285-SUMPRODUCT(($D$3:$M$3&lt;H$3)*($N285:$W285-$X285:$AG285))))</f>
        <v/>
      </c>
      <c r="AM285" s="24">
        <f>MIN(S285-AC285,MAX(0,$C285-SUMPRODUCT(($D$3:$M$3&lt;I$3)*($N285:$W285-$X285:$AG285))))</f>
        <v/>
      </c>
      <c r="AN285" s="24">
        <f>MIN(T285-AD285,MAX(0,$C285-SUMPRODUCT(($D$3:$M$3&lt;J$3)*($N285:$W285-$X285:$AG285))))</f>
        <v/>
      </c>
      <c r="AO285" s="24">
        <f>MIN(U285-AE285,MAX(0,$C285-SUMPRODUCT(($D$3:$M$3&lt;K$3)*($N285:$W285-$X285:$AG285))))</f>
        <v/>
      </c>
      <c r="AP285" s="24">
        <f>MIN(V285-AF285,MAX(0,$C285-SUMPRODUCT(($D$3:$M$3&lt;L$3)*($N285:$W285-$X285:$AG285))))</f>
        <v/>
      </c>
      <c r="AQ285" s="24">
        <f>MIN(W285-AG285,MAX(0,$C285-SUMPRODUCT(($D$3:$M$3&lt;M$3)*($N285:$W285-$X285:$AG285))))</f>
        <v/>
      </c>
      <c r="AR285" s="24">
        <f>ROUND(N285-X285-AH285,2)</f>
        <v/>
      </c>
      <c r="AS285" s="24">
        <f>ROUND(O285-Y285-AI285,2)</f>
        <v/>
      </c>
      <c r="AT285" s="24">
        <f>ROUND(P285-Z285-AJ285,2)</f>
        <v/>
      </c>
      <c r="AU285" s="24">
        <f>ROUND(Q285-AA285-AK285,2)</f>
        <v/>
      </c>
      <c r="AV285" s="24">
        <f>ROUND(R285-AB285-AL285,2)</f>
        <v/>
      </c>
      <c r="AW285" s="24">
        <f>ROUND(S285-AC285-AM285,2)</f>
        <v/>
      </c>
      <c r="AX285" s="24">
        <f>ROUND(T285-AD285-AN285,2)</f>
        <v/>
      </c>
      <c r="AY285" s="24">
        <f>ROUND(U285-AE285-AO285,2)</f>
        <v/>
      </c>
      <c r="AZ285" s="24">
        <f>ROUND(V285-AF285-AP285,2)</f>
        <v/>
      </c>
      <c r="BA285" s="24">
        <f>ROUND(W285-AG285-AQ285,2)</f>
        <v/>
      </c>
      <c r="BB285" s="24">
        <f>SUM(AR285:BA285)</f>
        <v/>
      </c>
    </row>
    <row r="286">
      <c r="A286" t="n">
        <v>282</v>
      </c>
      <c r="B286" s="23">
        <f>EOMONTH(TODAY(),281)</f>
        <v/>
      </c>
      <c r="C286" s="24">
        <f>MAX(0,(SUM('My Loans'!$E$6:$E$15)+'My Loans'!$D$3)-SUM($X286:$AG286))</f>
        <v/>
      </c>
      <c r="D286" s="24">
        <f>MAX(0,AR285)</f>
        <v/>
      </c>
      <c r="E286" s="24">
        <f>MAX(0,AS285)</f>
        <v/>
      </c>
      <c r="F286" s="24">
        <f>MAX(0,AT285)</f>
        <v/>
      </c>
      <c r="G286" s="24">
        <f>MAX(0,AU285)</f>
        <v/>
      </c>
      <c r="H286" s="24">
        <f>MAX(0,AV285)</f>
        <v/>
      </c>
      <c r="I286" s="24">
        <f>MAX(0,AW285)</f>
        <v/>
      </c>
      <c r="J286" s="24">
        <f>MAX(0,AX285)</f>
        <v/>
      </c>
      <c r="K286" s="24">
        <f>MAX(0,AY285)</f>
        <v/>
      </c>
      <c r="L286" s="24">
        <f>MAX(0,AZ285)</f>
        <v/>
      </c>
      <c r="M286" s="24">
        <f>MAX(0,BA285)</f>
        <v/>
      </c>
      <c r="N286" s="24">
        <f>IF(D286&lt;0.5,0,D286*(1+N('My Loans'!D6)/1200))</f>
        <v/>
      </c>
      <c r="O286" s="24">
        <f>IF(E286&lt;0.5,0,E286*(1+N('My Loans'!D7)/1200))</f>
        <v/>
      </c>
      <c r="P286" s="24">
        <f>IF(F286&lt;0.5,0,F286*(1+N('My Loans'!D8)/1200))</f>
        <v/>
      </c>
      <c r="Q286" s="24">
        <f>IF(G286&lt;0.5,0,G286*(1+N('My Loans'!D9)/1200))</f>
        <v/>
      </c>
      <c r="R286" s="24">
        <f>IF(H286&lt;0.5,0,H286*(1+N('My Loans'!D10)/1200))</f>
        <v/>
      </c>
      <c r="S286" s="24">
        <f>IF(I286&lt;0.5,0,I286*(1+N('My Loans'!D11)/1200))</f>
        <v/>
      </c>
      <c r="T286" s="24">
        <f>IF(J286&lt;0.5,0,J286*(1+N('My Loans'!D12)/1200))</f>
        <v/>
      </c>
      <c r="U286" s="24">
        <f>IF(K286&lt;0.5,0,K286*(1+N('My Loans'!D13)/1200))</f>
        <v/>
      </c>
      <c r="V286" s="24">
        <f>IF(L286&lt;0.5,0,L286*(1+N('My Loans'!D14)/1200))</f>
        <v/>
      </c>
      <c r="W286" s="24">
        <f>IF(M286&lt;0.5,0,M286*(1+N('My Loans'!D15)/1200))</f>
        <v/>
      </c>
      <c r="X286" s="24">
        <f>MIN(N286,N('My Loans'!E6))</f>
        <v/>
      </c>
      <c r="Y286" s="24">
        <f>MIN(O286,N('My Loans'!E7))</f>
        <v/>
      </c>
      <c r="Z286" s="24">
        <f>MIN(P286,N('My Loans'!E8))</f>
        <v/>
      </c>
      <c r="AA286" s="24">
        <f>MIN(Q286,N('My Loans'!E9))</f>
        <v/>
      </c>
      <c r="AB286" s="24">
        <f>MIN(R286,N('My Loans'!E10))</f>
        <v/>
      </c>
      <c r="AC286" s="24">
        <f>MIN(S286,N('My Loans'!E11))</f>
        <v/>
      </c>
      <c r="AD286" s="24">
        <f>MIN(T286,N('My Loans'!E12))</f>
        <v/>
      </c>
      <c r="AE286" s="24">
        <f>MIN(U286,N('My Loans'!E13))</f>
        <v/>
      </c>
      <c r="AF286" s="24">
        <f>MIN(V286,N('My Loans'!E14))</f>
        <v/>
      </c>
      <c r="AG286" s="24">
        <f>MIN(W286,N('My Loans'!E15))</f>
        <v/>
      </c>
      <c r="AH286" s="24">
        <f>MIN(N286-X286,MAX(0,$C286-SUMPRODUCT(($D$3:$M$3&lt;D$3)*($N286:$W286-$X286:$AG286))))</f>
        <v/>
      </c>
      <c r="AI286" s="24">
        <f>MIN(O286-Y286,MAX(0,$C286-SUMPRODUCT(($D$3:$M$3&lt;E$3)*($N286:$W286-$X286:$AG286))))</f>
        <v/>
      </c>
      <c r="AJ286" s="24">
        <f>MIN(P286-Z286,MAX(0,$C286-SUMPRODUCT(($D$3:$M$3&lt;F$3)*($N286:$W286-$X286:$AG286))))</f>
        <v/>
      </c>
      <c r="AK286" s="24">
        <f>MIN(Q286-AA286,MAX(0,$C286-SUMPRODUCT(($D$3:$M$3&lt;G$3)*($N286:$W286-$X286:$AG286))))</f>
        <v/>
      </c>
      <c r="AL286" s="24">
        <f>MIN(R286-AB286,MAX(0,$C286-SUMPRODUCT(($D$3:$M$3&lt;H$3)*($N286:$W286-$X286:$AG286))))</f>
        <v/>
      </c>
      <c r="AM286" s="24">
        <f>MIN(S286-AC286,MAX(0,$C286-SUMPRODUCT(($D$3:$M$3&lt;I$3)*($N286:$W286-$X286:$AG286))))</f>
        <v/>
      </c>
      <c r="AN286" s="24">
        <f>MIN(T286-AD286,MAX(0,$C286-SUMPRODUCT(($D$3:$M$3&lt;J$3)*($N286:$W286-$X286:$AG286))))</f>
        <v/>
      </c>
      <c r="AO286" s="24">
        <f>MIN(U286-AE286,MAX(0,$C286-SUMPRODUCT(($D$3:$M$3&lt;K$3)*($N286:$W286-$X286:$AG286))))</f>
        <v/>
      </c>
      <c r="AP286" s="24">
        <f>MIN(V286-AF286,MAX(0,$C286-SUMPRODUCT(($D$3:$M$3&lt;L$3)*($N286:$W286-$X286:$AG286))))</f>
        <v/>
      </c>
      <c r="AQ286" s="24">
        <f>MIN(W286-AG286,MAX(0,$C286-SUMPRODUCT(($D$3:$M$3&lt;M$3)*($N286:$W286-$X286:$AG286))))</f>
        <v/>
      </c>
      <c r="AR286" s="24">
        <f>ROUND(N286-X286-AH286,2)</f>
        <v/>
      </c>
      <c r="AS286" s="24">
        <f>ROUND(O286-Y286-AI286,2)</f>
        <v/>
      </c>
      <c r="AT286" s="24">
        <f>ROUND(P286-Z286-AJ286,2)</f>
        <v/>
      </c>
      <c r="AU286" s="24">
        <f>ROUND(Q286-AA286-AK286,2)</f>
        <v/>
      </c>
      <c r="AV286" s="24">
        <f>ROUND(R286-AB286-AL286,2)</f>
        <v/>
      </c>
      <c r="AW286" s="24">
        <f>ROUND(S286-AC286-AM286,2)</f>
        <v/>
      </c>
      <c r="AX286" s="24">
        <f>ROUND(T286-AD286-AN286,2)</f>
        <v/>
      </c>
      <c r="AY286" s="24">
        <f>ROUND(U286-AE286-AO286,2)</f>
        <v/>
      </c>
      <c r="AZ286" s="24">
        <f>ROUND(V286-AF286-AP286,2)</f>
        <v/>
      </c>
      <c r="BA286" s="24">
        <f>ROUND(W286-AG286-AQ286,2)</f>
        <v/>
      </c>
      <c r="BB286" s="24">
        <f>SUM(AR286:BA286)</f>
        <v/>
      </c>
    </row>
    <row r="287">
      <c r="A287" t="n">
        <v>283</v>
      </c>
      <c r="B287" s="23">
        <f>EOMONTH(TODAY(),282)</f>
        <v/>
      </c>
      <c r="C287" s="24">
        <f>MAX(0,(SUM('My Loans'!$E$6:$E$15)+'My Loans'!$D$3)-SUM($X287:$AG287))</f>
        <v/>
      </c>
      <c r="D287" s="24">
        <f>MAX(0,AR286)</f>
        <v/>
      </c>
      <c r="E287" s="24">
        <f>MAX(0,AS286)</f>
        <v/>
      </c>
      <c r="F287" s="24">
        <f>MAX(0,AT286)</f>
        <v/>
      </c>
      <c r="G287" s="24">
        <f>MAX(0,AU286)</f>
        <v/>
      </c>
      <c r="H287" s="24">
        <f>MAX(0,AV286)</f>
        <v/>
      </c>
      <c r="I287" s="24">
        <f>MAX(0,AW286)</f>
        <v/>
      </c>
      <c r="J287" s="24">
        <f>MAX(0,AX286)</f>
        <v/>
      </c>
      <c r="K287" s="24">
        <f>MAX(0,AY286)</f>
        <v/>
      </c>
      <c r="L287" s="24">
        <f>MAX(0,AZ286)</f>
        <v/>
      </c>
      <c r="M287" s="24">
        <f>MAX(0,BA286)</f>
        <v/>
      </c>
      <c r="N287" s="24">
        <f>IF(D287&lt;0.5,0,D287*(1+N('My Loans'!D6)/1200))</f>
        <v/>
      </c>
      <c r="O287" s="24">
        <f>IF(E287&lt;0.5,0,E287*(1+N('My Loans'!D7)/1200))</f>
        <v/>
      </c>
      <c r="P287" s="24">
        <f>IF(F287&lt;0.5,0,F287*(1+N('My Loans'!D8)/1200))</f>
        <v/>
      </c>
      <c r="Q287" s="24">
        <f>IF(G287&lt;0.5,0,G287*(1+N('My Loans'!D9)/1200))</f>
        <v/>
      </c>
      <c r="R287" s="24">
        <f>IF(H287&lt;0.5,0,H287*(1+N('My Loans'!D10)/1200))</f>
        <v/>
      </c>
      <c r="S287" s="24">
        <f>IF(I287&lt;0.5,0,I287*(1+N('My Loans'!D11)/1200))</f>
        <v/>
      </c>
      <c r="T287" s="24">
        <f>IF(J287&lt;0.5,0,J287*(1+N('My Loans'!D12)/1200))</f>
        <v/>
      </c>
      <c r="U287" s="24">
        <f>IF(K287&lt;0.5,0,K287*(1+N('My Loans'!D13)/1200))</f>
        <v/>
      </c>
      <c r="V287" s="24">
        <f>IF(L287&lt;0.5,0,L287*(1+N('My Loans'!D14)/1200))</f>
        <v/>
      </c>
      <c r="W287" s="24">
        <f>IF(M287&lt;0.5,0,M287*(1+N('My Loans'!D15)/1200))</f>
        <v/>
      </c>
      <c r="X287" s="24">
        <f>MIN(N287,N('My Loans'!E6))</f>
        <v/>
      </c>
      <c r="Y287" s="24">
        <f>MIN(O287,N('My Loans'!E7))</f>
        <v/>
      </c>
      <c r="Z287" s="24">
        <f>MIN(P287,N('My Loans'!E8))</f>
        <v/>
      </c>
      <c r="AA287" s="24">
        <f>MIN(Q287,N('My Loans'!E9))</f>
        <v/>
      </c>
      <c r="AB287" s="24">
        <f>MIN(R287,N('My Loans'!E10))</f>
        <v/>
      </c>
      <c r="AC287" s="24">
        <f>MIN(S287,N('My Loans'!E11))</f>
        <v/>
      </c>
      <c r="AD287" s="24">
        <f>MIN(T287,N('My Loans'!E12))</f>
        <v/>
      </c>
      <c r="AE287" s="24">
        <f>MIN(U287,N('My Loans'!E13))</f>
        <v/>
      </c>
      <c r="AF287" s="24">
        <f>MIN(V287,N('My Loans'!E14))</f>
        <v/>
      </c>
      <c r="AG287" s="24">
        <f>MIN(W287,N('My Loans'!E15))</f>
        <v/>
      </c>
      <c r="AH287" s="24">
        <f>MIN(N287-X287,MAX(0,$C287-SUMPRODUCT(($D$3:$M$3&lt;D$3)*($N287:$W287-$X287:$AG287))))</f>
        <v/>
      </c>
      <c r="AI287" s="24">
        <f>MIN(O287-Y287,MAX(0,$C287-SUMPRODUCT(($D$3:$M$3&lt;E$3)*($N287:$W287-$X287:$AG287))))</f>
        <v/>
      </c>
      <c r="AJ287" s="24">
        <f>MIN(P287-Z287,MAX(0,$C287-SUMPRODUCT(($D$3:$M$3&lt;F$3)*($N287:$W287-$X287:$AG287))))</f>
        <v/>
      </c>
      <c r="AK287" s="24">
        <f>MIN(Q287-AA287,MAX(0,$C287-SUMPRODUCT(($D$3:$M$3&lt;G$3)*($N287:$W287-$X287:$AG287))))</f>
        <v/>
      </c>
      <c r="AL287" s="24">
        <f>MIN(R287-AB287,MAX(0,$C287-SUMPRODUCT(($D$3:$M$3&lt;H$3)*($N287:$W287-$X287:$AG287))))</f>
        <v/>
      </c>
      <c r="AM287" s="24">
        <f>MIN(S287-AC287,MAX(0,$C287-SUMPRODUCT(($D$3:$M$3&lt;I$3)*($N287:$W287-$X287:$AG287))))</f>
        <v/>
      </c>
      <c r="AN287" s="24">
        <f>MIN(T287-AD287,MAX(0,$C287-SUMPRODUCT(($D$3:$M$3&lt;J$3)*($N287:$W287-$X287:$AG287))))</f>
        <v/>
      </c>
      <c r="AO287" s="24">
        <f>MIN(U287-AE287,MAX(0,$C287-SUMPRODUCT(($D$3:$M$3&lt;K$3)*($N287:$W287-$X287:$AG287))))</f>
        <v/>
      </c>
      <c r="AP287" s="24">
        <f>MIN(V287-AF287,MAX(0,$C287-SUMPRODUCT(($D$3:$M$3&lt;L$3)*($N287:$W287-$X287:$AG287))))</f>
        <v/>
      </c>
      <c r="AQ287" s="24">
        <f>MIN(W287-AG287,MAX(0,$C287-SUMPRODUCT(($D$3:$M$3&lt;M$3)*($N287:$W287-$X287:$AG287))))</f>
        <v/>
      </c>
      <c r="AR287" s="24">
        <f>ROUND(N287-X287-AH287,2)</f>
        <v/>
      </c>
      <c r="AS287" s="24">
        <f>ROUND(O287-Y287-AI287,2)</f>
        <v/>
      </c>
      <c r="AT287" s="24">
        <f>ROUND(P287-Z287-AJ287,2)</f>
        <v/>
      </c>
      <c r="AU287" s="24">
        <f>ROUND(Q287-AA287-AK287,2)</f>
        <v/>
      </c>
      <c r="AV287" s="24">
        <f>ROUND(R287-AB287-AL287,2)</f>
        <v/>
      </c>
      <c r="AW287" s="24">
        <f>ROUND(S287-AC287-AM287,2)</f>
        <v/>
      </c>
      <c r="AX287" s="24">
        <f>ROUND(T287-AD287-AN287,2)</f>
        <v/>
      </c>
      <c r="AY287" s="24">
        <f>ROUND(U287-AE287-AO287,2)</f>
        <v/>
      </c>
      <c r="AZ287" s="24">
        <f>ROUND(V287-AF287-AP287,2)</f>
        <v/>
      </c>
      <c r="BA287" s="24">
        <f>ROUND(W287-AG287-AQ287,2)</f>
        <v/>
      </c>
      <c r="BB287" s="24">
        <f>SUM(AR287:BA287)</f>
        <v/>
      </c>
    </row>
    <row r="288">
      <c r="A288" t="n">
        <v>284</v>
      </c>
      <c r="B288" s="23">
        <f>EOMONTH(TODAY(),283)</f>
        <v/>
      </c>
      <c r="C288" s="24">
        <f>MAX(0,(SUM('My Loans'!$E$6:$E$15)+'My Loans'!$D$3)-SUM($X288:$AG288))</f>
        <v/>
      </c>
      <c r="D288" s="24">
        <f>MAX(0,AR287)</f>
        <v/>
      </c>
      <c r="E288" s="24">
        <f>MAX(0,AS287)</f>
        <v/>
      </c>
      <c r="F288" s="24">
        <f>MAX(0,AT287)</f>
        <v/>
      </c>
      <c r="G288" s="24">
        <f>MAX(0,AU287)</f>
        <v/>
      </c>
      <c r="H288" s="24">
        <f>MAX(0,AV287)</f>
        <v/>
      </c>
      <c r="I288" s="24">
        <f>MAX(0,AW287)</f>
        <v/>
      </c>
      <c r="J288" s="24">
        <f>MAX(0,AX287)</f>
        <v/>
      </c>
      <c r="K288" s="24">
        <f>MAX(0,AY287)</f>
        <v/>
      </c>
      <c r="L288" s="24">
        <f>MAX(0,AZ287)</f>
        <v/>
      </c>
      <c r="M288" s="24">
        <f>MAX(0,BA287)</f>
        <v/>
      </c>
      <c r="N288" s="24">
        <f>IF(D288&lt;0.5,0,D288*(1+N('My Loans'!D6)/1200))</f>
        <v/>
      </c>
      <c r="O288" s="24">
        <f>IF(E288&lt;0.5,0,E288*(1+N('My Loans'!D7)/1200))</f>
        <v/>
      </c>
      <c r="P288" s="24">
        <f>IF(F288&lt;0.5,0,F288*(1+N('My Loans'!D8)/1200))</f>
        <v/>
      </c>
      <c r="Q288" s="24">
        <f>IF(G288&lt;0.5,0,G288*(1+N('My Loans'!D9)/1200))</f>
        <v/>
      </c>
      <c r="R288" s="24">
        <f>IF(H288&lt;0.5,0,H288*(1+N('My Loans'!D10)/1200))</f>
        <v/>
      </c>
      <c r="S288" s="24">
        <f>IF(I288&lt;0.5,0,I288*(1+N('My Loans'!D11)/1200))</f>
        <v/>
      </c>
      <c r="T288" s="24">
        <f>IF(J288&lt;0.5,0,J288*(1+N('My Loans'!D12)/1200))</f>
        <v/>
      </c>
      <c r="U288" s="24">
        <f>IF(K288&lt;0.5,0,K288*(1+N('My Loans'!D13)/1200))</f>
        <v/>
      </c>
      <c r="V288" s="24">
        <f>IF(L288&lt;0.5,0,L288*(1+N('My Loans'!D14)/1200))</f>
        <v/>
      </c>
      <c r="W288" s="24">
        <f>IF(M288&lt;0.5,0,M288*(1+N('My Loans'!D15)/1200))</f>
        <v/>
      </c>
      <c r="X288" s="24">
        <f>MIN(N288,N('My Loans'!E6))</f>
        <v/>
      </c>
      <c r="Y288" s="24">
        <f>MIN(O288,N('My Loans'!E7))</f>
        <v/>
      </c>
      <c r="Z288" s="24">
        <f>MIN(P288,N('My Loans'!E8))</f>
        <v/>
      </c>
      <c r="AA288" s="24">
        <f>MIN(Q288,N('My Loans'!E9))</f>
        <v/>
      </c>
      <c r="AB288" s="24">
        <f>MIN(R288,N('My Loans'!E10))</f>
        <v/>
      </c>
      <c r="AC288" s="24">
        <f>MIN(S288,N('My Loans'!E11))</f>
        <v/>
      </c>
      <c r="AD288" s="24">
        <f>MIN(T288,N('My Loans'!E12))</f>
        <v/>
      </c>
      <c r="AE288" s="24">
        <f>MIN(U288,N('My Loans'!E13))</f>
        <v/>
      </c>
      <c r="AF288" s="24">
        <f>MIN(V288,N('My Loans'!E14))</f>
        <v/>
      </c>
      <c r="AG288" s="24">
        <f>MIN(W288,N('My Loans'!E15))</f>
        <v/>
      </c>
      <c r="AH288" s="24">
        <f>MIN(N288-X288,MAX(0,$C288-SUMPRODUCT(($D$3:$M$3&lt;D$3)*($N288:$W288-$X288:$AG288))))</f>
        <v/>
      </c>
      <c r="AI288" s="24">
        <f>MIN(O288-Y288,MAX(0,$C288-SUMPRODUCT(($D$3:$M$3&lt;E$3)*($N288:$W288-$X288:$AG288))))</f>
        <v/>
      </c>
      <c r="AJ288" s="24">
        <f>MIN(P288-Z288,MAX(0,$C288-SUMPRODUCT(($D$3:$M$3&lt;F$3)*($N288:$W288-$X288:$AG288))))</f>
        <v/>
      </c>
      <c r="AK288" s="24">
        <f>MIN(Q288-AA288,MAX(0,$C288-SUMPRODUCT(($D$3:$M$3&lt;G$3)*($N288:$W288-$X288:$AG288))))</f>
        <v/>
      </c>
      <c r="AL288" s="24">
        <f>MIN(R288-AB288,MAX(0,$C288-SUMPRODUCT(($D$3:$M$3&lt;H$3)*($N288:$W288-$X288:$AG288))))</f>
        <v/>
      </c>
      <c r="AM288" s="24">
        <f>MIN(S288-AC288,MAX(0,$C288-SUMPRODUCT(($D$3:$M$3&lt;I$3)*($N288:$W288-$X288:$AG288))))</f>
        <v/>
      </c>
      <c r="AN288" s="24">
        <f>MIN(T288-AD288,MAX(0,$C288-SUMPRODUCT(($D$3:$M$3&lt;J$3)*($N288:$W288-$X288:$AG288))))</f>
        <v/>
      </c>
      <c r="AO288" s="24">
        <f>MIN(U288-AE288,MAX(0,$C288-SUMPRODUCT(($D$3:$M$3&lt;K$3)*($N288:$W288-$X288:$AG288))))</f>
        <v/>
      </c>
      <c r="AP288" s="24">
        <f>MIN(V288-AF288,MAX(0,$C288-SUMPRODUCT(($D$3:$M$3&lt;L$3)*($N288:$W288-$X288:$AG288))))</f>
        <v/>
      </c>
      <c r="AQ288" s="24">
        <f>MIN(W288-AG288,MAX(0,$C288-SUMPRODUCT(($D$3:$M$3&lt;M$3)*($N288:$W288-$X288:$AG288))))</f>
        <v/>
      </c>
      <c r="AR288" s="24">
        <f>ROUND(N288-X288-AH288,2)</f>
        <v/>
      </c>
      <c r="AS288" s="24">
        <f>ROUND(O288-Y288-AI288,2)</f>
        <v/>
      </c>
      <c r="AT288" s="24">
        <f>ROUND(P288-Z288-AJ288,2)</f>
        <v/>
      </c>
      <c r="AU288" s="24">
        <f>ROUND(Q288-AA288-AK288,2)</f>
        <v/>
      </c>
      <c r="AV288" s="24">
        <f>ROUND(R288-AB288-AL288,2)</f>
        <v/>
      </c>
      <c r="AW288" s="24">
        <f>ROUND(S288-AC288-AM288,2)</f>
        <v/>
      </c>
      <c r="AX288" s="24">
        <f>ROUND(T288-AD288-AN288,2)</f>
        <v/>
      </c>
      <c r="AY288" s="24">
        <f>ROUND(U288-AE288-AO288,2)</f>
        <v/>
      </c>
      <c r="AZ288" s="24">
        <f>ROUND(V288-AF288-AP288,2)</f>
        <v/>
      </c>
      <c r="BA288" s="24">
        <f>ROUND(W288-AG288-AQ288,2)</f>
        <v/>
      </c>
      <c r="BB288" s="24">
        <f>SUM(AR288:BA288)</f>
        <v/>
      </c>
    </row>
    <row r="289">
      <c r="A289" t="n">
        <v>285</v>
      </c>
      <c r="B289" s="23">
        <f>EOMONTH(TODAY(),284)</f>
        <v/>
      </c>
      <c r="C289" s="24">
        <f>MAX(0,(SUM('My Loans'!$E$6:$E$15)+'My Loans'!$D$3)-SUM($X289:$AG289))</f>
        <v/>
      </c>
      <c r="D289" s="24">
        <f>MAX(0,AR288)</f>
        <v/>
      </c>
      <c r="E289" s="24">
        <f>MAX(0,AS288)</f>
        <v/>
      </c>
      <c r="F289" s="24">
        <f>MAX(0,AT288)</f>
        <v/>
      </c>
      <c r="G289" s="24">
        <f>MAX(0,AU288)</f>
        <v/>
      </c>
      <c r="H289" s="24">
        <f>MAX(0,AV288)</f>
        <v/>
      </c>
      <c r="I289" s="24">
        <f>MAX(0,AW288)</f>
        <v/>
      </c>
      <c r="J289" s="24">
        <f>MAX(0,AX288)</f>
        <v/>
      </c>
      <c r="K289" s="24">
        <f>MAX(0,AY288)</f>
        <v/>
      </c>
      <c r="L289" s="24">
        <f>MAX(0,AZ288)</f>
        <v/>
      </c>
      <c r="M289" s="24">
        <f>MAX(0,BA288)</f>
        <v/>
      </c>
      <c r="N289" s="24">
        <f>IF(D289&lt;0.5,0,D289*(1+N('My Loans'!D6)/1200))</f>
        <v/>
      </c>
      <c r="O289" s="24">
        <f>IF(E289&lt;0.5,0,E289*(1+N('My Loans'!D7)/1200))</f>
        <v/>
      </c>
      <c r="P289" s="24">
        <f>IF(F289&lt;0.5,0,F289*(1+N('My Loans'!D8)/1200))</f>
        <v/>
      </c>
      <c r="Q289" s="24">
        <f>IF(G289&lt;0.5,0,G289*(1+N('My Loans'!D9)/1200))</f>
        <v/>
      </c>
      <c r="R289" s="24">
        <f>IF(H289&lt;0.5,0,H289*(1+N('My Loans'!D10)/1200))</f>
        <v/>
      </c>
      <c r="S289" s="24">
        <f>IF(I289&lt;0.5,0,I289*(1+N('My Loans'!D11)/1200))</f>
        <v/>
      </c>
      <c r="T289" s="24">
        <f>IF(J289&lt;0.5,0,J289*(1+N('My Loans'!D12)/1200))</f>
        <v/>
      </c>
      <c r="U289" s="24">
        <f>IF(K289&lt;0.5,0,K289*(1+N('My Loans'!D13)/1200))</f>
        <v/>
      </c>
      <c r="V289" s="24">
        <f>IF(L289&lt;0.5,0,L289*(1+N('My Loans'!D14)/1200))</f>
        <v/>
      </c>
      <c r="W289" s="24">
        <f>IF(M289&lt;0.5,0,M289*(1+N('My Loans'!D15)/1200))</f>
        <v/>
      </c>
      <c r="X289" s="24">
        <f>MIN(N289,N('My Loans'!E6))</f>
        <v/>
      </c>
      <c r="Y289" s="24">
        <f>MIN(O289,N('My Loans'!E7))</f>
        <v/>
      </c>
      <c r="Z289" s="24">
        <f>MIN(P289,N('My Loans'!E8))</f>
        <v/>
      </c>
      <c r="AA289" s="24">
        <f>MIN(Q289,N('My Loans'!E9))</f>
        <v/>
      </c>
      <c r="AB289" s="24">
        <f>MIN(R289,N('My Loans'!E10))</f>
        <v/>
      </c>
      <c r="AC289" s="24">
        <f>MIN(S289,N('My Loans'!E11))</f>
        <v/>
      </c>
      <c r="AD289" s="24">
        <f>MIN(T289,N('My Loans'!E12))</f>
        <v/>
      </c>
      <c r="AE289" s="24">
        <f>MIN(U289,N('My Loans'!E13))</f>
        <v/>
      </c>
      <c r="AF289" s="24">
        <f>MIN(V289,N('My Loans'!E14))</f>
        <v/>
      </c>
      <c r="AG289" s="24">
        <f>MIN(W289,N('My Loans'!E15))</f>
        <v/>
      </c>
      <c r="AH289" s="24">
        <f>MIN(N289-X289,MAX(0,$C289-SUMPRODUCT(($D$3:$M$3&lt;D$3)*($N289:$W289-$X289:$AG289))))</f>
        <v/>
      </c>
      <c r="AI289" s="24">
        <f>MIN(O289-Y289,MAX(0,$C289-SUMPRODUCT(($D$3:$M$3&lt;E$3)*($N289:$W289-$X289:$AG289))))</f>
        <v/>
      </c>
      <c r="AJ289" s="24">
        <f>MIN(P289-Z289,MAX(0,$C289-SUMPRODUCT(($D$3:$M$3&lt;F$3)*($N289:$W289-$X289:$AG289))))</f>
        <v/>
      </c>
      <c r="AK289" s="24">
        <f>MIN(Q289-AA289,MAX(0,$C289-SUMPRODUCT(($D$3:$M$3&lt;G$3)*($N289:$W289-$X289:$AG289))))</f>
        <v/>
      </c>
      <c r="AL289" s="24">
        <f>MIN(R289-AB289,MAX(0,$C289-SUMPRODUCT(($D$3:$M$3&lt;H$3)*($N289:$W289-$X289:$AG289))))</f>
        <v/>
      </c>
      <c r="AM289" s="24">
        <f>MIN(S289-AC289,MAX(0,$C289-SUMPRODUCT(($D$3:$M$3&lt;I$3)*($N289:$W289-$X289:$AG289))))</f>
        <v/>
      </c>
      <c r="AN289" s="24">
        <f>MIN(T289-AD289,MAX(0,$C289-SUMPRODUCT(($D$3:$M$3&lt;J$3)*($N289:$W289-$X289:$AG289))))</f>
        <v/>
      </c>
      <c r="AO289" s="24">
        <f>MIN(U289-AE289,MAX(0,$C289-SUMPRODUCT(($D$3:$M$3&lt;K$3)*($N289:$W289-$X289:$AG289))))</f>
        <v/>
      </c>
      <c r="AP289" s="24">
        <f>MIN(V289-AF289,MAX(0,$C289-SUMPRODUCT(($D$3:$M$3&lt;L$3)*($N289:$W289-$X289:$AG289))))</f>
        <v/>
      </c>
      <c r="AQ289" s="24">
        <f>MIN(W289-AG289,MAX(0,$C289-SUMPRODUCT(($D$3:$M$3&lt;M$3)*($N289:$W289-$X289:$AG289))))</f>
        <v/>
      </c>
      <c r="AR289" s="24">
        <f>ROUND(N289-X289-AH289,2)</f>
        <v/>
      </c>
      <c r="AS289" s="24">
        <f>ROUND(O289-Y289-AI289,2)</f>
        <v/>
      </c>
      <c r="AT289" s="24">
        <f>ROUND(P289-Z289-AJ289,2)</f>
        <v/>
      </c>
      <c r="AU289" s="24">
        <f>ROUND(Q289-AA289-AK289,2)</f>
        <v/>
      </c>
      <c r="AV289" s="24">
        <f>ROUND(R289-AB289-AL289,2)</f>
        <v/>
      </c>
      <c r="AW289" s="24">
        <f>ROUND(S289-AC289-AM289,2)</f>
        <v/>
      </c>
      <c r="AX289" s="24">
        <f>ROUND(T289-AD289-AN289,2)</f>
        <v/>
      </c>
      <c r="AY289" s="24">
        <f>ROUND(U289-AE289-AO289,2)</f>
        <v/>
      </c>
      <c r="AZ289" s="24">
        <f>ROUND(V289-AF289-AP289,2)</f>
        <v/>
      </c>
      <c r="BA289" s="24">
        <f>ROUND(W289-AG289-AQ289,2)</f>
        <v/>
      </c>
      <c r="BB289" s="24">
        <f>SUM(AR289:BA289)</f>
        <v/>
      </c>
    </row>
    <row r="290">
      <c r="A290" t="n">
        <v>286</v>
      </c>
      <c r="B290" s="23">
        <f>EOMONTH(TODAY(),285)</f>
        <v/>
      </c>
      <c r="C290" s="24">
        <f>MAX(0,(SUM('My Loans'!$E$6:$E$15)+'My Loans'!$D$3)-SUM($X290:$AG290))</f>
        <v/>
      </c>
      <c r="D290" s="24">
        <f>MAX(0,AR289)</f>
        <v/>
      </c>
      <c r="E290" s="24">
        <f>MAX(0,AS289)</f>
        <v/>
      </c>
      <c r="F290" s="24">
        <f>MAX(0,AT289)</f>
        <v/>
      </c>
      <c r="G290" s="24">
        <f>MAX(0,AU289)</f>
        <v/>
      </c>
      <c r="H290" s="24">
        <f>MAX(0,AV289)</f>
        <v/>
      </c>
      <c r="I290" s="24">
        <f>MAX(0,AW289)</f>
        <v/>
      </c>
      <c r="J290" s="24">
        <f>MAX(0,AX289)</f>
        <v/>
      </c>
      <c r="K290" s="24">
        <f>MAX(0,AY289)</f>
        <v/>
      </c>
      <c r="L290" s="24">
        <f>MAX(0,AZ289)</f>
        <v/>
      </c>
      <c r="M290" s="24">
        <f>MAX(0,BA289)</f>
        <v/>
      </c>
      <c r="N290" s="24">
        <f>IF(D290&lt;0.5,0,D290*(1+N('My Loans'!D6)/1200))</f>
        <v/>
      </c>
      <c r="O290" s="24">
        <f>IF(E290&lt;0.5,0,E290*(1+N('My Loans'!D7)/1200))</f>
        <v/>
      </c>
      <c r="P290" s="24">
        <f>IF(F290&lt;0.5,0,F290*(1+N('My Loans'!D8)/1200))</f>
        <v/>
      </c>
      <c r="Q290" s="24">
        <f>IF(G290&lt;0.5,0,G290*(1+N('My Loans'!D9)/1200))</f>
        <v/>
      </c>
      <c r="R290" s="24">
        <f>IF(H290&lt;0.5,0,H290*(1+N('My Loans'!D10)/1200))</f>
        <v/>
      </c>
      <c r="S290" s="24">
        <f>IF(I290&lt;0.5,0,I290*(1+N('My Loans'!D11)/1200))</f>
        <v/>
      </c>
      <c r="T290" s="24">
        <f>IF(J290&lt;0.5,0,J290*(1+N('My Loans'!D12)/1200))</f>
        <v/>
      </c>
      <c r="U290" s="24">
        <f>IF(K290&lt;0.5,0,K290*(1+N('My Loans'!D13)/1200))</f>
        <v/>
      </c>
      <c r="V290" s="24">
        <f>IF(L290&lt;0.5,0,L290*(1+N('My Loans'!D14)/1200))</f>
        <v/>
      </c>
      <c r="W290" s="24">
        <f>IF(M290&lt;0.5,0,M290*(1+N('My Loans'!D15)/1200))</f>
        <v/>
      </c>
      <c r="X290" s="24">
        <f>MIN(N290,N('My Loans'!E6))</f>
        <v/>
      </c>
      <c r="Y290" s="24">
        <f>MIN(O290,N('My Loans'!E7))</f>
        <v/>
      </c>
      <c r="Z290" s="24">
        <f>MIN(P290,N('My Loans'!E8))</f>
        <v/>
      </c>
      <c r="AA290" s="24">
        <f>MIN(Q290,N('My Loans'!E9))</f>
        <v/>
      </c>
      <c r="AB290" s="24">
        <f>MIN(R290,N('My Loans'!E10))</f>
        <v/>
      </c>
      <c r="AC290" s="24">
        <f>MIN(S290,N('My Loans'!E11))</f>
        <v/>
      </c>
      <c r="AD290" s="24">
        <f>MIN(T290,N('My Loans'!E12))</f>
        <v/>
      </c>
      <c r="AE290" s="24">
        <f>MIN(U290,N('My Loans'!E13))</f>
        <v/>
      </c>
      <c r="AF290" s="24">
        <f>MIN(V290,N('My Loans'!E14))</f>
        <v/>
      </c>
      <c r="AG290" s="24">
        <f>MIN(W290,N('My Loans'!E15))</f>
        <v/>
      </c>
      <c r="AH290" s="24">
        <f>MIN(N290-X290,MAX(0,$C290-SUMPRODUCT(($D$3:$M$3&lt;D$3)*($N290:$W290-$X290:$AG290))))</f>
        <v/>
      </c>
      <c r="AI290" s="24">
        <f>MIN(O290-Y290,MAX(0,$C290-SUMPRODUCT(($D$3:$M$3&lt;E$3)*($N290:$W290-$X290:$AG290))))</f>
        <v/>
      </c>
      <c r="AJ290" s="24">
        <f>MIN(P290-Z290,MAX(0,$C290-SUMPRODUCT(($D$3:$M$3&lt;F$3)*($N290:$W290-$X290:$AG290))))</f>
        <v/>
      </c>
      <c r="AK290" s="24">
        <f>MIN(Q290-AA290,MAX(0,$C290-SUMPRODUCT(($D$3:$M$3&lt;G$3)*($N290:$W290-$X290:$AG290))))</f>
        <v/>
      </c>
      <c r="AL290" s="24">
        <f>MIN(R290-AB290,MAX(0,$C290-SUMPRODUCT(($D$3:$M$3&lt;H$3)*($N290:$W290-$X290:$AG290))))</f>
        <v/>
      </c>
      <c r="AM290" s="24">
        <f>MIN(S290-AC290,MAX(0,$C290-SUMPRODUCT(($D$3:$M$3&lt;I$3)*($N290:$W290-$X290:$AG290))))</f>
        <v/>
      </c>
      <c r="AN290" s="24">
        <f>MIN(T290-AD290,MAX(0,$C290-SUMPRODUCT(($D$3:$M$3&lt;J$3)*($N290:$W290-$X290:$AG290))))</f>
        <v/>
      </c>
      <c r="AO290" s="24">
        <f>MIN(U290-AE290,MAX(0,$C290-SUMPRODUCT(($D$3:$M$3&lt;K$3)*($N290:$W290-$X290:$AG290))))</f>
        <v/>
      </c>
      <c r="AP290" s="24">
        <f>MIN(V290-AF290,MAX(0,$C290-SUMPRODUCT(($D$3:$M$3&lt;L$3)*($N290:$W290-$X290:$AG290))))</f>
        <v/>
      </c>
      <c r="AQ290" s="24">
        <f>MIN(W290-AG290,MAX(0,$C290-SUMPRODUCT(($D$3:$M$3&lt;M$3)*($N290:$W290-$X290:$AG290))))</f>
        <v/>
      </c>
      <c r="AR290" s="24">
        <f>ROUND(N290-X290-AH290,2)</f>
        <v/>
      </c>
      <c r="AS290" s="24">
        <f>ROUND(O290-Y290-AI290,2)</f>
        <v/>
      </c>
      <c r="AT290" s="24">
        <f>ROUND(P290-Z290-AJ290,2)</f>
        <v/>
      </c>
      <c r="AU290" s="24">
        <f>ROUND(Q290-AA290-AK290,2)</f>
        <v/>
      </c>
      <c r="AV290" s="24">
        <f>ROUND(R290-AB290-AL290,2)</f>
        <v/>
      </c>
      <c r="AW290" s="24">
        <f>ROUND(S290-AC290-AM290,2)</f>
        <v/>
      </c>
      <c r="AX290" s="24">
        <f>ROUND(T290-AD290-AN290,2)</f>
        <v/>
      </c>
      <c r="AY290" s="24">
        <f>ROUND(U290-AE290-AO290,2)</f>
        <v/>
      </c>
      <c r="AZ290" s="24">
        <f>ROUND(V290-AF290-AP290,2)</f>
        <v/>
      </c>
      <c r="BA290" s="24">
        <f>ROUND(W290-AG290-AQ290,2)</f>
        <v/>
      </c>
      <c r="BB290" s="24">
        <f>SUM(AR290:BA290)</f>
        <v/>
      </c>
    </row>
    <row r="291">
      <c r="A291" t="n">
        <v>287</v>
      </c>
      <c r="B291" s="23">
        <f>EOMONTH(TODAY(),286)</f>
        <v/>
      </c>
      <c r="C291" s="24">
        <f>MAX(0,(SUM('My Loans'!$E$6:$E$15)+'My Loans'!$D$3)-SUM($X291:$AG291))</f>
        <v/>
      </c>
      <c r="D291" s="24">
        <f>MAX(0,AR290)</f>
        <v/>
      </c>
      <c r="E291" s="24">
        <f>MAX(0,AS290)</f>
        <v/>
      </c>
      <c r="F291" s="24">
        <f>MAX(0,AT290)</f>
        <v/>
      </c>
      <c r="G291" s="24">
        <f>MAX(0,AU290)</f>
        <v/>
      </c>
      <c r="H291" s="24">
        <f>MAX(0,AV290)</f>
        <v/>
      </c>
      <c r="I291" s="24">
        <f>MAX(0,AW290)</f>
        <v/>
      </c>
      <c r="J291" s="24">
        <f>MAX(0,AX290)</f>
        <v/>
      </c>
      <c r="K291" s="24">
        <f>MAX(0,AY290)</f>
        <v/>
      </c>
      <c r="L291" s="24">
        <f>MAX(0,AZ290)</f>
        <v/>
      </c>
      <c r="M291" s="24">
        <f>MAX(0,BA290)</f>
        <v/>
      </c>
      <c r="N291" s="24">
        <f>IF(D291&lt;0.5,0,D291*(1+N('My Loans'!D6)/1200))</f>
        <v/>
      </c>
      <c r="O291" s="24">
        <f>IF(E291&lt;0.5,0,E291*(1+N('My Loans'!D7)/1200))</f>
        <v/>
      </c>
      <c r="P291" s="24">
        <f>IF(F291&lt;0.5,0,F291*(1+N('My Loans'!D8)/1200))</f>
        <v/>
      </c>
      <c r="Q291" s="24">
        <f>IF(G291&lt;0.5,0,G291*(1+N('My Loans'!D9)/1200))</f>
        <v/>
      </c>
      <c r="R291" s="24">
        <f>IF(H291&lt;0.5,0,H291*(1+N('My Loans'!D10)/1200))</f>
        <v/>
      </c>
      <c r="S291" s="24">
        <f>IF(I291&lt;0.5,0,I291*(1+N('My Loans'!D11)/1200))</f>
        <v/>
      </c>
      <c r="T291" s="24">
        <f>IF(J291&lt;0.5,0,J291*(1+N('My Loans'!D12)/1200))</f>
        <v/>
      </c>
      <c r="U291" s="24">
        <f>IF(K291&lt;0.5,0,K291*(1+N('My Loans'!D13)/1200))</f>
        <v/>
      </c>
      <c r="V291" s="24">
        <f>IF(L291&lt;0.5,0,L291*(1+N('My Loans'!D14)/1200))</f>
        <v/>
      </c>
      <c r="W291" s="24">
        <f>IF(M291&lt;0.5,0,M291*(1+N('My Loans'!D15)/1200))</f>
        <v/>
      </c>
      <c r="X291" s="24">
        <f>MIN(N291,N('My Loans'!E6))</f>
        <v/>
      </c>
      <c r="Y291" s="24">
        <f>MIN(O291,N('My Loans'!E7))</f>
        <v/>
      </c>
      <c r="Z291" s="24">
        <f>MIN(P291,N('My Loans'!E8))</f>
        <v/>
      </c>
      <c r="AA291" s="24">
        <f>MIN(Q291,N('My Loans'!E9))</f>
        <v/>
      </c>
      <c r="AB291" s="24">
        <f>MIN(R291,N('My Loans'!E10))</f>
        <v/>
      </c>
      <c r="AC291" s="24">
        <f>MIN(S291,N('My Loans'!E11))</f>
        <v/>
      </c>
      <c r="AD291" s="24">
        <f>MIN(T291,N('My Loans'!E12))</f>
        <v/>
      </c>
      <c r="AE291" s="24">
        <f>MIN(U291,N('My Loans'!E13))</f>
        <v/>
      </c>
      <c r="AF291" s="24">
        <f>MIN(V291,N('My Loans'!E14))</f>
        <v/>
      </c>
      <c r="AG291" s="24">
        <f>MIN(W291,N('My Loans'!E15))</f>
        <v/>
      </c>
      <c r="AH291" s="24">
        <f>MIN(N291-X291,MAX(0,$C291-SUMPRODUCT(($D$3:$M$3&lt;D$3)*($N291:$W291-$X291:$AG291))))</f>
        <v/>
      </c>
      <c r="AI291" s="24">
        <f>MIN(O291-Y291,MAX(0,$C291-SUMPRODUCT(($D$3:$M$3&lt;E$3)*($N291:$W291-$X291:$AG291))))</f>
        <v/>
      </c>
      <c r="AJ291" s="24">
        <f>MIN(P291-Z291,MAX(0,$C291-SUMPRODUCT(($D$3:$M$3&lt;F$3)*($N291:$W291-$X291:$AG291))))</f>
        <v/>
      </c>
      <c r="AK291" s="24">
        <f>MIN(Q291-AA291,MAX(0,$C291-SUMPRODUCT(($D$3:$M$3&lt;G$3)*($N291:$W291-$X291:$AG291))))</f>
        <v/>
      </c>
      <c r="AL291" s="24">
        <f>MIN(R291-AB291,MAX(0,$C291-SUMPRODUCT(($D$3:$M$3&lt;H$3)*($N291:$W291-$X291:$AG291))))</f>
        <v/>
      </c>
      <c r="AM291" s="24">
        <f>MIN(S291-AC291,MAX(0,$C291-SUMPRODUCT(($D$3:$M$3&lt;I$3)*($N291:$W291-$X291:$AG291))))</f>
        <v/>
      </c>
      <c r="AN291" s="24">
        <f>MIN(T291-AD291,MAX(0,$C291-SUMPRODUCT(($D$3:$M$3&lt;J$3)*($N291:$W291-$X291:$AG291))))</f>
        <v/>
      </c>
      <c r="AO291" s="24">
        <f>MIN(U291-AE291,MAX(0,$C291-SUMPRODUCT(($D$3:$M$3&lt;K$3)*($N291:$W291-$X291:$AG291))))</f>
        <v/>
      </c>
      <c r="AP291" s="24">
        <f>MIN(V291-AF291,MAX(0,$C291-SUMPRODUCT(($D$3:$M$3&lt;L$3)*($N291:$W291-$X291:$AG291))))</f>
        <v/>
      </c>
      <c r="AQ291" s="24">
        <f>MIN(W291-AG291,MAX(0,$C291-SUMPRODUCT(($D$3:$M$3&lt;M$3)*($N291:$W291-$X291:$AG291))))</f>
        <v/>
      </c>
      <c r="AR291" s="24">
        <f>ROUND(N291-X291-AH291,2)</f>
        <v/>
      </c>
      <c r="AS291" s="24">
        <f>ROUND(O291-Y291-AI291,2)</f>
        <v/>
      </c>
      <c r="AT291" s="24">
        <f>ROUND(P291-Z291-AJ291,2)</f>
        <v/>
      </c>
      <c r="AU291" s="24">
        <f>ROUND(Q291-AA291-AK291,2)</f>
        <v/>
      </c>
      <c r="AV291" s="24">
        <f>ROUND(R291-AB291-AL291,2)</f>
        <v/>
      </c>
      <c r="AW291" s="24">
        <f>ROUND(S291-AC291-AM291,2)</f>
        <v/>
      </c>
      <c r="AX291" s="24">
        <f>ROUND(T291-AD291-AN291,2)</f>
        <v/>
      </c>
      <c r="AY291" s="24">
        <f>ROUND(U291-AE291-AO291,2)</f>
        <v/>
      </c>
      <c r="AZ291" s="24">
        <f>ROUND(V291-AF291-AP291,2)</f>
        <v/>
      </c>
      <c r="BA291" s="24">
        <f>ROUND(W291-AG291-AQ291,2)</f>
        <v/>
      </c>
      <c r="BB291" s="24">
        <f>SUM(AR291:BA291)</f>
        <v/>
      </c>
    </row>
    <row r="292">
      <c r="A292" t="n">
        <v>288</v>
      </c>
      <c r="B292" s="23">
        <f>EOMONTH(TODAY(),287)</f>
        <v/>
      </c>
      <c r="C292" s="24">
        <f>MAX(0,(SUM('My Loans'!$E$6:$E$15)+'My Loans'!$D$3)-SUM($X292:$AG292))</f>
        <v/>
      </c>
      <c r="D292" s="24">
        <f>MAX(0,AR291)</f>
        <v/>
      </c>
      <c r="E292" s="24">
        <f>MAX(0,AS291)</f>
        <v/>
      </c>
      <c r="F292" s="24">
        <f>MAX(0,AT291)</f>
        <v/>
      </c>
      <c r="G292" s="24">
        <f>MAX(0,AU291)</f>
        <v/>
      </c>
      <c r="H292" s="24">
        <f>MAX(0,AV291)</f>
        <v/>
      </c>
      <c r="I292" s="24">
        <f>MAX(0,AW291)</f>
        <v/>
      </c>
      <c r="J292" s="24">
        <f>MAX(0,AX291)</f>
        <v/>
      </c>
      <c r="K292" s="24">
        <f>MAX(0,AY291)</f>
        <v/>
      </c>
      <c r="L292" s="24">
        <f>MAX(0,AZ291)</f>
        <v/>
      </c>
      <c r="M292" s="24">
        <f>MAX(0,BA291)</f>
        <v/>
      </c>
      <c r="N292" s="24">
        <f>IF(D292&lt;0.5,0,D292*(1+N('My Loans'!D6)/1200))</f>
        <v/>
      </c>
      <c r="O292" s="24">
        <f>IF(E292&lt;0.5,0,E292*(1+N('My Loans'!D7)/1200))</f>
        <v/>
      </c>
      <c r="P292" s="24">
        <f>IF(F292&lt;0.5,0,F292*(1+N('My Loans'!D8)/1200))</f>
        <v/>
      </c>
      <c r="Q292" s="24">
        <f>IF(G292&lt;0.5,0,G292*(1+N('My Loans'!D9)/1200))</f>
        <v/>
      </c>
      <c r="R292" s="24">
        <f>IF(H292&lt;0.5,0,H292*(1+N('My Loans'!D10)/1200))</f>
        <v/>
      </c>
      <c r="S292" s="24">
        <f>IF(I292&lt;0.5,0,I292*(1+N('My Loans'!D11)/1200))</f>
        <v/>
      </c>
      <c r="T292" s="24">
        <f>IF(J292&lt;0.5,0,J292*(1+N('My Loans'!D12)/1200))</f>
        <v/>
      </c>
      <c r="U292" s="24">
        <f>IF(K292&lt;0.5,0,K292*(1+N('My Loans'!D13)/1200))</f>
        <v/>
      </c>
      <c r="V292" s="24">
        <f>IF(L292&lt;0.5,0,L292*(1+N('My Loans'!D14)/1200))</f>
        <v/>
      </c>
      <c r="W292" s="24">
        <f>IF(M292&lt;0.5,0,M292*(1+N('My Loans'!D15)/1200))</f>
        <v/>
      </c>
      <c r="X292" s="24">
        <f>MIN(N292,N('My Loans'!E6))</f>
        <v/>
      </c>
      <c r="Y292" s="24">
        <f>MIN(O292,N('My Loans'!E7))</f>
        <v/>
      </c>
      <c r="Z292" s="24">
        <f>MIN(P292,N('My Loans'!E8))</f>
        <v/>
      </c>
      <c r="AA292" s="24">
        <f>MIN(Q292,N('My Loans'!E9))</f>
        <v/>
      </c>
      <c r="AB292" s="24">
        <f>MIN(R292,N('My Loans'!E10))</f>
        <v/>
      </c>
      <c r="AC292" s="24">
        <f>MIN(S292,N('My Loans'!E11))</f>
        <v/>
      </c>
      <c r="AD292" s="24">
        <f>MIN(T292,N('My Loans'!E12))</f>
        <v/>
      </c>
      <c r="AE292" s="24">
        <f>MIN(U292,N('My Loans'!E13))</f>
        <v/>
      </c>
      <c r="AF292" s="24">
        <f>MIN(V292,N('My Loans'!E14))</f>
        <v/>
      </c>
      <c r="AG292" s="24">
        <f>MIN(W292,N('My Loans'!E15))</f>
        <v/>
      </c>
      <c r="AH292" s="24">
        <f>MIN(N292-X292,MAX(0,$C292-SUMPRODUCT(($D$3:$M$3&lt;D$3)*($N292:$W292-$X292:$AG292))))</f>
        <v/>
      </c>
      <c r="AI292" s="24">
        <f>MIN(O292-Y292,MAX(0,$C292-SUMPRODUCT(($D$3:$M$3&lt;E$3)*($N292:$W292-$X292:$AG292))))</f>
        <v/>
      </c>
      <c r="AJ292" s="24">
        <f>MIN(P292-Z292,MAX(0,$C292-SUMPRODUCT(($D$3:$M$3&lt;F$3)*($N292:$W292-$X292:$AG292))))</f>
        <v/>
      </c>
      <c r="AK292" s="24">
        <f>MIN(Q292-AA292,MAX(0,$C292-SUMPRODUCT(($D$3:$M$3&lt;G$3)*($N292:$W292-$X292:$AG292))))</f>
        <v/>
      </c>
      <c r="AL292" s="24">
        <f>MIN(R292-AB292,MAX(0,$C292-SUMPRODUCT(($D$3:$M$3&lt;H$3)*($N292:$W292-$X292:$AG292))))</f>
        <v/>
      </c>
      <c r="AM292" s="24">
        <f>MIN(S292-AC292,MAX(0,$C292-SUMPRODUCT(($D$3:$M$3&lt;I$3)*($N292:$W292-$X292:$AG292))))</f>
        <v/>
      </c>
      <c r="AN292" s="24">
        <f>MIN(T292-AD292,MAX(0,$C292-SUMPRODUCT(($D$3:$M$3&lt;J$3)*($N292:$W292-$X292:$AG292))))</f>
        <v/>
      </c>
      <c r="AO292" s="24">
        <f>MIN(U292-AE292,MAX(0,$C292-SUMPRODUCT(($D$3:$M$3&lt;K$3)*($N292:$W292-$X292:$AG292))))</f>
        <v/>
      </c>
      <c r="AP292" s="24">
        <f>MIN(V292-AF292,MAX(0,$C292-SUMPRODUCT(($D$3:$M$3&lt;L$3)*($N292:$W292-$X292:$AG292))))</f>
        <v/>
      </c>
      <c r="AQ292" s="24">
        <f>MIN(W292-AG292,MAX(0,$C292-SUMPRODUCT(($D$3:$M$3&lt;M$3)*($N292:$W292-$X292:$AG292))))</f>
        <v/>
      </c>
      <c r="AR292" s="24">
        <f>ROUND(N292-X292-AH292,2)</f>
        <v/>
      </c>
      <c r="AS292" s="24">
        <f>ROUND(O292-Y292-AI292,2)</f>
        <v/>
      </c>
      <c r="AT292" s="24">
        <f>ROUND(P292-Z292-AJ292,2)</f>
        <v/>
      </c>
      <c r="AU292" s="24">
        <f>ROUND(Q292-AA292-AK292,2)</f>
        <v/>
      </c>
      <c r="AV292" s="24">
        <f>ROUND(R292-AB292-AL292,2)</f>
        <v/>
      </c>
      <c r="AW292" s="24">
        <f>ROUND(S292-AC292-AM292,2)</f>
        <v/>
      </c>
      <c r="AX292" s="24">
        <f>ROUND(T292-AD292-AN292,2)</f>
        <v/>
      </c>
      <c r="AY292" s="24">
        <f>ROUND(U292-AE292-AO292,2)</f>
        <v/>
      </c>
      <c r="AZ292" s="24">
        <f>ROUND(V292-AF292-AP292,2)</f>
        <v/>
      </c>
      <c r="BA292" s="24">
        <f>ROUND(W292-AG292-AQ292,2)</f>
        <v/>
      </c>
      <c r="BB292" s="24">
        <f>SUM(AR292:BA292)</f>
        <v/>
      </c>
    </row>
    <row r="293">
      <c r="A293" t="n">
        <v>289</v>
      </c>
      <c r="B293" s="23">
        <f>EOMONTH(TODAY(),288)</f>
        <v/>
      </c>
      <c r="C293" s="24">
        <f>MAX(0,(SUM('My Loans'!$E$6:$E$15)+'My Loans'!$D$3)-SUM($X293:$AG293))</f>
        <v/>
      </c>
      <c r="D293" s="24">
        <f>MAX(0,AR292)</f>
        <v/>
      </c>
      <c r="E293" s="24">
        <f>MAX(0,AS292)</f>
        <v/>
      </c>
      <c r="F293" s="24">
        <f>MAX(0,AT292)</f>
        <v/>
      </c>
      <c r="G293" s="24">
        <f>MAX(0,AU292)</f>
        <v/>
      </c>
      <c r="H293" s="24">
        <f>MAX(0,AV292)</f>
        <v/>
      </c>
      <c r="I293" s="24">
        <f>MAX(0,AW292)</f>
        <v/>
      </c>
      <c r="J293" s="24">
        <f>MAX(0,AX292)</f>
        <v/>
      </c>
      <c r="K293" s="24">
        <f>MAX(0,AY292)</f>
        <v/>
      </c>
      <c r="L293" s="24">
        <f>MAX(0,AZ292)</f>
        <v/>
      </c>
      <c r="M293" s="24">
        <f>MAX(0,BA292)</f>
        <v/>
      </c>
      <c r="N293" s="24">
        <f>IF(D293&lt;0.5,0,D293*(1+N('My Loans'!D6)/1200))</f>
        <v/>
      </c>
      <c r="O293" s="24">
        <f>IF(E293&lt;0.5,0,E293*(1+N('My Loans'!D7)/1200))</f>
        <v/>
      </c>
      <c r="P293" s="24">
        <f>IF(F293&lt;0.5,0,F293*(1+N('My Loans'!D8)/1200))</f>
        <v/>
      </c>
      <c r="Q293" s="24">
        <f>IF(G293&lt;0.5,0,G293*(1+N('My Loans'!D9)/1200))</f>
        <v/>
      </c>
      <c r="R293" s="24">
        <f>IF(H293&lt;0.5,0,H293*(1+N('My Loans'!D10)/1200))</f>
        <v/>
      </c>
      <c r="S293" s="24">
        <f>IF(I293&lt;0.5,0,I293*(1+N('My Loans'!D11)/1200))</f>
        <v/>
      </c>
      <c r="T293" s="24">
        <f>IF(J293&lt;0.5,0,J293*(1+N('My Loans'!D12)/1200))</f>
        <v/>
      </c>
      <c r="U293" s="24">
        <f>IF(K293&lt;0.5,0,K293*(1+N('My Loans'!D13)/1200))</f>
        <v/>
      </c>
      <c r="V293" s="24">
        <f>IF(L293&lt;0.5,0,L293*(1+N('My Loans'!D14)/1200))</f>
        <v/>
      </c>
      <c r="W293" s="24">
        <f>IF(M293&lt;0.5,0,M293*(1+N('My Loans'!D15)/1200))</f>
        <v/>
      </c>
      <c r="X293" s="24">
        <f>MIN(N293,N('My Loans'!E6))</f>
        <v/>
      </c>
      <c r="Y293" s="24">
        <f>MIN(O293,N('My Loans'!E7))</f>
        <v/>
      </c>
      <c r="Z293" s="24">
        <f>MIN(P293,N('My Loans'!E8))</f>
        <v/>
      </c>
      <c r="AA293" s="24">
        <f>MIN(Q293,N('My Loans'!E9))</f>
        <v/>
      </c>
      <c r="AB293" s="24">
        <f>MIN(R293,N('My Loans'!E10))</f>
        <v/>
      </c>
      <c r="AC293" s="24">
        <f>MIN(S293,N('My Loans'!E11))</f>
        <v/>
      </c>
      <c r="AD293" s="24">
        <f>MIN(T293,N('My Loans'!E12))</f>
        <v/>
      </c>
      <c r="AE293" s="24">
        <f>MIN(U293,N('My Loans'!E13))</f>
        <v/>
      </c>
      <c r="AF293" s="24">
        <f>MIN(V293,N('My Loans'!E14))</f>
        <v/>
      </c>
      <c r="AG293" s="24">
        <f>MIN(W293,N('My Loans'!E15))</f>
        <v/>
      </c>
      <c r="AH293" s="24">
        <f>MIN(N293-X293,MAX(0,$C293-SUMPRODUCT(($D$3:$M$3&lt;D$3)*($N293:$W293-$X293:$AG293))))</f>
        <v/>
      </c>
      <c r="AI293" s="24">
        <f>MIN(O293-Y293,MAX(0,$C293-SUMPRODUCT(($D$3:$M$3&lt;E$3)*($N293:$W293-$X293:$AG293))))</f>
        <v/>
      </c>
      <c r="AJ293" s="24">
        <f>MIN(P293-Z293,MAX(0,$C293-SUMPRODUCT(($D$3:$M$3&lt;F$3)*($N293:$W293-$X293:$AG293))))</f>
        <v/>
      </c>
      <c r="AK293" s="24">
        <f>MIN(Q293-AA293,MAX(0,$C293-SUMPRODUCT(($D$3:$M$3&lt;G$3)*($N293:$W293-$X293:$AG293))))</f>
        <v/>
      </c>
      <c r="AL293" s="24">
        <f>MIN(R293-AB293,MAX(0,$C293-SUMPRODUCT(($D$3:$M$3&lt;H$3)*($N293:$W293-$X293:$AG293))))</f>
        <v/>
      </c>
      <c r="AM293" s="24">
        <f>MIN(S293-AC293,MAX(0,$C293-SUMPRODUCT(($D$3:$M$3&lt;I$3)*($N293:$W293-$X293:$AG293))))</f>
        <v/>
      </c>
      <c r="AN293" s="24">
        <f>MIN(T293-AD293,MAX(0,$C293-SUMPRODUCT(($D$3:$M$3&lt;J$3)*($N293:$W293-$X293:$AG293))))</f>
        <v/>
      </c>
      <c r="AO293" s="24">
        <f>MIN(U293-AE293,MAX(0,$C293-SUMPRODUCT(($D$3:$M$3&lt;K$3)*($N293:$W293-$X293:$AG293))))</f>
        <v/>
      </c>
      <c r="AP293" s="24">
        <f>MIN(V293-AF293,MAX(0,$C293-SUMPRODUCT(($D$3:$M$3&lt;L$3)*($N293:$W293-$X293:$AG293))))</f>
        <v/>
      </c>
      <c r="AQ293" s="24">
        <f>MIN(W293-AG293,MAX(0,$C293-SUMPRODUCT(($D$3:$M$3&lt;M$3)*($N293:$W293-$X293:$AG293))))</f>
        <v/>
      </c>
      <c r="AR293" s="24">
        <f>ROUND(N293-X293-AH293,2)</f>
        <v/>
      </c>
      <c r="AS293" s="24">
        <f>ROUND(O293-Y293-AI293,2)</f>
        <v/>
      </c>
      <c r="AT293" s="24">
        <f>ROUND(P293-Z293-AJ293,2)</f>
        <v/>
      </c>
      <c r="AU293" s="24">
        <f>ROUND(Q293-AA293-AK293,2)</f>
        <v/>
      </c>
      <c r="AV293" s="24">
        <f>ROUND(R293-AB293-AL293,2)</f>
        <v/>
      </c>
      <c r="AW293" s="24">
        <f>ROUND(S293-AC293-AM293,2)</f>
        <v/>
      </c>
      <c r="AX293" s="24">
        <f>ROUND(T293-AD293-AN293,2)</f>
        <v/>
      </c>
      <c r="AY293" s="24">
        <f>ROUND(U293-AE293-AO293,2)</f>
        <v/>
      </c>
      <c r="AZ293" s="24">
        <f>ROUND(V293-AF293-AP293,2)</f>
        <v/>
      </c>
      <c r="BA293" s="24">
        <f>ROUND(W293-AG293-AQ293,2)</f>
        <v/>
      </c>
      <c r="BB293" s="24">
        <f>SUM(AR293:BA293)</f>
        <v/>
      </c>
    </row>
    <row r="294">
      <c r="A294" t="n">
        <v>290</v>
      </c>
      <c r="B294" s="23">
        <f>EOMONTH(TODAY(),289)</f>
        <v/>
      </c>
      <c r="C294" s="24">
        <f>MAX(0,(SUM('My Loans'!$E$6:$E$15)+'My Loans'!$D$3)-SUM($X294:$AG294))</f>
        <v/>
      </c>
      <c r="D294" s="24">
        <f>MAX(0,AR293)</f>
        <v/>
      </c>
      <c r="E294" s="24">
        <f>MAX(0,AS293)</f>
        <v/>
      </c>
      <c r="F294" s="24">
        <f>MAX(0,AT293)</f>
        <v/>
      </c>
      <c r="G294" s="24">
        <f>MAX(0,AU293)</f>
        <v/>
      </c>
      <c r="H294" s="24">
        <f>MAX(0,AV293)</f>
        <v/>
      </c>
      <c r="I294" s="24">
        <f>MAX(0,AW293)</f>
        <v/>
      </c>
      <c r="J294" s="24">
        <f>MAX(0,AX293)</f>
        <v/>
      </c>
      <c r="K294" s="24">
        <f>MAX(0,AY293)</f>
        <v/>
      </c>
      <c r="L294" s="24">
        <f>MAX(0,AZ293)</f>
        <v/>
      </c>
      <c r="M294" s="24">
        <f>MAX(0,BA293)</f>
        <v/>
      </c>
      <c r="N294" s="24">
        <f>IF(D294&lt;0.5,0,D294*(1+N('My Loans'!D6)/1200))</f>
        <v/>
      </c>
      <c r="O294" s="24">
        <f>IF(E294&lt;0.5,0,E294*(1+N('My Loans'!D7)/1200))</f>
        <v/>
      </c>
      <c r="P294" s="24">
        <f>IF(F294&lt;0.5,0,F294*(1+N('My Loans'!D8)/1200))</f>
        <v/>
      </c>
      <c r="Q294" s="24">
        <f>IF(G294&lt;0.5,0,G294*(1+N('My Loans'!D9)/1200))</f>
        <v/>
      </c>
      <c r="R294" s="24">
        <f>IF(H294&lt;0.5,0,H294*(1+N('My Loans'!D10)/1200))</f>
        <v/>
      </c>
      <c r="S294" s="24">
        <f>IF(I294&lt;0.5,0,I294*(1+N('My Loans'!D11)/1200))</f>
        <v/>
      </c>
      <c r="T294" s="24">
        <f>IF(J294&lt;0.5,0,J294*(1+N('My Loans'!D12)/1200))</f>
        <v/>
      </c>
      <c r="U294" s="24">
        <f>IF(K294&lt;0.5,0,K294*(1+N('My Loans'!D13)/1200))</f>
        <v/>
      </c>
      <c r="V294" s="24">
        <f>IF(L294&lt;0.5,0,L294*(1+N('My Loans'!D14)/1200))</f>
        <v/>
      </c>
      <c r="W294" s="24">
        <f>IF(M294&lt;0.5,0,M294*(1+N('My Loans'!D15)/1200))</f>
        <v/>
      </c>
      <c r="X294" s="24">
        <f>MIN(N294,N('My Loans'!E6))</f>
        <v/>
      </c>
      <c r="Y294" s="24">
        <f>MIN(O294,N('My Loans'!E7))</f>
        <v/>
      </c>
      <c r="Z294" s="24">
        <f>MIN(P294,N('My Loans'!E8))</f>
        <v/>
      </c>
      <c r="AA294" s="24">
        <f>MIN(Q294,N('My Loans'!E9))</f>
        <v/>
      </c>
      <c r="AB294" s="24">
        <f>MIN(R294,N('My Loans'!E10))</f>
        <v/>
      </c>
      <c r="AC294" s="24">
        <f>MIN(S294,N('My Loans'!E11))</f>
        <v/>
      </c>
      <c r="AD294" s="24">
        <f>MIN(T294,N('My Loans'!E12))</f>
        <v/>
      </c>
      <c r="AE294" s="24">
        <f>MIN(U294,N('My Loans'!E13))</f>
        <v/>
      </c>
      <c r="AF294" s="24">
        <f>MIN(V294,N('My Loans'!E14))</f>
        <v/>
      </c>
      <c r="AG294" s="24">
        <f>MIN(W294,N('My Loans'!E15))</f>
        <v/>
      </c>
      <c r="AH294" s="24">
        <f>MIN(N294-X294,MAX(0,$C294-SUMPRODUCT(($D$3:$M$3&lt;D$3)*($N294:$W294-$X294:$AG294))))</f>
        <v/>
      </c>
      <c r="AI294" s="24">
        <f>MIN(O294-Y294,MAX(0,$C294-SUMPRODUCT(($D$3:$M$3&lt;E$3)*($N294:$W294-$X294:$AG294))))</f>
        <v/>
      </c>
      <c r="AJ294" s="24">
        <f>MIN(P294-Z294,MAX(0,$C294-SUMPRODUCT(($D$3:$M$3&lt;F$3)*($N294:$W294-$X294:$AG294))))</f>
        <v/>
      </c>
      <c r="AK294" s="24">
        <f>MIN(Q294-AA294,MAX(0,$C294-SUMPRODUCT(($D$3:$M$3&lt;G$3)*($N294:$W294-$X294:$AG294))))</f>
        <v/>
      </c>
      <c r="AL294" s="24">
        <f>MIN(R294-AB294,MAX(0,$C294-SUMPRODUCT(($D$3:$M$3&lt;H$3)*($N294:$W294-$X294:$AG294))))</f>
        <v/>
      </c>
      <c r="AM294" s="24">
        <f>MIN(S294-AC294,MAX(0,$C294-SUMPRODUCT(($D$3:$M$3&lt;I$3)*($N294:$W294-$X294:$AG294))))</f>
        <v/>
      </c>
      <c r="AN294" s="24">
        <f>MIN(T294-AD294,MAX(0,$C294-SUMPRODUCT(($D$3:$M$3&lt;J$3)*($N294:$W294-$X294:$AG294))))</f>
        <v/>
      </c>
      <c r="AO294" s="24">
        <f>MIN(U294-AE294,MAX(0,$C294-SUMPRODUCT(($D$3:$M$3&lt;K$3)*($N294:$W294-$X294:$AG294))))</f>
        <v/>
      </c>
      <c r="AP294" s="24">
        <f>MIN(V294-AF294,MAX(0,$C294-SUMPRODUCT(($D$3:$M$3&lt;L$3)*($N294:$W294-$X294:$AG294))))</f>
        <v/>
      </c>
      <c r="AQ294" s="24">
        <f>MIN(W294-AG294,MAX(0,$C294-SUMPRODUCT(($D$3:$M$3&lt;M$3)*($N294:$W294-$X294:$AG294))))</f>
        <v/>
      </c>
      <c r="AR294" s="24">
        <f>ROUND(N294-X294-AH294,2)</f>
        <v/>
      </c>
      <c r="AS294" s="24">
        <f>ROUND(O294-Y294-AI294,2)</f>
        <v/>
      </c>
      <c r="AT294" s="24">
        <f>ROUND(P294-Z294-AJ294,2)</f>
        <v/>
      </c>
      <c r="AU294" s="24">
        <f>ROUND(Q294-AA294-AK294,2)</f>
        <v/>
      </c>
      <c r="AV294" s="24">
        <f>ROUND(R294-AB294-AL294,2)</f>
        <v/>
      </c>
      <c r="AW294" s="24">
        <f>ROUND(S294-AC294-AM294,2)</f>
        <v/>
      </c>
      <c r="AX294" s="24">
        <f>ROUND(T294-AD294-AN294,2)</f>
        <v/>
      </c>
      <c r="AY294" s="24">
        <f>ROUND(U294-AE294-AO294,2)</f>
        <v/>
      </c>
      <c r="AZ294" s="24">
        <f>ROUND(V294-AF294-AP294,2)</f>
        <v/>
      </c>
      <c r="BA294" s="24">
        <f>ROUND(W294-AG294-AQ294,2)</f>
        <v/>
      </c>
      <c r="BB294" s="24">
        <f>SUM(AR294:BA294)</f>
        <v/>
      </c>
    </row>
    <row r="295">
      <c r="A295" t="n">
        <v>291</v>
      </c>
      <c r="B295" s="23">
        <f>EOMONTH(TODAY(),290)</f>
        <v/>
      </c>
      <c r="C295" s="24">
        <f>MAX(0,(SUM('My Loans'!$E$6:$E$15)+'My Loans'!$D$3)-SUM($X295:$AG295))</f>
        <v/>
      </c>
      <c r="D295" s="24">
        <f>MAX(0,AR294)</f>
        <v/>
      </c>
      <c r="E295" s="24">
        <f>MAX(0,AS294)</f>
        <v/>
      </c>
      <c r="F295" s="24">
        <f>MAX(0,AT294)</f>
        <v/>
      </c>
      <c r="G295" s="24">
        <f>MAX(0,AU294)</f>
        <v/>
      </c>
      <c r="H295" s="24">
        <f>MAX(0,AV294)</f>
        <v/>
      </c>
      <c r="I295" s="24">
        <f>MAX(0,AW294)</f>
        <v/>
      </c>
      <c r="J295" s="24">
        <f>MAX(0,AX294)</f>
        <v/>
      </c>
      <c r="K295" s="24">
        <f>MAX(0,AY294)</f>
        <v/>
      </c>
      <c r="L295" s="24">
        <f>MAX(0,AZ294)</f>
        <v/>
      </c>
      <c r="M295" s="24">
        <f>MAX(0,BA294)</f>
        <v/>
      </c>
      <c r="N295" s="24">
        <f>IF(D295&lt;0.5,0,D295*(1+N('My Loans'!D6)/1200))</f>
        <v/>
      </c>
      <c r="O295" s="24">
        <f>IF(E295&lt;0.5,0,E295*(1+N('My Loans'!D7)/1200))</f>
        <v/>
      </c>
      <c r="P295" s="24">
        <f>IF(F295&lt;0.5,0,F295*(1+N('My Loans'!D8)/1200))</f>
        <v/>
      </c>
      <c r="Q295" s="24">
        <f>IF(G295&lt;0.5,0,G295*(1+N('My Loans'!D9)/1200))</f>
        <v/>
      </c>
      <c r="R295" s="24">
        <f>IF(H295&lt;0.5,0,H295*(1+N('My Loans'!D10)/1200))</f>
        <v/>
      </c>
      <c r="S295" s="24">
        <f>IF(I295&lt;0.5,0,I295*(1+N('My Loans'!D11)/1200))</f>
        <v/>
      </c>
      <c r="T295" s="24">
        <f>IF(J295&lt;0.5,0,J295*(1+N('My Loans'!D12)/1200))</f>
        <v/>
      </c>
      <c r="U295" s="24">
        <f>IF(K295&lt;0.5,0,K295*(1+N('My Loans'!D13)/1200))</f>
        <v/>
      </c>
      <c r="V295" s="24">
        <f>IF(L295&lt;0.5,0,L295*(1+N('My Loans'!D14)/1200))</f>
        <v/>
      </c>
      <c r="W295" s="24">
        <f>IF(M295&lt;0.5,0,M295*(1+N('My Loans'!D15)/1200))</f>
        <v/>
      </c>
      <c r="X295" s="24">
        <f>MIN(N295,N('My Loans'!E6))</f>
        <v/>
      </c>
      <c r="Y295" s="24">
        <f>MIN(O295,N('My Loans'!E7))</f>
        <v/>
      </c>
      <c r="Z295" s="24">
        <f>MIN(P295,N('My Loans'!E8))</f>
        <v/>
      </c>
      <c r="AA295" s="24">
        <f>MIN(Q295,N('My Loans'!E9))</f>
        <v/>
      </c>
      <c r="AB295" s="24">
        <f>MIN(R295,N('My Loans'!E10))</f>
        <v/>
      </c>
      <c r="AC295" s="24">
        <f>MIN(S295,N('My Loans'!E11))</f>
        <v/>
      </c>
      <c r="AD295" s="24">
        <f>MIN(T295,N('My Loans'!E12))</f>
        <v/>
      </c>
      <c r="AE295" s="24">
        <f>MIN(U295,N('My Loans'!E13))</f>
        <v/>
      </c>
      <c r="AF295" s="24">
        <f>MIN(V295,N('My Loans'!E14))</f>
        <v/>
      </c>
      <c r="AG295" s="24">
        <f>MIN(W295,N('My Loans'!E15))</f>
        <v/>
      </c>
      <c r="AH295" s="24">
        <f>MIN(N295-X295,MAX(0,$C295-SUMPRODUCT(($D$3:$M$3&lt;D$3)*($N295:$W295-$X295:$AG295))))</f>
        <v/>
      </c>
      <c r="AI295" s="24">
        <f>MIN(O295-Y295,MAX(0,$C295-SUMPRODUCT(($D$3:$M$3&lt;E$3)*($N295:$W295-$X295:$AG295))))</f>
        <v/>
      </c>
      <c r="AJ295" s="24">
        <f>MIN(P295-Z295,MAX(0,$C295-SUMPRODUCT(($D$3:$M$3&lt;F$3)*($N295:$W295-$X295:$AG295))))</f>
        <v/>
      </c>
      <c r="AK295" s="24">
        <f>MIN(Q295-AA295,MAX(0,$C295-SUMPRODUCT(($D$3:$M$3&lt;G$3)*($N295:$W295-$X295:$AG295))))</f>
        <v/>
      </c>
      <c r="AL295" s="24">
        <f>MIN(R295-AB295,MAX(0,$C295-SUMPRODUCT(($D$3:$M$3&lt;H$3)*($N295:$W295-$X295:$AG295))))</f>
        <v/>
      </c>
      <c r="AM295" s="24">
        <f>MIN(S295-AC295,MAX(0,$C295-SUMPRODUCT(($D$3:$M$3&lt;I$3)*($N295:$W295-$X295:$AG295))))</f>
        <v/>
      </c>
      <c r="AN295" s="24">
        <f>MIN(T295-AD295,MAX(0,$C295-SUMPRODUCT(($D$3:$M$3&lt;J$3)*($N295:$W295-$X295:$AG295))))</f>
        <v/>
      </c>
      <c r="AO295" s="24">
        <f>MIN(U295-AE295,MAX(0,$C295-SUMPRODUCT(($D$3:$M$3&lt;K$3)*($N295:$W295-$X295:$AG295))))</f>
        <v/>
      </c>
      <c r="AP295" s="24">
        <f>MIN(V295-AF295,MAX(0,$C295-SUMPRODUCT(($D$3:$M$3&lt;L$3)*($N295:$W295-$X295:$AG295))))</f>
        <v/>
      </c>
      <c r="AQ295" s="24">
        <f>MIN(W295-AG295,MAX(0,$C295-SUMPRODUCT(($D$3:$M$3&lt;M$3)*($N295:$W295-$X295:$AG295))))</f>
        <v/>
      </c>
      <c r="AR295" s="24">
        <f>ROUND(N295-X295-AH295,2)</f>
        <v/>
      </c>
      <c r="AS295" s="24">
        <f>ROUND(O295-Y295-AI295,2)</f>
        <v/>
      </c>
      <c r="AT295" s="24">
        <f>ROUND(P295-Z295-AJ295,2)</f>
        <v/>
      </c>
      <c r="AU295" s="24">
        <f>ROUND(Q295-AA295-AK295,2)</f>
        <v/>
      </c>
      <c r="AV295" s="24">
        <f>ROUND(R295-AB295-AL295,2)</f>
        <v/>
      </c>
      <c r="AW295" s="24">
        <f>ROUND(S295-AC295-AM295,2)</f>
        <v/>
      </c>
      <c r="AX295" s="24">
        <f>ROUND(T295-AD295-AN295,2)</f>
        <v/>
      </c>
      <c r="AY295" s="24">
        <f>ROUND(U295-AE295-AO295,2)</f>
        <v/>
      </c>
      <c r="AZ295" s="24">
        <f>ROUND(V295-AF295-AP295,2)</f>
        <v/>
      </c>
      <c r="BA295" s="24">
        <f>ROUND(W295-AG295-AQ295,2)</f>
        <v/>
      </c>
      <c r="BB295" s="24">
        <f>SUM(AR295:BA295)</f>
        <v/>
      </c>
    </row>
    <row r="296">
      <c r="A296" t="n">
        <v>292</v>
      </c>
      <c r="B296" s="23">
        <f>EOMONTH(TODAY(),291)</f>
        <v/>
      </c>
      <c r="C296" s="24">
        <f>MAX(0,(SUM('My Loans'!$E$6:$E$15)+'My Loans'!$D$3)-SUM($X296:$AG296))</f>
        <v/>
      </c>
      <c r="D296" s="24">
        <f>MAX(0,AR295)</f>
        <v/>
      </c>
      <c r="E296" s="24">
        <f>MAX(0,AS295)</f>
        <v/>
      </c>
      <c r="F296" s="24">
        <f>MAX(0,AT295)</f>
        <v/>
      </c>
      <c r="G296" s="24">
        <f>MAX(0,AU295)</f>
        <v/>
      </c>
      <c r="H296" s="24">
        <f>MAX(0,AV295)</f>
        <v/>
      </c>
      <c r="I296" s="24">
        <f>MAX(0,AW295)</f>
        <v/>
      </c>
      <c r="J296" s="24">
        <f>MAX(0,AX295)</f>
        <v/>
      </c>
      <c r="K296" s="24">
        <f>MAX(0,AY295)</f>
        <v/>
      </c>
      <c r="L296" s="24">
        <f>MAX(0,AZ295)</f>
        <v/>
      </c>
      <c r="M296" s="24">
        <f>MAX(0,BA295)</f>
        <v/>
      </c>
      <c r="N296" s="24">
        <f>IF(D296&lt;0.5,0,D296*(1+N('My Loans'!D6)/1200))</f>
        <v/>
      </c>
      <c r="O296" s="24">
        <f>IF(E296&lt;0.5,0,E296*(1+N('My Loans'!D7)/1200))</f>
        <v/>
      </c>
      <c r="P296" s="24">
        <f>IF(F296&lt;0.5,0,F296*(1+N('My Loans'!D8)/1200))</f>
        <v/>
      </c>
      <c r="Q296" s="24">
        <f>IF(G296&lt;0.5,0,G296*(1+N('My Loans'!D9)/1200))</f>
        <v/>
      </c>
      <c r="R296" s="24">
        <f>IF(H296&lt;0.5,0,H296*(1+N('My Loans'!D10)/1200))</f>
        <v/>
      </c>
      <c r="S296" s="24">
        <f>IF(I296&lt;0.5,0,I296*(1+N('My Loans'!D11)/1200))</f>
        <v/>
      </c>
      <c r="T296" s="24">
        <f>IF(J296&lt;0.5,0,J296*(1+N('My Loans'!D12)/1200))</f>
        <v/>
      </c>
      <c r="U296" s="24">
        <f>IF(K296&lt;0.5,0,K296*(1+N('My Loans'!D13)/1200))</f>
        <v/>
      </c>
      <c r="V296" s="24">
        <f>IF(L296&lt;0.5,0,L296*(1+N('My Loans'!D14)/1200))</f>
        <v/>
      </c>
      <c r="W296" s="24">
        <f>IF(M296&lt;0.5,0,M296*(1+N('My Loans'!D15)/1200))</f>
        <v/>
      </c>
      <c r="X296" s="24">
        <f>MIN(N296,N('My Loans'!E6))</f>
        <v/>
      </c>
      <c r="Y296" s="24">
        <f>MIN(O296,N('My Loans'!E7))</f>
        <v/>
      </c>
      <c r="Z296" s="24">
        <f>MIN(P296,N('My Loans'!E8))</f>
        <v/>
      </c>
      <c r="AA296" s="24">
        <f>MIN(Q296,N('My Loans'!E9))</f>
        <v/>
      </c>
      <c r="AB296" s="24">
        <f>MIN(R296,N('My Loans'!E10))</f>
        <v/>
      </c>
      <c r="AC296" s="24">
        <f>MIN(S296,N('My Loans'!E11))</f>
        <v/>
      </c>
      <c r="AD296" s="24">
        <f>MIN(T296,N('My Loans'!E12))</f>
        <v/>
      </c>
      <c r="AE296" s="24">
        <f>MIN(U296,N('My Loans'!E13))</f>
        <v/>
      </c>
      <c r="AF296" s="24">
        <f>MIN(V296,N('My Loans'!E14))</f>
        <v/>
      </c>
      <c r="AG296" s="24">
        <f>MIN(W296,N('My Loans'!E15))</f>
        <v/>
      </c>
      <c r="AH296" s="24">
        <f>MIN(N296-X296,MAX(0,$C296-SUMPRODUCT(($D$3:$M$3&lt;D$3)*($N296:$W296-$X296:$AG296))))</f>
        <v/>
      </c>
      <c r="AI296" s="24">
        <f>MIN(O296-Y296,MAX(0,$C296-SUMPRODUCT(($D$3:$M$3&lt;E$3)*($N296:$W296-$X296:$AG296))))</f>
        <v/>
      </c>
      <c r="AJ296" s="24">
        <f>MIN(P296-Z296,MAX(0,$C296-SUMPRODUCT(($D$3:$M$3&lt;F$3)*($N296:$W296-$X296:$AG296))))</f>
        <v/>
      </c>
      <c r="AK296" s="24">
        <f>MIN(Q296-AA296,MAX(0,$C296-SUMPRODUCT(($D$3:$M$3&lt;G$3)*($N296:$W296-$X296:$AG296))))</f>
        <v/>
      </c>
      <c r="AL296" s="24">
        <f>MIN(R296-AB296,MAX(0,$C296-SUMPRODUCT(($D$3:$M$3&lt;H$3)*($N296:$W296-$X296:$AG296))))</f>
        <v/>
      </c>
      <c r="AM296" s="24">
        <f>MIN(S296-AC296,MAX(0,$C296-SUMPRODUCT(($D$3:$M$3&lt;I$3)*($N296:$W296-$X296:$AG296))))</f>
        <v/>
      </c>
      <c r="AN296" s="24">
        <f>MIN(T296-AD296,MAX(0,$C296-SUMPRODUCT(($D$3:$M$3&lt;J$3)*($N296:$W296-$X296:$AG296))))</f>
        <v/>
      </c>
      <c r="AO296" s="24">
        <f>MIN(U296-AE296,MAX(0,$C296-SUMPRODUCT(($D$3:$M$3&lt;K$3)*($N296:$W296-$X296:$AG296))))</f>
        <v/>
      </c>
      <c r="AP296" s="24">
        <f>MIN(V296-AF296,MAX(0,$C296-SUMPRODUCT(($D$3:$M$3&lt;L$3)*($N296:$W296-$X296:$AG296))))</f>
        <v/>
      </c>
      <c r="AQ296" s="24">
        <f>MIN(W296-AG296,MAX(0,$C296-SUMPRODUCT(($D$3:$M$3&lt;M$3)*($N296:$W296-$X296:$AG296))))</f>
        <v/>
      </c>
      <c r="AR296" s="24">
        <f>ROUND(N296-X296-AH296,2)</f>
        <v/>
      </c>
      <c r="AS296" s="24">
        <f>ROUND(O296-Y296-AI296,2)</f>
        <v/>
      </c>
      <c r="AT296" s="24">
        <f>ROUND(P296-Z296-AJ296,2)</f>
        <v/>
      </c>
      <c r="AU296" s="24">
        <f>ROUND(Q296-AA296-AK296,2)</f>
        <v/>
      </c>
      <c r="AV296" s="24">
        <f>ROUND(R296-AB296-AL296,2)</f>
        <v/>
      </c>
      <c r="AW296" s="24">
        <f>ROUND(S296-AC296-AM296,2)</f>
        <v/>
      </c>
      <c r="AX296" s="24">
        <f>ROUND(T296-AD296-AN296,2)</f>
        <v/>
      </c>
      <c r="AY296" s="24">
        <f>ROUND(U296-AE296-AO296,2)</f>
        <v/>
      </c>
      <c r="AZ296" s="24">
        <f>ROUND(V296-AF296-AP296,2)</f>
        <v/>
      </c>
      <c r="BA296" s="24">
        <f>ROUND(W296-AG296-AQ296,2)</f>
        <v/>
      </c>
      <c r="BB296" s="24">
        <f>SUM(AR296:BA296)</f>
        <v/>
      </c>
    </row>
    <row r="297">
      <c r="A297" t="n">
        <v>293</v>
      </c>
      <c r="B297" s="23">
        <f>EOMONTH(TODAY(),292)</f>
        <v/>
      </c>
      <c r="C297" s="24">
        <f>MAX(0,(SUM('My Loans'!$E$6:$E$15)+'My Loans'!$D$3)-SUM($X297:$AG297))</f>
        <v/>
      </c>
      <c r="D297" s="24">
        <f>MAX(0,AR296)</f>
        <v/>
      </c>
      <c r="E297" s="24">
        <f>MAX(0,AS296)</f>
        <v/>
      </c>
      <c r="F297" s="24">
        <f>MAX(0,AT296)</f>
        <v/>
      </c>
      <c r="G297" s="24">
        <f>MAX(0,AU296)</f>
        <v/>
      </c>
      <c r="H297" s="24">
        <f>MAX(0,AV296)</f>
        <v/>
      </c>
      <c r="I297" s="24">
        <f>MAX(0,AW296)</f>
        <v/>
      </c>
      <c r="J297" s="24">
        <f>MAX(0,AX296)</f>
        <v/>
      </c>
      <c r="K297" s="24">
        <f>MAX(0,AY296)</f>
        <v/>
      </c>
      <c r="L297" s="24">
        <f>MAX(0,AZ296)</f>
        <v/>
      </c>
      <c r="M297" s="24">
        <f>MAX(0,BA296)</f>
        <v/>
      </c>
      <c r="N297" s="24">
        <f>IF(D297&lt;0.5,0,D297*(1+N('My Loans'!D6)/1200))</f>
        <v/>
      </c>
      <c r="O297" s="24">
        <f>IF(E297&lt;0.5,0,E297*(1+N('My Loans'!D7)/1200))</f>
        <v/>
      </c>
      <c r="P297" s="24">
        <f>IF(F297&lt;0.5,0,F297*(1+N('My Loans'!D8)/1200))</f>
        <v/>
      </c>
      <c r="Q297" s="24">
        <f>IF(G297&lt;0.5,0,G297*(1+N('My Loans'!D9)/1200))</f>
        <v/>
      </c>
      <c r="R297" s="24">
        <f>IF(H297&lt;0.5,0,H297*(1+N('My Loans'!D10)/1200))</f>
        <v/>
      </c>
      <c r="S297" s="24">
        <f>IF(I297&lt;0.5,0,I297*(1+N('My Loans'!D11)/1200))</f>
        <v/>
      </c>
      <c r="T297" s="24">
        <f>IF(J297&lt;0.5,0,J297*(1+N('My Loans'!D12)/1200))</f>
        <v/>
      </c>
      <c r="U297" s="24">
        <f>IF(K297&lt;0.5,0,K297*(1+N('My Loans'!D13)/1200))</f>
        <v/>
      </c>
      <c r="V297" s="24">
        <f>IF(L297&lt;0.5,0,L297*(1+N('My Loans'!D14)/1200))</f>
        <v/>
      </c>
      <c r="W297" s="24">
        <f>IF(M297&lt;0.5,0,M297*(1+N('My Loans'!D15)/1200))</f>
        <v/>
      </c>
      <c r="X297" s="24">
        <f>MIN(N297,N('My Loans'!E6))</f>
        <v/>
      </c>
      <c r="Y297" s="24">
        <f>MIN(O297,N('My Loans'!E7))</f>
        <v/>
      </c>
      <c r="Z297" s="24">
        <f>MIN(P297,N('My Loans'!E8))</f>
        <v/>
      </c>
      <c r="AA297" s="24">
        <f>MIN(Q297,N('My Loans'!E9))</f>
        <v/>
      </c>
      <c r="AB297" s="24">
        <f>MIN(R297,N('My Loans'!E10))</f>
        <v/>
      </c>
      <c r="AC297" s="24">
        <f>MIN(S297,N('My Loans'!E11))</f>
        <v/>
      </c>
      <c r="AD297" s="24">
        <f>MIN(T297,N('My Loans'!E12))</f>
        <v/>
      </c>
      <c r="AE297" s="24">
        <f>MIN(U297,N('My Loans'!E13))</f>
        <v/>
      </c>
      <c r="AF297" s="24">
        <f>MIN(V297,N('My Loans'!E14))</f>
        <v/>
      </c>
      <c r="AG297" s="24">
        <f>MIN(W297,N('My Loans'!E15))</f>
        <v/>
      </c>
      <c r="AH297" s="24">
        <f>MIN(N297-X297,MAX(0,$C297-SUMPRODUCT(($D$3:$M$3&lt;D$3)*($N297:$W297-$X297:$AG297))))</f>
        <v/>
      </c>
      <c r="AI297" s="24">
        <f>MIN(O297-Y297,MAX(0,$C297-SUMPRODUCT(($D$3:$M$3&lt;E$3)*($N297:$W297-$X297:$AG297))))</f>
        <v/>
      </c>
      <c r="AJ297" s="24">
        <f>MIN(P297-Z297,MAX(0,$C297-SUMPRODUCT(($D$3:$M$3&lt;F$3)*($N297:$W297-$X297:$AG297))))</f>
        <v/>
      </c>
      <c r="AK297" s="24">
        <f>MIN(Q297-AA297,MAX(0,$C297-SUMPRODUCT(($D$3:$M$3&lt;G$3)*($N297:$W297-$X297:$AG297))))</f>
        <v/>
      </c>
      <c r="AL297" s="24">
        <f>MIN(R297-AB297,MAX(0,$C297-SUMPRODUCT(($D$3:$M$3&lt;H$3)*($N297:$W297-$X297:$AG297))))</f>
        <v/>
      </c>
      <c r="AM297" s="24">
        <f>MIN(S297-AC297,MAX(0,$C297-SUMPRODUCT(($D$3:$M$3&lt;I$3)*($N297:$W297-$X297:$AG297))))</f>
        <v/>
      </c>
      <c r="AN297" s="24">
        <f>MIN(T297-AD297,MAX(0,$C297-SUMPRODUCT(($D$3:$M$3&lt;J$3)*($N297:$W297-$X297:$AG297))))</f>
        <v/>
      </c>
      <c r="AO297" s="24">
        <f>MIN(U297-AE297,MAX(0,$C297-SUMPRODUCT(($D$3:$M$3&lt;K$3)*($N297:$W297-$X297:$AG297))))</f>
        <v/>
      </c>
      <c r="AP297" s="24">
        <f>MIN(V297-AF297,MAX(0,$C297-SUMPRODUCT(($D$3:$M$3&lt;L$3)*($N297:$W297-$X297:$AG297))))</f>
        <v/>
      </c>
      <c r="AQ297" s="24">
        <f>MIN(W297-AG297,MAX(0,$C297-SUMPRODUCT(($D$3:$M$3&lt;M$3)*($N297:$W297-$X297:$AG297))))</f>
        <v/>
      </c>
      <c r="AR297" s="24">
        <f>ROUND(N297-X297-AH297,2)</f>
        <v/>
      </c>
      <c r="AS297" s="24">
        <f>ROUND(O297-Y297-AI297,2)</f>
        <v/>
      </c>
      <c r="AT297" s="24">
        <f>ROUND(P297-Z297-AJ297,2)</f>
        <v/>
      </c>
      <c r="AU297" s="24">
        <f>ROUND(Q297-AA297-AK297,2)</f>
        <v/>
      </c>
      <c r="AV297" s="24">
        <f>ROUND(R297-AB297-AL297,2)</f>
        <v/>
      </c>
      <c r="AW297" s="24">
        <f>ROUND(S297-AC297-AM297,2)</f>
        <v/>
      </c>
      <c r="AX297" s="24">
        <f>ROUND(T297-AD297-AN297,2)</f>
        <v/>
      </c>
      <c r="AY297" s="24">
        <f>ROUND(U297-AE297-AO297,2)</f>
        <v/>
      </c>
      <c r="AZ297" s="24">
        <f>ROUND(V297-AF297-AP297,2)</f>
        <v/>
      </c>
      <c r="BA297" s="24">
        <f>ROUND(W297-AG297-AQ297,2)</f>
        <v/>
      </c>
      <c r="BB297" s="24">
        <f>SUM(AR297:BA297)</f>
        <v/>
      </c>
    </row>
    <row r="298">
      <c r="A298" t="n">
        <v>294</v>
      </c>
      <c r="B298" s="23">
        <f>EOMONTH(TODAY(),293)</f>
        <v/>
      </c>
      <c r="C298" s="24">
        <f>MAX(0,(SUM('My Loans'!$E$6:$E$15)+'My Loans'!$D$3)-SUM($X298:$AG298))</f>
        <v/>
      </c>
      <c r="D298" s="24">
        <f>MAX(0,AR297)</f>
        <v/>
      </c>
      <c r="E298" s="24">
        <f>MAX(0,AS297)</f>
        <v/>
      </c>
      <c r="F298" s="24">
        <f>MAX(0,AT297)</f>
        <v/>
      </c>
      <c r="G298" s="24">
        <f>MAX(0,AU297)</f>
        <v/>
      </c>
      <c r="H298" s="24">
        <f>MAX(0,AV297)</f>
        <v/>
      </c>
      <c r="I298" s="24">
        <f>MAX(0,AW297)</f>
        <v/>
      </c>
      <c r="J298" s="24">
        <f>MAX(0,AX297)</f>
        <v/>
      </c>
      <c r="K298" s="24">
        <f>MAX(0,AY297)</f>
        <v/>
      </c>
      <c r="L298" s="24">
        <f>MAX(0,AZ297)</f>
        <v/>
      </c>
      <c r="M298" s="24">
        <f>MAX(0,BA297)</f>
        <v/>
      </c>
      <c r="N298" s="24">
        <f>IF(D298&lt;0.5,0,D298*(1+N('My Loans'!D6)/1200))</f>
        <v/>
      </c>
      <c r="O298" s="24">
        <f>IF(E298&lt;0.5,0,E298*(1+N('My Loans'!D7)/1200))</f>
        <v/>
      </c>
      <c r="P298" s="24">
        <f>IF(F298&lt;0.5,0,F298*(1+N('My Loans'!D8)/1200))</f>
        <v/>
      </c>
      <c r="Q298" s="24">
        <f>IF(G298&lt;0.5,0,G298*(1+N('My Loans'!D9)/1200))</f>
        <v/>
      </c>
      <c r="R298" s="24">
        <f>IF(H298&lt;0.5,0,H298*(1+N('My Loans'!D10)/1200))</f>
        <v/>
      </c>
      <c r="S298" s="24">
        <f>IF(I298&lt;0.5,0,I298*(1+N('My Loans'!D11)/1200))</f>
        <v/>
      </c>
      <c r="T298" s="24">
        <f>IF(J298&lt;0.5,0,J298*(1+N('My Loans'!D12)/1200))</f>
        <v/>
      </c>
      <c r="U298" s="24">
        <f>IF(K298&lt;0.5,0,K298*(1+N('My Loans'!D13)/1200))</f>
        <v/>
      </c>
      <c r="V298" s="24">
        <f>IF(L298&lt;0.5,0,L298*(1+N('My Loans'!D14)/1200))</f>
        <v/>
      </c>
      <c r="W298" s="24">
        <f>IF(M298&lt;0.5,0,M298*(1+N('My Loans'!D15)/1200))</f>
        <v/>
      </c>
      <c r="X298" s="24">
        <f>MIN(N298,N('My Loans'!E6))</f>
        <v/>
      </c>
      <c r="Y298" s="24">
        <f>MIN(O298,N('My Loans'!E7))</f>
        <v/>
      </c>
      <c r="Z298" s="24">
        <f>MIN(P298,N('My Loans'!E8))</f>
        <v/>
      </c>
      <c r="AA298" s="24">
        <f>MIN(Q298,N('My Loans'!E9))</f>
        <v/>
      </c>
      <c r="AB298" s="24">
        <f>MIN(R298,N('My Loans'!E10))</f>
        <v/>
      </c>
      <c r="AC298" s="24">
        <f>MIN(S298,N('My Loans'!E11))</f>
        <v/>
      </c>
      <c r="AD298" s="24">
        <f>MIN(T298,N('My Loans'!E12))</f>
        <v/>
      </c>
      <c r="AE298" s="24">
        <f>MIN(U298,N('My Loans'!E13))</f>
        <v/>
      </c>
      <c r="AF298" s="24">
        <f>MIN(V298,N('My Loans'!E14))</f>
        <v/>
      </c>
      <c r="AG298" s="24">
        <f>MIN(W298,N('My Loans'!E15))</f>
        <v/>
      </c>
      <c r="AH298" s="24">
        <f>MIN(N298-X298,MAX(0,$C298-SUMPRODUCT(($D$3:$M$3&lt;D$3)*($N298:$W298-$X298:$AG298))))</f>
        <v/>
      </c>
      <c r="AI298" s="24">
        <f>MIN(O298-Y298,MAX(0,$C298-SUMPRODUCT(($D$3:$M$3&lt;E$3)*($N298:$W298-$X298:$AG298))))</f>
        <v/>
      </c>
      <c r="AJ298" s="24">
        <f>MIN(P298-Z298,MAX(0,$C298-SUMPRODUCT(($D$3:$M$3&lt;F$3)*($N298:$W298-$X298:$AG298))))</f>
        <v/>
      </c>
      <c r="AK298" s="24">
        <f>MIN(Q298-AA298,MAX(0,$C298-SUMPRODUCT(($D$3:$M$3&lt;G$3)*($N298:$W298-$X298:$AG298))))</f>
        <v/>
      </c>
      <c r="AL298" s="24">
        <f>MIN(R298-AB298,MAX(0,$C298-SUMPRODUCT(($D$3:$M$3&lt;H$3)*($N298:$W298-$X298:$AG298))))</f>
        <v/>
      </c>
      <c r="AM298" s="24">
        <f>MIN(S298-AC298,MAX(0,$C298-SUMPRODUCT(($D$3:$M$3&lt;I$3)*($N298:$W298-$X298:$AG298))))</f>
        <v/>
      </c>
      <c r="AN298" s="24">
        <f>MIN(T298-AD298,MAX(0,$C298-SUMPRODUCT(($D$3:$M$3&lt;J$3)*($N298:$W298-$X298:$AG298))))</f>
        <v/>
      </c>
      <c r="AO298" s="24">
        <f>MIN(U298-AE298,MAX(0,$C298-SUMPRODUCT(($D$3:$M$3&lt;K$3)*($N298:$W298-$X298:$AG298))))</f>
        <v/>
      </c>
      <c r="AP298" s="24">
        <f>MIN(V298-AF298,MAX(0,$C298-SUMPRODUCT(($D$3:$M$3&lt;L$3)*($N298:$W298-$X298:$AG298))))</f>
        <v/>
      </c>
      <c r="AQ298" s="24">
        <f>MIN(W298-AG298,MAX(0,$C298-SUMPRODUCT(($D$3:$M$3&lt;M$3)*($N298:$W298-$X298:$AG298))))</f>
        <v/>
      </c>
      <c r="AR298" s="24">
        <f>ROUND(N298-X298-AH298,2)</f>
        <v/>
      </c>
      <c r="AS298" s="24">
        <f>ROUND(O298-Y298-AI298,2)</f>
        <v/>
      </c>
      <c r="AT298" s="24">
        <f>ROUND(P298-Z298-AJ298,2)</f>
        <v/>
      </c>
      <c r="AU298" s="24">
        <f>ROUND(Q298-AA298-AK298,2)</f>
        <v/>
      </c>
      <c r="AV298" s="24">
        <f>ROUND(R298-AB298-AL298,2)</f>
        <v/>
      </c>
      <c r="AW298" s="24">
        <f>ROUND(S298-AC298-AM298,2)</f>
        <v/>
      </c>
      <c r="AX298" s="24">
        <f>ROUND(T298-AD298-AN298,2)</f>
        <v/>
      </c>
      <c r="AY298" s="24">
        <f>ROUND(U298-AE298-AO298,2)</f>
        <v/>
      </c>
      <c r="AZ298" s="24">
        <f>ROUND(V298-AF298-AP298,2)</f>
        <v/>
      </c>
      <c r="BA298" s="24">
        <f>ROUND(W298-AG298-AQ298,2)</f>
        <v/>
      </c>
      <c r="BB298" s="24">
        <f>SUM(AR298:BA298)</f>
        <v/>
      </c>
    </row>
    <row r="299">
      <c r="A299" t="n">
        <v>295</v>
      </c>
      <c r="B299" s="23">
        <f>EOMONTH(TODAY(),294)</f>
        <v/>
      </c>
      <c r="C299" s="24">
        <f>MAX(0,(SUM('My Loans'!$E$6:$E$15)+'My Loans'!$D$3)-SUM($X299:$AG299))</f>
        <v/>
      </c>
      <c r="D299" s="24">
        <f>MAX(0,AR298)</f>
        <v/>
      </c>
      <c r="E299" s="24">
        <f>MAX(0,AS298)</f>
        <v/>
      </c>
      <c r="F299" s="24">
        <f>MAX(0,AT298)</f>
        <v/>
      </c>
      <c r="G299" s="24">
        <f>MAX(0,AU298)</f>
        <v/>
      </c>
      <c r="H299" s="24">
        <f>MAX(0,AV298)</f>
        <v/>
      </c>
      <c r="I299" s="24">
        <f>MAX(0,AW298)</f>
        <v/>
      </c>
      <c r="J299" s="24">
        <f>MAX(0,AX298)</f>
        <v/>
      </c>
      <c r="K299" s="24">
        <f>MAX(0,AY298)</f>
        <v/>
      </c>
      <c r="L299" s="24">
        <f>MAX(0,AZ298)</f>
        <v/>
      </c>
      <c r="M299" s="24">
        <f>MAX(0,BA298)</f>
        <v/>
      </c>
      <c r="N299" s="24">
        <f>IF(D299&lt;0.5,0,D299*(1+N('My Loans'!D6)/1200))</f>
        <v/>
      </c>
      <c r="O299" s="24">
        <f>IF(E299&lt;0.5,0,E299*(1+N('My Loans'!D7)/1200))</f>
        <v/>
      </c>
      <c r="P299" s="24">
        <f>IF(F299&lt;0.5,0,F299*(1+N('My Loans'!D8)/1200))</f>
        <v/>
      </c>
      <c r="Q299" s="24">
        <f>IF(G299&lt;0.5,0,G299*(1+N('My Loans'!D9)/1200))</f>
        <v/>
      </c>
      <c r="R299" s="24">
        <f>IF(H299&lt;0.5,0,H299*(1+N('My Loans'!D10)/1200))</f>
        <v/>
      </c>
      <c r="S299" s="24">
        <f>IF(I299&lt;0.5,0,I299*(1+N('My Loans'!D11)/1200))</f>
        <v/>
      </c>
      <c r="T299" s="24">
        <f>IF(J299&lt;0.5,0,J299*(1+N('My Loans'!D12)/1200))</f>
        <v/>
      </c>
      <c r="U299" s="24">
        <f>IF(K299&lt;0.5,0,K299*(1+N('My Loans'!D13)/1200))</f>
        <v/>
      </c>
      <c r="V299" s="24">
        <f>IF(L299&lt;0.5,0,L299*(1+N('My Loans'!D14)/1200))</f>
        <v/>
      </c>
      <c r="W299" s="24">
        <f>IF(M299&lt;0.5,0,M299*(1+N('My Loans'!D15)/1200))</f>
        <v/>
      </c>
      <c r="X299" s="24">
        <f>MIN(N299,N('My Loans'!E6))</f>
        <v/>
      </c>
      <c r="Y299" s="24">
        <f>MIN(O299,N('My Loans'!E7))</f>
        <v/>
      </c>
      <c r="Z299" s="24">
        <f>MIN(P299,N('My Loans'!E8))</f>
        <v/>
      </c>
      <c r="AA299" s="24">
        <f>MIN(Q299,N('My Loans'!E9))</f>
        <v/>
      </c>
      <c r="AB299" s="24">
        <f>MIN(R299,N('My Loans'!E10))</f>
        <v/>
      </c>
      <c r="AC299" s="24">
        <f>MIN(S299,N('My Loans'!E11))</f>
        <v/>
      </c>
      <c r="AD299" s="24">
        <f>MIN(T299,N('My Loans'!E12))</f>
        <v/>
      </c>
      <c r="AE299" s="24">
        <f>MIN(U299,N('My Loans'!E13))</f>
        <v/>
      </c>
      <c r="AF299" s="24">
        <f>MIN(V299,N('My Loans'!E14))</f>
        <v/>
      </c>
      <c r="AG299" s="24">
        <f>MIN(W299,N('My Loans'!E15))</f>
        <v/>
      </c>
      <c r="AH299" s="24">
        <f>MIN(N299-X299,MAX(0,$C299-SUMPRODUCT(($D$3:$M$3&lt;D$3)*($N299:$W299-$X299:$AG299))))</f>
        <v/>
      </c>
      <c r="AI299" s="24">
        <f>MIN(O299-Y299,MAX(0,$C299-SUMPRODUCT(($D$3:$M$3&lt;E$3)*($N299:$W299-$X299:$AG299))))</f>
        <v/>
      </c>
      <c r="AJ299" s="24">
        <f>MIN(P299-Z299,MAX(0,$C299-SUMPRODUCT(($D$3:$M$3&lt;F$3)*($N299:$W299-$X299:$AG299))))</f>
        <v/>
      </c>
      <c r="AK299" s="24">
        <f>MIN(Q299-AA299,MAX(0,$C299-SUMPRODUCT(($D$3:$M$3&lt;G$3)*($N299:$W299-$X299:$AG299))))</f>
        <v/>
      </c>
      <c r="AL299" s="24">
        <f>MIN(R299-AB299,MAX(0,$C299-SUMPRODUCT(($D$3:$M$3&lt;H$3)*($N299:$W299-$X299:$AG299))))</f>
        <v/>
      </c>
      <c r="AM299" s="24">
        <f>MIN(S299-AC299,MAX(0,$C299-SUMPRODUCT(($D$3:$M$3&lt;I$3)*($N299:$W299-$X299:$AG299))))</f>
        <v/>
      </c>
      <c r="AN299" s="24">
        <f>MIN(T299-AD299,MAX(0,$C299-SUMPRODUCT(($D$3:$M$3&lt;J$3)*($N299:$W299-$X299:$AG299))))</f>
        <v/>
      </c>
      <c r="AO299" s="24">
        <f>MIN(U299-AE299,MAX(0,$C299-SUMPRODUCT(($D$3:$M$3&lt;K$3)*($N299:$W299-$X299:$AG299))))</f>
        <v/>
      </c>
      <c r="AP299" s="24">
        <f>MIN(V299-AF299,MAX(0,$C299-SUMPRODUCT(($D$3:$M$3&lt;L$3)*($N299:$W299-$X299:$AG299))))</f>
        <v/>
      </c>
      <c r="AQ299" s="24">
        <f>MIN(W299-AG299,MAX(0,$C299-SUMPRODUCT(($D$3:$M$3&lt;M$3)*($N299:$W299-$X299:$AG299))))</f>
        <v/>
      </c>
      <c r="AR299" s="24">
        <f>ROUND(N299-X299-AH299,2)</f>
        <v/>
      </c>
      <c r="AS299" s="24">
        <f>ROUND(O299-Y299-AI299,2)</f>
        <v/>
      </c>
      <c r="AT299" s="24">
        <f>ROUND(P299-Z299-AJ299,2)</f>
        <v/>
      </c>
      <c r="AU299" s="24">
        <f>ROUND(Q299-AA299-AK299,2)</f>
        <v/>
      </c>
      <c r="AV299" s="24">
        <f>ROUND(R299-AB299-AL299,2)</f>
        <v/>
      </c>
      <c r="AW299" s="24">
        <f>ROUND(S299-AC299-AM299,2)</f>
        <v/>
      </c>
      <c r="AX299" s="24">
        <f>ROUND(T299-AD299-AN299,2)</f>
        <v/>
      </c>
      <c r="AY299" s="24">
        <f>ROUND(U299-AE299-AO299,2)</f>
        <v/>
      </c>
      <c r="AZ299" s="24">
        <f>ROUND(V299-AF299-AP299,2)</f>
        <v/>
      </c>
      <c r="BA299" s="24">
        <f>ROUND(W299-AG299-AQ299,2)</f>
        <v/>
      </c>
      <c r="BB299" s="24">
        <f>SUM(AR299:BA299)</f>
        <v/>
      </c>
    </row>
    <row r="300">
      <c r="A300" t="n">
        <v>296</v>
      </c>
      <c r="B300" s="23">
        <f>EOMONTH(TODAY(),295)</f>
        <v/>
      </c>
      <c r="C300" s="24">
        <f>MAX(0,(SUM('My Loans'!$E$6:$E$15)+'My Loans'!$D$3)-SUM($X300:$AG300))</f>
        <v/>
      </c>
      <c r="D300" s="24">
        <f>MAX(0,AR299)</f>
        <v/>
      </c>
      <c r="E300" s="24">
        <f>MAX(0,AS299)</f>
        <v/>
      </c>
      <c r="F300" s="24">
        <f>MAX(0,AT299)</f>
        <v/>
      </c>
      <c r="G300" s="24">
        <f>MAX(0,AU299)</f>
        <v/>
      </c>
      <c r="H300" s="24">
        <f>MAX(0,AV299)</f>
        <v/>
      </c>
      <c r="I300" s="24">
        <f>MAX(0,AW299)</f>
        <v/>
      </c>
      <c r="J300" s="24">
        <f>MAX(0,AX299)</f>
        <v/>
      </c>
      <c r="K300" s="24">
        <f>MAX(0,AY299)</f>
        <v/>
      </c>
      <c r="L300" s="24">
        <f>MAX(0,AZ299)</f>
        <v/>
      </c>
      <c r="M300" s="24">
        <f>MAX(0,BA299)</f>
        <v/>
      </c>
      <c r="N300" s="24">
        <f>IF(D300&lt;0.5,0,D300*(1+N('My Loans'!D6)/1200))</f>
        <v/>
      </c>
      <c r="O300" s="24">
        <f>IF(E300&lt;0.5,0,E300*(1+N('My Loans'!D7)/1200))</f>
        <v/>
      </c>
      <c r="P300" s="24">
        <f>IF(F300&lt;0.5,0,F300*(1+N('My Loans'!D8)/1200))</f>
        <v/>
      </c>
      <c r="Q300" s="24">
        <f>IF(G300&lt;0.5,0,G300*(1+N('My Loans'!D9)/1200))</f>
        <v/>
      </c>
      <c r="R300" s="24">
        <f>IF(H300&lt;0.5,0,H300*(1+N('My Loans'!D10)/1200))</f>
        <v/>
      </c>
      <c r="S300" s="24">
        <f>IF(I300&lt;0.5,0,I300*(1+N('My Loans'!D11)/1200))</f>
        <v/>
      </c>
      <c r="T300" s="24">
        <f>IF(J300&lt;0.5,0,J300*(1+N('My Loans'!D12)/1200))</f>
        <v/>
      </c>
      <c r="U300" s="24">
        <f>IF(K300&lt;0.5,0,K300*(1+N('My Loans'!D13)/1200))</f>
        <v/>
      </c>
      <c r="V300" s="24">
        <f>IF(L300&lt;0.5,0,L300*(1+N('My Loans'!D14)/1200))</f>
        <v/>
      </c>
      <c r="W300" s="24">
        <f>IF(M300&lt;0.5,0,M300*(1+N('My Loans'!D15)/1200))</f>
        <v/>
      </c>
      <c r="X300" s="24">
        <f>MIN(N300,N('My Loans'!E6))</f>
        <v/>
      </c>
      <c r="Y300" s="24">
        <f>MIN(O300,N('My Loans'!E7))</f>
        <v/>
      </c>
      <c r="Z300" s="24">
        <f>MIN(P300,N('My Loans'!E8))</f>
        <v/>
      </c>
      <c r="AA300" s="24">
        <f>MIN(Q300,N('My Loans'!E9))</f>
        <v/>
      </c>
      <c r="AB300" s="24">
        <f>MIN(R300,N('My Loans'!E10))</f>
        <v/>
      </c>
      <c r="AC300" s="24">
        <f>MIN(S300,N('My Loans'!E11))</f>
        <v/>
      </c>
      <c r="AD300" s="24">
        <f>MIN(T300,N('My Loans'!E12))</f>
        <v/>
      </c>
      <c r="AE300" s="24">
        <f>MIN(U300,N('My Loans'!E13))</f>
        <v/>
      </c>
      <c r="AF300" s="24">
        <f>MIN(V300,N('My Loans'!E14))</f>
        <v/>
      </c>
      <c r="AG300" s="24">
        <f>MIN(W300,N('My Loans'!E15))</f>
        <v/>
      </c>
      <c r="AH300" s="24">
        <f>MIN(N300-X300,MAX(0,$C300-SUMPRODUCT(($D$3:$M$3&lt;D$3)*($N300:$W300-$X300:$AG300))))</f>
        <v/>
      </c>
      <c r="AI300" s="24">
        <f>MIN(O300-Y300,MAX(0,$C300-SUMPRODUCT(($D$3:$M$3&lt;E$3)*($N300:$W300-$X300:$AG300))))</f>
        <v/>
      </c>
      <c r="AJ300" s="24">
        <f>MIN(P300-Z300,MAX(0,$C300-SUMPRODUCT(($D$3:$M$3&lt;F$3)*($N300:$W300-$X300:$AG300))))</f>
        <v/>
      </c>
      <c r="AK300" s="24">
        <f>MIN(Q300-AA300,MAX(0,$C300-SUMPRODUCT(($D$3:$M$3&lt;G$3)*($N300:$W300-$X300:$AG300))))</f>
        <v/>
      </c>
      <c r="AL300" s="24">
        <f>MIN(R300-AB300,MAX(0,$C300-SUMPRODUCT(($D$3:$M$3&lt;H$3)*($N300:$W300-$X300:$AG300))))</f>
        <v/>
      </c>
      <c r="AM300" s="24">
        <f>MIN(S300-AC300,MAX(0,$C300-SUMPRODUCT(($D$3:$M$3&lt;I$3)*($N300:$W300-$X300:$AG300))))</f>
        <v/>
      </c>
      <c r="AN300" s="24">
        <f>MIN(T300-AD300,MAX(0,$C300-SUMPRODUCT(($D$3:$M$3&lt;J$3)*($N300:$W300-$X300:$AG300))))</f>
        <v/>
      </c>
      <c r="AO300" s="24">
        <f>MIN(U300-AE300,MAX(0,$C300-SUMPRODUCT(($D$3:$M$3&lt;K$3)*($N300:$W300-$X300:$AG300))))</f>
        <v/>
      </c>
      <c r="AP300" s="24">
        <f>MIN(V300-AF300,MAX(0,$C300-SUMPRODUCT(($D$3:$M$3&lt;L$3)*($N300:$W300-$X300:$AG300))))</f>
        <v/>
      </c>
      <c r="AQ300" s="24">
        <f>MIN(W300-AG300,MAX(0,$C300-SUMPRODUCT(($D$3:$M$3&lt;M$3)*($N300:$W300-$X300:$AG300))))</f>
        <v/>
      </c>
      <c r="AR300" s="24">
        <f>ROUND(N300-X300-AH300,2)</f>
        <v/>
      </c>
      <c r="AS300" s="24">
        <f>ROUND(O300-Y300-AI300,2)</f>
        <v/>
      </c>
      <c r="AT300" s="24">
        <f>ROUND(P300-Z300-AJ300,2)</f>
        <v/>
      </c>
      <c r="AU300" s="24">
        <f>ROUND(Q300-AA300-AK300,2)</f>
        <v/>
      </c>
      <c r="AV300" s="24">
        <f>ROUND(R300-AB300-AL300,2)</f>
        <v/>
      </c>
      <c r="AW300" s="24">
        <f>ROUND(S300-AC300-AM300,2)</f>
        <v/>
      </c>
      <c r="AX300" s="24">
        <f>ROUND(T300-AD300-AN300,2)</f>
        <v/>
      </c>
      <c r="AY300" s="24">
        <f>ROUND(U300-AE300-AO300,2)</f>
        <v/>
      </c>
      <c r="AZ300" s="24">
        <f>ROUND(V300-AF300-AP300,2)</f>
        <v/>
      </c>
      <c r="BA300" s="24">
        <f>ROUND(W300-AG300-AQ300,2)</f>
        <v/>
      </c>
      <c r="BB300" s="24">
        <f>SUM(AR300:BA300)</f>
        <v/>
      </c>
    </row>
    <row r="301">
      <c r="A301" t="n">
        <v>297</v>
      </c>
      <c r="B301" s="23">
        <f>EOMONTH(TODAY(),296)</f>
        <v/>
      </c>
      <c r="C301" s="24">
        <f>MAX(0,(SUM('My Loans'!$E$6:$E$15)+'My Loans'!$D$3)-SUM($X301:$AG301))</f>
        <v/>
      </c>
      <c r="D301" s="24">
        <f>MAX(0,AR300)</f>
        <v/>
      </c>
      <c r="E301" s="24">
        <f>MAX(0,AS300)</f>
        <v/>
      </c>
      <c r="F301" s="24">
        <f>MAX(0,AT300)</f>
        <v/>
      </c>
      <c r="G301" s="24">
        <f>MAX(0,AU300)</f>
        <v/>
      </c>
      <c r="H301" s="24">
        <f>MAX(0,AV300)</f>
        <v/>
      </c>
      <c r="I301" s="24">
        <f>MAX(0,AW300)</f>
        <v/>
      </c>
      <c r="J301" s="24">
        <f>MAX(0,AX300)</f>
        <v/>
      </c>
      <c r="K301" s="24">
        <f>MAX(0,AY300)</f>
        <v/>
      </c>
      <c r="L301" s="24">
        <f>MAX(0,AZ300)</f>
        <v/>
      </c>
      <c r="M301" s="24">
        <f>MAX(0,BA300)</f>
        <v/>
      </c>
      <c r="N301" s="24">
        <f>IF(D301&lt;0.5,0,D301*(1+N('My Loans'!D6)/1200))</f>
        <v/>
      </c>
      <c r="O301" s="24">
        <f>IF(E301&lt;0.5,0,E301*(1+N('My Loans'!D7)/1200))</f>
        <v/>
      </c>
      <c r="P301" s="24">
        <f>IF(F301&lt;0.5,0,F301*(1+N('My Loans'!D8)/1200))</f>
        <v/>
      </c>
      <c r="Q301" s="24">
        <f>IF(G301&lt;0.5,0,G301*(1+N('My Loans'!D9)/1200))</f>
        <v/>
      </c>
      <c r="R301" s="24">
        <f>IF(H301&lt;0.5,0,H301*(1+N('My Loans'!D10)/1200))</f>
        <v/>
      </c>
      <c r="S301" s="24">
        <f>IF(I301&lt;0.5,0,I301*(1+N('My Loans'!D11)/1200))</f>
        <v/>
      </c>
      <c r="T301" s="24">
        <f>IF(J301&lt;0.5,0,J301*(1+N('My Loans'!D12)/1200))</f>
        <v/>
      </c>
      <c r="U301" s="24">
        <f>IF(K301&lt;0.5,0,K301*(1+N('My Loans'!D13)/1200))</f>
        <v/>
      </c>
      <c r="V301" s="24">
        <f>IF(L301&lt;0.5,0,L301*(1+N('My Loans'!D14)/1200))</f>
        <v/>
      </c>
      <c r="W301" s="24">
        <f>IF(M301&lt;0.5,0,M301*(1+N('My Loans'!D15)/1200))</f>
        <v/>
      </c>
      <c r="X301" s="24">
        <f>MIN(N301,N('My Loans'!E6))</f>
        <v/>
      </c>
      <c r="Y301" s="24">
        <f>MIN(O301,N('My Loans'!E7))</f>
        <v/>
      </c>
      <c r="Z301" s="24">
        <f>MIN(P301,N('My Loans'!E8))</f>
        <v/>
      </c>
      <c r="AA301" s="24">
        <f>MIN(Q301,N('My Loans'!E9))</f>
        <v/>
      </c>
      <c r="AB301" s="24">
        <f>MIN(R301,N('My Loans'!E10))</f>
        <v/>
      </c>
      <c r="AC301" s="24">
        <f>MIN(S301,N('My Loans'!E11))</f>
        <v/>
      </c>
      <c r="AD301" s="24">
        <f>MIN(T301,N('My Loans'!E12))</f>
        <v/>
      </c>
      <c r="AE301" s="24">
        <f>MIN(U301,N('My Loans'!E13))</f>
        <v/>
      </c>
      <c r="AF301" s="24">
        <f>MIN(V301,N('My Loans'!E14))</f>
        <v/>
      </c>
      <c r="AG301" s="24">
        <f>MIN(W301,N('My Loans'!E15))</f>
        <v/>
      </c>
      <c r="AH301" s="24">
        <f>MIN(N301-X301,MAX(0,$C301-SUMPRODUCT(($D$3:$M$3&lt;D$3)*($N301:$W301-$X301:$AG301))))</f>
        <v/>
      </c>
      <c r="AI301" s="24">
        <f>MIN(O301-Y301,MAX(0,$C301-SUMPRODUCT(($D$3:$M$3&lt;E$3)*($N301:$W301-$X301:$AG301))))</f>
        <v/>
      </c>
      <c r="AJ301" s="24">
        <f>MIN(P301-Z301,MAX(0,$C301-SUMPRODUCT(($D$3:$M$3&lt;F$3)*($N301:$W301-$X301:$AG301))))</f>
        <v/>
      </c>
      <c r="AK301" s="24">
        <f>MIN(Q301-AA301,MAX(0,$C301-SUMPRODUCT(($D$3:$M$3&lt;G$3)*($N301:$W301-$X301:$AG301))))</f>
        <v/>
      </c>
      <c r="AL301" s="24">
        <f>MIN(R301-AB301,MAX(0,$C301-SUMPRODUCT(($D$3:$M$3&lt;H$3)*($N301:$W301-$X301:$AG301))))</f>
        <v/>
      </c>
      <c r="AM301" s="24">
        <f>MIN(S301-AC301,MAX(0,$C301-SUMPRODUCT(($D$3:$M$3&lt;I$3)*($N301:$W301-$X301:$AG301))))</f>
        <v/>
      </c>
      <c r="AN301" s="24">
        <f>MIN(T301-AD301,MAX(0,$C301-SUMPRODUCT(($D$3:$M$3&lt;J$3)*($N301:$W301-$X301:$AG301))))</f>
        <v/>
      </c>
      <c r="AO301" s="24">
        <f>MIN(U301-AE301,MAX(0,$C301-SUMPRODUCT(($D$3:$M$3&lt;K$3)*($N301:$W301-$X301:$AG301))))</f>
        <v/>
      </c>
      <c r="AP301" s="24">
        <f>MIN(V301-AF301,MAX(0,$C301-SUMPRODUCT(($D$3:$M$3&lt;L$3)*($N301:$W301-$X301:$AG301))))</f>
        <v/>
      </c>
      <c r="AQ301" s="24">
        <f>MIN(W301-AG301,MAX(0,$C301-SUMPRODUCT(($D$3:$M$3&lt;M$3)*($N301:$W301-$X301:$AG301))))</f>
        <v/>
      </c>
      <c r="AR301" s="24">
        <f>ROUND(N301-X301-AH301,2)</f>
        <v/>
      </c>
      <c r="AS301" s="24">
        <f>ROUND(O301-Y301-AI301,2)</f>
        <v/>
      </c>
      <c r="AT301" s="24">
        <f>ROUND(P301-Z301-AJ301,2)</f>
        <v/>
      </c>
      <c r="AU301" s="24">
        <f>ROUND(Q301-AA301-AK301,2)</f>
        <v/>
      </c>
      <c r="AV301" s="24">
        <f>ROUND(R301-AB301-AL301,2)</f>
        <v/>
      </c>
      <c r="AW301" s="24">
        <f>ROUND(S301-AC301-AM301,2)</f>
        <v/>
      </c>
      <c r="AX301" s="24">
        <f>ROUND(T301-AD301-AN301,2)</f>
        <v/>
      </c>
      <c r="AY301" s="24">
        <f>ROUND(U301-AE301-AO301,2)</f>
        <v/>
      </c>
      <c r="AZ301" s="24">
        <f>ROUND(V301-AF301-AP301,2)</f>
        <v/>
      </c>
      <c r="BA301" s="24">
        <f>ROUND(W301-AG301-AQ301,2)</f>
        <v/>
      </c>
      <c r="BB301" s="24">
        <f>SUM(AR301:BA301)</f>
        <v/>
      </c>
    </row>
    <row r="302">
      <c r="A302" t="n">
        <v>298</v>
      </c>
      <c r="B302" s="23">
        <f>EOMONTH(TODAY(),297)</f>
        <v/>
      </c>
      <c r="C302" s="24">
        <f>MAX(0,(SUM('My Loans'!$E$6:$E$15)+'My Loans'!$D$3)-SUM($X302:$AG302))</f>
        <v/>
      </c>
      <c r="D302" s="24">
        <f>MAX(0,AR301)</f>
        <v/>
      </c>
      <c r="E302" s="24">
        <f>MAX(0,AS301)</f>
        <v/>
      </c>
      <c r="F302" s="24">
        <f>MAX(0,AT301)</f>
        <v/>
      </c>
      <c r="G302" s="24">
        <f>MAX(0,AU301)</f>
        <v/>
      </c>
      <c r="H302" s="24">
        <f>MAX(0,AV301)</f>
        <v/>
      </c>
      <c r="I302" s="24">
        <f>MAX(0,AW301)</f>
        <v/>
      </c>
      <c r="J302" s="24">
        <f>MAX(0,AX301)</f>
        <v/>
      </c>
      <c r="K302" s="24">
        <f>MAX(0,AY301)</f>
        <v/>
      </c>
      <c r="L302" s="24">
        <f>MAX(0,AZ301)</f>
        <v/>
      </c>
      <c r="M302" s="24">
        <f>MAX(0,BA301)</f>
        <v/>
      </c>
      <c r="N302" s="24">
        <f>IF(D302&lt;0.5,0,D302*(1+N('My Loans'!D6)/1200))</f>
        <v/>
      </c>
      <c r="O302" s="24">
        <f>IF(E302&lt;0.5,0,E302*(1+N('My Loans'!D7)/1200))</f>
        <v/>
      </c>
      <c r="P302" s="24">
        <f>IF(F302&lt;0.5,0,F302*(1+N('My Loans'!D8)/1200))</f>
        <v/>
      </c>
      <c r="Q302" s="24">
        <f>IF(G302&lt;0.5,0,G302*(1+N('My Loans'!D9)/1200))</f>
        <v/>
      </c>
      <c r="R302" s="24">
        <f>IF(H302&lt;0.5,0,H302*(1+N('My Loans'!D10)/1200))</f>
        <v/>
      </c>
      <c r="S302" s="24">
        <f>IF(I302&lt;0.5,0,I302*(1+N('My Loans'!D11)/1200))</f>
        <v/>
      </c>
      <c r="T302" s="24">
        <f>IF(J302&lt;0.5,0,J302*(1+N('My Loans'!D12)/1200))</f>
        <v/>
      </c>
      <c r="U302" s="24">
        <f>IF(K302&lt;0.5,0,K302*(1+N('My Loans'!D13)/1200))</f>
        <v/>
      </c>
      <c r="V302" s="24">
        <f>IF(L302&lt;0.5,0,L302*(1+N('My Loans'!D14)/1200))</f>
        <v/>
      </c>
      <c r="W302" s="24">
        <f>IF(M302&lt;0.5,0,M302*(1+N('My Loans'!D15)/1200))</f>
        <v/>
      </c>
      <c r="X302" s="24">
        <f>MIN(N302,N('My Loans'!E6))</f>
        <v/>
      </c>
      <c r="Y302" s="24">
        <f>MIN(O302,N('My Loans'!E7))</f>
        <v/>
      </c>
      <c r="Z302" s="24">
        <f>MIN(P302,N('My Loans'!E8))</f>
        <v/>
      </c>
      <c r="AA302" s="24">
        <f>MIN(Q302,N('My Loans'!E9))</f>
        <v/>
      </c>
      <c r="AB302" s="24">
        <f>MIN(R302,N('My Loans'!E10))</f>
        <v/>
      </c>
      <c r="AC302" s="24">
        <f>MIN(S302,N('My Loans'!E11))</f>
        <v/>
      </c>
      <c r="AD302" s="24">
        <f>MIN(T302,N('My Loans'!E12))</f>
        <v/>
      </c>
      <c r="AE302" s="24">
        <f>MIN(U302,N('My Loans'!E13))</f>
        <v/>
      </c>
      <c r="AF302" s="24">
        <f>MIN(V302,N('My Loans'!E14))</f>
        <v/>
      </c>
      <c r="AG302" s="24">
        <f>MIN(W302,N('My Loans'!E15))</f>
        <v/>
      </c>
      <c r="AH302" s="24">
        <f>MIN(N302-X302,MAX(0,$C302-SUMPRODUCT(($D$3:$M$3&lt;D$3)*($N302:$W302-$X302:$AG302))))</f>
        <v/>
      </c>
      <c r="AI302" s="24">
        <f>MIN(O302-Y302,MAX(0,$C302-SUMPRODUCT(($D$3:$M$3&lt;E$3)*($N302:$W302-$X302:$AG302))))</f>
        <v/>
      </c>
      <c r="AJ302" s="24">
        <f>MIN(P302-Z302,MAX(0,$C302-SUMPRODUCT(($D$3:$M$3&lt;F$3)*($N302:$W302-$X302:$AG302))))</f>
        <v/>
      </c>
      <c r="AK302" s="24">
        <f>MIN(Q302-AA302,MAX(0,$C302-SUMPRODUCT(($D$3:$M$3&lt;G$3)*($N302:$W302-$X302:$AG302))))</f>
        <v/>
      </c>
      <c r="AL302" s="24">
        <f>MIN(R302-AB302,MAX(0,$C302-SUMPRODUCT(($D$3:$M$3&lt;H$3)*($N302:$W302-$X302:$AG302))))</f>
        <v/>
      </c>
      <c r="AM302" s="24">
        <f>MIN(S302-AC302,MAX(0,$C302-SUMPRODUCT(($D$3:$M$3&lt;I$3)*($N302:$W302-$X302:$AG302))))</f>
        <v/>
      </c>
      <c r="AN302" s="24">
        <f>MIN(T302-AD302,MAX(0,$C302-SUMPRODUCT(($D$3:$M$3&lt;J$3)*($N302:$W302-$X302:$AG302))))</f>
        <v/>
      </c>
      <c r="AO302" s="24">
        <f>MIN(U302-AE302,MAX(0,$C302-SUMPRODUCT(($D$3:$M$3&lt;K$3)*($N302:$W302-$X302:$AG302))))</f>
        <v/>
      </c>
      <c r="AP302" s="24">
        <f>MIN(V302-AF302,MAX(0,$C302-SUMPRODUCT(($D$3:$M$3&lt;L$3)*($N302:$W302-$X302:$AG302))))</f>
        <v/>
      </c>
      <c r="AQ302" s="24">
        <f>MIN(W302-AG302,MAX(0,$C302-SUMPRODUCT(($D$3:$M$3&lt;M$3)*($N302:$W302-$X302:$AG302))))</f>
        <v/>
      </c>
      <c r="AR302" s="24">
        <f>ROUND(N302-X302-AH302,2)</f>
        <v/>
      </c>
      <c r="AS302" s="24">
        <f>ROUND(O302-Y302-AI302,2)</f>
        <v/>
      </c>
      <c r="AT302" s="24">
        <f>ROUND(P302-Z302-AJ302,2)</f>
        <v/>
      </c>
      <c r="AU302" s="24">
        <f>ROUND(Q302-AA302-AK302,2)</f>
        <v/>
      </c>
      <c r="AV302" s="24">
        <f>ROUND(R302-AB302-AL302,2)</f>
        <v/>
      </c>
      <c r="AW302" s="24">
        <f>ROUND(S302-AC302-AM302,2)</f>
        <v/>
      </c>
      <c r="AX302" s="24">
        <f>ROUND(T302-AD302-AN302,2)</f>
        <v/>
      </c>
      <c r="AY302" s="24">
        <f>ROUND(U302-AE302-AO302,2)</f>
        <v/>
      </c>
      <c r="AZ302" s="24">
        <f>ROUND(V302-AF302-AP302,2)</f>
        <v/>
      </c>
      <c r="BA302" s="24">
        <f>ROUND(W302-AG302-AQ302,2)</f>
        <v/>
      </c>
      <c r="BB302" s="24">
        <f>SUM(AR302:BA302)</f>
        <v/>
      </c>
    </row>
    <row r="303">
      <c r="A303" t="n">
        <v>299</v>
      </c>
      <c r="B303" s="23">
        <f>EOMONTH(TODAY(),298)</f>
        <v/>
      </c>
      <c r="C303" s="24">
        <f>MAX(0,(SUM('My Loans'!$E$6:$E$15)+'My Loans'!$D$3)-SUM($X303:$AG303))</f>
        <v/>
      </c>
      <c r="D303" s="24">
        <f>MAX(0,AR302)</f>
        <v/>
      </c>
      <c r="E303" s="24">
        <f>MAX(0,AS302)</f>
        <v/>
      </c>
      <c r="F303" s="24">
        <f>MAX(0,AT302)</f>
        <v/>
      </c>
      <c r="G303" s="24">
        <f>MAX(0,AU302)</f>
        <v/>
      </c>
      <c r="H303" s="24">
        <f>MAX(0,AV302)</f>
        <v/>
      </c>
      <c r="I303" s="24">
        <f>MAX(0,AW302)</f>
        <v/>
      </c>
      <c r="J303" s="24">
        <f>MAX(0,AX302)</f>
        <v/>
      </c>
      <c r="K303" s="24">
        <f>MAX(0,AY302)</f>
        <v/>
      </c>
      <c r="L303" s="24">
        <f>MAX(0,AZ302)</f>
        <v/>
      </c>
      <c r="M303" s="24">
        <f>MAX(0,BA302)</f>
        <v/>
      </c>
      <c r="N303" s="24">
        <f>IF(D303&lt;0.5,0,D303*(1+N('My Loans'!D6)/1200))</f>
        <v/>
      </c>
      <c r="O303" s="24">
        <f>IF(E303&lt;0.5,0,E303*(1+N('My Loans'!D7)/1200))</f>
        <v/>
      </c>
      <c r="P303" s="24">
        <f>IF(F303&lt;0.5,0,F303*(1+N('My Loans'!D8)/1200))</f>
        <v/>
      </c>
      <c r="Q303" s="24">
        <f>IF(G303&lt;0.5,0,G303*(1+N('My Loans'!D9)/1200))</f>
        <v/>
      </c>
      <c r="R303" s="24">
        <f>IF(H303&lt;0.5,0,H303*(1+N('My Loans'!D10)/1200))</f>
        <v/>
      </c>
      <c r="S303" s="24">
        <f>IF(I303&lt;0.5,0,I303*(1+N('My Loans'!D11)/1200))</f>
        <v/>
      </c>
      <c r="T303" s="24">
        <f>IF(J303&lt;0.5,0,J303*(1+N('My Loans'!D12)/1200))</f>
        <v/>
      </c>
      <c r="U303" s="24">
        <f>IF(K303&lt;0.5,0,K303*(1+N('My Loans'!D13)/1200))</f>
        <v/>
      </c>
      <c r="V303" s="24">
        <f>IF(L303&lt;0.5,0,L303*(1+N('My Loans'!D14)/1200))</f>
        <v/>
      </c>
      <c r="W303" s="24">
        <f>IF(M303&lt;0.5,0,M303*(1+N('My Loans'!D15)/1200))</f>
        <v/>
      </c>
      <c r="X303" s="24">
        <f>MIN(N303,N('My Loans'!E6))</f>
        <v/>
      </c>
      <c r="Y303" s="24">
        <f>MIN(O303,N('My Loans'!E7))</f>
        <v/>
      </c>
      <c r="Z303" s="24">
        <f>MIN(P303,N('My Loans'!E8))</f>
        <v/>
      </c>
      <c r="AA303" s="24">
        <f>MIN(Q303,N('My Loans'!E9))</f>
        <v/>
      </c>
      <c r="AB303" s="24">
        <f>MIN(R303,N('My Loans'!E10))</f>
        <v/>
      </c>
      <c r="AC303" s="24">
        <f>MIN(S303,N('My Loans'!E11))</f>
        <v/>
      </c>
      <c r="AD303" s="24">
        <f>MIN(T303,N('My Loans'!E12))</f>
        <v/>
      </c>
      <c r="AE303" s="24">
        <f>MIN(U303,N('My Loans'!E13))</f>
        <v/>
      </c>
      <c r="AF303" s="24">
        <f>MIN(V303,N('My Loans'!E14))</f>
        <v/>
      </c>
      <c r="AG303" s="24">
        <f>MIN(W303,N('My Loans'!E15))</f>
        <v/>
      </c>
      <c r="AH303" s="24">
        <f>MIN(N303-X303,MAX(0,$C303-SUMPRODUCT(($D$3:$M$3&lt;D$3)*($N303:$W303-$X303:$AG303))))</f>
        <v/>
      </c>
      <c r="AI303" s="24">
        <f>MIN(O303-Y303,MAX(0,$C303-SUMPRODUCT(($D$3:$M$3&lt;E$3)*($N303:$W303-$X303:$AG303))))</f>
        <v/>
      </c>
      <c r="AJ303" s="24">
        <f>MIN(P303-Z303,MAX(0,$C303-SUMPRODUCT(($D$3:$M$3&lt;F$3)*($N303:$W303-$X303:$AG303))))</f>
        <v/>
      </c>
      <c r="AK303" s="24">
        <f>MIN(Q303-AA303,MAX(0,$C303-SUMPRODUCT(($D$3:$M$3&lt;G$3)*($N303:$W303-$X303:$AG303))))</f>
        <v/>
      </c>
      <c r="AL303" s="24">
        <f>MIN(R303-AB303,MAX(0,$C303-SUMPRODUCT(($D$3:$M$3&lt;H$3)*($N303:$W303-$X303:$AG303))))</f>
        <v/>
      </c>
      <c r="AM303" s="24">
        <f>MIN(S303-AC303,MAX(0,$C303-SUMPRODUCT(($D$3:$M$3&lt;I$3)*($N303:$W303-$X303:$AG303))))</f>
        <v/>
      </c>
      <c r="AN303" s="24">
        <f>MIN(T303-AD303,MAX(0,$C303-SUMPRODUCT(($D$3:$M$3&lt;J$3)*($N303:$W303-$X303:$AG303))))</f>
        <v/>
      </c>
      <c r="AO303" s="24">
        <f>MIN(U303-AE303,MAX(0,$C303-SUMPRODUCT(($D$3:$M$3&lt;K$3)*($N303:$W303-$X303:$AG303))))</f>
        <v/>
      </c>
      <c r="AP303" s="24">
        <f>MIN(V303-AF303,MAX(0,$C303-SUMPRODUCT(($D$3:$M$3&lt;L$3)*($N303:$W303-$X303:$AG303))))</f>
        <v/>
      </c>
      <c r="AQ303" s="24">
        <f>MIN(W303-AG303,MAX(0,$C303-SUMPRODUCT(($D$3:$M$3&lt;M$3)*($N303:$W303-$X303:$AG303))))</f>
        <v/>
      </c>
      <c r="AR303" s="24">
        <f>ROUND(N303-X303-AH303,2)</f>
        <v/>
      </c>
      <c r="AS303" s="24">
        <f>ROUND(O303-Y303-AI303,2)</f>
        <v/>
      </c>
      <c r="AT303" s="24">
        <f>ROUND(P303-Z303-AJ303,2)</f>
        <v/>
      </c>
      <c r="AU303" s="24">
        <f>ROUND(Q303-AA303-AK303,2)</f>
        <v/>
      </c>
      <c r="AV303" s="24">
        <f>ROUND(R303-AB303-AL303,2)</f>
        <v/>
      </c>
      <c r="AW303" s="24">
        <f>ROUND(S303-AC303-AM303,2)</f>
        <v/>
      </c>
      <c r="AX303" s="24">
        <f>ROUND(T303-AD303-AN303,2)</f>
        <v/>
      </c>
      <c r="AY303" s="24">
        <f>ROUND(U303-AE303-AO303,2)</f>
        <v/>
      </c>
      <c r="AZ303" s="24">
        <f>ROUND(V303-AF303-AP303,2)</f>
        <v/>
      </c>
      <c r="BA303" s="24">
        <f>ROUND(W303-AG303-AQ303,2)</f>
        <v/>
      </c>
      <c r="BB303" s="24">
        <f>SUM(AR303:BA303)</f>
        <v/>
      </c>
    </row>
    <row r="304">
      <c r="A304" t="n">
        <v>300</v>
      </c>
      <c r="B304" s="23">
        <f>EOMONTH(TODAY(),299)</f>
        <v/>
      </c>
      <c r="C304" s="24">
        <f>MAX(0,(SUM('My Loans'!$E$6:$E$15)+'My Loans'!$D$3)-SUM($X304:$AG304))</f>
        <v/>
      </c>
      <c r="D304" s="24">
        <f>MAX(0,AR303)</f>
        <v/>
      </c>
      <c r="E304" s="24">
        <f>MAX(0,AS303)</f>
        <v/>
      </c>
      <c r="F304" s="24">
        <f>MAX(0,AT303)</f>
        <v/>
      </c>
      <c r="G304" s="24">
        <f>MAX(0,AU303)</f>
        <v/>
      </c>
      <c r="H304" s="24">
        <f>MAX(0,AV303)</f>
        <v/>
      </c>
      <c r="I304" s="24">
        <f>MAX(0,AW303)</f>
        <v/>
      </c>
      <c r="J304" s="24">
        <f>MAX(0,AX303)</f>
        <v/>
      </c>
      <c r="K304" s="24">
        <f>MAX(0,AY303)</f>
        <v/>
      </c>
      <c r="L304" s="24">
        <f>MAX(0,AZ303)</f>
        <v/>
      </c>
      <c r="M304" s="24">
        <f>MAX(0,BA303)</f>
        <v/>
      </c>
      <c r="N304" s="24">
        <f>IF(D304&lt;0.5,0,D304*(1+N('My Loans'!D6)/1200))</f>
        <v/>
      </c>
      <c r="O304" s="24">
        <f>IF(E304&lt;0.5,0,E304*(1+N('My Loans'!D7)/1200))</f>
        <v/>
      </c>
      <c r="P304" s="24">
        <f>IF(F304&lt;0.5,0,F304*(1+N('My Loans'!D8)/1200))</f>
        <v/>
      </c>
      <c r="Q304" s="24">
        <f>IF(G304&lt;0.5,0,G304*(1+N('My Loans'!D9)/1200))</f>
        <v/>
      </c>
      <c r="R304" s="24">
        <f>IF(H304&lt;0.5,0,H304*(1+N('My Loans'!D10)/1200))</f>
        <v/>
      </c>
      <c r="S304" s="24">
        <f>IF(I304&lt;0.5,0,I304*(1+N('My Loans'!D11)/1200))</f>
        <v/>
      </c>
      <c r="T304" s="24">
        <f>IF(J304&lt;0.5,0,J304*(1+N('My Loans'!D12)/1200))</f>
        <v/>
      </c>
      <c r="U304" s="24">
        <f>IF(K304&lt;0.5,0,K304*(1+N('My Loans'!D13)/1200))</f>
        <v/>
      </c>
      <c r="V304" s="24">
        <f>IF(L304&lt;0.5,0,L304*(1+N('My Loans'!D14)/1200))</f>
        <v/>
      </c>
      <c r="W304" s="24">
        <f>IF(M304&lt;0.5,0,M304*(1+N('My Loans'!D15)/1200))</f>
        <v/>
      </c>
      <c r="X304" s="24">
        <f>MIN(N304,N('My Loans'!E6))</f>
        <v/>
      </c>
      <c r="Y304" s="24">
        <f>MIN(O304,N('My Loans'!E7))</f>
        <v/>
      </c>
      <c r="Z304" s="24">
        <f>MIN(P304,N('My Loans'!E8))</f>
        <v/>
      </c>
      <c r="AA304" s="24">
        <f>MIN(Q304,N('My Loans'!E9))</f>
        <v/>
      </c>
      <c r="AB304" s="24">
        <f>MIN(R304,N('My Loans'!E10))</f>
        <v/>
      </c>
      <c r="AC304" s="24">
        <f>MIN(S304,N('My Loans'!E11))</f>
        <v/>
      </c>
      <c r="AD304" s="24">
        <f>MIN(T304,N('My Loans'!E12))</f>
        <v/>
      </c>
      <c r="AE304" s="24">
        <f>MIN(U304,N('My Loans'!E13))</f>
        <v/>
      </c>
      <c r="AF304" s="24">
        <f>MIN(V304,N('My Loans'!E14))</f>
        <v/>
      </c>
      <c r="AG304" s="24">
        <f>MIN(W304,N('My Loans'!E15))</f>
        <v/>
      </c>
      <c r="AH304" s="24">
        <f>MIN(N304-X304,MAX(0,$C304-SUMPRODUCT(($D$3:$M$3&lt;D$3)*($N304:$W304-$X304:$AG304))))</f>
        <v/>
      </c>
      <c r="AI304" s="24">
        <f>MIN(O304-Y304,MAX(0,$C304-SUMPRODUCT(($D$3:$M$3&lt;E$3)*($N304:$W304-$X304:$AG304))))</f>
        <v/>
      </c>
      <c r="AJ304" s="24">
        <f>MIN(P304-Z304,MAX(0,$C304-SUMPRODUCT(($D$3:$M$3&lt;F$3)*($N304:$W304-$X304:$AG304))))</f>
        <v/>
      </c>
      <c r="AK304" s="24">
        <f>MIN(Q304-AA304,MAX(0,$C304-SUMPRODUCT(($D$3:$M$3&lt;G$3)*($N304:$W304-$X304:$AG304))))</f>
        <v/>
      </c>
      <c r="AL304" s="24">
        <f>MIN(R304-AB304,MAX(0,$C304-SUMPRODUCT(($D$3:$M$3&lt;H$3)*($N304:$W304-$X304:$AG304))))</f>
        <v/>
      </c>
      <c r="AM304" s="24">
        <f>MIN(S304-AC304,MAX(0,$C304-SUMPRODUCT(($D$3:$M$3&lt;I$3)*($N304:$W304-$X304:$AG304))))</f>
        <v/>
      </c>
      <c r="AN304" s="24">
        <f>MIN(T304-AD304,MAX(0,$C304-SUMPRODUCT(($D$3:$M$3&lt;J$3)*($N304:$W304-$X304:$AG304))))</f>
        <v/>
      </c>
      <c r="AO304" s="24">
        <f>MIN(U304-AE304,MAX(0,$C304-SUMPRODUCT(($D$3:$M$3&lt;K$3)*($N304:$W304-$X304:$AG304))))</f>
        <v/>
      </c>
      <c r="AP304" s="24">
        <f>MIN(V304-AF304,MAX(0,$C304-SUMPRODUCT(($D$3:$M$3&lt;L$3)*($N304:$W304-$X304:$AG304))))</f>
        <v/>
      </c>
      <c r="AQ304" s="24">
        <f>MIN(W304-AG304,MAX(0,$C304-SUMPRODUCT(($D$3:$M$3&lt;M$3)*($N304:$W304-$X304:$AG304))))</f>
        <v/>
      </c>
      <c r="AR304" s="24">
        <f>ROUND(N304-X304-AH304,2)</f>
        <v/>
      </c>
      <c r="AS304" s="24">
        <f>ROUND(O304-Y304-AI304,2)</f>
        <v/>
      </c>
      <c r="AT304" s="24">
        <f>ROUND(P304-Z304-AJ304,2)</f>
        <v/>
      </c>
      <c r="AU304" s="24">
        <f>ROUND(Q304-AA304-AK304,2)</f>
        <v/>
      </c>
      <c r="AV304" s="24">
        <f>ROUND(R304-AB304-AL304,2)</f>
        <v/>
      </c>
      <c r="AW304" s="24">
        <f>ROUND(S304-AC304-AM304,2)</f>
        <v/>
      </c>
      <c r="AX304" s="24">
        <f>ROUND(T304-AD304-AN304,2)</f>
        <v/>
      </c>
      <c r="AY304" s="24">
        <f>ROUND(U304-AE304-AO304,2)</f>
        <v/>
      </c>
      <c r="AZ304" s="24">
        <f>ROUND(V304-AF304-AP304,2)</f>
        <v/>
      </c>
      <c r="BA304" s="24">
        <f>ROUND(W304-AG304-AQ304,2)</f>
        <v/>
      </c>
      <c r="BB304" s="24">
        <f>SUM(AR304:BA304)</f>
        <v/>
      </c>
    </row>
    <row r="305">
      <c r="A305" t="n">
        <v>301</v>
      </c>
      <c r="B305" s="23">
        <f>EOMONTH(TODAY(),300)</f>
        <v/>
      </c>
      <c r="C305" s="24">
        <f>MAX(0,(SUM('My Loans'!$E$6:$E$15)+'My Loans'!$D$3)-SUM($X305:$AG305))</f>
        <v/>
      </c>
      <c r="D305" s="24">
        <f>MAX(0,AR304)</f>
        <v/>
      </c>
      <c r="E305" s="24">
        <f>MAX(0,AS304)</f>
        <v/>
      </c>
      <c r="F305" s="24">
        <f>MAX(0,AT304)</f>
        <v/>
      </c>
      <c r="G305" s="24">
        <f>MAX(0,AU304)</f>
        <v/>
      </c>
      <c r="H305" s="24">
        <f>MAX(0,AV304)</f>
        <v/>
      </c>
      <c r="I305" s="24">
        <f>MAX(0,AW304)</f>
        <v/>
      </c>
      <c r="J305" s="24">
        <f>MAX(0,AX304)</f>
        <v/>
      </c>
      <c r="K305" s="24">
        <f>MAX(0,AY304)</f>
        <v/>
      </c>
      <c r="L305" s="24">
        <f>MAX(0,AZ304)</f>
        <v/>
      </c>
      <c r="M305" s="24">
        <f>MAX(0,BA304)</f>
        <v/>
      </c>
      <c r="N305" s="24">
        <f>IF(D305&lt;0.5,0,D305*(1+N('My Loans'!D6)/1200))</f>
        <v/>
      </c>
      <c r="O305" s="24">
        <f>IF(E305&lt;0.5,0,E305*(1+N('My Loans'!D7)/1200))</f>
        <v/>
      </c>
      <c r="P305" s="24">
        <f>IF(F305&lt;0.5,0,F305*(1+N('My Loans'!D8)/1200))</f>
        <v/>
      </c>
      <c r="Q305" s="24">
        <f>IF(G305&lt;0.5,0,G305*(1+N('My Loans'!D9)/1200))</f>
        <v/>
      </c>
      <c r="R305" s="24">
        <f>IF(H305&lt;0.5,0,H305*(1+N('My Loans'!D10)/1200))</f>
        <v/>
      </c>
      <c r="S305" s="24">
        <f>IF(I305&lt;0.5,0,I305*(1+N('My Loans'!D11)/1200))</f>
        <v/>
      </c>
      <c r="T305" s="24">
        <f>IF(J305&lt;0.5,0,J305*(1+N('My Loans'!D12)/1200))</f>
        <v/>
      </c>
      <c r="U305" s="24">
        <f>IF(K305&lt;0.5,0,K305*(1+N('My Loans'!D13)/1200))</f>
        <v/>
      </c>
      <c r="V305" s="24">
        <f>IF(L305&lt;0.5,0,L305*(1+N('My Loans'!D14)/1200))</f>
        <v/>
      </c>
      <c r="W305" s="24">
        <f>IF(M305&lt;0.5,0,M305*(1+N('My Loans'!D15)/1200))</f>
        <v/>
      </c>
      <c r="X305" s="24">
        <f>MIN(N305,N('My Loans'!E6))</f>
        <v/>
      </c>
      <c r="Y305" s="24">
        <f>MIN(O305,N('My Loans'!E7))</f>
        <v/>
      </c>
      <c r="Z305" s="24">
        <f>MIN(P305,N('My Loans'!E8))</f>
        <v/>
      </c>
      <c r="AA305" s="24">
        <f>MIN(Q305,N('My Loans'!E9))</f>
        <v/>
      </c>
      <c r="AB305" s="24">
        <f>MIN(R305,N('My Loans'!E10))</f>
        <v/>
      </c>
      <c r="AC305" s="24">
        <f>MIN(S305,N('My Loans'!E11))</f>
        <v/>
      </c>
      <c r="AD305" s="24">
        <f>MIN(T305,N('My Loans'!E12))</f>
        <v/>
      </c>
      <c r="AE305" s="24">
        <f>MIN(U305,N('My Loans'!E13))</f>
        <v/>
      </c>
      <c r="AF305" s="24">
        <f>MIN(V305,N('My Loans'!E14))</f>
        <v/>
      </c>
      <c r="AG305" s="24">
        <f>MIN(W305,N('My Loans'!E15))</f>
        <v/>
      </c>
      <c r="AH305" s="24">
        <f>MIN(N305-X305,MAX(0,$C305-SUMPRODUCT(($D$3:$M$3&lt;D$3)*($N305:$W305-$X305:$AG305))))</f>
        <v/>
      </c>
      <c r="AI305" s="24">
        <f>MIN(O305-Y305,MAX(0,$C305-SUMPRODUCT(($D$3:$M$3&lt;E$3)*($N305:$W305-$X305:$AG305))))</f>
        <v/>
      </c>
      <c r="AJ305" s="24">
        <f>MIN(P305-Z305,MAX(0,$C305-SUMPRODUCT(($D$3:$M$3&lt;F$3)*($N305:$W305-$X305:$AG305))))</f>
        <v/>
      </c>
      <c r="AK305" s="24">
        <f>MIN(Q305-AA305,MAX(0,$C305-SUMPRODUCT(($D$3:$M$3&lt;G$3)*($N305:$W305-$X305:$AG305))))</f>
        <v/>
      </c>
      <c r="AL305" s="24">
        <f>MIN(R305-AB305,MAX(0,$C305-SUMPRODUCT(($D$3:$M$3&lt;H$3)*($N305:$W305-$X305:$AG305))))</f>
        <v/>
      </c>
      <c r="AM305" s="24">
        <f>MIN(S305-AC305,MAX(0,$C305-SUMPRODUCT(($D$3:$M$3&lt;I$3)*($N305:$W305-$X305:$AG305))))</f>
        <v/>
      </c>
      <c r="AN305" s="24">
        <f>MIN(T305-AD305,MAX(0,$C305-SUMPRODUCT(($D$3:$M$3&lt;J$3)*($N305:$W305-$X305:$AG305))))</f>
        <v/>
      </c>
      <c r="AO305" s="24">
        <f>MIN(U305-AE305,MAX(0,$C305-SUMPRODUCT(($D$3:$M$3&lt;K$3)*($N305:$W305-$X305:$AG305))))</f>
        <v/>
      </c>
      <c r="AP305" s="24">
        <f>MIN(V305-AF305,MAX(0,$C305-SUMPRODUCT(($D$3:$M$3&lt;L$3)*($N305:$W305-$X305:$AG305))))</f>
        <v/>
      </c>
      <c r="AQ305" s="24">
        <f>MIN(W305-AG305,MAX(0,$C305-SUMPRODUCT(($D$3:$M$3&lt;M$3)*($N305:$W305-$X305:$AG305))))</f>
        <v/>
      </c>
      <c r="AR305" s="24">
        <f>ROUND(N305-X305-AH305,2)</f>
        <v/>
      </c>
      <c r="AS305" s="24">
        <f>ROUND(O305-Y305-AI305,2)</f>
        <v/>
      </c>
      <c r="AT305" s="24">
        <f>ROUND(P305-Z305-AJ305,2)</f>
        <v/>
      </c>
      <c r="AU305" s="24">
        <f>ROUND(Q305-AA305-AK305,2)</f>
        <v/>
      </c>
      <c r="AV305" s="24">
        <f>ROUND(R305-AB305-AL305,2)</f>
        <v/>
      </c>
      <c r="AW305" s="24">
        <f>ROUND(S305-AC305-AM305,2)</f>
        <v/>
      </c>
      <c r="AX305" s="24">
        <f>ROUND(T305-AD305-AN305,2)</f>
        <v/>
      </c>
      <c r="AY305" s="24">
        <f>ROUND(U305-AE305-AO305,2)</f>
        <v/>
      </c>
      <c r="AZ305" s="24">
        <f>ROUND(V305-AF305-AP305,2)</f>
        <v/>
      </c>
      <c r="BA305" s="24">
        <f>ROUND(W305-AG305-AQ305,2)</f>
        <v/>
      </c>
      <c r="BB305" s="24">
        <f>SUM(AR305:BA305)</f>
        <v/>
      </c>
    </row>
    <row r="306">
      <c r="A306" t="n">
        <v>302</v>
      </c>
      <c r="B306" s="23">
        <f>EOMONTH(TODAY(),301)</f>
        <v/>
      </c>
      <c r="C306" s="24">
        <f>MAX(0,(SUM('My Loans'!$E$6:$E$15)+'My Loans'!$D$3)-SUM($X306:$AG306))</f>
        <v/>
      </c>
      <c r="D306" s="24">
        <f>MAX(0,AR305)</f>
        <v/>
      </c>
      <c r="E306" s="24">
        <f>MAX(0,AS305)</f>
        <v/>
      </c>
      <c r="F306" s="24">
        <f>MAX(0,AT305)</f>
        <v/>
      </c>
      <c r="G306" s="24">
        <f>MAX(0,AU305)</f>
        <v/>
      </c>
      <c r="H306" s="24">
        <f>MAX(0,AV305)</f>
        <v/>
      </c>
      <c r="I306" s="24">
        <f>MAX(0,AW305)</f>
        <v/>
      </c>
      <c r="J306" s="24">
        <f>MAX(0,AX305)</f>
        <v/>
      </c>
      <c r="K306" s="24">
        <f>MAX(0,AY305)</f>
        <v/>
      </c>
      <c r="L306" s="24">
        <f>MAX(0,AZ305)</f>
        <v/>
      </c>
      <c r="M306" s="24">
        <f>MAX(0,BA305)</f>
        <v/>
      </c>
      <c r="N306" s="24">
        <f>IF(D306&lt;0.5,0,D306*(1+N('My Loans'!D6)/1200))</f>
        <v/>
      </c>
      <c r="O306" s="24">
        <f>IF(E306&lt;0.5,0,E306*(1+N('My Loans'!D7)/1200))</f>
        <v/>
      </c>
      <c r="P306" s="24">
        <f>IF(F306&lt;0.5,0,F306*(1+N('My Loans'!D8)/1200))</f>
        <v/>
      </c>
      <c r="Q306" s="24">
        <f>IF(G306&lt;0.5,0,G306*(1+N('My Loans'!D9)/1200))</f>
        <v/>
      </c>
      <c r="R306" s="24">
        <f>IF(H306&lt;0.5,0,H306*(1+N('My Loans'!D10)/1200))</f>
        <v/>
      </c>
      <c r="S306" s="24">
        <f>IF(I306&lt;0.5,0,I306*(1+N('My Loans'!D11)/1200))</f>
        <v/>
      </c>
      <c r="T306" s="24">
        <f>IF(J306&lt;0.5,0,J306*(1+N('My Loans'!D12)/1200))</f>
        <v/>
      </c>
      <c r="U306" s="24">
        <f>IF(K306&lt;0.5,0,K306*(1+N('My Loans'!D13)/1200))</f>
        <v/>
      </c>
      <c r="V306" s="24">
        <f>IF(L306&lt;0.5,0,L306*(1+N('My Loans'!D14)/1200))</f>
        <v/>
      </c>
      <c r="W306" s="24">
        <f>IF(M306&lt;0.5,0,M306*(1+N('My Loans'!D15)/1200))</f>
        <v/>
      </c>
      <c r="X306" s="24">
        <f>MIN(N306,N('My Loans'!E6))</f>
        <v/>
      </c>
      <c r="Y306" s="24">
        <f>MIN(O306,N('My Loans'!E7))</f>
        <v/>
      </c>
      <c r="Z306" s="24">
        <f>MIN(P306,N('My Loans'!E8))</f>
        <v/>
      </c>
      <c r="AA306" s="24">
        <f>MIN(Q306,N('My Loans'!E9))</f>
        <v/>
      </c>
      <c r="AB306" s="24">
        <f>MIN(R306,N('My Loans'!E10))</f>
        <v/>
      </c>
      <c r="AC306" s="24">
        <f>MIN(S306,N('My Loans'!E11))</f>
        <v/>
      </c>
      <c r="AD306" s="24">
        <f>MIN(T306,N('My Loans'!E12))</f>
        <v/>
      </c>
      <c r="AE306" s="24">
        <f>MIN(U306,N('My Loans'!E13))</f>
        <v/>
      </c>
      <c r="AF306" s="24">
        <f>MIN(V306,N('My Loans'!E14))</f>
        <v/>
      </c>
      <c r="AG306" s="24">
        <f>MIN(W306,N('My Loans'!E15))</f>
        <v/>
      </c>
      <c r="AH306" s="24">
        <f>MIN(N306-X306,MAX(0,$C306-SUMPRODUCT(($D$3:$M$3&lt;D$3)*($N306:$W306-$X306:$AG306))))</f>
        <v/>
      </c>
      <c r="AI306" s="24">
        <f>MIN(O306-Y306,MAX(0,$C306-SUMPRODUCT(($D$3:$M$3&lt;E$3)*($N306:$W306-$X306:$AG306))))</f>
        <v/>
      </c>
      <c r="AJ306" s="24">
        <f>MIN(P306-Z306,MAX(0,$C306-SUMPRODUCT(($D$3:$M$3&lt;F$3)*($N306:$W306-$X306:$AG306))))</f>
        <v/>
      </c>
      <c r="AK306" s="24">
        <f>MIN(Q306-AA306,MAX(0,$C306-SUMPRODUCT(($D$3:$M$3&lt;G$3)*($N306:$W306-$X306:$AG306))))</f>
        <v/>
      </c>
      <c r="AL306" s="24">
        <f>MIN(R306-AB306,MAX(0,$C306-SUMPRODUCT(($D$3:$M$3&lt;H$3)*($N306:$W306-$X306:$AG306))))</f>
        <v/>
      </c>
      <c r="AM306" s="24">
        <f>MIN(S306-AC306,MAX(0,$C306-SUMPRODUCT(($D$3:$M$3&lt;I$3)*($N306:$W306-$X306:$AG306))))</f>
        <v/>
      </c>
      <c r="AN306" s="24">
        <f>MIN(T306-AD306,MAX(0,$C306-SUMPRODUCT(($D$3:$M$3&lt;J$3)*($N306:$W306-$X306:$AG306))))</f>
        <v/>
      </c>
      <c r="AO306" s="24">
        <f>MIN(U306-AE306,MAX(0,$C306-SUMPRODUCT(($D$3:$M$3&lt;K$3)*($N306:$W306-$X306:$AG306))))</f>
        <v/>
      </c>
      <c r="AP306" s="24">
        <f>MIN(V306-AF306,MAX(0,$C306-SUMPRODUCT(($D$3:$M$3&lt;L$3)*($N306:$W306-$X306:$AG306))))</f>
        <v/>
      </c>
      <c r="AQ306" s="24">
        <f>MIN(W306-AG306,MAX(0,$C306-SUMPRODUCT(($D$3:$M$3&lt;M$3)*($N306:$W306-$X306:$AG306))))</f>
        <v/>
      </c>
      <c r="AR306" s="24">
        <f>ROUND(N306-X306-AH306,2)</f>
        <v/>
      </c>
      <c r="AS306" s="24">
        <f>ROUND(O306-Y306-AI306,2)</f>
        <v/>
      </c>
      <c r="AT306" s="24">
        <f>ROUND(P306-Z306-AJ306,2)</f>
        <v/>
      </c>
      <c r="AU306" s="24">
        <f>ROUND(Q306-AA306-AK306,2)</f>
        <v/>
      </c>
      <c r="AV306" s="24">
        <f>ROUND(R306-AB306-AL306,2)</f>
        <v/>
      </c>
      <c r="AW306" s="24">
        <f>ROUND(S306-AC306-AM306,2)</f>
        <v/>
      </c>
      <c r="AX306" s="24">
        <f>ROUND(T306-AD306-AN306,2)</f>
        <v/>
      </c>
      <c r="AY306" s="24">
        <f>ROUND(U306-AE306-AO306,2)</f>
        <v/>
      </c>
      <c r="AZ306" s="24">
        <f>ROUND(V306-AF306-AP306,2)</f>
        <v/>
      </c>
      <c r="BA306" s="24">
        <f>ROUND(W306-AG306-AQ306,2)</f>
        <v/>
      </c>
      <c r="BB306" s="24">
        <f>SUM(AR306:BA306)</f>
        <v/>
      </c>
    </row>
    <row r="307">
      <c r="A307" t="n">
        <v>303</v>
      </c>
      <c r="B307" s="23">
        <f>EOMONTH(TODAY(),302)</f>
        <v/>
      </c>
      <c r="C307" s="24">
        <f>MAX(0,(SUM('My Loans'!$E$6:$E$15)+'My Loans'!$D$3)-SUM($X307:$AG307))</f>
        <v/>
      </c>
      <c r="D307" s="24">
        <f>MAX(0,AR306)</f>
        <v/>
      </c>
      <c r="E307" s="24">
        <f>MAX(0,AS306)</f>
        <v/>
      </c>
      <c r="F307" s="24">
        <f>MAX(0,AT306)</f>
        <v/>
      </c>
      <c r="G307" s="24">
        <f>MAX(0,AU306)</f>
        <v/>
      </c>
      <c r="H307" s="24">
        <f>MAX(0,AV306)</f>
        <v/>
      </c>
      <c r="I307" s="24">
        <f>MAX(0,AW306)</f>
        <v/>
      </c>
      <c r="J307" s="24">
        <f>MAX(0,AX306)</f>
        <v/>
      </c>
      <c r="K307" s="24">
        <f>MAX(0,AY306)</f>
        <v/>
      </c>
      <c r="L307" s="24">
        <f>MAX(0,AZ306)</f>
        <v/>
      </c>
      <c r="M307" s="24">
        <f>MAX(0,BA306)</f>
        <v/>
      </c>
      <c r="N307" s="24">
        <f>IF(D307&lt;0.5,0,D307*(1+N('My Loans'!D6)/1200))</f>
        <v/>
      </c>
      <c r="O307" s="24">
        <f>IF(E307&lt;0.5,0,E307*(1+N('My Loans'!D7)/1200))</f>
        <v/>
      </c>
      <c r="P307" s="24">
        <f>IF(F307&lt;0.5,0,F307*(1+N('My Loans'!D8)/1200))</f>
        <v/>
      </c>
      <c r="Q307" s="24">
        <f>IF(G307&lt;0.5,0,G307*(1+N('My Loans'!D9)/1200))</f>
        <v/>
      </c>
      <c r="R307" s="24">
        <f>IF(H307&lt;0.5,0,H307*(1+N('My Loans'!D10)/1200))</f>
        <v/>
      </c>
      <c r="S307" s="24">
        <f>IF(I307&lt;0.5,0,I307*(1+N('My Loans'!D11)/1200))</f>
        <v/>
      </c>
      <c r="T307" s="24">
        <f>IF(J307&lt;0.5,0,J307*(1+N('My Loans'!D12)/1200))</f>
        <v/>
      </c>
      <c r="U307" s="24">
        <f>IF(K307&lt;0.5,0,K307*(1+N('My Loans'!D13)/1200))</f>
        <v/>
      </c>
      <c r="V307" s="24">
        <f>IF(L307&lt;0.5,0,L307*(1+N('My Loans'!D14)/1200))</f>
        <v/>
      </c>
      <c r="W307" s="24">
        <f>IF(M307&lt;0.5,0,M307*(1+N('My Loans'!D15)/1200))</f>
        <v/>
      </c>
      <c r="X307" s="24">
        <f>MIN(N307,N('My Loans'!E6))</f>
        <v/>
      </c>
      <c r="Y307" s="24">
        <f>MIN(O307,N('My Loans'!E7))</f>
        <v/>
      </c>
      <c r="Z307" s="24">
        <f>MIN(P307,N('My Loans'!E8))</f>
        <v/>
      </c>
      <c r="AA307" s="24">
        <f>MIN(Q307,N('My Loans'!E9))</f>
        <v/>
      </c>
      <c r="AB307" s="24">
        <f>MIN(R307,N('My Loans'!E10))</f>
        <v/>
      </c>
      <c r="AC307" s="24">
        <f>MIN(S307,N('My Loans'!E11))</f>
        <v/>
      </c>
      <c r="AD307" s="24">
        <f>MIN(T307,N('My Loans'!E12))</f>
        <v/>
      </c>
      <c r="AE307" s="24">
        <f>MIN(U307,N('My Loans'!E13))</f>
        <v/>
      </c>
      <c r="AF307" s="24">
        <f>MIN(V307,N('My Loans'!E14))</f>
        <v/>
      </c>
      <c r="AG307" s="24">
        <f>MIN(W307,N('My Loans'!E15))</f>
        <v/>
      </c>
      <c r="AH307" s="24">
        <f>MIN(N307-X307,MAX(0,$C307-SUMPRODUCT(($D$3:$M$3&lt;D$3)*($N307:$W307-$X307:$AG307))))</f>
        <v/>
      </c>
      <c r="AI307" s="24">
        <f>MIN(O307-Y307,MAX(0,$C307-SUMPRODUCT(($D$3:$M$3&lt;E$3)*($N307:$W307-$X307:$AG307))))</f>
        <v/>
      </c>
      <c r="AJ307" s="24">
        <f>MIN(P307-Z307,MAX(0,$C307-SUMPRODUCT(($D$3:$M$3&lt;F$3)*($N307:$W307-$X307:$AG307))))</f>
        <v/>
      </c>
      <c r="AK307" s="24">
        <f>MIN(Q307-AA307,MAX(0,$C307-SUMPRODUCT(($D$3:$M$3&lt;G$3)*($N307:$W307-$X307:$AG307))))</f>
        <v/>
      </c>
      <c r="AL307" s="24">
        <f>MIN(R307-AB307,MAX(0,$C307-SUMPRODUCT(($D$3:$M$3&lt;H$3)*($N307:$W307-$X307:$AG307))))</f>
        <v/>
      </c>
      <c r="AM307" s="24">
        <f>MIN(S307-AC307,MAX(0,$C307-SUMPRODUCT(($D$3:$M$3&lt;I$3)*($N307:$W307-$X307:$AG307))))</f>
        <v/>
      </c>
      <c r="AN307" s="24">
        <f>MIN(T307-AD307,MAX(0,$C307-SUMPRODUCT(($D$3:$M$3&lt;J$3)*($N307:$W307-$X307:$AG307))))</f>
        <v/>
      </c>
      <c r="AO307" s="24">
        <f>MIN(U307-AE307,MAX(0,$C307-SUMPRODUCT(($D$3:$M$3&lt;K$3)*($N307:$W307-$X307:$AG307))))</f>
        <v/>
      </c>
      <c r="AP307" s="24">
        <f>MIN(V307-AF307,MAX(0,$C307-SUMPRODUCT(($D$3:$M$3&lt;L$3)*($N307:$W307-$X307:$AG307))))</f>
        <v/>
      </c>
      <c r="AQ307" s="24">
        <f>MIN(W307-AG307,MAX(0,$C307-SUMPRODUCT(($D$3:$M$3&lt;M$3)*($N307:$W307-$X307:$AG307))))</f>
        <v/>
      </c>
      <c r="AR307" s="24">
        <f>ROUND(N307-X307-AH307,2)</f>
        <v/>
      </c>
      <c r="AS307" s="24">
        <f>ROUND(O307-Y307-AI307,2)</f>
        <v/>
      </c>
      <c r="AT307" s="24">
        <f>ROUND(P307-Z307-AJ307,2)</f>
        <v/>
      </c>
      <c r="AU307" s="24">
        <f>ROUND(Q307-AA307-AK307,2)</f>
        <v/>
      </c>
      <c r="AV307" s="24">
        <f>ROUND(R307-AB307-AL307,2)</f>
        <v/>
      </c>
      <c r="AW307" s="24">
        <f>ROUND(S307-AC307-AM307,2)</f>
        <v/>
      </c>
      <c r="AX307" s="24">
        <f>ROUND(T307-AD307-AN307,2)</f>
        <v/>
      </c>
      <c r="AY307" s="24">
        <f>ROUND(U307-AE307-AO307,2)</f>
        <v/>
      </c>
      <c r="AZ307" s="24">
        <f>ROUND(V307-AF307-AP307,2)</f>
        <v/>
      </c>
      <c r="BA307" s="24">
        <f>ROUND(W307-AG307-AQ307,2)</f>
        <v/>
      </c>
      <c r="BB307" s="24">
        <f>SUM(AR307:BA307)</f>
        <v/>
      </c>
    </row>
    <row r="308">
      <c r="A308" t="n">
        <v>304</v>
      </c>
      <c r="B308" s="23">
        <f>EOMONTH(TODAY(),303)</f>
        <v/>
      </c>
      <c r="C308" s="24">
        <f>MAX(0,(SUM('My Loans'!$E$6:$E$15)+'My Loans'!$D$3)-SUM($X308:$AG308))</f>
        <v/>
      </c>
      <c r="D308" s="24">
        <f>MAX(0,AR307)</f>
        <v/>
      </c>
      <c r="E308" s="24">
        <f>MAX(0,AS307)</f>
        <v/>
      </c>
      <c r="F308" s="24">
        <f>MAX(0,AT307)</f>
        <v/>
      </c>
      <c r="G308" s="24">
        <f>MAX(0,AU307)</f>
        <v/>
      </c>
      <c r="H308" s="24">
        <f>MAX(0,AV307)</f>
        <v/>
      </c>
      <c r="I308" s="24">
        <f>MAX(0,AW307)</f>
        <v/>
      </c>
      <c r="J308" s="24">
        <f>MAX(0,AX307)</f>
        <v/>
      </c>
      <c r="K308" s="24">
        <f>MAX(0,AY307)</f>
        <v/>
      </c>
      <c r="L308" s="24">
        <f>MAX(0,AZ307)</f>
        <v/>
      </c>
      <c r="M308" s="24">
        <f>MAX(0,BA307)</f>
        <v/>
      </c>
      <c r="N308" s="24">
        <f>IF(D308&lt;0.5,0,D308*(1+N('My Loans'!D6)/1200))</f>
        <v/>
      </c>
      <c r="O308" s="24">
        <f>IF(E308&lt;0.5,0,E308*(1+N('My Loans'!D7)/1200))</f>
        <v/>
      </c>
      <c r="P308" s="24">
        <f>IF(F308&lt;0.5,0,F308*(1+N('My Loans'!D8)/1200))</f>
        <v/>
      </c>
      <c r="Q308" s="24">
        <f>IF(G308&lt;0.5,0,G308*(1+N('My Loans'!D9)/1200))</f>
        <v/>
      </c>
      <c r="R308" s="24">
        <f>IF(H308&lt;0.5,0,H308*(1+N('My Loans'!D10)/1200))</f>
        <v/>
      </c>
      <c r="S308" s="24">
        <f>IF(I308&lt;0.5,0,I308*(1+N('My Loans'!D11)/1200))</f>
        <v/>
      </c>
      <c r="T308" s="24">
        <f>IF(J308&lt;0.5,0,J308*(1+N('My Loans'!D12)/1200))</f>
        <v/>
      </c>
      <c r="U308" s="24">
        <f>IF(K308&lt;0.5,0,K308*(1+N('My Loans'!D13)/1200))</f>
        <v/>
      </c>
      <c r="V308" s="24">
        <f>IF(L308&lt;0.5,0,L308*(1+N('My Loans'!D14)/1200))</f>
        <v/>
      </c>
      <c r="W308" s="24">
        <f>IF(M308&lt;0.5,0,M308*(1+N('My Loans'!D15)/1200))</f>
        <v/>
      </c>
      <c r="X308" s="24">
        <f>MIN(N308,N('My Loans'!E6))</f>
        <v/>
      </c>
      <c r="Y308" s="24">
        <f>MIN(O308,N('My Loans'!E7))</f>
        <v/>
      </c>
      <c r="Z308" s="24">
        <f>MIN(P308,N('My Loans'!E8))</f>
        <v/>
      </c>
      <c r="AA308" s="24">
        <f>MIN(Q308,N('My Loans'!E9))</f>
        <v/>
      </c>
      <c r="AB308" s="24">
        <f>MIN(R308,N('My Loans'!E10))</f>
        <v/>
      </c>
      <c r="AC308" s="24">
        <f>MIN(S308,N('My Loans'!E11))</f>
        <v/>
      </c>
      <c r="AD308" s="24">
        <f>MIN(T308,N('My Loans'!E12))</f>
        <v/>
      </c>
      <c r="AE308" s="24">
        <f>MIN(U308,N('My Loans'!E13))</f>
        <v/>
      </c>
      <c r="AF308" s="24">
        <f>MIN(V308,N('My Loans'!E14))</f>
        <v/>
      </c>
      <c r="AG308" s="24">
        <f>MIN(W308,N('My Loans'!E15))</f>
        <v/>
      </c>
      <c r="AH308" s="24">
        <f>MIN(N308-X308,MAX(0,$C308-SUMPRODUCT(($D$3:$M$3&lt;D$3)*($N308:$W308-$X308:$AG308))))</f>
        <v/>
      </c>
      <c r="AI308" s="24">
        <f>MIN(O308-Y308,MAX(0,$C308-SUMPRODUCT(($D$3:$M$3&lt;E$3)*($N308:$W308-$X308:$AG308))))</f>
        <v/>
      </c>
      <c r="AJ308" s="24">
        <f>MIN(P308-Z308,MAX(0,$C308-SUMPRODUCT(($D$3:$M$3&lt;F$3)*($N308:$W308-$X308:$AG308))))</f>
        <v/>
      </c>
      <c r="AK308" s="24">
        <f>MIN(Q308-AA308,MAX(0,$C308-SUMPRODUCT(($D$3:$M$3&lt;G$3)*($N308:$W308-$X308:$AG308))))</f>
        <v/>
      </c>
      <c r="AL308" s="24">
        <f>MIN(R308-AB308,MAX(0,$C308-SUMPRODUCT(($D$3:$M$3&lt;H$3)*($N308:$W308-$X308:$AG308))))</f>
        <v/>
      </c>
      <c r="AM308" s="24">
        <f>MIN(S308-AC308,MAX(0,$C308-SUMPRODUCT(($D$3:$M$3&lt;I$3)*($N308:$W308-$X308:$AG308))))</f>
        <v/>
      </c>
      <c r="AN308" s="24">
        <f>MIN(T308-AD308,MAX(0,$C308-SUMPRODUCT(($D$3:$M$3&lt;J$3)*($N308:$W308-$X308:$AG308))))</f>
        <v/>
      </c>
      <c r="AO308" s="24">
        <f>MIN(U308-AE308,MAX(0,$C308-SUMPRODUCT(($D$3:$M$3&lt;K$3)*($N308:$W308-$X308:$AG308))))</f>
        <v/>
      </c>
      <c r="AP308" s="24">
        <f>MIN(V308-AF308,MAX(0,$C308-SUMPRODUCT(($D$3:$M$3&lt;L$3)*($N308:$W308-$X308:$AG308))))</f>
        <v/>
      </c>
      <c r="AQ308" s="24">
        <f>MIN(W308-AG308,MAX(0,$C308-SUMPRODUCT(($D$3:$M$3&lt;M$3)*($N308:$W308-$X308:$AG308))))</f>
        <v/>
      </c>
      <c r="AR308" s="24">
        <f>ROUND(N308-X308-AH308,2)</f>
        <v/>
      </c>
      <c r="AS308" s="24">
        <f>ROUND(O308-Y308-AI308,2)</f>
        <v/>
      </c>
      <c r="AT308" s="24">
        <f>ROUND(P308-Z308-AJ308,2)</f>
        <v/>
      </c>
      <c r="AU308" s="24">
        <f>ROUND(Q308-AA308-AK308,2)</f>
        <v/>
      </c>
      <c r="AV308" s="24">
        <f>ROUND(R308-AB308-AL308,2)</f>
        <v/>
      </c>
      <c r="AW308" s="24">
        <f>ROUND(S308-AC308-AM308,2)</f>
        <v/>
      </c>
      <c r="AX308" s="24">
        <f>ROUND(T308-AD308-AN308,2)</f>
        <v/>
      </c>
      <c r="AY308" s="24">
        <f>ROUND(U308-AE308-AO308,2)</f>
        <v/>
      </c>
      <c r="AZ308" s="24">
        <f>ROUND(V308-AF308-AP308,2)</f>
        <v/>
      </c>
      <c r="BA308" s="24">
        <f>ROUND(W308-AG308-AQ308,2)</f>
        <v/>
      </c>
      <c r="BB308" s="24">
        <f>SUM(AR308:BA308)</f>
        <v/>
      </c>
    </row>
    <row r="309">
      <c r="A309" t="n">
        <v>305</v>
      </c>
      <c r="B309" s="23">
        <f>EOMONTH(TODAY(),304)</f>
        <v/>
      </c>
      <c r="C309" s="24">
        <f>MAX(0,(SUM('My Loans'!$E$6:$E$15)+'My Loans'!$D$3)-SUM($X309:$AG309))</f>
        <v/>
      </c>
      <c r="D309" s="24">
        <f>MAX(0,AR308)</f>
        <v/>
      </c>
      <c r="E309" s="24">
        <f>MAX(0,AS308)</f>
        <v/>
      </c>
      <c r="F309" s="24">
        <f>MAX(0,AT308)</f>
        <v/>
      </c>
      <c r="G309" s="24">
        <f>MAX(0,AU308)</f>
        <v/>
      </c>
      <c r="H309" s="24">
        <f>MAX(0,AV308)</f>
        <v/>
      </c>
      <c r="I309" s="24">
        <f>MAX(0,AW308)</f>
        <v/>
      </c>
      <c r="J309" s="24">
        <f>MAX(0,AX308)</f>
        <v/>
      </c>
      <c r="K309" s="24">
        <f>MAX(0,AY308)</f>
        <v/>
      </c>
      <c r="L309" s="24">
        <f>MAX(0,AZ308)</f>
        <v/>
      </c>
      <c r="M309" s="24">
        <f>MAX(0,BA308)</f>
        <v/>
      </c>
      <c r="N309" s="24">
        <f>IF(D309&lt;0.5,0,D309*(1+N('My Loans'!D6)/1200))</f>
        <v/>
      </c>
      <c r="O309" s="24">
        <f>IF(E309&lt;0.5,0,E309*(1+N('My Loans'!D7)/1200))</f>
        <v/>
      </c>
      <c r="P309" s="24">
        <f>IF(F309&lt;0.5,0,F309*(1+N('My Loans'!D8)/1200))</f>
        <v/>
      </c>
      <c r="Q309" s="24">
        <f>IF(G309&lt;0.5,0,G309*(1+N('My Loans'!D9)/1200))</f>
        <v/>
      </c>
      <c r="R309" s="24">
        <f>IF(H309&lt;0.5,0,H309*(1+N('My Loans'!D10)/1200))</f>
        <v/>
      </c>
      <c r="S309" s="24">
        <f>IF(I309&lt;0.5,0,I309*(1+N('My Loans'!D11)/1200))</f>
        <v/>
      </c>
      <c r="T309" s="24">
        <f>IF(J309&lt;0.5,0,J309*(1+N('My Loans'!D12)/1200))</f>
        <v/>
      </c>
      <c r="U309" s="24">
        <f>IF(K309&lt;0.5,0,K309*(1+N('My Loans'!D13)/1200))</f>
        <v/>
      </c>
      <c r="V309" s="24">
        <f>IF(L309&lt;0.5,0,L309*(1+N('My Loans'!D14)/1200))</f>
        <v/>
      </c>
      <c r="W309" s="24">
        <f>IF(M309&lt;0.5,0,M309*(1+N('My Loans'!D15)/1200))</f>
        <v/>
      </c>
      <c r="X309" s="24">
        <f>MIN(N309,N('My Loans'!E6))</f>
        <v/>
      </c>
      <c r="Y309" s="24">
        <f>MIN(O309,N('My Loans'!E7))</f>
        <v/>
      </c>
      <c r="Z309" s="24">
        <f>MIN(P309,N('My Loans'!E8))</f>
        <v/>
      </c>
      <c r="AA309" s="24">
        <f>MIN(Q309,N('My Loans'!E9))</f>
        <v/>
      </c>
      <c r="AB309" s="24">
        <f>MIN(R309,N('My Loans'!E10))</f>
        <v/>
      </c>
      <c r="AC309" s="24">
        <f>MIN(S309,N('My Loans'!E11))</f>
        <v/>
      </c>
      <c r="AD309" s="24">
        <f>MIN(T309,N('My Loans'!E12))</f>
        <v/>
      </c>
      <c r="AE309" s="24">
        <f>MIN(U309,N('My Loans'!E13))</f>
        <v/>
      </c>
      <c r="AF309" s="24">
        <f>MIN(V309,N('My Loans'!E14))</f>
        <v/>
      </c>
      <c r="AG309" s="24">
        <f>MIN(W309,N('My Loans'!E15))</f>
        <v/>
      </c>
      <c r="AH309" s="24">
        <f>MIN(N309-X309,MAX(0,$C309-SUMPRODUCT(($D$3:$M$3&lt;D$3)*($N309:$W309-$X309:$AG309))))</f>
        <v/>
      </c>
      <c r="AI309" s="24">
        <f>MIN(O309-Y309,MAX(0,$C309-SUMPRODUCT(($D$3:$M$3&lt;E$3)*($N309:$W309-$X309:$AG309))))</f>
        <v/>
      </c>
      <c r="AJ309" s="24">
        <f>MIN(P309-Z309,MAX(0,$C309-SUMPRODUCT(($D$3:$M$3&lt;F$3)*($N309:$W309-$X309:$AG309))))</f>
        <v/>
      </c>
      <c r="AK309" s="24">
        <f>MIN(Q309-AA309,MAX(0,$C309-SUMPRODUCT(($D$3:$M$3&lt;G$3)*($N309:$W309-$X309:$AG309))))</f>
        <v/>
      </c>
      <c r="AL309" s="24">
        <f>MIN(R309-AB309,MAX(0,$C309-SUMPRODUCT(($D$3:$M$3&lt;H$3)*($N309:$W309-$X309:$AG309))))</f>
        <v/>
      </c>
      <c r="AM309" s="24">
        <f>MIN(S309-AC309,MAX(0,$C309-SUMPRODUCT(($D$3:$M$3&lt;I$3)*($N309:$W309-$X309:$AG309))))</f>
        <v/>
      </c>
      <c r="AN309" s="24">
        <f>MIN(T309-AD309,MAX(0,$C309-SUMPRODUCT(($D$3:$M$3&lt;J$3)*($N309:$W309-$X309:$AG309))))</f>
        <v/>
      </c>
      <c r="AO309" s="24">
        <f>MIN(U309-AE309,MAX(0,$C309-SUMPRODUCT(($D$3:$M$3&lt;K$3)*($N309:$W309-$X309:$AG309))))</f>
        <v/>
      </c>
      <c r="AP309" s="24">
        <f>MIN(V309-AF309,MAX(0,$C309-SUMPRODUCT(($D$3:$M$3&lt;L$3)*($N309:$W309-$X309:$AG309))))</f>
        <v/>
      </c>
      <c r="AQ309" s="24">
        <f>MIN(W309-AG309,MAX(0,$C309-SUMPRODUCT(($D$3:$M$3&lt;M$3)*($N309:$W309-$X309:$AG309))))</f>
        <v/>
      </c>
      <c r="AR309" s="24">
        <f>ROUND(N309-X309-AH309,2)</f>
        <v/>
      </c>
      <c r="AS309" s="24">
        <f>ROUND(O309-Y309-AI309,2)</f>
        <v/>
      </c>
      <c r="AT309" s="24">
        <f>ROUND(P309-Z309-AJ309,2)</f>
        <v/>
      </c>
      <c r="AU309" s="24">
        <f>ROUND(Q309-AA309-AK309,2)</f>
        <v/>
      </c>
      <c r="AV309" s="24">
        <f>ROUND(R309-AB309-AL309,2)</f>
        <v/>
      </c>
      <c r="AW309" s="24">
        <f>ROUND(S309-AC309-AM309,2)</f>
        <v/>
      </c>
      <c r="AX309" s="24">
        <f>ROUND(T309-AD309-AN309,2)</f>
        <v/>
      </c>
      <c r="AY309" s="24">
        <f>ROUND(U309-AE309-AO309,2)</f>
        <v/>
      </c>
      <c r="AZ309" s="24">
        <f>ROUND(V309-AF309-AP309,2)</f>
        <v/>
      </c>
      <c r="BA309" s="24">
        <f>ROUND(W309-AG309-AQ309,2)</f>
        <v/>
      </c>
      <c r="BB309" s="24">
        <f>SUM(AR309:BA309)</f>
        <v/>
      </c>
    </row>
    <row r="310">
      <c r="A310" t="n">
        <v>306</v>
      </c>
      <c r="B310" s="23">
        <f>EOMONTH(TODAY(),305)</f>
        <v/>
      </c>
      <c r="C310" s="24">
        <f>MAX(0,(SUM('My Loans'!$E$6:$E$15)+'My Loans'!$D$3)-SUM($X310:$AG310))</f>
        <v/>
      </c>
      <c r="D310" s="24">
        <f>MAX(0,AR309)</f>
        <v/>
      </c>
      <c r="E310" s="24">
        <f>MAX(0,AS309)</f>
        <v/>
      </c>
      <c r="F310" s="24">
        <f>MAX(0,AT309)</f>
        <v/>
      </c>
      <c r="G310" s="24">
        <f>MAX(0,AU309)</f>
        <v/>
      </c>
      <c r="H310" s="24">
        <f>MAX(0,AV309)</f>
        <v/>
      </c>
      <c r="I310" s="24">
        <f>MAX(0,AW309)</f>
        <v/>
      </c>
      <c r="J310" s="24">
        <f>MAX(0,AX309)</f>
        <v/>
      </c>
      <c r="K310" s="24">
        <f>MAX(0,AY309)</f>
        <v/>
      </c>
      <c r="L310" s="24">
        <f>MAX(0,AZ309)</f>
        <v/>
      </c>
      <c r="M310" s="24">
        <f>MAX(0,BA309)</f>
        <v/>
      </c>
      <c r="N310" s="24">
        <f>IF(D310&lt;0.5,0,D310*(1+N('My Loans'!D6)/1200))</f>
        <v/>
      </c>
      <c r="O310" s="24">
        <f>IF(E310&lt;0.5,0,E310*(1+N('My Loans'!D7)/1200))</f>
        <v/>
      </c>
      <c r="P310" s="24">
        <f>IF(F310&lt;0.5,0,F310*(1+N('My Loans'!D8)/1200))</f>
        <v/>
      </c>
      <c r="Q310" s="24">
        <f>IF(G310&lt;0.5,0,G310*(1+N('My Loans'!D9)/1200))</f>
        <v/>
      </c>
      <c r="R310" s="24">
        <f>IF(H310&lt;0.5,0,H310*(1+N('My Loans'!D10)/1200))</f>
        <v/>
      </c>
      <c r="S310" s="24">
        <f>IF(I310&lt;0.5,0,I310*(1+N('My Loans'!D11)/1200))</f>
        <v/>
      </c>
      <c r="T310" s="24">
        <f>IF(J310&lt;0.5,0,J310*(1+N('My Loans'!D12)/1200))</f>
        <v/>
      </c>
      <c r="U310" s="24">
        <f>IF(K310&lt;0.5,0,K310*(1+N('My Loans'!D13)/1200))</f>
        <v/>
      </c>
      <c r="V310" s="24">
        <f>IF(L310&lt;0.5,0,L310*(1+N('My Loans'!D14)/1200))</f>
        <v/>
      </c>
      <c r="W310" s="24">
        <f>IF(M310&lt;0.5,0,M310*(1+N('My Loans'!D15)/1200))</f>
        <v/>
      </c>
      <c r="X310" s="24">
        <f>MIN(N310,N('My Loans'!E6))</f>
        <v/>
      </c>
      <c r="Y310" s="24">
        <f>MIN(O310,N('My Loans'!E7))</f>
        <v/>
      </c>
      <c r="Z310" s="24">
        <f>MIN(P310,N('My Loans'!E8))</f>
        <v/>
      </c>
      <c r="AA310" s="24">
        <f>MIN(Q310,N('My Loans'!E9))</f>
        <v/>
      </c>
      <c r="AB310" s="24">
        <f>MIN(R310,N('My Loans'!E10))</f>
        <v/>
      </c>
      <c r="AC310" s="24">
        <f>MIN(S310,N('My Loans'!E11))</f>
        <v/>
      </c>
      <c r="AD310" s="24">
        <f>MIN(T310,N('My Loans'!E12))</f>
        <v/>
      </c>
      <c r="AE310" s="24">
        <f>MIN(U310,N('My Loans'!E13))</f>
        <v/>
      </c>
      <c r="AF310" s="24">
        <f>MIN(V310,N('My Loans'!E14))</f>
        <v/>
      </c>
      <c r="AG310" s="24">
        <f>MIN(W310,N('My Loans'!E15))</f>
        <v/>
      </c>
      <c r="AH310" s="24">
        <f>MIN(N310-X310,MAX(0,$C310-SUMPRODUCT(($D$3:$M$3&lt;D$3)*($N310:$W310-$X310:$AG310))))</f>
        <v/>
      </c>
      <c r="AI310" s="24">
        <f>MIN(O310-Y310,MAX(0,$C310-SUMPRODUCT(($D$3:$M$3&lt;E$3)*($N310:$W310-$X310:$AG310))))</f>
        <v/>
      </c>
      <c r="AJ310" s="24">
        <f>MIN(P310-Z310,MAX(0,$C310-SUMPRODUCT(($D$3:$M$3&lt;F$3)*($N310:$W310-$X310:$AG310))))</f>
        <v/>
      </c>
      <c r="AK310" s="24">
        <f>MIN(Q310-AA310,MAX(0,$C310-SUMPRODUCT(($D$3:$M$3&lt;G$3)*($N310:$W310-$X310:$AG310))))</f>
        <v/>
      </c>
      <c r="AL310" s="24">
        <f>MIN(R310-AB310,MAX(0,$C310-SUMPRODUCT(($D$3:$M$3&lt;H$3)*($N310:$W310-$X310:$AG310))))</f>
        <v/>
      </c>
      <c r="AM310" s="24">
        <f>MIN(S310-AC310,MAX(0,$C310-SUMPRODUCT(($D$3:$M$3&lt;I$3)*($N310:$W310-$X310:$AG310))))</f>
        <v/>
      </c>
      <c r="AN310" s="24">
        <f>MIN(T310-AD310,MAX(0,$C310-SUMPRODUCT(($D$3:$M$3&lt;J$3)*($N310:$W310-$X310:$AG310))))</f>
        <v/>
      </c>
      <c r="AO310" s="24">
        <f>MIN(U310-AE310,MAX(0,$C310-SUMPRODUCT(($D$3:$M$3&lt;K$3)*($N310:$W310-$X310:$AG310))))</f>
        <v/>
      </c>
      <c r="AP310" s="24">
        <f>MIN(V310-AF310,MAX(0,$C310-SUMPRODUCT(($D$3:$M$3&lt;L$3)*($N310:$W310-$X310:$AG310))))</f>
        <v/>
      </c>
      <c r="AQ310" s="24">
        <f>MIN(W310-AG310,MAX(0,$C310-SUMPRODUCT(($D$3:$M$3&lt;M$3)*($N310:$W310-$X310:$AG310))))</f>
        <v/>
      </c>
      <c r="AR310" s="24">
        <f>ROUND(N310-X310-AH310,2)</f>
        <v/>
      </c>
      <c r="AS310" s="24">
        <f>ROUND(O310-Y310-AI310,2)</f>
        <v/>
      </c>
      <c r="AT310" s="24">
        <f>ROUND(P310-Z310-AJ310,2)</f>
        <v/>
      </c>
      <c r="AU310" s="24">
        <f>ROUND(Q310-AA310-AK310,2)</f>
        <v/>
      </c>
      <c r="AV310" s="24">
        <f>ROUND(R310-AB310-AL310,2)</f>
        <v/>
      </c>
      <c r="AW310" s="24">
        <f>ROUND(S310-AC310-AM310,2)</f>
        <v/>
      </c>
      <c r="AX310" s="24">
        <f>ROUND(T310-AD310-AN310,2)</f>
        <v/>
      </c>
      <c r="AY310" s="24">
        <f>ROUND(U310-AE310-AO310,2)</f>
        <v/>
      </c>
      <c r="AZ310" s="24">
        <f>ROUND(V310-AF310-AP310,2)</f>
        <v/>
      </c>
      <c r="BA310" s="24">
        <f>ROUND(W310-AG310-AQ310,2)</f>
        <v/>
      </c>
      <c r="BB310" s="24">
        <f>SUM(AR310:BA310)</f>
        <v/>
      </c>
    </row>
    <row r="311">
      <c r="A311" t="n">
        <v>307</v>
      </c>
      <c r="B311" s="23">
        <f>EOMONTH(TODAY(),306)</f>
        <v/>
      </c>
      <c r="C311" s="24">
        <f>MAX(0,(SUM('My Loans'!$E$6:$E$15)+'My Loans'!$D$3)-SUM($X311:$AG311))</f>
        <v/>
      </c>
      <c r="D311" s="24">
        <f>MAX(0,AR310)</f>
        <v/>
      </c>
      <c r="E311" s="24">
        <f>MAX(0,AS310)</f>
        <v/>
      </c>
      <c r="F311" s="24">
        <f>MAX(0,AT310)</f>
        <v/>
      </c>
      <c r="G311" s="24">
        <f>MAX(0,AU310)</f>
        <v/>
      </c>
      <c r="H311" s="24">
        <f>MAX(0,AV310)</f>
        <v/>
      </c>
      <c r="I311" s="24">
        <f>MAX(0,AW310)</f>
        <v/>
      </c>
      <c r="J311" s="24">
        <f>MAX(0,AX310)</f>
        <v/>
      </c>
      <c r="K311" s="24">
        <f>MAX(0,AY310)</f>
        <v/>
      </c>
      <c r="L311" s="24">
        <f>MAX(0,AZ310)</f>
        <v/>
      </c>
      <c r="M311" s="24">
        <f>MAX(0,BA310)</f>
        <v/>
      </c>
      <c r="N311" s="24">
        <f>IF(D311&lt;0.5,0,D311*(1+N('My Loans'!D6)/1200))</f>
        <v/>
      </c>
      <c r="O311" s="24">
        <f>IF(E311&lt;0.5,0,E311*(1+N('My Loans'!D7)/1200))</f>
        <v/>
      </c>
      <c r="P311" s="24">
        <f>IF(F311&lt;0.5,0,F311*(1+N('My Loans'!D8)/1200))</f>
        <v/>
      </c>
      <c r="Q311" s="24">
        <f>IF(G311&lt;0.5,0,G311*(1+N('My Loans'!D9)/1200))</f>
        <v/>
      </c>
      <c r="R311" s="24">
        <f>IF(H311&lt;0.5,0,H311*(1+N('My Loans'!D10)/1200))</f>
        <v/>
      </c>
      <c r="S311" s="24">
        <f>IF(I311&lt;0.5,0,I311*(1+N('My Loans'!D11)/1200))</f>
        <v/>
      </c>
      <c r="T311" s="24">
        <f>IF(J311&lt;0.5,0,J311*(1+N('My Loans'!D12)/1200))</f>
        <v/>
      </c>
      <c r="U311" s="24">
        <f>IF(K311&lt;0.5,0,K311*(1+N('My Loans'!D13)/1200))</f>
        <v/>
      </c>
      <c r="V311" s="24">
        <f>IF(L311&lt;0.5,0,L311*(1+N('My Loans'!D14)/1200))</f>
        <v/>
      </c>
      <c r="W311" s="24">
        <f>IF(M311&lt;0.5,0,M311*(1+N('My Loans'!D15)/1200))</f>
        <v/>
      </c>
      <c r="X311" s="24">
        <f>MIN(N311,N('My Loans'!E6))</f>
        <v/>
      </c>
      <c r="Y311" s="24">
        <f>MIN(O311,N('My Loans'!E7))</f>
        <v/>
      </c>
      <c r="Z311" s="24">
        <f>MIN(P311,N('My Loans'!E8))</f>
        <v/>
      </c>
      <c r="AA311" s="24">
        <f>MIN(Q311,N('My Loans'!E9))</f>
        <v/>
      </c>
      <c r="AB311" s="24">
        <f>MIN(R311,N('My Loans'!E10))</f>
        <v/>
      </c>
      <c r="AC311" s="24">
        <f>MIN(S311,N('My Loans'!E11))</f>
        <v/>
      </c>
      <c r="AD311" s="24">
        <f>MIN(T311,N('My Loans'!E12))</f>
        <v/>
      </c>
      <c r="AE311" s="24">
        <f>MIN(U311,N('My Loans'!E13))</f>
        <v/>
      </c>
      <c r="AF311" s="24">
        <f>MIN(V311,N('My Loans'!E14))</f>
        <v/>
      </c>
      <c r="AG311" s="24">
        <f>MIN(W311,N('My Loans'!E15))</f>
        <v/>
      </c>
      <c r="AH311" s="24">
        <f>MIN(N311-X311,MAX(0,$C311-SUMPRODUCT(($D$3:$M$3&lt;D$3)*($N311:$W311-$X311:$AG311))))</f>
        <v/>
      </c>
      <c r="AI311" s="24">
        <f>MIN(O311-Y311,MAX(0,$C311-SUMPRODUCT(($D$3:$M$3&lt;E$3)*($N311:$W311-$X311:$AG311))))</f>
        <v/>
      </c>
      <c r="AJ311" s="24">
        <f>MIN(P311-Z311,MAX(0,$C311-SUMPRODUCT(($D$3:$M$3&lt;F$3)*($N311:$W311-$X311:$AG311))))</f>
        <v/>
      </c>
      <c r="AK311" s="24">
        <f>MIN(Q311-AA311,MAX(0,$C311-SUMPRODUCT(($D$3:$M$3&lt;G$3)*($N311:$W311-$X311:$AG311))))</f>
        <v/>
      </c>
      <c r="AL311" s="24">
        <f>MIN(R311-AB311,MAX(0,$C311-SUMPRODUCT(($D$3:$M$3&lt;H$3)*($N311:$W311-$X311:$AG311))))</f>
        <v/>
      </c>
      <c r="AM311" s="24">
        <f>MIN(S311-AC311,MAX(0,$C311-SUMPRODUCT(($D$3:$M$3&lt;I$3)*($N311:$W311-$X311:$AG311))))</f>
        <v/>
      </c>
      <c r="AN311" s="24">
        <f>MIN(T311-AD311,MAX(0,$C311-SUMPRODUCT(($D$3:$M$3&lt;J$3)*($N311:$W311-$X311:$AG311))))</f>
        <v/>
      </c>
      <c r="AO311" s="24">
        <f>MIN(U311-AE311,MAX(0,$C311-SUMPRODUCT(($D$3:$M$3&lt;K$3)*($N311:$W311-$X311:$AG311))))</f>
        <v/>
      </c>
      <c r="AP311" s="24">
        <f>MIN(V311-AF311,MAX(0,$C311-SUMPRODUCT(($D$3:$M$3&lt;L$3)*($N311:$W311-$X311:$AG311))))</f>
        <v/>
      </c>
      <c r="AQ311" s="24">
        <f>MIN(W311-AG311,MAX(0,$C311-SUMPRODUCT(($D$3:$M$3&lt;M$3)*($N311:$W311-$X311:$AG311))))</f>
        <v/>
      </c>
      <c r="AR311" s="24">
        <f>ROUND(N311-X311-AH311,2)</f>
        <v/>
      </c>
      <c r="AS311" s="24">
        <f>ROUND(O311-Y311-AI311,2)</f>
        <v/>
      </c>
      <c r="AT311" s="24">
        <f>ROUND(P311-Z311-AJ311,2)</f>
        <v/>
      </c>
      <c r="AU311" s="24">
        <f>ROUND(Q311-AA311-AK311,2)</f>
        <v/>
      </c>
      <c r="AV311" s="24">
        <f>ROUND(R311-AB311-AL311,2)</f>
        <v/>
      </c>
      <c r="AW311" s="24">
        <f>ROUND(S311-AC311-AM311,2)</f>
        <v/>
      </c>
      <c r="AX311" s="24">
        <f>ROUND(T311-AD311-AN311,2)</f>
        <v/>
      </c>
      <c r="AY311" s="24">
        <f>ROUND(U311-AE311-AO311,2)</f>
        <v/>
      </c>
      <c r="AZ311" s="24">
        <f>ROUND(V311-AF311-AP311,2)</f>
        <v/>
      </c>
      <c r="BA311" s="24">
        <f>ROUND(W311-AG311-AQ311,2)</f>
        <v/>
      </c>
      <c r="BB311" s="24">
        <f>SUM(AR311:BA311)</f>
        <v/>
      </c>
    </row>
    <row r="312">
      <c r="A312" t="n">
        <v>308</v>
      </c>
      <c r="B312" s="23">
        <f>EOMONTH(TODAY(),307)</f>
        <v/>
      </c>
      <c r="C312" s="24">
        <f>MAX(0,(SUM('My Loans'!$E$6:$E$15)+'My Loans'!$D$3)-SUM($X312:$AG312))</f>
        <v/>
      </c>
      <c r="D312" s="24">
        <f>MAX(0,AR311)</f>
        <v/>
      </c>
      <c r="E312" s="24">
        <f>MAX(0,AS311)</f>
        <v/>
      </c>
      <c r="F312" s="24">
        <f>MAX(0,AT311)</f>
        <v/>
      </c>
      <c r="G312" s="24">
        <f>MAX(0,AU311)</f>
        <v/>
      </c>
      <c r="H312" s="24">
        <f>MAX(0,AV311)</f>
        <v/>
      </c>
      <c r="I312" s="24">
        <f>MAX(0,AW311)</f>
        <v/>
      </c>
      <c r="J312" s="24">
        <f>MAX(0,AX311)</f>
        <v/>
      </c>
      <c r="K312" s="24">
        <f>MAX(0,AY311)</f>
        <v/>
      </c>
      <c r="L312" s="24">
        <f>MAX(0,AZ311)</f>
        <v/>
      </c>
      <c r="M312" s="24">
        <f>MAX(0,BA311)</f>
        <v/>
      </c>
      <c r="N312" s="24">
        <f>IF(D312&lt;0.5,0,D312*(1+N('My Loans'!D6)/1200))</f>
        <v/>
      </c>
      <c r="O312" s="24">
        <f>IF(E312&lt;0.5,0,E312*(1+N('My Loans'!D7)/1200))</f>
        <v/>
      </c>
      <c r="P312" s="24">
        <f>IF(F312&lt;0.5,0,F312*(1+N('My Loans'!D8)/1200))</f>
        <v/>
      </c>
      <c r="Q312" s="24">
        <f>IF(G312&lt;0.5,0,G312*(1+N('My Loans'!D9)/1200))</f>
        <v/>
      </c>
      <c r="R312" s="24">
        <f>IF(H312&lt;0.5,0,H312*(1+N('My Loans'!D10)/1200))</f>
        <v/>
      </c>
      <c r="S312" s="24">
        <f>IF(I312&lt;0.5,0,I312*(1+N('My Loans'!D11)/1200))</f>
        <v/>
      </c>
      <c r="T312" s="24">
        <f>IF(J312&lt;0.5,0,J312*(1+N('My Loans'!D12)/1200))</f>
        <v/>
      </c>
      <c r="U312" s="24">
        <f>IF(K312&lt;0.5,0,K312*(1+N('My Loans'!D13)/1200))</f>
        <v/>
      </c>
      <c r="V312" s="24">
        <f>IF(L312&lt;0.5,0,L312*(1+N('My Loans'!D14)/1200))</f>
        <v/>
      </c>
      <c r="W312" s="24">
        <f>IF(M312&lt;0.5,0,M312*(1+N('My Loans'!D15)/1200))</f>
        <v/>
      </c>
      <c r="X312" s="24">
        <f>MIN(N312,N('My Loans'!E6))</f>
        <v/>
      </c>
      <c r="Y312" s="24">
        <f>MIN(O312,N('My Loans'!E7))</f>
        <v/>
      </c>
      <c r="Z312" s="24">
        <f>MIN(P312,N('My Loans'!E8))</f>
        <v/>
      </c>
      <c r="AA312" s="24">
        <f>MIN(Q312,N('My Loans'!E9))</f>
        <v/>
      </c>
      <c r="AB312" s="24">
        <f>MIN(R312,N('My Loans'!E10))</f>
        <v/>
      </c>
      <c r="AC312" s="24">
        <f>MIN(S312,N('My Loans'!E11))</f>
        <v/>
      </c>
      <c r="AD312" s="24">
        <f>MIN(T312,N('My Loans'!E12))</f>
        <v/>
      </c>
      <c r="AE312" s="24">
        <f>MIN(U312,N('My Loans'!E13))</f>
        <v/>
      </c>
      <c r="AF312" s="24">
        <f>MIN(V312,N('My Loans'!E14))</f>
        <v/>
      </c>
      <c r="AG312" s="24">
        <f>MIN(W312,N('My Loans'!E15))</f>
        <v/>
      </c>
      <c r="AH312" s="24">
        <f>MIN(N312-X312,MAX(0,$C312-SUMPRODUCT(($D$3:$M$3&lt;D$3)*($N312:$W312-$X312:$AG312))))</f>
        <v/>
      </c>
      <c r="AI312" s="24">
        <f>MIN(O312-Y312,MAX(0,$C312-SUMPRODUCT(($D$3:$M$3&lt;E$3)*($N312:$W312-$X312:$AG312))))</f>
        <v/>
      </c>
      <c r="AJ312" s="24">
        <f>MIN(P312-Z312,MAX(0,$C312-SUMPRODUCT(($D$3:$M$3&lt;F$3)*($N312:$W312-$X312:$AG312))))</f>
        <v/>
      </c>
      <c r="AK312" s="24">
        <f>MIN(Q312-AA312,MAX(0,$C312-SUMPRODUCT(($D$3:$M$3&lt;G$3)*($N312:$W312-$X312:$AG312))))</f>
        <v/>
      </c>
      <c r="AL312" s="24">
        <f>MIN(R312-AB312,MAX(0,$C312-SUMPRODUCT(($D$3:$M$3&lt;H$3)*($N312:$W312-$X312:$AG312))))</f>
        <v/>
      </c>
      <c r="AM312" s="24">
        <f>MIN(S312-AC312,MAX(0,$C312-SUMPRODUCT(($D$3:$M$3&lt;I$3)*($N312:$W312-$X312:$AG312))))</f>
        <v/>
      </c>
      <c r="AN312" s="24">
        <f>MIN(T312-AD312,MAX(0,$C312-SUMPRODUCT(($D$3:$M$3&lt;J$3)*($N312:$W312-$X312:$AG312))))</f>
        <v/>
      </c>
      <c r="AO312" s="24">
        <f>MIN(U312-AE312,MAX(0,$C312-SUMPRODUCT(($D$3:$M$3&lt;K$3)*($N312:$W312-$X312:$AG312))))</f>
        <v/>
      </c>
      <c r="AP312" s="24">
        <f>MIN(V312-AF312,MAX(0,$C312-SUMPRODUCT(($D$3:$M$3&lt;L$3)*($N312:$W312-$X312:$AG312))))</f>
        <v/>
      </c>
      <c r="AQ312" s="24">
        <f>MIN(W312-AG312,MAX(0,$C312-SUMPRODUCT(($D$3:$M$3&lt;M$3)*($N312:$W312-$X312:$AG312))))</f>
        <v/>
      </c>
      <c r="AR312" s="24">
        <f>ROUND(N312-X312-AH312,2)</f>
        <v/>
      </c>
      <c r="AS312" s="24">
        <f>ROUND(O312-Y312-AI312,2)</f>
        <v/>
      </c>
      <c r="AT312" s="24">
        <f>ROUND(P312-Z312-AJ312,2)</f>
        <v/>
      </c>
      <c r="AU312" s="24">
        <f>ROUND(Q312-AA312-AK312,2)</f>
        <v/>
      </c>
      <c r="AV312" s="24">
        <f>ROUND(R312-AB312-AL312,2)</f>
        <v/>
      </c>
      <c r="AW312" s="24">
        <f>ROUND(S312-AC312-AM312,2)</f>
        <v/>
      </c>
      <c r="AX312" s="24">
        <f>ROUND(T312-AD312-AN312,2)</f>
        <v/>
      </c>
      <c r="AY312" s="24">
        <f>ROUND(U312-AE312-AO312,2)</f>
        <v/>
      </c>
      <c r="AZ312" s="24">
        <f>ROUND(V312-AF312-AP312,2)</f>
        <v/>
      </c>
      <c r="BA312" s="24">
        <f>ROUND(W312-AG312-AQ312,2)</f>
        <v/>
      </c>
      <c r="BB312" s="24">
        <f>SUM(AR312:BA312)</f>
        <v/>
      </c>
    </row>
    <row r="313">
      <c r="A313" t="n">
        <v>309</v>
      </c>
      <c r="B313" s="23">
        <f>EOMONTH(TODAY(),308)</f>
        <v/>
      </c>
      <c r="C313" s="24">
        <f>MAX(0,(SUM('My Loans'!$E$6:$E$15)+'My Loans'!$D$3)-SUM($X313:$AG313))</f>
        <v/>
      </c>
      <c r="D313" s="24">
        <f>MAX(0,AR312)</f>
        <v/>
      </c>
      <c r="E313" s="24">
        <f>MAX(0,AS312)</f>
        <v/>
      </c>
      <c r="F313" s="24">
        <f>MAX(0,AT312)</f>
        <v/>
      </c>
      <c r="G313" s="24">
        <f>MAX(0,AU312)</f>
        <v/>
      </c>
      <c r="H313" s="24">
        <f>MAX(0,AV312)</f>
        <v/>
      </c>
      <c r="I313" s="24">
        <f>MAX(0,AW312)</f>
        <v/>
      </c>
      <c r="J313" s="24">
        <f>MAX(0,AX312)</f>
        <v/>
      </c>
      <c r="K313" s="24">
        <f>MAX(0,AY312)</f>
        <v/>
      </c>
      <c r="L313" s="24">
        <f>MAX(0,AZ312)</f>
        <v/>
      </c>
      <c r="M313" s="24">
        <f>MAX(0,BA312)</f>
        <v/>
      </c>
      <c r="N313" s="24">
        <f>IF(D313&lt;0.5,0,D313*(1+N('My Loans'!D6)/1200))</f>
        <v/>
      </c>
      <c r="O313" s="24">
        <f>IF(E313&lt;0.5,0,E313*(1+N('My Loans'!D7)/1200))</f>
        <v/>
      </c>
      <c r="P313" s="24">
        <f>IF(F313&lt;0.5,0,F313*(1+N('My Loans'!D8)/1200))</f>
        <v/>
      </c>
      <c r="Q313" s="24">
        <f>IF(G313&lt;0.5,0,G313*(1+N('My Loans'!D9)/1200))</f>
        <v/>
      </c>
      <c r="R313" s="24">
        <f>IF(H313&lt;0.5,0,H313*(1+N('My Loans'!D10)/1200))</f>
        <v/>
      </c>
      <c r="S313" s="24">
        <f>IF(I313&lt;0.5,0,I313*(1+N('My Loans'!D11)/1200))</f>
        <v/>
      </c>
      <c r="T313" s="24">
        <f>IF(J313&lt;0.5,0,J313*(1+N('My Loans'!D12)/1200))</f>
        <v/>
      </c>
      <c r="U313" s="24">
        <f>IF(K313&lt;0.5,0,K313*(1+N('My Loans'!D13)/1200))</f>
        <v/>
      </c>
      <c r="V313" s="24">
        <f>IF(L313&lt;0.5,0,L313*(1+N('My Loans'!D14)/1200))</f>
        <v/>
      </c>
      <c r="W313" s="24">
        <f>IF(M313&lt;0.5,0,M313*(1+N('My Loans'!D15)/1200))</f>
        <v/>
      </c>
      <c r="X313" s="24">
        <f>MIN(N313,N('My Loans'!E6))</f>
        <v/>
      </c>
      <c r="Y313" s="24">
        <f>MIN(O313,N('My Loans'!E7))</f>
        <v/>
      </c>
      <c r="Z313" s="24">
        <f>MIN(P313,N('My Loans'!E8))</f>
        <v/>
      </c>
      <c r="AA313" s="24">
        <f>MIN(Q313,N('My Loans'!E9))</f>
        <v/>
      </c>
      <c r="AB313" s="24">
        <f>MIN(R313,N('My Loans'!E10))</f>
        <v/>
      </c>
      <c r="AC313" s="24">
        <f>MIN(S313,N('My Loans'!E11))</f>
        <v/>
      </c>
      <c r="AD313" s="24">
        <f>MIN(T313,N('My Loans'!E12))</f>
        <v/>
      </c>
      <c r="AE313" s="24">
        <f>MIN(U313,N('My Loans'!E13))</f>
        <v/>
      </c>
      <c r="AF313" s="24">
        <f>MIN(V313,N('My Loans'!E14))</f>
        <v/>
      </c>
      <c r="AG313" s="24">
        <f>MIN(W313,N('My Loans'!E15))</f>
        <v/>
      </c>
      <c r="AH313" s="24">
        <f>MIN(N313-X313,MAX(0,$C313-SUMPRODUCT(($D$3:$M$3&lt;D$3)*($N313:$W313-$X313:$AG313))))</f>
        <v/>
      </c>
      <c r="AI313" s="24">
        <f>MIN(O313-Y313,MAX(0,$C313-SUMPRODUCT(($D$3:$M$3&lt;E$3)*($N313:$W313-$X313:$AG313))))</f>
        <v/>
      </c>
      <c r="AJ313" s="24">
        <f>MIN(P313-Z313,MAX(0,$C313-SUMPRODUCT(($D$3:$M$3&lt;F$3)*($N313:$W313-$X313:$AG313))))</f>
        <v/>
      </c>
      <c r="AK313" s="24">
        <f>MIN(Q313-AA313,MAX(0,$C313-SUMPRODUCT(($D$3:$M$3&lt;G$3)*($N313:$W313-$X313:$AG313))))</f>
        <v/>
      </c>
      <c r="AL313" s="24">
        <f>MIN(R313-AB313,MAX(0,$C313-SUMPRODUCT(($D$3:$M$3&lt;H$3)*($N313:$W313-$X313:$AG313))))</f>
        <v/>
      </c>
      <c r="AM313" s="24">
        <f>MIN(S313-AC313,MAX(0,$C313-SUMPRODUCT(($D$3:$M$3&lt;I$3)*($N313:$W313-$X313:$AG313))))</f>
        <v/>
      </c>
      <c r="AN313" s="24">
        <f>MIN(T313-AD313,MAX(0,$C313-SUMPRODUCT(($D$3:$M$3&lt;J$3)*($N313:$W313-$X313:$AG313))))</f>
        <v/>
      </c>
      <c r="AO313" s="24">
        <f>MIN(U313-AE313,MAX(0,$C313-SUMPRODUCT(($D$3:$M$3&lt;K$3)*($N313:$W313-$X313:$AG313))))</f>
        <v/>
      </c>
      <c r="AP313" s="24">
        <f>MIN(V313-AF313,MAX(0,$C313-SUMPRODUCT(($D$3:$M$3&lt;L$3)*($N313:$W313-$X313:$AG313))))</f>
        <v/>
      </c>
      <c r="AQ313" s="24">
        <f>MIN(W313-AG313,MAX(0,$C313-SUMPRODUCT(($D$3:$M$3&lt;M$3)*($N313:$W313-$X313:$AG313))))</f>
        <v/>
      </c>
      <c r="AR313" s="24">
        <f>ROUND(N313-X313-AH313,2)</f>
        <v/>
      </c>
      <c r="AS313" s="24">
        <f>ROUND(O313-Y313-AI313,2)</f>
        <v/>
      </c>
      <c r="AT313" s="24">
        <f>ROUND(P313-Z313-AJ313,2)</f>
        <v/>
      </c>
      <c r="AU313" s="24">
        <f>ROUND(Q313-AA313-AK313,2)</f>
        <v/>
      </c>
      <c r="AV313" s="24">
        <f>ROUND(R313-AB313-AL313,2)</f>
        <v/>
      </c>
      <c r="AW313" s="24">
        <f>ROUND(S313-AC313-AM313,2)</f>
        <v/>
      </c>
      <c r="AX313" s="24">
        <f>ROUND(T313-AD313-AN313,2)</f>
        <v/>
      </c>
      <c r="AY313" s="24">
        <f>ROUND(U313-AE313-AO313,2)</f>
        <v/>
      </c>
      <c r="AZ313" s="24">
        <f>ROUND(V313-AF313-AP313,2)</f>
        <v/>
      </c>
      <c r="BA313" s="24">
        <f>ROUND(W313-AG313-AQ313,2)</f>
        <v/>
      </c>
      <c r="BB313" s="24">
        <f>SUM(AR313:BA313)</f>
        <v/>
      </c>
    </row>
    <row r="314">
      <c r="A314" t="n">
        <v>310</v>
      </c>
      <c r="B314" s="23">
        <f>EOMONTH(TODAY(),309)</f>
        <v/>
      </c>
      <c r="C314" s="24">
        <f>MAX(0,(SUM('My Loans'!$E$6:$E$15)+'My Loans'!$D$3)-SUM($X314:$AG314))</f>
        <v/>
      </c>
      <c r="D314" s="24">
        <f>MAX(0,AR313)</f>
        <v/>
      </c>
      <c r="E314" s="24">
        <f>MAX(0,AS313)</f>
        <v/>
      </c>
      <c r="F314" s="24">
        <f>MAX(0,AT313)</f>
        <v/>
      </c>
      <c r="G314" s="24">
        <f>MAX(0,AU313)</f>
        <v/>
      </c>
      <c r="H314" s="24">
        <f>MAX(0,AV313)</f>
        <v/>
      </c>
      <c r="I314" s="24">
        <f>MAX(0,AW313)</f>
        <v/>
      </c>
      <c r="J314" s="24">
        <f>MAX(0,AX313)</f>
        <v/>
      </c>
      <c r="K314" s="24">
        <f>MAX(0,AY313)</f>
        <v/>
      </c>
      <c r="L314" s="24">
        <f>MAX(0,AZ313)</f>
        <v/>
      </c>
      <c r="M314" s="24">
        <f>MAX(0,BA313)</f>
        <v/>
      </c>
      <c r="N314" s="24">
        <f>IF(D314&lt;0.5,0,D314*(1+N('My Loans'!D6)/1200))</f>
        <v/>
      </c>
      <c r="O314" s="24">
        <f>IF(E314&lt;0.5,0,E314*(1+N('My Loans'!D7)/1200))</f>
        <v/>
      </c>
      <c r="P314" s="24">
        <f>IF(F314&lt;0.5,0,F314*(1+N('My Loans'!D8)/1200))</f>
        <v/>
      </c>
      <c r="Q314" s="24">
        <f>IF(G314&lt;0.5,0,G314*(1+N('My Loans'!D9)/1200))</f>
        <v/>
      </c>
      <c r="R314" s="24">
        <f>IF(H314&lt;0.5,0,H314*(1+N('My Loans'!D10)/1200))</f>
        <v/>
      </c>
      <c r="S314" s="24">
        <f>IF(I314&lt;0.5,0,I314*(1+N('My Loans'!D11)/1200))</f>
        <v/>
      </c>
      <c r="T314" s="24">
        <f>IF(J314&lt;0.5,0,J314*(1+N('My Loans'!D12)/1200))</f>
        <v/>
      </c>
      <c r="U314" s="24">
        <f>IF(K314&lt;0.5,0,K314*(1+N('My Loans'!D13)/1200))</f>
        <v/>
      </c>
      <c r="V314" s="24">
        <f>IF(L314&lt;0.5,0,L314*(1+N('My Loans'!D14)/1200))</f>
        <v/>
      </c>
      <c r="W314" s="24">
        <f>IF(M314&lt;0.5,0,M314*(1+N('My Loans'!D15)/1200))</f>
        <v/>
      </c>
      <c r="X314" s="24">
        <f>MIN(N314,N('My Loans'!E6))</f>
        <v/>
      </c>
      <c r="Y314" s="24">
        <f>MIN(O314,N('My Loans'!E7))</f>
        <v/>
      </c>
      <c r="Z314" s="24">
        <f>MIN(P314,N('My Loans'!E8))</f>
        <v/>
      </c>
      <c r="AA314" s="24">
        <f>MIN(Q314,N('My Loans'!E9))</f>
        <v/>
      </c>
      <c r="AB314" s="24">
        <f>MIN(R314,N('My Loans'!E10))</f>
        <v/>
      </c>
      <c r="AC314" s="24">
        <f>MIN(S314,N('My Loans'!E11))</f>
        <v/>
      </c>
      <c r="AD314" s="24">
        <f>MIN(T314,N('My Loans'!E12))</f>
        <v/>
      </c>
      <c r="AE314" s="24">
        <f>MIN(U314,N('My Loans'!E13))</f>
        <v/>
      </c>
      <c r="AF314" s="24">
        <f>MIN(V314,N('My Loans'!E14))</f>
        <v/>
      </c>
      <c r="AG314" s="24">
        <f>MIN(W314,N('My Loans'!E15))</f>
        <v/>
      </c>
      <c r="AH314" s="24">
        <f>MIN(N314-X314,MAX(0,$C314-SUMPRODUCT(($D$3:$M$3&lt;D$3)*($N314:$W314-$X314:$AG314))))</f>
        <v/>
      </c>
      <c r="AI314" s="24">
        <f>MIN(O314-Y314,MAX(0,$C314-SUMPRODUCT(($D$3:$M$3&lt;E$3)*($N314:$W314-$X314:$AG314))))</f>
        <v/>
      </c>
      <c r="AJ314" s="24">
        <f>MIN(P314-Z314,MAX(0,$C314-SUMPRODUCT(($D$3:$M$3&lt;F$3)*($N314:$W314-$X314:$AG314))))</f>
        <v/>
      </c>
      <c r="AK314" s="24">
        <f>MIN(Q314-AA314,MAX(0,$C314-SUMPRODUCT(($D$3:$M$3&lt;G$3)*($N314:$W314-$X314:$AG314))))</f>
        <v/>
      </c>
      <c r="AL314" s="24">
        <f>MIN(R314-AB314,MAX(0,$C314-SUMPRODUCT(($D$3:$M$3&lt;H$3)*($N314:$W314-$X314:$AG314))))</f>
        <v/>
      </c>
      <c r="AM314" s="24">
        <f>MIN(S314-AC314,MAX(0,$C314-SUMPRODUCT(($D$3:$M$3&lt;I$3)*($N314:$W314-$X314:$AG314))))</f>
        <v/>
      </c>
      <c r="AN314" s="24">
        <f>MIN(T314-AD314,MAX(0,$C314-SUMPRODUCT(($D$3:$M$3&lt;J$3)*($N314:$W314-$X314:$AG314))))</f>
        <v/>
      </c>
      <c r="AO314" s="24">
        <f>MIN(U314-AE314,MAX(0,$C314-SUMPRODUCT(($D$3:$M$3&lt;K$3)*($N314:$W314-$X314:$AG314))))</f>
        <v/>
      </c>
      <c r="AP314" s="24">
        <f>MIN(V314-AF314,MAX(0,$C314-SUMPRODUCT(($D$3:$M$3&lt;L$3)*($N314:$W314-$X314:$AG314))))</f>
        <v/>
      </c>
      <c r="AQ314" s="24">
        <f>MIN(W314-AG314,MAX(0,$C314-SUMPRODUCT(($D$3:$M$3&lt;M$3)*($N314:$W314-$X314:$AG314))))</f>
        <v/>
      </c>
      <c r="AR314" s="24">
        <f>ROUND(N314-X314-AH314,2)</f>
        <v/>
      </c>
      <c r="AS314" s="24">
        <f>ROUND(O314-Y314-AI314,2)</f>
        <v/>
      </c>
      <c r="AT314" s="24">
        <f>ROUND(P314-Z314-AJ314,2)</f>
        <v/>
      </c>
      <c r="AU314" s="24">
        <f>ROUND(Q314-AA314-AK314,2)</f>
        <v/>
      </c>
      <c r="AV314" s="24">
        <f>ROUND(R314-AB314-AL314,2)</f>
        <v/>
      </c>
      <c r="AW314" s="24">
        <f>ROUND(S314-AC314-AM314,2)</f>
        <v/>
      </c>
      <c r="AX314" s="24">
        <f>ROUND(T314-AD314-AN314,2)</f>
        <v/>
      </c>
      <c r="AY314" s="24">
        <f>ROUND(U314-AE314-AO314,2)</f>
        <v/>
      </c>
      <c r="AZ314" s="24">
        <f>ROUND(V314-AF314-AP314,2)</f>
        <v/>
      </c>
      <c r="BA314" s="24">
        <f>ROUND(W314-AG314-AQ314,2)</f>
        <v/>
      </c>
      <c r="BB314" s="24">
        <f>SUM(AR314:BA314)</f>
        <v/>
      </c>
    </row>
    <row r="315">
      <c r="A315" t="n">
        <v>311</v>
      </c>
      <c r="B315" s="23">
        <f>EOMONTH(TODAY(),310)</f>
        <v/>
      </c>
      <c r="C315" s="24">
        <f>MAX(0,(SUM('My Loans'!$E$6:$E$15)+'My Loans'!$D$3)-SUM($X315:$AG315))</f>
        <v/>
      </c>
      <c r="D315" s="24">
        <f>MAX(0,AR314)</f>
        <v/>
      </c>
      <c r="E315" s="24">
        <f>MAX(0,AS314)</f>
        <v/>
      </c>
      <c r="F315" s="24">
        <f>MAX(0,AT314)</f>
        <v/>
      </c>
      <c r="G315" s="24">
        <f>MAX(0,AU314)</f>
        <v/>
      </c>
      <c r="H315" s="24">
        <f>MAX(0,AV314)</f>
        <v/>
      </c>
      <c r="I315" s="24">
        <f>MAX(0,AW314)</f>
        <v/>
      </c>
      <c r="J315" s="24">
        <f>MAX(0,AX314)</f>
        <v/>
      </c>
      <c r="K315" s="24">
        <f>MAX(0,AY314)</f>
        <v/>
      </c>
      <c r="L315" s="24">
        <f>MAX(0,AZ314)</f>
        <v/>
      </c>
      <c r="M315" s="24">
        <f>MAX(0,BA314)</f>
        <v/>
      </c>
      <c r="N315" s="24">
        <f>IF(D315&lt;0.5,0,D315*(1+N('My Loans'!D6)/1200))</f>
        <v/>
      </c>
      <c r="O315" s="24">
        <f>IF(E315&lt;0.5,0,E315*(1+N('My Loans'!D7)/1200))</f>
        <v/>
      </c>
      <c r="P315" s="24">
        <f>IF(F315&lt;0.5,0,F315*(1+N('My Loans'!D8)/1200))</f>
        <v/>
      </c>
      <c r="Q315" s="24">
        <f>IF(G315&lt;0.5,0,G315*(1+N('My Loans'!D9)/1200))</f>
        <v/>
      </c>
      <c r="R315" s="24">
        <f>IF(H315&lt;0.5,0,H315*(1+N('My Loans'!D10)/1200))</f>
        <v/>
      </c>
      <c r="S315" s="24">
        <f>IF(I315&lt;0.5,0,I315*(1+N('My Loans'!D11)/1200))</f>
        <v/>
      </c>
      <c r="T315" s="24">
        <f>IF(J315&lt;0.5,0,J315*(1+N('My Loans'!D12)/1200))</f>
        <v/>
      </c>
      <c r="U315" s="24">
        <f>IF(K315&lt;0.5,0,K315*(1+N('My Loans'!D13)/1200))</f>
        <v/>
      </c>
      <c r="V315" s="24">
        <f>IF(L315&lt;0.5,0,L315*(1+N('My Loans'!D14)/1200))</f>
        <v/>
      </c>
      <c r="W315" s="24">
        <f>IF(M315&lt;0.5,0,M315*(1+N('My Loans'!D15)/1200))</f>
        <v/>
      </c>
      <c r="X315" s="24">
        <f>MIN(N315,N('My Loans'!E6))</f>
        <v/>
      </c>
      <c r="Y315" s="24">
        <f>MIN(O315,N('My Loans'!E7))</f>
        <v/>
      </c>
      <c r="Z315" s="24">
        <f>MIN(P315,N('My Loans'!E8))</f>
        <v/>
      </c>
      <c r="AA315" s="24">
        <f>MIN(Q315,N('My Loans'!E9))</f>
        <v/>
      </c>
      <c r="AB315" s="24">
        <f>MIN(R315,N('My Loans'!E10))</f>
        <v/>
      </c>
      <c r="AC315" s="24">
        <f>MIN(S315,N('My Loans'!E11))</f>
        <v/>
      </c>
      <c r="AD315" s="24">
        <f>MIN(T315,N('My Loans'!E12))</f>
        <v/>
      </c>
      <c r="AE315" s="24">
        <f>MIN(U315,N('My Loans'!E13))</f>
        <v/>
      </c>
      <c r="AF315" s="24">
        <f>MIN(V315,N('My Loans'!E14))</f>
        <v/>
      </c>
      <c r="AG315" s="24">
        <f>MIN(W315,N('My Loans'!E15))</f>
        <v/>
      </c>
      <c r="AH315" s="24">
        <f>MIN(N315-X315,MAX(0,$C315-SUMPRODUCT(($D$3:$M$3&lt;D$3)*($N315:$W315-$X315:$AG315))))</f>
        <v/>
      </c>
      <c r="AI315" s="24">
        <f>MIN(O315-Y315,MAX(0,$C315-SUMPRODUCT(($D$3:$M$3&lt;E$3)*($N315:$W315-$X315:$AG315))))</f>
        <v/>
      </c>
      <c r="AJ315" s="24">
        <f>MIN(P315-Z315,MAX(0,$C315-SUMPRODUCT(($D$3:$M$3&lt;F$3)*($N315:$W315-$X315:$AG315))))</f>
        <v/>
      </c>
      <c r="AK315" s="24">
        <f>MIN(Q315-AA315,MAX(0,$C315-SUMPRODUCT(($D$3:$M$3&lt;G$3)*($N315:$W315-$X315:$AG315))))</f>
        <v/>
      </c>
      <c r="AL315" s="24">
        <f>MIN(R315-AB315,MAX(0,$C315-SUMPRODUCT(($D$3:$M$3&lt;H$3)*($N315:$W315-$X315:$AG315))))</f>
        <v/>
      </c>
      <c r="AM315" s="24">
        <f>MIN(S315-AC315,MAX(0,$C315-SUMPRODUCT(($D$3:$M$3&lt;I$3)*($N315:$W315-$X315:$AG315))))</f>
        <v/>
      </c>
      <c r="AN315" s="24">
        <f>MIN(T315-AD315,MAX(0,$C315-SUMPRODUCT(($D$3:$M$3&lt;J$3)*($N315:$W315-$X315:$AG315))))</f>
        <v/>
      </c>
      <c r="AO315" s="24">
        <f>MIN(U315-AE315,MAX(0,$C315-SUMPRODUCT(($D$3:$M$3&lt;K$3)*($N315:$W315-$X315:$AG315))))</f>
        <v/>
      </c>
      <c r="AP315" s="24">
        <f>MIN(V315-AF315,MAX(0,$C315-SUMPRODUCT(($D$3:$M$3&lt;L$3)*($N315:$W315-$X315:$AG315))))</f>
        <v/>
      </c>
      <c r="AQ315" s="24">
        <f>MIN(W315-AG315,MAX(0,$C315-SUMPRODUCT(($D$3:$M$3&lt;M$3)*($N315:$W315-$X315:$AG315))))</f>
        <v/>
      </c>
      <c r="AR315" s="24">
        <f>ROUND(N315-X315-AH315,2)</f>
        <v/>
      </c>
      <c r="AS315" s="24">
        <f>ROUND(O315-Y315-AI315,2)</f>
        <v/>
      </c>
      <c r="AT315" s="24">
        <f>ROUND(P315-Z315-AJ315,2)</f>
        <v/>
      </c>
      <c r="AU315" s="24">
        <f>ROUND(Q315-AA315-AK315,2)</f>
        <v/>
      </c>
      <c r="AV315" s="24">
        <f>ROUND(R315-AB315-AL315,2)</f>
        <v/>
      </c>
      <c r="AW315" s="24">
        <f>ROUND(S315-AC315-AM315,2)</f>
        <v/>
      </c>
      <c r="AX315" s="24">
        <f>ROUND(T315-AD315-AN315,2)</f>
        <v/>
      </c>
      <c r="AY315" s="24">
        <f>ROUND(U315-AE315-AO315,2)</f>
        <v/>
      </c>
      <c r="AZ315" s="24">
        <f>ROUND(V315-AF315-AP315,2)</f>
        <v/>
      </c>
      <c r="BA315" s="24">
        <f>ROUND(W315-AG315-AQ315,2)</f>
        <v/>
      </c>
      <c r="BB315" s="24">
        <f>SUM(AR315:BA315)</f>
        <v/>
      </c>
    </row>
    <row r="316">
      <c r="A316" t="n">
        <v>312</v>
      </c>
      <c r="B316" s="23">
        <f>EOMONTH(TODAY(),311)</f>
        <v/>
      </c>
      <c r="C316" s="24">
        <f>MAX(0,(SUM('My Loans'!$E$6:$E$15)+'My Loans'!$D$3)-SUM($X316:$AG316))</f>
        <v/>
      </c>
      <c r="D316" s="24">
        <f>MAX(0,AR315)</f>
        <v/>
      </c>
      <c r="E316" s="24">
        <f>MAX(0,AS315)</f>
        <v/>
      </c>
      <c r="F316" s="24">
        <f>MAX(0,AT315)</f>
        <v/>
      </c>
      <c r="G316" s="24">
        <f>MAX(0,AU315)</f>
        <v/>
      </c>
      <c r="H316" s="24">
        <f>MAX(0,AV315)</f>
        <v/>
      </c>
      <c r="I316" s="24">
        <f>MAX(0,AW315)</f>
        <v/>
      </c>
      <c r="J316" s="24">
        <f>MAX(0,AX315)</f>
        <v/>
      </c>
      <c r="K316" s="24">
        <f>MAX(0,AY315)</f>
        <v/>
      </c>
      <c r="L316" s="24">
        <f>MAX(0,AZ315)</f>
        <v/>
      </c>
      <c r="M316" s="24">
        <f>MAX(0,BA315)</f>
        <v/>
      </c>
      <c r="N316" s="24">
        <f>IF(D316&lt;0.5,0,D316*(1+N('My Loans'!D6)/1200))</f>
        <v/>
      </c>
      <c r="O316" s="24">
        <f>IF(E316&lt;0.5,0,E316*(1+N('My Loans'!D7)/1200))</f>
        <v/>
      </c>
      <c r="P316" s="24">
        <f>IF(F316&lt;0.5,0,F316*(1+N('My Loans'!D8)/1200))</f>
        <v/>
      </c>
      <c r="Q316" s="24">
        <f>IF(G316&lt;0.5,0,G316*(1+N('My Loans'!D9)/1200))</f>
        <v/>
      </c>
      <c r="R316" s="24">
        <f>IF(H316&lt;0.5,0,H316*(1+N('My Loans'!D10)/1200))</f>
        <v/>
      </c>
      <c r="S316" s="24">
        <f>IF(I316&lt;0.5,0,I316*(1+N('My Loans'!D11)/1200))</f>
        <v/>
      </c>
      <c r="T316" s="24">
        <f>IF(J316&lt;0.5,0,J316*(1+N('My Loans'!D12)/1200))</f>
        <v/>
      </c>
      <c r="U316" s="24">
        <f>IF(K316&lt;0.5,0,K316*(1+N('My Loans'!D13)/1200))</f>
        <v/>
      </c>
      <c r="V316" s="24">
        <f>IF(L316&lt;0.5,0,L316*(1+N('My Loans'!D14)/1200))</f>
        <v/>
      </c>
      <c r="W316" s="24">
        <f>IF(M316&lt;0.5,0,M316*(1+N('My Loans'!D15)/1200))</f>
        <v/>
      </c>
      <c r="X316" s="24">
        <f>MIN(N316,N('My Loans'!E6))</f>
        <v/>
      </c>
      <c r="Y316" s="24">
        <f>MIN(O316,N('My Loans'!E7))</f>
        <v/>
      </c>
      <c r="Z316" s="24">
        <f>MIN(P316,N('My Loans'!E8))</f>
        <v/>
      </c>
      <c r="AA316" s="24">
        <f>MIN(Q316,N('My Loans'!E9))</f>
        <v/>
      </c>
      <c r="AB316" s="24">
        <f>MIN(R316,N('My Loans'!E10))</f>
        <v/>
      </c>
      <c r="AC316" s="24">
        <f>MIN(S316,N('My Loans'!E11))</f>
        <v/>
      </c>
      <c r="AD316" s="24">
        <f>MIN(T316,N('My Loans'!E12))</f>
        <v/>
      </c>
      <c r="AE316" s="24">
        <f>MIN(U316,N('My Loans'!E13))</f>
        <v/>
      </c>
      <c r="AF316" s="24">
        <f>MIN(V316,N('My Loans'!E14))</f>
        <v/>
      </c>
      <c r="AG316" s="24">
        <f>MIN(W316,N('My Loans'!E15))</f>
        <v/>
      </c>
      <c r="AH316" s="24">
        <f>MIN(N316-X316,MAX(0,$C316-SUMPRODUCT(($D$3:$M$3&lt;D$3)*($N316:$W316-$X316:$AG316))))</f>
        <v/>
      </c>
      <c r="AI316" s="24">
        <f>MIN(O316-Y316,MAX(0,$C316-SUMPRODUCT(($D$3:$M$3&lt;E$3)*($N316:$W316-$X316:$AG316))))</f>
        <v/>
      </c>
      <c r="AJ316" s="24">
        <f>MIN(P316-Z316,MAX(0,$C316-SUMPRODUCT(($D$3:$M$3&lt;F$3)*($N316:$W316-$X316:$AG316))))</f>
        <v/>
      </c>
      <c r="AK316" s="24">
        <f>MIN(Q316-AA316,MAX(0,$C316-SUMPRODUCT(($D$3:$M$3&lt;G$3)*($N316:$W316-$X316:$AG316))))</f>
        <v/>
      </c>
      <c r="AL316" s="24">
        <f>MIN(R316-AB316,MAX(0,$C316-SUMPRODUCT(($D$3:$M$3&lt;H$3)*($N316:$W316-$X316:$AG316))))</f>
        <v/>
      </c>
      <c r="AM316" s="24">
        <f>MIN(S316-AC316,MAX(0,$C316-SUMPRODUCT(($D$3:$M$3&lt;I$3)*($N316:$W316-$X316:$AG316))))</f>
        <v/>
      </c>
      <c r="AN316" s="24">
        <f>MIN(T316-AD316,MAX(0,$C316-SUMPRODUCT(($D$3:$M$3&lt;J$3)*($N316:$W316-$X316:$AG316))))</f>
        <v/>
      </c>
      <c r="AO316" s="24">
        <f>MIN(U316-AE316,MAX(0,$C316-SUMPRODUCT(($D$3:$M$3&lt;K$3)*($N316:$W316-$X316:$AG316))))</f>
        <v/>
      </c>
      <c r="AP316" s="24">
        <f>MIN(V316-AF316,MAX(0,$C316-SUMPRODUCT(($D$3:$M$3&lt;L$3)*($N316:$W316-$X316:$AG316))))</f>
        <v/>
      </c>
      <c r="AQ316" s="24">
        <f>MIN(W316-AG316,MAX(0,$C316-SUMPRODUCT(($D$3:$M$3&lt;M$3)*($N316:$W316-$X316:$AG316))))</f>
        <v/>
      </c>
      <c r="AR316" s="24">
        <f>ROUND(N316-X316-AH316,2)</f>
        <v/>
      </c>
      <c r="AS316" s="24">
        <f>ROUND(O316-Y316-AI316,2)</f>
        <v/>
      </c>
      <c r="AT316" s="24">
        <f>ROUND(P316-Z316-AJ316,2)</f>
        <v/>
      </c>
      <c r="AU316" s="24">
        <f>ROUND(Q316-AA316-AK316,2)</f>
        <v/>
      </c>
      <c r="AV316" s="24">
        <f>ROUND(R316-AB316-AL316,2)</f>
        <v/>
      </c>
      <c r="AW316" s="24">
        <f>ROUND(S316-AC316-AM316,2)</f>
        <v/>
      </c>
      <c r="AX316" s="24">
        <f>ROUND(T316-AD316-AN316,2)</f>
        <v/>
      </c>
      <c r="AY316" s="24">
        <f>ROUND(U316-AE316-AO316,2)</f>
        <v/>
      </c>
      <c r="AZ316" s="24">
        <f>ROUND(V316-AF316-AP316,2)</f>
        <v/>
      </c>
      <c r="BA316" s="24">
        <f>ROUND(W316-AG316-AQ316,2)</f>
        <v/>
      </c>
      <c r="BB316" s="24">
        <f>SUM(AR316:BA316)</f>
        <v/>
      </c>
    </row>
    <row r="317">
      <c r="A317" t="n">
        <v>313</v>
      </c>
      <c r="B317" s="23">
        <f>EOMONTH(TODAY(),312)</f>
        <v/>
      </c>
      <c r="C317" s="24">
        <f>MAX(0,(SUM('My Loans'!$E$6:$E$15)+'My Loans'!$D$3)-SUM($X317:$AG317))</f>
        <v/>
      </c>
      <c r="D317" s="24">
        <f>MAX(0,AR316)</f>
        <v/>
      </c>
      <c r="E317" s="24">
        <f>MAX(0,AS316)</f>
        <v/>
      </c>
      <c r="F317" s="24">
        <f>MAX(0,AT316)</f>
        <v/>
      </c>
      <c r="G317" s="24">
        <f>MAX(0,AU316)</f>
        <v/>
      </c>
      <c r="H317" s="24">
        <f>MAX(0,AV316)</f>
        <v/>
      </c>
      <c r="I317" s="24">
        <f>MAX(0,AW316)</f>
        <v/>
      </c>
      <c r="J317" s="24">
        <f>MAX(0,AX316)</f>
        <v/>
      </c>
      <c r="K317" s="24">
        <f>MAX(0,AY316)</f>
        <v/>
      </c>
      <c r="L317" s="24">
        <f>MAX(0,AZ316)</f>
        <v/>
      </c>
      <c r="M317" s="24">
        <f>MAX(0,BA316)</f>
        <v/>
      </c>
      <c r="N317" s="24">
        <f>IF(D317&lt;0.5,0,D317*(1+N('My Loans'!D6)/1200))</f>
        <v/>
      </c>
      <c r="O317" s="24">
        <f>IF(E317&lt;0.5,0,E317*(1+N('My Loans'!D7)/1200))</f>
        <v/>
      </c>
      <c r="P317" s="24">
        <f>IF(F317&lt;0.5,0,F317*(1+N('My Loans'!D8)/1200))</f>
        <v/>
      </c>
      <c r="Q317" s="24">
        <f>IF(G317&lt;0.5,0,G317*(1+N('My Loans'!D9)/1200))</f>
        <v/>
      </c>
      <c r="R317" s="24">
        <f>IF(H317&lt;0.5,0,H317*(1+N('My Loans'!D10)/1200))</f>
        <v/>
      </c>
      <c r="S317" s="24">
        <f>IF(I317&lt;0.5,0,I317*(1+N('My Loans'!D11)/1200))</f>
        <v/>
      </c>
      <c r="T317" s="24">
        <f>IF(J317&lt;0.5,0,J317*(1+N('My Loans'!D12)/1200))</f>
        <v/>
      </c>
      <c r="U317" s="24">
        <f>IF(K317&lt;0.5,0,K317*(1+N('My Loans'!D13)/1200))</f>
        <v/>
      </c>
      <c r="V317" s="24">
        <f>IF(L317&lt;0.5,0,L317*(1+N('My Loans'!D14)/1200))</f>
        <v/>
      </c>
      <c r="W317" s="24">
        <f>IF(M317&lt;0.5,0,M317*(1+N('My Loans'!D15)/1200))</f>
        <v/>
      </c>
      <c r="X317" s="24">
        <f>MIN(N317,N('My Loans'!E6))</f>
        <v/>
      </c>
      <c r="Y317" s="24">
        <f>MIN(O317,N('My Loans'!E7))</f>
        <v/>
      </c>
      <c r="Z317" s="24">
        <f>MIN(P317,N('My Loans'!E8))</f>
        <v/>
      </c>
      <c r="AA317" s="24">
        <f>MIN(Q317,N('My Loans'!E9))</f>
        <v/>
      </c>
      <c r="AB317" s="24">
        <f>MIN(R317,N('My Loans'!E10))</f>
        <v/>
      </c>
      <c r="AC317" s="24">
        <f>MIN(S317,N('My Loans'!E11))</f>
        <v/>
      </c>
      <c r="AD317" s="24">
        <f>MIN(T317,N('My Loans'!E12))</f>
        <v/>
      </c>
      <c r="AE317" s="24">
        <f>MIN(U317,N('My Loans'!E13))</f>
        <v/>
      </c>
      <c r="AF317" s="24">
        <f>MIN(V317,N('My Loans'!E14))</f>
        <v/>
      </c>
      <c r="AG317" s="24">
        <f>MIN(W317,N('My Loans'!E15))</f>
        <v/>
      </c>
      <c r="AH317" s="24">
        <f>MIN(N317-X317,MAX(0,$C317-SUMPRODUCT(($D$3:$M$3&lt;D$3)*($N317:$W317-$X317:$AG317))))</f>
        <v/>
      </c>
      <c r="AI317" s="24">
        <f>MIN(O317-Y317,MAX(0,$C317-SUMPRODUCT(($D$3:$M$3&lt;E$3)*($N317:$W317-$X317:$AG317))))</f>
        <v/>
      </c>
      <c r="AJ317" s="24">
        <f>MIN(P317-Z317,MAX(0,$C317-SUMPRODUCT(($D$3:$M$3&lt;F$3)*($N317:$W317-$X317:$AG317))))</f>
        <v/>
      </c>
      <c r="AK317" s="24">
        <f>MIN(Q317-AA317,MAX(0,$C317-SUMPRODUCT(($D$3:$M$3&lt;G$3)*($N317:$W317-$X317:$AG317))))</f>
        <v/>
      </c>
      <c r="AL317" s="24">
        <f>MIN(R317-AB317,MAX(0,$C317-SUMPRODUCT(($D$3:$M$3&lt;H$3)*($N317:$W317-$X317:$AG317))))</f>
        <v/>
      </c>
      <c r="AM317" s="24">
        <f>MIN(S317-AC317,MAX(0,$C317-SUMPRODUCT(($D$3:$M$3&lt;I$3)*($N317:$W317-$X317:$AG317))))</f>
        <v/>
      </c>
      <c r="AN317" s="24">
        <f>MIN(T317-AD317,MAX(0,$C317-SUMPRODUCT(($D$3:$M$3&lt;J$3)*($N317:$W317-$X317:$AG317))))</f>
        <v/>
      </c>
      <c r="AO317" s="24">
        <f>MIN(U317-AE317,MAX(0,$C317-SUMPRODUCT(($D$3:$M$3&lt;K$3)*($N317:$W317-$X317:$AG317))))</f>
        <v/>
      </c>
      <c r="AP317" s="24">
        <f>MIN(V317-AF317,MAX(0,$C317-SUMPRODUCT(($D$3:$M$3&lt;L$3)*($N317:$W317-$X317:$AG317))))</f>
        <v/>
      </c>
      <c r="AQ317" s="24">
        <f>MIN(W317-AG317,MAX(0,$C317-SUMPRODUCT(($D$3:$M$3&lt;M$3)*($N317:$W317-$X317:$AG317))))</f>
        <v/>
      </c>
      <c r="AR317" s="24">
        <f>ROUND(N317-X317-AH317,2)</f>
        <v/>
      </c>
      <c r="AS317" s="24">
        <f>ROUND(O317-Y317-AI317,2)</f>
        <v/>
      </c>
      <c r="AT317" s="24">
        <f>ROUND(P317-Z317-AJ317,2)</f>
        <v/>
      </c>
      <c r="AU317" s="24">
        <f>ROUND(Q317-AA317-AK317,2)</f>
        <v/>
      </c>
      <c r="AV317" s="24">
        <f>ROUND(R317-AB317-AL317,2)</f>
        <v/>
      </c>
      <c r="AW317" s="24">
        <f>ROUND(S317-AC317-AM317,2)</f>
        <v/>
      </c>
      <c r="AX317" s="24">
        <f>ROUND(T317-AD317-AN317,2)</f>
        <v/>
      </c>
      <c r="AY317" s="24">
        <f>ROUND(U317-AE317-AO317,2)</f>
        <v/>
      </c>
      <c r="AZ317" s="24">
        <f>ROUND(V317-AF317-AP317,2)</f>
        <v/>
      </c>
      <c r="BA317" s="24">
        <f>ROUND(W317-AG317-AQ317,2)</f>
        <v/>
      </c>
      <c r="BB317" s="24">
        <f>SUM(AR317:BA317)</f>
        <v/>
      </c>
    </row>
    <row r="318">
      <c r="A318" t="n">
        <v>314</v>
      </c>
      <c r="B318" s="23">
        <f>EOMONTH(TODAY(),313)</f>
        <v/>
      </c>
      <c r="C318" s="24">
        <f>MAX(0,(SUM('My Loans'!$E$6:$E$15)+'My Loans'!$D$3)-SUM($X318:$AG318))</f>
        <v/>
      </c>
      <c r="D318" s="24">
        <f>MAX(0,AR317)</f>
        <v/>
      </c>
      <c r="E318" s="24">
        <f>MAX(0,AS317)</f>
        <v/>
      </c>
      <c r="F318" s="24">
        <f>MAX(0,AT317)</f>
        <v/>
      </c>
      <c r="G318" s="24">
        <f>MAX(0,AU317)</f>
        <v/>
      </c>
      <c r="H318" s="24">
        <f>MAX(0,AV317)</f>
        <v/>
      </c>
      <c r="I318" s="24">
        <f>MAX(0,AW317)</f>
        <v/>
      </c>
      <c r="J318" s="24">
        <f>MAX(0,AX317)</f>
        <v/>
      </c>
      <c r="K318" s="24">
        <f>MAX(0,AY317)</f>
        <v/>
      </c>
      <c r="L318" s="24">
        <f>MAX(0,AZ317)</f>
        <v/>
      </c>
      <c r="M318" s="24">
        <f>MAX(0,BA317)</f>
        <v/>
      </c>
      <c r="N318" s="24">
        <f>IF(D318&lt;0.5,0,D318*(1+N('My Loans'!D6)/1200))</f>
        <v/>
      </c>
      <c r="O318" s="24">
        <f>IF(E318&lt;0.5,0,E318*(1+N('My Loans'!D7)/1200))</f>
        <v/>
      </c>
      <c r="P318" s="24">
        <f>IF(F318&lt;0.5,0,F318*(1+N('My Loans'!D8)/1200))</f>
        <v/>
      </c>
      <c r="Q318" s="24">
        <f>IF(G318&lt;0.5,0,G318*(1+N('My Loans'!D9)/1200))</f>
        <v/>
      </c>
      <c r="R318" s="24">
        <f>IF(H318&lt;0.5,0,H318*(1+N('My Loans'!D10)/1200))</f>
        <v/>
      </c>
      <c r="S318" s="24">
        <f>IF(I318&lt;0.5,0,I318*(1+N('My Loans'!D11)/1200))</f>
        <v/>
      </c>
      <c r="T318" s="24">
        <f>IF(J318&lt;0.5,0,J318*(1+N('My Loans'!D12)/1200))</f>
        <v/>
      </c>
      <c r="U318" s="24">
        <f>IF(K318&lt;0.5,0,K318*(1+N('My Loans'!D13)/1200))</f>
        <v/>
      </c>
      <c r="V318" s="24">
        <f>IF(L318&lt;0.5,0,L318*(1+N('My Loans'!D14)/1200))</f>
        <v/>
      </c>
      <c r="W318" s="24">
        <f>IF(M318&lt;0.5,0,M318*(1+N('My Loans'!D15)/1200))</f>
        <v/>
      </c>
      <c r="X318" s="24">
        <f>MIN(N318,N('My Loans'!E6))</f>
        <v/>
      </c>
      <c r="Y318" s="24">
        <f>MIN(O318,N('My Loans'!E7))</f>
        <v/>
      </c>
      <c r="Z318" s="24">
        <f>MIN(P318,N('My Loans'!E8))</f>
        <v/>
      </c>
      <c r="AA318" s="24">
        <f>MIN(Q318,N('My Loans'!E9))</f>
        <v/>
      </c>
      <c r="AB318" s="24">
        <f>MIN(R318,N('My Loans'!E10))</f>
        <v/>
      </c>
      <c r="AC318" s="24">
        <f>MIN(S318,N('My Loans'!E11))</f>
        <v/>
      </c>
      <c r="AD318" s="24">
        <f>MIN(T318,N('My Loans'!E12))</f>
        <v/>
      </c>
      <c r="AE318" s="24">
        <f>MIN(U318,N('My Loans'!E13))</f>
        <v/>
      </c>
      <c r="AF318" s="24">
        <f>MIN(V318,N('My Loans'!E14))</f>
        <v/>
      </c>
      <c r="AG318" s="24">
        <f>MIN(W318,N('My Loans'!E15))</f>
        <v/>
      </c>
      <c r="AH318" s="24">
        <f>MIN(N318-X318,MAX(0,$C318-SUMPRODUCT(($D$3:$M$3&lt;D$3)*($N318:$W318-$X318:$AG318))))</f>
        <v/>
      </c>
      <c r="AI318" s="24">
        <f>MIN(O318-Y318,MAX(0,$C318-SUMPRODUCT(($D$3:$M$3&lt;E$3)*($N318:$W318-$X318:$AG318))))</f>
        <v/>
      </c>
      <c r="AJ318" s="24">
        <f>MIN(P318-Z318,MAX(0,$C318-SUMPRODUCT(($D$3:$M$3&lt;F$3)*($N318:$W318-$X318:$AG318))))</f>
        <v/>
      </c>
      <c r="AK318" s="24">
        <f>MIN(Q318-AA318,MAX(0,$C318-SUMPRODUCT(($D$3:$M$3&lt;G$3)*($N318:$W318-$X318:$AG318))))</f>
        <v/>
      </c>
      <c r="AL318" s="24">
        <f>MIN(R318-AB318,MAX(0,$C318-SUMPRODUCT(($D$3:$M$3&lt;H$3)*($N318:$W318-$X318:$AG318))))</f>
        <v/>
      </c>
      <c r="AM318" s="24">
        <f>MIN(S318-AC318,MAX(0,$C318-SUMPRODUCT(($D$3:$M$3&lt;I$3)*($N318:$W318-$X318:$AG318))))</f>
        <v/>
      </c>
      <c r="AN318" s="24">
        <f>MIN(T318-AD318,MAX(0,$C318-SUMPRODUCT(($D$3:$M$3&lt;J$3)*($N318:$W318-$X318:$AG318))))</f>
        <v/>
      </c>
      <c r="AO318" s="24">
        <f>MIN(U318-AE318,MAX(0,$C318-SUMPRODUCT(($D$3:$M$3&lt;K$3)*($N318:$W318-$X318:$AG318))))</f>
        <v/>
      </c>
      <c r="AP318" s="24">
        <f>MIN(V318-AF318,MAX(0,$C318-SUMPRODUCT(($D$3:$M$3&lt;L$3)*($N318:$W318-$X318:$AG318))))</f>
        <v/>
      </c>
      <c r="AQ318" s="24">
        <f>MIN(W318-AG318,MAX(0,$C318-SUMPRODUCT(($D$3:$M$3&lt;M$3)*($N318:$W318-$X318:$AG318))))</f>
        <v/>
      </c>
      <c r="AR318" s="24">
        <f>ROUND(N318-X318-AH318,2)</f>
        <v/>
      </c>
      <c r="AS318" s="24">
        <f>ROUND(O318-Y318-AI318,2)</f>
        <v/>
      </c>
      <c r="AT318" s="24">
        <f>ROUND(P318-Z318-AJ318,2)</f>
        <v/>
      </c>
      <c r="AU318" s="24">
        <f>ROUND(Q318-AA318-AK318,2)</f>
        <v/>
      </c>
      <c r="AV318" s="24">
        <f>ROUND(R318-AB318-AL318,2)</f>
        <v/>
      </c>
      <c r="AW318" s="24">
        <f>ROUND(S318-AC318-AM318,2)</f>
        <v/>
      </c>
      <c r="AX318" s="24">
        <f>ROUND(T318-AD318-AN318,2)</f>
        <v/>
      </c>
      <c r="AY318" s="24">
        <f>ROUND(U318-AE318-AO318,2)</f>
        <v/>
      </c>
      <c r="AZ318" s="24">
        <f>ROUND(V318-AF318-AP318,2)</f>
        <v/>
      </c>
      <c r="BA318" s="24">
        <f>ROUND(W318-AG318-AQ318,2)</f>
        <v/>
      </c>
      <c r="BB318" s="24">
        <f>SUM(AR318:BA318)</f>
        <v/>
      </c>
    </row>
    <row r="319">
      <c r="A319" t="n">
        <v>315</v>
      </c>
      <c r="B319" s="23">
        <f>EOMONTH(TODAY(),314)</f>
        <v/>
      </c>
      <c r="C319" s="24">
        <f>MAX(0,(SUM('My Loans'!$E$6:$E$15)+'My Loans'!$D$3)-SUM($X319:$AG319))</f>
        <v/>
      </c>
      <c r="D319" s="24">
        <f>MAX(0,AR318)</f>
        <v/>
      </c>
      <c r="E319" s="24">
        <f>MAX(0,AS318)</f>
        <v/>
      </c>
      <c r="F319" s="24">
        <f>MAX(0,AT318)</f>
        <v/>
      </c>
      <c r="G319" s="24">
        <f>MAX(0,AU318)</f>
        <v/>
      </c>
      <c r="H319" s="24">
        <f>MAX(0,AV318)</f>
        <v/>
      </c>
      <c r="I319" s="24">
        <f>MAX(0,AW318)</f>
        <v/>
      </c>
      <c r="J319" s="24">
        <f>MAX(0,AX318)</f>
        <v/>
      </c>
      <c r="K319" s="24">
        <f>MAX(0,AY318)</f>
        <v/>
      </c>
      <c r="L319" s="24">
        <f>MAX(0,AZ318)</f>
        <v/>
      </c>
      <c r="M319" s="24">
        <f>MAX(0,BA318)</f>
        <v/>
      </c>
      <c r="N319" s="24">
        <f>IF(D319&lt;0.5,0,D319*(1+N('My Loans'!D6)/1200))</f>
        <v/>
      </c>
      <c r="O319" s="24">
        <f>IF(E319&lt;0.5,0,E319*(1+N('My Loans'!D7)/1200))</f>
        <v/>
      </c>
      <c r="P319" s="24">
        <f>IF(F319&lt;0.5,0,F319*(1+N('My Loans'!D8)/1200))</f>
        <v/>
      </c>
      <c r="Q319" s="24">
        <f>IF(G319&lt;0.5,0,G319*(1+N('My Loans'!D9)/1200))</f>
        <v/>
      </c>
      <c r="R319" s="24">
        <f>IF(H319&lt;0.5,0,H319*(1+N('My Loans'!D10)/1200))</f>
        <v/>
      </c>
      <c r="S319" s="24">
        <f>IF(I319&lt;0.5,0,I319*(1+N('My Loans'!D11)/1200))</f>
        <v/>
      </c>
      <c r="T319" s="24">
        <f>IF(J319&lt;0.5,0,J319*(1+N('My Loans'!D12)/1200))</f>
        <v/>
      </c>
      <c r="U319" s="24">
        <f>IF(K319&lt;0.5,0,K319*(1+N('My Loans'!D13)/1200))</f>
        <v/>
      </c>
      <c r="V319" s="24">
        <f>IF(L319&lt;0.5,0,L319*(1+N('My Loans'!D14)/1200))</f>
        <v/>
      </c>
      <c r="W319" s="24">
        <f>IF(M319&lt;0.5,0,M319*(1+N('My Loans'!D15)/1200))</f>
        <v/>
      </c>
      <c r="X319" s="24">
        <f>MIN(N319,N('My Loans'!E6))</f>
        <v/>
      </c>
      <c r="Y319" s="24">
        <f>MIN(O319,N('My Loans'!E7))</f>
        <v/>
      </c>
      <c r="Z319" s="24">
        <f>MIN(P319,N('My Loans'!E8))</f>
        <v/>
      </c>
      <c r="AA319" s="24">
        <f>MIN(Q319,N('My Loans'!E9))</f>
        <v/>
      </c>
      <c r="AB319" s="24">
        <f>MIN(R319,N('My Loans'!E10))</f>
        <v/>
      </c>
      <c r="AC319" s="24">
        <f>MIN(S319,N('My Loans'!E11))</f>
        <v/>
      </c>
      <c r="AD319" s="24">
        <f>MIN(T319,N('My Loans'!E12))</f>
        <v/>
      </c>
      <c r="AE319" s="24">
        <f>MIN(U319,N('My Loans'!E13))</f>
        <v/>
      </c>
      <c r="AF319" s="24">
        <f>MIN(V319,N('My Loans'!E14))</f>
        <v/>
      </c>
      <c r="AG319" s="24">
        <f>MIN(W319,N('My Loans'!E15))</f>
        <v/>
      </c>
      <c r="AH319" s="24">
        <f>MIN(N319-X319,MAX(0,$C319-SUMPRODUCT(($D$3:$M$3&lt;D$3)*($N319:$W319-$X319:$AG319))))</f>
        <v/>
      </c>
      <c r="AI319" s="24">
        <f>MIN(O319-Y319,MAX(0,$C319-SUMPRODUCT(($D$3:$M$3&lt;E$3)*($N319:$W319-$X319:$AG319))))</f>
        <v/>
      </c>
      <c r="AJ319" s="24">
        <f>MIN(P319-Z319,MAX(0,$C319-SUMPRODUCT(($D$3:$M$3&lt;F$3)*($N319:$W319-$X319:$AG319))))</f>
        <v/>
      </c>
      <c r="AK319" s="24">
        <f>MIN(Q319-AA319,MAX(0,$C319-SUMPRODUCT(($D$3:$M$3&lt;G$3)*($N319:$W319-$X319:$AG319))))</f>
        <v/>
      </c>
      <c r="AL319" s="24">
        <f>MIN(R319-AB319,MAX(0,$C319-SUMPRODUCT(($D$3:$M$3&lt;H$3)*($N319:$W319-$X319:$AG319))))</f>
        <v/>
      </c>
      <c r="AM319" s="24">
        <f>MIN(S319-AC319,MAX(0,$C319-SUMPRODUCT(($D$3:$M$3&lt;I$3)*($N319:$W319-$X319:$AG319))))</f>
        <v/>
      </c>
      <c r="AN319" s="24">
        <f>MIN(T319-AD319,MAX(0,$C319-SUMPRODUCT(($D$3:$M$3&lt;J$3)*($N319:$W319-$X319:$AG319))))</f>
        <v/>
      </c>
      <c r="AO319" s="24">
        <f>MIN(U319-AE319,MAX(0,$C319-SUMPRODUCT(($D$3:$M$3&lt;K$3)*($N319:$W319-$X319:$AG319))))</f>
        <v/>
      </c>
      <c r="AP319" s="24">
        <f>MIN(V319-AF319,MAX(0,$C319-SUMPRODUCT(($D$3:$M$3&lt;L$3)*($N319:$W319-$X319:$AG319))))</f>
        <v/>
      </c>
      <c r="AQ319" s="24">
        <f>MIN(W319-AG319,MAX(0,$C319-SUMPRODUCT(($D$3:$M$3&lt;M$3)*($N319:$W319-$X319:$AG319))))</f>
        <v/>
      </c>
      <c r="AR319" s="24">
        <f>ROUND(N319-X319-AH319,2)</f>
        <v/>
      </c>
      <c r="AS319" s="24">
        <f>ROUND(O319-Y319-AI319,2)</f>
        <v/>
      </c>
      <c r="AT319" s="24">
        <f>ROUND(P319-Z319-AJ319,2)</f>
        <v/>
      </c>
      <c r="AU319" s="24">
        <f>ROUND(Q319-AA319-AK319,2)</f>
        <v/>
      </c>
      <c r="AV319" s="24">
        <f>ROUND(R319-AB319-AL319,2)</f>
        <v/>
      </c>
      <c r="AW319" s="24">
        <f>ROUND(S319-AC319-AM319,2)</f>
        <v/>
      </c>
      <c r="AX319" s="24">
        <f>ROUND(T319-AD319-AN319,2)</f>
        <v/>
      </c>
      <c r="AY319" s="24">
        <f>ROUND(U319-AE319-AO319,2)</f>
        <v/>
      </c>
      <c r="AZ319" s="24">
        <f>ROUND(V319-AF319-AP319,2)</f>
        <v/>
      </c>
      <c r="BA319" s="24">
        <f>ROUND(W319-AG319-AQ319,2)</f>
        <v/>
      </c>
      <c r="BB319" s="24">
        <f>SUM(AR319:BA319)</f>
        <v/>
      </c>
    </row>
    <row r="320">
      <c r="A320" t="n">
        <v>316</v>
      </c>
      <c r="B320" s="23">
        <f>EOMONTH(TODAY(),315)</f>
        <v/>
      </c>
      <c r="C320" s="24">
        <f>MAX(0,(SUM('My Loans'!$E$6:$E$15)+'My Loans'!$D$3)-SUM($X320:$AG320))</f>
        <v/>
      </c>
      <c r="D320" s="24">
        <f>MAX(0,AR319)</f>
        <v/>
      </c>
      <c r="E320" s="24">
        <f>MAX(0,AS319)</f>
        <v/>
      </c>
      <c r="F320" s="24">
        <f>MAX(0,AT319)</f>
        <v/>
      </c>
      <c r="G320" s="24">
        <f>MAX(0,AU319)</f>
        <v/>
      </c>
      <c r="H320" s="24">
        <f>MAX(0,AV319)</f>
        <v/>
      </c>
      <c r="I320" s="24">
        <f>MAX(0,AW319)</f>
        <v/>
      </c>
      <c r="J320" s="24">
        <f>MAX(0,AX319)</f>
        <v/>
      </c>
      <c r="K320" s="24">
        <f>MAX(0,AY319)</f>
        <v/>
      </c>
      <c r="L320" s="24">
        <f>MAX(0,AZ319)</f>
        <v/>
      </c>
      <c r="M320" s="24">
        <f>MAX(0,BA319)</f>
        <v/>
      </c>
      <c r="N320" s="24">
        <f>IF(D320&lt;0.5,0,D320*(1+N('My Loans'!D6)/1200))</f>
        <v/>
      </c>
      <c r="O320" s="24">
        <f>IF(E320&lt;0.5,0,E320*(1+N('My Loans'!D7)/1200))</f>
        <v/>
      </c>
      <c r="P320" s="24">
        <f>IF(F320&lt;0.5,0,F320*(1+N('My Loans'!D8)/1200))</f>
        <v/>
      </c>
      <c r="Q320" s="24">
        <f>IF(G320&lt;0.5,0,G320*(1+N('My Loans'!D9)/1200))</f>
        <v/>
      </c>
      <c r="R320" s="24">
        <f>IF(H320&lt;0.5,0,H320*(1+N('My Loans'!D10)/1200))</f>
        <v/>
      </c>
      <c r="S320" s="24">
        <f>IF(I320&lt;0.5,0,I320*(1+N('My Loans'!D11)/1200))</f>
        <v/>
      </c>
      <c r="T320" s="24">
        <f>IF(J320&lt;0.5,0,J320*(1+N('My Loans'!D12)/1200))</f>
        <v/>
      </c>
      <c r="U320" s="24">
        <f>IF(K320&lt;0.5,0,K320*(1+N('My Loans'!D13)/1200))</f>
        <v/>
      </c>
      <c r="V320" s="24">
        <f>IF(L320&lt;0.5,0,L320*(1+N('My Loans'!D14)/1200))</f>
        <v/>
      </c>
      <c r="W320" s="24">
        <f>IF(M320&lt;0.5,0,M320*(1+N('My Loans'!D15)/1200))</f>
        <v/>
      </c>
      <c r="X320" s="24">
        <f>MIN(N320,N('My Loans'!E6))</f>
        <v/>
      </c>
      <c r="Y320" s="24">
        <f>MIN(O320,N('My Loans'!E7))</f>
        <v/>
      </c>
      <c r="Z320" s="24">
        <f>MIN(P320,N('My Loans'!E8))</f>
        <v/>
      </c>
      <c r="AA320" s="24">
        <f>MIN(Q320,N('My Loans'!E9))</f>
        <v/>
      </c>
      <c r="AB320" s="24">
        <f>MIN(R320,N('My Loans'!E10))</f>
        <v/>
      </c>
      <c r="AC320" s="24">
        <f>MIN(S320,N('My Loans'!E11))</f>
        <v/>
      </c>
      <c r="AD320" s="24">
        <f>MIN(T320,N('My Loans'!E12))</f>
        <v/>
      </c>
      <c r="AE320" s="24">
        <f>MIN(U320,N('My Loans'!E13))</f>
        <v/>
      </c>
      <c r="AF320" s="24">
        <f>MIN(V320,N('My Loans'!E14))</f>
        <v/>
      </c>
      <c r="AG320" s="24">
        <f>MIN(W320,N('My Loans'!E15))</f>
        <v/>
      </c>
      <c r="AH320" s="24">
        <f>MIN(N320-X320,MAX(0,$C320-SUMPRODUCT(($D$3:$M$3&lt;D$3)*($N320:$W320-$X320:$AG320))))</f>
        <v/>
      </c>
      <c r="AI320" s="24">
        <f>MIN(O320-Y320,MAX(0,$C320-SUMPRODUCT(($D$3:$M$3&lt;E$3)*($N320:$W320-$X320:$AG320))))</f>
        <v/>
      </c>
      <c r="AJ320" s="24">
        <f>MIN(P320-Z320,MAX(0,$C320-SUMPRODUCT(($D$3:$M$3&lt;F$3)*($N320:$W320-$X320:$AG320))))</f>
        <v/>
      </c>
      <c r="AK320" s="24">
        <f>MIN(Q320-AA320,MAX(0,$C320-SUMPRODUCT(($D$3:$M$3&lt;G$3)*($N320:$W320-$X320:$AG320))))</f>
        <v/>
      </c>
      <c r="AL320" s="24">
        <f>MIN(R320-AB320,MAX(0,$C320-SUMPRODUCT(($D$3:$M$3&lt;H$3)*($N320:$W320-$X320:$AG320))))</f>
        <v/>
      </c>
      <c r="AM320" s="24">
        <f>MIN(S320-AC320,MAX(0,$C320-SUMPRODUCT(($D$3:$M$3&lt;I$3)*($N320:$W320-$X320:$AG320))))</f>
        <v/>
      </c>
      <c r="AN320" s="24">
        <f>MIN(T320-AD320,MAX(0,$C320-SUMPRODUCT(($D$3:$M$3&lt;J$3)*($N320:$W320-$X320:$AG320))))</f>
        <v/>
      </c>
      <c r="AO320" s="24">
        <f>MIN(U320-AE320,MAX(0,$C320-SUMPRODUCT(($D$3:$M$3&lt;K$3)*($N320:$W320-$X320:$AG320))))</f>
        <v/>
      </c>
      <c r="AP320" s="24">
        <f>MIN(V320-AF320,MAX(0,$C320-SUMPRODUCT(($D$3:$M$3&lt;L$3)*($N320:$W320-$X320:$AG320))))</f>
        <v/>
      </c>
      <c r="AQ320" s="24">
        <f>MIN(W320-AG320,MAX(0,$C320-SUMPRODUCT(($D$3:$M$3&lt;M$3)*($N320:$W320-$X320:$AG320))))</f>
        <v/>
      </c>
      <c r="AR320" s="24">
        <f>ROUND(N320-X320-AH320,2)</f>
        <v/>
      </c>
      <c r="AS320" s="24">
        <f>ROUND(O320-Y320-AI320,2)</f>
        <v/>
      </c>
      <c r="AT320" s="24">
        <f>ROUND(P320-Z320-AJ320,2)</f>
        <v/>
      </c>
      <c r="AU320" s="24">
        <f>ROUND(Q320-AA320-AK320,2)</f>
        <v/>
      </c>
      <c r="AV320" s="24">
        <f>ROUND(R320-AB320-AL320,2)</f>
        <v/>
      </c>
      <c r="AW320" s="24">
        <f>ROUND(S320-AC320-AM320,2)</f>
        <v/>
      </c>
      <c r="AX320" s="24">
        <f>ROUND(T320-AD320-AN320,2)</f>
        <v/>
      </c>
      <c r="AY320" s="24">
        <f>ROUND(U320-AE320-AO320,2)</f>
        <v/>
      </c>
      <c r="AZ320" s="24">
        <f>ROUND(V320-AF320-AP320,2)</f>
        <v/>
      </c>
      <c r="BA320" s="24">
        <f>ROUND(W320-AG320-AQ320,2)</f>
        <v/>
      </c>
      <c r="BB320" s="24">
        <f>SUM(AR320:BA320)</f>
        <v/>
      </c>
    </row>
    <row r="321">
      <c r="A321" t="n">
        <v>317</v>
      </c>
      <c r="B321" s="23">
        <f>EOMONTH(TODAY(),316)</f>
        <v/>
      </c>
      <c r="C321" s="24">
        <f>MAX(0,(SUM('My Loans'!$E$6:$E$15)+'My Loans'!$D$3)-SUM($X321:$AG321))</f>
        <v/>
      </c>
      <c r="D321" s="24">
        <f>MAX(0,AR320)</f>
        <v/>
      </c>
      <c r="E321" s="24">
        <f>MAX(0,AS320)</f>
        <v/>
      </c>
      <c r="F321" s="24">
        <f>MAX(0,AT320)</f>
        <v/>
      </c>
      <c r="G321" s="24">
        <f>MAX(0,AU320)</f>
        <v/>
      </c>
      <c r="H321" s="24">
        <f>MAX(0,AV320)</f>
        <v/>
      </c>
      <c r="I321" s="24">
        <f>MAX(0,AW320)</f>
        <v/>
      </c>
      <c r="J321" s="24">
        <f>MAX(0,AX320)</f>
        <v/>
      </c>
      <c r="K321" s="24">
        <f>MAX(0,AY320)</f>
        <v/>
      </c>
      <c r="L321" s="24">
        <f>MAX(0,AZ320)</f>
        <v/>
      </c>
      <c r="M321" s="24">
        <f>MAX(0,BA320)</f>
        <v/>
      </c>
      <c r="N321" s="24">
        <f>IF(D321&lt;0.5,0,D321*(1+N('My Loans'!D6)/1200))</f>
        <v/>
      </c>
      <c r="O321" s="24">
        <f>IF(E321&lt;0.5,0,E321*(1+N('My Loans'!D7)/1200))</f>
        <v/>
      </c>
      <c r="P321" s="24">
        <f>IF(F321&lt;0.5,0,F321*(1+N('My Loans'!D8)/1200))</f>
        <v/>
      </c>
      <c r="Q321" s="24">
        <f>IF(G321&lt;0.5,0,G321*(1+N('My Loans'!D9)/1200))</f>
        <v/>
      </c>
      <c r="R321" s="24">
        <f>IF(H321&lt;0.5,0,H321*(1+N('My Loans'!D10)/1200))</f>
        <v/>
      </c>
      <c r="S321" s="24">
        <f>IF(I321&lt;0.5,0,I321*(1+N('My Loans'!D11)/1200))</f>
        <v/>
      </c>
      <c r="T321" s="24">
        <f>IF(J321&lt;0.5,0,J321*(1+N('My Loans'!D12)/1200))</f>
        <v/>
      </c>
      <c r="U321" s="24">
        <f>IF(K321&lt;0.5,0,K321*(1+N('My Loans'!D13)/1200))</f>
        <v/>
      </c>
      <c r="V321" s="24">
        <f>IF(L321&lt;0.5,0,L321*(1+N('My Loans'!D14)/1200))</f>
        <v/>
      </c>
      <c r="W321" s="24">
        <f>IF(M321&lt;0.5,0,M321*(1+N('My Loans'!D15)/1200))</f>
        <v/>
      </c>
      <c r="X321" s="24">
        <f>MIN(N321,N('My Loans'!E6))</f>
        <v/>
      </c>
      <c r="Y321" s="24">
        <f>MIN(O321,N('My Loans'!E7))</f>
        <v/>
      </c>
      <c r="Z321" s="24">
        <f>MIN(P321,N('My Loans'!E8))</f>
        <v/>
      </c>
      <c r="AA321" s="24">
        <f>MIN(Q321,N('My Loans'!E9))</f>
        <v/>
      </c>
      <c r="AB321" s="24">
        <f>MIN(R321,N('My Loans'!E10))</f>
        <v/>
      </c>
      <c r="AC321" s="24">
        <f>MIN(S321,N('My Loans'!E11))</f>
        <v/>
      </c>
      <c r="AD321" s="24">
        <f>MIN(T321,N('My Loans'!E12))</f>
        <v/>
      </c>
      <c r="AE321" s="24">
        <f>MIN(U321,N('My Loans'!E13))</f>
        <v/>
      </c>
      <c r="AF321" s="24">
        <f>MIN(V321,N('My Loans'!E14))</f>
        <v/>
      </c>
      <c r="AG321" s="24">
        <f>MIN(W321,N('My Loans'!E15))</f>
        <v/>
      </c>
      <c r="AH321" s="24">
        <f>MIN(N321-X321,MAX(0,$C321-SUMPRODUCT(($D$3:$M$3&lt;D$3)*($N321:$W321-$X321:$AG321))))</f>
        <v/>
      </c>
      <c r="AI321" s="24">
        <f>MIN(O321-Y321,MAX(0,$C321-SUMPRODUCT(($D$3:$M$3&lt;E$3)*($N321:$W321-$X321:$AG321))))</f>
        <v/>
      </c>
      <c r="AJ321" s="24">
        <f>MIN(P321-Z321,MAX(0,$C321-SUMPRODUCT(($D$3:$M$3&lt;F$3)*($N321:$W321-$X321:$AG321))))</f>
        <v/>
      </c>
      <c r="AK321" s="24">
        <f>MIN(Q321-AA321,MAX(0,$C321-SUMPRODUCT(($D$3:$M$3&lt;G$3)*($N321:$W321-$X321:$AG321))))</f>
        <v/>
      </c>
      <c r="AL321" s="24">
        <f>MIN(R321-AB321,MAX(0,$C321-SUMPRODUCT(($D$3:$M$3&lt;H$3)*($N321:$W321-$X321:$AG321))))</f>
        <v/>
      </c>
      <c r="AM321" s="24">
        <f>MIN(S321-AC321,MAX(0,$C321-SUMPRODUCT(($D$3:$M$3&lt;I$3)*($N321:$W321-$X321:$AG321))))</f>
        <v/>
      </c>
      <c r="AN321" s="24">
        <f>MIN(T321-AD321,MAX(0,$C321-SUMPRODUCT(($D$3:$M$3&lt;J$3)*($N321:$W321-$X321:$AG321))))</f>
        <v/>
      </c>
      <c r="AO321" s="24">
        <f>MIN(U321-AE321,MAX(0,$C321-SUMPRODUCT(($D$3:$M$3&lt;K$3)*($N321:$W321-$X321:$AG321))))</f>
        <v/>
      </c>
      <c r="AP321" s="24">
        <f>MIN(V321-AF321,MAX(0,$C321-SUMPRODUCT(($D$3:$M$3&lt;L$3)*($N321:$W321-$X321:$AG321))))</f>
        <v/>
      </c>
      <c r="AQ321" s="24">
        <f>MIN(W321-AG321,MAX(0,$C321-SUMPRODUCT(($D$3:$M$3&lt;M$3)*($N321:$W321-$X321:$AG321))))</f>
        <v/>
      </c>
      <c r="AR321" s="24">
        <f>ROUND(N321-X321-AH321,2)</f>
        <v/>
      </c>
      <c r="AS321" s="24">
        <f>ROUND(O321-Y321-AI321,2)</f>
        <v/>
      </c>
      <c r="AT321" s="24">
        <f>ROUND(P321-Z321-AJ321,2)</f>
        <v/>
      </c>
      <c r="AU321" s="24">
        <f>ROUND(Q321-AA321-AK321,2)</f>
        <v/>
      </c>
      <c r="AV321" s="24">
        <f>ROUND(R321-AB321-AL321,2)</f>
        <v/>
      </c>
      <c r="AW321" s="24">
        <f>ROUND(S321-AC321-AM321,2)</f>
        <v/>
      </c>
      <c r="AX321" s="24">
        <f>ROUND(T321-AD321-AN321,2)</f>
        <v/>
      </c>
      <c r="AY321" s="24">
        <f>ROUND(U321-AE321-AO321,2)</f>
        <v/>
      </c>
      <c r="AZ321" s="24">
        <f>ROUND(V321-AF321-AP321,2)</f>
        <v/>
      </c>
      <c r="BA321" s="24">
        <f>ROUND(W321-AG321-AQ321,2)</f>
        <v/>
      </c>
      <c r="BB321" s="24">
        <f>SUM(AR321:BA321)</f>
        <v/>
      </c>
    </row>
    <row r="322">
      <c r="A322" t="n">
        <v>318</v>
      </c>
      <c r="B322" s="23">
        <f>EOMONTH(TODAY(),317)</f>
        <v/>
      </c>
      <c r="C322" s="24">
        <f>MAX(0,(SUM('My Loans'!$E$6:$E$15)+'My Loans'!$D$3)-SUM($X322:$AG322))</f>
        <v/>
      </c>
      <c r="D322" s="24">
        <f>MAX(0,AR321)</f>
        <v/>
      </c>
      <c r="E322" s="24">
        <f>MAX(0,AS321)</f>
        <v/>
      </c>
      <c r="F322" s="24">
        <f>MAX(0,AT321)</f>
        <v/>
      </c>
      <c r="G322" s="24">
        <f>MAX(0,AU321)</f>
        <v/>
      </c>
      <c r="H322" s="24">
        <f>MAX(0,AV321)</f>
        <v/>
      </c>
      <c r="I322" s="24">
        <f>MAX(0,AW321)</f>
        <v/>
      </c>
      <c r="J322" s="24">
        <f>MAX(0,AX321)</f>
        <v/>
      </c>
      <c r="K322" s="24">
        <f>MAX(0,AY321)</f>
        <v/>
      </c>
      <c r="L322" s="24">
        <f>MAX(0,AZ321)</f>
        <v/>
      </c>
      <c r="M322" s="24">
        <f>MAX(0,BA321)</f>
        <v/>
      </c>
      <c r="N322" s="24">
        <f>IF(D322&lt;0.5,0,D322*(1+N('My Loans'!D6)/1200))</f>
        <v/>
      </c>
      <c r="O322" s="24">
        <f>IF(E322&lt;0.5,0,E322*(1+N('My Loans'!D7)/1200))</f>
        <v/>
      </c>
      <c r="P322" s="24">
        <f>IF(F322&lt;0.5,0,F322*(1+N('My Loans'!D8)/1200))</f>
        <v/>
      </c>
      <c r="Q322" s="24">
        <f>IF(G322&lt;0.5,0,G322*(1+N('My Loans'!D9)/1200))</f>
        <v/>
      </c>
      <c r="R322" s="24">
        <f>IF(H322&lt;0.5,0,H322*(1+N('My Loans'!D10)/1200))</f>
        <v/>
      </c>
      <c r="S322" s="24">
        <f>IF(I322&lt;0.5,0,I322*(1+N('My Loans'!D11)/1200))</f>
        <v/>
      </c>
      <c r="T322" s="24">
        <f>IF(J322&lt;0.5,0,J322*(1+N('My Loans'!D12)/1200))</f>
        <v/>
      </c>
      <c r="U322" s="24">
        <f>IF(K322&lt;0.5,0,K322*(1+N('My Loans'!D13)/1200))</f>
        <v/>
      </c>
      <c r="V322" s="24">
        <f>IF(L322&lt;0.5,0,L322*(1+N('My Loans'!D14)/1200))</f>
        <v/>
      </c>
      <c r="W322" s="24">
        <f>IF(M322&lt;0.5,0,M322*(1+N('My Loans'!D15)/1200))</f>
        <v/>
      </c>
      <c r="X322" s="24">
        <f>MIN(N322,N('My Loans'!E6))</f>
        <v/>
      </c>
      <c r="Y322" s="24">
        <f>MIN(O322,N('My Loans'!E7))</f>
        <v/>
      </c>
      <c r="Z322" s="24">
        <f>MIN(P322,N('My Loans'!E8))</f>
        <v/>
      </c>
      <c r="AA322" s="24">
        <f>MIN(Q322,N('My Loans'!E9))</f>
        <v/>
      </c>
      <c r="AB322" s="24">
        <f>MIN(R322,N('My Loans'!E10))</f>
        <v/>
      </c>
      <c r="AC322" s="24">
        <f>MIN(S322,N('My Loans'!E11))</f>
        <v/>
      </c>
      <c r="AD322" s="24">
        <f>MIN(T322,N('My Loans'!E12))</f>
        <v/>
      </c>
      <c r="AE322" s="24">
        <f>MIN(U322,N('My Loans'!E13))</f>
        <v/>
      </c>
      <c r="AF322" s="24">
        <f>MIN(V322,N('My Loans'!E14))</f>
        <v/>
      </c>
      <c r="AG322" s="24">
        <f>MIN(W322,N('My Loans'!E15))</f>
        <v/>
      </c>
      <c r="AH322" s="24">
        <f>MIN(N322-X322,MAX(0,$C322-SUMPRODUCT(($D$3:$M$3&lt;D$3)*($N322:$W322-$X322:$AG322))))</f>
        <v/>
      </c>
      <c r="AI322" s="24">
        <f>MIN(O322-Y322,MAX(0,$C322-SUMPRODUCT(($D$3:$M$3&lt;E$3)*($N322:$W322-$X322:$AG322))))</f>
        <v/>
      </c>
      <c r="AJ322" s="24">
        <f>MIN(P322-Z322,MAX(0,$C322-SUMPRODUCT(($D$3:$M$3&lt;F$3)*($N322:$W322-$X322:$AG322))))</f>
        <v/>
      </c>
      <c r="AK322" s="24">
        <f>MIN(Q322-AA322,MAX(0,$C322-SUMPRODUCT(($D$3:$M$3&lt;G$3)*($N322:$W322-$X322:$AG322))))</f>
        <v/>
      </c>
      <c r="AL322" s="24">
        <f>MIN(R322-AB322,MAX(0,$C322-SUMPRODUCT(($D$3:$M$3&lt;H$3)*($N322:$W322-$X322:$AG322))))</f>
        <v/>
      </c>
      <c r="AM322" s="24">
        <f>MIN(S322-AC322,MAX(0,$C322-SUMPRODUCT(($D$3:$M$3&lt;I$3)*($N322:$W322-$X322:$AG322))))</f>
        <v/>
      </c>
      <c r="AN322" s="24">
        <f>MIN(T322-AD322,MAX(0,$C322-SUMPRODUCT(($D$3:$M$3&lt;J$3)*($N322:$W322-$X322:$AG322))))</f>
        <v/>
      </c>
      <c r="AO322" s="24">
        <f>MIN(U322-AE322,MAX(0,$C322-SUMPRODUCT(($D$3:$M$3&lt;K$3)*($N322:$W322-$X322:$AG322))))</f>
        <v/>
      </c>
      <c r="AP322" s="24">
        <f>MIN(V322-AF322,MAX(0,$C322-SUMPRODUCT(($D$3:$M$3&lt;L$3)*($N322:$W322-$X322:$AG322))))</f>
        <v/>
      </c>
      <c r="AQ322" s="24">
        <f>MIN(W322-AG322,MAX(0,$C322-SUMPRODUCT(($D$3:$M$3&lt;M$3)*($N322:$W322-$X322:$AG322))))</f>
        <v/>
      </c>
      <c r="AR322" s="24">
        <f>ROUND(N322-X322-AH322,2)</f>
        <v/>
      </c>
      <c r="AS322" s="24">
        <f>ROUND(O322-Y322-AI322,2)</f>
        <v/>
      </c>
      <c r="AT322" s="24">
        <f>ROUND(P322-Z322-AJ322,2)</f>
        <v/>
      </c>
      <c r="AU322" s="24">
        <f>ROUND(Q322-AA322-AK322,2)</f>
        <v/>
      </c>
      <c r="AV322" s="24">
        <f>ROUND(R322-AB322-AL322,2)</f>
        <v/>
      </c>
      <c r="AW322" s="24">
        <f>ROUND(S322-AC322-AM322,2)</f>
        <v/>
      </c>
      <c r="AX322" s="24">
        <f>ROUND(T322-AD322-AN322,2)</f>
        <v/>
      </c>
      <c r="AY322" s="24">
        <f>ROUND(U322-AE322-AO322,2)</f>
        <v/>
      </c>
      <c r="AZ322" s="24">
        <f>ROUND(V322-AF322-AP322,2)</f>
        <v/>
      </c>
      <c r="BA322" s="24">
        <f>ROUND(W322-AG322-AQ322,2)</f>
        <v/>
      </c>
      <c r="BB322" s="24">
        <f>SUM(AR322:BA322)</f>
        <v/>
      </c>
    </row>
    <row r="323">
      <c r="A323" t="n">
        <v>319</v>
      </c>
      <c r="B323" s="23">
        <f>EOMONTH(TODAY(),318)</f>
        <v/>
      </c>
      <c r="C323" s="24">
        <f>MAX(0,(SUM('My Loans'!$E$6:$E$15)+'My Loans'!$D$3)-SUM($X323:$AG323))</f>
        <v/>
      </c>
      <c r="D323" s="24">
        <f>MAX(0,AR322)</f>
        <v/>
      </c>
      <c r="E323" s="24">
        <f>MAX(0,AS322)</f>
        <v/>
      </c>
      <c r="F323" s="24">
        <f>MAX(0,AT322)</f>
        <v/>
      </c>
      <c r="G323" s="24">
        <f>MAX(0,AU322)</f>
        <v/>
      </c>
      <c r="H323" s="24">
        <f>MAX(0,AV322)</f>
        <v/>
      </c>
      <c r="I323" s="24">
        <f>MAX(0,AW322)</f>
        <v/>
      </c>
      <c r="J323" s="24">
        <f>MAX(0,AX322)</f>
        <v/>
      </c>
      <c r="K323" s="24">
        <f>MAX(0,AY322)</f>
        <v/>
      </c>
      <c r="L323" s="24">
        <f>MAX(0,AZ322)</f>
        <v/>
      </c>
      <c r="M323" s="24">
        <f>MAX(0,BA322)</f>
        <v/>
      </c>
      <c r="N323" s="24">
        <f>IF(D323&lt;0.5,0,D323*(1+N('My Loans'!D6)/1200))</f>
        <v/>
      </c>
      <c r="O323" s="24">
        <f>IF(E323&lt;0.5,0,E323*(1+N('My Loans'!D7)/1200))</f>
        <v/>
      </c>
      <c r="P323" s="24">
        <f>IF(F323&lt;0.5,0,F323*(1+N('My Loans'!D8)/1200))</f>
        <v/>
      </c>
      <c r="Q323" s="24">
        <f>IF(G323&lt;0.5,0,G323*(1+N('My Loans'!D9)/1200))</f>
        <v/>
      </c>
      <c r="R323" s="24">
        <f>IF(H323&lt;0.5,0,H323*(1+N('My Loans'!D10)/1200))</f>
        <v/>
      </c>
      <c r="S323" s="24">
        <f>IF(I323&lt;0.5,0,I323*(1+N('My Loans'!D11)/1200))</f>
        <v/>
      </c>
      <c r="T323" s="24">
        <f>IF(J323&lt;0.5,0,J323*(1+N('My Loans'!D12)/1200))</f>
        <v/>
      </c>
      <c r="U323" s="24">
        <f>IF(K323&lt;0.5,0,K323*(1+N('My Loans'!D13)/1200))</f>
        <v/>
      </c>
      <c r="V323" s="24">
        <f>IF(L323&lt;0.5,0,L323*(1+N('My Loans'!D14)/1200))</f>
        <v/>
      </c>
      <c r="W323" s="24">
        <f>IF(M323&lt;0.5,0,M323*(1+N('My Loans'!D15)/1200))</f>
        <v/>
      </c>
      <c r="X323" s="24">
        <f>MIN(N323,N('My Loans'!E6))</f>
        <v/>
      </c>
      <c r="Y323" s="24">
        <f>MIN(O323,N('My Loans'!E7))</f>
        <v/>
      </c>
      <c r="Z323" s="24">
        <f>MIN(P323,N('My Loans'!E8))</f>
        <v/>
      </c>
      <c r="AA323" s="24">
        <f>MIN(Q323,N('My Loans'!E9))</f>
        <v/>
      </c>
      <c r="AB323" s="24">
        <f>MIN(R323,N('My Loans'!E10))</f>
        <v/>
      </c>
      <c r="AC323" s="24">
        <f>MIN(S323,N('My Loans'!E11))</f>
        <v/>
      </c>
      <c r="AD323" s="24">
        <f>MIN(T323,N('My Loans'!E12))</f>
        <v/>
      </c>
      <c r="AE323" s="24">
        <f>MIN(U323,N('My Loans'!E13))</f>
        <v/>
      </c>
      <c r="AF323" s="24">
        <f>MIN(V323,N('My Loans'!E14))</f>
        <v/>
      </c>
      <c r="AG323" s="24">
        <f>MIN(W323,N('My Loans'!E15))</f>
        <v/>
      </c>
      <c r="AH323" s="24">
        <f>MIN(N323-X323,MAX(0,$C323-SUMPRODUCT(($D$3:$M$3&lt;D$3)*($N323:$W323-$X323:$AG323))))</f>
        <v/>
      </c>
      <c r="AI323" s="24">
        <f>MIN(O323-Y323,MAX(0,$C323-SUMPRODUCT(($D$3:$M$3&lt;E$3)*($N323:$W323-$X323:$AG323))))</f>
        <v/>
      </c>
      <c r="AJ323" s="24">
        <f>MIN(P323-Z323,MAX(0,$C323-SUMPRODUCT(($D$3:$M$3&lt;F$3)*($N323:$W323-$X323:$AG323))))</f>
        <v/>
      </c>
      <c r="AK323" s="24">
        <f>MIN(Q323-AA323,MAX(0,$C323-SUMPRODUCT(($D$3:$M$3&lt;G$3)*($N323:$W323-$X323:$AG323))))</f>
        <v/>
      </c>
      <c r="AL323" s="24">
        <f>MIN(R323-AB323,MAX(0,$C323-SUMPRODUCT(($D$3:$M$3&lt;H$3)*($N323:$W323-$X323:$AG323))))</f>
        <v/>
      </c>
      <c r="AM323" s="24">
        <f>MIN(S323-AC323,MAX(0,$C323-SUMPRODUCT(($D$3:$M$3&lt;I$3)*($N323:$W323-$X323:$AG323))))</f>
        <v/>
      </c>
      <c r="AN323" s="24">
        <f>MIN(T323-AD323,MAX(0,$C323-SUMPRODUCT(($D$3:$M$3&lt;J$3)*($N323:$W323-$X323:$AG323))))</f>
        <v/>
      </c>
      <c r="AO323" s="24">
        <f>MIN(U323-AE323,MAX(0,$C323-SUMPRODUCT(($D$3:$M$3&lt;K$3)*($N323:$W323-$X323:$AG323))))</f>
        <v/>
      </c>
      <c r="AP323" s="24">
        <f>MIN(V323-AF323,MAX(0,$C323-SUMPRODUCT(($D$3:$M$3&lt;L$3)*($N323:$W323-$X323:$AG323))))</f>
        <v/>
      </c>
      <c r="AQ323" s="24">
        <f>MIN(W323-AG323,MAX(0,$C323-SUMPRODUCT(($D$3:$M$3&lt;M$3)*($N323:$W323-$X323:$AG323))))</f>
        <v/>
      </c>
      <c r="AR323" s="24">
        <f>ROUND(N323-X323-AH323,2)</f>
        <v/>
      </c>
      <c r="AS323" s="24">
        <f>ROUND(O323-Y323-AI323,2)</f>
        <v/>
      </c>
      <c r="AT323" s="24">
        <f>ROUND(P323-Z323-AJ323,2)</f>
        <v/>
      </c>
      <c r="AU323" s="24">
        <f>ROUND(Q323-AA323-AK323,2)</f>
        <v/>
      </c>
      <c r="AV323" s="24">
        <f>ROUND(R323-AB323-AL323,2)</f>
        <v/>
      </c>
      <c r="AW323" s="24">
        <f>ROUND(S323-AC323-AM323,2)</f>
        <v/>
      </c>
      <c r="AX323" s="24">
        <f>ROUND(T323-AD323-AN323,2)</f>
        <v/>
      </c>
      <c r="AY323" s="24">
        <f>ROUND(U323-AE323-AO323,2)</f>
        <v/>
      </c>
      <c r="AZ323" s="24">
        <f>ROUND(V323-AF323-AP323,2)</f>
        <v/>
      </c>
      <c r="BA323" s="24">
        <f>ROUND(W323-AG323-AQ323,2)</f>
        <v/>
      </c>
      <c r="BB323" s="24">
        <f>SUM(AR323:BA323)</f>
        <v/>
      </c>
    </row>
    <row r="324">
      <c r="A324" t="n">
        <v>320</v>
      </c>
      <c r="B324" s="23">
        <f>EOMONTH(TODAY(),319)</f>
        <v/>
      </c>
      <c r="C324" s="24">
        <f>MAX(0,(SUM('My Loans'!$E$6:$E$15)+'My Loans'!$D$3)-SUM($X324:$AG324))</f>
        <v/>
      </c>
      <c r="D324" s="24">
        <f>MAX(0,AR323)</f>
        <v/>
      </c>
      <c r="E324" s="24">
        <f>MAX(0,AS323)</f>
        <v/>
      </c>
      <c r="F324" s="24">
        <f>MAX(0,AT323)</f>
        <v/>
      </c>
      <c r="G324" s="24">
        <f>MAX(0,AU323)</f>
        <v/>
      </c>
      <c r="H324" s="24">
        <f>MAX(0,AV323)</f>
        <v/>
      </c>
      <c r="I324" s="24">
        <f>MAX(0,AW323)</f>
        <v/>
      </c>
      <c r="J324" s="24">
        <f>MAX(0,AX323)</f>
        <v/>
      </c>
      <c r="K324" s="24">
        <f>MAX(0,AY323)</f>
        <v/>
      </c>
      <c r="L324" s="24">
        <f>MAX(0,AZ323)</f>
        <v/>
      </c>
      <c r="M324" s="24">
        <f>MAX(0,BA323)</f>
        <v/>
      </c>
      <c r="N324" s="24">
        <f>IF(D324&lt;0.5,0,D324*(1+N('My Loans'!D6)/1200))</f>
        <v/>
      </c>
      <c r="O324" s="24">
        <f>IF(E324&lt;0.5,0,E324*(1+N('My Loans'!D7)/1200))</f>
        <v/>
      </c>
      <c r="P324" s="24">
        <f>IF(F324&lt;0.5,0,F324*(1+N('My Loans'!D8)/1200))</f>
        <v/>
      </c>
      <c r="Q324" s="24">
        <f>IF(G324&lt;0.5,0,G324*(1+N('My Loans'!D9)/1200))</f>
        <v/>
      </c>
      <c r="R324" s="24">
        <f>IF(H324&lt;0.5,0,H324*(1+N('My Loans'!D10)/1200))</f>
        <v/>
      </c>
      <c r="S324" s="24">
        <f>IF(I324&lt;0.5,0,I324*(1+N('My Loans'!D11)/1200))</f>
        <v/>
      </c>
      <c r="T324" s="24">
        <f>IF(J324&lt;0.5,0,J324*(1+N('My Loans'!D12)/1200))</f>
        <v/>
      </c>
      <c r="U324" s="24">
        <f>IF(K324&lt;0.5,0,K324*(1+N('My Loans'!D13)/1200))</f>
        <v/>
      </c>
      <c r="V324" s="24">
        <f>IF(L324&lt;0.5,0,L324*(1+N('My Loans'!D14)/1200))</f>
        <v/>
      </c>
      <c r="W324" s="24">
        <f>IF(M324&lt;0.5,0,M324*(1+N('My Loans'!D15)/1200))</f>
        <v/>
      </c>
      <c r="X324" s="24">
        <f>MIN(N324,N('My Loans'!E6))</f>
        <v/>
      </c>
      <c r="Y324" s="24">
        <f>MIN(O324,N('My Loans'!E7))</f>
        <v/>
      </c>
      <c r="Z324" s="24">
        <f>MIN(P324,N('My Loans'!E8))</f>
        <v/>
      </c>
      <c r="AA324" s="24">
        <f>MIN(Q324,N('My Loans'!E9))</f>
        <v/>
      </c>
      <c r="AB324" s="24">
        <f>MIN(R324,N('My Loans'!E10))</f>
        <v/>
      </c>
      <c r="AC324" s="24">
        <f>MIN(S324,N('My Loans'!E11))</f>
        <v/>
      </c>
      <c r="AD324" s="24">
        <f>MIN(T324,N('My Loans'!E12))</f>
        <v/>
      </c>
      <c r="AE324" s="24">
        <f>MIN(U324,N('My Loans'!E13))</f>
        <v/>
      </c>
      <c r="AF324" s="24">
        <f>MIN(V324,N('My Loans'!E14))</f>
        <v/>
      </c>
      <c r="AG324" s="24">
        <f>MIN(W324,N('My Loans'!E15))</f>
        <v/>
      </c>
      <c r="AH324" s="24">
        <f>MIN(N324-X324,MAX(0,$C324-SUMPRODUCT(($D$3:$M$3&lt;D$3)*($N324:$W324-$X324:$AG324))))</f>
        <v/>
      </c>
      <c r="AI324" s="24">
        <f>MIN(O324-Y324,MAX(0,$C324-SUMPRODUCT(($D$3:$M$3&lt;E$3)*($N324:$W324-$X324:$AG324))))</f>
        <v/>
      </c>
      <c r="AJ324" s="24">
        <f>MIN(P324-Z324,MAX(0,$C324-SUMPRODUCT(($D$3:$M$3&lt;F$3)*($N324:$W324-$X324:$AG324))))</f>
        <v/>
      </c>
      <c r="AK324" s="24">
        <f>MIN(Q324-AA324,MAX(0,$C324-SUMPRODUCT(($D$3:$M$3&lt;G$3)*($N324:$W324-$X324:$AG324))))</f>
        <v/>
      </c>
      <c r="AL324" s="24">
        <f>MIN(R324-AB324,MAX(0,$C324-SUMPRODUCT(($D$3:$M$3&lt;H$3)*($N324:$W324-$X324:$AG324))))</f>
        <v/>
      </c>
      <c r="AM324" s="24">
        <f>MIN(S324-AC324,MAX(0,$C324-SUMPRODUCT(($D$3:$M$3&lt;I$3)*($N324:$W324-$X324:$AG324))))</f>
        <v/>
      </c>
      <c r="AN324" s="24">
        <f>MIN(T324-AD324,MAX(0,$C324-SUMPRODUCT(($D$3:$M$3&lt;J$3)*($N324:$W324-$X324:$AG324))))</f>
        <v/>
      </c>
      <c r="AO324" s="24">
        <f>MIN(U324-AE324,MAX(0,$C324-SUMPRODUCT(($D$3:$M$3&lt;K$3)*($N324:$W324-$X324:$AG324))))</f>
        <v/>
      </c>
      <c r="AP324" s="24">
        <f>MIN(V324-AF324,MAX(0,$C324-SUMPRODUCT(($D$3:$M$3&lt;L$3)*($N324:$W324-$X324:$AG324))))</f>
        <v/>
      </c>
      <c r="AQ324" s="24">
        <f>MIN(W324-AG324,MAX(0,$C324-SUMPRODUCT(($D$3:$M$3&lt;M$3)*($N324:$W324-$X324:$AG324))))</f>
        <v/>
      </c>
      <c r="AR324" s="24">
        <f>ROUND(N324-X324-AH324,2)</f>
        <v/>
      </c>
      <c r="AS324" s="24">
        <f>ROUND(O324-Y324-AI324,2)</f>
        <v/>
      </c>
      <c r="AT324" s="24">
        <f>ROUND(P324-Z324-AJ324,2)</f>
        <v/>
      </c>
      <c r="AU324" s="24">
        <f>ROUND(Q324-AA324-AK324,2)</f>
        <v/>
      </c>
      <c r="AV324" s="24">
        <f>ROUND(R324-AB324-AL324,2)</f>
        <v/>
      </c>
      <c r="AW324" s="24">
        <f>ROUND(S324-AC324-AM324,2)</f>
        <v/>
      </c>
      <c r="AX324" s="24">
        <f>ROUND(T324-AD324-AN324,2)</f>
        <v/>
      </c>
      <c r="AY324" s="24">
        <f>ROUND(U324-AE324-AO324,2)</f>
        <v/>
      </c>
      <c r="AZ324" s="24">
        <f>ROUND(V324-AF324-AP324,2)</f>
        <v/>
      </c>
      <c r="BA324" s="24">
        <f>ROUND(W324-AG324-AQ324,2)</f>
        <v/>
      </c>
      <c r="BB324" s="24">
        <f>SUM(AR324:BA324)</f>
        <v/>
      </c>
    </row>
    <row r="325">
      <c r="A325" t="n">
        <v>321</v>
      </c>
      <c r="B325" s="23">
        <f>EOMONTH(TODAY(),320)</f>
        <v/>
      </c>
      <c r="C325" s="24">
        <f>MAX(0,(SUM('My Loans'!$E$6:$E$15)+'My Loans'!$D$3)-SUM($X325:$AG325))</f>
        <v/>
      </c>
      <c r="D325" s="24">
        <f>MAX(0,AR324)</f>
        <v/>
      </c>
      <c r="E325" s="24">
        <f>MAX(0,AS324)</f>
        <v/>
      </c>
      <c r="F325" s="24">
        <f>MAX(0,AT324)</f>
        <v/>
      </c>
      <c r="G325" s="24">
        <f>MAX(0,AU324)</f>
        <v/>
      </c>
      <c r="H325" s="24">
        <f>MAX(0,AV324)</f>
        <v/>
      </c>
      <c r="I325" s="24">
        <f>MAX(0,AW324)</f>
        <v/>
      </c>
      <c r="J325" s="24">
        <f>MAX(0,AX324)</f>
        <v/>
      </c>
      <c r="K325" s="24">
        <f>MAX(0,AY324)</f>
        <v/>
      </c>
      <c r="L325" s="24">
        <f>MAX(0,AZ324)</f>
        <v/>
      </c>
      <c r="M325" s="24">
        <f>MAX(0,BA324)</f>
        <v/>
      </c>
      <c r="N325" s="24">
        <f>IF(D325&lt;0.5,0,D325*(1+N('My Loans'!D6)/1200))</f>
        <v/>
      </c>
      <c r="O325" s="24">
        <f>IF(E325&lt;0.5,0,E325*(1+N('My Loans'!D7)/1200))</f>
        <v/>
      </c>
      <c r="P325" s="24">
        <f>IF(F325&lt;0.5,0,F325*(1+N('My Loans'!D8)/1200))</f>
        <v/>
      </c>
      <c r="Q325" s="24">
        <f>IF(G325&lt;0.5,0,G325*(1+N('My Loans'!D9)/1200))</f>
        <v/>
      </c>
      <c r="R325" s="24">
        <f>IF(H325&lt;0.5,0,H325*(1+N('My Loans'!D10)/1200))</f>
        <v/>
      </c>
      <c r="S325" s="24">
        <f>IF(I325&lt;0.5,0,I325*(1+N('My Loans'!D11)/1200))</f>
        <v/>
      </c>
      <c r="T325" s="24">
        <f>IF(J325&lt;0.5,0,J325*(1+N('My Loans'!D12)/1200))</f>
        <v/>
      </c>
      <c r="U325" s="24">
        <f>IF(K325&lt;0.5,0,K325*(1+N('My Loans'!D13)/1200))</f>
        <v/>
      </c>
      <c r="V325" s="24">
        <f>IF(L325&lt;0.5,0,L325*(1+N('My Loans'!D14)/1200))</f>
        <v/>
      </c>
      <c r="W325" s="24">
        <f>IF(M325&lt;0.5,0,M325*(1+N('My Loans'!D15)/1200))</f>
        <v/>
      </c>
      <c r="X325" s="24">
        <f>MIN(N325,N('My Loans'!E6))</f>
        <v/>
      </c>
      <c r="Y325" s="24">
        <f>MIN(O325,N('My Loans'!E7))</f>
        <v/>
      </c>
      <c r="Z325" s="24">
        <f>MIN(P325,N('My Loans'!E8))</f>
        <v/>
      </c>
      <c r="AA325" s="24">
        <f>MIN(Q325,N('My Loans'!E9))</f>
        <v/>
      </c>
      <c r="AB325" s="24">
        <f>MIN(R325,N('My Loans'!E10))</f>
        <v/>
      </c>
      <c r="AC325" s="24">
        <f>MIN(S325,N('My Loans'!E11))</f>
        <v/>
      </c>
      <c r="AD325" s="24">
        <f>MIN(T325,N('My Loans'!E12))</f>
        <v/>
      </c>
      <c r="AE325" s="24">
        <f>MIN(U325,N('My Loans'!E13))</f>
        <v/>
      </c>
      <c r="AF325" s="24">
        <f>MIN(V325,N('My Loans'!E14))</f>
        <v/>
      </c>
      <c r="AG325" s="24">
        <f>MIN(W325,N('My Loans'!E15))</f>
        <v/>
      </c>
      <c r="AH325" s="24">
        <f>MIN(N325-X325,MAX(0,$C325-SUMPRODUCT(($D$3:$M$3&lt;D$3)*($N325:$W325-$X325:$AG325))))</f>
        <v/>
      </c>
      <c r="AI325" s="24">
        <f>MIN(O325-Y325,MAX(0,$C325-SUMPRODUCT(($D$3:$M$3&lt;E$3)*($N325:$W325-$X325:$AG325))))</f>
        <v/>
      </c>
      <c r="AJ325" s="24">
        <f>MIN(P325-Z325,MAX(0,$C325-SUMPRODUCT(($D$3:$M$3&lt;F$3)*($N325:$W325-$X325:$AG325))))</f>
        <v/>
      </c>
      <c r="AK325" s="24">
        <f>MIN(Q325-AA325,MAX(0,$C325-SUMPRODUCT(($D$3:$M$3&lt;G$3)*($N325:$W325-$X325:$AG325))))</f>
        <v/>
      </c>
      <c r="AL325" s="24">
        <f>MIN(R325-AB325,MAX(0,$C325-SUMPRODUCT(($D$3:$M$3&lt;H$3)*($N325:$W325-$X325:$AG325))))</f>
        <v/>
      </c>
      <c r="AM325" s="24">
        <f>MIN(S325-AC325,MAX(0,$C325-SUMPRODUCT(($D$3:$M$3&lt;I$3)*($N325:$W325-$X325:$AG325))))</f>
        <v/>
      </c>
      <c r="AN325" s="24">
        <f>MIN(T325-AD325,MAX(0,$C325-SUMPRODUCT(($D$3:$M$3&lt;J$3)*($N325:$W325-$X325:$AG325))))</f>
        <v/>
      </c>
      <c r="AO325" s="24">
        <f>MIN(U325-AE325,MAX(0,$C325-SUMPRODUCT(($D$3:$M$3&lt;K$3)*($N325:$W325-$X325:$AG325))))</f>
        <v/>
      </c>
      <c r="AP325" s="24">
        <f>MIN(V325-AF325,MAX(0,$C325-SUMPRODUCT(($D$3:$M$3&lt;L$3)*($N325:$W325-$X325:$AG325))))</f>
        <v/>
      </c>
      <c r="AQ325" s="24">
        <f>MIN(W325-AG325,MAX(0,$C325-SUMPRODUCT(($D$3:$M$3&lt;M$3)*($N325:$W325-$X325:$AG325))))</f>
        <v/>
      </c>
      <c r="AR325" s="24">
        <f>ROUND(N325-X325-AH325,2)</f>
        <v/>
      </c>
      <c r="AS325" s="24">
        <f>ROUND(O325-Y325-AI325,2)</f>
        <v/>
      </c>
      <c r="AT325" s="24">
        <f>ROUND(P325-Z325-AJ325,2)</f>
        <v/>
      </c>
      <c r="AU325" s="24">
        <f>ROUND(Q325-AA325-AK325,2)</f>
        <v/>
      </c>
      <c r="AV325" s="24">
        <f>ROUND(R325-AB325-AL325,2)</f>
        <v/>
      </c>
      <c r="AW325" s="24">
        <f>ROUND(S325-AC325-AM325,2)</f>
        <v/>
      </c>
      <c r="AX325" s="24">
        <f>ROUND(T325-AD325-AN325,2)</f>
        <v/>
      </c>
      <c r="AY325" s="24">
        <f>ROUND(U325-AE325-AO325,2)</f>
        <v/>
      </c>
      <c r="AZ325" s="24">
        <f>ROUND(V325-AF325-AP325,2)</f>
        <v/>
      </c>
      <c r="BA325" s="24">
        <f>ROUND(W325-AG325-AQ325,2)</f>
        <v/>
      </c>
      <c r="BB325" s="24">
        <f>SUM(AR325:BA325)</f>
        <v/>
      </c>
    </row>
    <row r="326">
      <c r="A326" t="n">
        <v>322</v>
      </c>
      <c r="B326" s="23">
        <f>EOMONTH(TODAY(),321)</f>
        <v/>
      </c>
      <c r="C326" s="24">
        <f>MAX(0,(SUM('My Loans'!$E$6:$E$15)+'My Loans'!$D$3)-SUM($X326:$AG326))</f>
        <v/>
      </c>
      <c r="D326" s="24">
        <f>MAX(0,AR325)</f>
        <v/>
      </c>
      <c r="E326" s="24">
        <f>MAX(0,AS325)</f>
        <v/>
      </c>
      <c r="F326" s="24">
        <f>MAX(0,AT325)</f>
        <v/>
      </c>
      <c r="G326" s="24">
        <f>MAX(0,AU325)</f>
        <v/>
      </c>
      <c r="H326" s="24">
        <f>MAX(0,AV325)</f>
        <v/>
      </c>
      <c r="I326" s="24">
        <f>MAX(0,AW325)</f>
        <v/>
      </c>
      <c r="J326" s="24">
        <f>MAX(0,AX325)</f>
        <v/>
      </c>
      <c r="K326" s="24">
        <f>MAX(0,AY325)</f>
        <v/>
      </c>
      <c r="L326" s="24">
        <f>MAX(0,AZ325)</f>
        <v/>
      </c>
      <c r="M326" s="24">
        <f>MAX(0,BA325)</f>
        <v/>
      </c>
      <c r="N326" s="24">
        <f>IF(D326&lt;0.5,0,D326*(1+N('My Loans'!D6)/1200))</f>
        <v/>
      </c>
      <c r="O326" s="24">
        <f>IF(E326&lt;0.5,0,E326*(1+N('My Loans'!D7)/1200))</f>
        <v/>
      </c>
      <c r="P326" s="24">
        <f>IF(F326&lt;0.5,0,F326*(1+N('My Loans'!D8)/1200))</f>
        <v/>
      </c>
      <c r="Q326" s="24">
        <f>IF(G326&lt;0.5,0,G326*(1+N('My Loans'!D9)/1200))</f>
        <v/>
      </c>
      <c r="R326" s="24">
        <f>IF(H326&lt;0.5,0,H326*(1+N('My Loans'!D10)/1200))</f>
        <v/>
      </c>
      <c r="S326" s="24">
        <f>IF(I326&lt;0.5,0,I326*(1+N('My Loans'!D11)/1200))</f>
        <v/>
      </c>
      <c r="T326" s="24">
        <f>IF(J326&lt;0.5,0,J326*(1+N('My Loans'!D12)/1200))</f>
        <v/>
      </c>
      <c r="U326" s="24">
        <f>IF(K326&lt;0.5,0,K326*(1+N('My Loans'!D13)/1200))</f>
        <v/>
      </c>
      <c r="V326" s="24">
        <f>IF(L326&lt;0.5,0,L326*(1+N('My Loans'!D14)/1200))</f>
        <v/>
      </c>
      <c r="W326" s="24">
        <f>IF(M326&lt;0.5,0,M326*(1+N('My Loans'!D15)/1200))</f>
        <v/>
      </c>
      <c r="X326" s="24">
        <f>MIN(N326,N('My Loans'!E6))</f>
        <v/>
      </c>
      <c r="Y326" s="24">
        <f>MIN(O326,N('My Loans'!E7))</f>
        <v/>
      </c>
      <c r="Z326" s="24">
        <f>MIN(P326,N('My Loans'!E8))</f>
        <v/>
      </c>
      <c r="AA326" s="24">
        <f>MIN(Q326,N('My Loans'!E9))</f>
        <v/>
      </c>
      <c r="AB326" s="24">
        <f>MIN(R326,N('My Loans'!E10))</f>
        <v/>
      </c>
      <c r="AC326" s="24">
        <f>MIN(S326,N('My Loans'!E11))</f>
        <v/>
      </c>
      <c r="AD326" s="24">
        <f>MIN(T326,N('My Loans'!E12))</f>
        <v/>
      </c>
      <c r="AE326" s="24">
        <f>MIN(U326,N('My Loans'!E13))</f>
        <v/>
      </c>
      <c r="AF326" s="24">
        <f>MIN(V326,N('My Loans'!E14))</f>
        <v/>
      </c>
      <c r="AG326" s="24">
        <f>MIN(W326,N('My Loans'!E15))</f>
        <v/>
      </c>
      <c r="AH326" s="24">
        <f>MIN(N326-X326,MAX(0,$C326-SUMPRODUCT(($D$3:$M$3&lt;D$3)*($N326:$W326-$X326:$AG326))))</f>
        <v/>
      </c>
      <c r="AI326" s="24">
        <f>MIN(O326-Y326,MAX(0,$C326-SUMPRODUCT(($D$3:$M$3&lt;E$3)*($N326:$W326-$X326:$AG326))))</f>
        <v/>
      </c>
      <c r="AJ326" s="24">
        <f>MIN(P326-Z326,MAX(0,$C326-SUMPRODUCT(($D$3:$M$3&lt;F$3)*($N326:$W326-$X326:$AG326))))</f>
        <v/>
      </c>
      <c r="AK326" s="24">
        <f>MIN(Q326-AA326,MAX(0,$C326-SUMPRODUCT(($D$3:$M$3&lt;G$3)*($N326:$W326-$X326:$AG326))))</f>
        <v/>
      </c>
      <c r="AL326" s="24">
        <f>MIN(R326-AB326,MAX(0,$C326-SUMPRODUCT(($D$3:$M$3&lt;H$3)*($N326:$W326-$X326:$AG326))))</f>
        <v/>
      </c>
      <c r="AM326" s="24">
        <f>MIN(S326-AC326,MAX(0,$C326-SUMPRODUCT(($D$3:$M$3&lt;I$3)*($N326:$W326-$X326:$AG326))))</f>
        <v/>
      </c>
      <c r="AN326" s="24">
        <f>MIN(T326-AD326,MAX(0,$C326-SUMPRODUCT(($D$3:$M$3&lt;J$3)*($N326:$W326-$X326:$AG326))))</f>
        <v/>
      </c>
      <c r="AO326" s="24">
        <f>MIN(U326-AE326,MAX(0,$C326-SUMPRODUCT(($D$3:$M$3&lt;K$3)*($N326:$W326-$X326:$AG326))))</f>
        <v/>
      </c>
      <c r="AP326" s="24">
        <f>MIN(V326-AF326,MAX(0,$C326-SUMPRODUCT(($D$3:$M$3&lt;L$3)*($N326:$W326-$X326:$AG326))))</f>
        <v/>
      </c>
      <c r="AQ326" s="24">
        <f>MIN(W326-AG326,MAX(0,$C326-SUMPRODUCT(($D$3:$M$3&lt;M$3)*($N326:$W326-$X326:$AG326))))</f>
        <v/>
      </c>
      <c r="AR326" s="24">
        <f>ROUND(N326-X326-AH326,2)</f>
        <v/>
      </c>
      <c r="AS326" s="24">
        <f>ROUND(O326-Y326-AI326,2)</f>
        <v/>
      </c>
      <c r="AT326" s="24">
        <f>ROUND(P326-Z326-AJ326,2)</f>
        <v/>
      </c>
      <c r="AU326" s="24">
        <f>ROUND(Q326-AA326-AK326,2)</f>
        <v/>
      </c>
      <c r="AV326" s="24">
        <f>ROUND(R326-AB326-AL326,2)</f>
        <v/>
      </c>
      <c r="AW326" s="24">
        <f>ROUND(S326-AC326-AM326,2)</f>
        <v/>
      </c>
      <c r="AX326" s="24">
        <f>ROUND(T326-AD326-AN326,2)</f>
        <v/>
      </c>
      <c r="AY326" s="24">
        <f>ROUND(U326-AE326-AO326,2)</f>
        <v/>
      </c>
      <c r="AZ326" s="24">
        <f>ROUND(V326-AF326-AP326,2)</f>
        <v/>
      </c>
      <c r="BA326" s="24">
        <f>ROUND(W326-AG326-AQ326,2)</f>
        <v/>
      </c>
      <c r="BB326" s="24">
        <f>SUM(AR326:BA326)</f>
        <v/>
      </c>
    </row>
    <row r="327">
      <c r="A327" t="n">
        <v>323</v>
      </c>
      <c r="B327" s="23">
        <f>EOMONTH(TODAY(),322)</f>
        <v/>
      </c>
      <c r="C327" s="24">
        <f>MAX(0,(SUM('My Loans'!$E$6:$E$15)+'My Loans'!$D$3)-SUM($X327:$AG327))</f>
        <v/>
      </c>
      <c r="D327" s="24">
        <f>MAX(0,AR326)</f>
        <v/>
      </c>
      <c r="E327" s="24">
        <f>MAX(0,AS326)</f>
        <v/>
      </c>
      <c r="F327" s="24">
        <f>MAX(0,AT326)</f>
        <v/>
      </c>
      <c r="G327" s="24">
        <f>MAX(0,AU326)</f>
        <v/>
      </c>
      <c r="H327" s="24">
        <f>MAX(0,AV326)</f>
        <v/>
      </c>
      <c r="I327" s="24">
        <f>MAX(0,AW326)</f>
        <v/>
      </c>
      <c r="J327" s="24">
        <f>MAX(0,AX326)</f>
        <v/>
      </c>
      <c r="K327" s="24">
        <f>MAX(0,AY326)</f>
        <v/>
      </c>
      <c r="L327" s="24">
        <f>MAX(0,AZ326)</f>
        <v/>
      </c>
      <c r="M327" s="24">
        <f>MAX(0,BA326)</f>
        <v/>
      </c>
      <c r="N327" s="24">
        <f>IF(D327&lt;0.5,0,D327*(1+N('My Loans'!D6)/1200))</f>
        <v/>
      </c>
      <c r="O327" s="24">
        <f>IF(E327&lt;0.5,0,E327*(1+N('My Loans'!D7)/1200))</f>
        <v/>
      </c>
      <c r="P327" s="24">
        <f>IF(F327&lt;0.5,0,F327*(1+N('My Loans'!D8)/1200))</f>
        <v/>
      </c>
      <c r="Q327" s="24">
        <f>IF(G327&lt;0.5,0,G327*(1+N('My Loans'!D9)/1200))</f>
        <v/>
      </c>
      <c r="R327" s="24">
        <f>IF(H327&lt;0.5,0,H327*(1+N('My Loans'!D10)/1200))</f>
        <v/>
      </c>
      <c r="S327" s="24">
        <f>IF(I327&lt;0.5,0,I327*(1+N('My Loans'!D11)/1200))</f>
        <v/>
      </c>
      <c r="T327" s="24">
        <f>IF(J327&lt;0.5,0,J327*(1+N('My Loans'!D12)/1200))</f>
        <v/>
      </c>
      <c r="U327" s="24">
        <f>IF(K327&lt;0.5,0,K327*(1+N('My Loans'!D13)/1200))</f>
        <v/>
      </c>
      <c r="V327" s="24">
        <f>IF(L327&lt;0.5,0,L327*(1+N('My Loans'!D14)/1200))</f>
        <v/>
      </c>
      <c r="W327" s="24">
        <f>IF(M327&lt;0.5,0,M327*(1+N('My Loans'!D15)/1200))</f>
        <v/>
      </c>
      <c r="X327" s="24">
        <f>MIN(N327,N('My Loans'!E6))</f>
        <v/>
      </c>
      <c r="Y327" s="24">
        <f>MIN(O327,N('My Loans'!E7))</f>
        <v/>
      </c>
      <c r="Z327" s="24">
        <f>MIN(P327,N('My Loans'!E8))</f>
        <v/>
      </c>
      <c r="AA327" s="24">
        <f>MIN(Q327,N('My Loans'!E9))</f>
        <v/>
      </c>
      <c r="AB327" s="24">
        <f>MIN(R327,N('My Loans'!E10))</f>
        <v/>
      </c>
      <c r="AC327" s="24">
        <f>MIN(S327,N('My Loans'!E11))</f>
        <v/>
      </c>
      <c r="AD327" s="24">
        <f>MIN(T327,N('My Loans'!E12))</f>
        <v/>
      </c>
      <c r="AE327" s="24">
        <f>MIN(U327,N('My Loans'!E13))</f>
        <v/>
      </c>
      <c r="AF327" s="24">
        <f>MIN(V327,N('My Loans'!E14))</f>
        <v/>
      </c>
      <c r="AG327" s="24">
        <f>MIN(W327,N('My Loans'!E15))</f>
        <v/>
      </c>
      <c r="AH327" s="24">
        <f>MIN(N327-X327,MAX(0,$C327-SUMPRODUCT(($D$3:$M$3&lt;D$3)*($N327:$W327-$X327:$AG327))))</f>
        <v/>
      </c>
      <c r="AI327" s="24">
        <f>MIN(O327-Y327,MAX(0,$C327-SUMPRODUCT(($D$3:$M$3&lt;E$3)*($N327:$W327-$X327:$AG327))))</f>
        <v/>
      </c>
      <c r="AJ327" s="24">
        <f>MIN(P327-Z327,MAX(0,$C327-SUMPRODUCT(($D$3:$M$3&lt;F$3)*($N327:$W327-$X327:$AG327))))</f>
        <v/>
      </c>
      <c r="AK327" s="24">
        <f>MIN(Q327-AA327,MAX(0,$C327-SUMPRODUCT(($D$3:$M$3&lt;G$3)*($N327:$W327-$X327:$AG327))))</f>
        <v/>
      </c>
      <c r="AL327" s="24">
        <f>MIN(R327-AB327,MAX(0,$C327-SUMPRODUCT(($D$3:$M$3&lt;H$3)*($N327:$W327-$X327:$AG327))))</f>
        <v/>
      </c>
      <c r="AM327" s="24">
        <f>MIN(S327-AC327,MAX(0,$C327-SUMPRODUCT(($D$3:$M$3&lt;I$3)*($N327:$W327-$X327:$AG327))))</f>
        <v/>
      </c>
      <c r="AN327" s="24">
        <f>MIN(T327-AD327,MAX(0,$C327-SUMPRODUCT(($D$3:$M$3&lt;J$3)*($N327:$W327-$X327:$AG327))))</f>
        <v/>
      </c>
      <c r="AO327" s="24">
        <f>MIN(U327-AE327,MAX(0,$C327-SUMPRODUCT(($D$3:$M$3&lt;K$3)*($N327:$W327-$X327:$AG327))))</f>
        <v/>
      </c>
      <c r="AP327" s="24">
        <f>MIN(V327-AF327,MAX(0,$C327-SUMPRODUCT(($D$3:$M$3&lt;L$3)*($N327:$W327-$X327:$AG327))))</f>
        <v/>
      </c>
      <c r="AQ327" s="24">
        <f>MIN(W327-AG327,MAX(0,$C327-SUMPRODUCT(($D$3:$M$3&lt;M$3)*($N327:$W327-$X327:$AG327))))</f>
        <v/>
      </c>
      <c r="AR327" s="24">
        <f>ROUND(N327-X327-AH327,2)</f>
        <v/>
      </c>
      <c r="AS327" s="24">
        <f>ROUND(O327-Y327-AI327,2)</f>
        <v/>
      </c>
      <c r="AT327" s="24">
        <f>ROUND(P327-Z327-AJ327,2)</f>
        <v/>
      </c>
      <c r="AU327" s="24">
        <f>ROUND(Q327-AA327-AK327,2)</f>
        <v/>
      </c>
      <c r="AV327" s="24">
        <f>ROUND(R327-AB327-AL327,2)</f>
        <v/>
      </c>
      <c r="AW327" s="24">
        <f>ROUND(S327-AC327-AM327,2)</f>
        <v/>
      </c>
      <c r="AX327" s="24">
        <f>ROUND(T327-AD327-AN327,2)</f>
        <v/>
      </c>
      <c r="AY327" s="24">
        <f>ROUND(U327-AE327-AO327,2)</f>
        <v/>
      </c>
      <c r="AZ327" s="24">
        <f>ROUND(V327-AF327-AP327,2)</f>
        <v/>
      </c>
      <c r="BA327" s="24">
        <f>ROUND(W327-AG327-AQ327,2)</f>
        <v/>
      </c>
      <c r="BB327" s="24">
        <f>SUM(AR327:BA327)</f>
        <v/>
      </c>
    </row>
    <row r="328">
      <c r="A328" t="n">
        <v>324</v>
      </c>
      <c r="B328" s="23">
        <f>EOMONTH(TODAY(),323)</f>
        <v/>
      </c>
      <c r="C328" s="24">
        <f>MAX(0,(SUM('My Loans'!$E$6:$E$15)+'My Loans'!$D$3)-SUM($X328:$AG328))</f>
        <v/>
      </c>
      <c r="D328" s="24">
        <f>MAX(0,AR327)</f>
        <v/>
      </c>
      <c r="E328" s="24">
        <f>MAX(0,AS327)</f>
        <v/>
      </c>
      <c r="F328" s="24">
        <f>MAX(0,AT327)</f>
        <v/>
      </c>
      <c r="G328" s="24">
        <f>MAX(0,AU327)</f>
        <v/>
      </c>
      <c r="H328" s="24">
        <f>MAX(0,AV327)</f>
        <v/>
      </c>
      <c r="I328" s="24">
        <f>MAX(0,AW327)</f>
        <v/>
      </c>
      <c r="J328" s="24">
        <f>MAX(0,AX327)</f>
        <v/>
      </c>
      <c r="K328" s="24">
        <f>MAX(0,AY327)</f>
        <v/>
      </c>
      <c r="L328" s="24">
        <f>MAX(0,AZ327)</f>
        <v/>
      </c>
      <c r="M328" s="24">
        <f>MAX(0,BA327)</f>
        <v/>
      </c>
      <c r="N328" s="24">
        <f>IF(D328&lt;0.5,0,D328*(1+N('My Loans'!D6)/1200))</f>
        <v/>
      </c>
      <c r="O328" s="24">
        <f>IF(E328&lt;0.5,0,E328*(1+N('My Loans'!D7)/1200))</f>
        <v/>
      </c>
      <c r="P328" s="24">
        <f>IF(F328&lt;0.5,0,F328*(1+N('My Loans'!D8)/1200))</f>
        <v/>
      </c>
      <c r="Q328" s="24">
        <f>IF(G328&lt;0.5,0,G328*(1+N('My Loans'!D9)/1200))</f>
        <v/>
      </c>
      <c r="R328" s="24">
        <f>IF(H328&lt;0.5,0,H328*(1+N('My Loans'!D10)/1200))</f>
        <v/>
      </c>
      <c r="S328" s="24">
        <f>IF(I328&lt;0.5,0,I328*(1+N('My Loans'!D11)/1200))</f>
        <v/>
      </c>
      <c r="T328" s="24">
        <f>IF(J328&lt;0.5,0,J328*(1+N('My Loans'!D12)/1200))</f>
        <v/>
      </c>
      <c r="U328" s="24">
        <f>IF(K328&lt;0.5,0,K328*(1+N('My Loans'!D13)/1200))</f>
        <v/>
      </c>
      <c r="V328" s="24">
        <f>IF(L328&lt;0.5,0,L328*(1+N('My Loans'!D14)/1200))</f>
        <v/>
      </c>
      <c r="W328" s="24">
        <f>IF(M328&lt;0.5,0,M328*(1+N('My Loans'!D15)/1200))</f>
        <v/>
      </c>
      <c r="X328" s="24">
        <f>MIN(N328,N('My Loans'!E6))</f>
        <v/>
      </c>
      <c r="Y328" s="24">
        <f>MIN(O328,N('My Loans'!E7))</f>
        <v/>
      </c>
      <c r="Z328" s="24">
        <f>MIN(P328,N('My Loans'!E8))</f>
        <v/>
      </c>
      <c r="AA328" s="24">
        <f>MIN(Q328,N('My Loans'!E9))</f>
        <v/>
      </c>
      <c r="AB328" s="24">
        <f>MIN(R328,N('My Loans'!E10))</f>
        <v/>
      </c>
      <c r="AC328" s="24">
        <f>MIN(S328,N('My Loans'!E11))</f>
        <v/>
      </c>
      <c r="AD328" s="24">
        <f>MIN(T328,N('My Loans'!E12))</f>
        <v/>
      </c>
      <c r="AE328" s="24">
        <f>MIN(U328,N('My Loans'!E13))</f>
        <v/>
      </c>
      <c r="AF328" s="24">
        <f>MIN(V328,N('My Loans'!E14))</f>
        <v/>
      </c>
      <c r="AG328" s="24">
        <f>MIN(W328,N('My Loans'!E15))</f>
        <v/>
      </c>
      <c r="AH328" s="24">
        <f>MIN(N328-X328,MAX(0,$C328-SUMPRODUCT(($D$3:$M$3&lt;D$3)*($N328:$W328-$X328:$AG328))))</f>
        <v/>
      </c>
      <c r="AI328" s="24">
        <f>MIN(O328-Y328,MAX(0,$C328-SUMPRODUCT(($D$3:$M$3&lt;E$3)*($N328:$W328-$X328:$AG328))))</f>
        <v/>
      </c>
      <c r="AJ328" s="24">
        <f>MIN(P328-Z328,MAX(0,$C328-SUMPRODUCT(($D$3:$M$3&lt;F$3)*($N328:$W328-$X328:$AG328))))</f>
        <v/>
      </c>
      <c r="AK328" s="24">
        <f>MIN(Q328-AA328,MAX(0,$C328-SUMPRODUCT(($D$3:$M$3&lt;G$3)*($N328:$W328-$X328:$AG328))))</f>
        <v/>
      </c>
      <c r="AL328" s="24">
        <f>MIN(R328-AB328,MAX(0,$C328-SUMPRODUCT(($D$3:$M$3&lt;H$3)*($N328:$W328-$X328:$AG328))))</f>
        <v/>
      </c>
      <c r="AM328" s="24">
        <f>MIN(S328-AC328,MAX(0,$C328-SUMPRODUCT(($D$3:$M$3&lt;I$3)*($N328:$W328-$X328:$AG328))))</f>
        <v/>
      </c>
      <c r="AN328" s="24">
        <f>MIN(T328-AD328,MAX(0,$C328-SUMPRODUCT(($D$3:$M$3&lt;J$3)*($N328:$W328-$X328:$AG328))))</f>
        <v/>
      </c>
      <c r="AO328" s="24">
        <f>MIN(U328-AE328,MAX(0,$C328-SUMPRODUCT(($D$3:$M$3&lt;K$3)*($N328:$W328-$X328:$AG328))))</f>
        <v/>
      </c>
      <c r="AP328" s="24">
        <f>MIN(V328-AF328,MAX(0,$C328-SUMPRODUCT(($D$3:$M$3&lt;L$3)*($N328:$W328-$X328:$AG328))))</f>
        <v/>
      </c>
      <c r="AQ328" s="24">
        <f>MIN(W328-AG328,MAX(0,$C328-SUMPRODUCT(($D$3:$M$3&lt;M$3)*($N328:$W328-$X328:$AG328))))</f>
        <v/>
      </c>
      <c r="AR328" s="24">
        <f>ROUND(N328-X328-AH328,2)</f>
        <v/>
      </c>
      <c r="AS328" s="24">
        <f>ROUND(O328-Y328-AI328,2)</f>
        <v/>
      </c>
      <c r="AT328" s="24">
        <f>ROUND(P328-Z328-AJ328,2)</f>
        <v/>
      </c>
      <c r="AU328" s="24">
        <f>ROUND(Q328-AA328-AK328,2)</f>
        <v/>
      </c>
      <c r="AV328" s="24">
        <f>ROUND(R328-AB328-AL328,2)</f>
        <v/>
      </c>
      <c r="AW328" s="24">
        <f>ROUND(S328-AC328-AM328,2)</f>
        <v/>
      </c>
      <c r="AX328" s="24">
        <f>ROUND(T328-AD328-AN328,2)</f>
        <v/>
      </c>
      <c r="AY328" s="24">
        <f>ROUND(U328-AE328-AO328,2)</f>
        <v/>
      </c>
      <c r="AZ328" s="24">
        <f>ROUND(V328-AF328-AP328,2)</f>
        <v/>
      </c>
      <c r="BA328" s="24">
        <f>ROUND(W328-AG328-AQ328,2)</f>
        <v/>
      </c>
      <c r="BB328" s="24">
        <f>SUM(AR328:BA328)</f>
        <v/>
      </c>
    </row>
    <row r="329">
      <c r="A329" t="n">
        <v>325</v>
      </c>
      <c r="B329" s="23">
        <f>EOMONTH(TODAY(),324)</f>
        <v/>
      </c>
      <c r="C329" s="24">
        <f>MAX(0,(SUM('My Loans'!$E$6:$E$15)+'My Loans'!$D$3)-SUM($X329:$AG329))</f>
        <v/>
      </c>
      <c r="D329" s="24">
        <f>MAX(0,AR328)</f>
        <v/>
      </c>
      <c r="E329" s="24">
        <f>MAX(0,AS328)</f>
        <v/>
      </c>
      <c r="F329" s="24">
        <f>MAX(0,AT328)</f>
        <v/>
      </c>
      <c r="G329" s="24">
        <f>MAX(0,AU328)</f>
        <v/>
      </c>
      <c r="H329" s="24">
        <f>MAX(0,AV328)</f>
        <v/>
      </c>
      <c r="I329" s="24">
        <f>MAX(0,AW328)</f>
        <v/>
      </c>
      <c r="J329" s="24">
        <f>MAX(0,AX328)</f>
        <v/>
      </c>
      <c r="K329" s="24">
        <f>MAX(0,AY328)</f>
        <v/>
      </c>
      <c r="L329" s="24">
        <f>MAX(0,AZ328)</f>
        <v/>
      </c>
      <c r="M329" s="24">
        <f>MAX(0,BA328)</f>
        <v/>
      </c>
      <c r="N329" s="24">
        <f>IF(D329&lt;0.5,0,D329*(1+N('My Loans'!D6)/1200))</f>
        <v/>
      </c>
      <c r="O329" s="24">
        <f>IF(E329&lt;0.5,0,E329*(1+N('My Loans'!D7)/1200))</f>
        <v/>
      </c>
      <c r="P329" s="24">
        <f>IF(F329&lt;0.5,0,F329*(1+N('My Loans'!D8)/1200))</f>
        <v/>
      </c>
      <c r="Q329" s="24">
        <f>IF(G329&lt;0.5,0,G329*(1+N('My Loans'!D9)/1200))</f>
        <v/>
      </c>
      <c r="R329" s="24">
        <f>IF(H329&lt;0.5,0,H329*(1+N('My Loans'!D10)/1200))</f>
        <v/>
      </c>
      <c r="S329" s="24">
        <f>IF(I329&lt;0.5,0,I329*(1+N('My Loans'!D11)/1200))</f>
        <v/>
      </c>
      <c r="T329" s="24">
        <f>IF(J329&lt;0.5,0,J329*(1+N('My Loans'!D12)/1200))</f>
        <v/>
      </c>
      <c r="U329" s="24">
        <f>IF(K329&lt;0.5,0,K329*(1+N('My Loans'!D13)/1200))</f>
        <v/>
      </c>
      <c r="V329" s="24">
        <f>IF(L329&lt;0.5,0,L329*(1+N('My Loans'!D14)/1200))</f>
        <v/>
      </c>
      <c r="W329" s="24">
        <f>IF(M329&lt;0.5,0,M329*(1+N('My Loans'!D15)/1200))</f>
        <v/>
      </c>
      <c r="X329" s="24">
        <f>MIN(N329,N('My Loans'!E6))</f>
        <v/>
      </c>
      <c r="Y329" s="24">
        <f>MIN(O329,N('My Loans'!E7))</f>
        <v/>
      </c>
      <c r="Z329" s="24">
        <f>MIN(P329,N('My Loans'!E8))</f>
        <v/>
      </c>
      <c r="AA329" s="24">
        <f>MIN(Q329,N('My Loans'!E9))</f>
        <v/>
      </c>
      <c r="AB329" s="24">
        <f>MIN(R329,N('My Loans'!E10))</f>
        <v/>
      </c>
      <c r="AC329" s="24">
        <f>MIN(S329,N('My Loans'!E11))</f>
        <v/>
      </c>
      <c r="AD329" s="24">
        <f>MIN(T329,N('My Loans'!E12))</f>
        <v/>
      </c>
      <c r="AE329" s="24">
        <f>MIN(U329,N('My Loans'!E13))</f>
        <v/>
      </c>
      <c r="AF329" s="24">
        <f>MIN(V329,N('My Loans'!E14))</f>
        <v/>
      </c>
      <c r="AG329" s="24">
        <f>MIN(W329,N('My Loans'!E15))</f>
        <v/>
      </c>
      <c r="AH329" s="24">
        <f>MIN(N329-X329,MAX(0,$C329-SUMPRODUCT(($D$3:$M$3&lt;D$3)*($N329:$W329-$X329:$AG329))))</f>
        <v/>
      </c>
      <c r="AI329" s="24">
        <f>MIN(O329-Y329,MAX(0,$C329-SUMPRODUCT(($D$3:$M$3&lt;E$3)*($N329:$W329-$X329:$AG329))))</f>
        <v/>
      </c>
      <c r="AJ329" s="24">
        <f>MIN(P329-Z329,MAX(0,$C329-SUMPRODUCT(($D$3:$M$3&lt;F$3)*($N329:$W329-$X329:$AG329))))</f>
        <v/>
      </c>
      <c r="AK329" s="24">
        <f>MIN(Q329-AA329,MAX(0,$C329-SUMPRODUCT(($D$3:$M$3&lt;G$3)*($N329:$W329-$X329:$AG329))))</f>
        <v/>
      </c>
      <c r="AL329" s="24">
        <f>MIN(R329-AB329,MAX(0,$C329-SUMPRODUCT(($D$3:$M$3&lt;H$3)*($N329:$W329-$X329:$AG329))))</f>
        <v/>
      </c>
      <c r="AM329" s="24">
        <f>MIN(S329-AC329,MAX(0,$C329-SUMPRODUCT(($D$3:$M$3&lt;I$3)*($N329:$W329-$X329:$AG329))))</f>
        <v/>
      </c>
      <c r="AN329" s="24">
        <f>MIN(T329-AD329,MAX(0,$C329-SUMPRODUCT(($D$3:$M$3&lt;J$3)*($N329:$W329-$X329:$AG329))))</f>
        <v/>
      </c>
      <c r="AO329" s="24">
        <f>MIN(U329-AE329,MAX(0,$C329-SUMPRODUCT(($D$3:$M$3&lt;K$3)*($N329:$W329-$X329:$AG329))))</f>
        <v/>
      </c>
      <c r="AP329" s="24">
        <f>MIN(V329-AF329,MAX(0,$C329-SUMPRODUCT(($D$3:$M$3&lt;L$3)*($N329:$W329-$X329:$AG329))))</f>
        <v/>
      </c>
      <c r="AQ329" s="24">
        <f>MIN(W329-AG329,MAX(0,$C329-SUMPRODUCT(($D$3:$M$3&lt;M$3)*($N329:$W329-$X329:$AG329))))</f>
        <v/>
      </c>
      <c r="AR329" s="24">
        <f>ROUND(N329-X329-AH329,2)</f>
        <v/>
      </c>
      <c r="AS329" s="24">
        <f>ROUND(O329-Y329-AI329,2)</f>
        <v/>
      </c>
      <c r="AT329" s="24">
        <f>ROUND(P329-Z329-AJ329,2)</f>
        <v/>
      </c>
      <c r="AU329" s="24">
        <f>ROUND(Q329-AA329-AK329,2)</f>
        <v/>
      </c>
      <c r="AV329" s="24">
        <f>ROUND(R329-AB329-AL329,2)</f>
        <v/>
      </c>
      <c r="AW329" s="24">
        <f>ROUND(S329-AC329-AM329,2)</f>
        <v/>
      </c>
      <c r="AX329" s="24">
        <f>ROUND(T329-AD329-AN329,2)</f>
        <v/>
      </c>
      <c r="AY329" s="24">
        <f>ROUND(U329-AE329-AO329,2)</f>
        <v/>
      </c>
      <c r="AZ329" s="24">
        <f>ROUND(V329-AF329-AP329,2)</f>
        <v/>
      </c>
      <c r="BA329" s="24">
        <f>ROUND(W329-AG329-AQ329,2)</f>
        <v/>
      </c>
      <c r="BB329" s="24">
        <f>SUM(AR329:BA329)</f>
        <v/>
      </c>
    </row>
    <row r="330">
      <c r="A330" t="n">
        <v>326</v>
      </c>
      <c r="B330" s="23">
        <f>EOMONTH(TODAY(),325)</f>
        <v/>
      </c>
      <c r="C330" s="24">
        <f>MAX(0,(SUM('My Loans'!$E$6:$E$15)+'My Loans'!$D$3)-SUM($X330:$AG330))</f>
        <v/>
      </c>
      <c r="D330" s="24">
        <f>MAX(0,AR329)</f>
        <v/>
      </c>
      <c r="E330" s="24">
        <f>MAX(0,AS329)</f>
        <v/>
      </c>
      <c r="F330" s="24">
        <f>MAX(0,AT329)</f>
        <v/>
      </c>
      <c r="G330" s="24">
        <f>MAX(0,AU329)</f>
        <v/>
      </c>
      <c r="H330" s="24">
        <f>MAX(0,AV329)</f>
        <v/>
      </c>
      <c r="I330" s="24">
        <f>MAX(0,AW329)</f>
        <v/>
      </c>
      <c r="J330" s="24">
        <f>MAX(0,AX329)</f>
        <v/>
      </c>
      <c r="K330" s="24">
        <f>MAX(0,AY329)</f>
        <v/>
      </c>
      <c r="L330" s="24">
        <f>MAX(0,AZ329)</f>
        <v/>
      </c>
      <c r="M330" s="24">
        <f>MAX(0,BA329)</f>
        <v/>
      </c>
      <c r="N330" s="24">
        <f>IF(D330&lt;0.5,0,D330*(1+N('My Loans'!D6)/1200))</f>
        <v/>
      </c>
      <c r="O330" s="24">
        <f>IF(E330&lt;0.5,0,E330*(1+N('My Loans'!D7)/1200))</f>
        <v/>
      </c>
      <c r="P330" s="24">
        <f>IF(F330&lt;0.5,0,F330*(1+N('My Loans'!D8)/1200))</f>
        <v/>
      </c>
      <c r="Q330" s="24">
        <f>IF(G330&lt;0.5,0,G330*(1+N('My Loans'!D9)/1200))</f>
        <v/>
      </c>
      <c r="R330" s="24">
        <f>IF(H330&lt;0.5,0,H330*(1+N('My Loans'!D10)/1200))</f>
        <v/>
      </c>
      <c r="S330" s="24">
        <f>IF(I330&lt;0.5,0,I330*(1+N('My Loans'!D11)/1200))</f>
        <v/>
      </c>
      <c r="T330" s="24">
        <f>IF(J330&lt;0.5,0,J330*(1+N('My Loans'!D12)/1200))</f>
        <v/>
      </c>
      <c r="U330" s="24">
        <f>IF(K330&lt;0.5,0,K330*(1+N('My Loans'!D13)/1200))</f>
        <v/>
      </c>
      <c r="V330" s="24">
        <f>IF(L330&lt;0.5,0,L330*(1+N('My Loans'!D14)/1200))</f>
        <v/>
      </c>
      <c r="W330" s="24">
        <f>IF(M330&lt;0.5,0,M330*(1+N('My Loans'!D15)/1200))</f>
        <v/>
      </c>
      <c r="X330" s="24">
        <f>MIN(N330,N('My Loans'!E6))</f>
        <v/>
      </c>
      <c r="Y330" s="24">
        <f>MIN(O330,N('My Loans'!E7))</f>
        <v/>
      </c>
      <c r="Z330" s="24">
        <f>MIN(P330,N('My Loans'!E8))</f>
        <v/>
      </c>
      <c r="AA330" s="24">
        <f>MIN(Q330,N('My Loans'!E9))</f>
        <v/>
      </c>
      <c r="AB330" s="24">
        <f>MIN(R330,N('My Loans'!E10))</f>
        <v/>
      </c>
      <c r="AC330" s="24">
        <f>MIN(S330,N('My Loans'!E11))</f>
        <v/>
      </c>
      <c r="AD330" s="24">
        <f>MIN(T330,N('My Loans'!E12))</f>
        <v/>
      </c>
      <c r="AE330" s="24">
        <f>MIN(U330,N('My Loans'!E13))</f>
        <v/>
      </c>
      <c r="AF330" s="24">
        <f>MIN(V330,N('My Loans'!E14))</f>
        <v/>
      </c>
      <c r="AG330" s="24">
        <f>MIN(W330,N('My Loans'!E15))</f>
        <v/>
      </c>
      <c r="AH330" s="24">
        <f>MIN(N330-X330,MAX(0,$C330-SUMPRODUCT(($D$3:$M$3&lt;D$3)*($N330:$W330-$X330:$AG330))))</f>
        <v/>
      </c>
      <c r="AI330" s="24">
        <f>MIN(O330-Y330,MAX(0,$C330-SUMPRODUCT(($D$3:$M$3&lt;E$3)*($N330:$W330-$X330:$AG330))))</f>
        <v/>
      </c>
      <c r="AJ330" s="24">
        <f>MIN(P330-Z330,MAX(0,$C330-SUMPRODUCT(($D$3:$M$3&lt;F$3)*($N330:$W330-$X330:$AG330))))</f>
        <v/>
      </c>
      <c r="AK330" s="24">
        <f>MIN(Q330-AA330,MAX(0,$C330-SUMPRODUCT(($D$3:$M$3&lt;G$3)*($N330:$W330-$X330:$AG330))))</f>
        <v/>
      </c>
      <c r="AL330" s="24">
        <f>MIN(R330-AB330,MAX(0,$C330-SUMPRODUCT(($D$3:$M$3&lt;H$3)*($N330:$W330-$X330:$AG330))))</f>
        <v/>
      </c>
      <c r="AM330" s="24">
        <f>MIN(S330-AC330,MAX(0,$C330-SUMPRODUCT(($D$3:$M$3&lt;I$3)*($N330:$W330-$X330:$AG330))))</f>
        <v/>
      </c>
      <c r="AN330" s="24">
        <f>MIN(T330-AD330,MAX(0,$C330-SUMPRODUCT(($D$3:$M$3&lt;J$3)*($N330:$W330-$X330:$AG330))))</f>
        <v/>
      </c>
      <c r="AO330" s="24">
        <f>MIN(U330-AE330,MAX(0,$C330-SUMPRODUCT(($D$3:$M$3&lt;K$3)*($N330:$W330-$X330:$AG330))))</f>
        <v/>
      </c>
      <c r="AP330" s="24">
        <f>MIN(V330-AF330,MAX(0,$C330-SUMPRODUCT(($D$3:$M$3&lt;L$3)*($N330:$W330-$X330:$AG330))))</f>
        <v/>
      </c>
      <c r="AQ330" s="24">
        <f>MIN(W330-AG330,MAX(0,$C330-SUMPRODUCT(($D$3:$M$3&lt;M$3)*($N330:$W330-$X330:$AG330))))</f>
        <v/>
      </c>
      <c r="AR330" s="24">
        <f>ROUND(N330-X330-AH330,2)</f>
        <v/>
      </c>
      <c r="AS330" s="24">
        <f>ROUND(O330-Y330-AI330,2)</f>
        <v/>
      </c>
      <c r="AT330" s="24">
        <f>ROUND(P330-Z330-AJ330,2)</f>
        <v/>
      </c>
      <c r="AU330" s="24">
        <f>ROUND(Q330-AA330-AK330,2)</f>
        <v/>
      </c>
      <c r="AV330" s="24">
        <f>ROUND(R330-AB330-AL330,2)</f>
        <v/>
      </c>
      <c r="AW330" s="24">
        <f>ROUND(S330-AC330-AM330,2)</f>
        <v/>
      </c>
      <c r="AX330" s="24">
        <f>ROUND(T330-AD330-AN330,2)</f>
        <v/>
      </c>
      <c r="AY330" s="24">
        <f>ROUND(U330-AE330-AO330,2)</f>
        <v/>
      </c>
      <c r="AZ330" s="24">
        <f>ROUND(V330-AF330-AP330,2)</f>
        <v/>
      </c>
      <c r="BA330" s="24">
        <f>ROUND(W330-AG330-AQ330,2)</f>
        <v/>
      </c>
      <c r="BB330" s="24">
        <f>SUM(AR330:BA330)</f>
        <v/>
      </c>
    </row>
    <row r="331">
      <c r="A331" t="n">
        <v>327</v>
      </c>
      <c r="B331" s="23">
        <f>EOMONTH(TODAY(),326)</f>
        <v/>
      </c>
      <c r="C331" s="24">
        <f>MAX(0,(SUM('My Loans'!$E$6:$E$15)+'My Loans'!$D$3)-SUM($X331:$AG331))</f>
        <v/>
      </c>
      <c r="D331" s="24">
        <f>MAX(0,AR330)</f>
        <v/>
      </c>
      <c r="E331" s="24">
        <f>MAX(0,AS330)</f>
        <v/>
      </c>
      <c r="F331" s="24">
        <f>MAX(0,AT330)</f>
        <v/>
      </c>
      <c r="G331" s="24">
        <f>MAX(0,AU330)</f>
        <v/>
      </c>
      <c r="H331" s="24">
        <f>MAX(0,AV330)</f>
        <v/>
      </c>
      <c r="I331" s="24">
        <f>MAX(0,AW330)</f>
        <v/>
      </c>
      <c r="J331" s="24">
        <f>MAX(0,AX330)</f>
        <v/>
      </c>
      <c r="K331" s="24">
        <f>MAX(0,AY330)</f>
        <v/>
      </c>
      <c r="L331" s="24">
        <f>MAX(0,AZ330)</f>
        <v/>
      </c>
      <c r="M331" s="24">
        <f>MAX(0,BA330)</f>
        <v/>
      </c>
      <c r="N331" s="24">
        <f>IF(D331&lt;0.5,0,D331*(1+N('My Loans'!D6)/1200))</f>
        <v/>
      </c>
      <c r="O331" s="24">
        <f>IF(E331&lt;0.5,0,E331*(1+N('My Loans'!D7)/1200))</f>
        <v/>
      </c>
      <c r="P331" s="24">
        <f>IF(F331&lt;0.5,0,F331*(1+N('My Loans'!D8)/1200))</f>
        <v/>
      </c>
      <c r="Q331" s="24">
        <f>IF(G331&lt;0.5,0,G331*(1+N('My Loans'!D9)/1200))</f>
        <v/>
      </c>
      <c r="R331" s="24">
        <f>IF(H331&lt;0.5,0,H331*(1+N('My Loans'!D10)/1200))</f>
        <v/>
      </c>
      <c r="S331" s="24">
        <f>IF(I331&lt;0.5,0,I331*(1+N('My Loans'!D11)/1200))</f>
        <v/>
      </c>
      <c r="T331" s="24">
        <f>IF(J331&lt;0.5,0,J331*(1+N('My Loans'!D12)/1200))</f>
        <v/>
      </c>
      <c r="U331" s="24">
        <f>IF(K331&lt;0.5,0,K331*(1+N('My Loans'!D13)/1200))</f>
        <v/>
      </c>
      <c r="V331" s="24">
        <f>IF(L331&lt;0.5,0,L331*(1+N('My Loans'!D14)/1200))</f>
        <v/>
      </c>
      <c r="W331" s="24">
        <f>IF(M331&lt;0.5,0,M331*(1+N('My Loans'!D15)/1200))</f>
        <v/>
      </c>
      <c r="X331" s="24">
        <f>MIN(N331,N('My Loans'!E6))</f>
        <v/>
      </c>
      <c r="Y331" s="24">
        <f>MIN(O331,N('My Loans'!E7))</f>
        <v/>
      </c>
      <c r="Z331" s="24">
        <f>MIN(P331,N('My Loans'!E8))</f>
        <v/>
      </c>
      <c r="AA331" s="24">
        <f>MIN(Q331,N('My Loans'!E9))</f>
        <v/>
      </c>
      <c r="AB331" s="24">
        <f>MIN(R331,N('My Loans'!E10))</f>
        <v/>
      </c>
      <c r="AC331" s="24">
        <f>MIN(S331,N('My Loans'!E11))</f>
        <v/>
      </c>
      <c r="AD331" s="24">
        <f>MIN(T331,N('My Loans'!E12))</f>
        <v/>
      </c>
      <c r="AE331" s="24">
        <f>MIN(U331,N('My Loans'!E13))</f>
        <v/>
      </c>
      <c r="AF331" s="24">
        <f>MIN(V331,N('My Loans'!E14))</f>
        <v/>
      </c>
      <c r="AG331" s="24">
        <f>MIN(W331,N('My Loans'!E15))</f>
        <v/>
      </c>
      <c r="AH331" s="24">
        <f>MIN(N331-X331,MAX(0,$C331-SUMPRODUCT(($D$3:$M$3&lt;D$3)*($N331:$W331-$X331:$AG331))))</f>
        <v/>
      </c>
      <c r="AI331" s="24">
        <f>MIN(O331-Y331,MAX(0,$C331-SUMPRODUCT(($D$3:$M$3&lt;E$3)*($N331:$W331-$X331:$AG331))))</f>
        <v/>
      </c>
      <c r="AJ331" s="24">
        <f>MIN(P331-Z331,MAX(0,$C331-SUMPRODUCT(($D$3:$M$3&lt;F$3)*($N331:$W331-$X331:$AG331))))</f>
        <v/>
      </c>
      <c r="AK331" s="24">
        <f>MIN(Q331-AA331,MAX(0,$C331-SUMPRODUCT(($D$3:$M$3&lt;G$3)*($N331:$W331-$X331:$AG331))))</f>
        <v/>
      </c>
      <c r="AL331" s="24">
        <f>MIN(R331-AB331,MAX(0,$C331-SUMPRODUCT(($D$3:$M$3&lt;H$3)*($N331:$W331-$X331:$AG331))))</f>
        <v/>
      </c>
      <c r="AM331" s="24">
        <f>MIN(S331-AC331,MAX(0,$C331-SUMPRODUCT(($D$3:$M$3&lt;I$3)*($N331:$W331-$X331:$AG331))))</f>
        <v/>
      </c>
      <c r="AN331" s="24">
        <f>MIN(T331-AD331,MAX(0,$C331-SUMPRODUCT(($D$3:$M$3&lt;J$3)*($N331:$W331-$X331:$AG331))))</f>
        <v/>
      </c>
      <c r="AO331" s="24">
        <f>MIN(U331-AE331,MAX(0,$C331-SUMPRODUCT(($D$3:$M$3&lt;K$3)*($N331:$W331-$X331:$AG331))))</f>
        <v/>
      </c>
      <c r="AP331" s="24">
        <f>MIN(V331-AF331,MAX(0,$C331-SUMPRODUCT(($D$3:$M$3&lt;L$3)*($N331:$W331-$X331:$AG331))))</f>
        <v/>
      </c>
      <c r="AQ331" s="24">
        <f>MIN(W331-AG331,MAX(0,$C331-SUMPRODUCT(($D$3:$M$3&lt;M$3)*($N331:$W331-$X331:$AG331))))</f>
        <v/>
      </c>
      <c r="AR331" s="24">
        <f>ROUND(N331-X331-AH331,2)</f>
        <v/>
      </c>
      <c r="AS331" s="24">
        <f>ROUND(O331-Y331-AI331,2)</f>
        <v/>
      </c>
      <c r="AT331" s="24">
        <f>ROUND(P331-Z331-AJ331,2)</f>
        <v/>
      </c>
      <c r="AU331" s="24">
        <f>ROUND(Q331-AA331-AK331,2)</f>
        <v/>
      </c>
      <c r="AV331" s="24">
        <f>ROUND(R331-AB331-AL331,2)</f>
        <v/>
      </c>
      <c r="AW331" s="24">
        <f>ROUND(S331-AC331-AM331,2)</f>
        <v/>
      </c>
      <c r="AX331" s="24">
        <f>ROUND(T331-AD331-AN331,2)</f>
        <v/>
      </c>
      <c r="AY331" s="24">
        <f>ROUND(U331-AE331-AO331,2)</f>
        <v/>
      </c>
      <c r="AZ331" s="24">
        <f>ROUND(V331-AF331-AP331,2)</f>
        <v/>
      </c>
      <c r="BA331" s="24">
        <f>ROUND(W331-AG331-AQ331,2)</f>
        <v/>
      </c>
      <c r="BB331" s="24">
        <f>SUM(AR331:BA331)</f>
        <v/>
      </c>
    </row>
    <row r="332">
      <c r="A332" t="n">
        <v>328</v>
      </c>
      <c r="B332" s="23">
        <f>EOMONTH(TODAY(),327)</f>
        <v/>
      </c>
      <c r="C332" s="24">
        <f>MAX(0,(SUM('My Loans'!$E$6:$E$15)+'My Loans'!$D$3)-SUM($X332:$AG332))</f>
        <v/>
      </c>
      <c r="D332" s="24">
        <f>MAX(0,AR331)</f>
        <v/>
      </c>
      <c r="E332" s="24">
        <f>MAX(0,AS331)</f>
        <v/>
      </c>
      <c r="F332" s="24">
        <f>MAX(0,AT331)</f>
        <v/>
      </c>
      <c r="G332" s="24">
        <f>MAX(0,AU331)</f>
        <v/>
      </c>
      <c r="H332" s="24">
        <f>MAX(0,AV331)</f>
        <v/>
      </c>
      <c r="I332" s="24">
        <f>MAX(0,AW331)</f>
        <v/>
      </c>
      <c r="J332" s="24">
        <f>MAX(0,AX331)</f>
        <v/>
      </c>
      <c r="K332" s="24">
        <f>MAX(0,AY331)</f>
        <v/>
      </c>
      <c r="L332" s="24">
        <f>MAX(0,AZ331)</f>
        <v/>
      </c>
      <c r="M332" s="24">
        <f>MAX(0,BA331)</f>
        <v/>
      </c>
      <c r="N332" s="24">
        <f>IF(D332&lt;0.5,0,D332*(1+N('My Loans'!D6)/1200))</f>
        <v/>
      </c>
      <c r="O332" s="24">
        <f>IF(E332&lt;0.5,0,E332*(1+N('My Loans'!D7)/1200))</f>
        <v/>
      </c>
      <c r="P332" s="24">
        <f>IF(F332&lt;0.5,0,F332*(1+N('My Loans'!D8)/1200))</f>
        <v/>
      </c>
      <c r="Q332" s="24">
        <f>IF(G332&lt;0.5,0,G332*(1+N('My Loans'!D9)/1200))</f>
        <v/>
      </c>
      <c r="R332" s="24">
        <f>IF(H332&lt;0.5,0,H332*(1+N('My Loans'!D10)/1200))</f>
        <v/>
      </c>
      <c r="S332" s="24">
        <f>IF(I332&lt;0.5,0,I332*(1+N('My Loans'!D11)/1200))</f>
        <v/>
      </c>
      <c r="T332" s="24">
        <f>IF(J332&lt;0.5,0,J332*(1+N('My Loans'!D12)/1200))</f>
        <v/>
      </c>
      <c r="U332" s="24">
        <f>IF(K332&lt;0.5,0,K332*(1+N('My Loans'!D13)/1200))</f>
        <v/>
      </c>
      <c r="V332" s="24">
        <f>IF(L332&lt;0.5,0,L332*(1+N('My Loans'!D14)/1200))</f>
        <v/>
      </c>
      <c r="W332" s="24">
        <f>IF(M332&lt;0.5,0,M332*(1+N('My Loans'!D15)/1200))</f>
        <v/>
      </c>
      <c r="X332" s="24">
        <f>MIN(N332,N('My Loans'!E6))</f>
        <v/>
      </c>
      <c r="Y332" s="24">
        <f>MIN(O332,N('My Loans'!E7))</f>
        <v/>
      </c>
      <c r="Z332" s="24">
        <f>MIN(P332,N('My Loans'!E8))</f>
        <v/>
      </c>
      <c r="AA332" s="24">
        <f>MIN(Q332,N('My Loans'!E9))</f>
        <v/>
      </c>
      <c r="AB332" s="24">
        <f>MIN(R332,N('My Loans'!E10))</f>
        <v/>
      </c>
      <c r="AC332" s="24">
        <f>MIN(S332,N('My Loans'!E11))</f>
        <v/>
      </c>
      <c r="AD332" s="24">
        <f>MIN(T332,N('My Loans'!E12))</f>
        <v/>
      </c>
      <c r="AE332" s="24">
        <f>MIN(U332,N('My Loans'!E13))</f>
        <v/>
      </c>
      <c r="AF332" s="24">
        <f>MIN(V332,N('My Loans'!E14))</f>
        <v/>
      </c>
      <c r="AG332" s="24">
        <f>MIN(W332,N('My Loans'!E15))</f>
        <v/>
      </c>
      <c r="AH332" s="24">
        <f>MIN(N332-X332,MAX(0,$C332-SUMPRODUCT(($D$3:$M$3&lt;D$3)*($N332:$W332-$X332:$AG332))))</f>
        <v/>
      </c>
      <c r="AI332" s="24">
        <f>MIN(O332-Y332,MAX(0,$C332-SUMPRODUCT(($D$3:$M$3&lt;E$3)*($N332:$W332-$X332:$AG332))))</f>
        <v/>
      </c>
      <c r="AJ332" s="24">
        <f>MIN(P332-Z332,MAX(0,$C332-SUMPRODUCT(($D$3:$M$3&lt;F$3)*($N332:$W332-$X332:$AG332))))</f>
        <v/>
      </c>
      <c r="AK332" s="24">
        <f>MIN(Q332-AA332,MAX(0,$C332-SUMPRODUCT(($D$3:$M$3&lt;G$3)*($N332:$W332-$X332:$AG332))))</f>
        <v/>
      </c>
      <c r="AL332" s="24">
        <f>MIN(R332-AB332,MAX(0,$C332-SUMPRODUCT(($D$3:$M$3&lt;H$3)*($N332:$W332-$X332:$AG332))))</f>
        <v/>
      </c>
      <c r="AM332" s="24">
        <f>MIN(S332-AC332,MAX(0,$C332-SUMPRODUCT(($D$3:$M$3&lt;I$3)*($N332:$W332-$X332:$AG332))))</f>
        <v/>
      </c>
      <c r="AN332" s="24">
        <f>MIN(T332-AD332,MAX(0,$C332-SUMPRODUCT(($D$3:$M$3&lt;J$3)*($N332:$W332-$X332:$AG332))))</f>
        <v/>
      </c>
      <c r="AO332" s="24">
        <f>MIN(U332-AE332,MAX(0,$C332-SUMPRODUCT(($D$3:$M$3&lt;K$3)*($N332:$W332-$X332:$AG332))))</f>
        <v/>
      </c>
      <c r="AP332" s="24">
        <f>MIN(V332-AF332,MAX(0,$C332-SUMPRODUCT(($D$3:$M$3&lt;L$3)*($N332:$W332-$X332:$AG332))))</f>
        <v/>
      </c>
      <c r="AQ332" s="24">
        <f>MIN(W332-AG332,MAX(0,$C332-SUMPRODUCT(($D$3:$M$3&lt;M$3)*($N332:$W332-$X332:$AG332))))</f>
        <v/>
      </c>
      <c r="AR332" s="24">
        <f>ROUND(N332-X332-AH332,2)</f>
        <v/>
      </c>
      <c r="AS332" s="24">
        <f>ROUND(O332-Y332-AI332,2)</f>
        <v/>
      </c>
      <c r="AT332" s="24">
        <f>ROUND(P332-Z332-AJ332,2)</f>
        <v/>
      </c>
      <c r="AU332" s="24">
        <f>ROUND(Q332-AA332-AK332,2)</f>
        <v/>
      </c>
      <c r="AV332" s="24">
        <f>ROUND(R332-AB332-AL332,2)</f>
        <v/>
      </c>
      <c r="AW332" s="24">
        <f>ROUND(S332-AC332-AM332,2)</f>
        <v/>
      </c>
      <c r="AX332" s="24">
        <f>ROUND(T332-AD332-AN332,2)</f>
        <v/>
      </c>
      <c r="AY332" s="24">
        <f>ROUND(U332-AE332-AO332,2)</f>
        <v/>
      </c>
      <c r="AZ332" s="24">
        <f>ROUND(V332-AF332-AP332,2)</f>
        <v/>
      </c>
      <c r="BA332" s="24">
        <f>ROUND(W332-AG332-AQ332,2)</f>
        <v/>
      </c>
      <c r="BB332" s="24">
        <f>SUM(AR332:BA332)</f>
        <v/>
      </c>
    </row>
    <row r="333">
      <c r="A333" t="n">
        <v>329</v>
      </c>
      <c r="B333" s="23">
        <f>EOMONTH(TODAY(),328)</f>
        <v/>
      </c>
      <c r="C333" s="24">
        <f>MAX(0,(SUM('My Loans'!$E$6:$E$15)+'My Loans'!$D$3)-SUM($X333:$AG333))</f>
        <v/>
      </c>
      <c r="D333" s="24">
        <f>MAX(0,AR332)</f>
        <v/>
      </c>
      <c r="E333" s="24">
        <f>MAX(0,AS332)</f>
        <v/>
      </c>
      <c r="F333" s="24">
        <f>MAX(0,AT332)</f>
        <v/>
      </c>
      <c r="G333" s="24">
        <f>MAX(0,AU332)</f>
        <v/>
      </c>
      <c r="H333" s="24">
        <f>MAX(0,AV332)</f>
        <v/>
      </c>
      <c r="I333" s="24">
        <f>MAX(0,AW332)</f>
        <v/>
      </c>
      <c r="J333" s="24">
        <f>MAX(0,AX332)</f>
        <v/>
      </c>
      <c r="K333" s="24">
        <f>MAX(0,AY332)</f>
        <v/>
      </c>
      <c r="L333" s="24">
        <f>MAX(0,AZ332)</f>
        <v/>
      </c>
      <c r="M333" s="24">
        <f>MAX(0,BA332)</f>
        <v/>
      </c>
      <c r="N333" s="24">
        <f>IF(D333&lt;0.5,0,D333*(1+N('My Loans'!D6)/1200))</f>
        <v/>
      </c>
      <c r="O333" s="24">
        <f>IF(E333&lt;0.5,0,E333*(1+N('My Loans'!D7)/1200))</f>
        <v/>
      </c>
      <c r="P333" s="24">
        <f>IF(F333&lt;0.5,0,F333*(1+N('My Loans'!D8)/1200))</f>
        <v/>
      </c>
      <c r="Q333" s="24">
        <f>IF(G333&lt;0.5,0,G333*(1+N('My Loans'!D9)/1200))</f>
        <v/>
      </c>
      <c r="R333" s="24">
        <f>IF(H333&lt;0.5,0,H333*(1+N('My Loans'!D10)/1200))</f>
        <v/>
      </c>
      <c r="S333" s="24">
        <f>IF(I333&lt;0.5,0,I333*(1+N('My Loans'!D11)/1200))</f>
        <v/>
      </c>
      <c r="T333" s="24">
        <f>IF(J333&lt;0.5,0,J333*(1+N('My Loans'!D12)/1200))</f>
        <v/>
      </c>
      <c r="U333" s="24">
        <f>IF(K333&lt;0.5,0,K333*(1+N('My Loans'!D13)/1200))</f>
        <v/>
      </c>
      <c r="V333" s="24">
        <f>IF(L333&lt;0.5,0,L333*(1+N('My Loans'!D14)/1200))</f>
        <v/>
      </c>
      <c r="W333" s="24">
        <f>IF(M333&lt;0.5,0,M333*(1+N('My Loans'!D15)/1200))</f>
        <v/>
      </c>
      <c r="X333" s="24">
        <f>MIN(N333,N('My Loans'!E6))</f>
        <v/>
      </c>
      <c r="Y333" s="24">
        <f>MIN(O333,N('My Loans'!E7))</f>
        <v/>
      </c>
      <c r="Z333" s="24">
        <f>MIN(P333,N('My Loans'!E8))</f>
        <v/>
      </c>
      <c r="AA333" s="24">
        <f>MIN(Q333,N('My Loans'!E9))</f>
        <v/>
      </c>
      <c r="AB333" s="24">
        <f>MIN(R333,N('My Loans'!E10))</f>
        <v/>
      </c>
      <c r="AC333" s="24">
        <f>MIN(S333,N('My Loans'!E11))</f>
        <v/>
      </c>
      <c r="AD333" s="24">
        <f>MIN(T333,N('My Loans'!E12))</f>
        <v/>
      </c>
      <c r="AE333" s="24">
        <f>MIN(U333,N('My Loans'!E13))</f>
        <v/>
      </c>
      <c r="AF333" s="24">
        <f>MIN(V333,N('My Loans'!E14))</f>
        <v/>
      </c>
      <c r="AG333" s="24">
        <f>MIN(W333,N('My Loans'!E15))</f>
        <v/>
      </c>
      <c r="AH333" s="24">
        <f>MIN(N333-X333,MAX(0,$C333-SUMPRODUCT(($D$3:$M$3&lt;D$3)*($N333:$W333-$X333:$AG333))))</f>
        <v/>
      </c>
      <c r="AI333" s="24">
        <f>MIN(O333-Y333,MAX(0,$C333-SUMPRODUCT(($D$3:$M$3&lt;E$3)*($N333:$W333-$X333:$AG333))))</f>
        <v/>
      </c>
      <c r="AJ333" s="24">
        <f>MIN(P333-Z333,MAX(0,$C333-SUMPRODUCT(($D$3:$M$3&lt;F$3)*($N333:$W333-$X333:$AG333))))</f>
        <v/>
      </c>
      <c r="AK333" s="24">
        <f>MIN(Q333-AA333,MAX(0,$C333-SUMPRODUCT(($D$3:$M$3&lt;G$3)*($N333:$W333-$X333:$AG333))))</f>
        <v/>
      </c>
      <c r="AL333" s="24">
        <f>MIN(R333-AB333,MAX(0,$C333-SUMPRODUCT(($D$3:$M$3&lt;H$3)*($N333:$W333-$X333:$AG333))))</f>
        <v/>
      </c>
      <c r="AM333" s="24">
        <f>MIN(S333-AC333,MAX(0,$C333-SUMPRODUCT(($D$3:$M$3&lt;I$3)*($N333:$W333-$X333:$AG333))))</f>
        <v/>
      </c>
      <c r="AN333" s="24">
        <f>MIN(T333-AD333,MAX(0,$C333-SUMPRODUCT(($D$3:$M$3&lt;J$3)*($N333:$W333-$X333:$AG333))))</f>
        <v/>
      </c>
      <c r="AO333" s="24">
        <f>MIN(U333-AE333,MAX(0,$C333-SUMPRODUCT(($D$3:$M$3&lt;K$3)*($N333:$W333-$X333:$AG333))))</f>
        <v/>
      </c>
      <c r="AP333" s="24">
        <f>MIN(V333-AF333,MAX(0,$C333-SUMPRODUCT(($D$3:$M$3&lt;L$3)*($N333:$W333-$X333:$AG333))))</f>
        <v/>
      </c>
      <c r="AQ333" s="24">
        <f>MIN(W333-AG333,MAX(0,$C333-SUMPRODUCT(($D$3:$M$3&lt;M$3)*($N333:$W333-$X333:$AG333))))</f>
        <v/>
      </c>
      <c r="AR333" s="24">
        <f>ROUND(N333-X333-AH333,2)</f>
        <v/>
      </c>
      <c r="AS333" s="24">
        <f>ROUND(O333-Y333-AI333,2)</f>
        <v/>
      </c>
      <c r="AT333" s="24">
        <f>ROUND(P333-Z333-AJ333,2)</f>
        <v/>
      </c>
      <c r="AU333" s="24">
        <f>ROUND(Q333-AA333-AK333,2)</f>
        <v/>
      </c>
      <c r="AV333" s="24">
        <f>ROUND(R333-AB333-AL333,2)</f>
        <v/>
      </c>
      <c r="AW333" s="24">
        <f>ROUND(S333-AC333-AM333,2)</f>
        <v/>
      </c>
      <c r="AX333" s="24">
        <f>ROUND(T333-AD333-AN333,2)</f>
        <v/>
      </c>
      <c r="AY333" s="24">
        <f>ROUND(U333-AE333-AO333,2)</f>
        <v/>
      </c>
      <c r="AZ333" s="24">
        <f>ROUND(V333-AF333-AP333,2)</f>
        <v/>
      </c>
      <c r="BA333" s="24">
        <f>ROUND(W333-AG333-AQ333,2)</f>
        <v/>
      </c>
      <c r="BB333" s="24">
        <f>SUM(AR333:BA333)</f>
        <v/>
      </c>
    </row>
    <row r="334">
      <c r="A334" t="n">
        <v>330</v>
      </c>
      <c r="B334" s="23">
        <f>EOMONTH(TODAY(),329)</f>
        <v/>
      </c>
      <c r="C334" s="24">
        <f>MAX(0,(SUM('My Loans'!$E$6:$E$15)+'My Loans'!$D$3)-SUM($X334:$AG334))</f>
        <v/>
      </c>
      <c r="D334" s="24">
        <f>MAX(0,AR333)</f>
        <v/>
      </c>
      <c r="E334" s="24">
        <f>MAX(0,AS333)</f>
        <v/>
      </c>
      <c r="F334" s="24">
        <f>MAX(0,AT333)</f>
        <v/>
      </c>
      <c r="G334" s="24">
        <f>MAX(0,AU333)</f>
        <v/>
      </c>
      <c r="H334" s="24">
        <f>MAX(0,AV333)</f>
        <v/>
      </c>
      <c r="I334" s="24">
        <f>MAX(0,AW333)</f>
        <v/>
      </c>
      <c r="J334" s="24">
        <f>MAX(0,AX333)</f>
        <v/>
      </c>
      <c r="K334" s="24">
        <f>MAX(0,AY333)</f>
        <v/>
      </c>
      <c r="L334" s="24">
        <f>MAX(0,AZ333)</f>
        <v/>
      </c>
      <c r="M334" s="24">
        <f>MAX(0,BA333)</f>
        <v/>
      </c>
      <c r="N334" s="24">
        <f>IF(D334&lt;0.5,0,D334*(1+N('My Loans'!D6)/1200))</f>
        <v/>
      </c>
      <c r="O334" s="24">
        <f>IF(E334&lt;0.5,0,E334*(1+N('My Loans'!D7)/1200))</f>
        <v/>
      </c>
      <c r="P334" s="24">
        <f>IF(F334&lt;0.5,0,F334*(1+N('My Loans'!D8)/1200))</f>
        <v/>
      </c>
      <c r="Q334" s="24">
        <f>IF(G334&lt;0.5,0,G334*(1+N('My Loans'!D9)/1200))</f>
        <v/>
      </c>
      <c r="R334" s="24">
        <f>IF(H334&lt;0.5,0,H334*(1+N('My Loans'!D10)/1200))</f>
        <v/>
      </c>
      <c r="S334" s="24">
        <f>IF(I334&lt;0.5,0,I334*(1+N('My Loans'!D11)/1200))</f>
        <v/>
      </c>
      <c r="T334" s="24">
        <f>IF(J334&lt;0.5,0,J334*(1+N('My Loans'!D12)/1200))</f>
        <v/>
      </c>
      <c r="U334" s="24">
        <f>IF(K334&lt;0.5,0,K334*(1+N('My Loans'!D13)/1200))</f>
        <v/>
      </c>
      <c r="V334" s="24">
        <f>IF(L334&lt;0.5,0,L334*(1+N('My Loans'!D14)/1200))</f>
        <v/>
      </c>
      <c r="W334" s="24">
        <f>IF(M334&lt;0.5,0,M334*(1+N('My Loans'!D15)/1200))</f>
        <v/>
      </c>
      <c r="X334" s="24">
        <f>MIN(N334,N('My Loans'!E6))</f>
        <v/>
      </c>
      <c r="Y334" s="24">
        <f>MIN(O334,N('My Loans'!E7))</f>
        <v/>
      </c>
      <c r="Z334" s="24">
        <f>MIN(P334,N('My Loans'!E8))</f>
        <v/>
      </c>
      <c r="AA334" s="24">
        <f>MIN(Q334,N('My Loans'!E9))</f>
        <v/>
      </c>
      <c r="AB334" s="24">
        <f>MIN(R334,N('My Loans'!E10))</f>
        <v/>
      </c>
      <c r="AC334" s="24">
        <f>MIN(S334,N('My Loans'!E11))</f>
        <v/>
      </c>
      <c r="AD334" s="24">
        <f>MIN(T334,N('My Loans'!E12))</f>
        <v/>
      </c>
      <c r="AE334" s="24">
        <f>MIN(U334,N('My Loans'!E13))</f>
        <v/>
      </c>
      <c r="AF334" s="24">
        <f>MIN(V334,N('My Loans'!E14))</f>
        <v/>
      </c>
      <c r="AG334" s="24">
        <f>MIN(W334,N('My Loans'!E15))</f>
        <v/>
      </c>
      <c r="AH334" s="24">
        <f>MIN(N334-X334,MAX(0,$C334-SUMPRODUCT(($D$3:$M$3&lt;D$3)*($N334:$W334-$X334:$AG334))))</f>
        <v/>
      </c>
      <c r="AI334" s="24">
        <f>MIN(O334-Y334,MAX(0,$C334-SUMPRODUCT(($D$3:$M$3&lt;E$3)*($N334:$W334-$X334:$AG334))))</f>
        <v/>
      </c>
      <c r="AJ334" s="24">
        <f>MIN(P334-Z334,MAX(0,$C334-SUMPRODUCT(($D$3:$M$3&lt;F$3)*($N334:$W334-$X334:$AG334))))</f>
        <v/>
      </c>
      <c r="AK334" s="24">
        <f>MIN(Q334-AA334,MAX(0,$C334-SUMPRODUCT(($D$3:$M$3&lt;G$3)*($N334:$W334-$X334:$AG334))))</f>
        <v/>
      </c>
      <c r="AL334" s="24">
        <f>MIN(R334-AB334,MAX(0,$C334-SUMPRODUCT(($D$3:$M$3&lt;H$3)*($N334:$W334-$X334:$AG334))))</f>
        <v/>
      </c>
      <c r="AM334" s="24">
        <f>MIN(S334-AC334,MAX(0,$C334-SUMPRODUCT(($D$3:$M$3&lt;I$3)*($N334:$W334-$X334:$AG334))))</f>
        <v/>
      </c>
      <c r="AN334" s="24">
        <f>MIN(T334-AD334,MAX(0,$C334-SUMPRODUCT(($D$3:$M$3&lt;J$3)*($N334:$W334-$X334:$AG334))))</f>
        <v/>
      </c>
      <c r="AO334" s="24">
        <f>MIN(U334-AE334,MAX(0,$C334-SUMPRODUCT(($D$3:$M$3&lt;K$3)*($N334:$W334-$X334:$AG334))))</f>
        <v/>
      </c>
      <c r="AP334" s="24">
        <f>MIN(V334-AF334,MAX(0,$C334-SUMPRODUCT(($D$3:$M$3&lt;L$3)*($N334:$W334-$X334:$AG334))))</f>
        <v/>
      </c>
      <c r="AQ334" s="24">
        <f>MIN(W334-AG334,MAX(0,$C334-SUMPRODUCT(($D$3:$M$3&lt;M$3)*($N334:$W334-$X334:$AG334))))</f>
        <v/>
      </c>
      <c r="AR334" s="24">
        <f>ROUND(N334-X334-AH334,2)</f>
        <v/>
      </c>
      <c r="AS334" s="24">
        <f>ROUND(O334-Y334-AI334,2)</f>
        <v/>
      </c>
      <c r="AT334" s="24">
        <f>ROUND(P334-Z334-AJ334,2)</f>
        <v/>
      </c>
      <c r="AU334" s="24">
        <f>ROUND(Q334-AA334-AK334,2)</f>
        <v/>
      </c>
      <c r="AV334" s="24">
        <f>ROUND(R334-AB334-AL334,2)</f>
        <v/>
      </c>
      <c r="AW334" s="24">
        <f>ROUND(S334-AC334-AM334,2)</f>
        <v/>
      </c>
      <c r="AX334" s="24">
        <f>ROUND(T334-AD334-AN334,2)</f>
        <v/>
      </c>
      <c r="AY334" s="24">
        <f>ROUND(U334-AE334-AO334,2)</f>
        <v/>
      </c>
      <c r="AZ334" s="24">
        <f>ROUND(V334-AF334-AP334,2)</f>
        <v/>
      </c>
      <c r="BA334" s="24">
        <f>ROUND(W334-AG334-AQ334,2)</f>
        <v/>
      </c>
      <c r="BB334" s="24">
        <f>SUM(AR334:BA334)</f>
        <v/>
      </c>
    </row>
    <row r="335">
      <c r="A335" t="n">
        <v>331</v>
      </c>
      <c r="B335" s="23">
        <f>EOMONTH(TODAY(),330)</f>
        <v/>
      </c>
      <c r="C335" s="24">
        <f>MAX(0,(SUM('My Loans'!$E$6:$E$15)+'My Loans'!$D$3)-SUM($X335:$AG335))</f>
        <v/>
      </c>
      <c r="D335" s="24">
        <f>MAX(0,AR334)</f>
        <v/>
      </c>
      <c r="E335" s="24">
        <f>MAX(0,AS334)</f>
        <v/>
      </c>
      <c r="F335" s="24">
        <f>MAX(0,AT334)</f>
        <v/>
      </c>
      <c r="G335" s="24">
        <f>MAX(0,AU334)</f>
        <v/>
      </c>
      <c r="H335" s="24">
        <f>MAX(0,AV334)</f>
        <v/>
      </c>
      <c r="I335" s="24">
        <f>MAX(0,AW334)</f>
        <v/>
      </c>
      <c r="J335" s="24">
        <f>MAX(0,AX334)</f>
        <v/>
      </c>
      <c r="K335" s="24">
        <f>MAX(0,AY334)</f>
        <v/>
      </c>
      <c r="L335" s="24">
        <f>MAX(0,AZ334)</f>
        <v/>
      </c>
      <c r="M335" s="24">
        <f>MAX(0,BA334)</f>
        <v/>
      </c>
      <c r="N335" s="24">
        <f>IF(D335&lt;0.5,0,D335*(1+N('My Loans'!D6)/1200))</f>
        <v/>
      </c>
      <c r="O335" s="24">
        <f>IF(E335&lt;0.5,0,E335*(1+N('My Loans'!D7)/1200))</f>
        <v/>
      </c>
      <c r="P335" s="24">
        <f>IF(F335&lt;0.5,0,F335*(1+N('My Loans'!D8)/1200))</f>
        <v/>
      </c>
      <c r="Q335" s="24">
        <f>IF(G335&lt;0.5,0,G335*(1+N('My Loans'!D9)/1200))</f>
        <v/>
      </c>
      <c r="R335" s="24">
        <f>IF(H335&lt;0.5,0,H335*(1+N('My Loans'!D10)/1200))</f>
        <v/>
      </c>
      <c r="S335" s="24">
        <f>IF(I335&lt;0.5,0,I335*(1+N('My Loans'!D11)/1200))</f>
        <v/>
      </c>
      <c r="T335" s="24">
        <f>IF(J335&lt;0.5,0,J335*(1+N('My Loans'!D12)/1200))</f>
        <v/>
      </c>
      <c r="U335" s="24">
        <f>IF(K335&lt;0.5,0,K335*(1+N('My Loans'!D13)/1200))</f>
        <v/>
      </c>
      <c r="V335" s="24">
        <f>IF(L335&lt;0.5,0,L335*(1+N('My Loans'!D14)/1200))</f>
        <v/>
      </c>
      <c r="W335" s="24">
        <f>IF(M335&lt;0.5,0,M335*(1+N('My Loans'!D15)/1200))</f>
        <v/>
      </c>
      <c r="X335" s="24">
        <f>MIN(N335,N('My Loans'!E6))</f>
        <v/>
      </c>
      <c r="Y335" s="24">
        <f>MIN(O335,N('My Loans'!E7))</f>
        <v/>
      </c>
      <c r="Z335" s="24">
        <f>MIN(P335,N('My Loans'!E8))</f>
        <v/>
      </c>
      <c r="AA335" s="24">
        <f>MIN(Q335,N('My Loans'!E9))</f>
        <v/>
      </c>
      <c r="AB335" s="24">
        <f>MIN(R335,N('My Loans'!E10))</f>
        <v/>
      </c>
      <c r="AC335" s="24">
        <f>MIN(S335,N('My Loans'!E11))</f>
        <v/>
      </c>
      <c r="AD335" s="24">
        <f>MIN(T335,N('My Loans'!E12))</f>
        <v/>
      </c>
      <c r="AE335" s="24">
        <f>MIN(U335,N('My Loans'!E13))</f>
        <v/>
      </c>
      <c r="AF335" s="24">
        <f>MIN(V335,N('My Loans'!E14))</f>
        <v/>
      </c>
      <c r="AG335" s="24">
        <f>MIN(W335,N('My Loans'!E15))</f>
        <v/>
      </c>
      <c r="AH335" s="24">
        <f>MIN(N335-X335,MAX(0,$C335-SUMPRODUCT(($D$3:$M$3&lt;D$3)*($N335:$W335-$X335:$AG335))))</f>
        <v/>
      </c>
      <c r="AI335" s="24">
        <f>MIN(O335-Y335,MAX(0,$C335-SUMPRODUCT(($D$3:$M$3&lt;E$3)*($N335:$W335-$X335:$AG335))))</f>
        <v/>
      </c>
      <c r="AJ335" s="24">
        <f>MIN(P335-Z335,MAX(0,$C335-SUMPRODUCT(($D$3:$M$3&lt;F$3)*($N335:$W335-$X335:$AG335))))</f>
        <v/>
      </c>
      <c r="AK335" s="24">
        <f>MIN(Q335-AA335,MAX(0,$C335-SUMPRODUCT(($D$3:$M$3&lt;G$3)*($N335:$W335-$X335:$AG335))))</f>
        <v/>
      </c>
      <c r="AL335" s="24">
        <f>MIN(R335-AB335,MAX(0,$C335-SUMPRODUCT(($D$3:$M$3&lt;H$3)*($N335:$W335-$X335:$AG335))))</f>
        <v/>
      </c>
      <c r="AM335" s="24">
        <f>MIN(S335-AC335,MAX(0,$C335-SUMPRODUCT(($D$3:$M$3&lt;I$3)*($N335:$W335-$X335:$AG335))))</f>
        <v/>
      </c>
      <c r="AN335" s="24">
        <f>MIN(T335-AD335,MAX(0,$C335-SUMPRODUCT(($D$3:$M$3&lt;J$3)*($N335:$W335-$X335:$AG335))))</f>
        <v/>
      </c>
      <c r="AO335" s="24">
        <f>MIN(U335-AE335,MAX(0,$C335-SUMPRODUCT(($D$3:$M$3&lt;K$3)*($N335:$W335-$X335:$AG335))))</f>
        <v/>
      </c>
      <c r="AP335" s="24">
        <f>MIN(V335-AF335,MAX(0,$C335-SUMPRODUCT(($D$3:$M$3&lt;L$3)*($N335:$W335-$X335:$AG335))))</f>
        <v/>
      </c>
      <c r="AQ335" s="24">
        <f>MIN(W335-AG335,MAX(0,$C335-SUMPRODUCT(($D$3:$M$3&lt;M$3)*($N335:$W335-$X335:$AG335))))</f>
        <v/>
      </c>
      <c r="AR335" s="24">
        <f>ROUND(N335-X335-AH335,2)</f>
        <v/>
      </c>
      <c r="AS335" s="24">
        <f>ROUND(O335-Y335-AI335,2)</f>
        <v/>
      </c>
      <c r="AT335" s="24">
        <f>ROUND(P335-Z335-AJ335,2)</f>
        <v/>
      </c>
      <c r="AU335" s="24">
        <f>ROUND(Q335-AA335-AK335,2)</f>
        <v/>
      </c>
      <c r="AV335" s="24">
        <f>ROUND(R335-AB335-AL335,2)</f>
        <v/>
      </c>
      <c r="AW335" s="24">
        <f>ROUND(S335-AC335-AM335,2)</f>
        <v/>
      </c>
      <c r="AX335" s="24">
        <f>ROUND(T335-AD335-AN335,2)</f>
        <v/>
      </c>
      <c r="AY335" s="24">
        <f>ROUND(U335-AE335-AO335,2)</f>
        <v/>
      </c>
      <c r="AZ335" s="24">
        <f>ROUND(V335-AF335-AP335,2)</f>
        <v/>
      </c>
      <c r="BA335" s="24">
        <f>ROUND(W335-AG335-AQ335,2)</f>
        <v/>
      </c>
      <c r="BB335" s="24">
        <f>SUM(AR335:BA335)</f>
        <v/>
      </c>
    </row>
    <row r="336">
      <c r="A336" t="n">
        <v>332</v>
      </c>
      <c r="B336" s="23">
        <f>EOMONTH(TODAY(),331)</f>
        <v/>
      </c>
      <c r="C336" s="24">
        <f>MAX(0,(SUM('My Loans'!$E$6:$E$15)+'My Loans'!$D$3)-SUM($X336:$AG336))</f>
        <v/>
      </c>
      <c r="D336" s="24">
        <f>MAX(0,AR335)</f>
        <v/>
      </c>
      <c r="E336" s="24">
        <f>MAX(0,AS335)</f>
        <v/>
      </c>
      <c r="F336" s="24">
        <f>MAX(0,AT335)</f>
        <v/>
      </c>
      <c r="G336" s="24">
        <f>MAX(0,AU335)</f>
        <v/>
      </c>
      <c r="H336" s="24">
        <f>MAX(0,AV335)</f>
        <v/>
      </c>
      <c r="I336" s="24">
        <f>MAX(0,AW335)</f>
        <v/>
      </c>
      <c r="J336" s="24">
        <f>MAX(0,AX335)</f>
        <v/>
      </c>
      <c r="K336" s="24">
        <f>MAX(0,AY335)</f>
        <v/>
      </c>
      <c r="L336" s="24">
        <f>MAX(0,AZ335)</f>
        <v/>
      </c>
      <c r="M336" s="24">
        <f>MAX(0,BA335)</f>
        <v/>
      </c>
      <c r="N336" s="24">
        <f>IF(D336&lt;0.5,0,D336*(1+N('My Loans'!D6)/1200))</f>
        <v/>
      </c>
      <c r="O336" s="24">
        <f>IF(E336&lt;0.5,0,E336*(1+N('My Loans'!D7)/1200))</f>
        <v/>
      </c>
      <c r="P336" s="24">
        <f>IF(F336&lt;0.5,0,F336*(1+N('My Loans'!D8)/1200))</f>
        <v/>
      </c>
      <c r="Q336" s="24">
        <f>IF(G336&lt;0.5,0,G336*(1+N('My Loans'!D9)/1200))</f>
        <v/>
      </c>
      <c r="R336" s="24">
        <f>IF(H336&lt;0.5,0,H336*(1+N('My Loans'!D10)/1200))</f>
        <v/>
      </c>
      <c r="S336" s="24">
        <f>IF(I336&lt;0.5,0,I336*(1+N('My Loans'!D11)/1200))</f>
        <v/>
      </c>
      <c r="T336" s="24">
        <f>IF(J336&lt;0.5,0,J336*(1+N('My Loans'!D12)/1200))</f>
        <v/>
      </c>
      <c r="U336" s="24">
        <f>IF(K336&lt;0.5,0,K336*(1+N('My Loans'!D13)/1200))</f>
        <v/>
      </c>
      <c r="V336" s="24">
        <f>IF(L336&lt;0.5,0,L336*(1+N('My Loans'!D14)/1200))</f>
        <v/>
      </c>
      <c r="W336" s="24">
        <f>IF(M336&lt;0.5,0,M336*(1+N('My Loans'!D15)/1200))</f>
        <v/>
      </c>
      <c r="X336" s="24">
        <f>MIN(N336,N('My Loans'!E6))</f>
        <v/>
      </c>
      <c r="Y336" s="24">
        <f>MIN(O336,N('My Loans'!E7))</f>
        <v/>
      </c>
      <c r="Z336" s="24">
        <f>MIN(P336,N('My Loans'!E8))</f>
        <v/>
      </c>
      <c r="AA336" s="24">
        <f>MIN(Q336,N('My Loans'!E9))</f>
        <v/>
      </c>
      <c r="AB336" s="24">
        <f>MIN(R336,N('My Loans'!E10))</f>
        <v/>
      </c>
      <c r="AC336" s="24">
        <f>MIN(S336,N('My Loans'!E11))</f>
        <v/>
      </c>
      <c r="AD336" s="24">
        <f>MIN(T336,N('My Loans'!E12))</f>
        <v/>
      </c>
      <c r="AE336" s="24">
        <f>MIN(U336,N('My Loans'!E13))</f>
        <v/>
      </c>
      <c r="AF336" s="24">
        <f>MIN(V336,N('My Loans'!E14))</f>
        <v/>
      </c>
      <c r="AG336" s="24">
        <f>MIN(W336,N('My Loans'!E15))</f>
        <v/>
      </c>
      <c r="AH336" s="24">
        <f>MIN(N336-X336,MAX(0,$C336-SUMPRODUCT(($D$3:$M$3&lt;D$3)*($N336:$W336-$X336:$AG336))))</f>
        <v/>
      </c>
      <c r="AI336" s="24">
        <f>MIN(O336-Y336,MAX(0,$C336-SUMPRODUCT(($D$3:$M$3&lt;E$3)*($N336:$W336-$X336:$AG336))))</f>
        <v/>
      </c>
      <c r="AJ336" s="24">
        <f>MIN(P336-Z336,MAX(0,$C336-SUMPRODUCT(($D$3:$M$3&lt;F$3)*($N336:$W336-$X336:$AG336))))</f>
        <v/>
      </c>
      <c r="AK336" s="24">
        <f>MIN(Q336-AA336,MAX(0,$C336-SUMPRODUCT(($D$3:$M$3&lt;G$3)*($N336:$W336-$X336:$AG336))))</f>
        <v/>
      </c>
      <c r="AL336" s="24">
        <f>MIN(R336-AB336,MAX(0,$C336-SUMPRODUCT(($D$3:$M$3&lt;H$3)*($N336:$W336-$X336:$AG336))))</f>
        <v/>
      </c>
      <c r="AM336" s="24">
        <f>MIN(S336-AC336,MAX(0,$C336-SUMPRODUCT(($D$3:$M$3&lt;I$3)*($N336:$W336-$X336:$AG336))))</f>
        <v/>
      </c>
      <c r="AN336" s="24">
        <f>MIN(T336-AD336,MAX(0,$C336-SUMPRODUCT(($D$3:$M$3&lt;J$3)*($N336:$W336-$X336:$AG336))))</f>
        <v/>
      </c>
      <c r="AO336" s="24">
        <f>MIN(U336-AE336,MAX(0,$C336-SUMPRODUCT(($D$3:$M$3&lt;K$3)*($N336:$W336-$X336:$AG336))))</f>
        <v/>
      </c>
      <c r="AP336" s="24">
        <f>MIN(V336-AF336,MAX(0,$C336-SUMPRODUCT(($D$3:$M$3&lt;L$3)*($N336:$W336-$X336:$AG336))))</f>
        <v/>
      </c>
      <c r="AQ336" s="24">
        <f>MIN(W336-AG336,MAX(0,$C336-SUMPRODUCT(($D$3:$M$3&lt;M$3)*($N336:$W336-$X336:$AG336))))</f>
        <v/>
      </c>
      <c r="AR336" s="24">
        <f>ROUND(N336-X336-AH336,2)</f>
        <v/>
      </c>
      <c r="AS336" s="24">
        <f>ROUND(O336-Y336-AI336,2)</f>
        <v/>
      </c>
      <c r="AT336" s="24">
        <f>ROUND(P336-Z336-AJ336,2)</f>
        <v/>
      </c>
      <c r="AU336" s="24">
        <f>ROUND(Q336-AA336-AK336,2)</f>
        <v/>
      </c>
      <c r="AV336" s="24">
        <f>ROUND(R336-AB336-AL336,2)</f>
        <v/>
      </c>
      <c r="AW336" s="24">
        <f>ROUND(S336-AC336-AM336,2)</f>
        <v/>
      </c>
      <c r="AX336" s="24">
        <f>ROUND(T336-AD336-AN336,2)</f>
        <v/>
      </c>
      <c r="AY336" s="24">
        <f>ROUND(U336-AE336-AO336,2)</f>
        <v/>
      </c>
      <c r="AZ336" s="24">
        <f>ROUND(V336-AF336-AP336,2)</f>
        <v/>
      </c>
      <c r="BA336" s="24">
        <f>ROUND(W336-AG336-AQ336,2)</f>
        <v/>
      </c>
      <c r="BB336" s="24">
        <f>SUM(AR336:BA336)</f>
        <v/>
      </c>
    </row>
    <row r="337">
      <c r="A337" t="n">
        <v>333</v>
      </c>
      <c r="B337" s="23">
        <f>EOMONTH(TODAY(),332)</f>
        <v/>
      </c>
      <c r="C337" s="24">
        <f>MAX(0,(SUM('My Loans'!$E$6:$E$15)+'My Loans'!$D$3)-SUM($X337:$AG337))</f>
        <v/>
      </c>
      <c r="D337" s="24">
        <f>MAX(0,AR336)</f>
        <v/>
      </c>
      <c r="E337" s="24">
        <f>MAX(0,AS336)</f>
        <v/>
      </c>
      <c r="F337" s="24">
        <f>MAX(0,AT336)</f>
        <v/>
      </c>
      <c r="G337" s="24">
        <f>MAX(0,AU336)</f>
        <v/>
      </c>
      <c r="H337" s="24">
        <f>MAX(0,AV336)</f>
        <v/>
      </c>
      <c r="I337" s="24">
        <f>MAX(0,AW336)</f>
        <v/>
      </c>
      <c r="J337" s="24">
        <f>MAX(0,AX336)</f>
        <v/>
      </c>
      <c r="K337" s="24">
        <f>MAX(0,AY336)</f>
        <v/>
      </c>
      <c r="L337" s="24">
        <f>MAX(0,AZ336)</f>
        <v/>
      </c>
      <c r="M337" s="24">
        <f>MAX(0,BA336)</f>
        <v/>
      </c>
      <c r="N337" s="24">
        <f>IF(D337&lt;0.5,0,D337*(1+N('My Loans'!D6)/1200))</f>
        <v/>
      </c>
      <c r="O337" s="24">
        <f>IF(E337&lt;0.5,0,E337*(1+N('My Loans'!D7)/1200))</f>
        <v/>
      </c>
      <c r="P337" s="24">
        <f>IF(F337&lt;0.5,0,F337*(1+N('My Loans'!D8)/1200))</f>
        <v/>
      </c>
      <c r="Q337" s="24">
        <f>IF(G337&lt;0.5,0,G337*(1+N('My Loans'!D9)/1200))</f>
        <v/>
      </c>
      <c r="R337" s="24">
        <f>IF(H337&lt;0.5,0,H337*(1+N('My Loans'!D10)/1200))</f>
        <v/>
      </c>
      <c r="S337" s="24">
        <f>IF(I337&lt;0.5,0,I337*(1+N('My Loans'!D11)/1200))</f>
        <v/>
      </c>
      <c r="T337" s="24">
        <f>IF(J337&lt;0.5,0,J337*(1+N('My Loans'!D12)/1200))</f>
        <v/>
      </c>
      <c r="U337" s="24">
        <f>IF(K337&lt;0.5,0,K337*(1+N('My Loans'!D13)/1200))</f>
        <v/>
      </c>
      <c r="V337" s="24">
        <f>IF(L337&lt;0.5,0,L337*(1+N('My Loans'!D14)/1200))</f>
        <v/>
      </c>
      <c r="W337" s="24">
        <f>IF(M337&lt;0.5,0,M337*(1+N('My Loans'!D15)/1200))</f>
        <v/>
      </c>
      <c r="X337" s="24">
        <f>MIN(N337,N('My Loans'!E6))</f>
        <v/>
      </c>
      <c r="Y337" s="24">
        <f>MIN(O337,N('My Loans'!E7))</f>
        <v/>
      </c>
      <c r="Z337" s="24">
        <f>MIN(P337,N('My Loans'!E8))</f>
        <v/>
      </c>
      <c r="AA337" s="24">
        <f>MIN(Q337,N('My Loans'!E9))</f>
        <v/>
      </c>
      <c r="AB337" s="24">
        <f>MIN(R337,N('My Loans'!E10))</f>
        <v/>
      </c>
      <c r="AC337" s="24">
        <f>MIN(S337,N('My Loans'!E11))</f>
        <v/>
      </c>
      <c r="AD337" s="24">
        <f>MIN(T337,N('My Loans'!E12))</f>
        <v/>
      </c>
      <c r="AE337" s="24">
        <f>MIN(U337,N('My Loans'!E13))</f>
        <v/>
      </c>
      <c r="AF337" s="24">
        <f>MIN(V337,N('My Loans'!E14))</f>
        <v/>
      </c>
      <c r="AG337" s="24">
        <f>MIN(W337,N('My Loans'!E15))</f>
        <v/>
      </c>
      <c r="AH337" s="24">
        <f>MIN(N337-X337,MAX(0,$C337-SUMPRODUCT(($D$3:$M$3&lt;D$3)*($N337:$W337-$X337:$AG337))))</f>
        <v/>
      </c>
      <c r="AI337" s="24">
        <f>MIN(O337-Y337,MAX(0,$C337-SUMPRODUCT(($D$3:$M$3&lt;E$3)*($N337:$W337-$X337:$AG337))))</f>
        <v/>
      </c>
      <c r="AJ337" s="24">
        <f>MIN(P337-Z337,MAX(0,$C337-SUMPRODUCT(($D$3:$M$3&lt;F$3)*($N337:$W337-$X337:$AG337))))</f>
        <v/>
      </c>
      <c r="AK337" s="24">
        <f>MIN(Q337-AA337,MAX(0,$C337-SUMPRODUCT(($D$3:$M$3&lt;G$3)*($N337:$W337-$X337:$AG337))))</f>
        <v/>
      </c>
      <c r="AL337" s="24">
        <f>MIN(R337-AB337,MAX(0,$C337-SUMPRODUCT(($D$3:$M$3&lt;H$3)*($N337:$W337-$X337:$AG337))))</f>
        <v/>
      </c>
      <c r="AM337" s="24">
        <f>MIN(S337-AC337,MAX(0,$C337-SUMPRODUCT(($D$3:$M$3&lt;I$3)*($N337:$W337-$X337:$AG337))))</f>
        <v/>
      </c>
      <c r="AN337" s="24">
        <f>MIN(T337-AD337,MAX(0,$C337-SUMPRODUCT(($D$3:$M$3&lt;J$3)*($N337:$W337-$X337:$AG337))))</f>
        <v/>
      </c>
      <c r="AO337" s="24">
        <f>MIN(U337-AE337,MAX(0,$C337-SUMPRODUCT(($D$3:$M$3&lt;K$3)*($N337:$W337-$X337:$AG337))))</f>
        <v/>
      </c>
      <c r="AP337" s="24">
        <f>MIN(V337-AF337,MAX(0,$C337-SUMPRODUCT(($D$3:$M$3&lt;L$3)*($N337:$W337-$X337:$AG337))))</f>
        <v/>
      </c>
      <c r="AQ337" s="24">
        <f>MIN(W337-AG337,MAX(0,$C337-SUMPRODUCT(($D$3:$M$3&lt;M$3)*($N337:$W337-$X337:$AG337))))</f>
        <v/>
      </c>
      <c r="AR337" s="24">
        <f>ROUND(N337-X337-AH337,2)</f>
        <v/>
      </c>
      <c r="AS337" s="24">
        <f>ROUND(O337-Y337-AI337,2)</f>
        <v/>
      </c>
      <c r="AT337" s="24">
        <f>ROUND(P337-Z337-AJ337,2)</f>
        <v/>
      </c>
      <c r="AU337" s="24">
        <f>ROUND(Q337-AA337-AK337,2)</f>
        <v/>
      </c>
      <c r="AV337" s="24">
        <f>ROUND(R337-AB337-AL337,2)</f>
        <v/>
      </c>
      <c r="AW337" s="24">
        <f>ROUND(S337-AC337-AM337,2)</f>
        <v/>
      </c>
      <c r="AX337" s="24">
        <f>ROUND(T337-AD337-AN337,2)</f>
        <v/>
      </c>
      <c r="AY337" s="24">
        <f>ROUND(U337-AE337-AO337,2)</f>
        <v/>
      </c>
      <c r="AZ337" s="24">
        <f>ROUND(V337-AF337-AP337,2)</f>
        <v/>
      </c>
      <c r="BA337" s="24">
        <f>ROUND(W337-AG337-AQ337,2)</f>
        <v/>
      </c>
      <c r="BB337" s="24">
        <f>SUM(AR337:BA337)</f>
        <v/>
      </c>
    </row>
    <row r="338">
      <c r="A338" t="n">
        <v>334</v>
      </c>
      <c r="B338" s="23">
        <f>EOMONTH(TODAY(),333)</f>
        <v/>
      </c>
      <c r="C338" s="24">
        <f>MAX(0,(SUM('My Loans'!$E$6:$E$15)+'My Loans'!$D$3)-SUM($X338:$AG338))</f>
        <v/>
      </c>
      <c r="D338" s="24">
        <f>MAX(0,AR337)</f>
        <v/>
      </c>
      <c r="E338" s="24">
        <f>MAX(0,AS337)</f>
        <v/>
      </c>
      <c r="F338" s="24">
        <f>MAX(0,AT337)</f>
        <v/>
      </c>
      <c r="G338" s="24">
        <f>MAX(0,AU337)</f>
        <v/>
      </c>
      <c r="H338" s="24">
        <f>MAX(0,AV337)</f>
        <v/>
      </c>
      <c r="I338" s="24">
        <f>MAX(0,AW337)</f>
        <v/>
      </c>
      <c r="J338" s="24">
        <f>MAX(0,AX337)</f>
        <v/>
      </c>
      <c r="K338" s="24">
        <f>MAX(0,AY337)</f>
        <v/>
      </c>
      <c r="L338" s="24">
        <f>MAX(0,AZ337)</f>
        <v/>
      </c>
      <c r="M338" s="24">
        <f>MAX(0,BA337)</f>
        <v/>
      </c>
      <c r="N338" s="24">
        <f>IF(D338&lt;0.5,0,D338*(1+N('My Loans'!D6)/1200))</f>
        <v/>
      </c>
      <c r="O338" s="24">
        <f>IF(E338&lt;0.5,0,E338*(1+N('My Loans'!D7)/1200))</f>
        <v/>
      </c>
      <c r="P338" s="24">
        <f>IF(F338&lt;0.5,0,F338*(1+N('My Loans'!D8)/1200))</f>
        <v/>
      </c>
      <c r="Q338" s="24">
        <f>IF(G338&lt;0.5,0,G338*(1+N('My Loans'!D9)/1200))</f>
        <v/>
      </c>
      <c r="R338" s="24">
        <f>IF(H338&lt;0.5,0,H338*(1+N('My Loans'!D10)/1200))</f>
        <v/>
      </c>
      <c r="S338" s="24">
        <f>IF(I338&lt;0.5,0,I338*(1+N('My Loans'!D11)/1200))</f>
        <v/>
      </c>
      <c r="T338" s="24">
        <f>IF(J338&lt;0.5,0,J338*(1+N('My Loans'!D12)/1200))</f>
        <v/>
      </c>
      <c r="U338" s="24">
        <f>IF(K338&lt;0.5,0,K338*(1+N('My Loans'!D13)/1200))</f>
        <v/>
      </c>
      <c r="V338" s="24">
        <f>IF(L338&lt;0.5,0,L338*(1+N('My Loans'!D14)/1200))</f>
        <v/>
      </c>
      <c r="W338" s="24">
        <f>IF(M338&lt;0.5,0,M338*(1+N('My Loans'!D15)/1200))</f>
        <v/>
      </c>
      <c r="X338" s="24">
        <f>MIN(N338,N('My Loans'!E6))</f>
        <v/>
      </c>
      <c r="Y338" s="24">
        <f>MIN(O338,N('My Loans'!E7))</f>
        <v/>
      </c>
      <c r="Z338" s="24">
        <f>MIN(P338,N('My Loans'!E8))</f>
        <v/>
      </c>
      <c r="AA338" s="24">
        <f>MIN(Q338,N('My Loans'!E9))</f>
        <v/>
      </c>
      <c r="AB338" s="24">
        <f>MIN(R338,N('My Loans'!E10))</f>
        <v/>
      </c>
      <c r="AC338" s="24">
        <f>MIN(S338,N('My Loans'!E11))</f>
        <v/>
      </c>
      <c r="AD338" s="24">
        <f>MIN(T338,N('My Loans'!E12))</f>
        <v/>
      </c>
      <c r="AE338" s="24">
        <f>MIN(U338,N('My Loans'!E13))</f>
        <v/>
      </c>
      <c r="AF338" s="24">
        <f>MIN(V338,N('My Loans'!E14))</f>
        <v/>
      </c>
      <c r="AG338" s="24">
        <f>MIN(W338,N('My Loans'!E15))</f>
        <v/>
      </c>
      <c r="AH338" s="24">
        <f>MIN(N338-X338,MAX(0,$C338-SUMPRODUCT(($D$3:$M$3&lt;D$3)*($N338:$W338-$X338:$AG338))))</f>
        <v/>
      </c>
      <c r="AI338" s="24">
        <f>MIN(O338-Y338,MAX(0,$C338-SUMPRODUCT(($D$3:$M$3&lt;E$3)*($N338:$W338-$X338:$AG338))))</f>
        <v/>
      </c>
      <c r="AJ338" s="24">
        <f>MIN(P338-Z338,MAX(0,$C338-SUMPRODUCT(($D$3:$M$3&lt;F$3)*($N338:$W338-$X338:$AG338))))</f>
        <v/>
      </c>
      <c r="AK338" s="24">
        <f>MIN(Q338-AA338,MAX(0,$C338-SUMPRODUCT(($D$3:$M$3&lt;G$3)*($N338:$W338-$X338:$AG338))))</f>
        <v/>
      </c>
      <c r="AL338" s="24">
        <f>MIN(R338-AB338,MAX(0,$C338-SUMPRODUCT(($D$3:$M$3&lt;H$3)*($N338:$W338-$X338:$AG338))))</f>
        <v/>
      </c>
      <c r="AM338" s="24">
        <f>MIN(S338-AC338,MAX(0,$C338-SUMPRODUCT(($D$3:$M$3&lt;I$3)*($N338:$W338-$X338:$AG338))))</f>
        <v/>
      </c>
      <c r="AN338" s="24">
        <f>MIN(T338-AD338,MAX(0,$C338-SUMPRODUCT(($D$3:$M$3&lt;J$3)*($N338:$W338-$X338:$AG338))))</f>
        <v/>
      </c>
      <c r="AO338" s="24">
        <f>MIN(U338-AE338,MAX(0,$C338-SUMPRODUCT(($D$3:$M$3&lt;K$3)*($N338:$W338-$X338:$AG338))))</f>
        <v/>
      </c>
      <c r="AP338" s="24">
        <f>MIN(V338-AF338,MAX(0,$C338-SUMPRODUCT(($D$3:$M$3&lt;L$3)*($N338:$W338-$X338:$AG338))))</f>
        <v/>
      </c>
      <c r="AQ338" s="24">
        <f>MIN(W338-AG338,MAX(0,$C338-SUMPRODUCT(($D$3:$M$3&lt;M$3)*($N338:$W338-$X338:$AG338))))</f>
        <v/>
      </c>
      <c r="AR338" s="24">
        <f>ROUND(N338-X338-AH338,2)</f>
        <v/>
      </c>
      <c r="AS338" s="24">
        <f>ROUND(O338-Y338-AI338,2)</f>
        <v/>
      </c>
      <c r="AT338" s="24">
        <f>ROUND(P338-Z338-AJ338,2)</f>
        <v/>
      </c>
      <c r="AU338" s="24">
        <f>ROUND(Q338-AA338-AK338,2)</f>
        <v/>
      </c>
      <c r="AV338" s="24">
        <f>ROUND(R338-AB338-AL338,2)</f>
        <v/>
      </c>
      <c r="AW338" s="24">
        <f>ROUND(S338-AC338-AM338,2)</f>
        <v/>
      </c>
      <c r="AX338" s="24">
        <f>ROUND(T338-AD338-AN338,2)</f>
        <v/>
      </c>
      <c r="AY338" s="24">
        <f>ROUND(U338-AE338-AO338,2)</f>
        <v/>
      </c>
      <c r="AZ338" s="24">
        <f>ROUND(V338-AF338-AP338,2)</f>
        <v/>
      </c>
      <c r="BA338" s="24">
        <f>ROUND(W338-AG338-AQ338,2)</f>
        <v/>
      </c>
      <c r="BB338" s="24">
        <f>SUM(AR338:BA338)</f>
        <v/>
      </c>
    </row>
    <row r="339">
      <c r="A339" t="n">
        <v>335</v>
      </c>
      <c r="B339" s="23">
        <f>EOMONTH(TODAY(),334)</f>
        <v/>
      </c>
      <c r="C339" s="24">
        <f>MAX(0,(SUM('My Loans'!$E$6:$E$15)+'My Loans'!$D$3)-SUM($X339:$AG339))</f>
        <v/>
      </c>
      <c r="D339" s="24">
        <f>MAX(0,AR338)</f>
        <v/>
      </c>
      <c r="E339" s="24">
        <f>MAX(0,AS338)</f>
        <v/>
      </c>
      <c r="F339" s="24">
        <f>MAX(0,AT338)</f>
        <v/>
      </c>
      <c r="G339" s="24">
        <f>MAX(0,AU338)</f>
        <v/>
      </c>
      <c r="H339" s="24">
        <f>MAX(0,AV338)</f>
        <v/>
      </c>
      <c r="I339" s="24">
        <f>MAX(0,AW338)</f>
        <v/>
      </c>
      <c r="J339" s="24">
        <f>MAX(0,AX338)</f>
        <v/>
      </c>
      <c r="K339" s="24">
        <f>MAX(0,AY338)</f>
        <v/>
      </c>
      <c r="L339" s="24">
        <f>MAX(0,AZ338)</f>
        <v/>
      </c>
      <c r="M339" s="24">
        <f>MAX(0,BA338)</f>
        <v/>
      </c>
      <c r="N339" s="24">
        <f>IF(D339&lt;0.5,0,D339*(1+N('My Loans'!D6)/1200))</f>
        <v/>
      </c>
      <c r="O339" s="24">
        <f>IF(E339&lt;0.5,0,E339*(1+N('My Loans'!D7)/1200))</f>
        <v/>
      </c>
      <c r="P339" s="24">
        <f>IF(F339&lt;0.5,0,F339*(1+N('My Loans'!D8)/1200))</f>
        <v/>
      </c>
      <c r="Q339" s="24">
        <f>IF(G339&lt;0.5,0,G339*(1+N('My Loans'!D9)/1200))</f>
        <v/>
      </c>
      <c r="R339" s="24">
        <f>IF(H339&lt;0.5,0,H339*(1+N('My Loans'!D10)/1200))</f>
        <v/>
      </c>
      <c r="S339" s="24">
        <f>IF(I339&lt;0.5,0,I339*(1+N('My Loans'!D11)/1200))</f>
        <v/>
      </c>
      <c r="T339" s="24">
        <f>IF(J339&lt;0.5,0,J339*(1+N('My Loans'!D12)/1200))</f>
        <v/>
      </c>
      <c r="U339" s="24">
        <f>IF(K339&lt;0.5,0,K339*(1+N('My Loans'!D13)/1200))</f>
        <v/>
      </c>
      <c r="V339" s="24">
        <f>IF(L339&lt;0.5,0,L339*(1+N('My Loans'!D14)/1200))</f>
        <v/>
      </c>
      <c r="W339" s="24">
        <f>IF(M339&lt;0.5,0,M339*(1+N('My Loans'!D15)/1200))</f>
        <v/>
      </c>
      <c r="X339" s="24">
        <f>MIN(N339,N('My Loans'!E6))</f>
        <v/>
      </c>
      <c r="Y339" s="24">
        <f>MIN(O339,N('My Loans'!E7))</f>
        <v/>
      </c>
      <c r="Z339" s="24">
        <f>MIN(P339,N('My Loans'!E8))</f>
        <v/>
      </c>
      <c r="AA339" s="24">
        <f>MIN(Q339,N('My Loans'!E9))</f>
        <v/>
      </c>
      <c r="AB339" s="24">
        <f>MIN(R339,N('My Loans'!E10))</f>
        <v/>
      </c>
      <c r="AC339" s="24">
        <f>MIN(S339,N('My Loans'!E11))</f>
        <v/>
      </c>
      <c r="AD339" s="24">
        <f>MIN(T339,N('My Loans'!E12))</f>
        <v/>
      </c>
      <c r="AE339" s="24">
        <f>MIN(U339,N('My Loans'!E13))</f>
        <v/>
      </c>
      <c r="AF339" s="24">
        <f>MIN(V339,N('My Loans'!E14))</f>
        <v/>
      </c>
      <c r="AG339" s="24">
        <f>MIN(W339,N('My Loans'!E15))</f>
        <v/>
      </c>
      <c r="AH339" s="24">
        <f>MIN(N339-X339,MAX(0,$C339-SUMPRODUCT(($D$3:$M$3&lt;D$3)*($N339:$W339-$X339:$AG339))))</f>
        <v/>
      </c>
      <c r="AI339" s="24">
        <f>MIN(O339-Y339,MAX(0,$C339-SUMPRODUCT(($D$3:$M$3&lt;E$3)*($N339:$W339-$X339:$AG339))))</f>
        <v/>
      </c>
      <c r="AJ339" s="24">
        <f>MIN(P339-Z339,MAX(0,$C339-SUMPRODUCT(($D$3:$M$3&lt;F$3)*($N339:$W339-$X339:$AG339))))</f>
        <v/>
      </c>
      <c r="AK339" s="24">
        <f>MIN(Q339-AA339,MAX(0,$C339-SUMPRODUCT(($D$3:$M$3&lt;G$3)*($N339:$W339-$X339:$AG339))))</f>
        <v/>
      </c>
      <c r="AL339" s="24">
        <f>MIN(R339-AB339,MAX(0,$C339-SUMPRODUCT(($D$3:$M$3&lt;H$3)*($N339:$W339-$X339:$AG339))))</f>
        <v/>
      </c>
      <c r="AM339" s="24">
        <f>MIN(S339-AC339,MAX(0,$C339-SUMPRODUCT(($D$3:$M$3&lt;I$3)*($N339:$W339-$X339:$AG339))))</f>
        <v/>
      </c>
      <c r="AN339" s="24">
        <f>MIN(T339-AD339,MAX(0,$C339-SUMPRODUCT(($D$3:$M$3&lt;J$3)*($N339:$W339-$X339:$AG339))))</f>
        <v/>
      </c>
      <c r="AO339" s="24">
        <f>MIN(U339-AE339,MAX(0,$C339-SUMPRODUCT(($D$3:$M$3&lt;K$3)*($N339:$W339-$X339:$AG339))))</f>
        <v/>
      </c>
      <c r="AP339" s="24">
        <f>MIN(V339-AF339,MAX(0,$C339-SUMPRODUCT(($D$3:$M$3&lt;L$3)*($N339:$W339-$X339:$AG339))))</f>
        <v/>
      </c>
      <c r="AQ339" s="24">
        <f>MIN(W339-AG339,MAX(0,$C339-SUMPRODUCT(($D$3:$M$3&lt;M$3)*($N339:$W339-$X339:$AG339))))</f>
        <v/>
      </c>
      <c r="AR339" s="24">
        <f>ROUND(N339-X339-AH339,2)</f>
        <v/>
      </c>
      <c r="AS339" s="24">
        <f>ROUND(O339-Y339-AI339,2)</f>
        <v/>
      </c>
      <c r="AT339" s="24">
        <f>ROUND(P339-Z339-AJ339,2)</f>
        <v/>
      </c>
      <c r="AU339" s="24">
        <f>ROUND(Q339-AA339-AK339,2)</f>
        <v/>
      </c>
      <c r="AV339" s="24">
        <f>ROUND(R339-AB339-AL339,2)</f>
        <v/>
      </c>
      <c r="AW339" s="24">
        <f>ROUND(S339-AC339-AM339,2)</f>
        <v/>
      </c>
      <c r="AX339" s="24">
        <f>ROUND(T339-AD339-AN339,2)</f>
        <v/>
      </c>
      <c r="AY339" s="24">
        <f>ROUND(U339-AE339-AO339,2)</f>
        <v/>
      </c>
      <c r="AZ339" s="24">
        <f>ROUND(V339-AF339-AP339,2)</f>
        <v/>
      </c>
      <c r="BA339" s="24">
        <f>ROUND(W339-AG339-AQ339,2)</f>
        <v/>
      </c>
      <c r="BB339" s="24">
        <f>SUM(AR339:BA339)</f>
        <v/>
      </c>
    </row>
    <row r="340">
      <c r="A340" t="n">
        <v>336</v>
      </c>
      <c r="B340" s="23">
        <f>EOMONTH(TODAY(),335)</f>
        <v/>
      </c>
      <c r="C340" s="24">
        <f>MAX(0,(SUM('My Loans'!$E$6:$E$15)+'My Loans'!$D$3)-SUM($X340:$AG340))</f>
        <v/>
      </c>
      <c r="D340" s="24">
        <f>MAX(0,AR339)</f>
        <v/>
      </c>
      <c r="E340" s="24">
        <f>MAX(0,AS339)</f>
        <v/>
      </c>
      <c r="F340" s="24">
        <f>MAX(0,AT339)</f>
        <v/>
      </c>
      <c r="G340" s="24">
        <f>MAX(0,AU339)</f>
        <v/>
      </c>
      <c r="H340" s="24">
        <f>MAX(0,AV339)</f>
        <v/>
      </c>
      <c r="I340" s="24">
        <f>MAX(0,AW339)</f>
        <v/>
      </c>
      <c r="J340" s="24">
        <f>MAX(0,AX339)</f>
        <v/>
      </c>
      <c r="K340" s="24">
        <f>MAX(0,AY339)</f>
        <v/>
      </c>
      <c r="L340" s="24">
        <f>MAX(0,AZ339)</f>
        <v/>
      </c>
      <c r="M340" s="24">
        <f>MAX(0,BA339)</f>
        <v/>
      </c>
      <c r="N340" s="24">
        <f>IF(D340&lt;0.5,0,D340*(1+N('My Loans'!D6)/1200))</f>
        <v/>
      </c>
      <c r="O340" s="24">
        <f>IF(E340&lt;0.5,0,E340*(1+N('My Loans'!D7)/1200))</f>
        <v/>
      </c>
      <c r="P340" s="24">
        <f>IF(F340&lt;0.5,0,F340*(1+N('My Loans'!D8)/1200))</f>
        <v/>
      </c>
      <c r="Q340" s="24">
        <f>IF(G340&lt;0.5,0,G340*(1+N('My Loans'!D9)/1200))</f>
        <v/>
      </c>
      <c r="R340" s="24">
        <f>IF(H340&lt;0.5,0,H340*(1+N('My Loans'!D10)/1200))</f>
        <v/>
      </c>
      <c r="S340" s="24">
        <f>IF(I340&lt;0.5,0,I340*(1+N('My Loans'!D11)/1200))</f>
        <v/>
      </c>
      <c r="T340" s="24">
        <f>IF(J340&lt;0.5,0,J340*(1+N('My Loans'!D12)/1200))</f>
        <v/>
      </c>
      <c r="U340" s="24">
        <f>IF(K340&lt;0.5,0,K340*(1+N('My Loans'!D13)/1200))</f>
        <v/>
      </c>
      <c r="V340" s="24">
        <f>IF(L340&lt;0.5,0,L340*(1+N('My Loans'!D14)/1200))</f>
        <v/>
      </c>
      <c r="W340" s="24">
        <f>IF(M340&lt;0.5,0,M340*(1+N('My Loans'!D15)/1200))</f>
        <v/>
      </c>
      <c r="X340" s="24">
        <f>MIN(N340,N('My Loans'!E6))</f>
        <v/>
      </c>
      <c r="Y340" s="24">
        <f>MIN(O340,N('My Loans'!E7))</f>
        <v/>
      </c>
      <c r="Z340" s="24">
        <f>MIN(P340,N('My Loans'!E8))</f>
        <v/>
      </c>
      <c r="AA340" s="24">
        <f>MIN(Q340,N('My Loans'!E9))</f>
        <v/>
      </c>
      <c r="AB340" s="24">
        <f>MIN(R340,N('My Loans'!E10))</f>
        <v/>
      </c>
      <c r="AC340" s="24">
        <f>MIN(S340,N('My Loans'!E11))</f>
        <v/>
      </c>
      <c r="AD340" s="24">
        <f>MIN(T340,N('My Loans'!E12))</f>
        <v/>
      </c>
      <c r="AE340" s="24">
        <f>MIN(U340,N('My Loans'!E13))</f>
        <v/>
      </c>
      <c r="AF340" s="24">
        <f>MIN(V340,N('My Loans'!E14))</f>
        <v/>
      </c>
      <c r="AG340" s="24">
        <f>MIN(W340,N('My Loans'!E15))</f>
        <v/>
      </c>
      <c r="AH340" s="24">
        <f>MIN(N340-X340,MAX(0,$C340-SUMPRODUCT(($D$3:$M$3&lt;D$3)*($N340:$W340-$X340:$AG340))))</f>
        <v/>
      </c>
      <c r="AI340" s="24">
        <f>MIN(O340-Y340,MAX(0,$C340-SUMPRODUCT(($D$3:$M$3&lt;E$3)*($N340:$W340-$X340:$AG340))))</f>
        <v/>
      </c>
      <c r="AJ340" s="24">
        <f>MIN(P340-Z340,MAX(0,$C340-SUMPRODUCT(($D$3:$M$3&lt;F$3)*($N340:$W340-$X340:$AG340))))</f>
        <v/>
      </c>
      <c r="AK340" s="24">
        <f>MIN(Q340-AA340,MAX(0,$C340-SUMPRODUCT(($D$3:$M$3&lt;G$3)*($N340:$W340-$X340:$AG340))))</f>
        <v/>
      </c>
      <c r="AL340" s="24">
        <f>MIN(R340-AB340,MAX(0,$C340-SUMPRODUCT(($D$3:$M$3&lt;H$3)*($N340:$W340-$X340:$AG340))))</f>
        <v/>
      </c>
      <c r="AM340" s="24">
        <f>MIN(S340-AC340,MAX(0,$C340-SUMPRODUCT(($D$3:$M$3&lt;I$3)*($N340:$W340-$X340:$AG340))))</f>
        <v/>
      </c>
      <c r="AN340" s="24">
        <f>MIN(T340-AD340,MAX(0,$C340-SUMPRODUCT(($D$3:$M$3&lt;J$3)*($N340:$W340-$X340:$AG340))))</f>
        <v/>
      </c>
      <c r="AO340" s="24">
        <f>MIN(U340-AE340,MAX(0,$C340-SUMPRODUCT(($D$3:$M$3&lt;K$3)*($N340:$W340-$X340:$AG340))))</f>
        <v/>
      </c>
      <c r="AP340" s="24">
        <f>MIN(V340-AF340,MAX(0,$C340-SUMPRODUCT(($D$3:$M$3&lt;L$3)*($N340:$W340-$X340:$AG340))))</f>
        <v/>
      </c>
      <c r="AQ340" s="24">
        <f>MIN(W340-AG340,MAX(0,$C340-SUMPRODUCT(($D$3:$M$3&lt;M$3)*($N340:$W340-$X340:$AG340))))</f>
        <v/>
      </c>
      <c r="AR340" s="24">
        <f>ROUND(N340-X340-AH340,2)</f>
        <v/>
      </c>
      <c r="AS340" s="24">
        <f>ROUND(O340-Y340-AI340,2)</f>
        <v/>
      </c>
      <c r="AT340" s="24">
        <f>ROUND(P340-Z340-AJ340,2)</f>
        <v/>
      </c>
      <c r="AU340" s="24">
        <f>ROUND(Q340-AA340-AK340,2)</f>
        <v/>
      </c>
      <c r="AV340" s="24">
        <f>ROUND(R340-AB340-AL340,2)</f>
        <v/>
      </c>
      <c r="AW340" s="24">
        <f>ROUND(S340-AC340-AM340,2)</f>
        <v/>
      </c>
      <c r="AX340" s="24">
        <f>ROUND(T340-AD340-AN340,2)</f>
        <v/>
      </c>
      <c r="AY340" s="24">
        <f>ROUND(U340-AE340-AO340,2)</f>
        <v/>
      </c>
      <c r="AZ340" s="24">
        <f>ROUND(V340-AF340-AP340,2)</f>
        <v/>
      </c>
      <c r="BA340" s="24">
        <f>ROUND(W340-AG340-AQ340,2)</f>
        <v/>
      </c>
      <c r="BB340" s="24">
        <f>SUM(AR340:BA340)</f>
        <v/>
      </c>
    </row>
    <row r="341">
      <c r="A341" t="n">
        <v>337</v>
      </c>
      <c r="B341" s="23">
        <f>EOMONTH(TODAY(),336)</f>
        <v/>
      </c>
      <c r="C341" s="24">
        <f>MAX(0,(SUM('My Loans'!$E$6:$E$15)+'My Loans'!$D$3)-SUM($X341:$AG341))</f>
        <v/>
      </c>
      <c r="D341" s="24">
        <f>MAX(0,AR340)</f>
        <v/>
      </c>
      <c r="E341" s="24">
        <f>MAX(0,AS340)</f>
        <v/>
      </c>
      <c r="F341" s="24">
        <f>MAX(0,AT340)</f>
        <v/>
      </c>
      <c r="G341" s="24">
        <f>MAX(0,AU340)</f>
        <v/>
      </c>
      <c r="H341" s="24">
        <f>MAX(0,AV340)</f>
        <v/>
      </c>
      <c r="I341" s="24">
        <f>MAX(0,AW340)</f>
        <v/>
      </c>
      <c r="J341" s="24">
        <f>MAX(0,AX340)</f>
        <v/>
      </c>
      <c r="K341" s="24">
        <f>MAX(0,AY340)</f>
        <v/>
      </c>
      <c r="L341" s="24">
        <f>MAX(0,AZ340)</f>
        <v/>
      </c>
      <c r="M341" s="24">
        <f>MAX(0,BA340)</f>
        <v/>
      </c>
      <c r="N341" s="24">
        <f>IF(D341&lt;0.5,0,D341*(1+N('My Loans'!D6)/1200))</f>
        <v/>
      </c>
      <c r="O341" s="24">
        <f>IF(E341&lt;0.5,0,E341*(1+N('My Loans'!D7)/1200))</f>
        <v/>
      </c>
      <c r="P341" s="24">
        <f>IF(F341&lt;0.5,0,F341*(1+N('My Loans'!D8)/1200))</f>
        <v/>
      </c>
      <c r="Q341" s="24">
        <f>IF(G341&lt;0.5,0,G341*(1+N('My Loans'!D9)/1200))</f>
        <v/>
      </c>
      <c r="R341" s="24">
        <f>IF(H341&lt;0.5,0,H341*(1+N('My Loans'!D10)/1200))</f>
        <v/>
      </c>
      <c r="S341" s="24">
        <f>IF(I341&lt;0.5,0,I341*(1+N('My Loans'!D11)/1200))</f>
        <v/>
      </c>
      <c r="T341" s="24">
        <f>IF(J341&lt;0.5,0,J341*(1+N('My Loans'!D12)/1200))</f>
        <v/>
      </c>
      <c r="U341" s="24">
        <f>IF(K341&lt;0.5,0,K341*(1+N('My Loans'!D13)/1200))</f>
        <v/>
      </c>
      <c r="V341" s="24">
        <f>IF(L341&lt;0.5,0,L341*(1+N('My Loans'!D14)/1200))</f>
        <v/>
      </c>
      <c r="W341" s="24">
        <f>IF(M341&lt;0.5,0,M341*(1+N('My Loans'!D15)/1200))</f>
        <v/>
      </c>
      <c r="X341" s="24">
        <f>MIN(N341,N('My Loans'!E6))</f>
        <v/>
      </c>
      <c r="Y341" s="24">
        <f>MIN(O341,N('My Loans'!E7))</f>
        <v/>
      </c>
      <c r="Z341" s="24">
        <f>MIN(P341,N('My Loans'!E8))</f>
        <v/>
      </c>
      <c r="AA341" s="24">
        <f>MIN(Q341,N('My Loans'!E9))</f>
        <v/>
      </c>
      <c r="AB341" s="24">
        <f>MIN(R341,N('My Loans'!E10))</f>
        <v/>
      </c>
      <c r="AC341" s="24">
        <f>MIN(S341,N('My Loans'!E11))</f>
        <v/>
      </c>
      <c r="AD341" s="24">
        <f>MIN(T341,N('My Loans'!E12))</f>
        <v/>
      </c>
      <c r="AE341" s="24">
        <f>MIN(U341,N('My Loans'!E13))</f>
        <v/>
      </c>
      <c r="AF341" s="24">
        <f>MIN(V341,N('My Loans'!E14))</f>
        <v/>
      </c>
      <c r="AG341" s="24">
        <f>MIN(W341,N('My Loans'!E15))</f>
        <v/>
      </c>
      <c r="AH341" s="24">
        <f>MIN(N341-X341,MAX(0,$C341-SUMPRODUCT(($D$3:$M$3&lt;D$3)*($N341:$W341-$X341:$AG341))))</f>
        <v/>
      </c>
      <c r="AI341" s="24">
        <f>MIN(O341-Y341,MAX(0,$C341-SUMPRODUCT(($D$3:$M$3&lt;E$3)*($N341:$W341-$X341:$AG341))))</f>
        <v/>
      </c>
      <c r="AJ341" s="24">
        <f>MIN(P341-Z341,MAX(0,$C341-SUMPRODUCT(($D$3:$M$3&lt;F$3)*($N341:$W341-$X341:$AG341))))</f>
        <v/>
      </c>
      <c r="AK341" s="24">
        <f>MIN(Q341-AA341,MAX(0,$C341-SUMPRODUCT(($D$3:$M$3&lt;G$3)*($N341:$W341-$X341:$AG341))))</f>
        <v/>
      </c>
      <c r="AL341" s="24">
        <f>MIN(R341-AB341,MAX(0,$C341-SUMPRODUCT(($D$3:$M$3&lt;H$3)*($N341:$W341-$X341:$AG341))))</f>
        <v/>
      </c>
      <c r="AM341" s="24">
        <f>MIN(S341-AC341,MAX(0,$C341-SUMPRODUCT(($D$3:$M$3&lt;I$3)*($N341:$W341-$X341:$AG341))))</f>
        <v/>
      </c>
      <c r="AN341" s="24">
        <f>MIN(T341-AD341,MAX(0,$C341-SUMPRODUCT(($D$3:$M$3&lt;J$3)*($N341:$W341-$X341:$AG341))))</f>
        <v/>
      </c>
      <c r="AO341" s="24">
        <f>MIN(U341-AE341,MAX(0,$C341-SUMPRODUCT(($D$3:$M$3&lt;K$3)*($N341:$W341-$X341:$AG341))))</f>
        <v/>
      </c>
      <c r="AP341" s="24">
        <f>MIN(V341-AF341,MAX(0,$C341-SUMPRODUCT(($D$3:$M$3&lt;L$3)*($N341:$W341-$X341:$AG341))))</f>
        <v/>
      </c>
      <c r="AQ341" s="24">
        <f>MIN(W341-AG341,MAX(0,$C341-SUMPRODUCT(($D$3:$M$3&lt;M$3)*($N341:$W341-$X341:$AG341))))</f>
        <v/>
      </c>
      <c r="AR341" s="24">
        <f>ROUND(N341-X341-AH341,2)</f>
        <v/>
      </c>
      <c r="AS341" s="24">
        <f>ROUND(O341-Y341-AI341,2)</f>
        <v/>
      </c>
      <c r="AT341" s="24">
        <f>ROUND(P341-Z341-AJ341,2)</f>
        <v/>
      </c>
      <c r="AU341" s="24">
        <f>ROUND(Q341-AA341-AK341,2)</f>
        <v/>
      </c>
      <c r="AV341" s="24">
        <f>ROUND(R341-AB341-AL341,2)</f>
        <v/>
      </c>
      <c r="AW341" s="24">
        <f>ROUND(S341-AC341-AM341,2)</f>
        <v/>
      </c>
      <c r="AX341" s="24">
        <f>ROUND(T341-AD341-AN341,2)</f>
        <v/>
      </c>
      <c r="AY341" s="24">
        <f>ROUND(U341-AE341-AO341,2)</f>
        <v/>
      </c>
      <c r="AZ341" s="24">
        <f>ROUND(V341-AF341-AP341,2)</f>
        <v/>
      </c>
      <c r="BA341" s="24">
        <f>ROUND(W341-AG341-AQ341,2)</f>
        <v/>
      </c>
      <c r="BB341" s="24">
        <f>SUM(AR341:BA341)</f>
        <v/>
      </c>
    </row>
    <row r="342">
      <c r="A342" t="n">
        <v>338</v>
      </c>
      <c r="B342" s="23">
        <f>EOMONTH(TODAY(),337)</f>
        <v/>
      </c>
      <c r="C342" s="24">
        <f>MAX(0,(SUM('My Loans'!$E$6:$E$15)+'My Loans'!$D$3)-SUM($X342:$AG342))</f>
        <v/>
      </c>
      <c r="D342" s="24">
        <f>MAX(0,AR341)</f>
        <v/>
      </c>
      <c r="E342" s="24">
        <f>MAX(0,AS341)</f>
        <v/>
      </c>
      <c r="F342" s="24">
        <f>MAX(0,AT341)</f>
        <v/>
      </c>
      <c r="G342" s="24">
        <f>MAX(0,AU341)</f>
        <v/>
      </c>
      <c r="H342" s="24">
        <f>MAX(0,AV341)</f>
        <v/>
      </c>
      <c r="I342" s="24">
        <f>MAX(0,AW341)</f>
        <v/>
      </c>
      <c r="J342" s="24">
        <f>MAX(0,AX341)</f>
        <v/>
      </c>
      <c r="K342" s="24">
        <f>MAX(0,AY341)</f>
        <v/>
      </c>
      <c r="L342" s="24">
        <f>MAX(0,AZ341)</f>
        <v/>
      </c>
      <c r="M342" s="24">
        <f>MAX(0,BA341)</f>
        <v/>
      </c>
      <c r="N342" s="24">
        <f>IF(D342&lt;0.5,0,D342*(1+N('My Loans'!D6)/1200))</f>
        <v/>
      </c>
      <c r="O342" s="24">
        <f>IF(E342&lt;0.5,0,E342*(1+N('My Loans'!D7)/1200))</f>
        <v/>
      </c>
      <c r="P342" s="24">
        <f>IF(F342&lt;0.5,0,F342*(1+N('My Loans'!D8)/1200))</f>
        <v/>
      </c>
      <c r="Q342" s="24">
        <f>IF(G342&lt;0.5,0,G342*(1+N('My Loans'!D9)/1200))</f>
        <v/>
      </c>
      <c r="R342" s="24">
        <f>IF(H342&lt;0.5,0,H342*(1+N('My Loans'!D10)/1200))</f>
        <v/>
      </c>
      <c r="S342" s="24">
        <f>IF(I342&lt;0.5,0,I342*(1+N('My Loans'!D11)/1200))</f>
        <v/>
      </c>
      <c r="T342" s="24">
        <f>IF(J342&lt;0.5,0,J342*(1+N('My Loans'!D12)/1200))</f>
        <v/>
      </c>
      <c r="U342" s="24">
        <f>IF(K342&lt;0.5,0,K342*(1+N('My Loans'!D13)/1200))</f>
        <v/>
      </c>
      <c r="V342" s="24">
        <f>IF(L342&lt;0.5,0,L342*(1+N('My Loans'!D14)/1200))</f>
        <v/>
      </c>
      <c r="W342" s="24">
        <f>IF(M342&lt;0.5,0,M342*(1+N('My Loans'!D15)/1200))</f>
        <v/>
      </c>
      <c r="X342" s="24">
        <f>MIN(N342,N('My Loans'!E6))</f>
        <v/>
      </c>
      <c r="Y342" s="24">
        <f>MIN(O342,N('My Loans'!E7))</f>
        <v/>
      </c>
      <c r="Z342" s="24">
        <f>MIN(P342,N('My Loans'!E8))</f>
        <v/>
      </c>
      <c r="AA342" s="24">
        <f>MIN(Q342,N('My Loans'!E9))</f>
        <v/>
      </c>
      <c r="AB342" s="24">
        <f>MIN(R342,N('My Loans'!E10))</f>
        <v/>
      </c>
      <c r="AC342" s="24">
        <f>MIN(S342,N('My Loans'!E11))</f>
        <v/>
      </c>
      <c r="AD342" s="24">
        <f>MIN(T342,N('My Loans'!E12))</f>
        <v/>
      </c>
      <c r="AE342" s="24">
        <f>MIN(U342,N('My Loans'!E13))</f>
        <v/>
      </c>
      <c r="AF342" s="24">
        <f>MIN(V342,N('My Loans'!E14))</f>
        <v/>
      </c>
      <c r="AG342" s="24">
        <f>MIN(W342,N('My Loans'!E15))</f>
        <v/>
      </c>
      <c r="AH342" s="24">
        <f>MIN(N342-X342,MAX(0,$C342-SUMPRODUCT(($D$3:$M$3&lt;D$3)*($N342:$W342-$X342:$AG342))))</f>
        <v/>
      </c>
      <c r="AI342" s="24">
        <f>MIN(O342-Y342,MAX(0,$C342-SUMPRODUCT(($D$3:$M$3&lt;E$3)*($N342:$W342-$X342:$AG342))))</f>
        <v/>
      </c>
      <c r="AJ342" s="24">
        <f>MIN(P342-Z342,MAX(0,$C342-SUMPRODUCT(($D$3:$M$3&lt;F$3)*($N342:$W342-$X342:$AG342))))</f>
        <v/>
      </c>
      <c r="AK342" s="24">
        <f>MIN(Q342-AA342,MAX(0,$C342-SUMPRODUCT(($D$3:$M$3&lt;G$3)*($N342:$W342-$X342:$AG342))))</f>
        <v/>
      </c>
      <c r="AL342" s="24">
        <f>MIN(R342-AB342,MAX(0,$C342-SUMPRODUCT(($D$3:$M$3&lt;H$3)*($N342:$W342-$X342:$AG342))))</f>
        <v/>
      </c>
      <c r="AM342" s="24">
        <f>MIN(S342-AC342,MAX(0,$C342-SUMPRODUCT(($D$3:$M$3&lt;I$3)*($N342:$W342-$X342:$AG342))))</f>
        <v/>
      </c>
      <c r="AN342" s="24">
        <f>MIN(T342-AD342,MAX(0,$C342-SUMPRODUCT(($D$3:$M$3&lt;J$3)*($N342:$W342-$X342:$AG342))))</f>
        <v/>
      </c>
      <c r="AO342" s="24">
        <f>MIN(U342-AE342,MAX(0,$C342-SUMPRODUCT(($D$3:$M$3&lt;K$3)*($N342:$W342-$X342:$AG342))))</f>
        <v/>
      </c>
      <c r="AP342" s="24">
        <f>MIN(V342-AF342,MAX(0,$C342-SUMPRODUCT(($D$3:$M$3&lt;L$3)*($N342:$W342-$X342:$AG342))))</f>
        <v/>
      </c>
      <c r="AQ342" s="24">
        <f>MIN(W342-AG342,MAX(0,$C342-SUMPRODUCT(($D$3:$M$3&lt;M$3)*($N342:$W342-$X342:$AG342))))</f>
        <v/>
      </c>
      <c r="AR342" s="24">
        <f>ROUND(N342-X342-AH342,2)</f>
        <v/>
      </c>
      <c r="AS342" s="24">
        <f>ROUND(O342-Y342-AI342,2)</f>
        <v/>
      </c>
      <c r="AT342" s="24">
        <f>ROUND(P342-Z342-AJ342,2)</f>
        <v/>
      </c>
      <c r="AU342" s="24">
        <f>ROUND(Q342-AA342-AK342,2)</f>
        <v/>
      </c>
      <c r="AV342" s="24">
        <f>ROUND(R342-AB342-AL342,2)</f>
        <v/>
      </c>
      <c r="AW342" s="24">
        <f>ROUND(S342-AC342-AM342,2)</f>
        <v/>
      </c>
      <c r="AX342" s="24">
        <f>ROUND(T342-AD342-AN342,2)</f>
        <v/>
      </c>
      <c r="AY342" s="24">
        <f>ROUND(U342-AE342-AO342,2)</f>
        <v/>
      </c>
      <c r="AZ342" s="24">
        <f>ROUND(V342-AF342-AP342,2)</f>
        <v/>
      </c>
      <c r="BA342" s="24">
        <f>ROUND(W342-AG342-AQ342,2)</f>
        <v/>
      </c>
      <c r="BB342" s="24">
        <f>SUM(AR342:BA342)</f>
        <v/>
      </c>
    </row>
    <row r="343">
      <c r="A343" t="n">
        <v>339</v>
      </c>
      <c r="B343" s="23">
        <f>EOMONTH(TODAY(),338)</f>
        <v/>
      </c>
      <c r="C343" s="24">
        <f>MAX(0,(SUM('My Loans'!$E$6:$E$15)+'My Loans'!$D$3)-SUM($X343:$AG343))</f>
        <v/>
      </c>
      <c r="D343" s="24">
        <f>MAX(0,AR342)</f>
        <v/>
      </c>
      <c r="E343" s="24">
        <f>MAX(0,AS342)</f>
        <v/>
      </c>
      <c r="F343" s="24">
        <f>MAX(0,AT342)</f>
        <v/>
      </c>
      <c r="G343" s="24">
        <f>MAX(0,AU342)</f>
        <v/>
      </c>
      <c r="H343" s="24">
        <f>MAX(0,AV342)</f>
        <v/>
      </c>
      <c r="I343" s="24">
        <f>MAX(0,AW342)</f>
        <v/>
      </c>
      <c r="J343" s="24">
        <f>MAX(0,AX342)</f>
        <v/>
      </c>
      <c r="K343" s="24">
        <f>MAX(0,AY342)</f>
        <v/>
      </c>
      <c r="L343" s="24">
        <f>MAX(0,AZ342)</f>
        <v/>
      </c>
      <c r="M343" s="24">
        <f>MAX(0,BA342)</f>
        <v/>
      </c>
      <c r="N343" s="24">
        <f>IF(D343&lt;0.5,0,D343*(1+N('My Loans'!D6)/1200))</f>
        <v/>
      </c>
      <c r="O343" s="24">
        <f>IF(E343&lt;0.5,0,E343*(1+N('My Loans'!D7)/1200))</f>
        <v/>
      </c>
      <c r="P343" s="24">
        <f>IF(F343&lt;0.5,0,F343*(1+N('My Loans'!D8)/1200))</f>
        <v/>
      </c>
      <c r="Q343" s="24">
        <f>IF(G343&lt;0.5,0,G343*(1+N('My Loans'!D9)/1200))</f>
        <v/>
      </c>
      <c r="R343" s="24">
        <f>IF(H343&lt;0.5,0,H343*(1+N('My Loans'!D10)/1200))</f>
        <v/>
      </c>
      <c r="S343" s="24">
        <f>IF(I343&lt;0.5,0,I343*(1+N('My Loans'!D11)/1200))</f>
        <v/>
      </c>
      <c r="T343" s="24">
        <f>IF(J343&lt;0.5,0,J343*(1+N('My Loans'!D12)/1200))</f>
        <v/>
      </c>
      <c r="U343" s="24">
        <f>IF(K343&lt;0.5,0,K343*(1+N('My Loans'!D13)/1200))</f>
        <v/>
      </c>
      <c r="V343" s="24">
        <f>IF(L343&lt;0.5,0,L343*(1+N('My Loans'!D14)/1200))</f>
        <v/>
      </c>
      <c r="W343" s="24">
        <f>IF(M343&lt;0.5,0,M343*(1+N('My Loans'!D15)/1200))</f>
        <v/>
      </c>
      <c r="X343" s="24">
        <f>MIN(N343,N('My Loans'!E6))</f>
        <v/>
      </c>
      <c r="Y343" s="24">
        <f>MIN(O343,N('My Loans'!E7))</f>
        <v/>
      </c>
      <c r="Z343" s="24">
        <f>MIN(P343,N('My Loans'!E8))</f>
        <v/>
      </c>
      <c r="AA343" s="24">
        <f>MIN(Q343,N('My Loans'!E9))</f>
        <v/>
      </c>
      <c r="AB343" s="24">
        <f>MIN(R343,N('My Loans'!E10))</f>
        <v/>
      </c>
      <c r="AC343" s="24">
        <f>MIN(S343,N('My Loans'!E11))</f>
        <v/>
      </c>
      <c r="AD343" s="24">
        <f>MIN(T343,N('My Loans'!E12))</f>
        <v/>
      </c>
      <c r="AE343" s="24">
        <f>MIN(U343,N('My Loans'!E13))</f>
        <v/>
      </c>
      <c r="AF343" s="24">
        <f>MIN(V343,N('My Loans'!E14))</f>
        <v/>
      </c>
      <c r="AG343" s="24">
        <f>MIN(W343,N('My Loans'!E15))</f>
        <v/>
      </c>
      <c r="AH343" s="24">
        <f>MIN(N343-X343,MAX(0,$C343-SUMPRODUCT(($D$3:$M$3&lt;D$3)*($N343:$W343-$X343:$AG343))))</f>
        <v/>
      </c>
      <c r="AI343" s="24">
        <f>MIN(O343-Y343,MAX(0,$C343-SUMPRODUCT(($D$3:$M$3&lt;E$3)*($N343:$W343-$X343:$AG343))))</f>
        <v/>
      </c>
      <c r="AJ343" s="24">
        <f>MIN(P343-Z343,MAX(0,$C343-SUMPRODUCT(($D$3:$M$3&lt;F$3)*($N343:$W343-$X343:$AG343))))</f>
        <v/>
      </c>
      <c r="AK343" s="24">
        <f>MIN(Q343-AA343,MAX(0,$C343-SUMPRODUCT(($D$3:$M$3&lt;G$3)*($N343:$W343-$X343:$AG343))))</f>
        <v/>
      </c>
      <c r="AL343" s="24">
        <f>MIN(R343-AB343,MAX(0,$C343-SUMPRODUCT(($D$3:$M$3&lt;H$3)*($N343:$W343-$X343:$AG343))))</f>
        <v/>
      </c>
      <c r="AM343" s="24">
        <f>MIN(S343-AC343,MAX(0,$C343-SUMPRODUCT(($D$3:$M$3&lt;I$3)*($N343:$W343-$X343:$AG343))))</f>
        <v/>
      </c>
      <c r="AN343" s="24">
        <f>MIN(T343-AD343,MAX(0,$C343-SUMPRODUCT(($D$3:$M$3&lt;J$3)*($N343:$W343-$X343:$AG343))))</f>
        <v/>
      </c>
      <c r="AO343" s="24">
        <f>MIN(U343-AE343,MAX(0,$C343-SUMPRODUCT(($D$3:$M$3&lt;K$3)*($N343:$W343-$X343:$AG343))))</f>
        <v/>
      </c>
      <c r="AP343" s="24">
        <f>MIN(V343-AF343,MAX(0,$C343-SUMPRODUCT(($D$3:$M$3&lt;L$3)*($N343:$W343-$X343:$AG343))))</f>
        <v/>
      </c>
      <c r="AQ343" s="24">
        <f>MIN(W343-AG343,MAX(0,$C343-SUMPRODUCT(($D$3:$M$3&lt;M$3)*($N343:$W343-$X343:$AG343))))</f>
        <v/>
      </c>
      <c r="AR343" s="24">
        <f>ROUND(N343-X343-AH343,2)</f>
        <v/>
      </c>
      <c r="AS343" s="24">
        <f>ROUND(O343-Y343-AI343,2)</f>
        <v/>
      </c>
      <c r="AT343" s="24">
        <f>ROUND(P343-Z343-AJ343,2)</f>
        <v/>
      </c>
      <c r="AU343" s="24">
        <f>ROUND(Q343-AA343-AK343,2)</f>
        <v/>
      </c>
      <c r="AV343" s="24">
        <f>ROUND(R343-AB343-AL343,2)</f>
        <v/>
      </c>
      <c r="AW343" s="24">
        <f>ROUND(S343-AC343-AM343,2)</f>
        <v/>
      </c>
      <c r="AX343" s="24">
        <f>ROUND(T343-AD343-AN343,2)</f>
        <v/>
      </c>
      <c r="AY343" s="24">
        <f>ROUND(U343-AE343-AO343,2)</f>
        <v/>
      </c>
      <c r="AZ343" s="24">
        <f>ROUND(V343-AF343-AP343,2)</f>
        <v/>
      </c>
      <c r="BA343" s="24">
        <f>ROUND(W343-AG343-AQ343,2)</f>
        <v/>
      </c>
      <c r="BB343" s="24">
        <f>SUM(AR343:BA343)</f>
        <v/>
      </c>
    </row>
    <row r="344">
      <c r="A344" t="n">
        <v>340</v>
      </c>
      <c r="B344" s="23">
        <f>EOMONTH(TODAY(),339)</f>
        <v/>
      </c>
      <c r="C344" s="24">
        <f>MAX(0,(SUM('My Loans'!$E$6:$E$15)+'My Loans'!$D$3)-SUM($X344:$AG344))</f>
        <v/>
      </c>
      <c r="D344" s="24">
        <f>MAX(0,AR343)</f>
        <v/>
      </c>
      <c r="E344" s="24">
        <f>MAX(0,AS343)</f>
        <v/>
      </c>
      <c r="F344" s="24">
        <f>MAX(0,AT343)</f>
        <v/>
      </c>
      <c r="G344" s="24">
        <f>MAX(0,AU343)</f>
        <v/>
      </c>
      <c r="H344" s="24">
        <f>MAX(0,AV343)</f>
        <v/>
      </c>
      <c r="I344" s="24">
        <f>MAX(0,AW343)</f>
        <v/>
      </c>
      <c r="J344" s="24">
        <f>MAX(0,AX343)</f>
        <v/>
      </c>
      <c r="K344" s="24">
        <f>MAX(0,AY343)</f>
        <v/>
      </c>
      <c r="L344" s="24">
        <f>MAX(0,AZ343)</f>
        <v/>
      </c>
      <c r="M344" s="24">
        <f>MAX(0,BA343)</f>
        <v/>
      </c>
      <c r="N344" s="24">
        <f>IF(D344&lt;0.5,0,D344*(1+N('My Loans'!D6)/1200))</f>
        <v/>
      </c>
      <c r="O344" s="24">
        <f>IF(E344&lt;0.5,0,E344*(1+N('My Loans'!D7)/1200))</f>
        <v/>
      </c>
      <c r="P344" s="24">
        <f>IF(F344&lt;0.5,0,F344*(1+N('My Loans'!D8)/1200))</f>
        <v/>
      </c>
      <c r="Q344" s="24">
        <f>IF(G344&lt;0.5,0,G344*(1+N('My Loans'!D9)/1200))</f>
        <v/>
      </c>
      <c r="R344" s="24">
        <f>IF(H344&lt;0.5,0,H344*(1+N('My Loans'!D10)/1200))</f>
        <v/>
      </c>
      <c r="S344" s="24">
        <f>IF(I344&lt;0.5,0,I344*(1+N('My Loans'!D11)/1200))</f>
        <v/>
      </c>
      <c r="T344" s="24">
        <f>IF(J344&lt;0.5,0,J344*(1+N('My Loans'!D12)/1200))</f>
        <v/>
      </c>
      <c r="U344" s="24">
        <f>IF(K344&lt;0.5,0,K344*(1+N('My Loans'!D13)/1200))</f>
        <v/>
      </c>
      <c r="V344" s="24">
        <f>IF(L344&lt;0.5,0,L344*(1+N('My Loans'!D14)/1200))</f>
        <v/>
      </c>
      <c r="W344" s="24">
        <f>IF(M344&lt;0.5,0,M344*(1+N('My Loans'!D15)/1200))</f>
        <v/>
      </c>
      <c r="X344" s="24">
        <f>MIN(N344,N('My Loans'!E6))</f>
        <v/>
      </c>
      <c r="Y344" s="24">
        <f>MIN(O344,N('My Loans'!E7))</f>
        <v/>
      </c>
      <c r="Z344" s="24">
        <f>MIN(P344,N('My Loans'!E8))</f>
        <v/>
      </c>
      <c r="AA344" s="24">
        <f>MIN(Q344,N('My Loans'!E9))</f>
        <v/>
      </c>
      <c r="AB344" s="24">
        <f>MIN(R344,N('My Loans'!E10))</f>
        <v/>
      </c>
      <c r="AC344" s="24">
        <f>MIN(S344,N('My Loans'!E11))</f>
        <v/>
      </c>
      <c r="AD344" s="24">
        <f>MIN(T344,N('My Loans'!E12))</f>
        <v/>
      </c>
      <c r="AE344" s="24">
        <f>MIN(U344,N('My Loans'!E13))</f>
        <v/>
      </c>
      <c r="AF344" s="24">
        <f>MIN(V344,N('My Loans'!E14))</f>
        <v/>
      </c>
      <c r="AG344" s="24">
        <f>MIN(W344,N('My Loans'!E15))</f>
        <v/>
      </c>
      <c r="AH344" s="24">
        <f>MIN(N344-X344,MAX(0,$C344-SUMPRODUCT(($D$3:$M$3&lt;D$3)*($N344:$W344-$X344:$AG344))))</f>
        <v/>
      </c>
      <c r="AI344" s="24">
        <f>MIN(O344-Y344,MAX(0,$C344-SUMPRODUCT(($D$3:$M$3&lt;E$3)*($N344:$W344-$X344:$AG344))))</f>
        <v/>
      </c>
      <c r="AJ344" s="24">
        <f>MIN(P344-Z344,MAX(0,$C344-SUMPRODUCT(($D$3:$M$3&lt;F$3)*($N344:$W344-$X344:$AG344))))</f>
        <v/>
      </c>
      <c r="AK344" s="24">
        <f>MIN(Q344-AA344,MAX(0,$C344-SUMPRODUCT(($D$3:$M$3&lt;G$3)*($N344:$W344-$X344:$AG344))))</f>
        <v/>
      </c>
      <c r="AL344" s="24">
        <f>MIN(R344-AB344,MAX(0,$C344-SUMPRODUCT(($D$3:$M$3&lt;H$3)*($N344:$W344-$X344:$AG344))))</f>
        <v/>
      </c>
      <c r="AM344" s="24">
        <f>MIN(S344-AC344,MAX(0,$C344-SUMPRODUCT(($D$3:$M$3&lt;I$3)*($N344:$W344-$X344:$AG344))))</f>
        <v/>
      </c>
      <c r="AN344" s="24">
        <f>MIN(T344-AD344,MAX(0,$C344-SUMPRODUCT(($D$3:$M$3&lt;J$3)*($N344:$W344-$X344:$AG344))))</f>
        <v/>
      </c>
      <c r="AO344" s="24">
        <f>MIN(U344-AE344,MAX(0,$C344-SUMPRODUCT(($D$3:$M$3&lt;K$3)*($N344:$W344-$X344:$AG344))))</f>
        <v/>
      </c>
      <c r="AP344" s="24">
        <f>MIN(V344-AF344,MAX(0,$C344-SUMPRODUCT(($D$3:$M$3&lt;L$3)*($N344:$W344-$X344:$AG344))))</f>
        <v/>
      </c>
      <c r="AQ344" s="24">
        <f>MIN(W344-AG344,MAX(0,$C344-SUMPRODUCT(($D$3:$M$3&lt;M$3)*($N344:$W344-$X344:$AG344))))</f>
        <v/>
      </c>
      <c r="AR344" s="24">
        <f>ROUND(N344-X344-AH344,2)</f>
        <v/>
      </c>
      <c r="AS344" s="24">
        <f>ROUND(O344-Y344-AI344,2)</f>
        <v/>
      </c>
      <c r="AT344" s="24">
        <f>ROUND(P344-Z344-AJ344,2)</f>
        <v/>
      </c>
      <c r="AU344" s="24">
        <f>ROUND(Q344-AA344-AK344,2)</f>
        <v/>
      </c>
      <c r="AV344" s="24">
        <f>ROUND(R344-AB344-AL344,2)</f>
        <v/>
      </c>
      <c r="AW344" s="24">
        <f>ROUND(S344-AC344-AM344,2)</f>
        <v/>
      </c>
      <c r="AX344" s="24">
        <f>ROUND(T344-AD344-AN344,2)</f>
        <v/>
      </c>
      <c r="AY344" s="24">
        <f>ROUND(U344-AE344-AO344,2)</f>
        <v/>
      </c>
      <c r="AZ344" s="24">
        <f>ROUND(V344-AF344-AP344,2)</f>
        <v/>
      </c>
      <c r="BA344" s="24">
        <f>ROUND(W344-AG344-AQ344,2)</f>
        <v/>
      </c>
      <c r="BB344" s="24">
        <f>SUM(AR344:BA344)</f>
        <v/>
      </c>
    </row>
    <row r="345">
      <c r="A345" t="n">
        <v>341</v>
      </c>
      <c r="B345" s="23">
        <f>EOMONTH(TODAY(),340)</f>
        <v/>
      </c>
      <c r="C345" s="24">
        <f>MAX(0,(SUM('My Loans'!$E$6:$E$15)+'My Loans'!$D$3)-SUM($X345:$AG345))</f>
        <v/>
      </c>
      <c r="D345" s="24">
        <f>MAX(0,AR344)</f>
        <v/>
      </c>
      <c r="E345" s="24">
        <f>MAX(0,AS344)</f>
        <v/>
      </c>
      <c r="F345" s="24">
        <f>MAX(0,AT344)</f>
        <v/>
      </c>
      <c r="G345" s="24">
        <f>MAX(0,AU344)</f>
        <v/>
      </c>
      <c r="H345" s="24">
        <f>MAX(0,AV344)</f>
        <v/>
      </c>
      <c r="I345" s="24">
        <f>MAX(0,AW344)</f>
        <v/>
      </c>
      <c r="J345" s="24">
        <f>MAX(0,AX344)</f>
        <v/>
      </c>
      <c r="K345" s="24">
        <f>MAX(0,AY344)</f>
        <v/>
      </c>
      <c r="L345" s="24">
        <f>MAX(0,AZ344)</f>
        <v/>
      </c>
      <c r="M345" s="24">
        <f>MAX(0,BA344)</f>
        <v/>
      </c>
      <c r="N345" s="24">
        <f>IF(D345&lt;0.5,0,D345*(1+N('My Loans'!D6)/1200))</f>
        <v/>
      </c>
      <c r="O345" s="24">
        <f>IF(E345&lt;0.5,0,E345*(1+N('My Loans'!D7)/1200))</f>
        <v/>
      </c>
      <c r="P345" s="24">
        <f>IF(F345&lt;0.5,0,F345*(1+N('My Loans'!D8)/1200))</f>
        <v/>
      </c>
      <c r="Q345" s="24">
        <f>IF(G345&lt;0.5,0,G345*(1+N('My Loans'!D9)/1200))</f>
        <v/>
      </c>
      <c r="R345" s="24">
        <f>IF(H345&lt;0.5,0,H345*(1+N('My Loans'!D10)/1200))</f>
        <v/>
      </c>
      <c r="S345" s="24">
        <f>IF(I345&lt;0.5,0,I345*(1+N('My Loans'!D11)/1200))</f>
        <v/>
      </c>
      <c r="T345" s="24">
        <f>IF(J345&lt;0.5,0,J345*(1+N('My Loans'!D12)/1200))</f>
        <v/>
      </c>
      <c r="U345" s="24">
        <f>IF(K345&lt;0.5,0,K345*(1+N('My Loans'!D13)/1200))</f>
        <v/>
      </c>
      <c r="V345" s="24">
        <f>IF(L345&lt;0.5,0,L345*(1+N('My Loans'!D14)/1200))</f>
        <v/>
      </c>
      <c r="W345" s="24">
        <f>IF(M345&lt;0.5,0,M345*(1+N('My Loans'!D15)/1200))</f>
        <v/>
      </c>
      <c r="X345" s="24">
        <f>MIN(N345,N('My Loans'!E6))</f>
        <v/>
      </c>
      <c r="Y345" s="24">
        <f>MIN(O345,N('My Loans'!E7))</f>
        <v/>
      </c>
      <c r="Z345" s="24">
        <f>MIN(P345,N('My Loans'!E8))</f>
        <v/>
      </c>
      <c r="AA345" s="24">
        <f>MIN(Q345,N('My Loans'!E9))</f>
        <v/>
      </c>
      <c r="AB345" s="24">
        <f>MIN(R345,N('My Loans'!E10))</f>
        <v/>
      </c>
      <c r="AC345" s="24">
        <f>MIN(S345,N('My Loans'!E11))</f>
        <v/>
      </c>
      <c r="AD345" s="24">
        <f>MIN(T345,N('My Loans'!E12))</f>
        <v/>
      </c>
      <c r="AE345" s="24">
        <f>MIN(U345,N('My Loans'!E13))</f>
        <v/>
      </c>
      <c r="AF345" s="24">
        <f>MIN(V345,N('My Loans'!E14))</f>
        <v/>
      </c>
      <c r="AG345" s="24">
        <f>MIN(W345,N('My Loans'!E15))</f>
        <v/>
      </c>
      <c r="AH345" s="24">
        <f>MIN(N345-X345,MAX(0,$C345-SUMPRODUCT(($D$3:$M$3&lt;D$3)*($N345:$W345-$X345:$AG345))))</f>
        <v/>
      </c>
      <c r="AI345" s="24">
        <f>MIN(O345-Y345,MAX(0,$C345-SUMPRODUCT(($D$3:$M$3&lt;E$3)*($N345:$W345-$X345:$AG345))))</f>
        <v/>
      </c>
      <c r="AJ345" s="24">
        <f>MIN(P345-Z345,MAX(0,$C345-SUMPRODUCT(($D$3:$M$3&lt;F$3)*($N345:$W345-$X345:$AG345))))</f>
        <v/>
      </c>
      <c r="AK345" s="24">
        <f>MIN(Q345-AA345,MAX(0,$C345-SUMPRODUCT(($D$3:$M$3&lt;G$3)*($N345:$W345-$X345:$AG345))))</f>
        <v/>
      </c>
      <c r="AL345" s="24">
        <f>MIN(R345-AB345,MAX(0,$C345-SUMPRODUCT(($D$3:$M$3&lt;H$3)*($N345:$W345-$X345:$AG345))))</f>
        <v/>
      </c>
      <c r="AM345" s="24">
        <f>MIN(S345-AC345,MAX(0,$C345-SUMPRODUCT(($D$3:$M$3&lt;I$3)*($N345:$W345-$X345:$AG345))))</f>
        <v/>
      </c>
      <c r="AN345" s="24">
        <f>MIN(T345-AD345,MAX(0,$C345-SUMPRODUCT(($D$3:$M$3&lt;J$3)*($N345:$W345-$X345:$AG345))))</f>
        <v/>
      </c>
      <c r="AO345" s="24">
        <f>MIN(U345-AE345,MAX(0,$C345-SUMPRODUCT(($D$3:$M$3&lt;K$3)*($N345:$W345-$X345:$AG345))))</f>
        <v/>
      </c>
      <c r="AP345" s="24">
        <f>MIN(V345-AF345,MAX(0,$C345-SUMPRODUCT(($D$3:$M$3&lt;L$3)*($N345:$W345-$X345:$AG345))))</f>
        <v/>
      </c>
      <c r="AQ345" s="24">
        <f>MIN(W345-AG345,MAX(0,$C345-SUMPRODUCT(($D$3:$M$3&lt;M$3)*($N345:$W345-$X345:$AG345))))</f>
        <v/>
      </c>
      <c r="AR345" s="24">
        <f>ROUND(N345-X345-AH345,2)</f>
        <v/>
      </c>
      <c r="AS345" s="24">
        <f>ROUND(O345-Y345-AI345,2)</f>
        <v/>
      </c>
      <c r="AT345" s="24">
        <f>ROUND(P345-Z345-AJ345,2)</f>
        <v/>
      </c>
      <c r="AU345" s="24">
        <f>ROUND(Q345-AA345-AK345,2)</f>
        <v/>
      </c>
      <c r="AV345" s="24">
        <f>ROUND(R345-AB345-AL345,2)</f>
        <v/>
      </c>
      <c r="AW345" s="24">
        <f>ROUND(S345-AC345-AM345,2)</f>
        <v/>
      </c>
      <c r="AX345" s="24">
        <f>ROUND(T345-AD345-AN345,2)</f>
        <v/>
      </c>
      <c r="AY345" s="24">
        <f>ROUND(U345-AE345-AO345,2)</f>
        <v/>
      </c>
      <c r="AZ345" s="24">
        <f>ROUND(V345-AF345-AP345,2)</f>
        <v/>
      </c>
      <c r="BA345" s="24">
        <f>ROUND(W345-AG345-AQ345,2)</f>
        <v/>
      </c>
      <c r="BB345" s="24">
        <f>SUM(AR345:BA345)</f>
        <v/>
      </c>
    </row>
    <row r="346">
      <c r="A346" t="n">
        <v>342</v>
      </c>
      <c r="B346" s="23">
        <f>EOMONTH(TODAY(),341)</f>
        <v/>
      </c>
      <c r="C346" s="24">
        <f>MAX(0,(SUM('My Loans'!$E$6:$E$15)+'My Loans'!$D$3)-SUM($X346:$AG346))</f>
        <v/>
      </c>
      <c r="D346" s="24">
        <f>MAX(0,AR345)</f>
        <v/>
      </c>
      <c r="E346" s="24">
        <f>MAX(0,AS345)</f>
        <v/>
      </c>
      <c r="F346" s="24">
        <f>MAX(0,AT345)</f>
        <v/>
      </c>
      <c r="G346" s="24">
        <f>MAX(0,AU345)</f>
        <v/>
      </c>
      <c r="H346" s="24">
        <f>MAX(0,AV345)</f>
        <v/>
      </c>
      <c r="I346" s="24">
        <f>MAX(0,AW345)</f>
        <v/>
      </c>
      <c r="J346" s="24">
        <f>MAX(0,AX345)</f>
        <v/>
      </c>
      <c r="K346" s="24">
        <f>MAX(0,AY345)</f>
        <v/>
      </c>
      <c r="L346" s="24">
        <f>MAX(0,AZ345)</f>
        <v/>
      </c>
      <c r="M346" s="24">
        <f>MAX(0,BA345)</f>
        <v/>
      </c>
      <c r="N346" s="24">
        <f>IF(D346&lt;0.5,0,D346*(1+N('My Loans'!D6)/1200))</f>
        <v/>
      </c>
      <c r="O346" s="24">
        <f>IF(E346&lt;0.5,0,E346*(1+N('My Loans'!D7)/1200))</f>
        <v/>
      </c>
      <c r="P346" s="24">
        <f>IF(F346&lt;0.5,0,F346*(1+N('My Loans'!D8)/1200))</f>
        <v/>
      </c>
      <c r="Q346" s="24">
        <f>IF(G346&lt;0.5,0,G346*(1+N('My Loans'!D9)/1200))</f>
        <v/>
      </c>
      <c r="R346" s="24">
        <f>IF(H346&lt;0.5,0,H346*(1+N('My Loans'!D10)/1200))</f>
        <v/>
      </c>
      <c r="S346" s="24">
        <f>IF(I346&lt;0.5,0,I346*(1+N('My Loans'!D11)/1200))</f>
        <v/>
      </c>
      <c r="T346" s="24">
        <f>IF(J346&lt;0.5,0,J346*(1+N('My Loans'!D12)/1200))</f>
        <v/>
      </c>
      <c r="U346" s="24">
        <f>IF(K346&lt;0.5,0,K346*(1+N('My Loans'!D13)/1200))</f>
        <v/>
      </c>
      <c r="V346" s="24">
        <f>IF(L346&lt;0.5,0,L346*(1+N('My Loans'!D14)/1200))</f>
        <v/>
      </c>
      <c r="W346" s="24">
        <f>IF(M346&lt;0.5,0,M346*(1+N('My Loans'!D15)/1200))</f>
        <v/>
      </c>
      <c r="X346" s="24">
        <f>MIN(N346,N('My Loans'!E6))</f>
        <v/>
      </c>
      <c r="Y346" s="24">
        <f>MIN(O346,N('My Loans'!E7))</f>
        <v/>
      </c>
      <c r="Z346" s="24">
        <f>MIN(P346,N('My Loans'!E8))</f>
        <v/>
      </c>
      <c r="AA346" s="24">
        <f>MIN(Q346,N('My Loans'!E9))</f>
        <v/>
      </c>
      <c r="AB346" s="24">
        <f>MIN(R346,N('My Loans'!E10))</f>
        <v/>
      </c>
      <c r="AC346" s="24">
        <f>MIN(S346,N('My Loans'!E11))</f>
        <v/>
      </c>
      <c r="AD346" s="24">
        <f>MIN(T346,N('My Loans'!E12))</f>
        <v/>
      </c>
      <c r="AE346" s="24">
        <f>MIN(U346,N('My Loans'!E13))</f>
        <v/>
      </c>
      <c r="AF346" s="24">
        <f>MIN(V346,N('My Loans'!E14))</f>
        <v/>
      </c>
      <c r="AG346" s="24">
        <f>MIN(W346,N('My Loans'!E15))</f>
        <v/>
      </c>
      <c r="AH346" s="24">
        <f>MIN(N346-X346,MAX(0,$C346-SUMPRODUCT(($D$3:$M$3&lt;D$3)*($N346:$W346-$X346:$AG346))))</f>
        <v/>
      </c>
      <c r="AI346" s="24">
        <f>MIN(O346-Y346,MAX(0,$C346-SUMPRODUCT(($D$3:$M$3&lt;E$3)*($N346:$W346-$X346:$AG346))))</f>
        <v/>
      </c>
      <c r="AJ346" s="24">
        <f>MIN(P346-Z346,MAX(0,$C346-SUMPRODUCT(($D$3:$M$3&lt;F$3)*($N346:$W346-$X346:$AG346))))</f>
        <v/>
      </c>
      <c r="AK346" s="24">
        <f>MIN(Q346-AA346,MAX(0,$C346-SUMPRODUCT(($D$3:$M$3&lt;G$3)*($N346:$W346-$X346:$AG346))))</f>
        <v/>
      </c>
      <c r="AL346" s="24">
        <f>MIN(R346-AB346,MAX(0,$C346-SUMPRODUCT(($D$3:$M$3&lt;H$3)*($N346:$W346-$X346:$AG346))))</f>
        <v/>
      </c>
      <c r="AM346" s="24">
        <f>MIN(S346-AC346,MAX(0,$C346-SUMPRODUCT(($D$3:$M$3&lt;I$3)*($N346:$W346-$X346:$AG346))))</f>
        <v/>
      </c>
      <c r="AN346" s="24">
        <f>MIN(T346-AD346,MAX(0,$C346-SUMPRODUCT(($D$3:$M$3&lt;J$3)*($N346:$W346-$X346:$AG346))))</f>
        <v/>
      </c>
      <c r="AO346" s="24">
        <f>MIN(U346-AE346,MAX(0,$C346-SUMPRODUCT(($D$3:$M$3&lt;K$3)*($N346:$W346-$X346:$AG346))))</f>
        <v/>
      </c>
      <c r="AP346" s="24">
        <f>MIN(V346-AF346,MAX(0,$C346-SUMPRODUCT(($D$3:$M$3&lt;L$3)*($N346:$W346-$X346:$AG346))))</f>
        <v/>
      </c>
      <c r="AQ346" s="24">
        <f>MIN(W346-AG346,MAX(0,$C346-SUMPRODUCT(($D$3:$M$3&lt;M$3)*($N346:$W346-$X346:$AG346))))</f>
        <v/>
      </c>
      <c r="AR346" s="24">
        <f>ROUND(N346-X346-AH346,2)</f>
        <v/>
      </c>
      <c r="AS346" s="24">
        <f>ROUND(O346-Y346-AI346,2)</f>
        <v/>
      </c>
      <c r="AT346" s="24">
        <f>ROUND(P346-Z346-AJ346,2)</f>
        <v/>
      </c>
      <c r="AU346" s="24">
        <f>ROUND(Q346-AA346-AK346,2)</f>
        <v/>
      </c>
      <c r="AV346" s="24">
        <f>ROUND(R346-AB346-AL346,2)</f>
        <v/>
      </c>
      <c r="AW346" s="24">
        <f>ROUND(S346-AC346-AM346,2)</f>
        <v/>
      </c>
      <c r="AX346" s="24">
        <f>ROUND(T346-AD346-AN346,2)</f>
        <v/>
      </c>
      <c r="AY346" s="24">
        <f>ROUND(U346-AE346-AO346,2)</f>
        <v/>
      </c>
      <c r="AZ346" s="24">
        <f>ROUND(V346-AF346-AP346,2)</f>
        <v/>
      </c>
      <c r="BA346" s="24">
        <f>ROUND(W346-AG346-AQ346,2)</f>
        <v/>
      </c>
      <c r="BB346" s="24">
        <f>SUM(AR346:BA346)</f>
        <v/>
      </c>
    </row>
    <row r="347">
      <c r="A347" t="n">
        <v>343</v>
      </c>
      <c r="B347" s="23">
        <f>EOMONTH(TODAY(),342)</f>
        <v/>
      </c>
      <c r="C347" s="24">
        <f>MAX(0,(SUM('My Loans'!$E$6:$E$15)+'My Loans'!$D$3)-SUM($X347:$AG347))</f>
        <v/>
      </c>
      <c r="D347" s="24">
        <f>MAX(0,AR346)</f>
        <v/>
      </c>
      <c r="E347" s="24">
        <f>MAX(0,AS346)</f>
        <v/>
      </c>
      <c r="F347" s="24">
        <f>MAX(0,AT346)</f>
        <v/>
      </c>
      <c r="G347" s="24">
        <f>MAX(0,AU346)</f>
        <v/>
      </c>
      <c r="H347" s="24">
        <f>MAX(0,AV346)</f>
        <v/>
      </c>
      <c r="I347" s="24">
        <f>MAX(0,AW346)</f>
        <v/>
      </c>
      <c r="J347" s="24">
        <f>MAX(0,AX346)</f>
        <v/>
      </c>
      <c r="K347" s="24">
        <f>MAX(0,AY346)</f>
        <v/>
      </c>
      <c r="L347" s="24">
        <f>MAX(0,AZ346)</f>
        <v/>
      </c>
      <c r="M347" s="24">
        <f>MAX(0,BA346)</f>
        <v/>
      </c>
      <c r="N347" s="24">
        <f>IF(D347&lt;0.5,0,D347*(1+N('My Loans'!D6)/1200))</f>
        <v/>
      </c>
      <c r="O347" s="24">
        <f>IF(E347&lt;0.5,0,E347*(1+N('My Loans'!D7)/1200))</f>
        <v/>
      </c>
      <c r="P347" s="24">
        <f>IF(F347&lt;0.5,0,F347*(1+N('My Loans'!D8)/1200))</f>
        <v/>
      </c>
      <c r="Q347" s="24">
        <f>IF(G347&lt;0.5,0,G347*(1+N('My Loans'!D9)/1200))</f>
        <v/>
      </c>
      <c r="R347" s="24">
        <f>IF(H347&lt;0.5,0,H347*(1+N('My Loans'!D10)/1200))</f>
        <v/>
      </c>
      <c r="S347" s="24">
        <f>IF(I347&lt;0.5,0,I347*(1+N('My Loans'!D11)/1200))</f>
        <v/>
      </c>
      <c r="T347" s="24">
        <f>IF(J347&lt;0.5,0,J347*(1+N('My Loans'!D12)/1200))</f>
        <v/>
      </c>
      <c r="U347" s="24">
        <f>IF(K347&lt;0.5,0,K347*(1+N('My Loans'!D13)/1200))</f>
        <v/>
      </c>
      <c r="V347" s="24">
        <f>IF(L347&lt;0.5,0,L347*(1+N('My Loans'!D14)/1200))</f>
        <v/>
      </c>
      <c r="W347" s="24">
        <f>IF(M347&lt;0.5,0,M347*(1+N('My Loans'!D15)/1200))</f>
        <v/>
      </c>
      <c r="X347" s="24">
        <f>MIN(N347,N('My Loans'!E6))</f>
        <v/>
      </c>
      <c r="Y347" s="24">
        <f>MIN(O347,N('My Loans'!E7))</f>
        <v/>
      </c>
      <c r="Z347" s="24">
        <f>MIN(P347,N('My Loans'!E8))</f>
        <v/>
      </c>
      <c r="AA347" s="24">
        <f>MIN(Q347,N('My Loans'!E9))</f>
        <v/>
      </c>
      <c r="AB347" s="24">
        <f>MIN(R347,N('My Loans'!E10))</f>
        <v/>
      </c>
      <c r="AC347" s="24">
        <f>MIN(S347,N('My Loans'!E11))</f>
        <v/>
      </c>
      <c r="AD347" s="24">
        <f>MIN(T347,N('My Loans'!E12))</f>
        <v/>
      </c>
      <c r="AE347" s="24">
        <f>MIN(U347,N('My Loans'!E13))</f>
        <v/>
      </c>
      <c r="AF347" s="24">
        <f>MIN(V347,N('My Loans'!E14))</f>
        <v/>
      </c>
      <c r="AG347" s="24">
        <f>MIN(W347,N('My Loans'!E15))</f>
        <v/>
      </c>
      <c r="AH347" s="24">
        <f>MIN(N347-X347,MAX(0,$C347-SUMPRODUCT(($D$3:$M$3&lt;D$3)*($N347:$W347-$X347:$AG347))))</f>
        <v/>
      </c>
      <c r="AI347" s="24">
        <f>MIN(O347-Y347,MAX(0,$C347-SUMPRODUCT(($D$3:$M$3&lt;E$3)*($N347:$W347-$X347:$AG347))))</f>
        <v/>
      </c>
      <c r="AJ347" s="24">
        <f>MIN(P347-Z347,MAX(0,$C347-SUMPRODUCT(($D$3:$M$3&lt;F$3)*($N347:$W347-$X347:$AG347))))</f>
        <v/>
      </c>
      <c r="AK347" s="24">
        <f>MIN(Q347-AA347,MAX(0,$C347-SUMPRODUCT(($D$3:$M$3&lt;G$3)*($N347:$W347-$X347:$AG347))))</f>
        <v/>
      </c>
      <c r="AL347" s="24">
        <f>MIN(R347-AB347,MAX(0,$C347-SUMPRODUCT(($D$3:$M$3&lt;H$3)*($N347:$W347-$X347:$AG347))))</f>
        <v/>
      </c>
      <c r="AM347" s="24">
        <f>MIN(S347-AC347,MAX(0,$C347-SUMPRODUCT(($D$3:$M$3&lt;I$3)*($N347:$W347-$X347:$AG347))))</f>
        <v/>
      </c>
      <c r="AN347" s="24">
        <f>MIN(T347-AD347,MAX(0,$C347-SUMPRODUCT(($D$3:$M$3&lt;J$3)*($N347:$W347-$X347:$AG347))))</f>
        <v/>
      </c>
      <c r="AO347" s="24">
        <f>MIN(U347-AE347,MAX(0,$C347-SUMPRODUCT(($D$3:$M$3&lt;K$3)*($N347:$W347-$X347:$AG347))))</f>
        <v/>
      </c>
      <c r="AP347" s="24">
        <f>MIN(V347-AF347,MAX(0,$C347-SUMPRODUCT(($D$3:$M$3&lt;L$3)*($N347:$W347-$X347:$AG347))))</f>
        <v/>
      </c>
      <c r="AQ347" s="24">
        <f>MIN(W347-AG347,MAX(0,$C347-SUMPRODUCT(($D$3:$M$3&lt;M$3)*($N347:$W347-$X347:$AG347))))</f>
        <v/>
      </c>
      <c r="AR347" s="24">
        <f>ROUND(N347-X347-AH347,2)</f>
        <v/>
      </c>
      <c r="AS347" s="24">
        <f>ROUND(O347-Y347-AI347,2)</f>
        <v/>
      </c>
      <c r="AT347" s="24">
        <f>ROUND(P347-Z347-AJ347,2)</f>
        <v/>
      </c>
      <c r="AU347" s="24">
        <f>ROUND(Q347-AA347-AK347,2)</f>
        <v/>
      </c>
      <c r="AV347" s="24">
        <f>ROUND(R347-AB347-AL347,2)</f>
        <v/>
      </c>
      <c r="AW347" s="24">
        <f>ROUND(S347-AC347-AM347,2)</f>
        <v/>
      </c>
      <c r="AX347" s="24">
        <f>ROUND(T347-AD347-AN347,2)</f>
        <v/>
      </c>
      <c r="AY347" s="24">
        <f>ROUND(U347-AE347-AO347,2)</f>
        <v/>
      </c>
      <c r="AZ347" s="24">
        <f>ROUND(V347-AF347-AP347,2)</f>
        <v/>
      </c>
      <c r="BA347" s="24">
        <f>ROUND(W347-AG347-AQ347,2)</f>
        <v/>
      </c>
      <c r="BB347" s="24">
        <f>SUM(AR347:BA347)</f>
        <v/>
      </c>
    </row>
    <row r="348">
      <c r="A348" t="n">
        <v>344</v>
      </c>
      <c r="B348" s="23">
        <f>EOMONTH(TODAY(),343)</f>
        <v/>
      </c>
      <c r="C348" s="24">
        <f>MAX(0,(SUM('My Loans'!$E$6:$E$15)+'My Loans'!$D$3)-SUM($X348:$AG348))</f>
        <v/>
      </c>
      <c r="D348" s="24">
        <f>MAX(0,AR347)</f>
        <v/>
      </c>
      <c r="E348" s="24">
        <f>MAX(0,AS347)</f>
        <v/>
      </c>
      <c r="F348" s="24">
        <f>MAX(0,AT347)</f>
        <v/>
      </c>
      <c r="G348" s="24">
        <f>MAX(0,AU347)</f>
        <v/>
      </c>
      <c r="H348" s="24">
        <f>MAX(0,AV347)</f>
        <v/>
      </c>
      <c r="I348" s="24">
        <f>MAX(0,AW347)</f>
        <v/>
      </c>
      <c r="J348" s="24">
        <f>MAX(0,AX347)</f>
        <v/>
      </c>
      <c r="K348" s="24">
        <f>MAX(0,AY347)</f>
        <v/>
      </c>
      <c r="L348" s="24">
        <f>MAX(0,AZ347)</f>
        <v/>
      </c>
      <c r="M348" s="24">
        <f>MAX(0,BA347)</f>
        <v/>
      </c>
      <c r="N348" s="24">
        <f>IF(D348&lt;0.5,0,D348*(1+N('My Loans'!D6)/1200))</f>
        <v/>
      </c>
      <c r="O348" s="24">
        <f>IF(E348&lt;0.5,0,E348*(1+N('My Loans'!D7)/1200))</f>
        <v/>
      </c>
      <c r="P348" s="24">
        <f>IF(F348&lt;0.5,0,F348*(1+N('My Loans'!D8)/1200))</f>
        <v/>
      </c>
      <c r="Q348" s="24">
        <f>IF(G348&lt;0.5,0,G348*(1+N('My Loans'!D9)/1200))</f>
        <v/>
      </c>
      <c r="R348" s="24">
        <f>IF(H348&lt;0.5,0,H348*(1+N('My Loans'!D10)/1200))</f>
        <v/>
      </c>
      <c r="S348" s="24">
        <f>IF(I348&lt;0.5,0,I348*(1+N('My Loans'!D11)/1200))</f>
        <v/>
      </c>
      <c r="T348" s="24">
        <f>IF(J348&lt;0.5,0,J348*(1+N('My Loans'!D12)/1200))</f>
        <v/>
      </c>
      <c r="U348" s="24">
        <f>IF(K348&lt;0.5,0,K348*(1+N('My Loans'!D13)/1200))</f>
        <v/>
      </c>
      <c r="V348" s="24">
        <f>IF(L348&lt;0.5,0,L348*(1+N('My Loans'!D14)/1200))</f>
        <v/>
      </c>
      <c r="W348" s="24">
        <f>IF(M348&lt;0.5,0,M348*(1+N('My Loans'!D15)/1200))</f>
        <v/>
      </c>
      <c r="X348" s="24">
        <f>MIN(N348,N('My Loans'!E6))</f>
        <v/>
      </c>
      <c r="Y348" s="24">
        <f>MIN(O348,N('My Loans'!E7))</f>
        <v/>
      </c>
      <c r="Z348" s="24">
        <f>MIN(P348,N('My Loans'!E8))</f>
        <v/>
      </c>
      <c r="AA348" s="24">
        <f>MIN(Q348,N('My Loans'!E9))</f>
        <v/>
      </c>
      <c r="AB348" s="24">
        <f>MIN(R348,N('My Loans'!E10))</f>
        <v/>
      </c>
      <c r="AC348" s="24">
        <f>MIN(S348,N('My Loans'!E11))</f>
        <v/>
      </c>
      <c r="AD348" s="24">
        <f>MIN(T348,N('My Loans'!E12))</f>
        <v/>
      </c>
      <c r="AE348" s="24">
        <f>MIN(U348,N('My Loans'!E13))</f>
        <v/>
      </c>
      <c r="AF348" s="24">
        <f>MIN(V348,N('My Loans'!E14))</f>
        <v/>
      </c>
      <c r="AG348" s="24">
        <f>MIN(W348,N('My Loans'!E15))</f>
        <v/>
      </c>
      <c r="AH348" s="24">
        <f>MIN(N348-X348,MAX(0,$C348-SUMPRODUCT(($D$3:$M$3&lt;D$3)*($N348:$W348-$X348:$AG348))))</f>
        <v/>
      </c>
      <c r="AI348" s="24">
        <f>MIN(O348-Y348,MAX(0,$C348-SUMPRODUCT(($D$3:$M$3&lt;E$3)*($N348:$W348-$X348:$AG348))))</f>
        <v/>
      </c>
      <c r="AJ348" s="24">
        <f>MIN(P348-Z348,MAX(0,$C348-SUMPRODUCT(($D$3:$M$3&lt;F$3)*($N348:$W348-$X348:$AG348))))</f>
        <v/>
      </c>
      <c r="AK348" s="24">
        <f>MIN(Q348-AA348,MAX(0,$C348-SUMPRODUCT(($D$3:$M$3&lt;G$3)*($N348:$W348-$X348:$AG348))))</f>
        <v/>
      </c>
      <c r="AL348" s="24">
        <f>MIN(R348-AB348,MAX(0,$C348-SUMPRODUCT(($D$3:$M$3&lt;H$3)*($N348:$W348-$X348:$AG348))))</f>
        <v/>
      </c>
      <c r="AM348" s="24">
        <f>MIN(S348-AC348,MAX(0,$C348-SUMPRODUCT(($D$3:$M$3&lt;I$3)*($N348:$W348-$X348:$AG348))))</f>
        <v/>
      </c>
      <c r="AN348" s="24">
        <f>MIN(T348-AD348,MAX(0,$C348-SUMPRODUCT(($D$3:$M$3&lt;J$3)*($N348:$W348-$X348:$AG348))))</f>
        <v/>
      </c>
      <c r="AO348" s="24">
        <f>MIN(U348-AE348,MAX(0,$C348-SUMPRODUCT(($D$3:$M$3&lt;K$3)*($N348:$W348-$X348:$AG348))))</f>
        <v/>
      </c>
      <c r="AP348" s="24">
        <f>MIN(V348-AF348,MAX(0,$C348-SUMPRODUCT(($D$3:$M$3&lt;L$3)*($N348:$W348-$X348:$AG348))))</f>
        <v/>
      </c>
      <c r="AQ348" s="24">
        <f>MIN(W348-AG348,MAX(0,$C348-SUMPRODUCT(($D$3:$M$3&lt;M$3)*($N348:$W348-$X348:$AG348))))</f>
        <v/>
      </c>
      <c r="AR348" s="24">
        <f>ROUND(N348-X348-AH348,2)</f>
        <v/>
      </c>
      <c r="AS348" s="24">
        <f>ROUND(O348-Y348-AI348,2)</f>
        <v/>
      </c>
      <c r="AT348" s="24">
        <f>ROUND(P348-Z348-AJ348,2)</f>
        <v/>
      </c>
      <c r="AU348" s="24">
        <f>ROUND(Q348-AA348-AK348,2)</f>
        <v/>
      </c>
      <c r="AV348" s="24">
        <f>ROUND(R348-AB348-AL348,2)</f>
        <v/>
      </c>
      <c r="AW348" s="24">
        <f>ROUND(S348-AC348-AM348,2)</f>
        <v/>
      </c>
      <c r="AX348" s="24">
        <f>ROUND(T348-AD348-AN348,2)</f>
        <v/>
      </c>
      <c r="AY348" s="24">
        <f>ROUND(U348-AE348-AO348,2)</f>
        <v/>
      </c>
      <c r="AZ348" s="24">
        <f>ROUND(V348-AF348-AP348,2)</f>
        <v/>
      </c>
      <c r="BA348" s="24">
        <f>ROUND(W348-AG348-AQ348,2)</f>
        <v/>
      </c>
      <c r="BB348" s="24">
        <f>SUM(AR348:BA348)</f>
        <v/>
      </c>
    </row>
    <row r="349">
      <c r="A349" t="n">
        <v>345</v>
      </c>
      <c r="B349" s="23">
        <f>EOMONTH(TODAY(),344)</f>
        <v/>
      </c>
      <c r="C349" s="24">
        <f>MAX(0,(SUM('My Loans'!$E$6:$E$15)+'My Loans'!$D$3)-SUM($X349:$AG349))</f>
        <v/>
      </c>
      <c r="D349" s="24">
        <f>MAX(0,AR348)</f>
        <v/>
      </c>
      <c r="E349" s="24">
        <f>MAX(0,AS348)</f>
        <v/>
      </c>
      <c r="F349" s="24">
        <f>MAX(0,AT348)</f>
        <v/>
      </c>
      <c r="G349" s="24">
        <f>MAX(0,AU348)</f>
        <v/>
      </c>
      <c r="H349" s="24">
        <f>MAX(0,AV348)</f>
        <v/>
      </c>
      <c r="I349" s="24">
        <f>MAX(0,AW348)</f>
        <v/>
      </c>
      <c r="J349" s="24">
        <f>MAX(0,AX348)</f>
        <v/>
      </c>
      <c r="K349" s="24">
        <f>MAX(0,AY348)</f>
        <v/>
      </c>
      <c r="L349" s="24">
        <f>MAX(0,AZ348)</f>
        <v/>
      </c>
      <c r="M349" s="24">
        <f>MAX(0,BA348)</f>
        <v/>
      </c>
      <c r="N349" s="24">
        <f>IF(D349&lt;0.5,0,D349*(1+N('My Loans'!D6)/1200))</f>
        <v/>
      </c>
      <c r="O349" s="24">
        <f>IF(E349&lt;0.5,0,E349*(1+N('My Loans'!D7)/1200))</f>
        <v/>
      </c>
      <c r="P349" s="24">
        <f>IF(F349&lt;0.5,0,F349*(1+N('My Loans'!D8)/1200))</f>
        <v/>
      </c>
      <c r="Q349" s="24">
        <f>IF(G349&lt;0.5,0,G349*(1+N('My Loans'!D9)/1200))</f>
        <v/>
      </c>
      <c r="R349" s="24">
        <f>IF(H349&lt;0.5,0,H349*(1+N('My Loans'!D10)/1200))</f>
        <v/>
      </c>
      <c r="S349" s="24">
        <f>IF(I349&lt;0.5,0,I349*(1+N('My Loans'!D11)/1200))</f>
        <v/>
      </c>
      <c r="T349" s="24">
        <f>IF(J349&lt;0.5,0,J349*(1+N('My Loans'!D12)/1200))</f>
        <v/>
      </c>
      <c r="U349" s="24">
        <f>IF(K349&lt;0.5,0,K349*(1+N('My Loans'!D13)/1200))</f>
        <v/>
      </c>
      <c r="V349" s="24">
        <f>IF(L349&lt;0.5,0,L349*(1+N('My Loans'!D14)/1200))</f>
        <v/>
      </c>
      <c r="W349" s="24">
        <f>IF(M349&lt;0.5,0,M349*(1+N('My Loans'!D15)/1200))</f>
        <v/>
      </c>
      <c r="X349" s="24">
        <f>MIN(N349,N('My Loans'!E6))</f>
        <v/>
      </c>
      <c r="Y349" s="24">
        <f>MIN(O349,N('My Loans'!E7))</f>
        <v/>
      </c>
      <c r="Z349" s="24">
        <f>MIN(P349,N('My Loans'!E8))</f>
        <v/>
      </c>
      <c r="AA349" s="24">
        <f>MIN(Q349,N('My Loans'!E9))</f>
        <v/>
      </c>
      <c r="AB349" s="24">
        <f>MIN(R349,N('My Loans'!E10))</f>
        <v/>
      </c>
      <c r="AC349" s="24">
        <f>MIN(S349,N('My Loans'!E11))</f>
        <v/>
      </c>
      <c r="AD349" s="24">
        <f>MIN(T349,N('My Loans'!E12))</f>
        <v/>
      </c>
      <c r="AE349" s="24">
        <f>MIN(U349,N('My Loans'!E13))</f>
        <v/>
      </c>
      <c r="AF349" s="24">
        <f>MIN(V349,N('My Loans'!E14))</f>
        <v/>
      </c>
      <c r="AG349" s="24">
        <f>MIN(W349,N('My Loans'!E15))</f>
        <v/>
      </c>
      <c r="AH349" s="24">
        <f>MIN(N349-X349,MAX(0,$C349-SUMPRODUCT(($D$3:$M$3&lt;D$3)*($N349:$W349-$X349:$AG349))))</f>
        <v/>
      </c>
      <c r="AI349" s="24">
        <f>MIN(O349-Y349,MAX(0,$C349-SUMPRODUCT(($D$3:$M$3&lt;E$3)*($N349:$W349-$X349:$AG349))))</f>
        <v/>
      </c>
      <c r="AJ349" s="24">
        <f>MIN(P349-Z349,MAX(0,$C349-SUMPRODUCT(($D$3:$M$3&lt;F$3)*($N349:$W349-$X349:$AG349))))</f>
        <v/>
      </c>
      <c r="AK349" s="24">
        <f>MIN(Q349-AA349,MAX(0,$C349-SUMPRODUCT(($D$3:$M$3&lt;G$3)*($N349:$W349-$X349:$AG349))))</f>
        <v/>
      </c>
      <c r="AL349" s="24">
        <f>MIN(R349-AB349,MAX(0,$C349-SUMPRODUCT(($D$3:$M$3&lt;H$3)*($N349:$W349-$X349:$AG349))))</f>
        <v/>
      </c>
      <c r="AM349" s="24">
        <f>MIN(S349-AC349,MAX(0,$C349-SUMPRODUCT(($D$3:$M$3&lt;I$3)*($N349:$W349-$X349:$AG349))))</f>
        <v/>
      </c>
      <c r="AN349" s="24">
        <f>MIN(T349-AD349,MAX(0,$C349-SUMPRODUCT(($D$3:$M$3&lt;J$3)*($N349:$W349-$X349:$AG349))))</f>
        <v/>
      </c>
      <c r="AO349" s="24">
        <f>MIN(U349-AE349,MAX(0,$C349-SUMPRODUCT(($D$3:$M$3&lt;K$3)*($N349:$W349-$X349:$AG349))))</f>
        <v/>
      </c>
      <c r="AP349" s="24">
        <f>MIN(V349-AF349,MAX(0,$C349-SUMPRODUCT(($D$3:$M$3&lt;L$3)*($N349:$W349-$X349:$AG349))))</f>
        <v/>
      </c>
      <c r="AQ349" s="24">
        <f>MIN(W349-AG349,MAX(0,$C349-SUMPRODUCT(($D$3:$M$3&lt;M$3)*($N349:$W349-$X349:$AG349))))</f>
        <v/>
      </c>
      <c r="AR349" s="24">
        <f>ROUND(N349-X349-AH349,2)</f>
        <v/>
      </c>
      <c r="AS349" s="24">
        <f>ROUND(O349-Y349-AI349,2)</f>
        <v/>
      </c>
      <c r="AT349" s="24">
        <f>ROUND(P349-Z349-AJ349,2)</f>
        <v/>
      </c>
      <c r="AU349" s="24">
        <f>ROUND(Q349-AA349-AK349,2)</f>
        <v/>
      </c>
      <c r="AV349" s="24">
        <f>ROUND(R349-AB349-AL349,2)</f>
        <v/>
      </c>
      <c r="AW349" s="24">
        <f>ROUND(S349-AC349-AM349,2)</f>
        <v/>
      </c>
      <c r="AX349" s="24">
        <f>ROUND(T349-AD349-AN349,2)</f>
        <v/>
      </c>
      <c r="AY349" s="24">
        <f>ROUND(U349-AE349-AO349,2)</f>
        <v/>
      </c>
      <c r="AZ349" s="24">
        <f>ROUND(V349-AF349-AP349,2)</f>
        <v/>
      </c>
      <c r="BA349" s="24">
        <f>ROUND(W349-AG349-AQ349,2)</f>
        <v/>
      </c>
      <c r="BB349" s="24">
        <f>SUM(AR349:BA349)</f>
        <v/>
      </c>
    </row>
    <row r="350">
      <c r="A350" t="n">
        <v>346</v>
      </c>
      <c r="B350" s="23">
        <f>EOMONTH(TODAY(),345)</f>
        <v/>
      </c>
      <c r="C350" s="24">
        <f>MAX(0,(SUM('My Loans'!$E$6:$E$15)+'My Loans'!$D$3)-SUM($X350:$AG350))</f>
        <v/>
      </c>
      <c r="D350" s="24">
        <f>MAX(0,AR349)</f>
        <v/>
      </c>
      <c r="E350" s="24">
        <f>MAX(0,AS349)</f>
        <v/>
      </c>
      <c r="F350" s="24">
        <f>MAX(0,AT349)</f>
        <v/>
      </c>
      <c r="G350" s="24">
        <f>MAX(0,AU349)</f>
        <v/>
      </c>
      <c r="H350" s="24">
        <f>MAX(0,AV349)</f>
        <v/>
      </c>
      <c r="I350" s="24">
        <f>MAX(0,AW349)</f>
        <v/>
      </c>
      <c r="J350" s="24">
        <f>MAX(0,AX349)</f>
        <v/>
      </c>
      <c r="K350" s="24">
        <f>MAX(0,AY349)</f>
        <v/>
      </c>
      <c r="L350" s="24">
        <f>MAX(0,AZ349)</f>
        <v/>
      </c>
      <c r="M350" s="24">
        <f>MAX(0,BA349)</f>
        <v/>
      </c>
      <c r="N350" s="24">
        <f>IF(D350&lt;0.5,0,D350*(1+N('My Loans'!D6)/1200))</f>
        <v/>
      </c>
      <c r="O350" s="24">
        <f>IF(E350&lt;0.5,0,E350*(1+N('My Loans'!D7)/1200))</f>
        <v/>
      </c>
      <c r="P350" s="24">
        <f>IF(F350&lt;0.5,0,F350*(1+N('My Loans'!D8)/1200))</f>
        <v/>
      </c>
      <c r="Q350" s="24">
        <f>IF(G350&lt;0.5,0,G350*(1+N('My Loans'!D9)/1200))</f>
        <v/>
      </c>
      <c r="R350" s="24">
        <f>IF(H350&lt;0.5,0,H350*(1+N('My Loans'!D10)/1200))</f>
        <v/>
      </c>
      <c r="S350" s="24">
        <f>IF(I350&lt;0.5,0,I350*(1+N('My Loans'!D11)/1200))</f>
        <v/>
      </c>
      <c r="T350" s="24">
        <f>IF(J350&lt;0.5,0,J350*(1+N('My Loans'!D12)/1200))</f>
        <v/>
      </c>
      <c r="U350" s="24">
        <f>IF(K350&lt;0.5,0,K350*(1+N('My Loans'!D13)/1200))</f>
        <v/>
      </c>
      <c r="V350" s="24">
        <f>IF(L350&lt;0.5,0,L350*(1+N('My Loans'!D14)/1200))</f>
        <v/>
      </c>
      <c r="W350" s="24">
        <f>IF(M350&lt;0.5,0,M350*(1+N('My Loans'!D15)/1200))</f>
        <v/>
      </c>
      <c r="X350" s="24">
        <f>MIN(N350,N('My Loans'!E6))</f>
        <v/>
      </c>
      <c r="Y350" s="24">
        <f>MIN(O350,N('My Loans'!E7))</f>
        <v/>
      </c>
      <c r="Z350" s="24">
        <f>MIN(P350,N('My Loans'!E8))</f>
        <v/>
      </c>
      <c r="AA350" s="24">
        <f>MIN(Q350,N('My Loans'!E9))</f>
        <v/>
      </c>
      <c r="AB350" s="24">
        <f>MIN(R350,N('My Loans'!E10))</f>
        <v/>
      </c>
      <c r="AC350" s="24">
        <f>MIN(S350,N('My Loans'!E11))</f>
        <v/>
      </c>
      <c r="AD350" s="24">
        <f>MIN(T350,N('My Loans'!E12))</f>
        <v/>
      </c>
      <c r="AE350" s="24">
        <f>MIN(U350,N('My Loans'!E13))</f>
        <v/>
      </c>
      <c r="AF350" s="24">
        <f>MIN(V350,N('My Loans'!E14))</f>
        <v/>
      </c>
      <c r="AG350" s="24">
        <f>MIN(W350,N('My Loans'!E15))</f>
        <v/>
      </c>
      <c r="AH350" s="24">
        <f>MIN(N350-X350,MAX(0,$C350-SUMPRODUCT(($D$3:$M$3&lt;D$3)*($N350:$W350-$X350:$AG350))))</f>
        <v/>
      </c>
      <c r="AI350" s="24">
        <f>MIN(O350-Y350,MAX(0,$C350-SUMPRODUCT(($D$3:$M$3&lt;E$3)*($N350:$W350-$X350:$AG350))))</f>
        <v/>
      </c>
      <c r="AJ350" s="24">
        <f>MIN(P350-Z350,MAX(0,$C350-SUMPRODUCT(($D$3:$M$3&lt;F$3)*($N350:$W350-$X350:$AG350))))</f>
        <v/>
      </c>
      <c r="AK350" s="24">
        <f>MIN(Q350-AA350,MAX(0,$C350-SUMPRODUCT(($D$3:$M$3&lt;G$3)*($N350:$W350-$X350:$AG350))))</f>
        <v/>
      </c>
      <c r="AL350" s="24">
        <f>MIN(R350-AB350,MAX(0,$C350-SUMPRODUCT(($D$3:$M$3&lt;H$3)*($N350:$W350-$X350:$AG350))))</f>
        <v/>
      </c>
      <c r="AM350" s="24">
        <f>MIN(S350-AC350,MAX(0,$C350-SUMPRODUCT(($D$3:$M$3&lt;I$3)*($N350:$W350-$X350:$AG350))))</f>
        <v/>
      </c>
      <c r="AN350" s="24">
        <f>MIN(T350-AD350,MAX(0,$C350-SUMPRODUCT(($D$3:$M$3&lt;J$3)*($N350:$W350-$X350:$AG350))))</f>
        <v/>
      </c>
      <c r="AO350" s="24">
        <f>MIN(U350-AE350,MAX(0,$C350-SUMPRODUCT(($D$3:$M$3&lt;K$3)*($N350:$W350-$X350:$AG350))))</f>
        <v/>
      </c>
      <c r="AP350" s="24">
        <f>MIN(V350-AF350,MAX(0,$C350-SUMPRODUCT(($D$3:$M$3&lt;L$3)*($N350:$W350-$X350:$AG350))))</f>
        <v/>
      </c>
      <c r="AQ350" s="24">
        <f>MIN(W350-AG350,MAX(0,$C350-SUMPRODUCT(($D$3:$M$3&lt;M$3)*($N350:$W350-$X350:$AG350))))</f>
        <v/>
      </c>
      <c r="AR350" s="24">
        <f>ROUND(N350-X350-AH350,2)</f>
        <v/>
      </c>
      <c r="AS350" s="24">
        <f>ROUND(O350-Y350-AI350,2)</f>
        <v/>
      </c>
      <c r="AT350" s="24">
        <f>ROUND(P350-Z350-AJ350,2)</f>
        <v/>
      </c>
      <c r="AU350" s="24">
        <f>ROUND(Q350-AA350-AK350,2)</f>
        <v/>
      </c>
      <c r="AV350" s="24">
        <f>ROUND(R350-AB350-AL350,2)</f>
        <v/>
      </c>
      <c r="AW350" s="24">
        <f>ROUND(S350-AC350-AM350,2)</f>
        <v/>
      </c>
      <c r="AX350" s="24">
        <f>ROUND(T350-AD350-AN350,2)</f>
        <v/>
      </c>
      <c r="AY350" s="24">
        <f>ROUND(U350-AE350-AO350,2)</f>
        <v/>
      </c>
      <c r="AZ350" s="24">
        <f>ROUND(V350-AF350-AP350,2)</f>
        <v/>
      </c>
      <c r="BA350" s="24">
        <f>ROUND(W350-AG350-AQ350,2)</f>
        <v/>
      </c>
      <c r="BB350" s="24">
        <f>SUM(AR350:BA350)</f>
        <v/>
      </c>
    </row>
    <row r="351">
      <c r="A351" t="n">
        <v>347</v>
      </c>
      <c r="B351" s="23">
        <f>EOMONTH(TODAY(),346)</f>
        <v/>
      </c>
      <c r="C351" s="24">
        <f>MAX(0,(SUM('My Loans'!$E$6:$E$15)+'My Loans'!$D$3)-SUM($X351:$AG351))</f>
        <v/>
      </c>
      <c r="D351" s="24">
        <f>MAX(0,AR350)</f>
        <v/>
      </c>
      <c r="E351" s="24">
        <f>MAX(0,AS350)</f>
        <v/>
      </c>
      <c r="F351" s="24">
        <f>MAX(0,AT350)</f>
        <v/>
      </c>
      <c r="G351" s="24">
        <f>MAX(0,AU350)</f>
        <v/>
      </c>
      <c r="H351" s="24">
        <f>MAX(0,AV350)</f>
        <v/>
      </c>
      <c r="I351" s="24">
        <f>MAX(0,AW350)</f>
        <v/>
      </c>
      <c r="J351" s="24">
        <f>MAX(0,AX350)</f>
        <v/>
      </c>
      <c r="K351" s="24">
        <f>MAX(0,AY350)</f>
        <v/>
      </c>
      <c r="L351" s="24">
        <f>MAX(0,AZ350)</f>
        <v/>
      </c>
      <c r="M351" s="24">
        <f>MAX(0,BA350)</f>
        <v/>
      </c>
      <c r="N351" s="24">
        <f>IF(D351&lt;0.5,0,D351*(1+N('My Loans'!D6)/1200))</f>
        <v/>
      </c>
      <c r="O351" s="24">
        <f>IF(E351&lt;0.5,0,E351*(1+N('My Loans'!D7)/1200))</f>
        <v/>
      </c>
      <c r="P351" s="24">
        <f>IF(F351&lt;0.5,0,F351*(1+N('My Loans'!D8)/1200))</f>
        <v/>
      </c>
      <c r="Q351" s="24">
        <f>IF(G351&lt;0.5,0,G351*(1+N('My Loans'!D9)/1200))</f>
        <v/>
      </c>
      <c r="R351" s="24">
        <f>IF(H351&lt;0.5,0,H351*(1+N('My Loans'!D10)/1200))</f>
        <v/>
      </c>
      <c r="S351" s="24">
        <f>IF(I351&lt;0.5,0,I351*(1+N('My Loans'!D11)/1200))</f>
        <v/>
      </c>
      <c r="T351" s="24">
        <f>IF(J351&lt;0.5,0,J351*(1+N('My Loans'!D12)/1200))</f>
        <v/>
      </c>
      <c r="U351" s="24">
        <f>IF(K351&lt;0.5,0,K351*(1+N('My Loans'!D13)/1200))</f>
        <v/>
      </c>
      <c r="V351" s="24">
        <f>IF(L351&lt;0.5,0,L351*(1+N('My Loans'!D14)/1200))</f>
        <v/>
      </c>
      <c r="W351" s="24">
        <f>IF(M351&lt;0.5,0,M351*(1+N('My Loans'!D15)/1200))</f>
        <v/>
      </c>
      <c r="X351" s="24">
        <f>MIN(N351,N('My Loans'!E6))</f>
        <v/>
      </c>
      <c r="Y351" s="24">
        <f>MIN(O351,N('My Loans'!E7))</f>
        <v/>
      </c>
      <c r="Z351" s="24">
        <f>MIN(P351,N('My Loans'!E8))</f>
        <v/>
      </c>
      <c r="AA351" s="24">
        <f>MIN(Q351,N('My Loans'!E9))</f>
        <v/>
      </c>
      <c r="AB351" s="24">
        <f>MIN(R351,N('My Loans'!E10))</f>
        <v/>
      </c>
      <c r="AC351" s="24">
        <f>MIN(S351,N('My Loans'!E11))</f>
        <v/>
      </c>
      <c r="AD351" s="24">
        <f>MIN(T351,N('My Loans'!E12))</f>
        <v/>
      </c>
      <c r="AE351" s="24">
        <f>MIN(U351,N('My Loans'!E13))</f>
        <v/>
      </c>
      <c r="AF351" s="24">
        <f>MIN(V351,N('My Loans'!E14))</f>
        <v/>
      </c>
      <c r="AG351" s="24">
        <f>MIN(W351,N('My Loans'!E15))</f>
        <v/>
      </c>
      <c r="AH351" s="24">
        <f>MIN(N351-X351,MAX(0,$C351-SUMPRODUCT(($D$3:$M$3&lt;D$3)*($N351:$W351-$X351:$AG351))))</f>
        <v/>
      </c>
      <c r="AI351" s="24">
        <f>MIN(O351-Y351,MAX(0,$C351-SUMPRODUCT(($D$3:$M$3&lt;E$3)*($N351:$W351-$X351:$AG351))))</f>
        <v/>
      </c>
      <c r="AJ351" s="24">
        <f>MIN(P351-Z351,MAX(0,$C351-SUMPRODUCT(($D$3:$M$3&lt;F$3)*($N351:$W351-$X351:$AG351))))</f>
        <v/>
      </c>
      <c r="AK351" s="24">
        <f>MIN(Q351-AA351,MAX(0,$C351-SUMPRODUCT(($D$3:$M$3&lt;G$3)*($N351:$W351-$X351:$AG351))))</f>
        <v/>
      </c>
      <c r="AL351" s="24">
        <f>MIN(R351-AB351,MAX(0,$C351-SUMPRODUCT(($D$3:$M$3&lt;H$3)*($N351:$W351-$X351:$AG351))))</f>
        <v/>
      </c>
      <c r="AM351" s="24">
        <f>MIN(S351-AC351,MAX(0,$C351-SUMPRODUCT(($D$3:$M$3&lt;I$3)*($N351:$W351-$X351:$AG351))))</f>
        <v/>
      </c>
      <c r="AN351" s="24">
        <f>MIN(T351-AD351,MAX(0,$C351-SUMPRODUCT(($D$3:$M$3&lt;J$3)*($N351:$W351-$X351:$AG351))))</f>
        <v/>
      </c>
      <c r="AO351" s="24">
        <f>MIN(U351-AE351,MAX(0,$C351-SUMPRODUCT(($D$3:$M$3&lt;K$3)*($N351:$W351-$X351:$AG351))))</f>
        <v/>
      </c>
      <c r="AP351" s="24">
        <f>MIN(V351-AF351,MAX(0,$C351-SUMPRODUCT(($D$3:$M$3&lt;L$3)*($N351:$W351-$X351:$AG351))))</f>
        <v/>
      </c>
      <c r="AQ351" s="24">
        <f>MIN(W351-AG351,MAX(0,$C351-SUMPRODUCT(($D$3:$M$3&lt;M$3)*($N351:$W351-$X351:$AG351))))</f>
        <v/>
      </c>
      <c r="AR351" s="24">
        <f>ROUND(N351-X351-AH351,2)</f>
        <v/>
      </c>
      <c r="AS351" s="24">
        <f>ROUND(O351-Y351-AI351,2)</f>
        <v/>
      </c>
      <c r="AT351" s="24">
        <f>ROUND(P351-Z351-AJ351,2)</f>
        <v/>
      </c>
      <c r="AU351" s="24">
        <f>ROUND(Q351-AA351-AK351,2)</f>
        <v/>
      </c>
      <c r="AV351" s="24">
        <f>ROUND(R351-AB351-AL351,2)</f>
        <v/>
      </c>
      <c r="AW351" s="24">
        <f>ROUND(S351-AC351-AM351,2)</f>
        <v/>
      </c>
      <c r="AX351" s="24">
        <f>ROUND(T351-AD351-AN351,2)</f>
        <v/>
      </c>
      <c r="AY351" s="24">
        <f>ROUND(U351-AE351-AO351,2)</f>
        <v/>
      </c>
      <c r="AZ351" s="24">
        <f>ROUND(V351-AF351-AP351,2)</f>
        <v/>
      </c>
      <c r="BA351" s="24">
        <f>ROUND(W351-AG351-AQ351,2)</f>
        <v/>
      </c>
      <c r="BB351" s="24">
        <f>SUM(AR351:BA351)</f>
        <v/>
      </c>
    </row>
    <row r="352">
      <c r="A352" t="n">
        <v>348</v>
      </c>
      <c r="B352" s="23">
        <f>EOMONTH(TODAY(),347)</f>
        <v/>
      </c>
      <c r="C352" s="24">
        <f>MAX(0,(SUM('My Loans'!$E$6:$E$15)+'My Loans'!$D$3)-SUM($X352:$AG352))</f>
        <v/>
      </c>
      <c r="D352" s="24">
        <f>MAX(0,AR351)</f>
        <v/>
      </c>
      <c r="E352" s="24">
        <f>MAX(0,AS351)</f>
        <v/>
      </c>
      <c r="F352" s="24">
        <f>MAX(0,AT351)</f>
        <v/>
      </c>
      <c r="G352" s="24">
        <f>MAX(0,AU351)</f>
        <v/>
      </c>
      <c r="H352" s="24">
        <f>MAX(0,AV351)</f>
        <v/>
      </c>
      <c r="I352" s="24">
        <f>MAX(0,AW351)</f>
        <v/>
      </c>
      <c r="J352" s="24">
        <f>MAX(0,AX351)</f>
        <v/>
      </c>
      <c r="K352" s="24">
        <f>MAX(0,AY351)</f>
        <v/>
      </c>
      <c r="L352" s="24">
        <f>MAX(0,AZ351)</f>
        <v/>
      </c>
      <c r="M352" s="24">
        <f>MAX(0,BA351)</f>
        <v/>
      </c>
      <c r="N352" s="24">
        <f>IF(D352&lt;0.5,0,D352*(1+N('My Loans'!D6)/1200))</f>
        <v/>
      </c>
      <c r="O352" s="24">
        <f>IF(E352&lt;0.5,0,E352*(1+N('My Loans'!D7)/1200))</f>
        <v/>
      </c>
      <c r="P352" s="24">
        <f>IF(F352&lt;0.5,0,F352*(1+N('My Loans'!D8)/1200))</f>
        <v/>
      </c>
      <c r="Q352" s="24">
        <f>IF(G352&lt;0.5,0,G352*(1+N('My Loans'!D9)/1200))</f>
        <v/>
      </c>
      <c r="R352" s="24">
        <f>IF(H352&lt;0.5,0,H352*(1+N('My Loans'!D10)/1200))</f>
        <v/>
      </c>
      <c r="S352" s="24">
        <f>IF(I352&lt;0.5,0,I352*(1+N('My Loans'!D11)/1200))</f>
        <v/>
      </c>
      <c r="T352" s="24">
        <f>IF(J352&lt;0.5,0,J352*(1+N('My Loans'!D12)/1200))</f>
        <v/>
      </c>
      <c r="U352" s="24">
        <f>IF(K352&lt;0.5,0,K352*(1+N('My Loans'!D13)/1200))</f>
        <v/>
      </c>
      <c r="V352" s="24">
        <f>IF(L352&lt;0.5,0,L352*(1+N('My Loans'!D14)/1200))</f>
        <v/>
      </c>
      <c r="W352" s="24">
        <f>IF(M352&lt;0.5,0,M352*(1+N('My Loans'!D15)/1200))</f>
        <v/>
      </c>
      <c r="X352" s="24">
        <f>MIN(N352,N('My Loans'!E6))</f>
        <v/>
      </c>
      <c r="Y352" s="24">
        <f>MIN(O352,N('My Loans'!E7))</f>
        <v/>
      </c>
      <c r="Z352" s="24">
        <f>MIN(P352,N('My Loans'!E8))</f>
        <v/>
      </c>
      <c r="AA352" s="24">
        <f>MIN(Q352,N('My Loans'!E9))</f>
        <v/>
      </c>
      <c r="AB352" s="24">
        <f>MIN(R352,N('My Loans'!E10))</f>
        <v/>
      </c>
      <c r="AC352" s="24">
        <f>MIN(S352,N('My Loans'!E11))</f>
        <v/>
      </c>
      <c r="AD352" s="24">
        <f>MIN(T352,N('My Loans'!E12))</f>
        <v/>
      </c>
      <c r="AE352" s="24">
        <f>MIN(U352,N('My Loans'!E13))</f>
        <v/>
      </c>
      <c r="AF352" s="24">
        <f>MIN(V352,N('My Loans'!E14))</f>
        <v/>
      </c>
      <c r="AG352" s="24">
        <f>MIN(W352,N('My Loans'!E15))</f>
        <v/>
      </c>
      <c r="AH352" s="24">
        <f>MIN(N352-X352,MAX(0,$C352-SUMPRODUCT(($D$3:$M$3&lt;D$3)*($N352:$W352-$X352:$AG352))))</f>
        <v/>
      </c>
      <c r="AI352" s="24">
        <f>MIN(O352-Y352,MAX(0,$C352-SUMPRODUCT(($D$3:$M$3&lt;E$3)*($N352:$W352-$X352:$AG352))))</f>
        <v/>
      </c>
      <c r="AJ352" s="24">
        <f>MIN(P352-Z352,MAX(0,$C352-SUMPRODUCT(($D$3:$M$3&lt;F$3)*($N352:$W352-$X352:$AG352))))</f>
        <v/>
      </c>
      <c r="AK352" s="24">
        <f>MIN(Q352-AA352,MAX(0,$C352-SUMPRODUCT(($D$3:$M$3&lt;G$3)*($N352:$W352-$X352:$AG352))))</f>
        <v/>
      </c>
      <c r="AL352" s="24">
        <f>MIN(R352-AB352,MAX(0,$C352-SUMPRODUCT(($D$3:$M$3&lt;H$3)*($N352:$W352-$X352:$AG352))))</f>
        <v/>
      </c>
      <c r="AM352" s="24">
        <f>MIN(S352-AC352,MAX(0,$C352-SUMPRODUCT(($D$3:$M$3&lt;I$3)*($N352:$W352-$X352:$AG352))))</f>
        <v/>
      </c>
      <c r="AN352" s="24">
        <f>MIN(T352-AD352,MAX(0,$C352-SUMPRODUCT(($D$3:$M$3&lt;J$3)*($N352:$W352-$X352:$AG352))))</f>
        <v/>
      </c>
      <c r="AO352" s="24">
        <f>MIN(U352-AE352,MAX(0,$C352-SUMPRODUCT(($D$3:$M$3&lt;K$3)*($N352:$W352-$X352:$AG352))))</f>
        <v/>
      </c>
      <c r="AP352" s="24">
        <f>MIN(V352-AF352,MAX(0,$C352-SUMPRODUCT(($D$3:$M$3&lt;L$3)*($N352:$W352-$X352:$AG352))))</f>
        <v/>
      </c>
      <c r="AQ352" s="24">
        <f>MIN(W352-AG352,MAX(0,$C352-SUMPRODUCT(($D$3:$M$3&lt;M$3)*($N352:$W352-$X352:$AG352))))</f>
        <v/>
      </c>
      <c r="AR352" s="24">
        <f>ROUND(N352-X352-AH352,2)</f>
        <v/>
      </c>
      <c r="AS352" s="24">
        <f>ROUND(O352-Y352-AI352,2)</f>
        <v/>
      </c>
      <c r="AT352" s="24">
        <f>ROUND(P352-Z352-AJ352,2)</f>
        <v/>
      </c>
      <c r="AU352" s="24">
        <f>ROUND(Q352-AA352-AK352,2)</f>
        <v/>
      </c>
      <c r="AV352" s="24">
        <f>ROUND(R352-AB352-AL352,2)</f>
        <v/>
      </c>
      <c r="AW352" s="24">
        <f>ROUND(S352-AC352-AM352,2)</f>
        <v/>
      </c>
      <c r="AX352" s="24">
        <f>ROUND(T352-AD352-AN352,2)</f>
        <v/>
      </c>
      <c r="AY352" s="24">
        <f>ROUND(U352-AE352-AO352,2)</f>
        <v/>
      </c>
      <c r="AZ352" s="24">
        <f>ROUND(V352-AF352-AP352,2)</f>
        <v/>
      </c>
      <c r="BA352" s="24">
        <f>ROUND(W352-AG352-AQ352,2)</f>
        <v/>
      </c>
      <c r="BB352" s="24">
        <f>SUM(AR352:BA352)</f>
        <v/>
      </c>
    </row>
    <row r="353">
      <c r="A353" t="n">
        <v>349</v>
      </c>
      <c r="B353" s="23">
        <f>EOMONTH(TODAY(),348)</f>
        <v/>
      </c>
      <c r="C353" s="24">
        <f>MAX(0,(SUM('My Loans'!$E$6:$E$15)+'My Loans'!$D$3)-SUM($X353:$AG353))</f>
        <v/>
      </c>
      <c r="D353" s="24">
        <f>MAX(0,AR352)</f>
        <v/>
      </c>
      <c r="E353" s="24">
        <f>MAX(0,AS352)</f>
        <v/>
      </c>
      <c r="F353" s="24">
        <f>MAX(0,AT352)</f>
        <v/>
      </c>
      <c r="G353" s="24">
        <f>MAX(0,AU352)</f>
        <v/>
      </c>
      <c r="H353" s="24">
        <f>MAX(0,AV352)</f>
        <v/>
      </c>
      <c r="I353" s="24">
        <f>MAX(0,AW352)</f>
        <v/>
      </c>
      <c r="J353" s="24">
        <f>MAX(0,AX352)</f>
        <v/>
      </c>
      <c r="K353" s="24">
        <f>MAX(0,AY352)</f>
        <v/>
      </c>
      <c r="L353" s="24">
        <f>MAX(0,AZ352)</f>
        <v/>
      </c>
      <c r="M353" s="24">
        <f>MAX(0,BA352)</f>
        <v/>
      </c>
      <c r="N353" s="24">
        <f>IF(D353&lt;0.5,0,D353*(1+N('My Loans'!D6)/1200))</f>
        <v/>
      </c>
      <c r="O353" s="24">
        <f>IF(E353&lt;0.5,0,E353*(1+N('My Loans'!D7)/1200))</f>
        <v/>
      </c>
      <c r="P353" s="24">
        <f>IF(F353&lt;0.5,0,F353*(1+N('My Loans'!D8)/1200))</f>
        <v/>
      </c>
      <c r="Q353" s="24">
        <f>IF(G353&lt;0.5,0,G353*(1+N('My Loans'!D9)/1200))</f>
        <v/>
      </c>
      <c r="R353" s="24">
        <f>IF(H353&lt;0.5,0,H353*(1+N('My Loans'!D10)/1200))</f>
        <v/>
      </c>
      <c r="S353" s="24">
        <f>IF(I353&lt;0.5,0,I353*(1+N('My Loans'!D11)/1200))</f>
        <v/>
      </c>
      <c r="T353" s="24">
        <f>IF(J353&lt;0.5,0,J353*(1+N('My Loans'!D12)/1200))</f>
        <v/>
      </c>
      <c r="U353" s="24">
        <f>IF(K353&lt;0.5,0,K353*(1+N('My Loans'!D13)/1200))</f>
        <v/>
      </c>
      <c r="V353" s="24">
        <f>IF(L353&lt;0.5,0,L353*(1+N('My Loans'!D14)/1200))</f>
        <v/>
      </c>
      <c r="W353" s="24">
        <f>IF(M353&lt;0.5,0,M353*(1+N('My Loans'!D15)/1200))</f>
        <v/>
      </c>
      <c r="X353" s="24">
        <f>MIN(N353,N('My Loans'!E6))</f>
        <v/>
      </c>
      <c r="Y353" s="24">
        <f>MIN(O353,N('My Loans'!E7))</f>
        <v/>
      </c>
      <c r="Z353" s="24">
        <f>MIN(P353,N('My Loans'!E8))</f>
        <v/>
      </c>
      <c r="AA353" s="24">
        <f>MIN(Q353,N('My Loans'!E9))</f>
        <v/>
      </c>
      <c r="AB353" s="24">
        <f>MIN(R353,N('My Loans'!E10))</f>
        <v/>
      </c>
      <c r="AC353" s="24">
        <f>MIN(S353,N('My Loans'!E11))</f>
        <v/>
      </c>
      <c r="AD353" s="24">
        <f>MIN(T353,N('My Loans'!E12))</f>
        <v/>
      </c>
      <c r="AE353" s="24">
        <f>MIN(U353,N('My Loans'!E13))</f>
        <v/>
      </c>
      <c r="AF353" s="24">
        <f>MIN(V353,N('My Loans'!E14))</f>
        <v/>
      </c>
      <c r="AG353" s="24">
        <f>MIN(W353,N('My Loans'!E15))</f>
        <v/>
      </c>
      <c r="AH353" s="24">
        <f>MIN(N353-X353,MAX(0,$C353-SUMPRODUCT(($D$3:$M$3&lt;D$3)*($N353:$W353-$X353:$AG353))))</f>
        <v/>
      </c>
      <c r="AI353" s="24">
        <f>MIN(O353-Y353,MAX(0,$C353-SUMPRODUCT(($D$3:$M$3&lt;E$3)*($N353:$W353-$X353:$AG353))))</f>
        <v/>
      </c>
      <c r="AJ353" s="24">
        <f>MIN(P353-Z353,MAX(0,$C353-SUMPRODUCT(($D$3:$M$3&lt;F$3)*($N353:$W353-$X353:$AG353))))</f>
        <v/>
      </c>
      <c r="AK353" s="24">
        <f>MIN(Q353-AA353,MAX(0,$C353-SUMPRODUCT(($D$3:$M$3&lt;G$3)*($N353:$W353-$X353:$AG353))))</f>
        <v/>
      </c>
      <c r="AL353" s="24">
        <f>MIN(R353-AB353,MAX(0,$C353-SUMPRODUCT(($D$3:$M$3&lt;H$3)*($N353:$W353-$X353:$AG353))))</f>
        <v/>
      </c>
      <c r="AM353" s="24">
        <f>MIN(S353-AC353,MAX(0,$C353-SUMPRODUCT(($D$3:$M$3&lt;I$3)*($N353:$W353-$X353:$AG353))))</f>
        <v/>
      </c>
      <c r="AN353" s="24">
        <f>MIN(T353-AD353,MAX(0,$C353-SUMPRODUCT(($D$3:$M$3&lt;J$3)*($N353:$W353-$X353:$AG353))))</f>
        <v/>
      </c>
      <c r="AO353" s="24">
        <f>MIN(U353-AE353,MAX(0,$C353-SUMPRODUCT(($D$3:$M$3&lt;K$3)*($N353:$W353-$X353:$AG353))))</f>
        <v/>
      </c>
      <c r="AP353" s="24">
        <f>MIN(V353-AF353,MAX(0,$C353-SUMPRODUCT(($D$3:$M$3&lt;L$3)*($N353:$W353-$X353:$AG353))))</f>
        <v/>
      </c>
      <c r="AQ353" s="24">
        <f>MIN(W353-AG353,MAX(0,$C353-SUMPRODUCT(($D$3:$M$3&lt;M$3)*($N353:$W353-$X353:$AG353))))</f>
        <v/>
      </c>
      <c r="AR353" s="24">
        <f>ROUND(N353-X353-AH353,2)</f>
        <v/>
      </c>
      <c r="AS353" s="24">
        <f>ROUND(O353-Y353-AI353,2)</f>
        <v/>
      </c>
      <c r="AT353" s="24">
        <f>ROUND(P353-Z353-AJ353,2)</f>
        <v/>
      </c>
      <c r="AU353" s="24">
        <f>ROUND(Q353-AA353-AK353,2)</f>
        <v/>
      </c>
      <c r="AV353" s="24">
        <f>ROUND(R353-AB353-AL353,2)</f>
        <v/>
      </c>
      <c r="AW353" s="24">
        <f>ROUND(S353-AC353-AM353,2)</f>
        <v/>
      </c>
      <c r="AX353" s="24">
        <f>ROUND(T353-AD353-AN353,2)</f>
        <v/>
      </c>
      <c r="AY353" s="24">
        <f>ROUND(U353-AE353-AO353,2)</f>
        <v/>
      </c>
      <c r="AZ353" s="24">
        <f>ROUND(V353-AF353-AP353,2)</f>
        <v/>
      </c>
      <c r="BA353" s="24">
        <f>ROUND(W353-AG353-AQ353,2)</f>
        <v/>
      </c>
      <c r="BB353" s="24">
        <f>SUM(AR353:BA353)</f>
        <v/>
      </c>
    </row>
    <row r="354">
      <c r="A354" t="n">
        <v>350</v>
      </c>
      <c r="B354" s="23">
        <f>EOMONTH(TODAY(),349)</f>
        <v/>
      </c>
      <c r="C354" s="24">
        <f>MAX(0,(SUM('My Loans'!$E$6:$E$15)+'My Loans'!$D$3)-SUM($X354:$AG354))</f>
        <v/>
      </c>
      <c r="D354" s="24">
        <f>MAX(0,AR353)</f>
        <v/>
      </c>
      <c r="E354" s="24">
        <f>MAX(0,AS353)</f>
        <v/>
      </c>
      <c r="F354" s="24">
        <f>MAX(0,AT353)</f>
        <v/>
      </c>
      <c r="G354" s="24">
        <f>MAX(0,AU353)</f>
        <v/>
      </c>
      <c r="H354" s="24">
        <f>MAX(0,AV353)</f>
        <v/>
      </c>
      <c r="I354" s="24">
        <f>MAX(0,AW353)</f>
        <v/>
      </c>
      <c r="J354" s="24">
        <f>MAX(0,AX353)</f>
        <v/>
      </c>
      <c r="K354" s="24">
        <f>MAX(0,AY353)</f>
        <v/>
      </c>
      <c r="L354" s="24">
        <f>MAX(0,AZ353)</f>
        <v/>
      </c>
      <c r="M354" s="24">
        <f>MAX(0,BA353)</f>
        <v/>
      </c>
      <c r="N354" s="24">
        <f>IF(D354&lt;0.5,0,D354*(1+N('My Loans'!D6)/1200))</f>
        <v/>
      </c>
      <c r="O354" s="24">
        <f>IF(E354&lt;0.5,0,E354*(1+N('My Loans'!D7)/1200))</f>
        <v/>
      </c>
      <c r="P354" s="24">
        <f>IF(F354&lt;0.5,0,F354*(1+N('My Loans'!D8)/1200))</f>
        <v/>
      </c>
      <c r="Q354" s="24">
        <f>IF(G354&lt;0.5,0,G354*(1+N('My Loans'!D9)/1200))</f>
        <v/>
      </c>
      <c r="R354" s="24">
        <f>IF(H354&lt;0.5,0,H354*(1+N('My Loans'!D10)/1200))</f>
        <v/>
      </c>
      <c r="S354" s="24">
        <f>IF(I354&lt;0.5,0,I354*(1+N('My Loans'!D11)/1200))</f>
        <v/>
      </c>
      <c r="T354" s="24">
        <f>IF(J354&lt;0.5,0,J354*(1+N('My Loans'!D12)/1200))</f>
        <v/>
      </c>
      <c r="U354" s="24">
        <f>IF(K354&lt;0.5,0,K354*(1+N('My Loans'!D13)/1200))</f>
        <v/>
      </c>
      <c r="V354" s="24">
        <f>IF(L354&lt;0.5,0,L354*(1+N('My Loans'!D14)/1200))</f>
        <v/>
      </c>
      <c r="W354" s="24">
        <f>IF(M354&lt;0.5,0,M354*(1+N('My Loans'!D15)/1200))</f>
        <v/>
      </c>
      <c r="X354" s="24">
        <f>MIN(N354,N('My Loans'!E6))</f>
        <v/>
      </c>
      <c r="Y354" s="24">
        <f>MIN(O354,N('My Loans'!E7))</f>
        <v/>
      </c>
      <c r="Z354" s="24">
        <f>MIN(P354,N('My Loans'!E8))</f>
        <v/>
      </c>
      <c r="AA354" s="24">
        <f>MIN(Q354,N('My Loans'!E9))</f>
        <v/>
      </c>
      <c r="AB354" s="24">
        <f>MIN(R354,N('My Loans'!E10))</f>
        <v/>
      </c>
      <c r="AC354" s="24">
        <f>MIN(S354,N('My Loans'!E11))</f>
        <v/>
      </c>
      <c r="AD354" s="24">
        <f>MIN(T354,N('My Loans'!E12))</f>
        <v/>
      </c>
      <c r="AE354" s="24">
        <f>MIN(U354,N('My Loans'!E13))</f>
        <v/>
      </c>
      <c r="AF354" s="24">
        <f>MIN(V354,N('My Loans'!E14))</f>
        <v/>
      </c>
      <c r="AG354" s="24">
        <f>MIN(W354,N('My Loans'!E15))</f>
        <v/>
      </c>
      <c r="AH354" s="24">
        <f>MIN(N354-X354,MAX(0,$C354-SUMPRODUCT(($D$3:$M$3&lt;D$3)*($N354:$W354-$X354:$AG354))))</f>
        <v/>
      </c>
      <c r="AI354" s="24">
        <f>MIN(O354-Y354,MAX(0,$C354-SUMPRODUCT(($D$3:$M$3&lt;E$3)*($N354:$W354-$X354:$AG354))))</f>
        <v/>
      </c>
      <c r="AJ354" s="24">
        <f>MIN(P354-Z354,MAX(0,$C354-SUMPRODUCT(($D$3:$M$3&lt;F$3)*($N354:$W354-$X354:$AG354))))</f>
        <v/>
      </c>
      <c r="AK354" s="24">
        <f>MIN(Q354-AA354,MAX(0,$C354-SUMPRODUCT(($D$3:$M$3&lt;G$3)*($N354:$W354-$X354:$AG354))))</f>
        <v/>
      </c>
      <c r="AL354" s="24">
        <f>MIN(R354-AB354,MAX(0,$C354-SUMPRODUCT(($D$3:$M$3&lt;H$3)*($N354:$W354-$X354:$AG354))))</f>
        <v/>
      </c>
      <c r="AM354" s="24">
        <f>MIN(S354-AC354,MAX(0,$C354-SUMPRODUCT(($D$3:$M$3&lt;I$3)*($N354:$W354-$X354:$AG354))))</f>
        <v/>
      </c>
      <c r="AN354" s="24">
        <f>MIN(T354-AD354,MAX(0,$C354-SUMPRODUCT(($D$3:$M$3&lt;J$3)*($N354:$W354-$X354:$AG354))))</f>
        <v/>
      </c>
      <c r="AO354" s="24">
        <f>MIN(U354-AE354,MAX(0,$C354-SUMPRODUCT(($D$3:$M$3&lt;K$3)*($N354:$W354-$X354:$AG354))))</f>
        <v/>
      </c>
      <c r="AP354" s="24">
        <f>MIN(V354-AF354,MAX(0,$C354-SUMPRODUCT(($D$3:$M$3&lt;L$3)*($N354:$W354-$X354:$AG354))))</f>
        <v/>
      </c>
      <c r="AQ354" s="24">
        <f>MIN(W354-AG354,MAX(0,$C354-SUMPRODUCT(($D$3:$M$3&lt;M$3)*($N354:$W354-$X354:$AG354))))</f>
        <v/>
      </c>
      <c r="AR354" s="24">
        <f>ROUND(N354-X354-AH354,2)</f>
        <v/>
      </c>
      <c r="AS354" s="24">
        <f>ROUND(O354-Y354-AI354,2)</f>
        <v/>
      </c>
      <c r="AT354" s="24">
        <f>ROUND(P354-Z354-AJ354,2)</f>
        <v/>
      </c>
      <c r="AU354" s="24">
        <f>ROUND(Q354-AA354-AK354,2)</f>
        <v/>
      </c>
      <c r="AV354" s="24">
        <f>ROUND(R354-AB354-AL354,2)</f>
        <v/>
      </c>
      <c r="AW354" s="24">
        <f>ROUND(S354-AC354-AM354,2)</f>
        <v/>
      </c>
      <c r="AX354" s="24">
        <f>ROUND(T354-AD354-AN354,2)</f>
        <v/>
      </c>
      <c r="AY354" s="24">
        <f>ROUND(U354-AE354-AO354,2)</f>
        <v/>
      </c>
      <c r="AZ354" s="24">
        <f>ROUND(V354-AF354-AP354,2)</f>
        <v/>
      </c>
      <c r="BA354" s="24">
        <f>ROUND(W354-AG354-AQ354,2)</f>
        <v/>
      </c>
      <c r="BB354" s="24">
        <f>SUM(AR354:BA354)</f>
        <v/>
      </c>
    </row>
    <row r="355">
      <c r="A355" t="n">
        <v>351</v>
      </c>
      <c r="B355" s="23">
        <f>EOMONTH(TODAY(),350)</f>
        <v/>
      </c>
      <c r="C355" s="24">
        <f>MAX(0,(SUM('My Loans'!$E$6:$E$15)+'My Loans'!$D$3)-SUM($X355:$AG355))</f>
        <v/>
      </c>
      <c r="D355" s="24">
        <f>MAX(0,AR354)</f>
        <v/>
      </c>
      <c r="E355" s="24">
        <f>MAX(0,AS354)</f>
        <v/>
      </c>
      <c r="F355" s="24">
        <f>MAX(0,AT354)</f>
        <v/>
      </c>
      <c r="G355" s="24">
        <f>MAX(0,AU354)</f>
        <v/>
      </c>
      <c r="H355" s="24">
        <f>MAX(0,AV354)</f>
        <v/>
      </c>
      <c r="I355" s="24">
        <f>MAX(0,AW354)</f>
        <v/>
      </c>
      <c r="J355" s="24">
        <f>MAX(0,AX354)</f>
        <v/>
      </c>
      <c r="K355" s="24">
        <f>MAX(0,AY354)</f>
        <v/>
      </c>
      <c r="L355" s="24">
        <f>MAX(0,AZ354)</f>
        <v/>
      </c>
      <c r="M355" s="24">
        <f>MAX(0,BA354)</f>
        <v/>
      </c>
      <c r="N355" s="24">
        <f>IF(D355&lt;0.5,0,D355*(1+N('My Loans'!D6)/1200))</f>
        <v/>
      </c>
      <c r="O355" s="24">
        <f>IF(E355&lt;0.5,0,E355*(1+N('My Loans'!D7)/1200))</f>
        <v/>
      </c>
      <c r="P355" s="24">
        <f>IF(F355&lt;0.5,0,F355*(1+N('My Loans'!D8)/1200))</f>
        <v/>
      </c>
      <c r="Q355" s="24">
        <f>IF(G355&lt;0.5,0,G355*(1+N('My Loans'!D9)/1200))</f>
        <v/>
      </c>
      <c r="R355" s="24">
        <f>IF(H355&lt;0.5,0,H355*(1+N('My Loans'!D10)/1200))</f>
        <v/>
      </c>
      <c r="S355" s="24">
        <f>IF(I355&lt;0.5,0,I355*(1+N('My Loans'!D11)/1200))</f>
        <v/>
      </c>
      <c r="T355" s="24">
        <f>IF(J355&lt;0.5,0,J355*(1+N('My Loans'!D12)/1200))</f>
        <v/>
      </c>
      <c r="U355" s="24">
        <f>IF(K355&lt;0.5,0,K355*(1+N('My Loans'!D13)/1200))</f>
        <v/>
      </c>
      <c r="V355" s="24">
        <f>IF(L355&lt;0.5,0,L355*(1+N('My Loans'!D14)/1200))</f>
        <v/>
      </c>
      <c r="W355" s="24">
        <f>IF(M355&lt;0.5,0,M355*(1+N('My Loans'!D15)/1200))</f>
        <v/>
      </c>
      <c r="X355" s="24">
        <f>MIN(N355,N('My Loans'!E6))</f>
        <v/>
      </c>
      <c r="Y355" s="24">
        <f>MIN(O355,N('My Loans'!E7))</f>
        <v/>
      </c>
      <c r="Z355" s="24">
        <f>MIN(P355,N('My Loans'!E8))</f>
        <v/>
      </c>
      <c r="AA355" s="24">
        <f>MIN(Q355,N('My Loans'!E9))</f>
        <v/>
      </c>
      <c r="AB355" s="24">
        <f>MIN(R355,N('My Loans'!E10))</f>
        <v/>
      </c>
      <c r="AC355" s="24">
        <f>MIN(S355,N('My Loans'!E11))</f>
        <v/>
      </c>
      <c r="AD355" s="24">
        <f>MIN(T355,N('My Loans'!E12))</f>
        <v/>
      </c>
      <c r="AE355" s="24">
        <f>MIN(U355,N('My Loans'!E13))</f>
        <v/>
      </c>
      <c r="AF355" s="24">
        <f>MIN(V355,N('My Loans'!E14))</f>
        <v/>
      </c>
      <c r="AG355" s="24">
        <f>MIN(W355,N('My Loans'!E15))</f>
        <v/>
      </c>
      <c r="AH355" s="24">
        <f>MIN(N355-X355,MAX(0,$C355-SUMPRODUCT(($D$3:$M$3&lt;D$3)*($N355:$W355-$X355:$AG355))))</f>
        <v/>
      </c>
      <c r="AI355" s="24">
        <f>MIN(O355-Y355,MAX(0,$C355-SUMPRODUCT(($D$3:$M$3&lt;E$3)*($N355:$W355-$X355:$AG355))))</f>
        <v/>
      </c>
      <c r="AJ355" s="24">
        <f>MIN(P355-Z355,MAX(0,$C355-SUMPRODUCT(($D$3:$M$3&lt;F$3)*($N355:$W355-$X355:$AG355))))</f>
        <v/>
      </c>
      <c r="AK355" s="24">
        <f>MIN(Q355-AA355,MAX(0,$C355-SUMPRODUCT(($D$3:$M$3&lt;G$3)*($N355:$W355-$X355:$AG355))))</f>
        <v/>
      </c>
      <c r="AL355" s="24">
        <f>MIN(R355-AB355,MAX(0,$C355-SUMPRODUCT(($D$3:$M$3&lt;H$3)*($N355:$W355-$X355:$AG355))))</f>
        <v/>
      </c>
      <c r="AM355" s="24">
        <f>MIN(S355-AC355,MAX(0,$C355-SUMPRODUCT(($D$3:$M$3&lt;I$3)*($N355:$W355-$X355:$AG355))))</f>
        <v/>
      </c>
      <c r="AN355" s="24">
        <f>MIN(T355-AD355,MAX(0,$C355-SUMPRODUCT(($D$3:$M$3&lt;J$3)*($N355:$W355-$X355:$AG355))))</f>
        <v/>
      </c>
      <c r="AO355" s="24">
        <f>MIN(U355-AE355,MAX(0,$C355-SUMPRODUCT(($D$3:$M$3&lt;K$3)*($N355:$W355-$X355:$AG355))))</f>
        <v/>
      </c>
      <c r="AP355" s="24">
        <f>MIN(V355-AF355,MAX(0,$C355-SUMPRODUCT(($D$3:$M$3&lt;L$3)*($N355:$W355-$X355:$AG355))))</f>
        <v/>
      </c>
      <c r="AQ355" s="24">
        <f>MIN(W355-AG355,MAX(0,$C355-SUMPRODUCT(($D$3:$M$3&lt;M$3)*($N355:$W355-$X355:$AG355))))</f>
        <v/>
      </c>
      <c r="AR355" s="24">
        <f>ROUND(N355-X355-AH355,2)</f>
        <v/>
      </c>
      <c r="AS355" s="24">
        <f>ROUND(O355-Y355-AI355,2)</f>
        <v/>
      </c>
      <c r="AT355" s="24">
        <f>ROUND(P355-Z355-AJ355,2)</f>
        <v/>
      </c>
      <c r="AU355" s="24">
        <f>ROUND(Q355-AA355-AK355,2)</f>
        <v/>
      </c>
      <c r="AV355" s="24">
        <f>ROUND(R355-AB355-AL355,2)</f>
        <v/>
      </c>
      <c r="AW355" s="24">
        <f>ROUND(S355-AC355-AM355,2)</f>
        <v/>
      </c>
      <c r="AX355" s="24">
        <f>ROUND(T355-AD355-AN355,2)</f>
        <v/>
      </c>
      <c r="AY355" s="24">
        <f>ROUND(U355-AE355-AO355,2)</f>
        <v/>
      </c>
      <c r="AZ355" s="24">
        <f>ROUND(V355-AF355-AP355,2)</f>
        <v/>
      </c>
      <c r="BA355" s="24">
        <f>ROUND(W355-AG355-AQ355,2)</f>
        <v/>
      </c>
      <c r="BB355" s="24">
        <f>SUM(AR355:BA355)</f>
        <v/>
      </c>
    </row>
    <row r="356">
      <c r="A356" t="n">
        <v>352</v>
      </c>
      <c r="B356" s="23">
        <f>EOMONTH(TODAY(),351)</f>
        <v/>
      </c>
      <c r="C356" s="24">
        <f>MAX(0,(SUM('My Loans'!$E$6:$E$15)+'My Loans'!$D$3)-SUM($X356:$AG356))</f>
        <v/>
      </c>
      <c r="D356" s="24">
        <f>MAX(0,AR355)</f>
        <v/>
      </c>
      <c r="E356" s="24">
        <f>MAX(0,AS355)</f>
        <v/>
      </c>
      <c r="F356" s="24">
        <f>MAX(0,AT355)</f>
        <v/>
      </c>
      <c r="G356" s="24">
        <f>MAX(0,AU355)</f>
        <v/>
      </c>
      <c r="H356" s="24">
        <f>MAX(0,AV355)</f>
        <v/>
      </c>
      <c r="I356" s="24">
        <f>MAX(0,AW355)</f>
        <v/>
      </c>
      <c r="J356" s="24">
        <f>MAX(0,AX355)</f>
        <v/>
      </c>
      <c r="K356" s="24">
        <f>MAX(0,AY355)</f>
        <v/>
      </c>
      <c r="L356" s="24">
        <f>MAX(0,AZ355)</f>
        <v/>
      </c>
      <c r="M356" s="24">
        <f>MAX(0,BA355)</f>
        <v/>
      </c>
      <c r="N356" s="24">
        <f>IF(D356&lt;0.5,0,D356*(1+N('My Loans'!D6)/1200))</f>
        <v/>
      </c>
      <c r="O356" s="24">
        <f>IF(E356&lt;0.5,0,E356*(1+N('My Loans'!D7)/1200))</f>
        <v/>
      </c>
      <c r="P356" s="24">
        <f>IF(F356&lt;0.5,0,F356*(1+N('My Loans'!D8)/1200))</f>
        <v/>
      </c>
      <c r="Q356" s="24">
        <f>IF(G356&lt;0.5,0,G356*(1+N('My Loans'!D9)/1200))</f>
        <v/>
      </c>
      <c r="R356" s="24">
        <f>IF(H356&lt;0.5,0,H356*(1+N('My Loans'!D10)/1200))</f>
        <v/>
      </c>
      <c r="S356" s="24">
        <f>IF(I356&lt;0.5,0,I356*(1+N('My Loans'!D11)/1200))</f>
        <v/>
      </c>
      <c r="T356" s="24">
        <f>IF(J356&lt;0.5,0,J356*(1+N('My Loans'!D12)/1200))</f>
        <v/>
      </c>
      <c r="U356" s="24">
        <f>IF(K356&lt;0.5,0,K356*(1+N('My Loans'!D13)/1200))</f>
        <v/>
      </c>
      <c r="V356" s="24">
        <f>IF(L356&lt;0.5,0,L356*(1+N('My Loans'!D14)/1200))</f>
        <v/>
      </c>
      <c r="W356" s="24">
        <f>IF(M356&lt;0.5,0,M356*(1+N('My Loans'!D15)/1200))</f>
        <v/>
      </c>
      <c r="X356" s="24">
        <f>MIN(N356,N('My Loans'!E6))</f>
        <v/>
      </c>
      <c r="Y356" s="24">
        <f>MIN(O356,N('My Loans'!E7))</f>
        <v/>
      </c>
      <c r="Z356" s="24">
        <f>MIN(P356,N('My Loans'!E8))</f>
        <v/>
      </c>
      <c r="AA356" s="24">
        <f>MIN(Q356,N('My Loans'!E9))</f>
        <v/>
      </c>
      <c r="AB356" s="24">
        <f>MIN(R356,N('My Loans'!E10))</f>
        <v/>
      </c>
      <c r="AC356" s="24">
        <f>MIN(S356,N('My Loans'!E11))</f>
        <v/>
      </c>
      <c r="AD356" s="24">
        <f>MIN(T356,N('My Loans'!E12))</f>
        <v/>
      </c>
      <c r="AE356" s="24">
        <f>MIN(U356,N('My Loans'!E13))</f>
        <v/>
      </c>
      <c r="AF356" s="24">
        <f>MIN(V356,N('My Loans'!E14))</f>
        <v/>
      </c>
      <c r="AG356" s="24">
        <f>MIN(W356,N('My Loans'!E15))</f>
        <v/>
      </c>
      <c r="AH356" s="24">
        <f>MIN(N356-X356,MAX(0,$C356-SUMPRODUCT(($D$3:$M$3&lt;D$3)*($N356:$W356-$X356:$AG356))))</f>
        <v/>
      </c>
      <c r="AI356" s="24">
        <f>MIN(O356-Y356,MAX(0,$C356-SUMPRODUCT(($D$3:$M$3&lt;E$3)*($N356:$W356-$X356:$AG356))))</f>
        <v/>
      </c>
      <c r="AJ356" s="24">
        <f>MIN(P356-Z356,MAX(0,$C356-SUMPRODUCT(($D$3:$M$3&lt;F$3)*($N356:$W356-$X356:$AG356))))</f>
        <v/>
      </c>
      <c r="AK356" s="24">
        <f>MIN(Q356-AA356,MAX(0,$C356-SUMPRODUCT(($D$3:$M$3&lt;G$3)*($N356:$W356-$X356:$AG356))))</f>
        <v/>
      </c>
      <c r="AL356" s="24">
        <f>MIN(R356-AB356,MAX(0,$C356-SUMPRODUCT(($D$3:$M$3&lt;H$3)*($N356:$W356-$X356:$AG356))))</f>
        <v/>
      </c>
      <c r="AM356" s="24">
        <f>MIN(S356-AC356,MAX(0,$C356-SUMPRODUCT(($D$3:$M$3&lt;I$3)*($N356:$W356-$X356:$AG356))))</f>
        <v/>
      </c>
      <c r="AN356" s="24">
        <f>MIN(T356-AD356,MAX(0,$C356-SUMPRODUCT(($D$3:$M$3&lt;J$3)*($N356:$W356-$X356:$AG356))))</f>
        <v/>
      </c>
      <c r="AO356" s="24">
        <f>MIN(U356-AE356,MAX(0,$C356-SUMPRODUCT(($D$3:$M$3&lt;K$3)*($N356:$W356-$X356:$AG356))))</f>
        <v/>
      </c>
      <c r="AP356" s="24">
        <f>MIN(V356-AF356,MAX(0,$C356-SUMPRODUCT(($D$3:$M$3&lt;L$3)*($N356:$W356-$X356:$AG356))))</f>
        <v/>
      </c>
      <c r="AQ356" s="24">
        <f>MIN(W356-AG356,MAX(0,$C356-SUMPRODUCT(($D$3:$M$3&lt;M$3)*($N356:$W356-$X356:$AG356))))</f>
        <v/>
      </c>
      <c r="AR356" s="24">
        <f>ROUND(N356-X356-AH356,2)</f>
        <v/>
      </c>
      <c r="AS356" s="24">
        <f>ROUND(O356-Y356-AI356,2)</f>
        <v/>
      </c>
      <c r="AT356" s="24">
        <f>ROUND(P356-Z356-AJ356,2)</f>
        <v/>
      </c>
      <c r="AU356" s="24">
        <f>ROUND(Q356-AA356-AK356,2)</f>
        <v/>
      </c>
      <c r="AV356" s="24">
        <f>ROUND(R356-AB356-AL356,2)</f>
        <v/>
      </c>
      <c r="AW356" s="24">
        <f>ROUND(S356-AC356-AM356,2)</f>
        <v/>
      </c>
      <c r="AX356" s="24">
        <f>ROUND(T356-AD356-AN356,2)</f>
        <v/>
      </c>
      <c r="AY356" s="24">
        <f>ROUND(U356-AE356-AO356,2)</f>
        <v/>
      </c>
      <c r="AZ356" s="24">
        <f>ROUND(V356-AF356-AP356,2)</f>
        <v/>
      </c>
      <c r="BA356" s="24">
        <f>ROUND(W356-AG356-AQ356,2)</f>
        <v/>
      </c>
      <c r="BB356" s="24">
        <f>SUM(AR356:BA356)</f>
        <v/>
      </c>
    </row>
    <row r="357">
      <c r="A357" t="n">
        <v>353</v>
      </c>
      <c r="B357" s="23">
        <f>EOMONTH(TODAY(),352)</f>
        <v/>
      </c>
      <c r="C357" s="24">
        <f>MAX(0,(SUM('My Loans'!$E$6:$E$15)+'My Loans'!$D$3)-SUM($X357:$AG357))</f>
        <v/>
      </c>
      <c r="D357" s="24">
        <f>MAX(0,AR356)</f>
        <v/>
      </c>
      <c r="E357" s="24">
        <f>MAX(0,AS356)</f>
        <v/>
      </c>
      <c r="F357" s="24">
        <f>MAX(0,AT356)</f>
        <v/>
      </c>
      <c r="G357" s="24">
        <f>MAX(0,AU356)</f>
        <v/>
      </c>
      <c r="H357" s="24">
        <f>MAX(0,AV356)</f>
        <v/>
      </c>
      <c r="I357" s="24">
        <f>MAX(0,AW356)</f>
        <v/>
      </c>
      <c r="J357" s="24">
        <f>MAX(0,AX356)</f>
        <v/>
      </c>
      <c r="K357" s="24">
        <f>MAX(0,AY356)</f>
        <v/>
      </c>
      <c r="L357" s="24">
        <f>MAX(0,AZ356)</f>
        <v/>
      </c>
      <c r="M357" s="24">
        <f>MAX(0,BA356)</f>
        <v/>
      </c>
      <c r="N357" s="24">
        <f>IF(D357&lt;0.5,0,D357*(1+N('My Loans'!D6)/1200))</f>
        <v/>
      </c>
      <c r="O357" s="24">
        <f>IF(E357&lt;0.5,0,E357*(1+N('My Loans'!D7)/1200))</f>
        <v/>
      </c>
      <c r="P357" s="24">
        <f>IF(F357&lt;0.5,0,F357*(1+N('My Loans'!D8)/1200))</f>
        <v/>
      </c>
      <c r="Q357" s="24">
        <f>IF(G357&lt;0.5,0,G357*(1+N('My Loans'!D9)/1200))</f>
        <v/>
      </c>
      <c r="R357" s="24">
        <f>IF(H357&lt;0.5,0,H357*(1+N('My Loans'!D10)/1200))</f>
        <v/>
      </c>
      <c r="S357" s="24">
        <f>IF(I357&lt;0.5,0,I357*(1+N('My Loans'!D11)/1200))</f>
        <v/>
      </c>
      <c r="T357" s="24">
        <f>IF(J357&lt;0.5,0,J357*(1+N('My Loans'!D12)/1200))</f>
        <v/>
      </c>
      <c r="U357" s="24">
        <f>IF(K357&lt;0.5,0,K357*(1+N('My Loans'!D13)/1200))</f>
        <v/>
      </c>
      <c r="V357" s="24">
        <f>IF(L357&lt;0.5,0,L357*(1+N('My Loans'!D14)/1200))</f>
        <v/>
      </c>
      <c r="W357" s="24">
        <f>IF(M357&lt;0.5,0,M357*(1+N('My Loans'!D15)/1200))</f>
        <v/>
      </c>
      <c r="X357" s="24">
        <f>MIN(N357,N('My Loans'!E6))</f>
        <v/>
      </c>
      <c r="Y357" s="24">
        <f>MIN(O357,N('My Loans'!E7))</f>
        <v/>
      </c>
      <c r="Z357" s="24">
        <f>MIN(P357,N('My Loans'!E8))</f>
        <v/>
      </c>
      <c r="AA357" s="24">
        <f>MIN(Q357,N('My Loans'!E9))</f>
        <v/>
      </c>
      <c r="AB357" s="24">
        <f>MIN(R357,N('My Loans'!E10))</f>
        <v/>
      </c>
      <c r="AC357" s="24">
        <f>MIN(S357,N('My Loans'!E11))</f>
        <v/>
      </c>
      <c r="AD357" s="24">
        <f>MIN(T357,N('My Loans'!E12))</f>
        <v/>
      </c>
      <c r="AE357" s="24">
        <f>MIN(U357,N('My Loans'!E13))</f>
        <v/>
      </c>
      <c r="AF357" s="24">
        <f>MIN(V357,N('My Loans'!E14))</f>
        <v/>
      </c>
      <c r="AG357" s="24">
        <f>MIN(W357,N('My Loans'!E15))</f>
        <v/>
      </c>
      <c r="AH357" s="24">
        <f>MIN(N357-X357,MAX(0,$C357-SUMPRODUCT(($D$3:$M$3&lt;D$3)*($N357:$W357-$X357:$AG357))))</f>
        <v/>
      </c>
      <c r="AI357" s="24">
        <f>MIN(O357-Y357,MAX(0,$C357-SUMPRODUCT(($D$3:$M$3&lt;E$3)*($N357:$W357-$X357:$AG357))))</f>
        <v/>
      </c>
      <c r="AJ357" s="24">
        <f>MIN(P357-Z357,MAX(0,$C357-SUMPRODUCT(($D$3:$M$3&lt;F$3)*($N357:$W357-$X357:$AG357))))</f>
        <v/>
      </c>
      <c r="AK357" s="24">
        <f>MIN(Q357-AA357,MAX(0,$C357-SUMPRODUCT(($D$3:$M$3&lt;G$3)*($N357:$W357-$X357:$AG357))))</f>
        <v/>
      </c>
      <c r="AL357" s="24">
        <f>MIN(R357-AB357,MAX(0,$C357-SUMPRODUCT(($D$3:$M$3&lt;H$3)*($N357:$W357-$X357:$AG357))))</f>
        <v/>
      </c>
      <c r="AM357" s="24">
        <f>MIN(S357-AC357,MAX(0,$C357-SUMPRODUCT(($D$3:$M$3&lt;I$3)*($N357:$W357-$X357:$AG357))))</f>
        <v/>
      </c>
      <c r="AN357" s="24">
        <f>MIN(T357-AD357,MAX(0,$C357-SUMPRODUCT(($D$3:$M$3&lt;J$3)*($N357:$W357-$X357:$AG357))))</f>
        <v/>
      </c>
      <c r="AO357" s="24">
        <f>MIN(U357-AE357,MAX(0,$C357-SUMPRODUCT(($D$3:$M$3&lt;K$3)*($N357:$W357-$X357:$AG357))))</f>
        <v/>
      </c>
      <c r="AP357" s="24">
        <f>MIN(V357-AF357,MAX(0,$C357-SUMPRODUCT(($D$3:$M$3&lt;L$3)*($N357:$W357-$X357:$AG357))))</f>
        <v/>
      </c>
      <c r="AQ357" s="24">
        <f>MIN(W357-AG357,MAX(0,$C357-SUMPRODUCT(($D$3:$M$3&lt;M$3)*($N357:$W357-$X357:$AG357))))</f>
        <v/>
      </c>
      <c r="AR357" s="24">
        <f>ROUND(N357-X357-AH357,2)</f>
        <v/>
      </c>
      <c r="AS357" s="24">
        <f>ROUND(O357-Y357-AI357,2)</f>
        <v/>
      </c>
      <c r="AT357" s="24">
        <f>ROUND(P357-Z357-AJ357,2)</f>
        <v/>
      </c>
      <c r="AU357" s="24">
        <f>ROUND(Q357-AA357-AK357,2)</f>
        <v/>
      </c>
      <c r="AV357" s="24">
        <f>ROUND(R357-AB357-AL357,2)</f>
        <v/>
      </c>
      <c r="AW357" s="24">
        <f>ROUND(S357-AC357-AM357,2)</f>
        <v/>
      </c>
      <c r="AX357" s="24">
        <f>ROUND(T357-AD357-AN357,2)</f>
        <v/>
      </c>
      <c r="AY357" s="24">
        <f>ROUND(U357-AE357-AO357,2)</f>
        <v/>
      </c>
      <c r="AZ357" s="24">
        <f>ROUND(V357-AF357-AP357,2)</f>
        <v/>
      </c>
      <c r="BA357" s="24">
        <f>ROUND(W357-AG357-AQ357,2)</f>
        <v/>
      </c>
      <c r="BB357" s="24">
        <f>SUM(AR357:BA357)</f>
        <v/>
      </c>
    </row>
    <row r="358">
      <c r="A358" t="n">
        <v>354</v>
      </c>
      <c r="B358" s="23">
        <f>EOMONTH(TODAY(),353)</f>
        <v/>
      </c>
      <c r="C358" s="24">
        <f>MAX(0,(SUM('My Loans'!$E$6:$E$15)+'My Loans'!$D$3)-SUM($X358:$AG358))</f>
        <v/>
      </c>
      <c r="D358" s="24">
        <f>MAX(0,AR357)</f>
        <v/>
      </c>
      <c r="E358" s="24">
        <f>MAX(0,AS357)</f>
        <v/>
      </c>
      <c r="F358" s="24">
        <f>MAX(0,AT357)</f>
        <v/>
      </c>
      <c r="G358" s="24">
        <f>MAX(0,AU357)</f>
        <v/>
      </c>
      <c r="H358" s="24">
        <f>MAX(0,AV357)</f>
        <v/>
      </c>
      <c r="I358" s="24">
        <f>MAX(0,AW357)</f>
        <v/>
      </c>
      <c r="J358" s="24">
        <f>MAX(0,AX357)</f>
        <v/>
      </c>
      <c r="K358" s="24">
        <f>MAX(0,AY357)</f>
        <v/>
      </c>
      <c r="L358" s="24">
        <f>MAX(0,AZ357)</f>
        <v/>
      </c>
      <c r="M358" s="24">
        <f>MAX(0,BA357)</f>
        <v/>
      </c>
      <c r="N358" s="24">
        <f>IF(D358&lt;0.5,0,D358*(1+N('My Loans'!D6)/1200))</f>
        <v/>
      </c>
      <c r="O358" s="24">
        <f>IF(E358&lt;0.5,0,E358*(1+N('My Loans'!D7)/1200))</f>
        <v/>
      </c>
      <c r="P358" s="24">
        <f>IF(F358&lt;0.5,0,F358*(1+N('My Loans'!D8)/1200))</f>
        <v/>
      </c>
      <c r="Q358" s="24">
        <f>IF(G358&lt;0.5,0,G358*(1+N('My Loans'!D9)/1200))</f>
        <v/>
      </c>
      <c r="R358" s="24">
        <f>IF(H358&lt;0.5,0,H358*(1+N('My Loans'!D10)/1200))</f>
        <v/>
      </c>
      <c r="S358" s="24">
        <f>IF(I358&lt;0.5,0,I358*(1+N('My Loans'!D11)/1200))</f>
        <v/>
      </c>
      <c r="T358" s="24">
        <f>IF(J358&lt;0.5,0,J358*(1+N('My Loans'!D12)/1200))</f>
        <v/>
      </c>
      <c r="U358" s="24">
        <f>IF(K358&lt;0.5,0,K358*(1+N('My Loans'!D13)/1200))</f>
        <v/>
      </c>
      <c r="V358" s="24">
        <f>IF(L358&lt;0.5,0,L358*(1+N('My Loans'!D14)/1200))</f>
        <v/>
      </c>
      <c r="W358" s="24">
        <f>IF(M358&lt;0.5,0,M358*(1+N('My Loans'!D15)/1200))</f>
        <v/>
      </c>
      <c r="X358" s="24">
        <f>MIN(N358,N('My Loans'!E6))</f>
        <v/>
      </c>
      <c r="Y358" s="24">
        <f>MIN(O358,N('My Loans'!E7))</f>
        <v/>
      </c>
      <c r="Z358" s="24">
        <f>MIN(P358,N('My Loans'!E8))</f>
        <v/>
      </c>
      <c r="AA358" s="24">
        <f>MIN(Q358,N('My Loans'!E9))</f>
        <v/>
      </c>
      <c r="AB358" s="24">
        <f>MIN(R358,N('My Loans'!E10))</f>
        <v/>
      </c>
      <c r="AC358" s="24">
        <f>MIN(S358,N('My Loans'!E11))</f>
        <v/>
      </c>
      <c r="AD358" s="24">
        <f>MIN(T358,N('My Loans'!E12))</f>
        <v/>
      </c>
      <c r="AE358" s="24">
        <f>MIN(U358,N('My Loans'!E13))</f>
        <v/>
      </c>
      <c r="AF358" s="24">
        <f>MIN(V358,N('My Loans'!E14))</f>
        <v/>
      </c>
      <c r="AG358" s="24">
        <f>MIN(W358,N('My Loans'!E15))</f>
        <v/>
      </c>
      <c r="AH358" s="24">
        <f>MIN(N358-X358,MAX(0,$C358-SUMPRODUCT(($D$3:$M$3&lt;D$3)*($N358:$W358-$X358:$AG358))))</f>
        <v/>
      </c>
      <c r="AI358" s="24">
        <f>MIN(O358-Y358,MAX(0,$C358-SUMPRODUCT(($D$3:$M$3&lt;E$3)*($N358:$W358-$X358:$AG358))))</f>
        <v/>
      </c>
      <c r="AJ358" s="24">
        <f>MIN(P358-Z358,MAX(0,$C358-SUMPRODUCT(($D$3:$M$3&lt;F$3)*($N358:$W358-$X358:$AG358))))</f>
        <v/>
      </c>
      <c r="AK358" s="24">
        <f>MIN(Q358-AA358,MAX(0,$C358-SUMPRODUCT(($D$3:$M$3&lt;G$3)*($N358:$W358-$X358:$AG358))))</f>
        <v/>
      </c>
      <c r="AL358" s="24">
        <f>MIN(R358-AB358,MAX(0,$C358-SUMPRODUCT(($D$3:$M$3&lt;H$3)*($N358:$W358-$X358:$AG358))))</f>
        <v/>
      </c>
      <c r="AM358" s="24">
        <f>MIN(S358-AC358,MAX(0,$C358-SUMPRODUCT(($D$3:$M$3&lt;I$3)*($N358:$W358-$X358:$AG358))))</f>
        <v/>
      </c>
      <c r="AN358" s="24">
        <f>MIN(T358-AD358,MAX(0,$C358-SUMPRODUCT(($D$3:$M$3&lt;J$3)*($N358:$W358-$X358:$AG358))))</f>
        <v/>
      </c>
      <c r="AO358" s="24">
        <f>MIN(U358-AE358,MAX(0,$C358-SUMPRODUCT(($D$3:$M$3&lt;K$3)*($N358:$W358-$X358:$AG358))))</f>
        <v/>
      </c>
      <c r="AP358" s="24">
        <f>MIN(V358-AF358,MAX(0,$C358-SUMPRODUCT(($D$3:$M$3&lt;L$3)*($N358:$W358-$X358:$AG358))))</f>
        <v/>
      </c>
      <c r="AQ358" s="24">
        <f>MIN(W358-AG358,MAX(0,$C358-SUMPRODUCT(($D$3:$M$3&lt;M$3)*($N358:$W358-$X358:$AG358))))</f>
        <v/>
      </c>
      <c r="AR358" s="24">
        <f>ROUND(N358-X358-AH358,2)</f>
        <v/>
      </c>
      <c r="AS358" s="24">
        <f>ROUND(O358-Y358-AI358,2)</f>
        <v/>
      </c>
      <c r="AT358" s="24">
        <f>ROUND(P358-Z358-AJ358,2)</f>
        <v/>
      </c>
      <c r="AU358" s="24">
        <f>ROUND(Q358-AA358-AK358,2)</f>
        <v/>
      </c>
      <c r="AV358" s="24">
        <f>ROUND(R358-AB358-AL358,2)</f>
        <v/>
      </c>
      <c r="AW358" s="24">
        <f>ROUND(S358-AC358-AM358,2)</f>
        <v/>
      </c>
      <c r="AX358" s="24">
        <f>ROUND(T358-AD358-AN358,2)</f>
        <v/>
      </c>
      <c r="AY358" s="24">
        <f>ROUND(U358-AE358-AO358,2)</f>
        <v/>
      </c>
      <c r="AZ358" s="24">
        <f>ROUND(V358-AF358-AP358,2)</f>
        <v/>
      </c>
      <c r="BA358" s="24">
        <f>ROUND(W358-AG358-AQ358,2)</f>
        <v/>
      </c>
      <c r="BB358" s="24">
        <f>SUM(AR358:BA358)</f>
        <v/>
      </c>
    </row>
    <row r="359">
      <c r="A359" t="n">
        <v>355</v>
      </c>
      <c r="B359" s="23">
        <f>EOMONTH(TODAY(),354)</f>
        <v/>
      </c>
      <c r="C359" s="24">
        <f>MAX(0,(SUM('My Loans'!$E$6:$E$15)+'My Loans'!$D$3)-SUM($X359:$AG359))</f>
        <v/>
      </c>
      <c r="D359" s="24">
        <f>MAX(0,AR358)</f>
        <v/>
      </c>
      <c r="E359" s="24">
        <f>MAX(0,AS358)</f>
        <v/>
      </c>
      <c r="F359" s="24">
        <f>MAX(0,AT358)</f>
        <v/>
      </c>
      <c r="G359" s="24">
        <f>MAX(0,AU358)</f>
        <v/>
      </c>
      <c r="H359" s="24">
        <f>MAX(0,AV358)</f>
        <v/>
      </c>
      <c r="I359" s="24">
        <f>MAX(0,AW358)</f>
        <v/>
      </c>
      <c r="J359" s="24">
        <f>MAX(0,AX358)</f>
        <v/>
      </c>
      <c r="K359" s="24">
        <f>MAX(0,AY358)</f>
        <v/>
      </c>
      <c r="L359" s="24">
        <f>MAX(0,AZ358)</f>
        <v/>
      </c>
      <c r="M359" s="24">
        <f>MAX(0,BA358)</f>
        <v/>
      </c>
      <c r="N359" s="24">
        <f>IF(D359&lt;0.5,0,D359*(1+N('My Loans'!D6)/1200))</f>
        <v/>
      </c>
      <c r="O359" s="24">
        <f>IF(E359&lt;0.5,0,E359*(1+N('My Loans'!D7)/1200))</f>
        <v/>
      </c>
      <c r="P359" s="24">
        <f>IF(F359&lt;0.5,0,F359*(1+N('My Loans'!D8)/1200))</f>
        <v/>
      </c>
      <c r="Q359" s="24">
        <f>IF(G359&lt;0.5,0,G359*(1+N('My Loans'!D9)/1200))</f>
        <v/>
      </c>
      <c r="R359" s="24">
        <f>IF(H359&lt;0.5,0,H359*(1+N('My Loans'!D10)/1200))</f>
        <v/>
      </c>
      <c r="S359" s="24">
        <f>IF(I359&lt;0.5,0,I359*(1+N('My Loans'!D11)/1200))</f>
        <v/>
      </c>
      <c r="T359" s="24">
        <f>IF(J359&lt;0.5,0,J359*(1+N('My Loans'!D12)/1200))</f>
        <v/>
      </c>
      <c r="U359" s="24">
        <f>IF(K359&lt;0.5,0,K359*(1+N('My Loans'!D13)/1200))</f>
        <v/>
      </c>
      <c r="V359" s="24">
        <f>IF(L359&lt;0.5,0,L359*(1+N('My Loans'!D14)/1200))</f>
        <v/>
      </c>
      <c r="W359" s="24">
        <f>IF(M359&lt;0.5,0,M359*(1+N('My Loans'!D15)/1200))</f>
        <v/>
      </c>
      <c r="X359" s="24">
        <f>MIN(N359,N('My Loans'!E6))</f>
        <v/>
      </c>
      <c r="Y359" s="24">
        <f>MIN(O359,N('My Loans'!E7))</f>
        <v/>
      </c>
      <c r="Z359" s="24">
        <f>MIN(P359,N('My Loans'!E8))</f>
        <v/>
      </c>
      <c r="AA359" s="24">
        <f>MIN(Q359,N('My Loans'!E9))</f>
        <v/>
      </c>
      <c r="AB359" s="24">
        <f>MIN(R359,N('My Loans'!E10))</f>
        <v/>
      </c>
      <c r="AC359" s="24">
        <f>MIN(S359,N('My Loans'!E11))</f>
        <v/>
      </c>
      <c r="AD359" s="24">
        <f>MIN(T359,N('My Loans'!E12))</f>
        <v/>
      </c>
      <c r="AE359" s="24">
        <f>MIN(U359,N('My Loans'!E13))</f>
        <v/>
      </c>
      <c r="AF359" s="24">
        <f>MIN(V359,N('My Loans'!E14))</f>
        <v/>
      </c>
      <c r="AG359" s="24">
        <f>MIN(W359,N('My Loans'!E15))</f>
        <v/>
      </c>
      <c r="AH359" s="24">
        <f>MIN(N359-X359,MAX(0,$C359-SUMPRODUCT(($D$3:$M$3&lt;D$3)*($N359:$W359-$X359:$AG359))))</f>
        <v/>
      </c>
      <c r="AI359" s="24">
        <f>MIN(O359-Y359,MAX(0,$C359-SUMPRODUCT(($D$3:$M$3&lt;E$3)*($N359:$W359-$X359:$AG359))))</f>
        <v/>
      </c>
      <c r="AJ359" s="24">
        <f>MIN(P359-Z359,MAX(0,$C359-SUMPRODUCT(($D$3:$M$3&lt;F$3)*($N359:$W359-$X359:$AG359))))</f>
        <v/>
      </c>
      <c r="AK359" s="24">
        <f>MIN(Q359-AA359,MAX(0,$C359-SUMPRODUCT(($D$3:$M$3&lt;G$3)*($N359:$W359-$X359:$AG359))))</f>
        <v/>
      </c>
      <c r="AL359" s="24">
        <f>MIN(R359-AB359,MAX(0,$C359-SUMPRODUCT(($D$3:$M$3&lt;H$3)*($N359:$W359-$X359:$AG359))))</f>
        <v/>
      </c>
      <c r="AM359" s="24">
        <f>MIN(S359-AC359,MAX(0,$C359-SUMPRODUCT(($D$3:$M$3&lt;I$3)*($N359:$W359-$X359:$AG359))))</f>
        <v/>
      </c>
      <c r="AN359" s="24">
        <f>MIN(T359-AD359,MAX(0,$C359-SUMPRODUCT(($D$3:$M$3&lt;J$3)*($N359:$W359-$X359:$AG359))))</f>
        <v/>
      </c>
      <c r="AO359" s="24">
        <f>MIN(U359-AE359,MAX(0,$C359-SUMPRODUCT(($D$3:$M$3&lt;K$3)*($N359:$W359-$X359:$AG359))))</f>
        <v/>
      </c>
      <c r="AP359" s="24">
        <f>MIN(V359-AF359,MAX(0,$C359-SUMPRODUCT(($D$3:$M$3&lt;L$3)*($N359:$W359-$X359:$AG359))))</f>
        <v/>
      </c>
      <c r="AQ359" s="24">
        <f>MIN(W359-AG359,MAX(0,$C359-SUMPRODUCT(($D$3:$M$3&lt;M$3)*($N359:$W359-$X359:$AG359))))</f>
        <v/>
      </c>
      <c r="AR359" s="24">
        <f>ROUND(N359-X359-AH359,2)</f>
        <v/>
      </c>
      <c r="AS359" s="24">
        <f>ROUND(O359-Y359-AI359,2)</f>
        <v/>
      </c>
      <c r="AT359" s="24">
        <f>ROUND(P359-Z359-AJ359,2)</f>
        <v/>
      </c>
      <c r="AU359" s="24">
        <f>ROUND(Q359-AA359-AK359,2)</f>
        <v/>
      </c>
      <c r="AV359" s="24">
        <f>ROUND(R359-AB359-AL359,2)</f>
        <v/>
      </c>
      <c r="AW359" s="24">
        <f>ROUND(S359-AC359-AM359,2)</f>
        <v/>
      </c>
      <c r="AX359" s="24">
        <f>ROUND(T359-AD359-AN359,2)</f>
        <v/>
      </c>
      <c r="AY359" s="24">
        <f>ROUND(U359-AE359-AO359,2)</f>
        <v/>
      </c>
      <c r="AZ359" s="24">
        <f>ROUND(V359-AF359-AP359,2)</f>
        <v/>
      </c>
      <c r="BA359" s="24">
        <f>ROUND(W359-AG359-AQ359,2)</f>
        <v/>
      </c>
      <c r="BB359" s="24">
        <f>SUM(AR359:BA359)</f>
        <v/>
      </c>
    </row>
    <row r="360">
      <c r="A360" t="n">
        <v>356</v>
      </c>
      <c r="B360" s="23">
        <f>EOMONTH(TODAY(),355)</f>
        <v/>
      </c>
      <c r="C360" s="24">
        <f>MAX(0,(SUM('My Loans'!$E$6:$E$15)+'My Loans'!$D$3)-SUM($X360:$AG360))</f>
        <v/>
      </c>
      <c r="D360" s="24">
        <f>MAX(0,AR359)</f>
        <v/>
      </c>
      <c r="E360" s="24">
        <f>MAX(0,AS359)</f>
        <v/>
      </c>
      <c r="F360" s="24">
        <f>MAX(0,AT359)</f>
        <v/>
      </c>
      <c r="G360" s="24">
        <f>MAX(0,AU359)</f>
        <v/>
      </c>
      <c r="H360" s="24">
        <f>MAX(0,AV359)</f>
        <v/>
      </c>
      <c r="I360" s="24">
        <f>MAX(0,AW359)</f>
        <v/>
      </c>
      <c r="J360" s="24">
        <f>MAX(0,AX359)</f>
        <v/>
      </c>
      <c r="K360" s="24">
        <f>MAX(0,AY359)</f>
        <v/>
      </c>
      <c r="L360" s="24">
        <f>MAX(0,AZ359)</f>
        <v/>
      </c>
      <c r="M360" s="24">
        <f>MAX(0,BA359)</f>
        <v/>
      </c>
      <c r="N360" s="24">
        <f>IF(D360&lt;0.5,0,D360*(1+N('My Loans'!D6)/1200))</f>
        <v/>
      </c>
      <c r="O360" s="24">
        <f>IF(E360&lt;0.5,0,E360*(1+N('My Loans'!D7)/1200))</f>
        <v/>
      </c>
      <c r="P360" s="24">
        <f>IF(F360&lt;0.5,0,F360*(1+N('My Loans'!D8)/1200))</f>
        <v/>
      </c>
      <c r="Q360" s="24">
        <f>IF(G360&lt;0.5,0,G360*(1+N('My Loans'!D9)/1200))</f>
        <v/>
      </c>
      <c r="R360" s="24">
        <f>IF(H360&lt;0.5,0,H360*(1+N('My Loans'!D10)/1200))</f>
        <v/>
      </c>
      <c r="S360" s="24">
        <f>IF(I360&lt;0.5,0,I360*(1+N('My Loans'!D11)/1200))</f>
        <v/>
      </c>
      <c r="T360" s="24">
        <f>IF(J360&lt;0.5,0,J360*(1+N('My Loans'!D12)/1200))</f>
        <v/>
      </c>
      <c r="U360" s="24">
        <f>IF(K360&lt;0.5,0,K360*(1+N('My Loans'!D13)/1200))</f>
        <v/>
      </c>
      <c r="V360" s="24">
        <f>IF(L360&lt;0.5,0,L360*(1+N('My Loans'!D14)/1200))</f>
        <v/>
      </c>
      <c r="W360" s="24">
        <f>IF(M360&lt;0.5,0,M360*(1+N('My Loans'!D15)/1200))</f>
        <v/>
      </c>
      <c r="X360" s="24">
        <f>MIN(N360,N('My Loans'!E6))</f>
        <v/>
      </c>
      <c r="Y360" s="24">
        <f>MIN(O360,N('My Loans'!E7))</f>
        <v/>
      </c>
      <c r="Z360" s="24">
        <f>MIN(P360,N('My Loans'!E8))</f>
        <v/>
      </c>
      <c r="AA360" s="24">
        <f>MIN(Q360,N('My Loans'!E9))</f>
        <v/>
      </c>
      <c r="AB360" s="24">
        <f>MIN(R360,N('My Loans'!E10))</f>
        <v/>
      </c>
      <c r="AC360" s="24">
        <f>MIN(S360,N('My Loans'!E11))</f>
        <v/>
      </c>
      <c r="AD360" s="24">
        <f>MIN(T360,N('My Loans'!E12))</f>
        <v/>
      </c>
      <c r="AE360" s="24">
        <f>MIN(U360,N('My Loans'!E13))</f>
        <v/>
      </c>
      <c r="AF360" s="24">
        <f>MIN(V360,N('My Loans'!E14))</f>
        <v/>
      </c>
      <c r="AG360" s="24">
        <f>MIN(W360,N('My Loans'!E15))</f>
        <v/>
      </c>
      <c r="AH360" s="24">
        <f>MIN(N360-X360,MAX(0,$C360-SUMPRODUCT(($D$3:$M$3&lt;D$3)*($N360:$W360-$X360:$AG360))))</f>
        <v/>
      </c>
      <c r="AI360" s="24">
        <f>MIN(O360-Y360,MAX(0,$C360-SUMPRODUCT(($D$3:$M$3&lt;E$3)*($N360:$W360-$X360:$AG360))))</f>
        <v/>
      </c>
      <c r="AJ360" s="24">
        <f>MIN(P360-Z360,MAX(0,$C360-SUMPRODUCT(($D$3:$M$3&lt;F$3)*($N360:$W360-$X360:$AG360))))</f>
        <v/>
      </c>
      <c r="AK360" s="24">
        <f>MIN(Q360-AA360,MAX(0,$C360-SUMPRODUCT(($D$3:$M$3&lt;G$3)*($N360:$W360-$X360:$AG360))))</f>
        <v/>
      </c>
      <c r="AL360" s="24">
        <f>MIN(R360-AB360,MAX(0,$C360-SUMPRODUCT(($D$3:$M$3&lt;H$3)*($N360:$W360-$X360:$AG360))))</f>
        <v/>
      </c>
      <c r="AM360" s="24">
        <f>MIN(S360-AC360,MAX(0,$C360-SUMPRODUCT(($D$3:$M$3&lt;I$3)*($N360:$W360-$X360:$AG360))))</f>
        <v/>
      </c>
      <c r="AN360" s="24">
        <f>MIN(T360-AD360,MAX(0,$C360-SUMPRODUCT(($D$3:$M$3&lt;J$3)*($N360:$W360-$X360:$AG360))))</f>
        <v/>
      </c>
      <c r="AO360" s="24">
        <f>MIN(U360-AE360,MAX(0,$C360-SUMPRODUCT(($D$3:$M$3&lt;K$3)*($N360:$W360-$X360:$AG360))))</f>
        <v/>
      </c>
      <c r="AP360" s="24">
        <f>MIN(V360-AF360,MAX(0,$C360-SUMPRODUCT(($D$3:$M$3&lt;L$3)*($N360:$W360-$X360:$AG360))))</f>
        <v/>
      </c>
      <c r="AQ360" s="24">
        <f>MIN(W360-AG360,MAX(0,$C360-SUMPRODUCT(($D$3:$M$3&lt;M$3)*($N360:$W360-$X360:$AG360))))</f>
        <v/>
      </c>
      <c r="AR360" s="24">
        <f>ROUND(N360-X360-AH360,2)</f>
        <v/>
      </c>
      <c r="AS360" s="24">
        <f>ROUND(O360-Y360-AI360,2)</f>
        <v/>
      </c>
      <c r="AT360" s="24">
        <f>ROUND(P360-Z360-AJ360,2)</f>
        <v/>
      </c>
      <c r="AU360" s="24">
        <f>ROUND(Q360-AA360-AK360,2)</f>
        <v/>
      </c>
      <c r="AV360" s="24">
        <f>ROUND(R360-AB360-AL360,2)</f>
        <v/>
      </c>
      <c r="AW360" s="24">
        <f>ROUND(S360-AC360-AM360,2)</f>
        <v/>
      </c>
      <c r="AX360" s="24">
        <f>ROUND(T360-AD360-AN360,2)</f>
        <v/>
      </c>
      <c r="AY360" s="24">
        <f>ROUND(U360-AE360-AO360,2)</f>
        <v/>
      </c>
      <c r="AZ360" s="24">
        <f>ROUND(V360-AF360-AP360,2)</f>
        <v/>
      </c>
      <c r="BA360" s="24">
        <f>ROUND(W360-AG360-AQ360,2)</f>
        <v/>
      </c>
      <c r="BB360" s="24">
        <f>SUM(AR360:BA360)</f>
        <v/>
      </c>
    </row>
    <row r="361">
      <c r="A361" t="n">
        <v>357</v>
      </c>
      <c r="B361" s="23">
        <f>EOMONTH(TODAY(),356)</f>
        <v/>
      </c>
      <c r="C361" s="24">
        <f>MAX(0,(SUM('My Loans'!$E$6:$E$15)+'My Loans'!$D$3)-SUM($X361:$AG361))</f>
        <v/>
      </c>
      <c r="D361" s="24">
        <f>MAX(0,AR360)</f>
        <v/>
      </c>
      <c r="E361" s="24">
        <f>MAX(0,AS360)</f>
        <v/>
      </c>
      <c r="F361" s="24">
        <f>MAX(0,AT360)</f>
        <v/>
      </c>
      <c r="G361" s="24">
        <f>MAX(0,AU360)</f>
        <v/>
      </c>
      <c r="H361" s="24">
        <f>MAX(0,AV360)</f>
        <v/>
      </c>
      <c r="I361" s="24">
        <f>MAX(0,AW360)</f>
        <v/>
      </c>
      <c r="J361" s="24">
        <f>MAX(0,AX360)</f>
        <v/>
      </c>
      <c r="K361" s="24">
        <f>MAX(0,AY360)</f>
        <v/>
      </c>
      <c r="L361" s="24">
        <f>MAX(0,AZ360)</f>
        <v/>
      </c>
      <c r="M361" s="24">
        <f>MAX(0,BA360)</f>
        <v/>
      </c>
      <c r="N361" s="24">
        <f>IF(D361&lt;0.5,0,D361*(1+N('My Loans'!D6)/1200))</f>
        <v/>
      </c>
      <c r="O361" s="24">
        <f>IF(E361&lt;0.5,0,E361*(1+N('My Loans'!D7)/1200))</f>
        <v/>
      </c>
      <c r="P361" s="24">
        <f>IF(F361&lt;0.5,0,F361*(1+N('My Loans'!D8)/1200))</f>
        <v/>
      </c>
      <c r="Q361" s="24">
        <f>IF(G361&lt;0.5,0,G361*(1+N('My Loans'!D9)/1200))</f>
        <v/>
      </c>
      <c r="R361" s="24">
        <f>IF(H361&lt;0.5,0,H361*(1+N('My Loans'!D10)/1200))</f>
        <v/>
      </c>
      <c r="S361" s="24">
        <f>IF(I361&lt;0.5,0,I361*(1+N('My Loans'!D11)/1200))</f>
        <v/>
      </c>
      <c r="T361" s="24">
        <f>IF(J361&lt;0.5,0,J361*(1+N('My Loans'!D12)/1200))</f>
        <v/>
      </c>
      <c r="U361" s="24">
        <f>IF(K361&lt;0.5,0,K361*(1+N('My Loans'!D13)/1200))</f>
        <v/>
      </c>
      <c r="V361" s="24">
        <f>IF(L361&lt;0.5,0,L361*(1+N('My Loans'!D14)/1200))</f>
        <v/>
      </c>
      <c r="W361" s="24">
        <f>IF(M361&lt;0.5,0,M361*(1+N('My Loans'!D15)/1200))</f>
        <v/>
      </c>
      <c r="X361" s="24">
        <f>MIN(N361,N('My Loans'!E6))</f>
        <v/>
      </c>
      <c r="Y361" s="24">
        <f>MIN(O361,N('My Loans'!E7))</f>
        <v/>
      </c>
      <c r="Z361" s="24">
        <f>MIN(P361,N('My Loans'!E8))</f>
        <v/>
      </c>
      <c r="AA361" s="24">
        <f>MIN(Q361,N('My Loans'!E9))</f>
        <v/>
      </c>
      <c r="AB361" s="24">
        <f>MIN(R361,N('My Loans'!E10))</f>
        <v/>
      </c>
      <c r="AC361" s="24">
        <f>MIN(S361,N('My Loans'!E11))</f>
        <v/>
      </c>
      <c r="AD361" s="24">
        <f>MIN(T361,N('My Loans'!E12))</f>
        <v/>
      </c>
      <c r="AE361" s="24">
        <f>MIN(U361,N('My Loans'!E13))</f>
        <v/>
      </c>
      <c r="AF361" s="24">
        <f>MIN(V361,N('My Loans'!E14))</f>
        <v/>
      </c>
      <c r="AG361" s="24">
        <f>MIN(W361,N('My Loans'!E15))</f>
        <v/>
      </c>
      <c r="AH361" s="24">
        <f>MIN(N361-X361,MAX(0,$C361-SUMPRODUCT(($D$3:$M$3&lt;D$3)*($N361:$W361-$X361:$AG361))))</f>
        <v/>
      </c>
      <c r="AI361" s="24">
        <f>MIN(O361-Y361,MAX(0,$C361-SUMPRODUCT(($D$3:$M$3&lt;E$3)*($N361:$W361-$X361:$AG361))))</f>
        <v/>
      </c>
      <c r="AJ361" s="24">
        <f>MIN(P361-Z361,MAX(0,$C361-SUMPRODUCT(($D$3:$M$3&lt;F$3)*($N361:$W361-$X361:$AG361))))</f>
        <v/>
      </c>
      <c r="AK361" s="24">
        <f>MIN(Q361-AA361,MAX(0,$C361-SUMPRODUCT(($D$3:$M$3&lt;G$3)*($N361:$W361-$X361:$AG361))))</f>
        <v/>
      </c>
      <c r="AL361" s="24">
        <f>MIN(R361-AB361,MAX(0,$C361-SUMPRODUCT(($D$3:$M$3&lt;H$3)*($N361:$W361-$X361:$AG361))))</f>
        <v/>
      </c>
      <c r="AM361" s="24">
        <f>MIN(S361-AC361,MAX(0,$C361-SUMPRODUCT(($D$3:$M$3&lt;I$3)*($N361:$W361-$X361:$AG361))))</f>
        <v/>
      </c>
      <c r="AN361" s="24">
        <f>MIN(T361-AD361,MAX(0,$C361-SUMPRODUCT(($D$3:$M$3&lt;J$3)*($N361:$W361-$X361:$AG361))))</f>
        <v/>
      </c>
      <c r="AO361" s="24">
        <f>MIN(U361-AE361,MAX(0,$C361-SUMPRODUCT(($D$3:$M$3&lt;K$3)*($N361:$W361-$X361:$AG361))))</f>
        <v/>
      </c>
      <c r="AP361" s="24">
        <f>MIN(V361-AF361,MAX(0,$C361-SUMPRODUCT(($D$3:$M$3&lt;L$3)*($N361:$W361-$X361:$AG361))))</f>
        <v/>
      </c>
      <c r="AQ361" s="24">
        <f>MIN(W361-AG361,MAX(0,$C361-SUMPRODUCT(($D$3:$M$3&lt;M$3)*($N361:$W361-$X361:$AG361))))</f>
        <v/>
      </c>
      <c r="AR361" s="24">
        <f>ROUND(N361-X361-AH361,2)</f>
        <v/>
      </c>
      <c r="AS361" s="24">
        <f>ROUND(O361-Y361-AI361,2)</f>
        <v/>
      </c>
      <c r="AT361" s="24">
        <f>ROUND(P361-Z361-AJ361,2)</f>
        <v/>
      </c>
      <c r="AU361" s="24">
        <f>ROUND(Q361-AA361-AK361,2)</f>
        <v/>
      </c>
      <c r="AV361" s="24">
        <f>ROUND(R361-AB361-AL361,2)</f>
        <v/>
      </c>
      <c r="AW361" s="24">
        <f>ROUND(S361-AC361-AM361,2)</f>
        <v/>
      </c>
      <c r="AX361" s="24">
        <f>ROUND(T361-AD361-AN361,2)</f>
        <v/>
      </c>
      <c r="AY361" s="24">
        <f>ROUND(U361-AE361-AO361,2)</f>
        <v/>
      </c>
      <c r="AZ361" s="24">
        <f>ROUND(V361-AF361-AP361,2)</f>
        <v/>
      </c>
      <c r="BA361" s="24">
        <f>ROUND(W361-AG361-AQ361,2)</f>
        <v/>
      </c>
      <c r="BB361" s="24">
        <f>SUM(AR361:BA361)</f>
        <v/>
      </c>
    </row>
    <row r="362">
      <c r="A362" t="n">
        <v>358</v>
      </c>
      <c r="B362" s="23">
        <f>EOMONTH(TODAY(),357)</f>
        <v/>
      </c>
      <c r="C362" s="24">
        <f>MAX(0,(SUM('My Loans'!$E$6:$E$15)+'My Loans'!$D$3)-SUM($X362:$AG362))</f>
        <v/>
      </c>
      <c r="D362" s="24">
        <f>MAX(0,AR361)</f>
        <v/>
      </c>
      <c r="E362" s="24">
        <f>MAX(0,AS361)</f>
        <v/>
      </c>
      <c r="F362" s="24">
        <f>MAX(0,AT361)</f>
        <v/>
      </c>
      <c r="G362" s="24">
        <f>MAX(0,AU361)</f>
        <v/>
      </c>
      <c r="H362" s="24">
        <f>MAX(0,AV361)</f>
        <v/>
      </c>
      <c r="I362" s="24">
        <f>MAX(0,AW361)</f>
        <v/>
      </c>
      <c r="J362" s="24">
        <f>MAX(0,AX361)</f>
        <v/>
      </c>
      <c r="K362" s="24">
        <f>MAX(0,AY361)</f>
        <v/>
      </c>
      <c r="L362" s="24">
        <f>MAX(0,AZ361)</f>
        <v/>
      </c>
      <c r="M362" s="24">
        <f>MAX(0,BA361)</f>
        <v/>
      </c>
      <c r="N362" s="24">
        <f>IF(D362&lt;0.5,0,D362*(1+N('My Loans'!D6)/1200))</f>
        <v/>
      </c>
      <c r="O362" s="24">
        <f>IF(E362&lt;0.5,0,E362*(1+N('My Loans'!D7)/1200))</f>
        <v/>
      </c>
      <c r="P362" s="24">
        <f>IF(F362&lt;0.5,0,F362*(1+N('My Loans'!D8)/1200))</f>
        <v/>
      </c>
      <c r="Q362" s="24">
        <f>IF(G362&lt;0.5,0,G362*(1+N('My Loans'!D9)/1200))</f>
        <v/>
      </c>
      <c r="R362" s="24">
        <f>IF(H362&lt;0.5,0,H362*(1+N('My Loans'!D10)/1200))</f>
        <v/>
      </c>
      <c r="S362" s="24">
        <f>IF(I362&lt;0.5,0,I362*(1+N('My Loans'!D11)/1200))</f>
        <v/>
      </c>
      <c r="T362" s="24">
        <f>IF(J362&lt;0.5,0,J362*(1+N('My Loans'!D12)/1200))</f>
        <v/>
      </c>
      <c r="U362" s="24">
        <f>IF(K362&lt;0.5,0,K362*(1+N('My Loans'!D13)/1200))</f>
        <v/>
      </c>
      <c r="V362" s="24">
        <f>IF(L362&lt;0.5,0,L362*(1+N('My Loans'!D14)/1200))</f>
        <v/>
      </c>
      <c r="W362" s="24">
        <f>IF(M362&lt;0.5,0,M362*(1+N('My Loans'!D15)/1200))</f>
        <v/>
      </c>
      <c r="X362" s="24">
        <f>MIN(N362,N('My Loans'!E6))</f>
        <v/>
      </c>
      <c r="Y362" s="24">
        <f>MIN(O362,N('My Loans'!E7))</f>
        <v/>
      </c>
      <c r="Z362" s="24">
        <f>MIN(P362,N('My Loans'!E8))</f>
        <v/>
      </c>
      <c r="AA362" s="24">
        <f>MIN(Q362,N('My Loans'!E9))</f>
        <v/>
      </c>
      <c r="AB362" s="24">
        <f>MIN(R362,N('My Loans'!E10))</f>
        <v/>
      </c>
      <c r="AC362" s="24">
        <f>MIN(S362,N('My Loans'!E11))</f>
        <v/>
      </c>
      <c r="AD362" s="24">
        <f>MIN(T362,N('My Loans'!E12))</f>
        <v/>
      </c>
      <c r="AE362" s="24">
        <f>MIN(U362,N('My Loans'!E13))</f>
        <v/>
      </c>
      <c r="AF362" s="24">
        <f>MIN(V362,N('My Loans'!E14))</f>
        <v/>
      </c>
      <c r="AG362" s="24">
        <f>MIN(W362,N('My Loans'!E15))</f>
        <v/>
      </c>
      <c r="AH362" s="24">
        <f>MIN(N362-X362,MAX(0,$C362-SUMPRODUCT(($D$3:$M$3&lt;D$3)*($N362:$W362-$X362:$AG362))))</f>
        <v/>
      </c>
      <c r="AI362" s="24">
        <f>MIN(O362-Y362,MAX(0,$C362-SUMPRODUCT(($D$3:$M$3&lt;E$3)*($N362:$W362-$X362:$AG362))))</f>
        <v/>
      </c>
      <c r="AJ362" s="24">
        <f>MIN(P362-Z362,MAX(0,$C362-SUMPRODUCT(($D$3:$M$3&lt;F$3)*($N362:$W362-$X362:$AG362))))</f>
        <v/>
      </c>
      <c r="AK362" s="24">
        <f>MIN(Q362-AA362,MAX(0,$C362-SUMPRODUCT(($D$3:$M$3&lt;G$3)*($N362:$W362-$X362:$AG362))))</f>
        <v/>
      </c>
      <c r="AL362" s="24">
        <f>MIN(R362-AB362,MAX(0,$C362-SUMPRODUCT(($D$3:$M$3&lt;H$3)*($N362:$W362-$X362:$AG362))))</f>
        <v/>
      </c>
      <c r="AM362" s="24">
        <f>MIN(S362-AC362,MAX(0,$C362-SUMPRODUCT(($D$3:$M$3&lt;I$3)*($N362:$W362-$X362:$AG362))))</f>
        <v/>
      </c>
      <c r="AN362" s="24">
        <f>MIN(T362-AD362,MAX(0,$C362-SUMPRODUCT(($D$3:$M$3&lt;J$3)*($N362:$W362-$X362:$AG362))))</f>
        <v/>
      </c>
      <c r="AO362" s="24">
        <f>MIN(U362-AE362,MAX(0,$C362-SUMPRODUCT(($D$3:$M$3&lt;K$3)*($N362:$W362-$X362:$AG362))))</f>
        <v/>
      </c>
      <c r="AP362" s="24">
        <f>MIN(V362-AF362,MAX(0,$C362-SUMPRODUCT(($D$3:$M$3&lt;L$3)*($N362:$W362-$X362:$AG362))))</f>
        <v/>
      </c>
      <c r="AQ362" s="24">
        <f>MIN(W362-AG362,MAX(0,$C362-SUMPRODUCT(($D$3:$M$3&lt;M$3)*($N362:$W362-$X362:$AG362))))</f>
        <v/>
      </c>
      <c r="AR362" s="24">
        <f>ROUND(N362-X362-AH362,2)</f>
        <v/>
      </c>
      <c r="AS362" s="24">
        <f>ROUND(O362-Y362-AI362,2)</f>
        <v/>
      </c>
      <c r="AT362" s="24">
        <f>ROUND(P362-Z362-AJ362,2)</f>
        <v/>
      </c>
      <c r="AU362" s="24">
        <f>ROUND(Q362-AA362-AK362,2)</f>
        <v/>
      </c>
      <c r="AV362" s="24">
        <f>ROUND(R362-AB362-AL362,2)</f>
        <v/>
      </c>
      <c r="AW362" s="24">
        <f>ROUND(S362-AC362-AM362,2)</f>
        <v/>
      </c>
      <c r="AX362" s="24">
        <f>ROUND(T362-AD362-AN362,2)</f>
        <v/>
      </c>
      <c r="AY362" s="24">
        <f>ROUND(U362-AE362-AO362,2)</f>
        <v/>
      </c>
      <c r="AZ362" s="24">
        <f>ROUND(V362-AF362-AP362,2)</f>
        <v/>
      </c>
      <c r="BA362" s="24">
        <f>ROUND(W362-AG362-AQ362,2)</f>
        <v/>
      </c>
      <c r="BB362" s="24">
        <f>SUM(AR362:BA362)</f>
        <v/>
      </c>
    </row>
    <row r="363">
      <c r="A363" t="n">
        <v>359</v>
      </c>
      <c r="B363" s="23">
        <f>EOMONTH(TODAY(),358)</f>
        <v/>
      </c>
      <c r="C363" s="24">
        <f>MAX(0,(SUM('My Loans'!$E$6:$E$15)+'My Loans'!$D$3)-SUM($X363:$AG363))</f>
        <v/>
      </c>
      <c r="D363" s="24">
        <f>MAX(0,AR362)</f>
        <v/>
      </c>
      <c r="E363" s="24">
        <f>MAX(0,AS362)</f>
        <v/>
      </c>
      <c r="F363" s="24">
        <f>MAX(0,AT362)</f>
        <v/>
      </c>
      <c r="G363" s="24">
        <f>MAX(0,AU362)</f>
        <v/>
      </c>
      <c r="H363" s="24">
        <f>MAX(0,AV362)</f>
        <v/>
      </c>
      <c r="I363" s="24">
        <f>MAX(0,AW362)</f>
        <v/>
      </c>
      <c r="J363" s="24">
        <f>MAX(0,AX362)</f>
        <v/>
      </c>
      <c r="K363" s="24">
        <f>MAX(0,AY362)</f>
        <v/>
      </c>
      <c r="L363" s="24">
        <f>MAX(0,AZ362)</f>
        <v/>
      </c>
      <c r="M363" s="24">
        <f>MAX(0,BA362)</f>
        <v/>
      </c>
      <c r="N363" s="24">
        <f>IF(D363&lt;0.5,0,D363*(1+N('My Loans'!D6)/1200))</f>
        <v/>
      </c>
      <c r="O363" s="24">
        <f>IF(E363&lt;0.5,0,E363*(1+N('My Loans'!D7)/1200))</f>
        <v/>
      </c>
      <c r="P363" s="24">
        <f>IF(F363&lt;0.5,0,F363*(1+N('My Loans'!D8)/1200))</f>
        <v/>
      </c>
      <c r="Q363" s="24">
        <f>IF(G363&lt;0.5,0,G363*(1+N('My Loans'!D9)/1200))</f>
        <v/>
      </c>
      <c r="R363" s="24">
        <f>IF(H363&lt;0.5,0,H363*(1+N('My Loans'!D10)/1200))</f>
        <v/>
      </c>
      <c r="S363" s="24">
        <f>IF(I363&lt;0.5,0,I363*(1+N('My Loans'!D11)/1200))</f>
        <v/>
      </c>
      <c r="T363" s="24">
        <f>IF(J363&lt;0.5,0,J363*(1+N('My Loans'!D12)/1200))</f>
        <v/>
      </c>
      <c r="U363" s="24">
        <f>IF(K363&lt;0.5,0,K363*(1+N('My Loans'!D13)/1200))</f>
        <v/>
      </c>
      <c r="V363" s="24">
        <f>IF(L363&lt;0.5,0,L363*(1+N('My Loans'!D14)/1200))</f>
        <v/>
      </c>
      <c r="W363" s="24">
        <f>IF(M363&lt;0.5,0,M363*(1+N('My Loans'!D15)/1200))</f>
        <v/>
      </c>
      <c r="X363" s="24">
        <f>MIN(N363,N('My Loans'!E6))</f>
        <v/>
      </c>
      <c r="Y363" s="24">
        <f>MIN(O363,N('My Loans'!E7))</f>
        <v/>
      </c>
      <c r="Z363" s="24">
        <f>MIN(P363,N('My Loans'!E8))</f>
        <v/>
      </c>
      <c r="AA363" s="24">
        <f>MIN(Q363,N('My Loans'!E9))</f>
        <v/>
      </c>
      <c r="AB363" s="24">
        <f>MIN(R363,N('My Loans'!E10))</f>
        <v/>
      </c>
      <c r="AC363" s="24">
        <f>MIN(S363,N('My Loans'!E11))</f>
        <v/>
      </c>
      <c r="AD363" s="24">
        <f>MIN(T363,N('My Loans'!E12))</f>
        <v/>
      </c>
      <c r="AE363" s="24">
        <f>MIN(U363,N('My Loans'!E13))</f>
        <v/>
      </c>
      <c r="AF363" s="24">
        <f>MIN(V363,N('My Loans'!E14))</f>
        <v/>
      </c>
      <c r="AG363" s="24">
        <f>MIN(W363,N('My Loans'!E15))</f>
        <v/>
      </c>
      <c r="AH363" s="24">
        <f>MIN(N363-X363,MAX(0,$C363-SUMPRODUCT(($D$3:$M$3&lt;D$3)*($N363:$W363-$X363:$AG363))))</f>
        <v/>
      </c>
      <c r="AI363" s="24">
        <f>MIN(O363-Y363,MAX(0,$C363-SUMPRODUCT(($D$3:$M$3&lt;E$3)*($N363:$W363-$X363:$AG363))))</f>
        <v/>
      </c>
      <c r="AJ363" s="24">
        <f>MIN(P363-Z363,MAX(0,$C363-SUMPRODUCT(($D$3:$M$3&lt;F$3)*($N363:$W363-$X363:$AG363))))</f>
        <v/>
      </c>
      <c r="AK363" s="24">
        <f>MIN(Q363-AA363,MAX(0,$C363-SUMPRODUCT(($D$3:$M$3&lt;G$3)*($N363:$W363-$X363:$AG363))))</f>
        <v/>
      </c>
      <c r="AL363" s="24">
        <f>MIN(R363-AB363,MAX(0,$C363-SUMPRODUCT(($D$3:$M$3&lt;H$3)*($N363:$W363-$X363:$AG363))))</f>
        <v/>
      </c>
      <c r="AM363" s="24">
        <f>MIN(S363-AC363,MAX(0,$C363-SUMPRODUCT(($D$3:$M$3&lt;I$3)*($N363:$W363-$X363:$AG363))))</f>
        <v/>
      </c>
      <c r="AN363" s="24">
        <f>MIN(T363-AD363,MAX(0,$C363-SUMPRODUCT(($D$3:$M$3&lt;J$3)*($N363:$W363-$X363:$AG363))))</f>
        <v/>
      </c>
      <c r="AO363" s="24">
        <f>MIN(U363-AE363,MAX(0,$C363-SUMPRODUCT(($D$3:$M$3&lt;K$3)*($N363:$W363-$X363:$AG363))))</f>
        <v/>
      </c>
      <c r="AP363" s="24">
        <f>MIN(V363-AF363,MAX(0,$C363-SUMPRODUCT(($D$3:$M$3&lt;L$3)*($N363:$W363-$X363:$AG363))))</f>
        <v/>
      </c>
      <c r="AQ363" s="24">
        <f>MIN(W363-AG363,MAX(0,$C363-SUMPRODUCT(($D$3:$M$3&lt;M$3)*($N363:$W363-$X363:$AG363))))</f>
        <v/>
      </c>
      <c r="AR363" s="24">
        <f>ROUND(N363-X363-AH363,2)</f>
        <v/>
      </c>
      <c r="AS363" s="24">
        <f>ROUND(O363-Y363-AI363,2)</f>
        <v/>
      </c>
      <c r="AT363" s="24">
        <f>ROUND(P363-Z363-AJ363,2)</f>
        <v/>
      </c>
      <c r="AU363" s="24">
        <f>ROUND(Q363-AA363-AK363,2)</f>
        <v/>
      </c>
      <c r="AV363" s="24">
        <f>ROUND(R363-AB363-AL363,2)</f>
        <v/>
      </c>
      <c r="AW363" s="24">
        <f>ROUND(S363-AC363-AM363,2)</f>
        <v/>
      </c>
      <c r="AX363" s="24">
        <f>ROUND(T363-AD363-AN363,2)</f>
        <v/>
      </c>
      <c r="AY363" s="24">
        <f>ROUND(U363-AE363-AO363,2)</f>
        <v/>
      </c>
      <c r="AZ363" s="24">
        <f>ROUND(V363-AF363-AP363,2)</f>
        <v/>
      </c>
      <c r="BA363" s="24">
        <f>ROUND(W363-AG363-AQ363,2)</f>
        <v/>
      </c>
      <c r="BB363" s="24">
        <f>SUM(AR363:BA363)</f>
        <v/>
      </c>
    </row>
    <row r="364">
      <c r="A364" t="n">
        <v>360</v>
      </c>
      <c r="B364" s="23">
        <f>EOMONTH(TODAY(),359)</f>
        <v/>
      </c>
      <c r="C364" s="24">
        <f>MAX(0,(SUM('My Loans'!$E$6:$E$15)+'My Loans'!$D$3)-SUM($X364:$AG364))</f>
        <v/>
      </c>
      <c r="D364" s="24">
        <f>MAX(0,AR363)</f>
        <v/>
      </c>
      <c r="E364" s="24">
        <f>MAX(0,AS363)</f>
        <v/>
      </c>
      <c r="F364" s="24">
        <f>MAX(0,AT363)</f>
        <v/>
      </c>
      <c r="G364" s="24">
        <f>MAX(0,AU363)</f>
        <v/>
      </c>
      <c r="H364" s="24">
        <f>MAX(0,AV363)</f>
        <v/>
      </c>
      <c r="I364" s="24">
        <f>MAX(0,AW363)</f>
        <v/>
      </c>
      <c r="J364" s="24">
        <f>MAX(0,AX363)</f>
        <v/>
      </c>
      <c r="K364" s="24">
        <f>MAX(0,AY363)</f>
        <v/>
      </c>
      <c r="L364" s="24">
        <f>MAX(0,AZ363)</f>
        <v/>
      </c>
      <c r="M364" s="24">
        <f>MAX(0,BA363)</f>
        <v/>
      </c>
      <c r="N364" s="24">
        <f>IF(D364&lt;0.5,0,D364*(1+N('My Loans'!D6)/1200))</f>
        <v/>
      </c>
      <c r="O364" s="24">
        <f>IF(E364&lt;0.5,0,E364*(1+N('My Loans'!D7)/1200))</f>
        <v/>
      </c>
      <c r="P364" s="24">
        <f>IF(F364&lt;0.5,0,F364*(1+N('My Loans'!D8)/1200))</f>
        <v/>
      </c>
      <c r="Q364" s="24">
        <f>IF(G364&lt;0.5,0,G364*(1+N('My Loans'!D9)/1200))</f>
        <v/>
      </c>
      <c r="R364" s="24">
        <f>IF(H364&lt;0.5,0,H364*(1+N('My Loans'!D10)/1200))</f>
        <v/>
      </c>
      <c r="S364" s="24">
        <f>IF(I364&lt;0.5,0,I364*(1+N('My Loans'!D11)/1200))</f>
        <v/>
      </c>
      <c r="T364" s="24">
        <f>IF(J364&lt;0.5,0,J364*(1+N('My Loans'!D12)/1200))</f>
        <v/>
      </c>
      <c r="U364" s="24">
        <f>IF(K364&lt;0.5,0,K364*(1+N('My Loans'!D13)/1200))</f>
        <v/>
      </c>
      <c r="V364" s="24">
        <f>IF(L364&lt;0.5,0,L364*(1+N('My Loans'!D14)/1200))</f>
        <v/>
      </c>
      <c r="W364" s="24">
        <f>IF(M364&lt;0.5,0,M364*(1+N('My Loans'!D15)/1200))</f>
        <v/>
      </c>
      <c r="X364" s="24">
        <f>MIN(N364,N('My Loans'!E6))</f>
        <v/>
      </c>
      <c r="Y364" s="24">
        <f>MIN(O364,N('My Loans'!E7))</f>
        <v/>
      </c>
      <c r="Z364" s="24">
        <f>MIN(P364,N('My Loans'!E8))</f>
        <v/>
      </c>
      <c r="AA364" s="24">
        <f>MIN(Q364,N('My Loans'!E9))</f>
        <v/>
      </c>
      <c r="AB364" s="24">
        <f>MIN(R364,N('My Loans'!E10))</f>
        <v/>
      </c>
      <c r="AC364" s="24">
        <f>MIN(S364,N('My Loans'!E11))</f>
        <v/>
      </c>
      <c r="AD364" s="24">
        <f>MIN(T364,N('My Loans'!E12))</f>
        <v/>
      </c>
      <c r="AE364" s="24">
        <f>MIN(U364,N('My Loans'!E13))</f>
        <v/>
      </c>
      <c r="AF364" s="24">
        <f>MIN(V364,N('My Loans'!E14))</f>
        <v/>
      </c>
      <c r="AG364" s="24">
        <f>MIN(W364,N('My Loans'!E15))</f>
        <v/>
      </c>
      <c r="AH364" s="24">
        <f>MIN(N364-X364,MAX(0,$C364-SUMPRODUCT(($D$3:$M$3&lt;D$3)*($N364:$W364-$X364:$AG364))))</f>
        <v/>
      </c>
      <c r="AI364" s="24">
        <f>MIN(O364-Y364,MAX(0,$C364-SUMPRODUCT(($D$3:$M$3&lt;E$3)*($N364:$W364-$X364:$AG364))))</f>
        <v/>
      </c>
      <c r="AJ364" s="24">
        <f>MIN(P364-Z364,MAX(0,$C364-SUMPRODUCT(($D$3:$M$3&lt;F$3)*($N364:$W364-$X364:$AG364))))</f>
        <v/>
      </c>
      <c r="AK364" s="24">
        <f>MIN(Q364-AA364,MAX(0,$C364-SUMPRODUCT(($D$3:$M$3&lt;G$3)*($N364:$W364-$X364:$AG364))))</f>
        <v/>
      </c>
      <c r="AL364" s="24">
        <f>MIN(R364-AB364,MAX(0,$C364-SUMPRODUCT(($D$3:$M$3&lt;H$3)*($N364:$W364-$X364:$AG364))))</f>
        <v/>
      </c>
      <c r="AM364" s="24">
        <f>MIN(S364-AC364,MAX(0,$C364-SUMPRODUCT(($D$3:$M$3&lt;I$3)*($N364:$W364-$X364:$AG364))))</f>
        <v/>
      </c>
      <c r="AN364" s="24">
        <f>MIN(T364-AD364,MAX(0,$C364-SUMPRODUCT(($D$3:$M$3&lt;J$3)*($N364:$W364-$X364:$AG364))))</f>
        <v/>
      </c>
      <c r="AO364" s="24">
        <f>MIN(U364-AE364,MAX(0,$C364-SUMPRODUCT(($D$3:$M$3&lt;K$3)*($N364:$W364-$X364:$AG364))))</f>
        <v/>
      </c>
      <c r="AP364" s="24">
        <f>MIN(V364-AF364,MAX(0,$C364-SUMPRODUCT(($D$3:$M$3&lt;L$3)*($N364:$W364-$X364:$AG364))))</f>
        <v/>
      </c>
      <c r="AQ364" s="24">
        <f>MIN(W364-AG364,MAX(0,$C364-SUMPRODUCT(($D$3:$M$3&lt;M$3)*($N364:$W364-$X364:$AG364))))</f>
        <v/>
      </c>
      <c r="AR364" s="24">
        <f>ROUND(N364-X364-AH364,2)</f>
        <v/>
      </c>
      <c r="AS364" s="24">
        <f>ROUND(O364-Y364-AI364,2)</f>
        <v/>
      </c>
      <c r="AT364" s="24">
        <f>ROUND(P364-Z364-AJ364,2)</f>
        <v/>
      </c>
      <c r="AU364" s="24">
        <f>ROUND(Q364-AA364-AK364,2)</f>
        <v/>
      </c>
      <c r="AV364" s="24">
        <f>ROUND(R364-AB364-AL364,2)</f>
        <v/>
      </c>
      <c r="AW364" s="24">
        <f>ROUND(S364-AC364-AM364,2)</f>
        <v/>
      </c>
      <c r="AX364" s="24">
        <f>ROUND(T364-AD364-AN364,2)</f>
        <v/>
      </c>
      <c r="AY364" s="24">
        <f>ROUND(U364-AE364-AO364,2)</f>
        <v/>
      </c>
      <c r="AZ364" s="24">
        <f>ROUND(V364-AF364-AP364,2)</f>
        <v/>
      </c>
      <c r="BA364" s="24">
        <f>ROUND(W364-AG364-AQ364,2)</f>
        <v/>
      </c>
      <c r="BB364" s="24">
        <f>SUM(AR364:BA364)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2026-10-02T19:30:32Z</dcterms:created>
  <dcterms:modified xmlns:dcterms="http://purl.org/dc/terms/" xmlns:xsi="http://www.w3.org/2001/XMLSchema-instance" xsi:type="dcterms:W3CDTF">2026-10-02T19:30:32Z</dcterms:modified>
</cp:coreProperties>
</file>