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HRA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m yyyy"/>
  </numFmts>
  <fonts count="10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</font>
    <font>
      <i val="1"/>
      <color rgb="006B7280"/>
      <sz val="10"/>
    </font>
    <font/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7F5EC"/>
      </patternFill>
    </fill>
  </fills>
  <borders count="5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 style="thin">
        <color rgb="00C9D2DE"/>
      </left>
      <right style="thin">
        <color rgb="00C9D2DE"/>
      </right>
      <top style="thin">
        <color rgb="00C9D2DE"/>
      </top>
    </border>
    <border>
      <left style="thin">
        <color rgb="00C9D2DE"/>
      </left>
      <right style="thin">
        <color rgb="00C9D2DE"/>
      </right>
    </border>
    <border>
      <left style="thin">
        <color rgb="00C9D2DE"/>
      </left>
      <right style="thin">
        <color rgb="00C9D2DE"/>
      </right>
      <bottom style="thin">
        <color rgb="00C9D2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3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3" applyAlignment="1" pivotButton="0" quotePrefix="0" xfId="0">
      <alignment vertical="top" wrapText="1"/>
    </xf>
    <xf numFmtId="0" fontId="0" fillId="0" borderId="4" pivotButton="0" quotePrefix="0" xfId="0"/>
    <xf numFmtId="0" fontId="8" fillId="0" borderId="0" pivotButton="0" quotePrefix="0" xfId="0"/>
    <xf numFmtId="0" fontId="9" fillId="0" borderId="0" pivotButton="0" quotePrefix="0" xfId="0"/>
    <xf numFmtId="4" fontId="0" fillId="0" borderId="1" pivotButton="0" quotePrefix="0" xfId="0"/>
    <xf numFmtId="4" fontId="7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Rent Receipt &amp; HRA Kit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Fill the yellow cells in 'Details' — your name, landlord's name and PAN, address, monthly rent and payment mode.</t>
        </is>
      </c>
    </row>
    <row r="6">
      <c r="A6" s="4" t="n">
        <v>2</v>
      </c>
      <c r="B6" s="5" t="inlineStr">
        <is>
          <t>Open 'Receipts' — 12 monthly receipts (April 2026 to March 2027) are ready. Print on A4.</t>
        </is>
      </c>
    </row>
    <row r="7">
      <c r="A7" s="4" t="n">
        <v>3</v>
      </c>
      <c r="B7" s="5" t="inlineStr">
        <is>
          <t>Get each receipt signed by the landlord. If rent is paid in cash and is more than ₹5,000, a ₹1 revenue stamp is needed.</t>
        </is>
      </c>
    </row>
    <row r="8">
      <c r="A8" s="4" t="n">
        <v>4</v>
      </c>
      <c r="B8" s="5" t="inlineStr">
        <is>
          <t>Submit the receipts to your employer with the investment declaration (Form 12BB), or keep them for your ITR.</t>
        </is>
      </c>
    </row>
    <row r="9">
      <c r="A9" s="4" t="n">
        <v>5</v>
      </c>
      <c r="B9" s="5" t="inlineStr">
        <is>
          <t>Open 'HRA Check' to see how much HRA is exempt and whether the landlord's PAN is required.</t>
        </is>
      </c>
    </row>
    <row r="11">
      <c r="B11" s="3" t="inlineStr">
        <is>
          <t>Good to know</t>
        </is>
      </c>
    </row>
    <row r="12">
      <c r="B12" s="5" t="inlineStr">
        <is>
          <t>• Landlord's PAN is required if the rent you pay is more than ₹1,00,000 in the year.</t>
        </is>
      </c>
    </row>
    <row r="13">
      <c r="B13" s="5" t="inlineStr">
        <is>
          <t>• HRA exemption is available only in the OLD tax regime.</t>
        </is>
      </c>
    </row>
    <row r="14">
      <c r="B14" s="5" t="inlineStr">
        <is>
          <t>• Metro cities for the 50% limit: Delhi, Mumbai, Kolkata and Chennai.</t>
        </is>
      </c>
    </row>
    <row r="15">
      <c r="B15" s="5" t="inlineStr">
        <is>
          <t>• Paying rent to parents is allowed if they own the house and show the rent in their own ITR. Rent to a spouse is generally not accepted.</t>
        </is>
      </c>
    </row>
    <row r="17">
      <c r="B17" s="6" t="inlineStr">
        <is>
          <t>Cells shaded light yellow are for your entries. White cells contain formulas — please don't type over them.</t>
        </is>
      </c>
    </row>
    <row r="19">
      <c r="B19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Details for your rent receipts</t>
        </is>
      </c>
    </row>
    <row r="3">
      <c r="A3" s="9" t="inlineStr">
        <is>
          <t>Tenant name (you)</t>
        </is>
      </c>
      <c r="B3" s="10" t="inlineStr">
        <is>
          <t>Your Name</t>
        </is>
      </c>
    </row>
    <row r="4">
      <c r="A4" s="9" t="inlineStr">
        <is>
          <t>Landlord name</t>
        </is>
      </c>
      <c r="B4" s="10" t="inlineStr">
        <is>
          <t>Landlord Name</t>
        </is>
      </c>
    </row>
    <row r="5">
      <c r="A5" s="9" t="inlineStr">
        <is>
          <t>Landlord PAN</t>
        </is>
      </c>
      <c r="B5" s="10" t="inlineStr">
        <is>
          <t>ABCDE1234F</t>
        </is>
      </c>
    </row>
    <row r="6">
      <c r="A6" s="9" t="inlineStr">
        <is>
          <t>Rented house address</t>
        </is>
      </c>
      <c r="B6" s="10" t="inlineStr">
        <is>
          <t>House No., Street, City, PIN</t>
        </is>
      </c>
    </row>
    <row r="7">
      <c r="A7" s="9" t="inlineStr">
        <is>
          <t>Monthly rent (₹)</t>
        </is>
      </c>
      <c r="B7" s="10" t="n">
        <v>15000</v>
      </c>
    </row>
    <row r="8">
      <c r="A8" s="9" t="inlineStr">
        <is>
          <t>Payment mode</t>
        </is>
      </c>
      <c r="B8" s="10" t="inlineStr">
        <is>
          <t>Bank transfer</t>
        </is>
      </c>
    </row>
    <row r="9">
      <c r="A9" s="9" t="inlineStr">
        <is>
          <t>First month of rent</t>
        </is>
      </c>
      <c r="B9" s="11">
        <f>DATE(2026,4,1)</f>
        <v/>
      </c>
    </row>
    <row r="10">
      <c r="A10" s="9" t="inlineStr">
        <is>
          <t>Metro city? (Y/N)</t>
        </is>
      </c>
      <c r="B10" s="10" t="inlineStr">
        <is>
          <t>N</t>
        </is>
      </c>
    </row>
    <row r="11">
      <c r="A11" s="9" t="inlineStr">
        <is>
          <t>Annual Basic + DA (₹)</t>
        </is>
      </c>
      <c r="B11" s="10" t="n">
        <v>600000</v>
      </c>
    </row>
    <row r="12">
      <c r="A12" s="9" t="inlineStr">
        <is>
          <t>Annual HRA received (₹)</t>
        </is>
      </c>
      <c r="B12" s="10" t="n">
        <v>240000</v>
      </c>
    </row>
  </sheetData>
  <mergeCells count="1">
    <mergeCell ref="A1:B1"/>
  </mergeCells>
  <dataValidations count="2">
    <dataValidation sqref="B8" showDropDown="0" showInputMessage="0" showErrorMessage="0" allowBlank="0" type="list">
      <formula1>"Bank transfer,UPI,Cheque,Cash"</formula1>
    </dataValidation>
    <dataValidation sqref="B1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82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>
      <c r="B1" s="12" t="inlineStr">
        <is>
          <t>RENT RECEIPT</t>
        </is>
      </c>
    </row>
    <row r="2">
      <c r="B2" s="13">
        <f>"Receipt No. 01     Date: "&amp;TEXT(EOMONTH(Details!$B$9,0),"dd-mm-yyyy")</f>
        <v/>
      </c>
    </row>
    <row r="3" ht="48" customHeight="1">
      <c r="B3" s="14">
        <f>"Received with thanks from "&amp;Details!$B$3&amp;" a sum of Rs. "&amp;TEXT(Details!$B$7,"#,##0")&amp;"/- "&amp;"by "&amp;LOWER(Details!$B$8)&amp;" towards rent for the month of "&amp;TEXT(EDATE(Details!$B$9,0),"mmmm yyyy")&amp;" for the residential premises at "&amp;Details!$B$6&amp;"."</f>
        <v/>
      </c>
    </row>
    <row r="4">
      <c r="B4" s="13">
        <f>"Landlord: "&amp;Details!$B$4&amp;"     PAN: "&amp;IF(Details!$B$7*12&gt;100000,Details!$B$5,"(not required)")</f>
        <v/>
      </c>
    </row>
    <row r="5">
      <c r="B5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8">
      <c r="B8" s="12" t="inlineStr">
        <is>
          <t>RENT RECEIPT</t>
        </is>
      </c>
    </row>
    <row r="9">
      <c r="B9" s="13">
        <f>"Receipt No. 02     Date: "&amp;TEXT(EOMONTH(Details!$B$9,1),"dd-mm-yyyy")</f>
        <v/>
      </c>
    </row>
    <row r="10" ht="48" customHeight="1">
      <c r="B10" s="14">
        <f>"Received with thanks from "&amp;Details!$B$3&amp;" a sum of Rs. "&amp;TEXT(Details!$B$7,"#,##0")&amp;"/- "&amp;"by "&amp;LOWER(Details!$B$8)&amp;" towards rent for the month of "&amp;TEXT(EDATE(Details!$B$9,1),"mmmm yyyy")&amp;" for the residential premises at "&amp;Details!$B$6&amp;"."</f>
        <v/>
      </c>
    </row>
    <row r="11">
      <c r="B11" s="13">
        <f>"Landlord: "&amp;Details!$B$4&amp;"     PAN: "&amp;IF(Details!$B$7*12&gt;100000,Details!$B$5,"(not required)")</f>
        <v/>
      </c>
    </row>
    <row r="12">
      <c r="B12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15">
      <c r="B15" s="12" t="inlineStr">
        <is>
          <t>RENT RECEIPT</t>
        </is>
      </c>
    </row>
    <row r="16">
      <c r="B16" s="13">
        <f>"Receipt No. 03     Date: "&amp;TEXT(EOMONTH(Details!$B$9,2),"dd-mm-yyyy")</f>
        <v/>
      </c>
    </row>
    <row r="17" ht="48" customHeight="1">
      <c r="B17" s="14">
        <f>"Received with thanks from "&amp;Details!$B$3&amp;" a sum of Rs. "&amp;TEXT(Details!$B$7,"#,##0")&amp;"/- "&amp;"by "&amp;LOWER(Details!$B$8)&amp;" towards rent for the month of "&amp;TEXT(EDATE(Details!$B$9,2),"mmmm yyyy")&amp;" for the residential premises at "&amp;Details!$B$6&amp;"."</f>
        <v/>
      </c>
    </row>
    <row r="18">
      <c r="B18" s="13">
        <f>"Landlord: "&amp;Details!$B$4&amp;"     PAN: "&amp;IF(Details!$B$7*12&gt;100000,Details!$B$5,"(not required)")</f>
        <v/>
      </c>
    </row>
    <row r="19">
      <c r="B19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22">
      <c r="B22" s="12" t="inlineStr">
        <is>
          <t>RENT RECEIPT</t>
        </is>
      </c>
    </row>
    <row r="23">
      <c r="B23" s="13">
        <f>"Receipt No. 04     Date: "&amp;TEXT(EOMONTH(Details!$B$9,3),"dd-mm-yyyy")</f>
        <v/>
      </c>
    </row>
    <row r="24" ht="48" customHeight="1">
      <c r="B24" s="14">
        <f>"Received with thanks from "&amp;Details!$B$3&amp;" a sum of Rs. "&amp;TEXT(Details!$B$7,"#,##0")&amp;"/- "&amp;"by "&amp;LOWER(Details!$B$8)&amp;" towards rent for the month of "&amp;TEXT(EDATE(Details!$B$9,3),"mmmm yyyy")&amp;" for the residential premises at "&amp;Details!$B$6&amp;"."</f>
        <v/>
      </c>
    </row>
    <row r="25">
      <c r="B25" s="13">
        <f>"Landlord: "&amp;Details!$B$4&amp;"     PAN: "&amp;IF(Details!$B$7*12&gt;100000,Details!$B$5,"(not required)")</f>
        <v/>
      </c>
    </row>
    <row r="26">
      <c r="B26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29">
      <c r="B29" s="12" t="inlineStr">
        <is>
          <t>RENT RECEIPT</t>
        </is>
      </c>
    </row>
    <row r="30">
      <c r="B30" s="13">
        <f>"Receipt No. 05     Date: "&amp;TEXT(EOMONTH(Details!$B$9,4),"dd-mm-yyyy")</f>
        <v/>
      </c>
    </row>
    <row r="31" ht="48" customHeight="1">
      <c r="B31" s="14">
        <f>"Received with thanks from "&amp;Details!$B$3&amp;" a sum of Rs. "&amp;TEXT(Details!$B$7,"#,##0")&amp;"/- "&amp;"by "&amp;LOWER(Details!$B$8)&amp;" towards rent for the month of "&amp;TEXT(EDATE(Details!$B$9,4),"mmmm yyyy")&amp;" for the residential premises at "&amp;Details!$B$6&amp;"."</f>
        <v/>
      </c>
    </row>
    <row r="32">
      <c r="B32" s="13">
        <f>"Landlord: "&amp;Details!$B$4&amp;"     PAN: "&amp;IF(Details!$B$7*12&gt;100000,Details!$B$5,"(not required)")</f>
        <v/>
      </c>
    </row>
    <row r="33">
      <c r="B33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36">
      <c r="B36" s="12" t="inlineStr">
        <is>
          <t>RENT RECEIPT</t>
        </is>
      </c>
    </row>
    <row r="37">
      <c r="B37" s="13">
        <f>"Receipt No. 06     Date: "&amp;TEXT(EOMONTH(Details!$B$9,5),"dd-mm-yyyy")</f>
        <v/>
      </c>
    </row>
    <row r="38" ht="48" customHeight="1">
      <c r="B38" s="14">
        <f>"Received with thanks from "&amp;Details!$B$3&amp;" a sum of Rs. "&amp;TEXT(Details!$B$7,"#,##0")&amp;"/- "&amp;"by "&amp;LOWER(Details!$B$8)&amp;" towards rent for the month of "&amp;TEXT(EDATE(Details!$B$9,5),"mmmm yyyy")&amp;" for the residential premises at "&amp;Details!$B$6&amp;"."</f>
        <v/>
      </c>
    </row>
    <row r="39">
      <c r="B39" s="13">
        <f>"Landlord: "&amp;Details!$B$4&amp;"     PAN: "&amp;IF(Details!$B$7*12&gt;100000,Details!$B$5,"(not required)")</f>
        <v/>
      </c>
    </row>
    <row r="40">
      <c r="B40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43">
      <c r="B43" s="12" t="inlineStr">
        <is>
          <t>RENT RECEIPT</t>
        </is>
      </c>
    </row>
    <row r="44">
      <c r="B44" s="13">
        <f>"Receipt No. 07     Date: "&amp;TEXT(EOMONTH(Details!$B$9,6),"dd-mm-yyyy")</f>
        <v/>
      </c>
    </row>
    <row r="45" ht="48" customHeight="1">
      <c r="B45" s="14">
        <f>"Received with thanks from "&amp;Details!$B$3&amp;" a sum of Rs. "&amp;TEXT(Details!$B$7,"#,##0")&amp;"/- "&amp;"by "&amp;LOWER(Details!$B$8)&amp;" towards rent for the month of "&amp;TEXT(EDATE(Details!$B$9,6),"mmmm yyyy")&amp;" for the residential premises at "&amp;Details!$B$6&amp;"."</f>
        <v/>
      </c>
    </row>
    <row r="46">
      <c r="B46" s="13">
        <f>"Landlord: "&amp;Details!$B$4&amp;"     PAN: "&amp;IF(Details!$B$7*12&gt;100000,Details!$B$5,"(not required)")</f>
        <v/>
      </c>
    </row>
    <row r="47">
      <c r="B47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50">
      <c r="B50" s="12" t="inlineStr">
        <is>
          <t>RENT RECEIPT</t>
        </is>
      </c>
    </row>
    <row r="51">
      <c r="B51" s="13">
        <f>"Receipt No. 08     Date: "&amp;TEXT(EOMONTH(Details!$B$9,7),"dd-mm-yyyy")</f>
        <v/>
      </c>
    </row>
    <row r="52" ht="48" customHeight="1">
      <c r="B52" s="14">
        <f>"Received with thanks from "&amp;Details!$B$3&amp;" a sum of Rs. "&amp;TEXT(Details!$B$7,"#,##0")&amp;"/- "&amp;"by "&amp;LOWER(Details!$B$8)&amp;" towards rent for the month of "&amp;TEXT(EDATE(Details!$B$9,7),"mmmm yyyy")&amp;" for the residential premises at "&amp;Details!$B$6&amp;"."</f>
        <v/>
      </c>
    </row>
    <row r="53">
      <c r="B53" s="13">
        <f>"Landlord: "&amp;Details!$B$4&amp;"     PAN: "&amp;IF(Details!$B$7*12&gt;100000,Details!$B$5,"(not required)")</f>
        <v/>
      </c>
    </row>
    <row r="54">
      <c r="B54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57">
      <c r="B57" s="12" t="inlineStr">
        <is>
          <t>RENT RECEIPT</t>
        </is>
      </c>
    </row>
    <row r="58">
      <c r="B58" s="13">
        <f>"Receipt No. 09     Date: "&amp;TEXT(EOMONTH(Details!$B$9,8),"dd-mm-yyyy")</f>
        <v/>
      </c>
    </row>
    <row r="59" ht="48" customHeight="1">
      <c r="B59" s="14">
        <f>"Received with thanks from "&amp;Details!$B$3&amp;" a sum of Rs. "&amp;TEXT(Details!$B$7,"#,##0")&amp;"/- "&amp;"by "&amp;LOWER(Details!$B$8)&amp;" towards rent for the month of "&amp;TEXT(EDATE(Details!$B$9,8),"mmmm yyyy")&amp;" for the residential premises at "&amp;Details!$B$6&amp;"."</f>
        <v/>
      </c>
    </row>
    <row r="60">
      <c r="B60" s="13">
        <f>"Landlord: "&amp;Details!$B$4&amp;"     PAN: "&amp;IF(Details!$B$7*12&gt;100000,Details!$B$5,"(not required)")</f>
        <v/>
      </c>
    </row>
    <row r="61">
      <c r="B61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64">
      <c r="B64" s="12" t="inlineStr">
        <is>
          <t>RENT RECEIPT</t>
        </is>
      </c>
    </row>
    <row r="65">
      <c r="B65" s="13">
        <f>"Receipt No. 10     Date: "&amp;TEXT(EOMONTH(Details!$B$9,9),"dd-mm-yyyy")</f>
        <v/>
      </c>
    </row>
    <row r="66" ht="48" customHeight="1">
      <c r="B66" s="14">
        <f>"Received with thanks from "&amp;Details!$B$3&amp;" a sum of Rs. "&amp;TEXT(Details!$B$7,"#,##0")&amp;"/- "&amp;"by "&amp;LOWER(Details!$B$8)&amp;" towards rent for the month of "&amp;TEXT(EDATE(Details!$B$9,9),"mmmm yyyy")&amp;" for the residential premises at "&amp;Details!$B$6&amp;"."</f>
        <v/>
      </c>
    </row>
    <row r="67">
      <c r="B67" s="13">
        <f>"Landlord: "&amp;Details!$B$4&amp;"     PAN: "&amp;IF(Details!$B$7*12&gt;100000,Details!$B$5,"(not required)")</f>
        <v/>
      </c>
    </row>
    <row r="68">
      <c r="B68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71">
      <c r="B71" s="12" t="inlineStr">
        <is>
          <t>RENT RECEIPT</t>
        </is>
      </c>
    </row>
    <row r="72">
      <c r="B72" s="13">
        <f>"Receipt No. 11     Date: "&amp;TEXT(EOMONTH(Details!$B$9,10),"dd-mm-yyyy")</f>
        <v/>
      </c>
    </row>
    <row r="73" ht="48" customHeight="1">
      <c r="B73" s="14">
        <f>"Received with thanks from "&amp;Details!$B$3&amp;" a sum of Rs. "&amp;TEXT(Details!$B$7,"#,##0")&amp;"/- "&amp;"by "&amp;LOWER(Details!$B$8)&amp;" towards rent for the month of "&amp;TEXT(EDATE(Details!$B$9,10),"mmmm yyyy")&amp;" for the residential premises at "&amp;Details!$B$6&amp;"."</f>
        <v/>
      </c>
    </row>
    <row r="74">
      <c r="B74" s="13">
        <f>"Landlord: "&amp;Details!$B$4&amp;"     PAN: "&amp;IF(Details!$B$7*12&gt;100000,Details!$B$5,"(not required)")</f>
        <v/>
      </c>
    </row>
    <row r="75">
      <c r="B75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  <row r="78">
      <c r="B78" s="12" t="inlineStr">
        <is>
          <t>RENT RECEIPT</t>
        </is>
      </c>
    </row>
    <row r="79">
      <c r="B79" s="13">
        <f>"Receipt No. 12     Date: "&amp;TEXT(EOMONTH(Details!$B$9,11),"dd-mm-yyyy")</f>
        <v/>
      </c>
    </row>
    <row r="80" ht="48" customHeight="1">
      <c r="B80" s="14">
        <f>"Received with thanks from "&amp;Details!$B$3&amp;" a sum of Rs. "&amp;TEXT(Details!$B$7,"#,##0")&amp;"/- "&amp;"by "&amp;LOWER(Details!$B$8)&amp;" towards rent for the month of "&amp;TEXT(EDATE(Details!$B$9,11),"mmmm yyyy")&amp;" for the residential premises at "&amp;Details!$B$6&amp;"."</f>
        <v/>
      </c>
    </row>
    <row r="81">
      <c r="B81" s="13">
        <f>"Landlord: "&amp;Details!$B$4&amp;"     PAN: "&amp;IF(Details!$B$7*12&gt;100000,Details!$B$5,"(not required)")</f>
        <v/>
      </c>
    </row>
    <row r="82">
      <c r="B82" s="15">
        <f>IF(AND(Details!$B$8="Cash",Details!$B$7&gt;5000),"[ Affix ₹1 revenue stamp ]                                        Signature of landlord","                                                                          Signature of landlord")</f>
        <v/>
      </c>
    </row>
  </sheetData>
  <pageMargins left="0.75" right="0.75" top="1" bottom="1" header="0.5" footer="0.5"/>
  <pageSetup paperSize="9" fitToHeight="0" fitToWidth="1"/>
  <rowBreaks count="4" manualBreakCount="4">
    <brk id="21" min="0" max="16383" man="1"/>
    <brk id="42" min="0" max="16383" man="1"/>
    <brk id="63" min="0" max="16383" man="1"/>
    <brk id="8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8" t="inlineStr">
        <is>
          <t>HRA exemption check (old regime)</t>
        </is>
      </c>
    </row>
    <row r="2">
      <c r="A2" s="16" t="inlineStr">
        <is>
          <t>Exemption = least of the three amounts below</t>
        </is>
      </c>
    </row>
    <row r="4">
      <c r="A4" s="17" t="inlineStr">
        <is>
          <t>Annual rent paid</t>
        </is>
      </c>
      <c r="B4" s="18">
        <f>Details!B7*12</f>
        <v/>
      </c>
    </row>
    <row r="5">
      <c r="A5" s="17" t="inlineStr">
        <is>
          <t>1. Actual HRA received</t>
        </is>
      </c>
      <c r="B5" s="18">
        <f>Details!B12</f>
        <v/>
      </c>
    </row>
    <row r="6">
      <c r="A6" s="17" t="inlineStr">
        <is>
          <t>2. Rent paid minus 10% of Basic+DA</t>
        </is>
      </c>
      <c r="B6" s="18">
        <f>MAX(0,B4-10%*Details!B11)</f>
        <v/>
      </c>
    </row>
    <row r="7">
      <c r="A7" s="17" t="inlineStr">
        <is>
          <t>3. 50% (metro) / 40% (non-metro) of Basic+DA</t>
        </is>
      </c>
      <c r="B7" s="18">
        <f>IF(Details!B10="Y",50%,40%)*Details!B11</f>
        <v/>
      </c>
    </row>
    <row r="8">
      <c r="A8" s="9" t="inlineStr">
        <is>
          <t>HRA EXEMPT (least of 1, 2, 3)</t>
        </is>
      </c>
      <c r="B8" s="19">
        <f>MIN(B5,B6,B7)</f>
        <v/>
      </c>
    </row>
    <row r="9">
      <c r="A9" s="17" t="inlineStr">
        <is>
          <t>HRA taxable</t>
        </is>
      </c>
      <c r="B9" s="18">
        <f>B5-B8</f>
        <v/>
      </c>
    </row>
    <row r="10">
      <c r="A10" s="9" t="inlineStr">
        <is>
          <t>Landlord PAN needed?</t>
        </is>
      </c>
      <c r="B10" s="20">
        <f>IF(B4&gt;100000,"Yes — rent is above ₹1,00,000 a year","No")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2026-09-29T05:36:42Z</dcterms:created>
  <dcterms:modified xmlns:dcterms="http://purl.org/dc/terms/" xmlns:xsi="http://www.w3.org/2001/XMLSchema-instance" xsi:type="dcterms:W3CDTF">2026-09-29T05:36:42Z</dcterms:modified>
</cp:coreProperties>
</file>