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Which ITR Form" sheetId="2" state="visible" r:id="rId2"/>
    <sheet xmlns:r="http://schemas.openxmlformats.org/officeDocument/2006/relationships" name="Document Checklist" sheetId="3" state="visible" r:id="rId3"/>
    <sheet xmlns:r="http://schemas.openxmlformats.org/officeDocument/2006/relationships" name="Income Organizer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AIS &amp; 26AS Match" sheetId="6" state="visible" r:id="rId6"/>
    <sheet xmlns:r="http://schemas.openxmlformats.org/officeDocument/2006/relationships" name="Filing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  <color rgb="00002B5C"/>
    </font>
    <font>
      <b val="1"/>
    </font>
    <font>
      <b val="1"/>
      <color rgb="00D99A2B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0" fontId="8" fillId="3" borderId="0" pivotButton="0" quotePrefix="0" xfId="0"/>
    <xf numFmtId="0" fontId="0" fillId="3" borderId="0" pivotButton="0" quotePrefix="0" xfId="0"/>
    <xf numFmtId="4" fontId="0" fillId="2" borderId="1" pivotButton="0" quotePrefix="0" xfId="0"/>
    <xf numFmtId="0" fontId="12" fillId="0" borderId="0" pivotButton="0" quotePrefix="0" xfId="0"/>
    <xf numFmtId="4" fontId="0" fillId="0" borderId="0" pivotButton="0" quotePrefix="0" xfId="0"/>
    <xf numFmtId="4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ITR Filing Checklist &amp; Organizer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Start with 'Which ITR Form' to see which form fits your income.</t>
        </is>
      </c>
    </row>
    <row r="6">
      <c r="A6" s="4" t="n">
        <v>2</v>
      </c>
      <c r="B6" s="5" t="inlineStr">
        <is>
          <t>Go through 'Document Checklist' — mark each item Have / Need / N.A. The progress bar at the top tells you when you are ready to file.</t>
        </is>
      </c>
    </row>
    <row r="7">
      <c r="A7" s="4" t="n">
        <v>3</v>
      </c>
      <c r="B7" s="5" t="inlineStr">
        <is>
          <t>Fill 'Income Organizer' from your Form 16, bank statements, rent agreement and capital-gains statements.</t>
        </is>
      </c>
    </row>
    <row r="8">
      <c r="A8" s="4" t="n">
        <v>4</v>
      </c>
      <c r="B8" s="5" t="inlineStr">
        <is>
          <t>Fill 'Deductions' only if you will choose the old tax regime (most deductions are not available in the new regime). Compare both regimes on our free calculator: www.rajputlalitassociates.in/income-tax-calculator</t>
        </is>
      </c>
    </row>
    <row r="9">
      <c r="A9" s="4" t="n">
        <v>5</v>
      </c>
      <c r="B9" s="5" t="inlineStr">
        <is>
          <t>Download your AIS and Form 26AS from the e-filing portal and enter their figures in 'AIS &amp; 26AS Match'. Every difference must be explained or corrected before you file — that is how most notices are avoided.</t>
        </is>
      </c>
    </row>
    <row r="10">
      <c r="A10" s="4" t="n">
        <v>6</v>
      </c>
      <c r="B10" s="5" t="inlineStr">
        <is>
          <t>Keep 'Filing Details' updated with the bank account for refund, the acknowledgement number and the date you e-verified.</t>
        </is>
      </c>
    </row>
    <row r="12">
      <c r="B12" s="3" t="inlineStr">
        <is>
          <t>Good to know</t>
        </is>
      </c>
    </row>
    <row r="13">
      <c r="B13" s="5" t="inlineStr">
        <is>
          <t>• Due dates for tax year 2026-27 (FY April 2026 – March 2027): 31 July 2027 for salaried and other individuals without business income; 31 August 2027 for business/professional income without audit; 31 October 2027 for audit cases.</t>
        </is>
      </c>
    </row>
    <row r="14">
      <c r="B14" s="5" t="inlineStr">
        <is>
          <t>• The return is complete only after e-verification (Aadhaar OTP / net banking / DSC) — do it within 30 days of filing.</t>
        </is>
      </c>
    </row>
    <row r="15">
      <c r="B15" s="5" t="inlineStr">
        <is>
          <t>• From 1 April 2026 the Income-tax Act, 2025 replaced the 1961 Act. Section numbers changed, but most concepts here (heads of income, AIS, regimes) stay the same. ITR forms are notified every year — confirm eligibility on the e-filing portal before filing.</t>
        </is>
      </c>
    </row>
    <row r="16">
      <c r="B16" s="5" t="inlineStr">
        <is>
          <t>• Works for any year — just change the year in 'Filing Details'.</t>
        </is>
      </c>
    </row>
    <row r="18">
      <c r="B18" s="6" t="inlineStr">
        <is>
          <t>Cells shaded light yellow are for your entries. White cells contain formulas — please don't type over them.</t>
        </is>
      </c>
    </row>
    <row r="20">
      <c r="B20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</cols>
  <sheetData>
    <row r="1">
      <c r="A1" s="8" t="inlineStr">
        <is>
          <t>Which ITR form should you file?</t>
        </is>
      </c>
    </row>
    <row r="2">
      <c r="A2" s="9" t="inlineStr">
        <is>
          <t>General guide for individuals and HUFs — confirm on the portal for your year</t>
        </is>
      </c>
    </row>
    <row r="4" ht="32" customHeight="1">
      <c r="A4" s="10" t="inlineStr">
        <is>
          <t>Form</t>
        </is>
      </c>
      <c r="B4" s="10" t="inlineStr">
        <is>
          <t>Who can use it</t>
        </is>
      </c>
      <c r="C4" s="10" t="inlineStr">
        <is>
          <t>Who cannot use it</t>
        </is>
      </c>
    </row>
    <row r="5" ht="75" customHeight="1">
      <c r="A5" s="11" t="inlineStr">
        <is>
          <t>ITR-1 (Sahaj)</t>
        </is>
      </c>
      <c r="B5" s="12" t="inlineStr">
        <is>
          <t>Resident individual with total income up to ₹50 lakh from salary/pension, house property, interest/dividends/family pension, agricultural income up to ₹5,000, and long-term gains on listed shares/equity funds up to ₹1.25 lakh.</t>
        </is>
      </c>
      <c r="C5" s="12" t="inlineStr">
        <is>
          <t>NRIs and RNOR; directors of a company; holders of unlisted shares; anyone with foreign assets/income, business income, or other capital gains.</t>
        </is>
      </c>
    </row>
    <row r="6" ht="75" customHeight="1">
      <c r="A6" s="11" t="inlineStr">
        <is>
          <t>ITR-2</t>
        </is>
      </c>
      <c r="B6" s="12" t="inlineStr">
        <is>
          <t>Individuals and HUFs with no business/professional income — e.g. capital gains of any kind, more than ₹50 lakh income, NRIs, foreign assets, directors, unlisted shares.</t>
        </is>
      </c>
      <c r="C6" s="12" t="inlineStr">
        <is>
          <t>Anyone with business or professional income.</t>
        </is>
      </c>
    </row>
    <row r="7" ht="75" customHeight="1">
      <c r="A7" s="11" t="inlineStr">
        <is>
          <t>ITR-3</t>
        </is>
      </c>
      <c r="B7" s="12" t="inlineStr">
        <is>
          <t>Individuals and HUFs with business or professional income computed from books of account, partners in a firm, or those who opt out of the presumptive scheme.</t>
        </is>
      </c>
      <c r="C7" s="12" t="inlineStr">
        <is>
          <t>—</t>
        </is>
      </c>
    </row>
    <row r="8" ht="75" customHeight="1">
      <c r="A8" s="11" t="inlineStr">
        <is>
          <t>ITR-4 (Sugam)</t>
        </is>
      </c>
      <c r="B8" s="12" t="inlineStr">
        <is>
          <t>Resident individuals, HUFs and firms (not LLPs) with total income up to ₹50 lakh and business/professional income under the presumptive scheme (old Sections 44AD / 44ADA / 44AE).</t>
        </is>
      </c>
      <c r="C8" s="12" t="inlineStr">
        <is>
          <t>NRIs; directors; holders of unlisted shares; those with foreign assets; income above ₹50 lakh.</t>
        </is>
      </c>
    </row>
    <row r="10">
      <c r="A10" s="4" t="inlineStr">
        <is>
          <t>Not sure? WhatsApp +91 93549 53603 — we'll tell you the right form free of charge.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0" customWidth="1" min="4" max="4"/>
  </cols>
  <sheetData>
    <row r="1">
      <c r="A1" s="8" t="inlineStr">
        <is>
          <t>Document Checklist</t>
        </is>
      </c>
    </row>
    <row r="2">
      <c r="A2" s="9" t="inlineStr">
        <is>
          <t>Mark each line: Have / Need / N.A.</t>
        </is>
      </c>
    </row>
    <row r="3">
      <c r="A3" s="13" t="inlineStr">
        <is>
          <t>Ready:</t>
        </is>
      </c>
      <c r="B3" s="14">
        <f>IF(COUNTA(C6:C37)=0,"Start marking the list below",TEXT(COUNTIF(C6:C37,"Have")/MAX(1,COUNTA(C6:C37)-COUNTIF(C6:C37,"N.A.")),"0%")&amp;" collected — "&amp;COUNTIF(C6:C37,"Need")&amp;" item(s) still needed")</f>
        <v/>
      </c>
    </row>
    <row r="5" ht="32" customHeight="1">
      <c r="A5" s="10" t="inlineStr">
        <is>
          <t>Section</t>
        </is>
      </c>
      <c r="B5" s="10" t="inlineStr">
        <is>
          <t>Document</t>
        </is>
      </c>
      <c r="C5" s="10" t="inlineStr">
        <is>
          <t>Status</t>
        </is>
      </c>
      <c r="D5" s="10" t="inlineStr">
        <is>
          <t>Notes</t>
        </is>
      </c>
    </row>
    <row r="6">
      <c r="A6" s="15" t="inlineStr">
        <is>
          <t>Basic</t>
        </is>
      </c>
      <c r="B6" s="16" t="inlineStr">
        <is>
          <t>PAN and Aadhaar (linked)</t>
        </is>
      </c>
      <c r="C6" s="17" t="n"/>
      <c r="D6" s="17" t="n"/>
    </row>
    <row r="7">
      <c r="A7" s="15" t="inlineStr">
        <is>
          <t>Basic</t>
        </is>
      </c>
      <c r="B7" s="16" t="inlineStr">
        <is>
          <t>Login for the income tax e-filing portal</t>
        </is>
      </c>
      <c r="C7" s="17" t="n"/>
      <c r="D7" s="17" t="n"/>
    </row>
    <row r="8">
      <c r="A8" s="15" t="inlineStr">
        <is>
          <t>Basic</t>
        </is>
      </c>
      <c r="B8" s="16" t="inlineStr">
        <is>
          <t>Bank account details (pre-validated on the portal for refund)</t>
        </is>
      </c>
      <c r="C8" s="17" t="n"/>
      <c r="D8" s="17" t="n"/>
    </row>
    <row r="9">
      <c r="A9" s="15" t="inlineStr">
        <is>
          <t>Basic</t>
        </is>
      </c>
      <c r="B9" s="16" t="inlineStr">
        <is>
          <t>Last year's ITR acknowledgement (if any)</t>
        </is>
      </c>
      <c r="C9" s="17" t="n"/>
      <c r="D9" s="17" t="n"/>
    </row>
    <row r="10">
      <c r="A10" s="15" t="inlineStr">
        <is>
          <t>AIS / 26AS</t>
        </is>
      </c>
      <c r="B10" s="16" t="inlineStr">
        <is>
          <t>Annual Information Statement (AIS) and Taxpayer Information Summary (TIS)</t>
        </is>
      </c>
      <c r="C10" s="17" t="n"/>
      <c r="D10" s="17" t="n"/>
    </row>
    <row r="11">
      <c r="A11" s="15" t="inlineStr">
        <is>
          <t>AIS / 26AS</t>
        </is>
      </c>
      <c r="B11" s="16" t="inlineStr">
        <is>
          <t>Form 26AS (TDS/TCS and tax paid)</t>
        </is>
      </c>
      <c r="C11" s="17" t="n"/>
      <c r="D11" s="17" t="n"/>
    </row>
    <row r="12">
      <c r="A12" s="15" t="inlineStr">
        <is>
          <t>Salary / pension</t>
        </is>
      </c>
      <c r="B12" s="16" t="inlineStr">
        <is>
          <t>Form 16 from each employer in the year</t>
        </is>
      </c>
      <c r="C12" s="17" t="n"/>
      <c r="D12" s="17" t="n"/>
    </row>
    <row r="13">
      <c r="A13" s="15" t="inlineStr">
        <is>
          <t>Salary / pension</t>
        </is>
      </c>
      <c r="B13" s="16" t="inlineStr">
        <is>
          <t>Salary slips (for allowances / HRA)</t>
        </is>
      </c>
      <c r="C13" s="17" t="n"/>
      <c r="D13" s="17" t="n"/>
    </row>
    <row r="14">
      <c r="A14" s="15" t="inlineStr">
        <is>
          <t>Salary / pension</t>
        </is>
      </c>
      <c r="B14" s="16" t="inlineStr">
        <is>
          <t>Rent receipts and landlord's PAN (if rent above ₹1 lakh a year — old regime HRA)</t>
        </is>
      </c>
      <c r="C14" s="17" t="n"/>
      <c r="D14" s="17" t="n"/>
    </row>
    <row r="15">
      <c r="A15" s="15" t="inlineStr">
        <is>
          <t>Salary / pension</t>
        </is>
      </c>
      <c r="B15" s="16" t="inlineStr">
        <is>
          <t>Pension certificate (pensioners)</t>
        </is>
      </c>
      <c r="C15" s="17" t="n"/>
      <c r="D15" s="17" t="n"/>
    </row>
    <row r="16">
      <c r="A16" s="15" t="inlineStr">
        <is>
          <t>House property</t>
        </is>
      </c>
      <c r="B16" s="16" t="inlineStr">
        <is>
          <t>Rent received / rent agreement for let-out property</t>
        </is>
      </c>
      <c r="C16" s="17" t="n"/>
      <c r="D16" s="17" t="n"/>
    </row>
    <row r="17">
      <c r="A17" s="15" t="inlineStr">
        <is>
          <t>House property</t>
        </is>
      </c>
      <c r="B17" s="16" t="inlineStr">
        <is>
          <t>Municipal tax paid receipts</t>
        </is>
      </c>
      <c r="C17" s="17" t="n"/>
      <c r="D17" s="17" t="n"/>
    </row>
    <row r="18">
      <c r="A18" s="15" t="inlineStr">
        <is>
          <t>House property</t>
        </is>
      </c>
      <c r="B18" s="16" t="inlineStr">
        <is>
          <t>Home loan interest certificate (bank)</t>
        </is>
      </c>
      <c r="C18" s="17" t="n"/>
      <c r="D18" s="17" t="n"/>
    </row>
    <row r="19">
      <c r="A19" s="15" t="inlineStr">
        <is>
          <t>House property</t>
        </is>
      </c>
      <c r="B19" s="16" t="inlineStr">
        <is>
          <t>Possession / completion date of the house</t>
        </is>
      </c>
      <c r="C19" s="17" t="n"/>
      <c r="D19" s="17" t="n"/>
    </row>
    <row r="20">
      <c r="A20" s="15" t="inlineStr">
        <is>
          <t>Interest &amp; dividends</t>
        </is>
      </c>
      <c r="B20" s="16" t="inlineStr">
        <is>
          <t>Savings and FD interest certificates (all banks / post office)</t>
        </is>
      </c>
      <c r="C20" s="17" t="n"/>
      <c r="D20" s="17" t="n"/>
    </row>
    <row r="21">
      <c r="A21" s="15" t="inlineStr">
        <is>
          <t>Interest &amp; dividends</t>
        </is>
      </c>
      <c r="B21" s="16" t="inlineStr">
        <is>
          <t>Dividend statements</t>
        </is>
      </c>
      <c r="C21" s="17" t="n"/>
      <c r="D21" s="17" t="n"/>
    </row>
    <row r="22">
      <c r="A22" s="15" t="inlineStr">
        <is>
          <t>Interest &amp; dividends</t>
        </is>
      </c>
      <c r="B22" s="16" t="inlineStr">
        <is>
          <t>Interest on income tax refund (shown in AIS)</t>
        </is>
      </c>
      <c r="C22" s="17" t="n"/>
      <c r="D22" s="17" t="n"/>
    </row>
    <row r="23">
      <c r="A23" s="15" t="inlineStr">
        <is>
          <t>Capital gains</t>
        </is>
      </c>
      <c r="B23" s="16" t="inlineStr">
        <is>
          <t>Capital gains statement from broker / mutual fund (CAMS / KFintech)</t>
        </is>
      </c>
      <c r="C23" s="17" t="n"/>
      <c r="D23" s="17" t="n"/>
    </row>
    <row r="24">
      <c r="A24" s="15" t="inlineStr">
        <is>
          <t>Capital gains</t>
        </is>
      </c>
      <c r="B24" s="16" t="inlineStr">
        <is>
          <t>Property sale deed and purchase deed, cost of improvement bills</t>
        </is>
      </c>
      <c r="C24" s="17" t="n"/>
      <c r="D24" s="17" t="n"/>
    </row>
    <row r="25">
      <c r="A25" s="15" t="inlineStr">
        <is>
          <t>Capital gains</t>
        </is>
      </c>
      <c r="B25" s="16" t="inlineStr">
        <is>
          <t>Proof of investment for exemption (new house / specified bonds)</t>
        </is>
      </c>
      <c r="C25" s="17" t="n"/>
      <c r="D25" s="17" t="n"/>
    </row>
    <row r="26">
      <c r="A26" s="15" t="inlineStr">
        <is>
          <t>Business / profession</t>
        </is>
      </c>
      <c r="B26" s="16" t="inlineStr">
        <is>
          <t>Bank statements of business accounts</t>
        </is>
      </c>
      <c r="C26" s="17" t="n"/>
      <c r="D26" s="17" t="n"/>
    </row>
    <row r="27">
      <c r="A27" s="15" t="inlineStr">
        <is>
          <t>Business / profession</t>
        </is>
      </c>
      <c r="B27" s="16" t="inlineStr">
        <is>
          <t>Sales and purchase summary / GST returns</t>
        </is>
      </c>
      <c r="C27" s="17" t="n"/>
      <c r="D27" s="17" t="n"/>
    </row>
    <row r="28">
      <c r="A28" s="15" t="inlineStr">
        <is>
          <t>Business / profession</t>
        </is>
      </c>
      <c r="B28" s="16" t="inlineStr">
        <is>
          <t>Profit &amp; loss and balance sheet (or gross receipts for presumptive)</t>
        </is>
      </c>
      <c r="C28" s="17" t="n"/>
      <c r="D28" s="17" t="n"/>
    </row>
    <row r="29">
      <c r="A29" s="15" t="inlineStr">
        <is>
          <t>Business / profession</t>
        </is>
      </c>
      <c r="B29" s="16" t="inlineStr">
        <is>
          <t>Advance tax challans</t>
        </is>
      </c>
      <c r="C29" s="17" t="n"/>
      <c r="D29" s="17" t="n"/>
    </row>
    <row r="30">
      <c r="A30" s="15" t="inlineStr">
        <is>
          <t>Deductions (old regime)</t>
        </is>
      </c>
      <c r="B30" s="16" t="inlineStr">
        <is>
          <t>Investments: PPF, ELSS, LIC, EPF, tuition fees, home loan principal</t>
        </is>
      </c>
      <c r="C30" s="17" t="n"/>
      <c r="D30" s="17" t="n"/>
    </row>
    <row r="31">
      <c r="A31" s="15" t="inlineStr">
        <is>
          <t>Deductions (old regime)</t>
        </is>
      </c>
      <c r="B31" s="16" t="inlineStr">
        <is>
          <t>Health insurance premium receipts (self, family, parents)</t>
        </is>
      </c>
      <c r="C31" s="17" t="n"/>
      <c r="D31" s="17" t="n"/>
    </row>
    <row r="32">
      <c r="A32" s="15" t="inlineStr">
        <is>
          <t>Deductions (old regime)</t>
        </is>
      </c>
      <c r="B32" s="16" t="inlineStr">
        <is>
          <t>NPS contribution statement</t>
        </is>
      </c>
      <c r="C32" s="17" t="n"/>
      <c r="D32" s="17" t="n"/>
    </row>
    <row r="33">
      <c r="A33" s="15" t="inlineStr">
        <is>
          <t>Deductions (old regime)</t>
        </is>
      </c>
      <c r="B33" s="16" t="inlineStr">
        <is>
          <t>Donation receipts with donee PAN</t>
        </is>
      </c>
      <c r="C33" s="17" t="n"/>
      <c r="D33" s="17" t="n"/>
    </row>
    <row r="34">
      <c r="A34" s="15" t="inlineStr">
        <is>
          <t>Deductions (old regime)</t>
        </is>
      </c>
      <c r="B34" s="16" t="inlineStr">
        <is>
          <t>Education loan interest certificate</t>
        </is>
      </c>
      <c r="C34" s="17" t="n"/>
      <c r="D34" s="17" t="n"/>
    </row>
    <row r="35">
      <c r="A35" s="15" t="inlineStr">
        <is>
          <t>Other</t>
        </is>
      </c>
      <c r="B35" s="16" t="inlineStr">
        <is>
          <t>Foreign bank accounts / assets (residents must disclose)</t>
        </is>
      </c>
      <c r="C35" s="17" t="n"/>
      <c r="D35" s="17" t="n"/>
    </row>
    <row r="36">
      <c r="A36" s="15" t="inlineStr">
        <is>
          <t>Other</t>
        </is>
      </c>
      <c r="B36" s="16" t="inlineStr">
        <is>
          <t>Crypto / virtual digital asset statements</t>
        </is>
      </c>
      <c r="C36" s="17" t="n"/>
      <c r="D36" s="17" t="n"/>
    </row>
    <row r="37">
      <c r="A37" s="15" t="inlineStr">
        <is>
          <t>Other</t>
        </is>
      </c>
      <c r="B37" s="16" t="inlineStr">
        <is>
          <t>Details of any income tax notice received</t>
        </is>
      </c>
      <c r="C37" s="17" t="n"/>
      <c r="D37" s="17" t="n"/>
    </row>
  </sheetData>
  <mergeCells count="2">
    <mergeCell ref="A1:D1"/>
    <mergeCell ref="A2:D2"/>
  </mergeCells>
  <dataValidations count="1">
    <dataValidation sqref="C6:C37" showDropDown="0" showInputMessage="0" showErrorMessage="0" allowBlank="1" type="list">
      <formula1>"Have,Need,N.A."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50" customWidth="1" min="3" max="3"/>
  </cols>
  <sheetData>
    <row r="1">
      <c r="A1" s="8" t="inlineStr">
        <is>
          <t>Income Organizer</t>
        </is>
      </c>
    </row>
    <row r="2">
      <c r="A2" s="9" t="inlineStr">
        <is>
          <t>Enter yearly figures in rupees</t>
        </is>
      </c>
    </row>
    <row r="4">
      <c r="A4" s="18" t="inlineStr">
        <is>
          <t>Salary / pension</t>
        </is>
      </c>
      <c r="B4" s="19" t="n"/>
      <c r="C4" s="19" t="n"/>
    </row>
    <row r="5">
      <c r="A5" t="inlineStr">
        <is>
          <t>Gross salary (Form 16, Part B)</t>
        </is>
      </c>
      <c r="B5" s="20" t="n"/>
      <c r="C5" s="17" t="n"/>
    </row>
    <row r="6">
      <c r="A6" t="inlineStr">
        <is>
          <t>Exempt allowances claimed (old regime: HRA, LTA…)</t>
        </is>
      </c>
      <c r="B6" s="20" t="n"/>
      <c r="C6" s="17" t="n"/>
    </row>
    <row r="7">
      <c r="A7" t="inlineStr">
        <is>
          <t>Professional tax paid</t>
        </is>
      </c>
      <c r="B7" s="20" t="n"/>
      <c r="C7" s="17" t="n"/>
    </row>
    <row r="8">
      <c r="A8" t="inlineStr">
        <is>
          <t>Pension</t>
        </is>
      </c>
      <c r="B8" s="20" t="n"/>
      <c r="C8" s="17" t="n"/>
    </row>
    <row r="10">
      <c r="A10" s="18" t="inlineStr">
        <is>
          <t>House property</t>
        </is>
      </c>
      <c r="B10" s="19" t="n"/>
      <c r="C10" s="19" t="n"/>
    </row>
    <row r="11">
      <c r="A11" t="inlineStr">
        <is>
          <t>Annual rent received</t>
        </is>
      </c>
      <c r="B11" s="20" t="n"/>
      <c r="C11" s="17" t="n"/>
    </row>
    <row r="12">
      <c r="A12" t="inlineStr">
        <is>
          <t>Municipal tax paid</t>
        </is>
      </c>
      <c r="B12" s="20" t="n"/>
      <c r="C12" s="17" t="n"/>
    </row>
    <row r="13">
      <c r="A13" t="inlineStr">
        <is>
          <t>Home loan interest — let-out property</t>
        </is>
      </c>
      <c r="B13" s="20" t="n"/>
      <c r="C13" s="17" t="n"/>
    </row>
    <row r="14">
      <c r="A14" t="inlineStr">
        <is>
          <t>Home loan interest — self-occupied property</t>
        </is>
      </c>
      <c r="B14" s="20" t="n"/>
      <c r="C14" s="17" t="n"/>
    </row>
    <row r="16">
      <c r="A16" s="18" t="inlineStr">
        <is>
          <t>Other sources</t>
        </is>
      </c>
      <c r="B16" s="19" t="n"/>
      <c r="C16" s="19" t="n"/>
    </row>
    <row r="17">
      <c r="A17" t="inlineStr">
        <is>
          <t>Savings bank interest</t>
        </is>
      </c>
      <c r="B17" s="20" t="n"/>
      <c r="C17" s="17" t="n"/>
    </row>
    <row r="18">
      <c r="A18" t="inlineStr">
        <is>
          <t>FD / RD / post office interest</t>
        </is>
      </c>
      <c r="B18" s="20" t="n"/>
      <c r="C18" s="17" t="n"/>
    </row>
    <row r="19">
      <c r="A19" t="inlineStr">
        <is>
          <t>Dividends</t>
        </is>
      </c>
      <c r="B19" s="20" t="n"/>
      <c r="C19" s="17" t="n"/>
    </row>
    <row r="20">
      <c r="A20" t="inlineStr">
        <is>
          <t>Family pension</t>
        </is>
      </c>
      <c r="B20" s="20" t="n"/>
      <c r="C20" s="17" t="n"/>
    </row>
    <row r="21">
      <c r="A21" t="inlineStr">
        <is>
          <t>Any other income</t>
        </is>
      </c>
      <c r="B21" s="20" t="n"/>
      <c r="C21" s="17" t="n"/>
    </row>
    <row r="23">
      <c r="A23" s="18" t="inlineStr">
        <is>
          <t>Capital gains</t>
        </is>
      </c>
      <c r="B23" s="19" t="n"/>
      <c r="C23" s="19" t="n"/>
    </row>
    <row r="24">
      <c r="A24" t="inlineStr">
        <is>
          <t>Short-term gains — listed shares / equity funds</t>
        </is>
      </c>
      <c r="B24" s="20" t="n"/>
      <c r="C24" s="17" t="n"/>
    </row>
    <row r="25">
      <c r="A25" t="inlineStr">
        <is>
          <t>Long-term gains — listed shares / equity funds</t>
        </is>
      </c>
      <c r="B25" s="20" t="n"/>
      <c r="C25" s="17" t="n"/>
    </row>
    <row r="26">
      <c r="A26" t="inlineStr">
        <is>
          <t>Gains on property / gold / debt funds / others</t>
        </is>
      </c>
      <c r="B26" s="20" t="n"/>
      <c r="C26" s="17" t="n"/>
    </row>
    <row r="28">
      <c r="A28" s="18" t="inlineStr">
        <is>
          <t>Business / profession</t>
        </is>
      </c>
      <c r="B28" s="19" t="n"/>
      <c r="C28" s="19" t="n"/>
    </row>
    <row r="29">
      <c r="A29" t="inlineStr">
        <is>
          <t>Gross receipts / turnover</t>
        </is>
      </c>
      <c r="B29" s="20" t="n"/>
      <c r="C29" s="17" t="n"/>
    </row>
    <row r="30">
      <c r="A30" t="inlineStr">
        <is>
          <t>Net profit as per books (or presumptive income)</t>
        </is>
      </c>
      <c r="B30" s="20" t="n"/>
      <c r="C30" s="17" t="n"/>
    </row>
    <row r="32">
      <c r="A32" s="21" t="inlineStr">
        <is>
          <t>Total of all figures entered (for reference only — not taxable income)</t>
        </is>
      </c>
      <c r="B32" s="22">
        <f>B5+B6+B7+B8+B11+B12+B13+B14+B17+B18+B19+B20+B21+B24+B25+B26+B29+B30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18" customWidth="1" min="3" max="3"/>
    <col width="16" customWidth="1" min="4" max="4"/>
  </cols>
  <sheetData>
    <row r="1">
      <c r="A1" s="8" t="inlineStr">
        <is>
          <t>Deductions — only if you choose the OLD regime</t>
        </is>
      </c>
    </row>
    <row r="2">
      <c r="A2" s="9" t="inlineStr">
        <is>
          <t>In the new regime only a few items (standard deduction, employer's NPS contribution) are allowed.</t>
        </is>
      </c>
    </row>
    <row r="4" ht="32" customHeight="1">
      <c r="A4" s="10" t="inlineStr">
        <is>
          <t>Deduction</t>
        </is>
      </c>
      <c r="B4" s="10" t="inlineStr">
        <is>
          <t>Limit (old regime)</t>
        </is>
      </c>
      <c r="C4" s="10" t="inlineStr">
        <is>
          <t>Amount you have</t>
        </is>
      </c>
      <c r="D4" s="10" t="inlineStr">
        <is>
          <t>Allowed</t>
        </is>
      </c>
    </row>
    <row r="5" ht="30" customHeight="1">
      <c r="A5" s="16" t="inlineStr">
        <is>
          <t>Investments — PPF, ELSS, LIC, EPF, tuition fees, home loan principal (earlier Section 80C)</t>
        </is>
      </c>
      <c r="B5" s="22" t="n">
        <v>150000</v>
      </c>
      <c r="C5" s="20" t="n"/>
      <c r="D5" s="22">
        <f>IF(ISNUMBER(B5),MIN(B5,N(C5)),N(C5))</f>
        <v/>
      </c>
    </row>
    <row r="6" ht="30" customHeight="1">
      <c r="A6" s="16" t="inlineStr">
        <is>
          <t>Additional NPS contribution (earlier Section 80CCD(1B))</t>
        </is>
      </c>
      <c r="B6" s="22" t="n">
        <v>50000</v>
      </c>
      <c r="C6" s="20" t="n"/>
      <c r="D6" s="22">
        <f>IF(ISNUMBER(B6),MIN(B6,N(C6)),N(C6))</f>
        <v/>
      </c>
    </row>
    <row r="7" ht="30" customHeight="1">
      <c r="A7" s="16" t="inlineStr">
        <is>
          <t>Health insurance — self &amp; family, below 60 (earlier 80D)</t>
        </is>
      </c>
      <c r="B7" s="22" t="n">
        <v>25000</v>
      </c>
      <c r="C7" s="20" t="n"/>
      <c r="D7" s="22">
        <f>IF(ISNUMBER(B7),MIN(B7,N(C7)),N(C7))</f>
        <v/>
      </c>
    </row>
    <row r="8" ht="30" customHeight="1">
      <c r="A8" s="16" t="inlineStr">
        <is>
          <t>Health insurance — parents (₹50,000 if parents are senior citizens)</t>
        </is>
      </c>
      <c r="B8" s="22" t="n">
        <v>50000</v>
      </c>
      <c r="C8" s="20" t="n"/>
      <c r="D8" s="22">
        <f>IF(ISNUMBER(B8),MIN(B8,N(C8)),N(C8))</f>
        <v/>
      </c>
    </row>
    <row r="9" ht="30" customHeight="1">
      <c r="A9" s="16" t="inlineStr">
        <is>
          <t>Interest on home loan — self-occupied house</t>
        </is>
      </c>
      <c r="B9" s="22" t="n">
        <v>200000</v>
      </c>
      <c r="C9" s="20" t="n"/>
      <c r="D9" s="22">
        <f>IF(ISNUMBER(B9),MIN(B9,N(C9)),N(C9))</f>
        <v/>
      </c>
    </row>
    <row r="10" ht="30" customHeight="1">
      <c r="A10" s="16" t="inlineStr">
        <is>
          <t>Savings bank interest (earlier 80TTA; 80TTB up to ₹50,000 for senior citizens)</t>
        </is>
      </c>
      <c r="B10" s="22" t="n">
        <v>10000</v>
      </c>
      <c r="C10" s="20" t="n"/>
      <c r="D10" s="22">
        <f>IF(ISNUMBER(B10),MIN(B10,N(C10)),N(C10))</f>
        <v/>
      </c>
    </row>
    <row r="11" ht="30" customHeight="1">
      <c r="A11" s="16" t="inlineStr">
        <is>
          <t>Education loan interest (no upper limit)</t>
        </is>
      </c>
      <c r="B11" s="22" t="inlineStr">
        <is>
          <t>No fixed limit</t>
        </is>
      </c>
      <c r="C11" s="20" t="n"/>
      <c r="D11" s="22">
        <f>IF(ISNUMBER(B11),MIN(B11,N(C11)),N(C11))</f>
        <v/>
      </c>
    </row>
    <row r="12" ht="30" customHeight="1">
      <c r="A12" s="16" t="inlineStr">
        <is>
          <t>Donations (eligible part)</t>
        </is>
      </c>
      <c r="B12" s="22" t="inlineStr">
        <is>
          <t>No fixed limit</t>
        </is>
      </c>
      <c r="C12" s="20" t="n"/>
      <c r="D12" s="22">
        <f>IF(ISNUMBER(B12),MIN(B12,N(C12)),N(C12))</f>
        <v/>
      </c>
    </row>
    <row r="13">
      <c r="A13" s="13" t="inlineStr">
        <is>
          <t>Total deductions (old regime)</t>
        </is>
      </c>
      <c r="D13" s="23">
        <f>SUM(D5:D12)</f>
        <v/>
      </c>
    </row>
    <row r="15" ht="30" customHeight="1">
      <c r="A15" s="16" t="inlineStr">
        <is>
          <t>Limits shown are the long-standing old-regime figures; the 2025 Act renumbered these sections. Confirm the limits for your year before filing.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34" customWidth="1" min="5" max="5"/>
    <col width="30" customWidth="1" min="6" max="6"/>
  </cols>
  <sheetData>
    <row r="1">
      <c r="A1" s="8" t="inlineStr">
        <is>
          <t>AIS &amp; Form 26AS — match before you file</t>
        </is>
      </c>
    </row>
    <row r="2">
      <c r="A2" s="9" t="inlineStr">
        <is>
          <t>Enter what AIS/26AS shows and what your records show</t>
        </is>
      </c>
    </row>
    <row r="4" ht="32" customHeight="1">
      <c r="A4" s="10" t="inlineStr">
        <is>
          <t>Item</t>
        </is>
      </c>
      <c r="B4" s="10" t="inlineStr">
        <is>
          <t>As per AIS / 26AS</t>
        </is>
      </c>
      <c r="C4" s="10" t="inlineStr">
        <is>
          <t>As per your records</t>
        </is>
      </c>
      <c r="D4" s="10" t="inlineStr">
        <is>
          <t>Difference</t>
        </is>
      </c>
      <c r="E4" s="10" t="inlineStr">
        <is>
          <t>Action</t>
        </is>
      </c>
      <c r="F4" s="10" t="inlineStr">
        <is>
          <t>Notes</t>
        </is>
      </c>
    </row>
    <row r="5">
      <c r="A5" t="inlineStr">
        <is>
          <t>Salary</t>
        </is>
      </c>
      <c r="B5" s="20" t="n"/>
      <c r="C5" s="20" t="n"/>
      <c r="D5" s="22">
        <f>IF(AND(B5="",C5=""),"",N(B5)-N(C5))</f>
        <v/>
      </c>
      <c r="E5">
        <f>IF(D5="","",IF(ABS(D5)&lt;1,"OK",IF(D5&gt;0,"Report it, or give feedback on AIS if wrong","Check — your figure is higher")))</f>
        <v/>
      </c>
      <c r="F5" s="17" t="n"/>
    </row>
    <row r="6">
      <c r="A6" t="inlineStr">
        <is>
          <t>TDS on salary</t>
        </is>
      </c>
      <c r="B6" s="20" t="n"/>
      <c r="C6" s="20" t="n"/>
      <c r="D6" s="22">
        <f>IF(AND(B6="",C6=""),"",N(B6)-N(C6))</f>
        <v/>
      </c>
      <c r="E6">
        <f>IF(D6="","",IF(ABS(D6)&lt;1,"OK",IF(D6&gt;0,"Report it, or give feedback on AIS if wrong","Check — your figure is higher")))</f>
        <v/>
      </c>
      <c r="F6" s="17" t="n"/>
    </row>
    <row r="7">
      <c r="A7" t="inlineStr">
        <is>
          <t>Savings interest</t>
        </is>
      </c>
      <c r="B7" s="20" t="n"/>
      <c r="C7" s="20" t="n"/>
      <c r="D7" s="22">
        <f>IF(AND(B7="",C7=""),"",N(B7)-N(C7))</f>
        <v/>
      </c>
      <c r="E7">
        <f>IF(D7="","",IF(ABS(D7)&lt;1,"OK",IF(D7&gt;0,"Report it, or give feedback on AIS if wrong","Check — your figure is higher")))</f>
        <v/>
      </c>
      <c r="F7" s="17" t="n"/>
    </row>
    <row r="8">
      <c r="A8" t="inlineStr">
        <is>
          <t>FD interest</t>
        </is>
      </c>
      <c r="B8" s="20" t="n"/>
      <c r="C8" s="20" t="n"/>
      <c r="D8" s="22">
        <f>IF(AND(B8="",C8=""),"",N(B8)-N(C8))</f>
        <v/>
      </c>
      <c r="E8">
        <f>IF(D8="","",IF(ABS(D8)&lt;1,"OK",IF(D8&gt;0,"Report it, or give feedback on AIS if wrong","Check — your figure is higher")))</f>
        <v/>
      </c>
      <c r="F8" s="17" t="n"/>
    </row>
    <row r="9">
      <c r="A9" t="inlineStr">
        <is>
          <t>Dividend</t>
        </is>
      </c>
      <c r="B9" s="20" t="n"/>
      <c r="C9" s="20" t="n"/>
      <c r="D9" s="22">
        <f>IF(AND(B9="",C9=""),"",N(B9)-N(C9))</f>
        <v/>
      </c>
      <c r="E9">
        <f>IF(D9="","",IF(ABS(D9)&lt;1,"OK",IF(D9&gt;0,"Report it, or give feedback on AIS if wrong","Check — your figure is higher")))</f>
        <v/>
      </c>
      <c r="F9" s="17" t="n"/>
    </row>
    <row r="10">
      <c r="A10" t="inlineStr">
        <is>
          <t>Rent received</t>
        </is>
      </c>
      <c r="B10" s="20" t="n"/>
      <c r="C10" s="20" t="n"/>
      <c r="D10" s="22">
        <f>IF(AND(B10="",C10=""),"",N(B10)-N(C10))</f>
        <v/>
      </c>
      <c r="E10">
        <f>IF(D10="","",IF(ABS(D10)&lt;1,"OK",IF(D10&gt;0,"Report it, or give feedback on AIS if wrong","Check — your figure is higher")))</f>
        <v/>
      </c>
      <c r="F10" s="17" t="n"/>
    </row>
    <row r="11">
      <c r="A11" t="inlineStr">
        <is>
          <t>TDS on rent</t>
        </is>
      </c>
      <c r="B11" s="20" t="n"/>
      <c r="C11" s="20" t="n"/>
      <c r="D11" s="22">
        <f>IF(AND(B11="",C11=""),"",N(B11)-N(C11))</f>
        <v/>
      </c>
      <c r="E11">
        <f>IF(D11="","",IF(ABS(D11)&lt;1,"OK",IF(D11&gt;0,"Report it, or give feedback on AIS if wrong","Check — your figure is higher")))</f>
        <v/>
      </c>
      <c r="F11" s="17" t="n"/>
    </row>
    <row r="12">
      <c r="A12" t="inlineStr">
        <is>
          <t>Sale of shares / mutual funds</t>
        </is>
      </c>
      <c r="B12" s="20" t="n"/>
      <c r="C12" s="20" t="n"/>
      <c r="D12" s="22">
        <f>IF(AND(B12="",C12=""),"",N(B12)-N(C12))</f>
        <v/>
      </c>
      <c r="E12">
        <f>IF(D12="","",IF(ABS(D12)&lt;1,"OK",IF(D12&gt;0,"Report it, or give feedback on AIS if wrong","Check — your figure is higher")))</f>
        <v/>
      </c>
      <c r="F12" s="17" t="n"/>
    </row>
    <row r="13">
      <c r="A13" t="inlineStr">
        <is>
          <t>Sale of property</t>
        </is>
      </c>
      <c r="B13" s="20" t="n"/>
      <c r="C13" s="20" t="n"/>
      <c r="D13" s="22">
        <f>IF(AND(B13="",C13=""),"",N(B13)-N(C13))</f>
        <v/>
      </c>
      <c r="E13">
        <f>IF(D13="","",IF(ABS(D13)&lt;1,"OK",IF(D13&gt;0,"Report it, or give feedback on AIS if wrong","Check — your figure is higher")))</f>
        <v/>
      </c>
      <c r="F13" s="17" t="n"/>
    </row>
    <row r="14">
      <c r="A14" t="inlineStr">
        <is>
          <t>TDS on property sale</t>
        </is>
      </c>
      <c r="B14" s="20" t="n"/>
      <c r="C14" s="20" t="n"/>
      <c r="D14" s="22">
        <f>IF(AND(B14="",C14=""),"",N(B14)-N(C14))</f>
        <v/>
      </c>
      <c r="E14">
        <f>IF(D14="","",IF(ABS(D14)&lt;1,"OK",IF(D14&gt;0,"Report it, or give feedback on AIS if wrong","Check — your figure is higher")))</f>
        <v/>
      </c>
      <c r="F14" s="17" t="n"/>
    </row>
    <row r="15">
      <c r="A15" t="inlineStr">
        <is>
          <t>Business receipts</t>
        </is>
      </c>
      <c r="B15" s="20" t="n"/>
      <c r="C15" s="20" t="n"/>
      <c r="D15" s="22">
        <f>IF(AND(B15="",C15=""),"",N(B15)-N(C15))</f>
        <v/>
      </c>
      <c r="E15">
        <f>IF(D15="","",IF(ABS(D15)&lt;1,"OK",IF(D15&gt;0,"Report it, or give feedback on AIS if wrong","Check — your figure is higher")))</f>
        <v/>
      </c>
      <c r="F15" s="17" t="n"/>
    </row>
    <row r="16">
      <c r="A16" t="inlineStr">
        <is>
          <t>TDS on professional / contract receipts</t>
        </is>
      </c>
      <c r="B16" s="20" t="n"/>
      <c r="C16" s="20" t="n"/>
      <c r="D16" s="22">
        <f>IF(AND(B16="",C16=""),"",N(B16)-N(C16))</f>
        <v/>
      </c>
      <c r="E16">
        <f>IF(D16="","",IF(ABS(D16)&lt;1,"OK",IF(D16&gt;0,"Report it, or give feedback on AIS if wrong","Check — your figure is higher")))</f>
        <v/>
      </c>
      <c r="F16" s="17" t="n"/>
    </row>
    <row r="17">
      <c r="A17" t="inlineStr">
        <is>
          <t>Advance tax / self-assessment tax paid</t>
        </is>
      </c>
      <c r="B17" s="20" t="n"/>
      <c r="C17" s="20" t="n"/>
      <c r="D17" s="22">
        <f>IF(AND(B17="",C17=""),"",N(B17)-N(C17))</f>
        <v/>
      </c>
      <c r="E17">
        <f>IF(D17="","",IF(ABS(D17)&lt;1,"OK",IF(D17&gt;0,"Report it, or give feedback on AIS if wrong","Check — your figure is higher")))</f>
        <v/>
      </c>
      <c r="F17" s="17" t="n"/>
    </row>
    <row r="18">
      <c r="A18" t="inlineStr">
        <is>
          <t>Other</t>
        </is>
      </c>
      <c r="B18" s="20" t="n"/>
      <c r="C18" s="20" t="n"/>
      <c r="D18" s="22">
        <f>IF(AND(B18="",C18=""),"",N(B18)-N(C18))</f>
        <v/>
      </c>
      <c r="E18">
        <f>IF(D18="","",IF(ABS(D18)&lt;1,"OK",IF(D18&gt;0,"Report it, or give feedback on AIS if wrong","Check — your figure is higher")))</f>
        <v/>
      </c>
      <c r="F18" s="17" t="n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</cols>
  <sheetData>
    <row r="1">
      <c r="A1" s="8" t="inlineStr">
        <is>
          <t>Filing Details</t>
        </is>
      </c>
    </row>
    <row r="2">
      <c r="A2" s="9" t="inlineStr">
        <is>
          <t>Keep this for your records</t>
        </is>
      </c>
    </row>
    <row r="3">
      <c r="A3" s="13" t="inlineStr">
        <is>
          <t>Tax year</t>
        </is>
      </c>
      <c r="B3" s="17" t="inlineStr">
        <is>
          <t>2026-27 (FY April 2026 – March 2027)</t>
        </is>
      </c>
    </row>
    <row r="4">
      <c r="A4" s="13" t="inlineStr">
        <is>
          <t>Name</t>
        </is>
      </c>
      <c r="B4" s="17" t="inlineStr"/>
    </row>
    <row r="5">
      <c r="A5" s="13" t="inlineStr">
        <is>
          <t>PAN</t>
        </is>
      </c>
      <c r="B5" s="17" t="inlineStr"/>
    </row>
    <row r="6">
      <c r="A6" s="13" t="inlineStr">
        <is>
          <t>Regime chosen (new / old)</t>
        </is>
      </c>
      <c r="B6" s="17" t="inlineStr">
        <is>
          <t>New</t>
        </is>
      </c>
    </row>
    <row r="7">
      <c r="A7" s="13" t="inlineStr">
        <is>
          <t>ITR form</t>
        </is>
      </c>
      <c r="B7" s="17" t="inlineStr"/>
    </row>
    <row r="8">
      <c r="A8" s="13" t="inlineStr">
        <is>
          <t>Bank for refund (name, last 4 digits)</t>
        </is>
      </c>
      <c r="B8" s="17" t="inlineStr"/>
    </row>
    <row r="9">
      <c r="A9" s="13" t="inlineStr">
        <is>
          <t>Date filed</t>
        </is>
      </c>
      <c r="B9" s="17" t="inlineStr"/>
    </row>
    <row r="10">
      <c r="A10" s="13" t="inlineStr">
        <is>
          <t>Acknowledgement no.</t>
        </is>
      </c>
      <c r="B10" s="17" t="inlineStr"/>
    </row>
    <row r="11">
      <c r="A11" s="13" t="inlineStr">
        <is>
          <t>Date e-verified</t>
        </is>
      </c>
      <c r="B11" s="17" t="inlineStr"/>
    </row>
    <row r="12">
      <c r="A12" s="13" t="inlineStr">
        <is>
          <t>Refund / tax paid</t>
        </is>
      </c>
      <c r="B12" s="17" t="inlineStr"/>
    </row>
    <row r="13">
      <c r="A13" s="13" t="inlineStr">
        <is>
          <t>Filed by</t>
        </is>
      </c>
      <c r="B13" s="17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2026-10-02T18:50:14Z</dcterms:created>
  <dcterms:modified xmlns:dcterms="http://purl.org/dc/terms/" xmlns:xsi="http://www.w3.org/2001/XMLSchema-instance" xsi:type="dcterms:W3CDTF">2026-10-02T18:50:14Z</dcterms:modified>
</cp:coreProperties>
</file>