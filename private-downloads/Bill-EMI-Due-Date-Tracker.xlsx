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y Bills" sheetId="2" state="visible" r:id="rId2"/>
    <sheet xmlns:r="http://schemas.openxmlformats.org/officeDocument/2006/relationships" name="Paid Register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2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i val="1"/>
      <color rgb="006B7280"/>
      <sz val="10"/>
    </font>
    <font>
      <b val="1"/>
      <color rgb="00FFFFFF"/>
    </font>
    <font>
      <b val="1"/>
    </font>
    <font>
      <b val="1"/>
      <color rgb="00002B5C"/>
      <sz val="12"/>
    </font>
    <font>
      <b val="1"/>
      <color rgb="00D99A2B"/>
      <sz val="9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0" fillId="2" borderId="1" pivotButton="0" quotePrefix="0" xfId="0"/>
    <xf numFmtId="164" fontId="0" fillId="0" borderId="0" pivotButton="0" quotePrefix="0" xfId="0"/>
    <xf numFmtId="17" fontId="0" fillId="2" borderId="0" pivotButton="0" quotePrefix="0" xfId="0"/>
    <xf numFmtId="0" fontId="8" fillId="3" borderId="0" pivotButton="0" quotePrefix="0" xfId="0"/>
    <xf numFmtId="17" fontId="8" fillId="3" borderId="0" pivotButton="0" quotePrefix="0" xfId="0"/>
    <xf numFmtId="0" fontId="9" fillId="0" borderId="0" pivotButton="0" quotePrefix="0" xfId="0"/>
    <xf numFmtId="4" fontId="10" fillId="4" borderId="1" pivotButton="0" quotePrefix="0" xfId="0"/>
    <xf numFmtId="1" fontId="10" fillId="4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DE2E1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E7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Bill &amp; EMI Due Date Tracker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List every bill and EMI once in 'My Bills': amount, the day of the month it is due and how often (Monthly, Quarterly, Half-yearly, Yearly). For non-monthly bills also give the month it is due.</t>
        </is>
      </c>
    </row>
    <row r="6">
      <c r="A6" s="4" t="n">
        <v>2</v>
      </c>
      <c r="B6" s="5" t="inlineStr">
        <is>
          <t>The sheet works out the next due date for each one and sorts out what's due in the next 7 days.</t>
        </is>
      </c>
    </row>
    <row r="7">
      <c r="A7" s="4" t="n">
        <v>3</v>
      </c>
      <c r="B7" s="5" t="inlineStr">
        <is>
          <t>Tick each payment in 'Paid Register' (Y) — you'll never wonder 'did I pay the electricity bill?' again.</t>
        </is>
      </c>
    </row>
    <row r="8">
      <c r="A8" s="4" t="n">
        <v>4</v>
      </c>
      <c r="B8" s="5" t="inlineStr">
        <is>
          <t>'Summary' shows what you commit every month and every year.</t>
        </is>
      </c>
    </row>
    <row r="10">
      <c r="B10" s="3" t="inlineStr">
        <is>
          <t>Good to know</t>
        </is>
      </c>
    </row>
    <row r="11">
      <c r="B11" s="5" t="inlineStr">
        <is>
          <t>• Credit card due date = the 'payment due date' on your statement, not the statement date.</t>
        </is>
      </c>
    </row>
    <row r="12">
      <c r="B12" s="5" t="inlineStr">
        <is>
          <t>• Turn on auto-pay where you can, and mark it — the sheet still reminds you to keep money in the account.</t>
        </is>
      </c>
    </row>
    <row r="14">
      <c r="B14" s="6" t="inlineStr">
        <is>
          <t>Cells shaded light yellow are for your entries. White cells contain formulas — please don't type over them.</t>
        </is>
      </c>
    </row>
    <row r="16">
      <c r="B16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0" customWidth="1" min="4" max="4"/>
    <col width="13" customWidth="1" min="5" max="5"/>
    <col width="13" customWidth="1" min="6" max="6"/>
    <col width="10" customWidth="1" min="7" max="7"/>
    <col width="14" customWidth="1" min="8" max="8"/>
    <col width="10" customWidth="1" min="9" max="9"/>
    <col width="22" customWidth="1" min="10" max="10"/>
  </cols>
  <sheetData>
    <row r="1">
      <c r="A1" s="8" t="inlineStr">
        <is>
          <t>My Bills &amp; EMIs</t>
        </is>
      </c>
    </row>
    <row r="2">
      <c r="A2" s="9" t="inlineStr">
        <is>
          <t>Status updates every time you open the file</t>
        </is>
      </c>
    </row>
    <row r="4" ht="32" customHeight="1">
      <c r="A4" s="10" t="inlineStr">
        <is>
          <t>Bill / EMI</t>
        </is>
      </c>
      <c r="B4" s="10" t="inlineStr">
        <is>
          <t>Category</t>
        </is>
      </c>
      <c r="C4" s="10" t="inlineStr">
        <is>
          <t>Amount (₹)</t>
        </is>
      </c>
      <c r="D4" s="10" t="inlineStr">
        <is>
          <t>Due day (1–31)</t>
        </is>
      </c>
      <c r="E4" s="10" t="inlineStr">
        <is>
          <t>How often</t>
        </is>
      </c>
      <c r="F4" s="10" t="inlineStr">
        <is>
          <t>Due month (non-monthly)</t>
        </is>
      </c>
      <c r="G4" s="10" t="inlineStr">
        <is>
          <t>Auto-pay?</t>
        </is>
      </c>
      <c r="H4" s="10" t="inlineStr">
        <is>
          <t>Next due date</t>
        </is>
      </c>
      <c r="I4" s="10" t="inlineStr">
        <is>
          <t>Days left</t>
        </is>
      </c>
      <c r="J4" s="10" t="inlineStr">
        <is>
          <t>Status</t>
        </is>
      </c>
    </row>
    <row r="5">
      <c r="A5" s="11" t="inlineStr">
        <is>
          <t>Home loan EMI</t>
        </is>
      </c>
      <c r="B5" s="11" t="inlineStr">
        <is>
          <t>EMI</t>
        </is>
      </c>
      <c r="C5" s="12" t="n">
        <v>25000</v>
      </c>
      <c r="D5" s="11" t="n">
        <v>5</v>
      </c>
      <c r="E5" s="11" t="inlineStr">
        <is>
          <t>Monthly</t>
        </is>
      </c>
      <c r="F5" s="11" t="n"/>
      <c r="G5" s="11" t="inlineStr">
        <is>
          <t>Y</t>
        </is>
      </c>
      <c r="H5" s="13">
        <f>IF(OR(A5="",N(D5)=0),"",IF(DATE(INT(((YEAR(TODAY())*12+MONTH(TODAY())-1)+MOD((IF(N(F5)=0,MONTH(TODAY()),F5)-1)-(YEAR(TODAY())*12+MONTH(TODAY())-1),IF(E5="Quarterly",3,IF(E5="Half-yearly",6,IF(E5="Yearly",12,1)))))/12),MOD(((YEAR(TODAY())*12+MONTH(TODAY())-1)+MOD((IF(N(F5)=0,MONTH(TODAY()),F5)-1)-(YEAR(TODAY())*12+MONTH(TODAY())-1),IF(E5="Quarterly",3,IF(E5="Half-yearly",6,IF(E5="Yearly",12,1))))),12)+1,MIN(D5,DAY(EOMONTH(DATE(INT(((YEAR(TODAY())*12+MONTH(TODAY())-1)+MOD((IF(N(F5)=0,MONTH(TODAY()),F5)-1)-(YEAR(TODAY())*12+MONTH(TODAY())-1),IF(E5="Quarterly",3,IF(E5="Half-yearly",6,IF(E5="Yearly",12,1)))))/12),MOD(((YEAR(TODAY())*12+MONTH(TODAY())-1)+MOD((IF(N(F5)=0,MONTH(TODAY()),F5)-1)-(YEAR(TODAY())*12+MONTH(TODAY())-1),IF(E5="Quarterly",3,IF(E5="Half-yearly",6,IF(E5="Yearly",12,1))))),12)+1,1),0))))&lt;TODAY(),DATE(INT((((YEAR(TODAY())*12+MONTH(TODAY())-1)+MOD((IF(N(F5)=0,MONTH(TODAY()),F5)-1)-(YEAR(TODAY())*12+MONTH(TODAY())-1),IF(E5="Quarterly",3,IF(E5="Half-yearly",6,IF(E5="Yearly",12,1)))))+IF(E5="Quarterly",3,IF(E5="Half-yearly",6,IF(E5="Yearly",12,1))))/12),MOD((((YEAR(TODAY())*12+MONTH(TODAY())-1)+MOD((IF(N(F5)=0,MONTH(TODAY()),F5)-1)-(YEAR(TODAY())*12+MONTH(TODAY())-1),IF(E5="Quarterly",3,IF(E5="Half-yearly",6,IF(E5="Yearly",12,1)))))+IF(E5="Quarterly",3,IF(E5="Half-yearly",6,IF(E5="Yearly",12,1)))),12)+1,MIN(D5,DAY(EOMONTH(DATE(INT((((YEAR(TODAY())*12+MONTH(TODAY())-1)+MOD((IF(N(F5)=0,MONTH(TODAY()),F5)-1)-(YEAR(TODAY())*12+MONTH(TODAY())-1),IF(E5="Quarterly",3,IF(E5="Half-yearly",6,IF(E5="Yearly",12,1)))))+IF(E5="Quarterly",3,IF(E5="Half-yearly",6,IF(E5="Yearly",12,1))))/12),MOD((((YEAR(TODAY())*12+MONTH(TODAY())-1)+MOD((IF(N(F5)=0,MONTH(TODAY()),F5)-1)-(YEAR(TODAY())*12+MONTH(TODAY())-1),IF(E5="Quarterly",3,IF(E5="Half-yearly",6,IF(E5="Yearly",12,1)))))+IF(E5="Quarterly",3,IF(E5="Half-yearly",6,IF(E5="Yearly",12,1)))),12)+1,1),0)))),DATE(INT(((YEAR(TODAY())*12+MONTH(TODAY())-1)+MOD((IF(N(F5)=0,MONTH(TODAY()),F5)-1)-(YEAR(TODAY())*12+MONTH(TODAY())-1),IF(E5="Quarterly",3,IF(E5="Half-yearly",6,IF(E5="Yearly",12,1)))))/12),MOD(((YEAR(TODAY())*12+MONTH(TODAY())-1)+MOD((IF(N(F5)=0,MONTH(TODAY()),F5)-1)-(YEAR(TODAY())*12+MONTH(TODAY())-1),IF(E5="Quarterly",3,IF(E5="Half-yearly",6,IF(E5="Yearly",12,1))))),12)+1,MIN(D5,DAY(EOMONTH(DATE(INT(((YEAR(TODAY())*12+MONTH(TODAY())-1)+MOD((IF(N(F5)=0,MONTH(TODAY()),F5)-1)-(YEAR(TODAY())*12+MONTH(TODAY())-1),IF(E5="Quarterly",3,IF(E5="Half-yearly",6,IF(E5="Yearly",12,1)))))/12),MOD(((YEAR(TODAY())*12+MONTH(TODAY())-1)+MOD((IF(N(F5)=0,MONTH(TODAY()),F5)-1)-(YEAR(TODAY())*12+MONTH(TODAY())-1),IF(E5="Quarterly",3,IF(E5="Half-yearly",6,IF(E5="Yearly",12,1))))),12)+1,1),0))))))</f>
        <v/>
      </c>
      <c r="I5">
        <f>IF(H5="","",H5-TODAY())</f>
        <v/>
      </c>
      <c r="J5">
        <f>IF(H5="","",IF(I5=0,"DUE TODAY",IF(I5&lt;=3,"Due in "&amp;I5&amp;" day(s) — pay now",IF(I5&lt;=7,"Due this week","OK"))))</f>
        <v/>
      </c>
    </row>
    <row r="6">
      <c r="A6" s="11" t="inlineStr">
        <is>
          <t>Electricity</t>
        </is>
      </c>
      <c r="B6" s="11" t="inlineStr">
        <is>
          <t>Utility</t>
        </is>
      </c>
      <c r="C6" s="12" t="n">
        <v>2500</v>
      </c>
      <c r="D6" s="11" t="n">
        <v>15</v>
      </c>
      <c r="E6" s="11" t="inlineStr">
        <is>
          <t>Monthly</t>
        </is>
      </c>
      <c r="F6" s="11" t="n"/>
      <c r="G6" s="11" t="inlineStr">
        <is>
          <t>N</t>
        </is>
      </c>
      <c r="H6" s="13">
        <f>IF(OR(A6="",N(D6)=0),"",IF(DATE(INT(((YEAR(TODAY())*12+MONTH(TODAY())-1)+MOD((IF(N(F6)=0,MONTH(TODAY()),F6)-1)-(YEAR(TODAY())*12+MONTH(TODAY())-1),IF(E6="Quarterly",3,IF(E6="Half-yearly",6,IF(E6="Yearly",12,1)))))/12),MOD(((YEAR(TODAY())*12+MONTH(TODAY())-1)+MOD((IF(N(F6)=0,MONTH(TODAY()),F6)-1)-(YEAR(TODAY())*12+MONTH(TODAY())-1),IF(E6="Quarterly",3,IF(E6="Half-yearly",6,IF(E6="Yearly",12,1))))),12)+1,MIN(D6,DAY(EOMONTH(DATE(INT(((YEAR(TODAY())*12+MONTH(TODAY())-1)+MOD((IF(N(F6)=0,MONTH(TODAY()),F6)-1)-(YEAR(TODAY())*12+MONTH(TODAY())-1),IF(E6="Quarterly",3,IF(E6="Half-yearly",6,IF(E6="Yearly",12,1)))))/12),MOD(((YEAR(TODAY())*12+MONTH(TODAY())-1)+MOD((IF(N(F6)=0,MONTH(TODAY()),F6)-1)-(YEAR(TODAY())*12+MONTH(TODAY())-1),IF(E6="Quarterly",3,IF(E6="Half-yearly",6,IF(E6="Yearly",12,1))))),12)+1,1),0))))&lt;TODAY(),DATE(INT((((YEAR(TODAY())*12+MONTH(TODAY())-1)+MOD((IF(N(F6)=0,MONTH(TODAY()),F6)-1)-(YEAR(TODAY())*12+MONTH(TODAY())-1),IF(E6="Quarterly",3,IF(E6="Half-yearly",6,IF(E6="Yearly",12,1)))))+IF(E6="Quarterly",3,IF(E6="Half-yearly",6,IF(E6="Yearly",12,1))))/12),MOD((((YEAR(TODAY())*12+MONTH(TODAY())-1)+MOD((IF(N(F6)=0,MONTH(TODAY()),F6)-1)-(YEAR(TODAY())*12+MONTH(TODAY())-1),IF(E6="Quarterly",3,IF(E6="Half-yearly",6,IF(E6="Yearly",12,1)))))+IF(E6="Quarterly",3,IF(E6="Half-yearly",6,IF(E6="Yearly",12,1)))),12)+1,MIN(D6,DAY(EOMONTH(DATE(INT((((YEAR(TODAY())*12+MONTH(TODAY())-1)+MOD((IF(N(F6)=0,MONTH(TODAY()),F6)-1)-(YEAR(TODAY())*12+MONTH(TODAY())-1),IF(E6="Quarterly",3,IF(E6="Half-yearly",6,IF(E6="Yearly",12,1)))))+IF(E6="Quarterly",3,IF(E6="Half-yearly",6,IF(E6="Yearly",12,1))))/12),MOD((((YEAR(TODAY())*12+MONTH(TODAY())-1)+MOD((IF(N(F6)=0,MONTH(TODAY()),F6)-1)-(YEAR(TODAY())*12+MONTH(TODAY())-1),IF(E6="Quarterly",3,IF(E6="Half-yearly",6,IF(E6="Yearly",12,1)))))+IF(E6="Quarterly",3,IF(E6="Half-yearly",6,IF(E6="Yearly",12,1)))),12)+1,1),0)))),DATE(INT(((YEAR(TODAY())*12+MONTH(TODAY())-1)+MOD((IF(N(F6)=0,MONTH(TODAY()),F6)-1)-(YEAR(TODAY())*12+MONTH(TODAY())-1),IF(E6="Quarterly",3,IF(E6="Half-yearly",6,IF(E6="Yearly",12,1)))))/12),MOD(((YEAR(TODAY())*12+MONTH(TODAY())-1)+MOD((IF(N(F6)=0,MONTH(TODAY()),F6)-1)-(YEAR(TODAY())*12+MONTH(TODAY())-1),IF(E6="Quarterly",3,IF(E6="Half-yearly",6,IF(E6="Yearly",12,1))))),12)+1,MIN(D6,DAY(EOMONTH(DATE(INT(((YEAR(TODAY())*12+MONTH(TODAY())-1)+MOD((IF(N(F6)=0,MONTH(TODAY()),F6)-1)-(YEAR(TODAY())*12+MONTH(TODAY())-1),IF(E6="Quarterly",3,IF(E6="Half-yearly",6,IF(E6="Yearly",12,1)))))/12),MOD(((YEAR(TODAY())*12+MONTH(TODAY())-1)+MOD((IF(N(F6)=0,MONTH(TODAY()),F6)-1)-(YEAR(TODAY())*12+MONTH(TODAY())-1),IF(E6="Quarterly",3,IF(E6="Half-yearly",6,IF(E6="Yearly",12,1))))),12)+1,1),0))))))</f>
        <v/>
      </c>
      <c r="I6">
        <f>IF(H6="","",H6-TODAY())</f>
        <v/>
      </c>
      <c r="J6">
        <f>IF(H6="","",IF(I6=0,"DUE TODAY",IF(I6&lt;=3,"Due in "&amp;I6&amp;" day(s) — pay now",IF(I6&lt;=7,"Due this week","OK"))))</f>
        <v/>
      </c>
    </row>
    <row r="7">
      <c r="A7" s="11" t="inlineStr">
        <is>
          <t>Mobile postpaid</t>
        </is>
      </c>
      <c r="B7" s="11" t="inlineStr">
        <is>
          <t>Utility</t>
        </is>
      </c>
      <c r="C7" s="12" t="n">
        <v>599</v>
      </c>
      <c r="D7" s="11" t="n">
        <v>22</v>
      </c>
      <c r="E7" s="11" t="inlineStr">
        <is>
          <t>Monthly</t>
        </is>
      </c>
      <c r="F7" s="11" t="n"/>
      <c r="G7" s="11" t="inlineStr">
        <is>
          <t>Y</t>
        </is>
      </c>
      <c r="H7" s="13">
        <f>IF(OR(A7="",N(D7)=0),"",IF(DATE(INT(((YEAR(TODAY())*12+MONTH(TODAY())-1)+MOD((IF(N(F7)=0,MONTH(TODAY()),F7)-1)-(YEAR(TODAY())*12+MONTH(TODAY())-1),IF(E7="Quarterly",3,IF(E7="Half-yearly",6,IF(E7="Yearly",12,1)))))/12),MOD(((YEAR(TODAY())*12+MONTH(TODAY())-1)+MOD((IF(N(F7)=0,MONTH(TODAY()),F7)-1)-(YEAR(TODAY())*12+MONTH(TODAY())-1),IF(E7="Quarterly",3,IF(E7="Half-yearly",6,IF(E7="Yearly",12,1))))),12)+1,MIN(D7,DAY(EOMONTH(DATE(INT(((YEAR(TODAY())*12+MONTH(TODAY())-1)+MOD((IF(N(F7)=0,MONTH(TODAY()),F7)-1)-(YEAR(TODAY())*12+MONTH(TODAY())-1),IF(E7="Quarterly",3,IF(E7="Half-yearly",6,IF(E7="Yearly",12,1)))))/12),MOD(((YEAR(TODAY())*12+MONTH(TODAY())-1)+MOD((IF(N(F7)=0,MONTH(TODAY()),F7)-1)-(YEAR(TODAY())*12+MONTH(TODAY())-1),IF(E7="Quarterly",3,IF(E7="Half-yearly",6,IF(E7="Yearly",12,1))))),12)+1,1),0))))&lt;TODAY(),DATE(INT((((YEAR(TODAY())*12+MONTH(TODAY())-1)+MOD((IF(N(F7)=0,MONTH(TODAY()),F7)-1)-(YEAR(TODAY())*12+MONTH(TODAY())-1),IF(E7="Quarterly",3,IF(E7="Half-yearly",6,IF(E7="Yearly",12,1)))))+IF(E7="Quarterly",3,IF(E7="Half-yearly",6,IF(E7="Yearly",12,1))))/12),MOD((((YEAR(TODAY())*12+MONTH(TODAY())-1)+MOD((IF(N(F7)=0,MONTH(TODAY()),F7)-1)-(YEAR(TODAY())*12+MONTH(TODAY())-1),IF(E7="Quarterly",3,IF(E7="Half-yearly",6,IF(E7="Yearly",12,1)))))+IF(E7="Quarterly",3,IF(E7="Half-yearly",6,IF(E7="Yearly",12,1)))),12)+1,MIN(D7,DAY(EOMONTH(DATE(INT((((YEAR(TODAY())*12+MONTH(TODAY())-1)+MOD((IF(N(F7)=0,MONTH(TODAY()),F7)-1)-(YEAR(TODAY())*12+MONTH(TODAY())-1),IF(E7="Quarterly",3,IF(E7="Half-yearly",6,IF(E7="Yearly",12,1)))))+IF(E7="Quarterly",3,IF(E7="Half-yearly",6,IF(E7="Yearly",12,1))))/12),MOD((((YEAR(TODAY())*12+MONTH(TODAY())-1)+MOD((IF(N(F7)=0,MONTH(TODAY()),F7)-1)-(YEAR(TODAY())*12+MONTH(TODAY())-1),IF(E7="Quarterly",3,IF(E7="Half-yearly",6,IF(E7="Yearly",12,1)))))+IF(E7="Quarterly",3,IF(E7="Half-yearly",6,IF(E7="Yearly",12,1)))),12)+1,1),0)))),DATE(INT(((YEAR(TODAY())*12+MONTH(TODAY())-1)+MOD((IF(N(F7)=0,MONTH(TODAY()),F7)-1)-(YEAR(TODAY())*12+MONTH(TODAY())-1),IF(E7="Quarterly",3,IF(E7="Half-yearly",6,IF(E7="Yearly",12,1)))))/12),MOD(((YEAR(TODAY())*12+MONTH(TODAY())-1)+MOD((IF(N(F7)=0,MONTH(TODAY()),F7)-1)-(YEAR(TODAY())*12+MONTH(TODAY())-1),IF(E7="Quarterly",3,IF(E7="Half-yearly",6,IF(E7="Yearly",12,1))))),12)+1,MIN(D7,DAY(EOMONTH(DATE(INT(((YEAR(TODAY())*12+MONTH(TODAY())-1)+MOD((IF(N(F7)=0,MONTH(TODAY()),F7)-1)-(YEAR(TODAY())*12+MONTH(TODAY())-1),IF(E7="Quarterly",3,IF(E7="Half-yearly",6,IF(E7="Yearly",12,1)))))/12),MOD(((YEAR(TODAY())*12+MONTH(TODAY())-1)+MOD((IF(N(F7)=0,MONTH(TODAY()),F7)-1)-(YEAR(TODAY())*12+MONTH(TODAY())-1),IF(E7="Quarterly",3,IF(E7="Half-yearly",6,IF(E7="Yearly",12,1))))),12)+1,1),0))))))</f>
        <v/>
      </c>
      <c r="I7">
        <f>IF(H7="","",H7-TODAY())</f>
        <v/>
      </c>
      <c r="J7">
        <f>IF(H7="","",IF(I7=0,"DUE TODAY",IF(I7&lt;=3,"Due in "&amp;I7&amp;" day(s) — pay now",IF(I7&lt;=7,"Due this week","OK"))))</f>
        <v/>
      </c>
    </row>
    <row r="8">
      <c r="A8" s="11" t="inlineStr">
        <is>
          <t>Health insurance</t>
        </is>
      </c>
      <c r="B8" s="11" t="inlineStr">
        <is>
          <t>Insurance</t>
        </is>
      </c>
      <c r="C8" s="12" t="n">
        <v>24000</v>
      </c>
      <c r="D8" s="11" t="n">
        <v>10</v>
      </c>
      <c r="E8" s="11" t="inlineStr">
        <is>
          <t>Yearly</t>
        </is>
      </c>
      <c r="F8" s="11" t="n">
        <v>3</v>
      </c>
      <c r="G8" s="11" t="inlineStr">
        <is>
          <t>N</t>
        </is>
      </c>
      <c r="H8" s="13">
        <f>IF(OR(A8="",N(D8)=0),"",IF(DATE(INT(((YEAR(TODAY())*12+MONTH(TODAY())-1)+MOD((IF(N(F8)=0,MONTH(TODAY()),F8)-1)-(YEAR(TODAY())*12+MONTH(TODAY())-1),IF(E8="Quarterly",3,IF(E8="Half-yearly",6,IF(E8="Yearly",12,1)))))/12),MOD(((YEAR(TODAY())*12+MONTH(TODAY())-1)+MOD((IF(N(F8)=0,MONTH(TODAY()),F8)-1)-(YEAR(TODAY())*12+MONTH(TODAY())-1),IF(E8="Quarterly",3,IF(E8="Half-yearly",6,IF(E8="Yearly",12,1))))),12)+1,MIN(D8,DAY(EOMONTH(DATE(INT(((YEAR(TODAY())*12+MONTH(TODAY())-1)+MOD((IF(N(F8)=0,MONTH(TODAY()),F8)-1)-(YEAR(TODAY())*12+MONTH(TODAY())-1),IF(E8="Quarterly",3,IF(E8="Half-yearly",6,IF(E8="Yearly",12,1)))))/12),MOD(((YEAR(TODAY())*12+MONTH(TODAY())-1)+MOD((IF(N(F8)=0,MONTH(TODAY()),F8)-1)-(YEAR(TODAY())*12+MONTH(TODAY())-1),IF(E8="Quarterly",3,IF(E8="Half-yearly",6,IF(E8="Yearly",12,1))))),12)+1,1),0))))&lt;TODAY(),DATE(INT((((YEAR(TODAY())*12+MONTH(TODAY())-1)+MOD((IF(N(F8)=0,MONTH(TODAY()),F8)-1)-(YEAR(TODAY())*12+MONTH(TODAY())-1),IF(E8="Quarterly",3,IF(E8="Half-yearly",6,IF(E8="Yearly",12,1)))))+IF(E8="Quarterly",3,IF(E8="Half-yearly",6,IF(E8="Yearly",12,1))))/12),MOD((((YEAR(TODAY())*12+MONTH(TODAY())-1)+MOD((IF(N(F8)=0,MONTH(TODAY()),F8)-1)-(YEAR(TODAY())*12+MONTH(TODAY())-1),IF(E8="Quarterly",3,IF(E8="Half-yearly",6,IF(E8="Yearly",12,1)))))+IF(E8="Quarterly",3,IF(E8="Half-yearly",6,IF(E8="Yearly",12,1)))),12)+1,MIN(D8,DAY(EOMONTH(DATE(INT((((YEAR(TODAY())*12+MONTH(TODAY())-1)+MOD((IF(N(F8)=0,MONTH(TODAY()),F8)-1)-(YEAR(TODAY())*12+MONTH(TODAY())-1),IF(E8="Quarterly",3,IF(E8="Half-yearly",6,IF(E8="Yearly",12,1)))))+IF(E8="Quarterly",3,IF(E8="Half-yearly",6,IF(E8="Yearly",12,1))))/12),MOD((((YEAR(TODAY())*12+MONTH(TODAY())-1)+MOD((IF(N(F8)=0,MONTH(TODAY()),F8)-1)-(YEAR(TODAY())*12+MONTH(TODAY())-1),IF(E8="Quarterly",3,IF(E8="Half-yearly",6,IF(E8="Yearly",12,1)))))+IF(E8="Quarterly",3,IF(E8="Half-yearly",6,IF(E8="Yearly",12,1)))),12)+1,1),0)))),DATE(INT(((YEAR(TODAY())*12+MONTH(TODAY())-1)+MOD((IF(N(F8)=0,MONTH(TODAY()),F8)-1)-(YEAR(TODAY())*12+MONTH(TODAY())-1),IF(E8="Quarterly",3,IF(E8="Half-yearly",6,IF(E8="Yearly",12,1)))))/12),MOD(((YEAR(TODAY())*12+MONTH(TODAY())-1)+MOD((IF(N(F8)=0,MONTH(TODAY()),F8)-1)-(YEAR(TODAY())*12+MONTH(TODAY())-1),IF(E8="Quarterly",3,IF(E8="Half-yearly",6,IF(E8="Yearly",12,1))))),12)+1,MIN(D8,DAY(EOMONTH(DATE(INT(((YEAR(TODAY())*12+MONTH(TODAY())-1)+MOD((IF(N(F8)=0,MONTH(TODAY()),F8)-1)-(YEAR(TODAY())*12+MONTH(TODAY())-1),IF(E8="Quarterly",3,IF(E8="Half-yearly",6,IF(E8="Yearly",12,1)))))/12),MOD(((YEAR(TODAY())*12+MONTH(TODAY())-1)+MOD((IF(N(F8)=0,MONTH(TODAY()),F8)-1)-(YEAR(TODAY())*12+MONTH(TODAY())-1),IF(E8="Quarterly",3,IF(E8="Half-yearly",6,IF(E8="Yearly",12,1))))),12)+1,1),0))))))</f>
        <v/>
      </c>
      <c r="I8">
        <f>IF(H8="","",H8-TODAY())</f>
        <v/>
      </c>
      <c r="J8">
        <f>IF(H8="","",IF(I8=0,"DUE TODAY",IF(I8&lt;=3,"Due in "&amp;I8&amp;" day(s) — pay now",IF(I8&lt;=7,"Due this week","OK"))))</f>
        <v/>
      </c>
    </row>
    <row r="9">
      <c r="A9" s="11" t="inlineStr">
        <is>
          <t>Property tax</t>
        </is>
      </c>
      <c r="B9" s="11" t="inlineStr">
        <is>
          <t>Tax</t>
        </is>
      </c>
      <c r="C9" s="12" t="n">
        <v>6000</v>
      </c>
      <c r="D9" s="11" t="n">
        <v>31</v>
      </c>
      <c r="E9" s="11" t="inlineStr">
        <is>
          <t>Yearly</t>
        </is>
      </c>
      <c r="F9" s="11" t="n">
        <v>7</v>
      </c>
      <c r="G9" s="11" t="inlineStr">
        <is>
          <t>N</t>
        </is>
      </c>
      <c r="H9" s="13">
        <f>IF(OR(A9="",N(D9)=0),"",IF(DATE(INT(((YEAR(TODAY())*12+MONTH(TODAY())-1)+MOD((IF(N(F9)=0,MONTH(TODAY()),F9)-1)-(YEAR(TODAY())*12+MONTH(TODAY())-1),IF(E9="Quarterly",3,IF(E9="Half-yearly",6,IF(E9="Yearly",12,1)))))/12),MOD(((YEAR(TODAY())*12+MONTH(TODAY())-1)+MOD((IF(N(F9)=0,MONTH(TODAY()),F9)-1)-(YEAR(TODAY())*12+MONTH(TODAY())-1),IF(E9="Quarterly",3,IF(E9="Half-yearly",6,IF(E9="Yearly",12,1))))),12)+1,MIN(D9,DAY(EOMONTH(DATE(INT(((YEAR(TODAY())*12+MONTH(TODAY())-1)+MOD((IF(N(F9)=0,MONTH(TODAY()),F9)-1)-(YEAR(TODAY())*12+MONTH(TODAY())-1),IF(E9="Quarterly",3,IF(E9="Half-yearly",6,IF(E9="Yearly",12,1)))))/12),MOD(((YEAR(TODAY())*12+MONTH(TODAY())-1)+MOD((IF(N(F9)=0,MONTH(TODAY()),F9)-1)-(YEAR(TODAY())*12+MONTH(TODAY())-1),IF(E9="Quarterly",3,IF(E9="Half-yearly",6,IF(E9="Yearly",12,1))))),12)+1,1),0))))&lt;TODAY(),DATE(INT((((YEAR(TODAY())*12+MONTH(TODAY())-1)+MOD((IF(N(F9)=0,MONTH(TODAY()),F9)-1)-(YEAR(TODAY())*12+MONTH(TODAY())-1),IF(E9="Quarterly",3,IF(E9="Half-yearly",6,IF(E9="Yearly",12,1)))))+IF(E9="Quarterly",3,IF(E9="Half-yearly",6,IF(E9="Yearly",12,1))))/12),MOD((((YEAR(TODAY())*12+MONTH(TODAY())-1)+MOD((IF(N(F9)=0,MONTH(TODAY()),F9)-1)-(YEAR(TODAY())*12+MONTH(TODAY())-1),IF(E9="Quarterly",3,IF(E9="Half-yearly",6,IF(E9="Yearly",12,1)))))+IF(E9="Quarterly",3,IF(E9="Half-yearly",6,IF(E9="Yearly",12,1)))),12)+1,MIN(D9,DAY(EOMONTH(DATE(INT((((YEAR(TODAY())*12+MONTH(TODAY())-1)+MOD((IF(N(F9)=0,MONTH(TODAY()),F9)-1)-(YEAR(TODAY())*12+MONTH(TODAY())-1),IF(E9="Quarterly",3,IF(E9="Half-yearly",6,IF(E9="Yearly",12,1)))))+IF(E9="Quarterly",3,IF(E9="Half-yearly",6,IF(E9="Yearly",12,1))))/12),MOD((((YEAR(TODAY())*12+MONTH(TODAY())-1)+MOD((IF(N(F9)=0,MONTH(TODAY()),F9)-1)-(YEAR(TODAY())*12+MONTH(TODAY())-1),IF(E9="Quarterly",3,IF(E9="Half-yearly",6,IF(E9="Yearly",12,1)))))+IF(E9="Quarterly",3,IF(E9="Half-yearly",6,IF(E9="Yearly",12,1)))),12)+1,1),0)))),DATE(INT(((YEAR(TODAY())*12+MONTH(TODAY())-1)+MOD((IF(N(F9)=0,MONTH(TODAY()),F9)-1)-(YEAR(TODAY())*12+MONTH(TODAY())-1),IF(E9="Quarterly",3,IF(E9="Half-yearly",6,IF(E9="Yearly",12,1)))))/12),MOD(((YEAR(TODAY())*12+MONTH(TODAY())-1)+MOD((IF(N(F9)=0,MONTH(TODAY()),F9)-1)-(YEAR(TODAY())*12+MONTH(TODAY())-1),IF(E9="Quarterly",3,IF(E9="Half-yearly",6,IF(E9="Yearly",12,1))))),12)+1,MIN(D9,DAY(EOMONTH(DATE(INT(((YEAR(TODAY())*12+MONTH(TODAY())-1)+MOD((IF(N(F9)=0,MONTH(TODAY()),F9)-1)-(YEAR(TODAY())*12+MONTH(TODAY())-1),IF(E9="Quarterly",3,IF(E9="Half-yearly",6,IF(E9="Yearly",12,1)))))/12),MOD(((YEAR(TODAY())*12+MONTH(TODAY())-1)+MOD((IF(N(F9)=0,MONTH(TODAY()),F9)-1)-(YEAR(TODAY())*12+MONTH(TODAY())-1),IF(E9="Quarterly",3,IF(E9="Half-yearly",6,IF(E9="Yearly",12,1))))),12)+1,1),0))))))</f>
        <v/>
      </c>
      <c r="I9">
        <f>IF(H9="","",H9-TODAY())</f>
        <v/>
      </c>
      <c r="J9">
        <f>IF(H9="","",IF(I9=0,"DUE TODAY",IF(I9&lt;=3,"Due in "&amp;I9&amp;" day(s) — pay now",IF(I9&lt;=7,"Due this week","OK"))))</f>
        <v/>
      </c>
    </row>
    <row r="10">
      <c r="A10" s="11" t="inlineStr">
        <is>
          <t>Advance tax</t>
        </is>
      </c>
      <c r="B10" s="11" t="inlineStr">
        <is>
          <t>Tax</t>
        </is>
      </c>
      <c r="C10" s="12" t="n">
        <v>0</v>
      </c>
      <c r="D10" s="11" t="n">
        <v>15</v>
      </c>
      <c r="E10" s="11" t="inlineStr">
        <is>
          <t>Quarterly</t>
        </is>
      </c>
      <c r="F10" s="11" t="n">
        <v>6</v>
      </c>
      <c r="G10" s="11" t="inlineStr">
        <is>
          <t>N</t>
        </is>
      </c>
      <c r="H10" s="13">
        <f>IF(OR(A10="",N(D10)=0),"",IF(DATE(INT(((YEAR(TODAY())*12+MONTH(TODAY())-1)+MOD((IF(N(F10)=0,MONTH(TODAY()),F10)-1)-(YEAR(TODAY())*12+MONTH(TODAY())-1),IF(E10="Quarterly",3,IF(E10="Half-yearly",6,IF(E10="Yearly",12,1)))))/12),MOD(((YEAR(TODAY())*12+MONTH(TODAY())-1)+MOD((IF(N(F10)=0,MONTH(TODAY()),F10)-1)-(YEAR(TODAY())*12+MONTH(TODAY())-1),IF(E10="Quarterly",3,IF(E10="Half-yearly",6,IF(E10="Yearly",12,1))))),12)+1,MIN(D10,DAY(EOMONTH(DATE(INT(((YEAR(TODAY())*12+MONTH(TODAY())-1)+MOD((IF(N(F10)=0,MONTH(TODAY()),F10)-1)-(YEAR(TODAY())*12+MONTH(TODAY())-1),IF(E10="Quarterly",3,IF(E10="Half-yearly",6,IF(E10="Yearly",12,1)))))/12),MOD(((YEAR(TODAY())*12+MONTH(TODAY())-1)+MOD((IF(N(F10)=0,MONTH(TODAY()),F10)-1)-(YEAR(TODAY())*12+MONTH(TODAY())-1),IF(E10="Quarterly",3,IF(E10="Half-yearly",6,IF(E10="Yearly",12,1))))),12)+1,1),0))))&lt;TODAY(),DATE(INT((((YEAR(TODAY())*12+MONTH(TODAY())-1)+MOD((IF(N(F10)=0,MONTH(TODAY()),F10)-1)-(YEAR(TODAY())*12+MONTH(TODAY())-1),IF(E10="Quarterly",3,IF(E10="Half-yearly",6,IF(E10="Yearly",12,1)))))+IF(E10="Quarterly",3,IF(E10="Half-yearly",6,IF(E10="Yearly",12,1))))/12),MOD((((YEAR(TODAY())*12+MONTH(TODAY())-1)+MOD((IF(N(F10)=0,MONTH(TODAY()),F10)-1)-(YEAR(TODAY())*12+MONTH(TODAY())-1),IF(E10="Quarterly",3,IF(E10="Half-yearly",6,IF(E10="Yearly",12,1)))))+IF(E10="Quarterly",3,IF(E10="Half-yearly",6,IF(E10="Yearly",12,1)))),12)+1,MIN(D10,DAY(EOMONTH(DATE(INT((((YEAR(TODAY())*12+MONTH(TODAY())-1)+MOD((IF(N(F10)=0,MONTH(TODAY()),F10)-1)-(YEAR(TODAY())*12+MONTH(TODAY())-1),IF(E10="Quarterly",3,IF(E10="Half-yearly",6,IF(E10="Yearly",12,1)))))+IF(E10="Quarterly",3,IF(E10="Half-yearly",6,IF(E10="Yearly",12,1))))/12),MOD((((YEAR(TODAY())*12+MONTH(TODAY())-1)+MOD((IF(N(F10)=0,MONTH(TODAY()),F10)-1)-(YEAR(TODAY())*12+MONTH(TODAY())-1),IF(E10="Quarterly",3,IF(E10="Half-yearly",6,IF(E10="Yearly",12,1)))))+IF(E10="Quarterly",3,IF(E10="Half-yearly",6,IF(E10="Yearly",12,1)))),12)+1,1),0)))),DATE(INT(((YEAR(TODAY())*12+MONTH(TODAY())-1)+MOD((IF(N(F10)=0,MONTH(TODAY()),F10)-1)-(YEAR(TODAY())*12+MONTH(TODAY())-1),IF(E10="Quarterly",3,IF(E10="Half-yearly",6,IF(E10="Yearly",12,1)))))/12),MOD(((YEAR(TODAY())*12+MONTH(TODAY())-1)+MOD((IF(N(F10)=0,MONTH(TODAY()),F10)-1)-(YEAR(TODAY())*12+MONTH(TODAY())-1),IF(E10="Quarterly",3,IF(E10="Half-yearly",6,IF(E10="Yearly",12,1))))),12)+1,MIN(D10,DAY(EOMONTH(DATE(INT(((YEAR(TODAY())*12+MONTH(TODAY())-1)+MOD((IF(N(F10)=0,MONTH(TODAY()),F10)-1)-(YEAR(TODAY())*12+MONTH(TODAY())-1),IF(E10="Quarterly",3,IF(E10="Half-yearly",6,IF(E10="Yearly",12,1)))))/12),MOD(((YEAR(TODAY())*12+MONTH(TODAY())-1)+MOD((IF(N(F10)=0,MONTH(TODAY()),F10)-1)-(YEAR(TODAY())*12+MONTH(TODAY())-1),IF(E10="Quarterly",3,IF(E10="Half-yearly",6,IF(E10="Yearly",12,1))))),12)+1,1),0))))))</f>
        <v/>
      </c>
      <c r="I10">
        <f>IF(H10="","",H10-TODAY())</f>
        <v/>
      </c>
      <c r="J10">
        <f>IF(H10="","",IF(I10=0,"DUE TODAY",IF(I10&lt;=3,"Due in "&amp;I10&amp;" day(s) — pay now",IF(I10&lt;=7,"Due this week","OK"))))</f>
        <v/>
      </c>
    </row>
    <row r="11">
      <c r="A11" s="11" t="n"/>
      <c r="B11" s="11" t="n"/>
      <c r="C11" s="12" t="n"/>
      <c r="D11" s="11" t="n"/>
      <c r="E11" s="11" t="n"/>
      <c r="F11" s="11" t="n"/>
      <c r="G11" s="11" t="n"/>
      <c r="H11" s="13">
        <f>IF(OR(A11="",N(D11)=0),"",IF(DATE(INT(((YEAR(TODAY())*12+MONTH(TODAY())-1)+MOD((IF(N(F11)=0,MONTH(TODAY()),F11)-1)-(YEAR(TODAY())*12+MONTH(TODAY())-1),IF(E11="Quarterly",3,IF(E11="Half-yearly",6,IF(E11="Yearly",12,1)))))/12),MOD(((YEAR(TODAY())*12+MONTH(TODAY())-1)+MOD((IF(N(F11)=0,MONTH(TODAY()),F11)-1)-(YEAR(TODAY())*12+MONTH(TODAY())-1),IF(E11="Quarterly",3,IF(E11="Half-yearly",6,IF(E11="Yearly",12,1))))),12)+1,MIN(D11,DAY(EOMONTH(DATE(INT(((YEAR(TODAY())*12+MONTH(TODAY())-1)+MOD((IF(N(F11)=0,MONTH(TODAY()),F11)-1)-(YEAR(TODAY())*12+MONTH(TODAY())-1),IF(E11="Quarterly",3,IF(E11="Half-yearly",6,IF(E11="Yearly",12,1)))))/12),MOD(((YEAR(TODAY())*12+MONTH(TODAY())-1)+MOD((IF(N(F11)=0,MONTH(TODAY()),F11)-1)-(YEAR(TODAY())*12+MONTH(TODAY())-1),IF(E11="Quarterly",3,IF(E11="Half-yearly",6,IF(E11="Yearly",12,1))))),12)+1,1),0))))&lt;TODAY(),DATE(INT((((YEAR(TODAY())*12+MONTH(TODAY())-1)+MOD((IF(N(F11)=0,MONTH(TODAY()),F11)-1)-(YEAR(TODAY())*12+MONTH(TODAY())-1),IF(E11="Quarterly",3,IF(E11="Half-yearly",6,IF(E11="Yearly",12,1)))))+IF(E11="Quarterly",3,IF(E11="Half-yearly",6,IF(E11="Yearly",12,1))))/12),MOD((((YEAR(TODAY())*12+MONTH(TODAY())-1)+MOD((IF(N(F11)=0,MONTH(TODAY()),F11)-1)-(YEAR(TODAY())*12+MONTH(TODAY())-1),IF(E11="Quarterly",3,IF(E11="Half-yearly",6,IF(E11="Yearly",12,1)))))+IF(E11="Quarterly",3,IF(E11="Half-yearly",6,IF(E11="Yearly",12,1)))),12)+1,MIN(D11,DAY(EOMONTH(DATE(INT((((YEAR(TODAY())*12+MONTH(TODAY())-1)+MOD((IF(N(F11)=0,MONTH(TODAY()),F11)-1)-(YEAR(TODAY())*12+MONTH(TODAY())-1),IF(E11="Quarterly",3,IF(E11="Half-yearly",6,IF(E11="Yearly",12,1)))))+IF(E11="Quarterly",3,IF(E11="Half-yearly",6,IF(E11="Yearly",12,1))))/12),MOD((((YEAR(TODAY())*12+MONTH(TODAY())-1)+MOD((IF(N(F11)=0,MONTH(TODAY()),F11)-1)-(YEAR(TODAY())*12+MONTH(TODAY())-1),IF(E11="Quarterly",3,IF(E11="Half-yearly",6,IF(E11="Yearly",12,1)))))+IF(E11="Quarterly",3,IF(E11="Half-yearly",6,IF(E11="Yearly",12,1)))),12)+1,1),0)))),DATE(INT(((YEAR(TODAY())*12+MONTH(TODAY())-1)+MOD((IF(N(F11)=0,MONTH(TODAY()),F11)-1)-(YEAR(TODAY())*12+MONTH(TODAY())-1),IF(E11="Quarterly",3,IF(E11="Half-yearly",6,IF(E11="Yearly",12,1)))))/12),MOD(((YEAR(TODAY())*12+MONTH(TODAY())-1)+MOD((IF(N(F11)=0,MONTH(TODAY()),F11)-1)-(YEAR(TODAY())*12+MONTH(TODAY())-1),IF(E11="Quarterly",3,IF(E11="Half-yearly",6,IF(E11="Yearly",12,1))))),12)+1,MIN(D11,DAY(EOMONTH(DATE(INT(((YEAR(TODAY())*12+MONTH(TODAY())-1)+MOD((IF(N(F11)=0,MONTH(TODAY()),F11)-1)-(YEAR(TODAY())*12+MONTH(TODAY())-1),IF(E11="Quarterly",3,IF(E11="Half-yearly",6,IF(E11="Yearly",12,1)))))/12),MOD(((YEAR(TODAY())*12+MONTH(TODAY())-1)+MOD((IF(N(F11)=0,MONTH(TODAY()),F11)-1)-(YEAR(TODAY())*12+MONTH(TODAY())-1),IF(E11="Quarterly",3,IF(E11="Half-yearly",6,IF(E11="Yearly",12,1))))),12)+1,1),0))))))</f>
        <v/>
      </c>
      <c r="I11">
        <f>IF(H11="","",H11-TODAY())</f>
        <v/>
      </c>
      <c r="J11">
        <f>IF(H11="","",IF(I11=0,"DUE TODAY",IF(I11&lt;=3,"Due in "&amp;I11&amp;" day(s) — pay now",IF(I11&lt;=7,"Due this week","OK"))))</f>
        <v/>
      </c>
    </row>
    <row r="12">
      <c r="A12" s="11" t="n"/>
      <c r="B12" s="11" t="n"/>
      <c r="C12" s="12" t="n"/>
      <c r="D12" s="11" t="n"/>
      <c r="E12" s="11" t="n"/>
      <c r="F12" s="11" t="n"/>
      <c r="G12" s="11" t="n"/>
      <c r="H12" s="13">
        <f>IF(OR(A12="",N(D12)=0),"",IF(DATE(INT(((YEAR(TODAY())*12+MONTH(TODAY())-1)+MOD((IF(N(F12)=0,MONTH(TODAY()),F12)-1)-(YEAR(TODAY())*12+MONTH(TODAY())-1),IF(E12="Quarterly",3,IF(E12="Half-yearly",6,IF(E12="Yearly",12,1)))))/12),MOD(((YEAR(TODAY())*12+MONTH(TODAY())-1)+MOD((IF(N(F12)=0,MONTH(TODAY()),F12)-1)-(YEAR(TODAY())*12+MONTH(TODAY())-1),IF(E12="Quarterly",3,IF(E12="Half-yearly",6,IF(E12="Yearly",12,1))))),12)+1,MIN(D12,DAY(EOMONTH(DATE(INT(((YEAR(TODAY())*12+MONTH(TODAY())-1)+MOD((IF(N(F12)=0,MONTH(TODAY()),F12)-1)-(YEAR(TODAY())*12+MONTH(TODAY())-1),IF(E12="Quarterly",3,IF(E12="Half-yearly",6,IF(E12="Yearly",12,1)))))/12),MOD(((YEAR(TODAY())*12+MONTH(TODAY())-1)+MOD((IF(N(F12)=0,MONTH(TODAY()),F12)-1)-(YEAR(TODAY())*12+MONTH(TODAY())-1),IF(E12="Quarterly",3,IF(E12="Half-yearly",6,IF(E12="Yearly",12,1))))),12)+1,1),0))))&lt;TODAY(),DATE(INT((((YEAR(TODAY())*12+MONTH(TODAY())-1)+MOD((IF(N(F12)=0,MONTH(TODAY()),F12)-1)-(YEAR(TODAY())*12+MONTH(TODAY())-1),IF(E12="Quarterly",3,IF(E12="Half-yearly",6,IF(E12="Yearly",12,1)))))+IF(E12="Quarterly",3,IF(E12="Half-yearly",6,IF(E12="Yearly",12,1))))/12),MOD((((YEAR(TODAY())*12+MONTH(TODAY())-1)+MOD((IF(N(F12)=0,MONTH(TODAY()),F12)-1)-(YEAR(TODAY())*12+MONTH(TODAY())-1),IF(E12="Quarterly",3,IF(E12="Half-yearly",6,IF(E12="Yearly",12,1)))))+IF(E12="Quarterly",3,IF(E12="Half-yearly",6,IF(E12="Yearly",12,1)))),12)+1,MIN(D12,DAY(EOMONTH(DATE(INT((((YEAR(TODAY())*12+MONTH(TODAY())-1)+MOD((IF(N(F12)=0,MONTH(TODAY()),F12)-1)-(YEAR(TODAY())*12+MONTH(TODAY())-1),IF(E12="Quarterly",3,IF(E12="Half-yearly",6,IF(E12="Yearly",12,1)))))+IF(E12="Quarterly",3,IF(E12="Half-yearly",6,IF(E12="Yearly",12,1))))/12),MOD((((YEAR(TODAY())*12+MONTH(TODAY())-1)+MOD((IF(N(F12)=0,MONTH(TODAY()),F12)-1)-(YEAR(TODAY())*12+MONTH(TODAY())-1),IF(E12="Quarterly",3,IF(E12="Half-yearly",6,IF(E12="Yearly",12,1)))))+IF(E12="Quarterly",3,IF(E12="Half-yearly",6,IF(E12="Yearly",12,1)))),12)+1,1),0)))),DATE(INT(((YEAR(TODAY())*12+MONTH(TODAY())-1)+MOD((IF(N(F12)=0,MONTH(TODAY()),F12)-1)-(YEAR(TODAY())*12+MONTH(TODAY())-1),IF(E12="Quarterly",3,IF(E12="Half-yearly",6,IF(E12="Yearly",12,1)))))/12),MOD(((YEAR(TODAY())*12+MONTH(TODAY())-1)+MOD((IF(N(F12)=0,MONTH(TODAY()),F12)-1)-(YEAR(TODAY())*12+MONTH(TODAY())-1),IF(E12="Quarterly",3,IF(E12="Half-yearly",6,IF(E12="Yearly",12,1))))),12)+1,MIN(D12,DAY(EOMONTH(DATE(INT(((YEAR(TODAY())*12+MONTH(TODAY())-1)+MOD((IF(N(F12)=0,MONTH(TODAY()),F12)-1)-(YEAR(TODAY())*12+MONTH(TODAY())-1),IF(E12="Quarterly",3,IF(E12="Half-yearly",6,IF(E12="Yearly",12,1)))))/12),MOD(((YEAR(TODAY())*12+MONTH(TODAY())-1)+MOD((IF(N(F12)=0,MONTH(TODAY()),F12)-1)-(YEAR(TODAY())*12+MONTH(TODAY())-1),IF(E12="Quarterly",3,IF(E12="Half-yearly",6,IF(E12="Yearly",12,1))))),12)+1,1),0))))))</f>
        <v/>
      </c>
      <c r="I12">
        <f>IF(H12="","",H12-TODAY())</f>
        <v/>
      </c>
      <c r="J12">
        <f>IF(H12="","",IF(I12=0,"DUE TODAY",IF(I12&lt;=3,"Due in "&amp;I12&amp;" day(s) — pay now",IF(I12&lt;=7,"Due this week","OK"))))</f>
        <v/>
      </c>
    </row>
    <row r="13">
      <c r="A13" s="11" t="n"/>
      <c r="B13" s="11" t="n"/>
      <c r="C13" s="12" t="n"/>
      <c r="D13" s="11" t="n"/>
      <c r="E13" s="11" t="n"/>
      <c r="F13" s="11" t="n"/>
      <c r="G13" s="11" t="n"/>
      <c r="H13" s="13">
        <f>IF(OR(A13="",N(D13)=0),"",IF(DATE(INT(((YEAR(TODAY())*12+MONTH(TODAY())-1)+MOD((IF(N(F13)=0,MONTH(TODAY()),F13)-1)-(YEAR(TODAY())*12+MONTH(TODAY())-1),IF(E13="Quarterly",3,IF(E13="Half-yearly",6,IF(E13="Yearly",12,1)))))/12),MOD(((YEAR(TODAY())*12+MONTH(TODAY())-1)+MOD((IF(N(F13)=0,MONTH(TODAY()),F13)-1)-(YEAR(TODAY())*12+MONTH(TODAY())-1),IF(E13="Quarterly",3,IF(E13="Half-yearly",6,IF(E13="Yearly",12,1))))),12)+1,MIN(D13,DAY(EOMONTH(DATE(INT(((YEAR(TODAY())*12+MONTH(TODAY())-1)+MOD((IF(N(F13)=0,MONTH(TODAY()),F13)-1)-(YEAR(TODAY())*12+MONTH(TODAY())-1),IF(E13="Quarterly",3,IF(E13="Half-yearly",6,IF(E13="Yearly",12,1)))))/12),MOD(((YEAR(TODAY())*12+MONTH(TODAY())-1)+MOD((IF(N(F13)=0,MONTH(TODAY()),F13)-1)-(YEAR(TODAY())*12+MONTH(TODAY())-1),IF(E13="Quarterly",3,IF(E13="Half-yearly",6,IF(E13="Yearly",12,1))))),12)+1,1),0))))&lt;TODAY(),DATE(INT((((YEAR(TODAY())*12+MONTH(TODAY())-1)+MOD((IF(N(F13)=0,MONTH(TODAY()),F13)-1)-(YEAR(TODAY())*12+MONTH(TODAY())-1),IF(E13="Quarterly",3,IF(E13="Half-yearly",6,IF(E13="Yearly",12,1)))))+IF(E13="Quarterly",3,IF(E13="Half-yearly",6,IF(E13="Yearly",12,1))))/12),MOD((((YEAR(TODAY())*12+MONTH(TODAY())-1)+MOD((IF(N(F13)=0,MONTH(TODAY()),F13)-1)-(YEAR(TODAY())*12+MONTH(TODAY())-1),IF(E13="Quarterly",3,IF(E13="Half-yearly",6,IF(E13="Yearly",12,1)))))+IF(E13="Quarterly",3,IF(E13="Half-yearly",6,IF(E13="Yearly",12,1)))),12)+1,MIN(D13,DAY(EOMONTH(DATE(INT((((YEAR(TODAY())*12+MONTH(TODAY())-1)+MOD((IF(N(F13)=0,MONTH(TODAY()),F13)-1)-(YEAR(TODAY())*12+MONTH(TODAY())-1),IF(E13="Quarterly",3,IF(E13="Half-yearly",6,IF(E13="Yearly",12,1)))))+IF(E13="Quarterly",3,IF(E13="Half-yearly",6,IF(E13="Yearly",12,1))))/12),MOD((((YEAR(TODAY())*12+MONTH(TODAY())-1)+MOD((IF(N(F13)=0,MONTH(TODAY()),F13)-1)-(YEAR(TODAY())*12+MONTH(TODAY())-1),IF(E13="Quarterly",3,IF(E13="Half-yearly",6,IF(E13="Yearly",12,1)))))+IF(E13="Quarterly",3,IF(E13="Half-yearly",6,IF(E13="Yearly",12,1)))),12)+1,1),0)))),DATE(INT(((YEAR(TODAY())*12+MONTH(TODAY())-1)+MOD((IF(N(F13)=0,MONTH(TODAY()),F13)-1)-(YEAR(TODAY())*12+MONTH(TODAY())-1),IF(E13="Quarterly",3,IF(E13="Half-yearly",6,IF(E13="Yearly",12,1)))))/12),MOD(((YEAR(TODAY())*12+MONTH(TODAY())-1)+MOD((IF(N(F13)=0,MONTH(TODAY()),F13)-1)-(YEAR(TODAY())*12+MONTH(TODAY())-1),IF(E13="Quarterly",3,IF(E13="Half-yearly",6,IF(E13="Yearly",12,1))))),12)+1,MIN(D13,DAY(EOMONTH(DATE(INT(((YEAR(TODAY())*12+MONTH(TODAY())-1)+MOD((IF(N(F13)=0,MONTH(TODAY()),F13)-1)-(YEAR(TODAY())*12+MONTH(TODAY())-1),IF(E13="Quarterly",3,IF(E13="Half-yearly",6,IF(E13="Yearly",12,1)))))/12),MOD(((YEAR(TODAY())*12+MONTH(TODAY())-1)+MOD((IF(N(F13)=0,MONTH(TODAY()),F13)-1)-(YEAR(TODAY())*12+MONTH(TODAY())-1),IF(E13="Quarterly",3,IF(E13="Half-yearly",6,IF(E13="Yearly",12,1))))),12)+1,1),0))))))</f>
        <v/>
      </c>
      <c r="I13">
        <f>IF(H13="","",H13-TODAY())</f>
        <v/>
      </c>
      <c r="J13">
        <f>IF(H13="","",IF(I13=0,"DUE TODAY",IF(I13&lt;=3,"Due in "&amp;I13&amp;" day(s) — pay now",IF(I13&lt;=7,"Due this week","OK"))))</f>
        <v/>
      </c>
    </row>
    <row r="14">
      <c r="A14" s="11" t="n"/>
      <c r="B14" s="11" t="n"/>
      <c r="C14" s="12" t="n"/>
      <c r="D14" s="11" t="n"/>
      <c r="E14" s="11" t="n"/>
      <c r="F14" s="11" t="n"/>
      <c r="G14" s="11" t="n"/>
      <c r="H14" s="13">
        <f>IF(OR(A14="",N(D14)=0),"",IF(DATE(INT(((YEAR(TODAY())*12+MONTH(TODAY())-1)+MOD((IF(N(F14)=0,MONTH(TODAY()),F14)-1)-(YEAR(TODAY())*12+MONTH(TODAY())-1),IF(E14="Quarterly",3,IF(E14="Half-yearly",6,IF(E14="Yearly",12,1)))))/12),MOD(((YEAR(TODAY())*12+MONTH(TODAY())-1)+MOD((IF(N(F14)=0,MONTH(TODAY()),F14)-1)-(YEAR(TODAY())*12+MONTH(TODAY())-1),IF(E14="Quarterly",3,IF(E14="Half-yearly",6,IF(E14="Yearly",12,1))))),12)+1,MIN(D14,DAY(EOMONTH(DATE(INT(((YEAR(TODAY())*12+MONTH(TODAY())-1)+MOD((IF(N(F14)=0,MONTH(TODAY()),F14)-1)-(YEAR(TODAY())*12+MONTH(TODAY())-1),IF(E14="Quarterly",3,IF(E14="Half-yearly",6,IF(E14="Yearly",12,1)))))/12),MOD(((YEAR(TODAY())*12+MONTH(TODAY())-1)+MOD((IF(N(F14)=0,MONTH(TODAY()),F14)-1)-(YEAR(TODAY())*12+MONTH(TODAY())-1),IF(E14="Quarterly",3,IF(E14="Half-yearly",6,IF(E14="Yearly",12,1))))),12)+1,1),0))))&lt;TODAY(),DATE(INT((((YEAR(TODAY())*12+MONTH(TODAY())-1)+MOD((IF(N(F14)=0,MONTH(TODAY()),F14)-1)-(YEAR(TODAY())*12+MONTH(TODAY())-1),IF(E14="Quarterly",3,IF(E14="Half-yearly",6,IF(E14="Yearly",12,1)))))+IF(E14="Quarterly",3,IF(E14="Half-yearly",6,IF(E14="Yearly",12,1))))/12),MOD((((YEAR(TODAY())*12+MONTH(TODAY())-1)+MOD((IF(N(F14)=0,MONTH(TODAY()),F14)-1)-(YEAR(TODAY())*12+MONTH(TODAY())-1),IF(E14="Quarterly",3,IF(E14="Half-yearly",6,IF(E14="Yearly",12,1)))))+IF(E14="Quarterly",3,IF(E14="Half-yearly",6,IF(E14="Yearly",12,1)))),12)+1,MIN(D14,DAY(EOMONTH(DATE(INT((((YEAR(TODAY())*12+MONTH(TODAY())-1)+MOD((IF(N(F14)=0,MONTH(TODAY()),F14)-1)-(YEAR(TODAY())*12+MONTH(TODAY())-1),IF(E14="Quarterly",3,IF(E14="Half-yearly",6,IF(E14="Yearly",12,1)))))+IF(E14="Quarterly",3,IF(E14="Half-yearly",6,IF(E14="Yearly",12,1))))/12),MOD((((YEAR(TODAY())*12+MONTH(TODAY())-1)+MOD((IF(N(F14)=0,MONTH(TODAY()),F14)-1)-(YEAR(TODAY())*12+MONTH(TODAY())-1),IF(E14="Quarterly",3,IF(E14="Half-yearly",6,IF(E14="Yearly",12,1)))))+IF(E14="Quarterly",3,IF(E14="Half-yearly",6,IF(E14="Yearly",12,1)))),12)+1,1),0)))),DATE(INT(((YEAR(TODAY())*12+MONTH(TODAY())-1)+MOD((IF(N(F14)=0,MONTH(TODAY()),F14)-1)-(YEAR(TODAY())*12+MONTH(TODAY())-1),IF(E14="Quarterly",3,IF(E14="Half-yearly",6,IF(E14="Yearly",12,1)))))/12),MOD(((YEAR(TODAY())*12+MONTH(TODAY())-1)+MOD((IF(N(F14)=0,MONTH(TODAY()),F14)-1)-(YEAR(TODAY())*12+MONTH(TODAY())-1),IF(E14="Quarterly",3,IF(E14="Half-yearly",6,IF(E14="Yearly",12,1))))),12)+1,MIN(D14,DAY(EOMONTH(DATE(INT(((YEAR(TODAY())*12+MONTH(TODAY())-1)+MOD((IF(N(F14)=0,MONTH(TODAY()),F14)-1)-(YEAR(TODAY())*12+MONTH(TODAY())-1),IF(E14="Quarterly",3,IF(E14="Half-yearly",6,IF(E14="Yearly",12,1)))))/12),MOD(((YEAR(TODAY())*12+MONTH(TODAY())-1)+MOD((IF(N(F14)=0,MONTH(TODAY()),F14)-1)-(YEAR(TODAY())*12+MONTH(TODAY())-1),IF(E14="Quarterly",3,IF(E14="Half-yearly",6,IF(E14="Yearly",12,1))))),12)+1,1),0))))))</f>
        <v/>
      </c>
      <c r="I14">
        <f>IF(H14="","",H14-TODAY())</f>
        <v/>
      </c>
      <c r="J14">
        <f>IF(H14="","",IF(I14=0,"DUE TODAY",IF(I14&lt;=3,"Due in "&amp;I14&amp;" day(s) — pay now",IF(I14&lt;=7,"Due this week","OK"))))</f>
        <v/>
      </c>
    </row>
    <row r="15">
      <c r="A15" s="11" t="n"/>
      <c r="B15" s="11" t="n"/>
      <c r="C15" s="12" t="n"/>
      <c r="D15" s="11" t="n"/>
      <c r="E15" s="11" t="n"/>
      <c r="F15" s="11" t="n"/>
      <c r="G15" s="11" t="n"/>
      <c r="H15" s="13">
        <f>IF(OR(A15="",N(D15)=0),"",IF(DATE(INT(((YEAR(TODAY())*12+MONTH(TODAY())-1)+MOD((IF(N(F15)=0,MONTH(TODAY()),F15)-1)-(YEAR(TODAY())*12+MONTH(TODAY())-1),IF(E15="Quarterly",3,IF(E15="Half-yearly",6,IF(E15="Yearly",12,1)))))/12),MOD(((YEAR(TODAY())*12+MONTH(TODAY())-1)+MOD((IF(N(F15)=0,MONTH(TODAY()),F15)-1)-(YEAR(TODAY())*12+MONTH(TODAY())-1),IF(E15="Quarterly",3,IF(E15="Half-yearly",6,IF(E15="Yearly",12,1))))),12)+1,MIN(D15,DAY(EOMONTH(DATE(INT(((YEAR(TODAY())*12+MONTH(TODAY())-1)+MOD((IF(N(F15)=0,MONTH(TODAY()),F15)-1)-(YEAR(TODAY())*12+MONTH(TODAY())-1),IF(E15="Quarterly",3,IF(E15="Half-yearly",6,IF(E15="Yearly",12,1)))))/12),MOD(((YEAR(TODAY())*12+MONTH(TODAY())-1)+MOD((IF(N(F15)=0,MONTH(TODAY()),F15)-1)-(YEAR(TODAY())*12+MONTH(TODAY())-1),IF(E15="Quarterly",3,IF(E15="Half-yearly",6,IF(E15="Yearly",12,1))))),12)+1,1),0))))&lt;TODAY(),DATE(INT((((YEAR(TODAY())*12+MONTH(TODAY())-1)+MOD((IF(N(F15)=0,MONTH(TODAY()),F15)-1)-(YEAR(TODAY())*12+MONTH(TODAY())-1),IF(E15="Quarterly",3,IF(E15="Half-yearly",6,IF(E15="Yearly",12,1)))))+IF(E15="Quarterly",3,IF(E15="Half-yearly",6,IF(E15="Yearly",12,1))))/12),MOD((((YEAR(TODAY())*12+MONTH(TODAY())-1)+MOD((IF(N(F15)=0,MONTH(TODAY()),F15)-1)-(YEAR(TODAY())*12+MONTH(TODAY())-1),IF(E15="Quarterly",3,IF(E15="Half-yearly",6,IF(E15="Yearly",12,1)))))+IF(E15="Quarterly",3,IF(E15="Half-yearly",6,IF(E15="Yearly",12,1)))),12)+1,MIN(D15,DAY(EOMONTH(DATE(INT((((YEAR(TODAY())*12+MONTH(TODAY())-1)+MOD((IF(N(F15)=0,MONTH(TODAY()),F15)-1)-(YEAR(TODAY())*12+MONTH(TODAY())-1),IF(E15="Quarterly",3,IF(E15="Half-yearly",6,IF(E15="Yearly",12,1)))))+IF(E15="Quarterly",3,IF(E15="Half-yearly",6,IF(E15="Yearly",12,1))))/12),MOD((((YEAR(TODAY())*12+MONTH(TODAY())-1)+MOD((IF(N(F15)=0,MONTH(TODAY()),F15)-1)-(YEAR(TODAY())*12+MONTH(TODAY())-1),IF(E15="Quarterly",3,IF(E15="Half-yearly",6,IF(E15="Yearly",12,1)))))+IF(E15="Quarterly",3,IF(E15="Half-yearly",6,IF(E15="Yearly",12,1)))),12)+1,1),0)))),DATE(INT(((YEAR(TODAY())*12+MONTH(TODAY())-1)+MOD((IF(N(F15)=0,MONTH(TODAY()),F15)-1)-(YEAR(TODAY())*12+MONTH(TODAY())-1),IF(E15="Quarterly",3,IF(E15="Half-yearly",6,IF(E15="Yearly",12,1)))))/12),MOD(((YEAR(TODAY())*12+MONTH(TODAY())-1)+MOD((IF(N(F15)=0,MONTH(TODAY()),F15)-1)-(YEAR(TODAY())*12+MONTH(TODAY())-1),IF(E15="Quarterly",3,IF(E15="Half-yearly",6,IF(E15="Yearly",12,1))))),12)+1,MIN(D15,DAY(EOMONTH(DATE(INT(((YEAR(TODAY())*12+MONTH(TODAY())-1)+MOD((IF(N(F15)=0,MONTH(TODAY()),F15)-1)-(YEAR(TODAY())*12+MONTH(TODAY())-1),IF(E15="Quarterly",3,IF(E15="Half-yearly",6,IF(E15="Yearly",12,1)))))/12),MOD(((YEAR(TODAY())*12+MONTH(TODAY())-1)+MOD((IF(N(F15)=0,MONTH(TODAY()),F15)-1)-(YEAR(TODAY())*12+MONTH(TODAY())-1),IF(E15="Quarterly",3,IF(E15="Half-yearly",6,IF(E15="Yearly",12,1))))),12)+1,1),0))))))</f>
        <v/>
      </c>
      <c r="I15">
        <f>IF(H15="","",H15-TODAY())</f>
        <v/>
      </c>
      <c r="J15">
        <f>IF(H15="","",IF(I15=0,"DUE TODAY",IF(I15&lt;=3,"Due in "&amp;I15&amp;" day(s) — pay now",IF(I15&lt;=7,"Due this week","OK"))))</f>
        <v/>
      </c>
    </row>
    <row r="16">
      <c r="A16" s="11" t="n"/>
      <c r="B16" s="11" t="n"/>
      <c r="C16" s="12" t="n"/>
      <c r="D16" s="11" t="n"/>
      <c r="E16" s="11" t="n"/>
      <c r="F16" s="11" t="n"/>
      <c r="G16" s="11" t="n"/>
      <c r="H16" s="13">
        <f>IF(OR(A16="",N(D16)=0),"",IF(DATE(INT(((YEAR(TODAY())*12+MONTH(TODAY())-1)+MOD((IF(N(F16)=0,MONTH(TODAY()),F16)-1)-(YEAR(TODAY())*12+MONTH(TODAY())-1),IF(E16="Quarterly",3,IF(E16="Half-yearly",6,IF(E16="Yearly",12,1)))))/12),MOD(((YEAR(TODAY())*12+MONTH(TODAY())-1)+MOD((IF(N(F16)=0,MONTH(TODAY()),F16)-1)-(YEAR(TODAY())*12+MONTH(TODAY())-1),IF(E16="Quarterly",3,IF(E16="Half-yearly",6,IF(E16="Yearly",12,1))))),12)+1,MIN(D16,DAY(EOMONTH(DATE(INT(((YEAR(TODAY())*12+MONTH(TODAY())-1)+MOD((IF(N(F16)=0,MONTH(TODAY()),F16)-1)-(YEAR(TODAY())*12+MONTH(TODAY())-1),IF(E16="Quarterly",3,IF(E16="Half-yearly",6,IF(E16="Yearly",12,1)))))/12),MOD(((YEAR(TODAY())*12+MONTH(TODAY())-1)+MOD((IF(N(F16)=0,MONTH(TODAY()),F16)-1)-(YEAR(TODAY())*12+MONTH(TODAY())-1),IF(E16="Quarterly",3,IF(E16="Half-yearly",6,IF(E16="Yearly",12,1))))),12)+1,1),0))))&lt;TODAY(),DATE(INT((((YEAR(TODAY())*12+MONTH(TODAY())-1)+MOD((IF(N(F16)=0,MONTH(TODAY()),F16)-1)-(YEAR(TODAY())*12+MONTH(TODAY())-1),IF(E16="Quarterly",3,IF(E16="Half-yearly",6,IF(E16="Yearly",12,1)))))+IF(E16="Quarterly",3,IF(E16="Half-yearly",6,IF(E16="Yearly",12,1))))/12),MOD((((YEAR(TODAY())*12+MONTH(TODAY())-1)+MOD((IF(N(F16)=0,MONTH(TODAY()),F16)-1)-(YEAR(TODAY())*12+MONTH(TODAY())-1),IF(E16="Quarterly",3,IF(E16="Half-yearly",6,IF(E16="Yearly",12,1)))))+IF(E16="Quarterly",3,IF(E16="Half-yearly",6,IF(E16="Yearly",12,1)))),12)+1,MIN(D16,DAY(EOMONTH(DATE(INT((((YEAR(TODAY())*12+MONTH(TODAY())-1)+MOD((IF(N(F16)=0,MONTH(TODAY()),F16)-1)-(YEAR(TODAY())*12+MONTH(TODAY())-1),IF(E16="Quarterly",3,IF(E16="Half-yearly",6,IF(E16="Yearly",12,1)))))+IF(E16="Quarterly",3,IF(E16="Half-yearly",6,IF(E16="Yearly",12,1))))/12),MOD((((YEAR(TODAY())*12+MONTH(TODAY())-1)+MOD((IF(N(F16)=0,MONTH(TODAY()),F16)-1)-(YEAR(TODAY())*12+MONTH(TODAY())-1),IF(E16="Quarterly",3,IF(E16="Half-yearly",6,IF(E16="Yearly",12,1)))))+IF(E16="Quarterly",3,IF(E16="Half-yearly",6,IF(E16="Yearly",12,1)))),12)+1,1),0)))),DATE(INT(((YEAR(TODAY())*12+MONTH(TODAY())-1)+MOD((IF(N(F16)=0,MONTH(TODAY()),F16)-1)-(YEAR(TODAY())*12+MONTH(TODAY())-1),IF(E16="Quarterly",3,IF(E16="Half-yearly",6,IF(E16="Yearly",12,1)))))/12),MOD(((YEAR(TODAY())*12+MONTH(TODAY())-1)+MOD((IF(N(F16)=0,MONTH(TODAY()),F16)-1)-(YEAR(TODAY())*12+MONTH(TODAY())-1),IF(E16="Quarterly",3,IF(E16="Half-yearly",6,IF(E16="Yearly",12,1))))),12)+1,MIN(D16,DAY(EOMONTH(DATE(INT(((YEAR(TODAY())*12+MONTH(TODAY())-1)+MOD((IF(N(F16)=0,MONTH(TODAY()),F16)-1)-(YEAR(TODAY())*12+MONTH(TODAY())-1),IF(E16="Quarterly",3,IF(E16="Half-yearly",6,IF(E16="Yearly",12,1)))))/12),MOD(((YEAR(TODAY())*12+MONTH(TODAY())-1)+MOD((IF(N(F16)=0,MONTH(TODAY()),F16)-1)-(YEAR(TODAY())*12+MONTH(TODAY())-1),IF(E16="Quarterly",3,IF(E16="Half-yearly",6,IF(E16="Yearly",12,1))))),12)+1,1),0))))))</f>
        <v/>
      </c>
      <c r="I16">
        <f>IF(H16="","",H16-TODAY())</f>
        <v/>
      </c>
      <c r="J16">
        <f>IF(H16="","",IF(I16=0,"DUE TODAY",IF(I16&lt;=3,"Due in "&amp;I16&amp;" day(s) — pay now",IF(I16&lt;=7,"Due this week","OK"))))</f>
        <v/>
      </c>
    </row>
    <row r="17">
      <c r="A17" s="11" t="n"/>
      <c r="B17" s="11" t="n"/>
      <c r="C17" s="12" t="n"/>
      <c r="D17" s="11" t="n"/>
      <c r="E17" s="11" t="n"/>
      <c r="F17" s="11" t="n"/>
      <c r="G17" s="11" t="n"/>
      <c r="H17" s="13">
        <f>IF(OR(A17="",N(D17)=0),"",IF(DATE(INT(((YEAR(TODAY())*12+MONTH(TODAY())-1)+MOD((IF(N(F17)=0,MONTH(TODAY()),F17)-1)-(YEAR(TODAY())*12+MONTH(TODAY())-1),IF(E17="Quarterly",3,IF(E17="Half-yearly",6,IF(E17="Yearly",12,1)))))/12),MOD(((YEAR(TODAY())*12+MONTH(TODAY())-1)+MOD((IF(N(F17)=0,MONTH(TODAY()),F17)-1)-(YEAR(TODAY())*12+MONTH(TODAY())-1),IF(E17="Quarterly",3,IF(E17="Half-yearly",6,IF(E17="Yearly",12,1))))),12)+1,MIN(D17,DAY(EOMONTH(DATE(INT(((YEAR(TODAY())*12+MONTH(TODAY())-1)+MOD((IF(N(F17)=0,MONTH(TODAY()),F17)-1)-(YEAR(TODAY())*12+MONTH(TODAY())-1),IF(E17="Quarterly",3,IF(E17="Half-yearly",6,IF(E17="Yearly",12,1)))))/12),MOD(((YEAR(TODAY())*12+MONTH(TODAY())-1)+MOD((IF(N(F17)=0,MONTH(TODAY()),F17)-1)-(YEAR(TODAY())*12+MONTH(TODAY())-1),IF(E17="Quarterly",3,IF(E17="Half-yearly",6,IF(E17="Yearly",12,1))))),12)+1,1),0))))&lt;TODAY(),DATE(INT((((YEAR(TODAY())*12+MONTH(TODAY())-1)+MOD((IF(N(F17)=0,MONTH(TODAY()),F17)-1)-(YEAR(TODAY())*12+MONTH(TODAY())-1),IF(E17="Quarterly",3,IF(E17="Half-yearly",6,IF(E17="Yearly",12,1)))))+IF(E17="Quarterly",3,IF(E17="Half-yearly",6,IF(E17="Yearly",12,1))))/12),MOD((((YEAR(TODAY())*12+MONTH(TODAY())-1)+MOD((IF(N(F17)=0,MONTH(TODAY()),F17)-1)-(YEAR(TODAY())*12+MONTH(TODAY())-1),IF(E17="Quarterly",3,IF(E17="Half-yearly",6,IF(E17="Yearly",12,1)))))+IF(E17="Quarterly",3,IF(E17="Half-yearly",6,IF(E17="Yearly",12,1)))),12)+1,MIN(D17,DAY(EOMONTH(DATE(INT((((YEAR(TODAY())*12+MONTH(TODAY())-1)+MOD((IF(N(F17)=0,MONTH(TODAY()),F17)-1)-(YEAR(TODAY())*12+MONTH(TODAY())-1),IF(E17="Quarterly",3,IF(E17="Half-yearly",6,IF(E17="Yearly",12,1)))))+IF(E17="Quarterly",3,IF(E17="Half-yearly",6,IF(E17="Yearly",12,1))))/12),MOD((((YEAR(TODAY())*12+MONTH(TODAY())-1)+MOD((IF(N(F17)=0,MONTH(TODAY()),F17)-1)-(YEAR(TODAY())*12+MONTH(TODAY())-1),IF(E17="Quarterly",3,IF(E17="Half-yearly",6,IF(E17="Yearly",12,1)))))+IF(E17="Quarterly",3,IF(E17="Half-yearly",6,IF(E17="Yearly",12,1)))),12)+1,1),0)))),DATE(INT(((YEAR(TODAY())*12+MONTH(TODAY())-1)+MOD((IF(N(F17)=0,MONTH(TODAY()),F17)-1)-(YEAR(TODAY())*12+MONTH(TODAY())-1),IF(E17="Quarterly",3,IF(E17="Half-yearly",6,IF(E17="Yearly",12,1)))))/12),MOD(((YEAR(TODAY())*12+MONTH(TODAY())-1)+MOD((IF(N(F17)=0,MONTH(TODAY()),F17)-1)-(YEAR(TODAY())*12+MONTH(TODAY())-1),IF(E17="Quarterly",3,IF(E17="Half-yearly",6,IF(E17="Yearly",12,1))))),12)+1,MIN(D17,DAY(EOMONTH(DATE(INT(((YEAR(TODAY())*12+MONTH(TODAY())-1)+MOD((IF(N(F17)=0,MONTH(TODAY()),F17)-1)-(YEAR(TODAY())*12+MONTH(TODAY())-1),IF(E17="Quarterly",3,IF(E17="Half-yearly",6,IF(E17="Yearly",12,1)))))/12),MOD(((YEAR(TODAY())*12+MONTH(TODAY())-1)+MOD((IF(N(F17)=0,MONTH(TODAY()),F17)-1)-(YEAR(TODAY())*12+MONTH(TODAY())-1),IF(E17="Quarterly",3,IF(E17="Half-yearly",6,IF(E17="Yearly",12,1))))),12)+1,1),0))))))</f>
        <v/>
      </c>
      <c r="I17">
        <f>IF(H17="","",H17-TODAY())</f>
        <v/>
      </c>
      <c r="J17">
        <f>IF(H17="","",IF(I17=0,"DUE TODAY",IF(I17&lt;=3,"Due in "&amp;I17&amp;" day(s) — pay now",IF(I17&lt;=7,"Due this week","OK"))))</f>
        <v/>
      </c>
    </row>
    <row r="18">
      <c r="A18" s="11" t="n"/>
      <c r="B18" s="11" t="n"/>
      <c r="C18" s="12" t="n"/>
      <c r="D18" s="11" t="n"/>
      <c r="E18" s="11" t="n"/>
      <c r="F18" s="11" t="n"/>
      <c r="G18" s="11" t="n"/>
      <c r="H18" s="13">
        <f>IF(OR(A18="",N(D18)=0),"",IF(DATE(INT(((YEAR(TODAY())*12+MONTH(TODAY())-1)+MOD((IF(N(F18)=0,MONTH(TODAY()),F18)-1)-(YEAR(TODAY())*12+MONTH(TODAY())-1),IF(E18="Quarterly",3,IF(E18="Half-yearly",6,IF(E18="Yearly",12,1)))))/12),MOD(((YEAR(TODAY())*12+MONTH(TODAY())-1)+MOD((IF(N(F18)=0,MONTH(TODAY()),F18)-1)-(YEAR(TODAY())*12+MONTH(TODAY())-1),IF(E18="Quarterly",3,IF(E18="Half-yearly",6,IF(E18="Yearly",12,1))))),12)+1,MIN(D18,DAY(EOMONTH(DATE(INT(((YEAR(TODAY())*12+MONTH(TODAY())-1)+MOD((IF(N(F18)=0,MONTH(TODAY()),F18)-1)-(YEAR(TODAY())*12+MONTH(TODAY())-1),IF(E18="Quarterly",3,IF(E18="Half-yearly",6,IF(E18="Yearly",12,1)))))/12),MOD(((YEAR(TODAY())*12+MONTH(TODAY())-1)+MOD((IF(N(F18)=0,MONTH(TODAY()),F18)-1)-(YEAR(TODAY())*12+MONTH(TODAY())-1),IF(E18="Quarterly",3,IF(E18="Half-yearly",6,IF(E18="Yearly",12,1))))),12)+1,1),0))))&lt;TODAY(),DATE(INT((((YEAR(TODAY())*12+MONTH(TODAY())-1)+MOD((IF(N(F18)=0,MONTH(TODAY()),F18)-1)-(YEAR(TODAY())*12+MONTH(TODAY())-1),IF(E18="Quarterly",3,IF(E18="Half-yearly",6,IF(E18="Yearly",12,1)))))+IF(E18="Quarterly",3,IF(E18="Half-yearly",6,IF(E18="Yearly",12,1))))/12),MOD((((YEAR(TODAY())*12+MONTH(TODAY())-1)+MOD((IF(N(F18)=0,MONTH(TODAY()),F18)-1)-(YEAR(TODAY())*12+MONTH(TODAY())-1),IF(E18="Quarterly",3,IF(E18="Half-yearly",6,IF(E18="Yearly",12,1)))))+IF(E18="Quarterly",3,IF(E18="Half-yearly",6,IF(E18="Yearly",12,1)))),12)+1,MIN(D18,DAY(EOMONTH(DATE(INT((((YEAR(TODAY())*12+MONTH(TODAY())-1)+MOD((IF(N(F18)=0,MONTH(TODAY()),F18)-1)-(YEAR(TODAY())*12+MONTH(TODAY())-1),IF(E18="Quarterly",3,IF(E18="Half-yearly",6,IF(E18="Yearly",12,1)))))+IF(E18="Quarterly",3,IF(E18="Half-yearly",6,IF(E18="Yearly",12,1))))/12),MOD((((YEAR(TODAY())*12+MONTH(TODAY())-1)+MOD((IF(N(F18)=0,MONTH(TODAY()),F18)-1)-(YEAR(TODAY())*12+MONTH(TODAY())-1),IF(E18="Quarterly",3,IF(E18="Half-yearly",6,IF(E18="Yearly",12,1)))))+IF(E18="Quarterly",3,IF(E18="Half-yearly",6,IF(E18="Yearly",12,1)))),12)+1,1),0)))),DATE(INT(((YEAR(TODAY())*12+MONTH(TODAY())-1)+MOD((IF(N(F18)=0,MONTH(TODAY()),F18)-1)-(YEAR(TODAY())*12+MONTH(TODAY())-1),IF(E18="Quarterly",3,IF(E18="Half-yearly",6,IF(E18="Yearly",12,1)))))/12),MOD(((YEAR(TODAY())*12+MONTH(TODAY())-1)+MOD((IF(N(F18)=0,MONTH(TODAY()),F18)-1)-(YEAR(TODAY())*12+MONTH(TODAY())-1),IF(E18="Quarterly",3,IF(E18="Half-yearly",6,IF(E18="Yearly",12,1))))),12)+1,MIN(D18,DAY(EOMONTH(DATE(INT(((YEAR(TODAY())*12+MONTH(TODAY())-1)+MOD((IF(N(F18)=0,MONTH(TODAY()),F18)-1)-(YEAR(TODAY())*12+MONTH(TODAY())-1),IF(E18="Quarterly",3,IF(E18="Half-yearly",6,IF(E18="Yearly",12,1)))))/12),MOD(((YEAR(TODAY())*12+MONTH(TODAY())-1)+MOD((IF(N(F18)=0,MONTH(TODAY()),F18)-1)-(YEAR(TODAY())*12+MONTH(TODAY())-1),IF(E18="Quarterly",3,IF(E18="Half-yearly",6,IF(E18="Yearly",12,1))))),12)+1,1),0))))))</f>
        <v/>
      </c>
      <c r="I18">
        <f>IF(H18="","",H18-TODAY())</f>
        <v/>
      </c>
      <c r="J18">
        <f>IF(H18="","",IF(I18=0,"DUE TODAY",IF(I18&lt;=3,"Due in "&amp;I18&amp;" day(s) — pay now",IF(I18&lt;=7,"Due this week","OK"))))</f>
        <v/>
      </c>
    </row>
    <row r="19">
      <c r="A19" s="11" t="n"/>
      <c r="B19" s="11" t="n"/>
      <c r="C19" s="12" t="n"/>
      <c r="D19" s="11" t="n"/>
      <c r="E19" s="11" t="n"/>
      <c r="F19" s="11" t="n"/>
      <c r="G19" s="11" t="n"/>
      <c r="H19" s="13">
        <f>IF(OR(A19="",N(D19)=0),"",IF(DATE(INT(((YEAR(TODAY())*12+MONTH(TODAY())-1)+MOD((IF(N(F19)=0,MONTH(TODAY()),F19)-1)-(YEAR(TODAY())*12+MONTH(TODAY())-1),IF(E19="Quarterly",3,IF(E19="Half-yearly",6,IF(E19="Yearly",12,1)))))/12),MOD(((YEAR(TODAY())*12+MONTH(TODAY())-1)+MOD((IF(N(F19)=0,MONTH(TODAY()),F19)-1)-(YEAR(TODAY())*12+MONTH(TODAY())-1),IF(E19="Quarterly",3,IF(E19="Half-yearly",6,IF(E19="Yearly",12,1))))),12)+1,MIN(D19,DAY(EOMONTH(DATE(INT(((YEAR(TODAY())*12+MONTH(TODAY())-1)+MOD((IF(N(F19)=0,MONTH(TODAY()),F19)-1)-(YEAR(TODAY())*12+MONTH(TODAY())-1),IF(E19="Quarterly",3,IF(E19="Half-yearly",6,IF(E19="Yearly",12,1)))))/12),MOD(((YEAR(TODAY())*12+MONTH(TODAY())-1)+MOD((IF(N(F19)=0,MONTH(TODAY()),F19)-1)-(YEAR(TODAY())*12+MONTH(TODAY())-1),IF(E19="Quarterly",3,IF(E19="Half-yearly",6,IF(E19="Yearly",12,1))))),12)+1,1),0))))&lt;TODAY(),DATE(INT((((YEAR(TODAY())*12+MONTH(TODAY())-1)+MOD((IF(N(F19)=0,MONTH(TODAY()),F19)-1)-(YEAR(TODAY())*12+MONTH(TODAY())-1),IF(E19="Quarterly",3,IF(E19="Half-yearly",6,IF(E19="Yearly",12,1)))))+IF(E19="Quarterly",3,IF(E19="Half-yearly",6,IF(E19="Yearly",12,1))))/12),MOD((((YEAR(TODAY())*12+MONTH(TODAY())-1)+MOD((IF(N(F19)=0,MONTH(TODAY()),F19)-1)-(YEAR(TODAY())*12+MONTH(TODAY())-1),IF(E19="Quarterly",3,IF(E19="Half-yearly",6,IF(E19="Yearly",12,1)))))+IF(E19="Quarterly",3,IF(E19="Half-yearly",6,IF(E19="Yearly",12,1)))),12)+1,MIN(D19,DAY(EOMONTH(DATE(INT((((YEAR(TODAY())*12+MONTH(TODAY())-1)+MOD((IF(N(F19)=0,MONTH(TODAY()),F19)-1)-(YEAR(TODAY())*12+MONTH(TODAY())-1),IF(E19="Quarterly",3,IF(E19="Half-yearly",6,IF(E19="Yearly",12,1)))))+IF(E19="Quarterly",3,IF(E19="Half-yearly",6,IF(E19="Yearly",12,1))))/12),MOD((((YEAR(TODAY())*12+MONTH(TODAY())-1)+MOD((IF(N(F19)=0,MONTH(TODAY()),F19)-1)-(YEAR(TODAY())*12+MONTH(TODAY())-1),IF(E19="Quarterly",3,IF(E19="Half-yearly",6,IF(E19="Yearly",12,1)))))+IF(E19="Quarterly",3,IF(E19="Half-yearly",6,IF(E19="Yearly",12,1)))),12)+1,1),0)))),DATE(INT(((YEAR(TODAY())*12+MONTH(TODAY())-1)+MOD((IF(N(F19)=0,MONTH(TODAY()),F19)-1)-(YEAR(TODAY())*12+MONTH(TODAY())-1),IF(E19="Quarterly",3,IF(E19="Half-yearly",6,IF(E19="Yearly",12,1)))))/12),MOD(((YEAR(TODAY())*12+MONTH(TODAY())-1)+MOD((IF(N(F19)=0,MONTH(TODAY()),F19)-1)-(YEAR(TODAY())*12+MONTH(TODAY())-1),IF(E19="Quarterly",3,IF(E19="Half-yearly",6,IF(E19="Yearly",12,1))))),12)+1,MIN(D19,DAY(EOMONTH(DATE(INT(((YEAR(TODAY())*12+MONTH(TODAY())-1)+MOD((IF(N(F19)=0,MONTH(TODAY()),F19)-1)-(YEAR(TODAY())*12+MONTH(TODAY())-1),IF(E19="Quarterly",3,IF(E19="Half-yearly",6,IF(E19="Yearly",12,1)))))/12),MOD(((YEAR(TODAY())*12+MONTH(TODAY())-1)+MOD((IF(N(F19)=0,MONTH(TODAY()),F19)-1)-(YEAR(TODAY())*12+MONTH(TODAY())-1),IF(E19="Quarterly",3,IF(E19="Half-yearly",6,IF(E19="Yearly",12,1))))),12)+1,1),0))))))</f>
        <v/>
      </c>
      <c r="I19">
        <f>IF(H19="","",H19-TODAY())</f>
        <v/>
      </c>
      <c r="J19">
        <f>IF(H19="","",IF(I19=0,"DUE TODAY",IF(I19&lt;=3,"Due in "&amp;I19&amp;" day(s) — pay now",IF(I19&lt;=7,"Due this week","OK"))))</f>
        <v/>
      </c>
    </row>
    <row r="20">
      <c r="A20" s="11" t="n"/>
      <c r="B20" s="11" t="n"/>
      <c r="C20" s="12" t="n"/>
      <c r="D20" s="11" t="n"/>
      <c r="E20" s="11" t="n"/>
      <c r="F20" s="11" t="n"/>
      <c r="G20" s="11" t="n"/>
      <c r="H20" s="13">
        <f>IF(OR(A20="",N(D20)=0),"",IF(DATE(INT(((YEAR(TODAY())*12+MONTH(TODAY())-1)+MOD((IF(N(F20)=0,MONTH(TODAY()),F20)-1)-(YEAR(TODAY())*12+MONTH(TODAY())-1),IF(E20="Quarterly",3,IF(E20="Half-yearly",6,IF(E20="Yearly",12,1)))))/12),MOD(((YEAR(TODAY())*12+MONTH(TODAY())-1)+MOD((IF(N(F20)=0,MONTH(TODAY()),F20)-1)-(YEAR(TODAY())*12+MONTH(TODAY())-1),IF(E20="Quarterly",3,IF(E20="Half-yearly",6,IF(E20="Yearly",12,1))))),12)+1,MIN(D20,DAY(EOMONTH(DATE(INT(((YEAR(TODAY())*12+MONTH(TODAY())-1)+MOD((IF(N(F20)=0,MONTH(TODAY()),F20)-1)-(YEAR(TODAY())*12+MONTH(TODAY())-1),IF(E20="Quarterly",3,IF(E20="Half-yearly",6,IF(E20="Yearly",12,1)))))/12),MOD(((YEAR(TODAY())*12+MONTH(TODAY())-1)+MOD((IF(N(F20)=0,MONTH(TODAY()),F20)-1)-(YEAR(TODAY())*12+MONTH(TODAY())-1),IF(E20="Quarterly",3,IF(E20="Half-yearly",6,IF(E20="Yearly",12,1))))),12)+1,1),0))))&lt;TODAY(),DATE(INT((((YEAR(TODAY())*12+MONTH(TODAY())-1)+MOD((IF(N(F20)=0,MONTH(TODAY()),F20)-1)-(YEAR(TODAY())*12+MONTH(TODAY())-1),IF(E20="Quarterly",3,IF(E20="Half-yearly",6,IF(E20="Yearly",12,1)))))+IF(E20="Quarterly",3,IF(E20="Half-yearly",6,IF(E20="Yearly",12,1))))/12),MOD((((YEAR(TODAY())*12+MONTH(TODAY())-1)+MOD((IF(N(F20)=0,MONTH(TODAY()),F20)-1)-(YEAR(TODAY())*12+MONTH(TODAY())-1),IF(E20="Quarterly",3,IF(E20="Half-yearly",6,IF(E20="Yearly",12,1)))))+IF(E20="Quarterly",3,IF(E20="Half-yearly",6,IF(E20="Yearly",12,1)))),12)+1,MIN(D20,DAY(EOMONTH(DATE(INT((((YEAR(TODAY())*12+MONTH(TODAY())-1)+MOD((IF(N(F20)=0,MONTH(TODAY()),F20)-1)-(YEAR(TODAY())*12+MONTH(TODAY())-1),IF(E20="Quarterly",3,IF(E20="Half-yearly",6,IF(E20="Yearly",12,1)))))+IF(E20="Quarterly",3,IF(E20="Half-yearly",6,IF(E20="Yearly",12,1))))/12),MOD((((YEAR(TODAY())*12+MONTH(TODAY())-1)+MOD((IF(N(F20)=0,MONTH(TODAY()),F20)-1)-(YEAR(TODAY())*12+MONTH(TODAY())-1),IF(E20="Quarterly",3,IF(E20="Half-yearly",6,IF(E20="Yearly",12,1)))))+IF(E20="Quarterly",3,IF(E20="Half-yearly",6,IF(E20="Yearly",12,1)))),12)+1,1),0)))),DATE(INT(((YEAR(TODAY())*12+MONTH(TODAY())-1)+MOD((IF(N(F20)=0,MONTH(TODAY()),F20)-1)-(YEAR(TODAY())*12+MONTH(TODAY())-1),IF(E20="Quarterly",3,IF(E20="Half-yearly",6,IF(E20="Yearly",12,1)))))/12),MOD(((YEAR(TODAY())*12+MONTH(TODAY())-1)+MOD((IF(N(F20)=0,MONTH(TODAY()),F20)-1)-(YEAR(TODAY())*12+MONTH(TODAY())-1),IF(E20="Quarterly",3,IF(E20="Half-yearly",6,IF(E20="Yearly",12,1))))),12)+1,MIN(D20,DAY(EOMONTH(DATE(INT(((YEAR(TODAY())*12+MONTH(TODAY())-1)+MOD((IF(N(F20)=0,MONTH(TODAY()),F20)-1)-(YEAR(TODAY())*12+MONTH(TODAY())-1),IF(E20="Quarterly",3,IF(E20="Half-yearly",6,IF(E20="Yearly",12,1)))))/12),MOD(((YEAR(TODAY())*12+MONTH(TODAY())-1)+MOD((IF(N(F20)=0,MONTH(TODAY()),F20)-1)-(YEAR(TODAY())*12+MONTH(TODAY())-1),IF(E20="Quarterly",3,IF(E20="Half-yearly",6,IF(E20="Yearly",12,1))))),12)+1,1),0))))))</f>
        <v/>
      </c>
      <c r="I20">
        <f>IF(H20="","",H20-TODAY())</f>
        <v/>
      </c>
      <c r="J20">
        <f>IF(H20="","",IF(I20=0,"DUE TODAY",IF(I20&lt;=3,"Due in "&amp;I20&amp;" day(s) — pay now",IF(I20&lt;=7,"Due this week","OK"))))</f>
        <v/>
      </c>
    </row>
    <row r="21">
      <c r="A21" s="11" t="n"/>
      <c r="B21" s="11" t="n"/>
      <c r="C21" s="12" t="n"/>
      <c r="D21" s="11" t="n"/>
      <c r="E21" s="11" t="n"/>
      <c r="F21" s="11" t="n"/>
      <c r="G21" s="11" t="n"/>
      <c r="H21" s="13">
        <f>IF(OR(A21="",N(D21)=0),"",IF(DATE(INT(((YEAR(TODAY())*12+MONTH(TODAY())-1)+MOD((IF(N(F21)=0,MONTH(TODAY()),F21)-1)-(YEAR(TODAY())*12+MONTH(TODAY())-1),IF(E21="Quarterly",3,IF(E21="Half-yearly",6,IF(E21="Yearly",12,1)))))/12),MOD(((YEAR(TODAY())*12+MONTH(TODAY())-1)+MOD((IF(N(F21)=0,MONTH(TODAY()),F21)-1)-(YEAR(TODAY())*12+MONTH(TODAY())-1),IF(E21="Quarterly",3,IF(E21="Half-yearly",6,IF(E21="Yearly",12,1))))),12)+1,MIN(D21,DAY(EOMONTH(DATE(INT(((YEAR(TODAY())*12+MONTH(TODAY())-1)+MOD((IF(N(F21)=0,MONTH(TODAY()),F21)-1)-(YEAR(TODAY())*12+MONTH(TODAY())-1),IF(E21="Quarterly",3,IF(E21="Half-yearly",6,IF(E21="Yearly",12,1)))))/12),MOD(((YEAR(TODAY())*12+MONTH(TODAY())-1)+MOD((IF(N(F21)=0,MONTH(TODAY()),F21)-1)-(YEAR(TODAY())*12+MONTH(TODAY())-1),IF(E21="Quarterly",3,IF(E21="Half-yearly",6,IF(E21="Yearly",12,1))))),12)+1,1),0))))&lt;TODAY(),DATE(INT((((YEAR(TODAY())*12+MONTH(TODAY())-1)+MOD((IF(N(F21)=0,MONTH(TODAY()),F21)-1)-(YEAR(TODAY())*12+MONTH(TODAY())-1),IF(E21="Quarterly",3,IF(E21="Half-yearly",6,IF(E21="Yearly",12,1)))))+IF(E21="Quarterly",3,IF(E21="Half-yearly",6,IF(E21="Yearly",12,1))))/12),MOD((((YEAR(TODAY())*12+MONTH(TODAY())-1)+MOD((IF(N(F21)=0,MONTH(TODAY()),F21)-1)-(YEAR(TODAY())*12+MONTH(TODAY())-1),IF(E21="Quarterly",3,IF(E21="Half-yearly",6,IF(E21="Yearly",12,1)))))+IF(E21="Quarterly",3,IF(E21="Half-yearly",6,IF(E21="Yearly",12,1)))),12)+1,MIN(D21,DAY(EOMONTH(DATE(INT((((YEAR(TODAY())*12+MONTH(TODAY())-1)+MOD((IF(N(F21)=0,MONTH(TODAY()),F21)-1)-(YEAR(TODAY())*12+MONTH(TODAY())-1),IF(E21="Quarterly",3,IF(E21="Half-yearly",6,IF(E21="Yearly",12,1)))))+IF(E21="Quarterly",3,IF(E21="Half-yearly",6,IF(E21="Yearly",12,1))))/12),MOD((((YEAR(TODAY())*12+MONTH(TODAY())-1)+MOD((IF(N(F21)=0,MONTH(TODAY()),F21)-1)-(YEAR(TODAY())*12+MONTH(TODAY())-1),IF(E21="Quarterly",3,IF(E21="Half-yearly",6,IF(E21="Yearly",12,1)))))+IF(E21="Quarterly",3,IF(E21="Half-yearly",6,IF(E21="Yearly",12,1)))),12)+1,1),0)))),DATE(INT(((YEAR(TODAY())*12+MONTH(TODAY())-1)+MOD((IF(N(F21)=0,MONTH(TODAY()),F21)-1)-(YEAR(TODAY())*12+MONTH(TODAY())-1),IF(E21="Quarterly",3,IF(E21="Half-yearly",6,IF(E21="Yearly",12,1)))))/12),MOD(((YEAR(TODAY())*12+MONTH(TODAY())-1)+MOD((IF(N(F21)=0,MONTH(TODAY()),F21)-1)-(YEAR(TODAY())*12+MONTH(TODAY())-1),IF(E21="Quarterly",3,IF(E21="Half-yearly",6,IF(E21="Yearly",12,1))))),12)+1,MIN(D21,DAY(EOMONTH(DATE(INT(((YEAR(TODAY())*12+MONTH(TODAY())-1)+MOD((IF(N(F21)=0,MONTH(TODAY()),F21)-1)-(YEAR(TODAY())*12+MONTH(TODAY())-1),IF(E21="Quarterly",3,IF(E21="Half-yearly",6,IF(E21="Yearly",12,1)))))/12),MOD(((YEAR(TODAY())*12+MONTH(TODAY())-1)+MOD((IF(N(F21)=0,MONTH(TODAY()),F21)-1)-(YEAR(TODAY())*12+MONTH(TODAY())-1),IF(E21="Quarterly",3,IF(E21="Half-yearly",6,IF(E21="Yearly",12,1))))),12)+1,1),0))))))</f>
        <v/>
      </c>
      <c r="I21">
        <f>IF(H21="","",H21-TODAY())</f>
        <v/>
      </c>
      <c r="J21">
        <f>IF(H21="","",IF(I21=0,"DUE TODAY",IF(I21&lt;=3,"Due in "&amp;I21&amp;" day(s) — pay now",IF(I21&lt;=7,"Due this week","OK"))))</f>
        <v/>
      </c>
    </row>
    <row r="22">
      <c r="A22" s="11" t="n"/>
      <c r="B22" s="11" t="n"/>
      <c r="C22" s="12" t="n"/>
      <c r="D22" s="11" t="n"/>
      <c r="E22" s="11" t="n"/>
      <c r="F22" s="11" t="n"/>
      <c r="G22" s="11" t="n"/>
      <c r="H22" s="13">
        <f>IF(OR(A22="",N(D22)=0),"",IF(DATE(INT(((YEAR(TODAY())*12+MONTH(TODAY())-1)+MOD((IF(N(F22)=0,MONTH(TODAY()),F22)-1)-(YEAR(TODAY())*12+MONTH(TODAY())-1),IF(E22="Quarterly",3,IF(E22="Half-yearly",6,IF(E22="Yearly",12,1)))))/12),MOD(((YEAR(TODAY())*12+MONTH(TODAY())-1)+MOD((IF(N(F22)=0,MONTH(TODAY()),F22)-1)-(YEAR(TODAY())*12+MONTH(TODAY())-1),IF(E22="Quarterly",3,IF(E22="Half-yearly",6,IF(E22="Yearly",12,1))))),12)+1,MIN(D22,DAY(EOMONTH(DATE(INT(((YEAR(TODAY())*12+MONTH(TODAY())-1)+MOD((IF(N(F22)=0,MONTH(TODAY()),F22)-1)-(YEAR(TODAY())*12+MONTH(TODAY())-1),IF(E22="Quarterly",3,IF(E22="Half-yearly",6,IF(E22="Yearly",12,1)))))/12),MOD(((YEAR(TODAY())*12+MONTH(TODAY())-1)+MOD((IF(N(F22)=0,MONTH(TODAY()),F22)-1)-(YEAR(TODAY())*12+MONTH(TODAY())-1),IF(E22="Quarterly",3,IF(E22="Half-yearly",6,IF(E22="Yearly",12,1))))),12)+1,1),0))))&lt;TODAY(),DATE(INT((((YEAR(TODAY())*12+MONTH(TODAY())-1)+MOD((IF(N(F22)=0,MONTH(TODAY()),F22)-1)-(YEAR(TODAY())*12+MONTH(TODAY())-1),IF(E22="Quarterly",3,IF(E22="Half-yearly",6,IF(E22="Yearly",12,1)))))+IF(E22="Quarterly",3,IF(E22="Half-yearly",6,IF(E22="Yearly",12,1))))/12),MOD((((YEAR(TODAY())*12+MONTH(TODAY())-1)+MOD((IF(N(F22)=0,MONTH(TODAY()),F22)-1)-(YEAR(TODAY())*12+MONTH(TODAY())-1),IF(E22="Quarterly",3,IF(E22="Half-yearly",6,IF(E22="Yearly",12,1)))))+IF(E22="Quarterly",3,IF(E22="Half-yearly",6,IF(E22="Yearly",12,1)))),12)+1,MIN(D22,DAY(EOMONTH(DATE(INT((((YEAR(TODAY())*12+MONTH(TODAY())-1)+MOD((IF(N(F22)=0,MONTH(TODAY()),F22)-1)-(YEAR(TODAY())*12+MONTH(TODAY())-1),IF(E22="Quarterly",3,IF(E22="Half-yearly",6,IF(E22="Yearly",12,1)))))+IF(E22="Quarterly",3,IF(E22="Half-yearly",6,IF(E22="Yearly",12,1))))/12),MOD((((YEAR(TODAY())*12+MONTH(TODAY())-1)+MOD((IF(N(F22)=0,MONTH(TODAY()),F22)-1)-(YEAR(TODAY())*12+MONTH(TODAY())-1),IF(E22="Quarterly",3,IF(E22="Half-yearly",6,IF(E22="Yearly",12,1)))))+IF(E22="Quarterly",3,IF(E22="Half-yearly",6,IF(E22="Yearly",12,1)))),12)+1,1),0)))),DATE(INT(((YEAR(TODAY())*12+MONTH(TODAY())-1)+MOD((IF(N(F22)=0,MONTH(TODAY()),F22)-1)-(YEAR(TODAY())*12+MONTH(TODAY())-1),IF(E22="Quarterly",3,IF(E22="Half-yearly",6,IF(E22="Yearly",12,1)))))/12),MOD(((YEAR(TODAY())*12+MONTH(TODAY())-1)+MOD((IF(N(F22)=0,MONTH(TODAY()),F22)-1)-(YEAR(TODAY())*12+MONTH(TODAY())-1),IF(E22="Quarterly",3,IF(E22="Half-yearly",6,IF(E22="Yearly",12,1))))),12)+1,MIN(D22,DAY(EOMONTH(DATE(INT(((YEAR(TODAY())*12+MONTH(TODAY())-1)+MOD((IF(N(F22)=0,MONTH(TODAY()),F22)-1)-(YEAR(TODAY())*12+MONTH(TODAY())-1),IF(E22="Quarterly",3,IF(E22="Half-yearly",6,IF(E22="Yearly",12,1)))))/12),MOD(((YEAR(TODAY())*12+MONTH(TODAY())-1)+MOD((IF(N(F22)=0,MONTH(TODAY()),F22)-1)-(YEAR(TODAY())*12+MONTH(TODAY())-1),IF(E22="Quarterly",3,IF(E22="Half-yearly",6,IF(E22="Yearly",12,1))))),12)+1,1),0))))))</f>
        <v/>
      </c>
      <c r="I22">
        <f>IF(H22="","",H22-TODAY())</f>
        <v/>
      </c>
      <c r="J22">
        <f>IF(H22="","",IF(I22=0,"DUE TODAY",IF(I22&lt;=3,"Due in "&amp;I22&amp;" day(s) — pay now",IF(I22&lt;=7,"Due this week","OK"))))</f>
        <v/>
      </c>
    </row>
    <row r="23">
      <c r="A23" s="11" t="n"/>
      <c r="B23" s="11" t="n"/>
      <c r="C23" s="12" t="n"/>
      <c r="D23" s="11" t="n"/>
      <c r="E23" s="11" t="n"/>
      <c r="F23" s="11" t="n"/>
      <c r="G23" s="11" t="n"/>
      <c r="H23" s="13">
        <f>IF(OR(A23="",N(D23)=0),"",IF(DATE(INT(((YEAR(TODAY())*12+MONTH(TODAY())-1)+MOD((IF(N(F23)=0,MONTH(TODAY()),F23)-1)-(YEAR(TODAY())*12+MONTH(TODAY())-1),IF(E23="Quarterly",3,IF(E23="Half-yearly",6,IF(E23="Yearly",12,1)))))/12),MOD(((YEAR(TODAY())*12+MONTH(TODAY())-1)+MOD((IF(N(F23)=0,MONTH(TODAY()),F23)-1)-(YEAR(TODAY())*12+MONTH(TODAY())-1),IF(E23="Quarterly",3,IF(E23="Half-yearly",6,IF(E23="Yearly",12,1))))),12)+1,MIN(D23,DAY(EOMONTH(DATE(INT(((YEAR(TODAY())*12+MONTH(TODAY())-1)+MOD((IF(N(F23)=0,MONTH(TODAY()),F23)-1)-(YEAR(TODAY())*12+MONTH(TODAY())-1),IF(E23="Quarterly",3,IF(E23="Half-yearly",6,IF(E23="Yearly",12,1)))))/12),MOD(((YEAR(TODAY())*12+MONTH(TODAY())-1)+MOD((IF(N(F23)=0,MONTH(TODAY()),F23)-1)-(YEAR(TODAY())*12+MONTH(TODAY())-1),IF(E23="Quarterly",3,IF(E23="Half-yearly",6,IF(E23="Yearly",12,1))))),12)+1,1),0))))&lt;TODAY(),DATE(INT((((YEAR(TODAY())*12+MONTH(TODAY())-1)+MOD((IF(N(F23)=0,MONTH(TODAY()),F23)-1)-(YEAR(TODAY())*12+MONTH(TODAY())-1),IF(E23="Quarterly",3,IF(E23="Half-yearly",6,IF(E23="Yearly",12,1)))))+IF(E23="Quarterly",3,IF(E23="Half-yearly",6,IF(E23="Yearly",12,1))))/12),MOD((((YEAR(TODAY())*12+MONTH(TODAY())-1)+MOD((IF(N(F23)=0,MONTH(TODAY()),F23)-1)-(YEAR(TODAY())*12+MONTH(TODAY())-1),IF(E23="Quarterly",3,IF(E23="Half-yearly",6,IF(E23="Yearly",12,1)))))+IF(E23="Quarterly",3,IF(E23="Half-yearly",6,IF(E23="Yearly",12,1)))),12)+1,MIN(D23,DAY(EOMONTH(DATE(INT((((YEAR(TODAY())*12+MONTH(TODAY())-1)+MOD((IF(N(F23)=0,MONTH(TODAY()),F23)-1)-(YEAR(TODAY())*12+MONTH(TODAY())-1),IF(E23="Quarterly",3,IF(E23="Half-yearly",6,IF(E23="Yearly",12,1)))))+IF(E23="Quarterly",3,IF(E23="Half-yearly",6,IF(E23="Yearly",12,1))))/12),MOD((((YEAR(TODAY())*12+MONTH(TODAY())-1)+MOD((IF(N(F23)=0,MONTH(TODAY()),F23)-1)-(YEAR(TODAY())*12+MONTH(TODAY())-1),IF(E23="Quarterly",3,IF(E23="Half-yearly",6,IF(E23="Yearly",12,1)))))+IF(E23="Quarterly",3,IF(E23="Half-yearly",6,IF(E23="Yearly",12,1)))),12)+1,1),0)))),DATE(INT(((YEAR(TODAY())*12+MONTH(TODAY())-1)+MOD((IF(N(F23)=0,MONTH(TODAY()),F23)-1)-(YEAR(TODAY())*12+MONTH(TODAY())-1),IF(E23="Quarterly",3,IF(E23="Half-yearly",6,IF(E23="Yearly",12,1)))))/12),MOD(((YEAR(TODAY())*12+MONTH(TODAY())-1)+MOD((IF(N(F23)=0,MONTH(TODAY()),F23)-1)-(YEAR(TODAY())*12+MONTH(TODAY())-1),IF(E23="Quarterly",3,IF(E23="Half-yearly",6,IF(E23="Yearly",12,1))))),12)+1,MIN(D23,DAY(EOMONTH(DATE(INT(((YEAR(TODAY())*12+MONTH(TODAY())-1)+MOD((IF(N(F23)=0,MONTH(TODAY()),F23)-1)-(YEAR(TODAY())*12+MONTH(TODAY())-1),IF(E23="Quarterly",3,IF(E23="Half-yearly",6,IF(E23="Yearly",12,1)))))/12),MOD(((YEAR(TODAY())*12+MONTH(TODAY())-1)+MOD((IF(N(F23)=0,MONTH(TODAY()),F23)-1)-(YEAR(TODAY())*12+MONTH(TODAY())-1),IF(E23="Quarterly",3,IF(E23="Half-yearly",6,IF(E23="Yearly",12,1))))),12)+1,1),0))))))</f>
        <v/>
      </c>
      <c r="I23">
        <f>IF(H23="","",H23-TODAY())</f>
        <v/>
      </c>
      <c r="J23">
        <f>IF(H23="","",IF(I23=0,"DUE TODAY",IF(I23&lt;=3,"Due in "&amp;I23&amp;" day(s) — pay now",IF(I23&lt;=7,"Due this week","OK"))))</f>
        <v/>
      </c>
    </row>
    <row r="24">
      <c r="A24" s="11" t="n"/>
      <c r="B24" s="11" t="n"/>
      <c r="C24" s="12" t="n"/>
      <c r="D24" s="11" t="n"/>
      <c r="E24" s="11" t="n"/>
      <c r="F24" s="11" t="n"/>
      <c r="G24" s="11" t="n"/>
      <c r="H24" s="13">
        <f>IF(OR(A24="",N(D24)=0),"",IF(DATE(INT(((YEAR(TODAY())*12+MONTH(TODAY())-1)+MOD((IF(N(F24)=0,MONTH(TODAY()),F24)-1)-(YEAR(TODAY())*12+MONTH(TODAY())-1),IF(E24="Quarterly",3,IF(E24="Half-yearly",6,IF(E24="Yearly",12,1)))))/12),MOD(((YEAR(TODAY())*12+MONTH(TODAY())-1)+MOD((IF(N(F24)=0,MONTH(TODAY()),F24)-1)-(YEAR(TODAY())*12+MONTH(TODAY())-1),IF(E24="Quarterly",3,IF(E24="Half-yearly",6,IF(E24="Yearly",12,1))))),12)+1,MIN(D24,DAY(EOMONTH(DATE(INT(((YEAR(TODAY())*12+MONTH(TODAY())-1)+MOD((IF(N(F24)=0,MONTH(TODAY()),F24)-1)-(YEAR(TODAY())*12+MONTH(TODAY())-1),IF(E24="Quarterly",3,IF(E24="Half-yearly",6,IF(E24="Yearly",12,1)))))/12),MOD(((YEAR(TODAY())*12+MONTH(TODAY())-1)+MOD((IF(N(F24)=0,MONTH(TODAY()),F24)-1)-(YEAR(TODAY())*12+MONTH(TODAY())-1),IF(E24="Quarterly",3,IF(E24="Half-yearly",6,IF(E24="Yearly",12,1))))),12)+1,1),0))))&lt;TODAY(),DATE(INT((((YEAR(TODAY())*12+MONTH(TODAY())-1)+MOD((IF(N(F24)=0,MONTH(TODAY()),F24)-1)-(YEAR(TODAY())*12+MONTH(TODAY())-1),IF(E24="Quarterly",3,IF(E24="Half-yearly",6,IF(E24="Yearly",12,1)))))+IF(E24="Quarterly",3,IF(E24="Half-yearly",6,IF(E24="Yearly",12,1))))/12),MOD((((YEAR(TODAY())*12+MONTH(TODAY())-1)+MOD((IF(N(F24)=0,MONTH(TODAY()),F24)-1)-(YEAR(TODAY())*12+MONTH(TODAY())-1),IF(E24="Quarterly",3,IF(E24="Half-yearly",6,IF(E24="Yearly",12,1)))))+IF(E24="Quarterly",3,IF(E24="Half-yearly",6,IF(E24="Yearly",12,1)))),12)+1,MIN(D24,DAY(EOMONTH(DATE(INT((((YEAR(TODAY())*12+MONTH(TODAY())-1)+MOD((IF(N(F24)=0,MONTH(TODAY()),F24)-1)-(YEAR(TODAY())*12+MONTH(TODAY())-1),IF(E24="Quarterly",3,IF(E24="Half-yearly",6,IF(E24="Yearly",12,1)))))+IF(E24="Quarterly",3,IF(E24="Half-yearly",6,IF(E24="Yearly",12,1))))/12),MOD((((YEAR(TODAY())*12+MONTH(TODAY())-1)+MOD((IF(N(F24)=0,MONTH(TODAY()),F24)-1)-(YEAR(TODAY())*12+MONTH(TODAY())-1),IF(E24="Quarterly",3,IF(E24="Half-yearly",6,IF(E24="Yearly",12,1)))))+IF(E24="Quarterly",3,IF(E24="Half-yearly",6,IF(E24="Yearly",12,1)))),12)+1,1),0)))),DATE(INT(((YEAR(TODAY())*12+MONTH(TODAY())-1)+MOD((IF(N(F24)=0,MONTH(TODAY()),F24)-1)-(YEAR(TODAY())*12+MONTH(TODAY())-1),IF(E24="Quarterly",3,IF(E24="Half-yearly",6,IF(E24="Yearly",12,1)))))/12),MOD(((YEAR(TODAY())*12+MONTH(TODAY())-1)+MOD((IF(N(F24)=0,MONTH(TODAY()),F24)-1)-(YEAR(TODAY())*12+MONTH(TODAY())-1),IF(E24="Quarterly",3,IF(E24="Half-yearly",6,IF(E24="Yearly",12,1))))),12)+1,MIN(D24,DAY(EOMONTH(DATE(INT(((YEAR(TODAY())*12+MONTH(TODAY())-1)+MOD((IF(N(F24)=0,MONTH(TODAY()),F24)-1)-(YEAR(TODAY())*12+MONTH(TODAY())-1),IF(E24="Quarterly",3,IF(E24="Half-yearly",6,IF(E24="Yearly",12,1)))))/12),MOD(((YEAR(TODAY())*12+MONTH(TODAY())-1)+MOD((IF(N(F24)=0,MONTH(TODAY()),F24)-1)-(YEAR(TODAY())*12+MONTH(TODAY())-1),IF(E24="Quarterly",3,IF(E24="Half-yearly",6,IF(E24="Yearly",12,1))))),12)+1,1),0))))))</f>
        <v/>
      </c>
      <c r="I24">
        <f>IF(H24="","",H24-TODAY())</f>
        <v/>
      </c>
      <c r="J24">
        <f>IF(H24="","",IF(I24=0,"DUE TODAY",IF(I24&lt;=3,"Due in "&amp;I24&amp;" day(s) — pay now",IF(I24&lt;=7,"Due this week","OK"))))</f>
        <v/>
      </c>
    </row>
    <row r="25">
      <c r="A25" s="11" t="n"/>
      <c r="B25" s="11" t="n"/>
      <c r="C25" s="12" t="n"/>
      <c r="D25" s="11" t="n"/>
      <c r="E25" s="11" t="n"/>
      <c r="F25" s="11" t="n"/>
      <c r="G25" s="11" t="n"/>
      <c r="H25" s="13">
        <f>IF(OR(A25="",N(D25)=0),"",IF(DATE(INT(((YEAR(TODAY())*12+MONTH(TODAY())-1)+MOD((IF(N(F25)=0,MONTH(TODAY()),F25)-1)-(YEAR(TODAY())*12+MONTH(TODAY())-1),IF(E25="Quarterly",3,IF(E25="Half-yearly",6,IF(E25="Yearly",12,1)))))/12),MOD(((YEAR(TODAY())*12+MONTH(TODAY())-1)+MOD((IF(N(F25)=0,MONTH(TODAY()),F25)-1)-(YEAR(TODAY())*12+MONTH(TODAY())-1),IF(E25="Quarterly",3,IF(E25="Half-yearly",6,IF(E25="Yearly",12,1))))),12)+1,MIN(D25,DAY(EOMONTH(DATE(INT(((YEAR(TODAY())*12+MONTH(TODAY())-1)+MOD((IF(N(F25)=0,MONTH(TODAY()),F25)-1)-(YEAR(TODAY())*12+MONTH(TODAY())-1),IF(E25="Quarterly",3,IF(E25="Half-yearly",6,IF(E25="Yearly",12,1)))))/12),MOD(((YEAR(TODAY())*12+MONTH(TODAY())-1)+MOD((IF(N(F25)=0,MONTH(TODAY()),F25)-1)-(YEAR(TODAY())*12+MONTH(TODAY())-1),IF(E25="Quarterly",3,IF(E25="Half-yearly",6,IF(E25="Yearly",12,1))))),12)+1,1),0))))&lt;TODAY(),DATE(INT((((YEAR(TODAY())*12+MONTH(TODAY())-1)+MOD((IF(N(F25)=0,MONTH(TODAY()),F25)-1)-(YEAR(TODAY())*12+MONTH(TODAY())-1),IF(E25="Quarterly",3,IF(E25="Half-yearly",6,IF(E25="Yearly",12,1)))))+IF(E25="Quarterly",3,IF(E25="Half-yearly",6,IF(E25="Yearly",12,1))))/12),MOD((((YEAR(TODAY())*12+MONTH(TODAY())-1)+MOD((IF(N(F25)=0,MONTH(TODAY()),F25)-1)-(YEAR(TODAY())*12+MONTH(TODAY())-1),IF(E25="Quarterly",3,IF(E25="Half-yearly",6,IF(E25="Yearly",12,1)))))+IF(E25="Quarterly",3,IF(E25="Half-yearly",6,IF(E25="Yearly",12,1)))),12)+1,MIN(D25,DAY(EOMONTH(DATE(INT((((YEAR(TODAY())*12+MONTH(TODAY())-1)+MOD((IF(N(F25)=0,MONTH(TODAY()),F25)-1)-(YEAR(TODAY())*12+MONTH(TODAY())-1),IF(E25="Quarterly",3,IF(E25="Half-yearly",6,IF(E25="Yearly",12,1)))))+IF(E25="Quarterly",3,IF(E25="Half-yearly",6,IF(E25="Yearly",12,1))))/12),MOD((((YEAR(TODAY())*12+MONTH(TODAY())-1)+MOD((IF(N(F25)=0,MONTH(TODAY()),F25)-1)-(YEAR(TODAY())*12+MONTH(TODAY())-1),IF(E25="Quarterly",3,IF(E25="Half-yearly",6,IF(E25="Yearly",12,1)))))+IF(E25="Quarterly",3,IF(E25="Half-yearly",6,IF(E25="Yearly",12,1)))),12)+1,1),0)))),DATE(INT(((YEAR(TODAY())*12+MONTH(TODAY())-1)+MOD((IF(N(F25)=0,MONTH(TODAY()),F25)-1)-(YEAR(TODAY())*12+MONTH(TODAY())-1),IF(E25="Quarterly",3,IF(E25="Half-yearly",6,IF(E25="Yearly",12,1)))))/12),MOD(((YEAR(TODAY())*12+MONTH(TODAY())-1)+MOD((IF(N(F25)=0,MONTH(TODAY()),F25)-1)-(YEAR(TODAY())*12+MONTH(TODAY())-1),IF(E25="Quarterly",3,IF(E25="Half-yearly",6,IF(E25="Yearly",12,1))))),12)+1,MIN(D25,DAY(EOMONTH(DATE(INT(((YEAR(TODAY())*12+MONTH(TODAY())-1)+MOD((IF(N(F25)=0,MONTH(TODAY()),F25)-1)-(YEAR(TODAY())*12+MONTH(TODAY())-1),IF(E25="Quarterly",3,IF(E25="Half-yearly",6,IF(E25="Yearly",12,1)))))/12),MOD(((YEAR(TODAY())*12+MONTH(TODAY())-1)+MOD((IF(N(F25)=0,MONTH(TODAY()),F25)-1)-(YEAR(TODAY())*12+MONTH(TODAY())-1),IF(E25="Quarterly",3,IF(E25="Half-yearly",6,IF(E25="Yearly",12,1))))),12)+1,1),0))))))</f>
        <v/>
      </c>
      <c r="I25">
        <f>IF(H25="","",H25-TODAY())</f>
        <v/>
      </c>
      <c r="J25">
        <f>IF(H25="","",IF(I25=0,"DUE TODAY",IF(I25&lt;=3,"Due in "&amp;I25&amp;" day(s) — pay now",IF(I25&lt;=7,"Due this week","OK"))))</f>
        <v/>
      </c>
    </row>
    <row r="26">
      <c r="A26" s="11" t="n"/>
      <c r="B26" s="11" t="n"/>
      <c r="C26" s="12" t="n"/>
      <c r="D26" s="11" t="n"/>
      <c r="E26" s="11" t="n"/>
      <c r="F26" s="11" t="n"/>
      <c r="G26" s="11" t="n"/>
      <c r="H26" s="13">
        <f>IF(OR(A26="",N(D26)=0),"",IF(DATE(INT(((YEAR(TODAY())*12+MONTH(TODAY())-1)+MOD((IF(N(F26)=0,MONTH(TODAY()),F26)-1)-(YEAR(TODAY())*12+MONTH(TODAY())-1),IF(E26="Quarterly",3,IF(E26="Half-yearly",6,IF(E26="Yearly",12,1)))))/12),MOD(((YEAR(TODAY())*12+MONTH(TODAY())-1)+MOD((IF(N(F26)=0,MONTH(TODAY()),F26)-1)-(YEAR(TODAY())*12+MONTH(TODAY())-1),IF(E26="Quarterly",3,IF(E26="Half-yearly",6,IF(E26="Yearly",12,1))))),12)+1,MIN(D26,DAY(EOMONTH(DATE(INT(((YEAR(TODAY())*12+MONTH(TODAY())-1)+MOD((IF(N(F26)=0,MONTH(TODAY()),F26)-1)-(YEAR(TODAY())*12+MONTH(TODAY())-1),IF(E26="Quarterly",3,IF(E26="Half-yearly",6,IF(E26="Yearly",12,1)))))/12),MOD(((YEAR(TODAY())*12+MONTH(TODAY())-1)+MOD((IF(N(F26)=0,MONTH(TODAY()),F26)-1)-(YEAR(TODAY())*12+MONTH(TODAY())-1),IF(E26="Quarterly",3,IF(E26="Half-yearly",6,IF(E26="Yearly",12,1))))),12)+1,1),0))))&lt;TODAY(),DATE(INT((((YEAR(TODAY())*12+MONTH(TODAY())-1)+MOD((IF(N(F26)=0,MONTH(TODAY()),F26)-1)-(YEAR(TODAY())*12+MONTH(TODAY())-1),IF(E26="Quarterly",3,IF(E26="Half-yearly",6,IF(E26="Yearly",12,1)))))+IF(E26="Quarterly",3,IF(E26="Half-yearly",6,IF(E26="Yearly",12,1))))/12),MOD((((YEAR(TODAY())*12+MONTH(TODAY())-1)+MOD((IF(N(F26)=0,MONTH(TODAY()),F26)-1)-(YEAR(TODAY())*12+MONTH(TODAY())-1),IF(E26="Quarterly",3,IF(E26="Half-yearly",6,IF(E26="Yearly",12,1)))))+IF(E26="Quarterly",3,IF(E26="Half-yearly",6,IF(E26="Yearly",12,1)))),12)+1,MIN(D26,DAY(EOMONTH(DATE(INT((((YEAR(TODAY())*12+MONTH(TODAY())-1)+MOD((IF(N(F26)=0,MONTH(TODAY()),F26)-1)-(YEAR(TODAY())*12+MONTH(TODAY())-1),IF(E26="Quarterly",3,IF(E26="Half-yearly",6,IF(E26="Yearly",12,1)))))+IF(E26="Quarterly",3,IF(E26="Half-yearly",6,IF(E26="Yearly",12,1))))/12),MOD((((YEAR(TODAY())*12+MONTH(TODAY())-1)+MOD((IF(N(F26)=0,MONTH(TODAY()),F26)-1)-(YEAR(TODAY())*12+MONTH(TODAY())-1),IF(E26="Quarterly",3,IF(E26="Half-yearly",6,IF(E26="Yearly",12,1)))))+IF(E26="Quarterly",3,IF(E26="Half-yearly",6,IF(E26="Yearly",12,1)))),12)+1,1),0)))),DATE(INT(((YEAR(TODAY())*12+MONTH(TODAY())-1)+MOD((IF(N(F26)=0,MONTH(TODAY()),F26)-1)-(YEAR(TODAY())*12+MONTH(TODAY())-1),IF(E26="Quarterly",3,IF(E26="Half-yearly",6,IF(E26="Yearly",12,1)))))/12),MOD(((YEAR(TODAY())*12+MONTH(TODAY())-1)+MOD((IF(N(F26)=0,MONTH(TODAY()),F26)-1)-(YEAR(TODAY())*12+MONTH(TODAY())-1),IF(E26="Quarterly",3,IF(E26="Half-yearly",6,IF(E26="Yearly",12,1))))),12)+1,MIN(D26,DAY(EOMONTH(DATE(INT(((YEAR(TODAY())*12+MONTH(TODAY())-1)+MOD((IF(N(F26)=0,MONTH(TODAY()),F26)-1)-(YEAR(TODAY())*12+MONTH(TODAY())-1),IF(E26="Quarterly",3,IF(E26="Half-yearly",6,IF(E26="Yearly",12,1)))))/12),MOD(((YEAR(TODAY())*12+MONTH(TODAY())-1)+MOD((IF(N(F26)=0,MONTH(TODAY()),F26)-1)-(YEAR(TODAY())*12+MONTH(TODAY())-1),IF(E26="Quarterly",3,IF(E26="Half-yearly",6,IF(E26="Yearly",12,1))))),12)+1,1),0))))))</f>
        <v/>
      </c>
      <c r="I26">
        <f>IF(H26="","",H26-TODAY())</f>
        <v/>
      </c>
      <c r="J26">
        <f>IF(H26="","",IF(I26=0,"DUE TODAY",IF(I26&lt;=3,"Due in "&amp;I26&amp;" day(s) — pay now",IF(I26&lt;=7,"Due this week","OK"))))</f>
        <v/>
      </c>
    </row>
    <row r="27">
      <c r="A27" s="11" t="n"/>
      <c r="B27" s="11" t="n"/>
      <c r="C27" s="12" t="n"/>
      <c r="D27" s="11" t="n"/>
      <c r="E27" s="11" t="n"/>
      <c r="F27" s="11" t="n"/>
      <c r="G27" s="11" t="n"/>
      <c r="H27" s="13">
        <f>IF(OR(A27="",N(D27)=0),"",IF(DATE(INT(((YEAR(TODAY())*12+MONTH(TODAY())-1)+MOD((IF(N(F27)=0,MONTH(TODAY()),F27)-1)-(YEAR(TODAY())*12+MONTH(TODAY())-1),IF(E27="Quarterly",3,IF(E27="Half-yearly",6,IF(E27="Yearly",12,1)))))/12),MOD(((YEAR(TODAY())*12+MONTH(TODAY())-1)+MOD((IF(N(F27)=0,MONTH(TODAY()),F27)-1)-(YEAR(TODAY())*12+MONTH(TODAY())-1),IF(E27="Quarterly",3,IF(E27="Half-yearly",6,IF(E27="Yearly",12,1))))),12)+1,MIN(D27,DAY(EOMONTH(DATE(INT(((YEAR(TODAY())*12+MONTH(TODAY())-1)+MOD((IF(N(F27)=0,MONTH(TODAY()),F27)-1)-(YEAR(TODAY())*12+MONTH(TODAY())-1),IF(E27="Quarterly",3,IF(E27="Half-yearly",6,IF(E27="Yearly",12,1)))))/12),MOD(((YEAR(TODAY())*12+MONTH(TODAY())-1)+MOD((IF(N(F27)=0,MONTH(TODAY()),F27)-1)-(YEAR(TODAY())*12+MONTH(TODAY())-1),IF(E27="Quarterly",3,IF(E27="Half-yearly",6,IF(E27="Yearly",12,1))))),12)+1,1),0))))&lt;TODAY(),DATE(INT((((YEAR(TODAY())*12+MONTH(TODAY())-1)+MOD((IF(N(F27)=0,MONTH(TODAY()),F27)-1)-(YEAR(TODAY())*12+MONTH(TODAY())-1),IF(E27="Quarterly",3,IF(E27="Half-yearly",6,IF(E27="Yearly",12,1)))))+IF(E27="Quarterly",3,IF(E27="Half-yearly",6,IF(E27="Yearly",12,1))))/12),MOD((((YEAR(TODAY())*12+MONTH(TODAY())-1)+MOD((IF(N(F27)=0,MONTH(TODAY()),F27)-1)-(YEAR(TODAY())*12+MONTH(TODAY())-1),IF(E27="Quarterly",3,IF(E27="Half-yearly",6,IF(E27="Yearly",12,1)))))+IF(E27="Quarterly",3,IF(E27="Half-yearly",6,IF(E27="Yearly",12,1)))),12)+1,MIN(D27,DAY(EOMONTH(DATE(INT((((YEAR(TODAY())*12+MONTH(TODAY())-1)+MOD((IF(N(F27)=0,MONTH(TODAY()),F27)-1)-(YEAR(TODAY())*12+MONTH(TODAY())-1),IF(E27="Quarterly",3,IF(E27="Half-yearly",6,IF(E27="Yearly",12,1)))))+IF(E27="Quarterly",3,IF(E27="Half-yearly",6,IF(E27="Yearly",12,1))))/12),MOD((((YEAR(TODAY())*12+MONTH(TODAY())-1)+MOD((IF(N(F27)=0,MONTH(TODAY()),F27)-1)-(YEAR(TODAY())*12+MONTH(TODAY())-1),IF(E27="Quarterly",3,IF(E27="Half-yearly",6,IF(E27="Yearly",12,1)))))+IF(E27="Quarterly",3,IF(E27="Half-yearly",6,IF(E27="Yearly",12,1)))),12)+1,1),0)))),DATE(INT(((YEAR(TODAY())*12+MONTH(TODAY())-1)+MOD((IF(N(F27)=0,MONTH(TODAY()),F27)-1)-(YEAR(TODAY())*12+MONTH(TODAY())-1),IF(E27="Quarterly",3,IF(E27="Half-yearly",6,IF(E27="Yearly",12,1)))))/12),MOD(((YEAR(TODAY())*12+MONTH(TODAY())-1)+MOD((IF(N(F27)=0,MONTH(TODAY()),F27)-1)-(YEAR(TODAY())*12+MONTH(TODAY())-1),IF(E27="Quarterly",3,IF(E27="Half-yearly",6,IF(E27="Yearly",12,1))))),12)+1,MIN(D27,DAY(EOMONTH(DATE(INT(((YEAR(TODAY())*12+MONTH(TODAY())-1)+MOD((IF(N(F27)=0,MONTH(TODAY()),F27)-1)-(YEAR(TODAY())*12+MONTH(TODAY())-1),IF(E27="Quarterly",3,IF(E27="Half-yearly",6,IF(E27="Yearly",12,1)))))/12),MOD(((YEAR(TODAY())*12+MONTH(TODAY())-1)+MOD((IF(N(F27)=0,MONTH(TODAY()),F27)-1)-(YEAR(TODAY())*12+MONTH(TODAY())-1),IF(E27="Quarterly",3,IF(E27="Half-yearly",6,IF(E27="Yearly",12,1))))),12)+1,1),0))))))</f>
        <v/>
      </c>
      <c r="I27">
        <f>IF(H27="","",H27-TODAY())</f>
        <v/>
      </c>
      <c r="J27">
        <f>IF(H27="","",IF(I27=0,"DUE TODAY",IF(I27&lt;=3,"Due in "&amp;I27&amp;" day(s) — pay now",IF(I27&lt;=7,"Due this week","OK"))))</f>
        <v/>
      </c>
    </row>
    <row r="28">
      <c r="A28" s="11" t="n"/>
      <c r="B28" s="11" t="n"/>
      <c r="C28" s="12" t="n"/>
      <c r="D28" s="11" t="n"/>
      <c r="E28" s="11" t="n"/>
      <c r="F28" s="11" t="n"/>
      <c r="G28" s="11" t="n"/>
      <c r="H28" s="13">
        <f>IF(OR(A28="",N(D28)=0),"",IF(DATE(INT(((YEAR(TODAY())*12+MONTH(TODAY())-1)+MOD((IF(N(F28)=0,MONTH(TODAY()),F28)-1)-(YEAR(TODAY())*12+MONTH(TODAY())-1),IF(E28="Quarterly",3,IF(E28="Half-yearly",6,IF(E28="Yearly",12,1)))))/12),MOD(((YEAR(TODAY())*12+MONTH(TODAY())-1)+MOD((IF(N(F28)=0,MONTH(TODAY()),F28)-1)-(YEAR(TODAY())*12+MONTH(TODAY())-1),IF(E28="Quarterly",3,IF(E28="Half-yearly",6,IF(E28="Yearly",12,1))))),12)+1,MIN(D28,DAY(EOMONTH(DATE(INT(((YEAR(TODAY())*12+MONTH(TODAY())-1)+MOD((IF(N(F28)=0,MONTH(TODAY()),F28)-1)-(YEAR(TODAY())*12+MONTH(TODAY())-1),IF(E28="Quarterly",3,IF(E28="Half-yearly",6,IF(E28="Yearly",12,1)))))/12),MOD(((YEAR(TODAY())*12+MONTH(TODAY())-1)+MOD((IF(N(F28)=0,MONTH(TODAY()),F28)-1)-(YEAR(TODAY())*12+MONTH(TODAY())-1),IF(E28="Quarterly",3,IF(E28="Half-yearly",6,IF(E28="Yearly",12,1))))),12)+1,1),0))))&lt;TODAY(),DATE(INT((((YEAR(TODAY())*12+MONTH(TODAY())-1)+MOD((IF(N(F28)=0,MONTH(TODAY()),F28)-1)-(YEAR(TODAY())*12+MONTH(TODAY())-1),IF(E28="Quarterly",3,IF(E28="Half-yearly",6,IF(E28="Yearly",12,1)))))+IF(E28="Quarterly",3,IF(E28="Half-yearly",6,IF(E28="Yearly",12,1))))/12),MOD((((YEAR(TODAY())*12+MONTH(TODAY())-1)+MOD((IF(N(F28)=0,MONTH(TODAY()),F28)-1)-(YEAR(TODAY())*12+MONTH(TODAY())-1),IF(E28="Quarterly",3,IF(E28="Half-yearly",6,IF(E28="Yearly",12,1)))))+IF(E28="Quarterly",3,IF(E28="Half-yearly",6,IF(E28="Yearly",12,1)))),12)+1,MIN(D28,DAY(EOMONTH(DATE(INT((((YEAR(TODAY())*12+MONTH(TODAY())-1)+MOD((IF(N(F28)=0,MONTH(TODAY()),F28)-1)-(YEAR(TODAY())*12+MONTH(TODAY())-1),IF(E28="Quarterly",3,IF(E28="Half-yearly",6,IF(E28="Yearly",12,1)))))+IF(E28="Quarterly",3,IF(E28="Half-yearly",6,IF(E28="Yearly",12,1))))/12),MOD((((YEAR(TODAY())*12+MONTH(TODAY())-1)+MOD((IF(N(F28)=0,MONTH(TODAY()),F28)-1)-(YEAR(TODAY())*12+MONTH(TODAY())-1),IF(E28="Quarterly",3,IF(E28="Half-yearly",6,IF(E28="Yearly",12,1)))))+IF(E28="Quarterly",3,IF(E28="Half-yearly",6,IF(E28="Yearly",12,1)))),12)+1,1),0)))),DATE(INT(((YEAR(TODAY())*12+MONTH(TODAY())-1)+MOD((IF(N(F28)=0,MONTH(TODAY()),F28)-1)-(YEAR(TODAY())*12+MONTH(TODAY())-1),IF(E28="Quarterly",3,IF(E28="Half-yearly",6,IF(E28="Yearly",12,1)))))/12),MOD(((YEAR(TODAY())*12+MONTH(TODAY())-1)+MOD((IF(N(F28)=0,MONTH(TODAY()),F28)-1)-(YEAR(TODAY())*12+MONTH(TODAY())-1),IF(E28="Quarterly",3,IF(E28="Half-yearly",6,IF(E28="Yearly",12,1))))),12)+1,MIN(D28,DAY(EOMONTH(DATE(INT(((YEAR(TODAY())*12+MONTH(TODAY())-1)+MOD((IF(N(F28)=0,MONTH(TODAY()),F28)-1)-(YEAR(TODAY())*12+MONTH(TODAY())-1),IF(E28="Quarterly",3,IF(E28="Half-yearly",6,IF(E28="Yearly",12,1)))))/12),MOD(((YEAR(TODAY())*12+MONTH(TODAY())-1)+MOD((IF(N(F28)=0,MONTH(TODAY()),F28)-1)-(YEAR(TODAY())*12+MONTH(TODAY())-1),IF(E28="Quarterly",3,IF(E28="Half-yearly",6,IF(E28="Yearly",12,1))))),12)+1,1),0))))))</f>
        <v/>
      </c>
      <c r="I28">
        <f>IF(H28="","",H28-TODAY())</f>
        <v/>
      </c>
      <c r="J28">
        <f>IF(H28="","",IF(I28=0,"DUE TODAY",IF(I28&lt;=3,"Due in "&amp;I28&amp;" day(s) — pay now",IF(I28&lt;=7,"Due this week","OK"))))</f>
        <v/>
      </c>
    </row>
    <row r="29">
      <c r="A29" s="11" t="n"/>
      <c r="B29" s="11" t="n"/>
      <c r="C29" s="12" t="n"/>
      <c r="D29" s="11" t="n"/>
      <c r="E29" s="11" t="n"/>
      <c r="F29" s="11" t="n"/>
      <c r="G29" s="11" t="n"/>
      <c r="H29" s="13">
        <f>IF(OR(A29="",N(D29)=0),"",IF(DATE(INT(((YEAR(TODAY())*12+MONTH(TODAY())-1)+MOD((IF(N(F29)=0,MONTH(TODAY()),F29)-1)-(YEAR(TODAY())*12+MONTH(TODAY())-1),IF(E29="Quarterly",3,IF(E29="Half-yearly",6,IF(E29="Yearly",12,1)))))/12),MOD(((YEAR(TODAY())*12+MONTH(TODAY())-1)+MOD((IF(N(F29)=0,MONTH(TODAY()),F29)-1)-(YEAR(TODAY())*12+MONTH(TODAY())-1),IF(E29="Quarterly",3,IF(E29="Half-yearly",6,IF(E29="Yearly",12,1))))),12)+1,MIN(D29,DAY(EOMONTH(DATE(INT(((YEAR(TODAY())*12+MONTH(TODAY())-1)+MOD((IF(N(F29)=0,MONTH(TODAY()),F29)-1)-(YEAR(TODAY())*12+MONTH(TODAY())-1),IF(E29="Quarterly",3,IF(E29="Half-yearly",6,IF(E29="Yearly",12,1)))))/12),MOD(((YEAR(TODAY())*12+MONTH(TODAY())-1)+MOD((IF(N(F29)=0,MONTH(TODAY()),F29)-1)-(YEAR(TODAY())*12+MONTH(TODAY())-1),IF(E29="Quarterly",3,IF(E29="Half-yearly",6,IF(E29="Yearly",12,1))))),12)+1,1),0))))&lt;TODAY(),DATE(INT((((YEAR(TODAY())*12+MONTH(TODAY())-1)+MOD((IF(N(F29)=0,MONTH(TODAY()),F29)-1)-(YEAR(TODAY())*12+MONTH(TODAY())-1),IF(E29="Quarterly",3,IF(E29="Half-yearly",6,IF(E29="Yearly",12,1)))))+IF(E29="Quarterly",3,IF(E29="Half-yearly",6,IF(E29="Yearly",12,1))))/12),MOD((((YEAR(TODAY())*12+MONTH(TODAY())-1)+MOD((IF(N(F29)=0,MONTH(TODAY()),F29)-1)-(YEAR(TODAY())*12+MONTH(TODAY())-1),IF(E29="Quarterly",3,IF(E29="Half-yearly",6,IF(E29="Yearly",12,1)))))+IF(E29="Quarterly",3,IF(E29="Half-yearly",6,IF(E29="Yearly",12,1)))),12)+1,MIN(D29,DAY(EOMONTH(DATE(INT((((YEAR(TODAY())*12+MONTH(TODAY())-1)+MOD((IF(N(F29)=0,MONTH(TODAY()),F29)-1)-(YEAR(TODAY())*12+MONTH(TODAY())-1),IF(E29="Quarterly",3,IF(E29="Half-yearly",6,IF(E29="Yearly",12,1)))))+IF(E29="Quarterly",3,IF(E29="Half-yearly",6,IF(E29="Yearly",12,1))))/12),MOD((((YEAR(TODAY())*12+MONTH(TODAY())-1)+MOD((IF(N(F29)=0,MONTH(TODAY()),F29)-1)-(YEAR(TODAY())*12+MONTH(TODAY())-1),IF(E29="Quarterly",3,IF(E29="Half-yearly",6,IF(E29="Yearly",12,1)))))+IF(E29="Quarterly",3,IF(E29="Half-yearly",6,IF(E29="Yearly",12,1)))),12)+1,1),0)))),DATE(INT(((YEAR(TODAY())*12+MONTH(TODAY())-1)+MOD((IF(N(F29)=0,MONTH(TODAY()),F29)-1)-(YEAR(TODAY())*12+MONTH(TODAY())-1),IF(E29="Quarterly",3,IF(E29="Half-yearly",6,IF(E29="Yearly",12,1)))))/12),MOD(((YEAR(TODAY())*12+MONTH(TODAY())-1)+MOD((IF(N(F29)=0,MONTH(TODAY()),F29)-1)-(YEAR(TODAY())*12+MONTH(TODAY())-1),IF(E29="Quarterly",3,IF(E29="Half-yearly",6,IF(E29="Yearly",12,1))))),12)+1,MIN(D29,DAY(EOMONTH(DATE(INT(((YEAR(TODAY())*12+MONTH(TODAY())-1)+MOD((IF(N(F29)=0,MONTH(TODAY()),F29)-1)-(YEAR(TODAY())*12+MONTH(TODAY())-1),IF(E29="Quarterly",3,IF(E29="Half-yearly",6,IF(E29="Yearly",12,1)))))/12),MOD(((YEAR(TODAY())*12+MONTH(TODAY())-1)+MOD((IF(N(F29)=0,MONTH(TODAY()),F29)-1)-(YEAR(TODAY())*12+MONTH(TODAY())-1),IF(E29="Quarterly",3,IF(E29="Half-yearly",6,IF(E29="Yearly",12,1))))),12)+1,1),0))))))</f>
        <v/>
      </c>
      <c r="I29">
        <f>IF(H29="","",H29-TODAY())</f>
        <v/>
      </c>
      <c r="J29">
        <f>IF(H29="","",IF(I29=0,"DUE TODAY",IF(I29&lt;=3,"Due in "&amp;I29&amp;" day(s) — pay now",IF(I29&lt;=7,"Due this week","OK"))))</f>
        <v/>
      </c>
    </row>
    <row r="30">
      <c r="A30" s="11" t="n"/>
      <c r="B30" s="11" t="n"/>
      <c r="C30" s="12" t="n"/>
      <c r="D30" s="11" t="n"/>
      <c r="E30" s="11" t="n"/>
      <c r="F30" s="11" t="n"/>
      <c r="G30" s="11" t="n"/>
      <c r="H30" s="13">
        <f>IF(OR(A30="",N(D30)=0),"",IF(DATE(INT(((YEAR(TODAY())*12+MONTH(TODAY())-1)+MOD((IF(N(F30)=0,MONTH(TODAY()),F30)-1)-(YEAR(TODAY())*12+MONTH(TODAY())-1),IF(E30="Quarterly",3,IF(E30="Half-yearly",6,IF(E30="Yearly",12,1)))))/12),MOD(((YEAR(TODAY())*12+MONTH(TODAY())-1)+MOD((IF(N(F30)=0,MONTH(TODAY()),F30)-1)-(YEAR(TODAY())*12+MONTH(TODAY())-1),IF(E30="Quarterly",3,IF(E30="Half-yearly",6,IF(E30="Yearly",12,1))))),12)+1,MIN(D30,DAY(EOMONTH(DATE(INT(((YEAR(TODAY())*12+MONTH(TODAY())-1)+MOD((IF(N(F30)=0,MONTH(TODAY()),F30)-1)-(YEAR(TODAY())*12+MONTH(TODAY())-1),IF(E30="Quarterly",3,IF(E30="Half-yearly",6,IF(E30="Yearly",12,1)))))/12),MOD(((YEAR(TODAY())*12+MONTH(TODAY())-1)+MOD((IF(N(F30)=0,MONTH(TODAY()),F30)-1)-(YEAR(TODAY())*12+MONTH(TODAY())-1),IF(E30="Quarterly",3,IF(E30="Half-yearly",6,IF(E30="Yearly",12,1))))),12)+1,1),0))))&lt;TODAY(),DATE(INT((((YEAR(TODAY())*12+MONTH(TODAY())-1)+MOD((IF(N(F30)=0,MONTH(TODAY()),F30)-1)-(YEAR(TODAY())*12+MONTH(TODAY())-1),IF(E30="Quarterly",3,IF(E30="Half-yearly",6,IF(E30="Yearly",12,1)))))+IF(E30="Quarterly",3,IF(E30="Half-yearly",6,IF(E30="Yearly",12,1))))/12),MOD((((YEAR(TODAY())*12+MONTH(TODAY())-1)+MOD((IF(N(F30)=0,MONTH(TODAY()),F30)-1)-(YEAR(TODAY())*12+MONTH(TODAY())-1),IF(E30="Quarterly",3,IF(E30="Half-yearly",6,IF(E30="Yearly",12,1)))))+IF(E30="Quarterly",3,IF(E30="Half-yearly",6,IF(E30="Yearly",12,1)))),12)+1,MIN(D30,DAY(EOMONTH(DATE(INT((((YEAR(TODAY())*12+MONTH(TODAY())-1)+MOD((IF(N(F30)=0,MONTH(TODAY()),F30)-1)-(YEAR(TODAY())*12+MONTH(TODAY())-1),IF(E30="Quarterly",3,IF(E30="Half-yearly",6,IF(E30="Yearly",12,1)))))+IF(E30="Quarterly",3,IF(E30="Half-yearly",6,IF(E30="Yearly",12,1))))/12),MOD((((YEAR(TODAY())*12+MONTH(TODAY())-1)+MOD((IF(N(F30)=0,MONTH(TODAY()),F30)-1)-(YEAR(TODAY())*12+MONTH(TODAY())-1),IF(E30="Quarterly",3,IF(E30="Half-yearly",6,IF(E30="Yearly",12,1)))))+IF(E30="Quarterly",3,IF(E30="Half-yearly",6,IF(E30="Yearly",12,1)))),12)+1,1),0)))),DATE(INT(((YEAR(TODAY())*12+MONTH(TODAY())-1)+MOD((IF(N(F30)=0,MONTH(TODAY()),F30)-1)-(YEAR(TODAY())*12+MONTH(TODAY())-1),IF(E30="Quarterly",3,IF(E30="Half-yearly",6,IF(E30="Yearly",12,1)))))/12),MOD(((YEAR(TODAY())*12+MONTH(TODAY())-1)+MOD((IF(N(F30)=0,MONTH(TODAY()),F30)-1)-(YEAR(TODAY())*12+MONTH(TODAY())-1),IF(E30="Quarterly",3,IF(E30="Half-yearly",6,IF(E30="Yearly",12,1))))),12)+1,MIN(D30,DAY(EOMONTH(DATE(INT(((YEAR(TODAY())*12+MONTH(TODAY())-1)+MOD((IF(N(F30)=0,MONTH(TODAY()),F30)-1)-(YEAR(TODAY())*12+MONTH(TODAY())-1),IF(E30="Quarterly",3,IF(E30="Half-yearly",6,IF(E30="Yearly",12,1)))))/12),MOD(((YEAR(TODAY())*12+MONTH(TODAY())-1)+MOD((IF(N(F30)=0,MONTH(TODAY()),F30)-1)-(YEAR(TODAY())*12+MONTH(TODAY())-1),IF(E30="Quarterly",3,IF(E30="Half-yearly",6,IF(E30="Yearly",12,1))))),12)+1,1),0))))))</f>
        <v/>
      </c>
      <c r="I30">
        <f>IF(H30="","",H30-TODAY())</f>
        <v/>
      </c>
      <c r="J30">
        <f>IF(H30="","",IF(I30=0,"DUE TODAY",IF(I30&lt;=3,"Due in "&amp;I30&amp;" day(s) — pay now",IF(I30&lt;=7,"Due this week","OK"))))</f>
        <v/>
      </c>
    </row>
    <row r="31">
      <c r="A31" s="11" t="n"/>
      <c r="B31" s="11" t="n"/>
      <c r="C31" s="12" t="n"/>
      <c r="D31" s="11" t="n"/>
      <c r="E31" s="11" t="n"/>
      <c r="F31" s="11" t="n"/>
      <c r="G31" s="11" t="n"/>
      <c r="H31" s="13">
        <f>IF(OR(A31="",N(D31)=0),"",IF(DATE(INT(((YEAR(TODAY())*12+MONTH(TODAY())-1)+MOD((IF(N(F31)=0,MONTH(TODAY()),F31)-1)-(YEAR(TODAY())*12+MONTH(TODAY())-1),IF(E31="Quarterly",3,IF(E31="Half-yearly",6,IF(E31="Yearly",12,1)))))/12),MOD(((YEAR(TODAY())*12+MONTH(TODAY())-1)+MOD((IF(N(F31)=0,MONTH(TODAY()),F31)-1)-(YEAR(TODAY())*12+MONTH(TODAY())-1),IF(E31="Quarterly",3,IF(E31="Half-yearly",6,IF(E31="Yearly",12,1))))),12)+1,MIN(D31,DAY(EOMONTH(DATE(INT(((YEAR(TODAY())*12+MONTH(TODAY())-1)+MOD((IF(N(F31)=0,MONTH(TODAY()),F31)-1)-(YEAR(TODAY())*12+MONTH(TODAY())-1),IF(E31="Quarterly",3,IF(E31="Half-yearly",6,IF(E31="Yearly",12,1)))))/12),MOD(((YEAR(TODAY())*12+MONTH(TODAY())-1)+MOD((IF(N(F31)=0,MONTH(TODAY()),F31)-1)-(YEAR(TODAY())*12+MONTH(TODAY())-1),IF(E31="Quarterly",3,IF(E31="Half-yearly",6,IF(E31="Yearly",12,1))))),12)+1,1),0))))&lt;TODAY(),DATE(INT((((YEAR(TODAY())*12+MONTH(TODAY())-1)+MOD((IF(N(F31)=0,MONTH(TODAY()),F31)-1)-(YEAR(TODAY())*12+MONTH(TODAY())-1),IF(E31="Quarterly",3,IF(E31="Half-yearly",6,IF(E31="Yearly",12,1)))))+IF(E31="Quarterly",3,IF(E31="Half-yearly",6,IF(E31="Yearly",12,1))))/12),MOD((((YEAR(TODAY())*12+MONTH(TODAY())-1)+MOD((IF(N(F31)=0,MONTH(TODAY()),F31)-1)-(YEAR(TODAY())*12+MONTH(TODAY())-1),IF(E31="Quarterly",3,IF(E31="Half-yearly",6,IF(E31="Yearly",12,1)))))+IF(E31="Quarterly",3,IF(E31="Half-yearly",6,IF(E31="Yearly",12,1)))),12)+1,MIN(D31,DAY(EOMONTH(DATE(INT((((YEAR(TODAY())*12+MONTH(TODAY())-1)+MOD((IF(N(F31)=0,MONTH(TODAY()),F31)-1)-(YEAR(TODAY())*12+MONTH(TODAY())-1),IF(E31="Quarterly",3,IF(E31="Half-yearly",6,IF(E31="Yearly",12,1)))))+IF(E31="Quarterly",3,IF(E31="Half-yearly",6,IF(E31="Yearly",12,1))))/12),MOD((((YEAR(TODAY())*12+MONTH(TODAY())-1)+MOD((IF(N(F31)=0,MONTH(TODAY()),F31)-1)-(YEAR(TODAY())*12+MONTH(TODAY())-1),IF(E31="Quarterly",3,IF(E31="Half-yearly",6,IF(E31="Yearly",12,1)))))+IF(E31="Quarterly",3,IF(E31="Half-yearly",6,IF(E31="Yearly",12,1)))),12)+1,1),0)))),DATE(INT(((YEAR(TODAY())*12+MONTH(TODAY())-1)+MOD((IF(N(F31)=0,MONTH(TODAY()),F31)-1)-(YEAR(TODAY())*12+MONTH(TODAY())-1),IF(E31="Quarterly",3,IF(E31="Half-yearly",6,IF(E31="Yearly",12,1)))))/12),MOD(((YEAR(TODAY())*12+MONTH(TODAY())-1)+MOD((IF(N(F31)=0,MONTH(TODAY()),F31)-1)-(YEAR(TODAY())*12+MONTH(TODAY())-1),IF(E31="Quarterly",3,IF(E31="Half-yearly",6,IF(E31="Yearly",12,1))))),12)+1,MIN(D31,DAY(EOMONTH(DATE(INT(((YEAR(TODAY())*12+MONTH(TODAY())-1)+MOD((IF(N(F31)=0,MONTH(TODAY()),F31)-1)-(YEAR(TODAY())*12+MONTH(TODAY())-1),IF(E31="Quarterly",3,IF(E31="Half-yearly",6,IF(E31="Yearly",12,1)))))/12),MOD(((YEAR(TODAY())*12+MONTH(TODAY())-1)+MOD((IF(N(F31)=0,MONTH(TODAY()),F31)-1)-(YEAR(TODAY())*12+MONTH(TODAY())-1),IF(E31="Quarterly",3,IF(E31="Half-yearly",6,IF(E31="Yearly",12,1))))),12)+1,1),0))))))</f>
        <v/>
      </c>
      <c r="I31">
        <f>IF(H31="","",H31-TODAY())</f>
        <v/>
      </c>
      <c r="J31">
        <f>IF(H31="","",IF(I31=0,"DUE TODAY",IF(I31&lt;=3,"Due in "&amp;I31&amp;" day(s) — pay now",IF(I31&lt;=7,"Due this week","OK"))))</f>
        <v/>
      </c>
    </row>
    <row r="32">
      <c r="A32" s="11" t="n"/>
      <c r="B32" s="11" t="n"/>
      <c r="C32" s="12" t="n"/>
      <c r="D32" s="11" t="n"/>
      <c r="E32" s="11" t="n"/>
      <c r="F32" s="11" t="n"/>
      <c r="G32" s="11" t="n"/>
      <c r="H32" s="13">
        <f>IF(OR(A32="",N(D32)=0),"",IF(DATE(INT(((YEAR(TODAY())*12+MONTH(TODAY())-1)+MOD((IF(N(F32)=0,MONTH(TODAY()),F32)-1)-(YEAR(TODAY())*12+MONTH(TODAY())-1),IF(E32="Quarterly",3,IF(E32="Half-yearly",6,IF(E32="Yearly",12,1)))))/12),MOD(((YEAR(TODAY())*12+MONTH(TODAY())-1)+MOD((IF(N(F32)=0,MONTH(TODAY()),F32)-1)-(YEAR(TODAY())*12+MONTH(TODAY())-1),IF(E32="Quarterly",3,IF(E32="Half-yearly",6,IF(E32="Yearly",12,1))))),12)+1,MIN(D32,DAY(EOMONTH(DATE(INT(((YEAR(TODAY())*12+MONTH(TODAY())-1)+MOD((IF(N(F32)=0,MONTH(TODAY()),F32)-1)-(YEAR(TODAY())*12+MONTH(TODAY())-1),IF(E32="Quarterly",3,IF(E32="Half-yearly",6,IF(E32="Yearly",12,1)))))/12),MOD(((YEAR(TODAY())*12+MONTH(TODAY())-1)+MOD((IF(N(F32)=0,MONTH(TODAY()),F32)-1)-(YEAR(TODAY())*12+MONTH(TODAY())-1),IF(E32="Quarterly",3,IF(E32="Half-yearly",6,IF(E32="Yearly",12,1))))),12)+1,1),0))))&lt;TODAY(),DATE(INT((((YEAR(TODAY())*12+MONTH(TODAY())-1)+MOD((IF(N(F32)=0,MONTH(TODAY()),F32)-1)-(YEAR(TODAY())*12+MONTH(TODAY())-1),IF(E32="Quarterly",3,IF(E32="Half-yearly",6,IF(E32="Yearly",12,1)))))+IF(E32="Quarterly",3,IF(E32="Half-yearly",6,IF(E32="Yearly",12,1))))/12),MOD((((YEAR(TODAY())*12+MONTH(TODAY())-1)+MOD((IF(N(F32)=0,MONTH(TODAY()),F32)-1)-(YEAR(TODAY())*12+MONTH(TODAY())-1),IF(E32="Quarterly",3,IF(E32="Half-yearly",6,IF(E32="Yearly",12,1)))))+IF(E32="Quarterly",3,IF(E32="Half-yearly",6,IF(E32="Yearly",12,1)))),12)+1,MIN(D32,DAY(EOMONTH(DATE(INT((((YEAR(TODAY())*12+MONTH(TODAY())-1)+MOD((IF(N(F32)=0,MONTH(TODAY()),F32)-1)-(YEAR(TODAY())*12+MONTH(TODAY())-1),IF(E32="Quarterly",3,IF(E32="Half-yearly",6,IF(E32="Yearly",12,1)))))+IF(E32="Quarterly",3,IF(E32="Half-yearly",6,IF(E32="Yearly",12,1))))/12),MOD((((YEAR(TODAY())*12+MONTH(TODAY())-1)+MOD((IF(N(F32)=0,MONTH(TODAY()),F32)-1)-(YEAR(TODAY())*12+MONTH(TODAY())-1),IF(E32="Quarterly",3,IF(E32="Half-yearly",6,IF(E32="Yearly",12,1)))))+IF(E32="Quarterly",3,IF(E32="Half-yearly",6,IF(E32="Yearly",12,1)))),12)+1,1),0)))),DATE(INT(((YEAR(TODAY())*12+MONTH(TODAY())-1)+MOD((IF(N(F32)=0,MONTH(TODAY()),F32)-1)-(YEAR(TODAY())*12+MONTH(TODAY())-1),IF(E32="Quarterly",3,IF(E32="Half-yearly",6,IF(E32="Yearly",12,1)))))/12),MOD(((YEAR(TODAY())*12+MONTH(TODAY())-1)+MOD((IF(N(F32)=0,MONTH(TODAY()),F32)-1)-(YEAR(TODAY())*12+MONTH(TODAY())-1),IF(E32="Quarterly",3,IF(E32="Half-yearly",6,IF(E32="Yearly",12,1))))),12)+1,MIN(D32,DAY(EOMONTH(DATE(INT(((YEAR(TODAY())*12+MONTH(TODAY())-1)+MOD((IF(N(F32)=0,MONTH(TODAY()),F32)-1)-(YEAR(TODAY())*12+MONTH(TODAY())-1),IF(E32="Quarterly",3,IF(E32="Half-yearly",6,IF(E32="Yearly",12,1)))))/12),MOD(((YEAR(TODAY())*12+MONTH(TODAY())-1)+MOD((IF(N(F32)=0,MONTH(TODAY()),F32)-1)-(YEAR(TODAY())*12+MONTH(TODAY())-1),IF(E32="Quarterly",3,IF(E32="Half-yearly",6,IF(E32="Yearly",12,1))))),12)+1,1),0))))))</f>
        <v/>
      </c>
      <c r="I32">
        <f>IF(H32="","",H32-TODAY())</f>
        <v/>
      </c>
      <c r="J32">
        <f>IF(H32="","",IF(I32=0,"DUE TODAY",IF(I32&lt;=3,"Due in "&amp;I32&amp;" day(s) — pay now",IF(I32&lt;=7,"Due this week","OK"))))</f>
        <v/>
      </c>
    </row>
    <row r="33">
      <c r="A33" s="11" t="n"/>
      <c r="B33" s="11" t="n"/>
      <c r="C33" s="12" t="n"/>
      <c r="D33" s="11" t="n"/>
      <c r="E33" s="11" t="n"/>
      <c r="F33" s="11" t="n"/>
      <c r="G33" s="11" t="n"/>
      <c r="H33" s="13">
        <f>IF(OR(A33="",N(D33)=0),"",IF(DATE(INT(((YEAR(TODAY())*12+MONTH(TODAY())-1)+MOD((IF(N(F33)=0,MONTH(TODAY()),F33)-1)-(YEAR(TODAY())*12+MONTH(TODAY())-1),IF(E33="Quarterly",3,IF(E33="Half-yearly",6,IF(E33="Yearly",12,1)))))/12),MOD(((YEAR(TODAY())*12+MONTH(TODAY())-1)+MOD((IF(N(F33)=0,MONTH(TODAY()),F33)-1)-(YEAR(TODAY())*12+MONTH(TODAY())-1),IF(E33="Quarterly",3,IF(E33="Half-yearly",6,IF(E33="Yearly",12,1))))),12)+1,MIN(D33,DAY(EOMONTH(DATE(INT(((YEAR(TODAY())*12+MONTH(TODAY())-1)+MOD((IF(N(F33)=0,MONTH(TODAY()),F33)-1)-(YEAR(TODAY())*12+MONTH(TODAY())-1),IF(E33="Quarterly",3,IF(E33="Half-yearly",6,IF(E33="Yearly",12,1)))))/12),MOD(((YEAR(TODAY())*12+MONTH(TODAY())-1)+MOD((IF(N(F33)=0,MONTH(TODAY()),F33)-1)-(YEAR(TODAY())*12+MONTH(TODAY())-1),IF(E33="Quarterly",3,IF(E33="Half-yearly",6,IF(E33="Yearly",12,1))))),12)+1,1),0))))&lt;TODAY(),DATE(INT((((YEAR(TODAY())*12+MONTH(TODAY())-1)+MOD((IF(N(F33)=0,MONTH(TODAY()),F33)-1)-(YEAR(TODAY())*12+MONTH(TODAY())-1),IF(E33="Quarterly",3,IF(E33="Half-yearly",6,IF(E33="Yearly",12,1)))))+IF(E33="Quarterly",3,IF(E33="Half-yearly",6,IF(E33="Yearly",12,1))))/12),MOD((((YEAR(TODAY())*12+MONTH(TODAY())-1)+MOD((IF(N(F33)=0,MONTH(TODAY()),F33)-1)-(YEAR(TODAY())*12+MONTH(TODAY())-1),IF(E33="Quarterly",3,IF(E33="Half-yearly",6,IF(E33="Yearly",12,1)))))+IF(E33="Quarterly",3,IF(E33="Half-yearly",6,IF(E33="Yearly",12,1)))),12)+1,MIN(D33,DAY(EOMONTH(DATE(INT((((YEAR(TODAY())*12+MONTH(TODAY())-1)+MOD((IF(N(F33)=0,MONTH(TODAY()),F33)-1)-(YEAR(TODAY())*12+MONTH(TODAY())-1),IF(E33="Quarterly",3,IF(E33="Half-yearly",6,IF(E33="Yearly",12,1)))))+IF(E33="Quarterly",3,IF(E33="Half-yearly",6,IF(E33="Yearly",12,1))))/12),MOD((((YEAR(TODAY())*12+MONTH(TODAY())-1)+MOD((IF(N(F33)=0,MONTH(TODAY()),F33)-1)-(YEAR(TODAY())*12+MONTH(TODAY())-1),IF(E33="Quarterly",3,IF(E33="Half-yearly",6,IF(E33="Yearly",12,1)))))+IF(E33="Quarterly",3,IF(E33="Half-yearly",6,IF(E33="Yearly",12,1)))),12)+1,1),0)))),DATE(INT(((YEAR(TODAY())*12+MONTH(TODAY())-1)+MOD((IF(N(F33)=0,MONTH(TODAY()),F33)-1)-(YEAR(TODAY())*12+MONTH(TODAY())-1),IF(E33="Quarterly",3,IF(E33="Half-yearly",6,IF(E33="Yearly",12,1)))))/12),MOD(((YEAR(TODAY())*12+MONTH(TODAY())-1)+MOD((IF(N(F33)=0,MONTH(TODAY()),F33)-1)-(YEAR(TODAY())*12+MONTH(TODAY())-1),IF(E33="Quarterly",3,IF(E33="Half-yearly",6,IF(E33="Yearly",12,1))))),12)+1,MIN(D33,DAY(EOMONTH(DATE(INT(((YEAR(TODAY())*12+MONTH(TODAY())-1)+MOD((IF(N(F33)=0,MONTH(TODAY()),F33)-1)-(YEAR(TODAY())*12+MONTH(TODAY())-1),IF(E33="Quarterly",3,IF(E33="Half-yearly",6,IF(E33="Yearly",12,1)))))/12),MOD(((YEAR(TODAY())*12+MONTH(TODAY())-1)+MOD((IF(N(F33)=0,MONTH(TODAY()),F33)-1)-(YEAR(TODAY())*12+MONTH(TODAY())-1),IF(E33="Quarterly",3,IF(E33="Half-yearly",6,IF(E33="Yearly",12,1))))),12)+1,1),0))))))</f>
        <v/>
      </c>
      <c r="I33">
        <f>IF(H33="","",H33-TODAY())</f>
        <v/>
      </c>
      <c r="J33">
        <f>IF(H33="","",IF(I33=0,"DUE TODAY",IF(I33&lt;=3,"Due in "&amp;I33&amp;" day(s) — pay now",IF(I33&lt;=7,"Due this week","OK"))))</f>
        <v/>
      </c>
    </row>
    <row r="34">
      <c r="A34" s="11" t="n"/>
      <c r="B34" s="11" t="n"/>
      <c r="C34" s="12" t="n"/>
      <c r="D34" s="11" t="n"/>
      <c r="E34" s="11" t="n"/>
      <c r="F34" s="11" t="n"/>
      <c r="G34" s="11" t="n"/>
      <c r="H34" s="13">
        <f>IF(OR(A34="",N(D34)=0),"",IF(DATE(INT(((YEAR(TODAY())*12+MONTH(TODAY())-1)+MOD((IF(N(F34)=0,MONTH(TODAY()),F34)-1)-(YEAR(TODAY())*12+MONTH(TODAY())-1),IF(E34="Quarterly",3,IF(E34="Half-yearly",6,IF(E34="Yearly",12,1)))))/12),MOD(((YEAR(TODAY())*12+MONTH(TODAY())-1)+MOD((IF(N(F34)=0,MONTH(TODAY()),F34)-1)-(YEAR(TODAY())*12+MONTH(TODAY())-1),IF(E34="Quarterly",3,IF(E34="Half-yearly",6,IF(E34="Yearly",12,1))))),12)+1,MIN(D34,DAY(EOMONTH(DATE(INT(((YEAR(TODAY())*12+MONTH(TODAY())-1)+MOD((IF(N(F34)=0,MONTH(TODAY()),F34)-1)-(YEAR(TODAY())*12+MONTH(TODAY())-1),IF(E34="Quarterly",3,IF(E34="Half-yearly",6,IF(E34="Yearly",12,1)))))/12),MOD(((YEAR(TODAY())*12+MONTH(TODAY())-1)+MOD((IF(N(F34)=0,MONTH(TODAY()),F34)-1)-(YEAR(TODAY())*12+MONTH(TODAY())-1),IF(E34="Quarterly",3,IF(E34="Half-yearly",6,IF(E34="Yearly",12,1))))),12)+1,1),0))))&lt;TODAY(),DATE(INT((((YEAR(TODAY())*12+MONTH(TODAY())-1)+MOD((IF(N(F34)=0,MONTH(TODAY()),F34)-1)-(YEAR(TODAY())*12+MONTH(TODAY())-1),IF(E34="Quarterly",3,IF(E34="Half-yearly",6,IF(E34="Yearly",12,1)))))+IF(E34="Quarterly",3,IF(E34="Half-yearly",6,IF(E34="Yearly",12,1))))/12),MOD((((YEAR(TODAY())*12+MONTH(TODAY())-1)+MOD((IF(N(F34)=0,MONTH(TODAY()),F34)-1)-(YEAR(TODAY())*12+MONTH(TODAY())-1),IF(E34="Quarterly",3,IF(E34="Half-yearly",6,IF(E34="Yearly",12,1)))))+IF(E34="Quarterly",3,IF(E34="Half-yearly",6,IF(E34="Yearly",12,1)))),12)+1,MIN(D34,DAY(EOMONTH(DATE(INT((((YEAR(TODAY())*12+MONTH(TODAY())-1)+MOD((IF(N(F34)=0,MONTH(TODAY()),F34)-1)-(YEAR(TODAY())*12+MONTH(TODAY())-1),IF(E34="Quarterly",3,IF(E34="Half-yearly",6,IF(E34="Yearly",12,1)))))+IF(E34="Quarterly",3,IF(E34="Half-yearly",6,IF(E34="Yearly",12,1))))/12),MOD((((YEAR(TODAY())*12+MONTH(TODAY())-1)+MOD((IF(N(F34)=0,MONTH(TODAY()),F34)-1)-(YEAR(TODAY())*12+MONTH(TODAY())-1),IF(E34="Quarterly",3,IF(E34="Half-yearly",6,IF(E34="Yearly",12,1)))))+IF(E34="Quarterly",3,IF(E34="Half-yearly",6,IF(E34="Yearly",12,1)))),12)+1,1),0)))),DATE(INT(((YEAR(TODAY())*12+MONTH(TODAY())-1)+MOD((IF(N(F34)=0,MONTH(TODAY()),F34)-1)-(YEAR(TODAY())*12+MONTH(TODAY())-1),IF(E34="Quarterly",3,IF(E34="Half-yearly",6,IF(E34="Yearly",12,1)))))/12),MOD(((YEAR(TODAY())*12+MONTH(TODAY())-1)+MOD((IF(N(F34)=0,MONTH(TODAY()),F34)-1)-(YEAR(TODAY())*12+MONTH(TODAY())-1),IF(E34="Quarterly",3,IF(E34="Half-yearly",6,IF(E34="Yearly",12,1))))),12)+1,MIN(D34,DAY(EOMONTH(DATE(INT(((YEAR(TODAY())*12+MONTH(TODAY())-1)+MOD((IF(N(F34)=0,MONTH(TODAY()),F34)-1)-(YEAR(TODAY())*12+MONTH(TODAY())-1),IF(E34="Quarterly",3,IF(E34="Half-yearly",6,IF(E34="Yearly",12,1)))))/12),MOD(((YEAR(TODAY())*12+MONTH(TODAY())-1)+MOD((IF(N(F34)=0,MONTH(TODAY()),F34)-1)-(YEAR(TODAY())*12+MONTH(TODAY())-1),IF(E34="Quarterly",3,IF(E34="Half-yearly",6,IF(E34="Yearly",12,1))))),12)+1,1),0))))))</f>
        <v/>
      </c>
      <c r="I34">
        <f>IF(H34="","",H34-TODAY())</f>
        <v/>
      </c>
      <c r="J34">
        <f>IF(H34="","",IF(I34=0,"DUE TODAY",IF(I34&lt;=3,"Due in "&amp;I34&amp;" day(s) — pay now",IF(I34&lt;=7,"Due this week","OK"))))</f>
        <v/>
      </c>
    </row>
    <row r="35">
      <c r="A35" s="11" t="n"/>
      <c r="B35" s="11" t="n"/>
      <c r="C35" s="12" t="n"/>
      <c r="D35" s="11" t="n"/>
      <c r="E35" s="11" t="n"/>
      <c r="F35" s="11" t="n"/>
      <c r="G35" s="11" t="n"/>
      <c r="H35" s="13">
        <f>IF(OR(A35="",N(D35)=0),"",IF(DATE(INT(((YEAR(TODAY())*12+MONTH(TODAY())-1)+MOD((IF(N(F35)=0,MONTH(TODAY()),F35)-1)-(YEAR(TODAY())*12+MONTH(TODAY())-1),IF(E35="Quarterly",3,IF(E35="Half-yearly",6,IF(E35="Yearly",12,1)))))/12),MOD(((YEAR(TODAY())*12+MONTH(TODAY())-1)+MOD((IF(N(F35)=0,MONTH(TODAY()),F35)-1)-(YEAR(TODAY())*12+MONTH(TODAY())-1),IF(E35="Quarterly",3,IF(E35="Half-yearly",6,IF(E35="Yearly",12,1))))),12)+1,MIN(D35,DAY(EOMONTH(DATE(INT(((YEAR(TODAY())*12+MONTH(TODAY())-1)+MOD((IF(N(F35)=0,MONTH(TODAY()),F35)-1)-(YEAR(TODAY())*12+MONTH(TODAY())-1),IF(E35="Quarterly",3,IF(E35="Half-yearly",6,IF(E35="Yearly",12,1)))))/12),MOD(((YEAR(TODAY())*12+MONTH(TODAY())-1)+MOD((IF(N(F35)=0,MONTH(TODAY()),F35)-1)-(YEAR(TODAY())*12+MONTH(TODAY())-1),IF(E35="Quarterly",3,IF(E35="Half-yearly",6,IF(E35="Yearly",12,1))))),12)+1,1),0))))&lt;TODAY(),DATE(INT((((YEAR(TODAY())*12+MONTH(TODAY())-1)+MOD((IF(N(F35)=0,MONTH(TODAY()),F35)-1)-(YEAR(TODAY())*12+MONTH(TODAY())-1),IF(E35="Quarterly",3,IF(E35="Half-yearly",6,IF(E35="Yearly",12,1)))))+IF(E35="Quarterly",3,IF(E35="Half-yearly",6,IF(E35="Yearly",12,1))))/12),MOD((((YEAR(TODAY())*12+MONTH(TODAY())-1)+MOD((IF(N(F35)=0,MONTH(TODAY()),F35)-1)-(YEAR(TODAY())*12+MONTH(TODAY())-1),IF(E35="Quarterly",3,IF(E35="Half-yearly",6,IF(E35="Yearly",12,1)))))+IF(E35="Quarterly",3,IF(E35="Half-yearly",6,IF(E35="Yearly",12,1)))),12)+1,MIN(D35,DAY(EOMONTH(DATE(INT((((YEAR(TODAY())*12+MONTH(TODAY())-1)+MOD((IF(N(F35)=0,MONTH(TODAY()),F35)-1)-(YEAR(TODAY())*12+MONTH(TODAY())-1),IF(E35="Quarterly",3,IF(E35="Half-yearly",6,IF(E35="Yearly",12,1)))))+IF(E35="Quarterly",3,IF(E35="Half-yearly",6,IF(E35="Yearly",12,1))))/12),MOD((((YEAR(TODAY())*12+MONTH(TODAY())-1)+MOD((IF(N(F35)=0,MONTH(TODAY()),F35)-1)-(YEAR(TODAY())*12+MONTH(TODAY())-1),IF(E35="Quarterly",3,IF(E35="Half-yearly",6,IF(E35="Yearly",12,1)))))+IF(E35="Quarterly",3,IF(E35="Half-yearly",6,IF(E35="Yearly",12,1)))),12)+1,1),0)))),DATE(INT(((YEAR(TODAY())*12+MONTH(TODAY())-1)+MOD((IF(N(F35)=0,MONTH(TODAY()),F35)-1)-(YEAR(TODAY())*12+MONTH(TODAY())-1),IF(E35="Quarterly",3,IF(E35="Half-yearly",6,IF(E35="Yearly",12,1)))))/12),MOD(((YEAR(TODAY())*12+MONTH(TODAY())-1)+MOD((IF(N(F35)=0,MONTH(TODAY()),F35)-1)-(YEAR(TODAY())*12+MONTH(TODAY())-1),IF(E35="Quarterly",3,IF(E35="Half-yearly",6,IF(E35="Yearly",12,1))))),12)+1,MIN(D35,DAY(EOMONTH(DATE(INT(((YEAR(TODAY())*12+MONTH(TODAY())-1)+MOD((IF(N(F35)=0,MONTH(TODAY()),F35)-1)-(YEAR(TODAY())*12+MONTH(TODAY())-1),IF(E35="Quarterly",3,IF(E35="Half-yearly",6,IF(E35="Yearly",12,1)))))/12),MOD(((YEAR(TODAY())*12+MONTH(TODAY())-1)+MOD((IF(N(F35)=0,MONTH(TODAY()),F35)-1)-(YEAR(TODAY())*12+MONTH(TODAY())-1),IF(E35="Quarterly",3,IF(E35="Half-yearly",6,IF(E35="Yearly",12,1))))),12)+1,1),0))))))</f>
        <v/>
      </c>
      <c r="I35">
        <f>IF(H35="","",H35-TODAY())</f>
        <v/>
      </c>
      <c r="J35">
        <f>IF(H35="","",IF(I35=0,"DUE TODAY",IF(I35&lt;=3,"Due in "&amp;I35&amp;" day(s) — pay now",IF(I35&lt;=7,"Due this week","OK"))))</f>
        <v/>
      </c>
    </row>
    <row r="36">
      <c r="A36" s="11" t="n"/>
      <c r="B36" s="11" t="n"/>
      <c r="C36" s="12" t="n"/>
      <c r="D36" s="11" t="n"/>
      <c r="E36" s="11" t="n"/>
      <c r="F36" s="11" t="n"/>
      <c r="G36" s="11" t="n"/>
      <c r="H36" s="13">
        <f>IF(OR(A36="",N(D36)=0),"",IF(DATE(INT(((YEAR(TODAY())*12+MONTH(TODAY())-1)+MOD((IF(N(F36)=0,MONTH(TODAY()),F36)-1)-(YEAR(TODAY())*12+MONTH(TODAY())-1),IF(E36="Quarterly",3,IF(E36="Half-yearly",6,IF(E36="Yearly",12,1)))))/12),MOD(((YEAR(TODAY())*12+MONTH(TODAY())-1)+MOD((IF(N(F36)=0,MONTH(TODAY()),F36)-1)-(YEAR(TODAY())*12+MONTH(TODAY())-1),IF(E36="Quarterly",3,IF(E36="Half-yearly",6,IF(E36="Yearly",12,1))))),12)+1,MIN(D36,DAY(EOMONTH(DATE(INT(((YEAR(TODAY())*12+MONTH(TODAY())-1)+MOD((IF(N(F36)=0,MONTH(TODAY()),F36)-1)-(YEAR(TODAY())*12+MONTH(TODAY())-1),IF(E36="Quarterly",3,IF(E36="Half-yearly",6,IF(E36="Yearly",12,1)))))/12),MOD(((YEAR(TODAY())*12+MONTH(TODAY())-1)+MOD((IF(N(F36)=0,MONTH(TODAY()),F36)-1)-(YEAR(TODAY())*12+MONTH(TODAY())-1),IF(E36="Quarterly",3,IF(E36="Half-yearly",6,IF(E36="Yearly",12,1))))),12)+1,1),0))))&lt;TODAY(),DATE(INT((((YEAR(TODAY())*12+MONTH(TODAY())-1)+MOD((IF(N(F36)=0,MONTH(TODAY()),F36)-1)-(YEAR(TODAY())*12+MONTH(TODAY())-1),IF(E36="Quarterly",3,IF(E36="Half-yearly",6,IF(E36="Yearly",12,1)))))+IF(E36="Quarterly",3,IF(E36="Half-yearly",6,IF(E36="Yearly",12,1))))/12),MOD((((YEAR(TODAY())*12+MONTH(TODAY())-1)+MOD((IF(N(F36)=0,MONTH(TODAY()),F36)-1)-(YEAR(TODAY())*12+MONTH(TODAY())-1),IF(E36="Quarterly",3,IF(E36="Half-yearly",6,IF(E36="Yearly",12,1)))))+IF(E36="Quarterly",3,IF(E36="Half-yearly",6,IF(E36="Yearly",12,1)))),12)+1,MIN(D36,DAY(EOMONTH(DATE(INT((((YEAR(TODAY())*12+MONTH(TODAY())-1)+MOD((IF(N(F36)=0,MONTH(TODAY()),F36)-1)-(YEAR(TODAY())*12+MONTH(TODAY())-1),IF(E36="Quarterly",3,IF(E36="Half-yearly",6,IF(E36="Yearly",12,1)))))+IF(E36="Quarterly",3,IF(E36="Half-yearly",6,IF(E36="Yearly",12,1))))/12),MOD((((YEAR(TODAY())*12+MONTH(TODAY())-1)+MOD((IF(N(F36)=0,MONTH(TODAY()),F36)-1)-(YEAR(TODAY())*12+MONTH(TODAY())-1),IF(E36="Quarterly",3,IF(E36="Half-yearly",6,IF(E36="Yearly",12,1)))))+IF(E36="Quarterly",3,IF(E36="Half-yearly",6,IF(E36="Yearly",12,1)))),12)+1,1),0)))),DATE(INT(((YEAR(TODAY())*12+MONTH(TODAY())-1)+MOD((IF(N(F36)=0,MONTH(TODAY()),F36)-1)-(YEAR(TODAY())*12+MONTH(TODAY())-1),IF(E36="Quarterly",3,IF(E36="Half-yearly",6,IF(E36="Yearly",12,1)))))/12),MOD(((YEAR(TODAY())*12+MONTH(TODAY())-1)+MOD((IF(N(F36)=0,MONTH(TODAY()),F36)-1)-(YEAR(TODAY())*12+MONTH(TODAY())-1),IF(E36="Quarterly",3,IF(E36="Half-yearly",6,IF(E36="Yearly",12,1))))),12)+1,MIN(D36,DAY(EOMONTH(DATE(INT(((YEAR(TODAY())*12+MONTH(TODAY())-1)+MOD((IF(N(F36)=0,MONTH(TODAY()),F36)-1)-(YEAR(TODAY())*12+MONTH(TODAY())-1),IF(E36="Quarterly",3,IF(E36="Half-yearly",6,IF(E36="Yearly",12,1)))))/12),MOD(((YEAR(TODAY())*12+MONTH(TODAY())-1)+MOD((IF(N(F36)=0,MONTH(TODAY()),F36)-1)-(YEAR(TODAY())*12+MONTH(TODAY())-1),IF(E36="Quarterly",3,IF(E36="Half-yearly",6,IF(E36="Yearly",12,1))))),12)+1,1),0))))))</f>
        <v/>
      </c>
      <c r="I36">
        <f>IF(H36="","",H36-TODAY())</f>
        <v/>
      </c>
      <c r="J36">
        <f>IF(H36="","",IF(I36=0,"DUE TODAY",IF(I36&lt;=3,"Due in "&amp;I36&amp;" day(s) — pay now",IF(I36&lt;=7,"Due this week","OK"))))</f>
        <v/>
      </c>
    </row>
    <row r="37">
      <c r="A37" s="11" t="n"/>
      <c r="B37" s="11" t="n"/>
      <c r="C37" s="12" t="n"/>
      <c r="D37" s="11" t="n"/>
      <c r="E37" s="11" t="n"/>
      <c r="F37" s="11" t="n"/>
      <c r="G37" s="11" t="n"/>
      <c r="H37" s="13">
        <f>IF(OR(A37="",N(D37)=0),"",IF(DATE(INT(((YEAR(TODAY())*12+MONTH(TODAY())-1)+MOD((IF(N(F37)=0,MONTH(TODAY()),F37)-1)-(YEAR(TODAY())*12+MONTH(TODAY())-1),IF(E37="Quarterly",3,IF(E37="Half-yearly",6,IF(E37="Yearly",12,1)))))/12),MOD(((YEAR(TODAY())*12+MONTH(TODAY())-1)+MOD((IF(N(F37)=0,MONTH(TODAY()),F37)-1)-(YEAR(TODAY())*12+MONTH(TODAY())-1),IF(E37="Quarterly",3,IF(E37="Half-yearly",6,IF(E37="Yearly",12,1))))),12)+1,MIN(D37,DAY(EOMONTH(DATE(INT(((YEAR(TODAY())*12+MONTH(TODAY())-1)+MOD((IF(N(F37)=0,MONTH(TODAY()),F37)-1)-(YEAR(TODAY())*12+MONTH(TODAY())-1),IF(E37="Quarterly",3,IF(E37="Half-yearly",6,IF(E37="Yearly",12,1)))))/12),MOD(((YEAR(TODAY())*12+MONTH(TODAY())-1)+MOD((IF(N(F37)=0,MONTH(TODAY()),F37)-1)-(YEAR(TODAY())*12+MONTH(TODAY())-1),IF(E37="Quarterly",3,IF(E37="Half-yearly",6,IF(E37="Yearly",12,1))))),12)+1,1),0))))&lt;TODAY(),DATE(INT((((YEAR(TODAY())*12+MONTH(TODAY())-1)+MOD((IF(N(F37)=0,MONTH(TODAY()),F37)-1)-(YEAR(TODAY())*12+MONTH(TODAY())-1),IF(E37="Quarterly",3,IF(E37="Half-yearly",6,IF(E37="Yearly",12,1)))))+IF(E37="Quarterly",3,IF(E37="Half-yearly",6,IF(E37="Yearly",12,1))))/12),MOD((((YEAR(TODAY())*12+MONTH(TODAY())-1)+MOD((IF(N(F37)=0,MONTH(TODAY()),F37)-1)-(YEAR(TODAY())*12+MONTH(TODAY())-1),IF(E37="Quarterly",3,IF(E37="Half-yearly",6,IF(E37="Yearly",12,1)))))+IF(E37="Quarterly",3,IF(E37="Half-yearly",6,IF(E37="Yearly",12,1)))),12)+1,MIN(D37,DAY(EOMONTH(DATE(INT((((YEAR(TODAY())*12+MONTH(TODAY())-1)+MOD((IF(N(F37)=0,MONTH(TODAY()),F37)-1)-(YEAR(TODAY())*12+MONTH(TODAY())-1),IF(E37="Quarterly",3,IF(E37="Half-yearly",6,IF(E37="Yearly",12,1)))))+IF(E37="Quarterly",3,IF(E37="Half-yearly",6,IF(E37="Yearly",12,1))))/12),MOD((((YEAR(TODAY())*12+MONTH(TODAY())-1)+MOD((IF(N(F37)=0,MONTH(TODAY()),F37)-1)-(YEAR(TODAY())*12+MONTH(TODAY())-1),IF(E37="Quarterly",3,IF(E37="Half-yearly",6,IF(E37="Yearly",12,1)))))+IF(E37="Quarterly",3,IF(E37="Half-yearly",6,IF(E37="Yearly",12,1)))),12)+1,1),0)))),DATE(INT(((YEAR(TODAY())*12+MONTH(TODAY())-1)+MOD((IF(N(F37)=0,MONTH(TODAY()),F37)-1)-(YEAR(TODAY())*12+MONTH(TODAY())-1),IF(E37="Quarterly",3,IF(E37="Half-yearly",6,IF(E37="Yearly",12,1)))))/12),MOD(((YEAR(TODAY())*12+MONTH(TODAY())-1)+MOD((IF(N(F37)=0,MONTH(TODAY()),F37)-1)-(YEAR(TODAY())*12+MONTH(TODAY())-1),IF(E37="Quarterly",3,IF(E37="Half-yearly",6,IF(E37="Yearly",12,1))))),12)+1,MIN(D37,DAY(EOMONTH(DATE(INT(((YEAR(TODAY())*12+MONTH(TODAY())-1)+MOD((IF(N(F37)=0,MONTH(TODAY()),F37)-1)-(YEAR(TODAY())*12+MONTH(TODAY())-1),IF(E37="Quarterly",3,IF(E37="Half-yearly",6,IF(E37="Yearly",12,1)))))/12),MOD(((YEAR(TODAY())*12+MONTH(TODAY())-1)+MOD((IF(N(F37)=0,MONTH(TODAY()),F37)-1)-(YEAR(TODAY())*12+MONTH(TODAY())-1),IF(E37="Quarterly",3,IF(E37="Half-yearly",6,IF(E37="Yearly",12,1))))),12)+1,1),0))))))</f>
        <v/>
      </c>
      <c r="I37">
        <f>IF(H37="","",H37-TODAY())</f>
        <v/>
      </c>
      <c r="J37">
        <f>IF(H37="","",IF(I37=0,"DUE TODAY",IF(I37&lt;=3,"Due in "&amp;I37&amp;" day(s) — pay now",IF(I37&lt;=7,"Due this week","OK"))))</f>
        <v/>
      </c>
    </row>
    <row r="38">
      <c r="A38" s="11" t="n"/>
      <c r="B38" s="11" t="n"/>
      <c r="C38" s="12" t="n"/>
      <c r="D38" s="11" t="n"/>
      <c r="E38" s="11" t="n"/>
      <c r="F38" s="11" t="n"/>
      <c r="G38" s="11" t="n"/>
      <c r="H38" s="13">
        <f>IF(OR(A38="",N(D38)=0),"",IF(DATE(INT(((YEAR(TODAY())*12+MONTH(TODAY())-1)+MOD((IF(N(F38)=0,MONTH(TODAY()),F38)-1)-(YEAR(TODAY())*12+MONTH(TODAY())-1),IF(E38="Quarterly",3,IF(E38="Half-yearly",6,IF(E38="Yearly",12,1)))))/12),MOD(((YEAR(TODAY())*12+MONTH(TODAY())-1)+MOD((IF(N(F38)=0,MONTH(TODAY()),F38)-1)-(YEAR(TODAY())*12+MONTH(TODAY())-1),IF(E38="Quarterly",3,IF(E38="Half-yearly",6,IF(E38="Yearly",12,1))))),12)+1,MIN(D38,DAY(EOMONTH(DATE(INT(((YEAR(TODAY())*12+MONTH(TODAY())-1)+MOD((IF(N(F38)=0,MONTH(TODAY()),F38)-1)-(YEAR(TODAY())*12+MONTH(TODAY())-1),IF(E38="Quarterly",3,IF(E38="Half-yearly",6,IF(E38="Yearly",12,1)))))/12),MOD(((YEAR(TODAY())*12+MONTH(TODAY())-1)+MOD((IF(N(F38)=0,MONTH(TODAY()),F38)-1)-(YEAR(TODAY())*12+MONTH(TODAY())-1),IF(E38="Quarterly",3,IF(E38="Half-yearly",6,IF(E38="Yearly",12,1))))),12)+1,1),0))))&lt;TODAY(),DATE(INT((((YEAR(TODAY())*12+MONTH(TODAY())-1)+MOD((IF(N(F38)=0,MONTH(TODAY()),F38)-1)-(YEAR(TODAY())*12+MONTH(TODAY())-1),IF(E38="Quarterly",3,IF(E38="Half-yearly",6,IF(E38="Yearly",12,1)))))+IF(E38="Quarterly",3,IF(E38="Half-yearly",6,IF(E38="Yearly",12,1))))/12),MOD((((YEAR(TODAY())*12+MONTH(TODAY())-1)+MOD((IF(N(F38)=0,MONTH(TODAY()),F38)-1)-(YEAR(TODAY())*12+MONTH(TODAY())-1),IF(E38="Quarterly",3,IF(E38="Half-yearly",6,IF(E38="Yearly",12,1)))))+IF(E38="Quarterly",3,IF(E38="Half-yearly",6,IF(E38="Yearly",12,1)))),12)+1,MIN(D38,DAY(EOMONTH(DATE(INT((((YEAR(TODAY())*12+MONTH(TODAY())-1)+MOD((IF(N(F38)=0,MONTH(TODAY()),F38)-1)-(YEAR(TODAY())*12+MONTH(TODAY())-1),IF(E38="Quarterly",3,IF(E38="Half-yearly",6,IF(E38="Yearly",12,1)))))+IF(E38="Quarterly",3,IF(E38="Half-yearly",6,IF(E38="Yearly",12,1))))/12),MOD((((YEAR(TODAY())*12+MONTH(TODAY())-1)+MOD((IF(N(F38)=0,MONTH(TODAY()),F38)-1)-(YEAR(TODAY())*12+MONTH(TODAY())-1),IF(E38="Quarterly",3,IF(E38="Half-yearly",6,IF(E38="Yearly",12,1)))))+IF(E38="Quarterly",3,IF(E38="Half-yearly",6,IF(E38="Yearly",12,1)))),12)+1,1),0)))),DATE(INT(((YEAR(TODAY())*12+MONTH(TODAY())-1)+MOD((IF(N(F38)=0,MONTH(TODAY()),F38)-1)-(YEAR(TODAY())*12+MONTH(TODAY())-1),IF(E38="Quarterly",3,IF(E38="Half-yearly",6,IF(E38="Yearly",12,1)))))/12),MOD(((YEAR(TODAY())*12+MONTH(TODAY())-1)+MOD((IF(N(F38)=0,MONTH(TODAY()),F38)-1)-(YEAR(TODAY())*12+MONTH(TODAY())-1),IF(E38="Quarterly",3,IF(E38="Half-yearly",6,IF(E38="Yearly",12,1))))),12)+1,MIN(D38,DAY(EOMONTH(DATE(INT(((YEAR(TODAY())*12+MONTH(TODAY())-1)+MOD((IF(N(F38)=0,MONTH(TODAY()),F38)-1)-(YEAR(TODAY())*12+MONTH(TODAY())-1),IF(E38="Quarterly",3,IF(E38="Half-yearly",6,IF(E38="Yearly",12,1)))))/12),MOD(((YEAR(TODAY())*12+MONTH(TODAY())-1)+MOD((IF(N(F38)=0,MONTH(TODAY()),F38)-1)-(YEAR(TODAY())*12+MONTH(TODAY())-1),IF(E38="Quarterly",3,IF(E38="Half-yearly",6,IF(E38="Yearly",12,1))))),12)+1,1),0))))))</f>
        <v/>
      </c>
      <c r="I38">
        <f>IF(H38="","",H38-TODAY())</f>
        <v/>
      </c>
      <c r="J38">
        <f>IF(H38="","",IF(I38=0,"DUE TODAY",IF(I38&lt;=3,"Due in "&amp;I38&amp;" day(s) — pay now",IF(I38&lt;=7,"Due this week","OK"))))</f>
        <v/>
      </c>
    </row>
    <row r="39">
      <c r="A39" s="11" t="n"/>
      <c r="B39" s="11" t="n"/>
      <c r="C39" s="12" t="n"/>
      <c r="D39" s="11" t="n"/>
      <c r="E39" s="11" t="n"/>
      <c r="F39" s="11" t="n"/>
      <c r="G39" s="11" t="n"/>
      <c r="H39" s="13">
        <f>IF(OR(A39="",N(D39)=0),"",IF(DATE(INT(((YEAR(TODAY())*12+MONTH(TODAY())-1)+MOD((IF(N(F39)=0,MONTH(TODAY()),F39)-1)-(YEAR(TODAY())*12+MONTH(TODAY())-1),IF(E39="Quarterly",3,IF(E39="Half-yearly",6,IF(E39="Yearly",12,1)))))/12),MOD(((YEAR(TODAY())*12+MONTH(TODAY())-1)+MOD((IF(N(F39)=0,MONTH(TODAY()),F39)-1)-(YEAR(TODAY())*12+MONTH(TODAY())-1),IF(E39="Quarterly",3,IF(E39="Half-yearly",6,IF(E39="Yearly",12,1))))),12)+1,MIN(D39,DAY(EOMONTH(DATE(INT(((YEAR(TODAY())*12+MONTH(TODAY())-1)+MOD((IF(N(F39)=0,MONTH(TODAY()),F39)-1)-(YEAR(TODAY())*12+MONTH(TODAY())-1),IF(E39="Quarterly",3,IF(E39="Half-yearly",6,IF(E39="Yearly",12,1)))))/12),MOD(((YEAR(TODAY())*12+MONTH(TODAY())-1)+MOD((IF(N(F39)=0,MONTH(TODAY()),F39)-1)-(YEAR(TODAY())*12+MONTH(TODAY())-1),IF(E39="Quarterly",3,IF(E39="Half-yearly",6,IF(E39="Yearly",12,1))))),12)+1,1),0))))&lt;TODAY(),DATE(INT((((YEAR(TODAY())*12+MONTH(TODAY())-1)+MOD((IF(N(F39)=0,MONTH(TODAY()),F39)-1)-(YEAR(TODAY())*12+MONTH(TODAY())-1),IF(E39="Quarterly",3,IF(E39="Half-yearly",6,IF(E39="Yearly",12,1)))))+IF(E39="Quarterly",3,IF(E39="Half-yearly",6,IF(E39="Yearly",12,1))))/12),MOD((((YEAR(TODAY())*12+MONTH(TODAY())-1)+MOD((IF(N(F39)=0,MONTH(TODAY()),F39)-1)-(YEAR(TODAY())*12+MONTH(TODAY())-1),IF(E39="Quarterly",3,IF(E39="Half-yearly",6,IF(E39="Yearly",12,1)))))+IF(E39="Quarterly",3,IF(E39="Half-yearly",6,IF(E39="Yearly",12,1)))),12)+1,MIN(D39,DAY(EOMONTH(DATE(INT((((YEAR(TODAY())*12+MONTH(TODAY())-1)+MOD((IF(N(F39)=0,MONTH(TODAY()),F39)-1)-(YEAR(TODAY())*12+MONTH(TODAY())-1),IF(E39="Quarterly",3,IF(E39="Half-yearly",6,IF(E39="Yearly",12,1)))))+IF(E39="Quarterly",3,IF(E39="Half-yearly",6,IF(E39="Yearly",12,1))))/12),MOD((((YEAR(TODAY())*12+MONTH(TODAY())-1)+MOD((IF(N(F39)=0,MONTH(TODAY()),F39)-1)-(YEAR(TODAY())*12+MONTH(TODAY())-1),IF(E39="Quarterly",3,IF(E39="Half-yearly",6,IF(E39="Yearly",12,1)))))+IF(E39="Quarterly",3,IF(E39="Half-yearly",6,IF(E39="Yearly",12,1)))),12)+1,1),0)))),DATE(INT(((YEAR(TODAY())*12+MONTH(TODAY())-1)+MOD((IF(N(F39)=0,MONTH(TODAY()),F39)-1)-(YEAR(TODAY())*12+MONTH(TODAY())-1),IF(E39="Quarterly",3,IF(E39="Half-yearly",6,IF(E39="Yearly",12,1)))))/12),MOD(((YEAR(TODAY())*12+MONTH(TODAY())-1)+MOD((IF(N(F39)=0,MONTH(TODAY()),F39)-1)-(YEAR(TODAY())*12+MONTH(TODAY())-1),IF(E39="Quarterly",3,IF(E39="Half-yearly",6,IF(E39="Yearly",12,1))))),12)+1,MIN(D39,DAY(EOMONTH(DATE(INT(((YEAR(TODAY())*12+MONTH(TODAY())-1)+MOD((IF(N(F39)=0,MONTH(TODAY()),F39)-1)-(YEAR(TODAY())*12+MONTH(TODAY())-1),IF(E39="Quarterly",3,IF(E39="Half-yearly",6,IF(E39="Yearly",12,1)))))/12),MOD(((YEAR(TODAY())*12+MONTH(TODAY())-1)+MOD((IF(N(F39)=0,MONTH(TODAY()),F39)-1)-(YEAR(TODAY())*12+MONTH(TODAY())-1),IF(E39="Quarterly",3,IF(E39="Half-yearly",6,IF(E39="Yearly",12,1))))),12)+1,1),0))))))</f>
        <v/>
      </c>
      <c r="I39">
        <f>IF(H39="","",H39-TODAY())</f>
        <v/>
      </c>
      <c r="J39">
        <f>IF(H39="","",IF(I39=0,"DUE TODAY",IF(I39&lt;=3,"Due in "&amp;I39&amp;" day(s) — pay now",IF(I39&lt;=7,"Due this week","OK"))))</f>
        <v/>
      </c>
    </row>
    <row r="40">
      <c r="A40" s="11" t="n"/>
      <c r="B40" s="11" t="n"/>
      <c r="C40" s="12" t="n"/>
      <c r="D40" s="11" t="n"/>
      <c r="E40" s="11" t="n"/>
      <c r="F40" s="11" t="n"/>
      <c r="G40" s="11" t="n"/>
      <c r="H40" s="13">
        <f>IF(OR(A40="",N(D40)=0),"",IF(DATE(INT(((YEAR(TODAY())*12+MONTH(TODAY())-1)+MOD((IF(N(F40)=0,MONTH(TODAY()),F40)-1)-(YEAR(TODAY())*12+MONTH(TODAY())-1),IF(E40="Quarterly",3,IF(E40="Half-yearly",6,IF(E40="Yearly",12,1)))))/12),MOD(((YEAR(TODAY())*12+MONTH(TODAY())-1)+MOD((IF(N(F40)=0,MONTH(TODAY()),F40)-1)-(YEAR(TODAY())*12+MONTH(TODAY())-1),IF(E40="Quarterly",3,IF(E40="Half-yearly",6,IF(E40="Yearly",12,1))))),12)+1,MIN(D40,DAY(EOMONTH(DATE(INT(((YEAR(TODAY())*12+MONTH(TODAY())-1)+MOD((IF(N(F40)=0,MONTH(TODAY()),F40)-1)-(YEAR(TODAY())*12+MONTH(TODAY())-1),IF(E40="Quarterly",3,IF(E40="Half-yearly",6,IF(E40="Yearly",12,1)))))/12),MOD(((YEAR(TODAY())*12+MONTH(TODAY())-1)+MOD((IF(N(F40)=0,MONTH(TODAY()),F40)-1)-(YEAR(TODAY())*12+MONTH(TODAY())-1),IF(E40="Quarterly",3,IF(E40="Half-yearly",6,IF(E40="Yearly",12,1))))),12)+1,1),0))))&lt;TODAY(),DATE(INT((((YEAR(TODAY())*12+MONTH(TODAY())-1)+MOD((IF(N(F40)=0,MONTH(TODAY()),F40)-1)-(YEAR(TODAY())*12+MONTH(TODAY())-1),IF(E40="Quarterly",3,IF(E40="Half-yearly",6,IF(E40="Yearly",12,1)))))+IF(E40="Quarterly",3,IF(E40="Half-yearly",6,IF(E40="Yearly",12,1))))/12),MOD((((YEAR(TODAY())*12+MONTH(TODAY())-1)+MOD((IF(N(F40)=0,MONTH(TODAY()),F40)-1)-(YEAR(TODAY())*12+MONTH(TODAY())-1),IF(E40="Quarterly",3,IF(E40="Half-yearly",6,IF(E40="Yearly",12,1)))))+IF(E40="Quarterly",3,IF(E40="Half-yearly",6,IF(E40="Yearly",12,1)))),12)+1,MIN(D40,DAY(EOMONTH(DATE(INT((((YEAR(TODAY())*12+MONTH(TODAY())-1)+MOD((IF(N(F40)=0,MONTH(TODAY()),F40)-1)-(YEAR(TODAY())*12+MONTH(TODAY())-1),IF(E40="Quarterly",3,IF(E40="Half-yearly",6,IF(E40="Yearly",12,1)))))+IF(E40="Quarterly",3,IF(E40="Half-yearly",6,IF(E40="Yearly",12,1))))/12),MOD((((YEAR(TODAY())*12+MONTH(TODAY())-1)+MOD((IF(N(F40)=0,MONTH(TODAY()),F40)-1)-(YEAR(TODAY())*12+MONTH(TODAY())-1),IF(E40="Quarterly",3,IF(E40="Half-yearly",6,IF(E40="Yearly",12,1)))))+IF(E40="Quarterly",3,IF(E40="Half-yearly",6,IF(E40="Yearly",12,1)))),12)+1,1),0)))),DATE(INT(((YEAR(TODAY())*12+MONTH(TODAY())-1)+MOD((IF(N(F40)=0,MONTH(TODAY()),F40)-1)-(YEAR(TODAY())*12+MONTH(TODAY())-1),IF(E40="Quarterly",3,IF(E40="Half-yearly",6,IF(E40="Yearly",12,1)))))/12),MOD(((YEAR(TODAY())*12+MONTH(TODAY())-1)+MOD((IF(N(F40)=0,MONTH(TODAY()),F40)-1)-(YEAR(TODAY())*12+MONTH(TODAY())-1),IF(E40="Quarterly",3,IF(E40="Half-yearly",6,IF(E40="Yearly",12,1))))),12)+1,MIN(D40,DAY(EOMONTH(DATE(INT(((YEAR(TODAY())*12+MONTH(TODAY())-1)+MOD((IF(N(F40)=0,MONTH(TODAY()),F40)-1)-(YEAR(TODAY())*12+MONTH(TODAY())-1),IF(E40="Quarterly",3,IF(E40="Half-yearly",6,IF(E40="Yearly",12,1)))))/12),MOD(((YEAR(TODAY())*12+MONTH(TODAY())-1)+MOD((IF(N(F40)=0,MONTH(TODAY()),F40)-1)-(YEAR(TODAY())*12+MONTH(TODAY())-1),IF(E40="Quarterly",3,IF(E40="Half-yearly",6,IF(E40="Yearly",12,1))))),12)+1,1),0))))))</f>
        <v/>
      </c>
      <c r="I40">
        <f>IF(H40="","",H40-TODAY())</f>
        <v/>
      </c>
      <c r="J40">
        <f>IF(H40="","",IF(I40=0,"DUE TODAY",IF(I40&lt;=3,"Due in "&amp;I40&amp;" day(s) — pay now",IF(I40&lt;=7,"Due this week","OK"))))</f>
        <v/>
      </c>
    </row>
    <row r="41">
      <c r="A41" s="11" t="n"/>
      <c r="B41" s="11" t="n"/>
      <c r="C41" s="12" t="n"/>
      <c r="D41" s="11" t="n"/>
      <c r="E41" s="11" t="n"/>
      <c r="F41" s="11" t="n"/>
      <c r="G41" s="11" t="n"/>
      <c r="H41" s="13">
        <f>IF(OR(A41="",N(D41)=0),"",IF(DATE(INT(((YEAR(TODAY())*12+MONTH(TODAY())-1)+MOD((IF(N(F41)=0,MONTH(TODAY()),F41)-1)-(YEAR(TODAY())*12+MONTH(TODAY())-1),IF(E41="Quarterly",3,IF(E41="Half-yearly",6,IF(E41="Yearly",12,1)))))/12),MOD(((YEAR(TODAY())*12+MONTH(TODAY())-1)+MOD((IF(N(F41)=0,MONTH(TODAY()),F41)-1)-(YEAR(TODAY())*12+MONTH(TODAY())-1),IF(E41="Quarterly",3,IF(E41="Half-yearly",6,IF(E41="Yearly",12,1))))),12)+1,MIN(D41,DAY(EOMONTH(DATE(INT(((YEAR(TODAY())*12+MONTH(TODAY())-1)+MOD((IF(N(F41)=0,MONTH(TODAY()),F41)-1)-(YEAR(TODAY())*12+MONTH(TODAY())-1),IF(E41="Quarterly",3,IF(E41="Half-yearly",6,IF(E41="Yearly",12,1)))))/12),MOD(((YEAR(TODAY())*12+MONTH(TODAY())-1)+MOD((IF(N(F41)=0,MONTH(TODAY()),F41)-1)-(YEAR(TODAY())*12+MONTH(TODAY())-1),IF(E41="Quarterly",3,IF(E41="Half-yearly",6,IF(E41="Yearly",12,1))))),12)+1,1),0))))&lt;TODAY(),DATE(INT((((YEAR(TODAY())*12+MONTH(TODAY())-1)+MOD((IF(N(F41)=0,MONTH(TODAY()),F41)-1)-(YEAR(TODAY())*12+MONTH(TODAY())-1),IF(E41="Quarterly",3,IF(E41="Half-yearly",6,IF(E41="Yearly",12,1)))))+IF(E41="Quarterly",3,IF(E41="Half-yearly",6,IF(E41="Yearly",12,1))))/12),MOD((((YEAR(TODAY())*12+MONTH(TODAY())-1)+MOD((IF(N(F41)=0,MONTH(TODAY()),F41)-1)-(YEAR(TODAY())*12+MONTH(TODAY())-1),IF(E41="Quarterly",3,IF(E41="Half-yearly",6,IF(E41="Yearly",12,1)))))+IF(E41="Quarterly",3,IF(E41="Half-yearly",6,IF(E41="Yearly",12,1)))),12)+1,MIN(D41,DAY(EOMONTH(DATE(INT((((YEAR(TODAY())*12+MONTH(TODAY())-1)+MOD((IF(N(F41)=0,MONTH(TODAY()),F41)-1)-(YEAR(TODAY())*12+MONTH(TODAY())-1),IF(E41="Quarterly",3,IF(E41="Half-yearly",6,IF(E41="Yearly",12,1)))))+IF(E41="Quarterly",3,IF(E41="Half-yearly",6,IF(E41="Yearly",12,1))))/12),MOD((((YEAR(TODAY())*12+MONTH(TODAY())-1)+MOD((IF(N(F41)=0,MONTH(TODAY()),F41)-1)-(YEAR(TODAY())*12+MONTH(TODAY())-1),IF(E41="Quarterly",3,IF(E41="Half-yearly",6,IF(E41="Yearly",12,1)))))+IF(E41="Quarterly",3,IF(E41="Half-yearly",6,IF(E41="Yearly",12,1)))),12)+1,1),0)))),DATE(INT(((YEAR(TODAY())*12+MONTH(TODAY())-1)+MOD((IF(N(F41)=0,MONTH(TODAY()),F41)-1)-(YEAR(TODAY())*12+MONTH(TODAY())-1),IF(E41="Quarterly",3,IF(E41="Half-yearly",6,IF(E41="Yearly",12,1)))))/12),MOD(((YEAR(TODAY())*12+MONTH(TODAY())-1)+MOD((IF(N(F41)=0,MONTH(TODAY()),F41)-1)-(YEAR(TODAY())*12+MONTH(TODAY())-1),IF(E41="Quarterly",3,IF(E41="Half-yearly",6,IF(E41="Yearly",12,1))))),12)+1,MIN(D41,DAY(EOMONTH(DATE(INT(((YEAR(TODAY())*12+MONTH(TODAY())-1)+MOD((IF(N(F41)=0,MONTH(TODAY()),F41)-1)-(YEAR(TODAY())*12+MONTH(TODAY())-1),IF(E41="Quarterly",3,IF(E41="Half-yearly",6,IF(E41="Yearly",12,1)))))/12),MOD(((YEAR(TODAY())*12+MONTH(TODAY())-1)+MOD((IF(N(F41)=0,MONTH(TODAY()),F41)-1)-(YEAR(TODAY())*12+MONTH(TODAY())-1),IF(E41="Quarterly",3,IF(E41="Half-yearly",6,IF(E41="Yearly",12,1))))),12)+1,1),0))))))</f>
        <v/>
      </c>
      <c r="I41">
        <f>IF(H41="","",H41-TODAY())</f>
        <v/>
      </c>
      <c r="J41">
        <f>IF(H41="","",IF(I41=0,"DUE TODAY",IF(I41&lt;=3,"Due in "&amp;I41&amp;" day(s) — pay now",IF(I41&lt;=7,"Due this week","OK"))))</f>
        <v/>
      </c>
    </row>
    <row r="42">
      <c r="A42" s="11" t="n"/>
      <c r="B42" s="11" t="n"/>
      <c r="C42" s="12" t="n"/>
      <c r="D42" s="11" t="n"/>
      <c r="E42" s="11" t="n"/>
      <c r="F42" s="11" t="n"/>
      <c r="G42" s="11" t="n"/>
      <c r="H42" s="13">
        <f>IF(OR(A42="",N(D42)=0),"",IF(DATE(INT(((YEAR(TODAY())*12+MONTH(TODAY())-1)+MOD((IF(N(F42)=0,MONTH(TODAY()),F42)-1)-(YEAR(TODAY())*12+MONTH(TODAY())-1),IF(E42="Quarterly",3,IF(E42="Half-yearly",6,IF(E42="Yearly",12,1)))))/12),MOD(((YEAR(TODAY())*12+MONTH(TODAY())-1)+MOD((IF(N(F42)=0,MONTH(TODAY()),F42)-1)-(YEAR(TODAY())*12+MONTH(TODAY())-1),IF(E42="Quarterly",3,IF(E42="Half-yearly",6,IF(E42="Yearly",12,1))))),12)+1,MIN(D42,DAY(EOMONTH(DATE(INT(((YEAR(TODAY())*12+MONTH(TODAY())-1)+MOD((IF(N(F42)=0,MONTH(TODAY()),F42)-1)-(YEAR(TODAY())*12+MONTH(TODAY())-1),IF(E42="Quarterly",3,IF(E42="Half-yearly",6,IF(E42="Yearly",12,1)))))/12),MOD(((YEAR(TODAY())*12+MONTH(TODAY())-1)+MOD((IF(N(F42)=0,MONTH(TODAY()),F42)-1)-(YEAR(TODAY())*12+MONTH(TODAY())-1),IF(E42="Quarterly",3,IF(E42="Half-yearly",6,IF(E42="Yearly",12,1))))),12)+1,1),0))))&lt;TODAY(),DATE(INT((((YEAR(TODAY())*12+MONTH(TODAY())-1)+MOD((IF(N(F42)=0,MONTH(TODAY()),F42)-1)-(YEAR(TODAY())*12+MONTH(TODAY())-1),IF(E42="Quarterly",3,IF(E42="Half-yearly",6,IF(E42="Yearly",12,1)))))+IF(E42="Quarterly",3,IF(E42="Half-yearly",6,IF(E42="Yearly",12,1))))/12),MOD((((YEAR(TODAY())*12+MONTH(TODAY())-1)+MOD((IF(N(F42)=0,MONTH(TODAY()),F42)-1)-(YEAR(TODAY())*12+MONTH(TODAY())-1),IF(E42="Quarterly",3,IF(E42="Half-yearly",6,IF(E42="Yearly",12,1)))))+IF(E42="Quarterly",3,IF(E42="Half-yearly",6,IF(E42="Yearly",12,1)))),12)+1,MIN(D42,DAY(EOMONTH(DATE(INT((((YEAR(TODAY())*12+MONTH(TODAY())-1)+MOD((IF(N(F42)=0,MONTH(TODAY()),F42)-1)-(YEAR(TODAY())*12+MONTH(TODAY())-1),IF(E42="Quarterly",3,IF(E42="Half-yearly",6,IF(E42="Yearly",12,1)))))+IF(E42="Quarterly",3,IF(E42="Half-yearly",6,IF(E42="Yearly",12,1))))/12),MOD((((YEAR(TODAY())*12+MONTH(TODAY())-1)+MOD((IF(N(F42)=0,MONTH(TODAY()),F42)-1)-(YEAR(TODAY())*12+MONTH(TODAY())-1),IF(E42="Quarterly",3,IF(E42="Half-yearly",6,IF(E42="Yearly",12,1)))))+IF(E42="Quarterly",3,IF(E42="Half-yearly",6,IF(E42="Yearly",12,1)))),12)+1,1),0)))),DATE(INT(((YEAR(TODAY())*12+MONTH(TODAY())-1)+MOD((IF(N(F42)=0,MONTH(TODAY()),F42)-1)-(YEAR(TODAY())*12+MONTH(TODAY())-1),IF(E42="Quarterly",3,IF(E42="Half-yearly",6,IF(E42="Yearly",12,1)))))/12),MOD(((YEAR(TODAY())*12+MONTH(TODAY())-1)+MOD((IF(N(F42)=0,MONTH(TODAY()),F42)-1)-(YEAR(TODAY())*12+MONTH(TODAY())-1),IF(E42="Quarterly",3,IF(E42="Half-yearly",6,IF(E42="Yearly",12,1))))),12)+1,MIN(D42,DAY(EOMONTH(DATE(INT(((YEAR(TODAY())*12+MONTH(TODAY())-1)+MOD((IF(N(F42)=0,MONTH(TODAY()),F42)-1)-(YEAR(TODAY())*12+MONTH(TODAY())-1),IF(E42="Quarterly",3,IF(E42="Half-yearly",6,IF(E42="Yearly",12,1)))))/12),MOD(((YEAR(TODAY())*12+MONTH(TODAY())-1)+MOD((IF(N(F42)=0,MONTH(TODAY()),F42)-1)-(YEAR(TODAY())*12+MONTH(TODAY())-1),IF(E42="Quarterly",3,IF(E42="Half-yearly",6,IF(E42="Yearly",12,1))))),12)+1,1),0))))))</f>
        <v/>
      </c>
      <c r="I42">
        <f>IF(H42="","",H42-TODAY())</f>
        <v/>
      </c>
      <c r="J42">
        <f>IF(H42="","",IF(I42=0,"DUE TODAY",IF(I42&lt;=3,"Due in "&amp;I42&amp;" day(s) — pay now",IF(I42&lt;=7,"Due this week","OK"))))</f>
        <v/>
      </c>
    </row>
    <row r="43">
      <c r="A43" s="11" t="n"/>
      <c r="B43" s="11" t="n"/>
      <c r="C43" s="12" t="n"/>
      <c r="D43" s="11" t="n"/>
      <c r="E43" s="11" t="n"/>
      <c r="F43" s="11" t="n"/>
      <c r="G43" s="11" t="n"/>
      <c r="H43" s="13">
        <f>IF(OR(A43="",N(D43)=0),"",IF(DATE(INT(((YEAR(TODAY())*12+MONTH(TODAY())-1)+MOD((IF(N(F43)=0,MONTH(TODAY()),F43)-1)-(YEAR(TODAY())*12+MONTH(TODAY())-1),IF(E43="Quarterly",3,IF(E43="Half-yearly",6,IF(E43="Yearly",12,1)))))/12),MOD(((YEAR(TODAY())*12+MONTH(TODAY())-1)+MOD((IF(N(F43)=0,MONTH(TODAY()),F43)-1)-(YEAR(TODAY())*12+MONTH(TODAY())-1),IF(E43="Quarterly",3,IF(E43="Half-yearly",6,IF(E43="Yearly",12,1))))),12)+1,MIN(D43,DAY(EOMONTH(DATE(INT(((YEAR(TODAY())*12+MONTH(TODAY())-1)+MOD((IF(N(F43)=0,MONTH(TODAY()),F43)-1)-(YEAR(TODAY())*12+MONTH(TODAY())-1),IF(E43="Quarterly",3,IF(E43="Half-yearly",6,IF(E43="Yearly",12,1)))))/12),MOD(((YEAR(TODAY())*12+MONTH(TODAY())-1)+MOD((IF(N(F43)=0,MONTH(TODAY()),F43)-1)-(YEAR(TODAY())*12+MONTH(TODAY())-1),IF(E43="Quarterly",3,IF(E43="Half-yearly",6,IF(E43="Yearly",12,1))))),12)+1,1),0))))&lt;TODAY(),DATE(INT((((YEAR(TODAY())*12+MONTH(TODAY())-1)+MOD((IF(N(F43)=0,MONTH(TODAY()),F43)-1)-(YEAR(TODAY())*12+MONTH(TODAY())-1),IF(E43="Quarterly",3,IF(E43="Half-yearly",6,IF(E43="Yearly",12,1)))))+IF(E43="Quarterly",3,IF(E43="Half-yearly",6,IF(E43="Yearly",12,1))))/12),MOD((((YEAR(TODAY())*12+MONTH(TODAY())-1)+MOD((IF(N(F43)=0,MONTH(TODAY()),F43)-1)-(YEAR(TODAY())*12+MONTH(TODAY())-1),IF(E43="Quarterly",3,IF(E43="Half-yearly",6,IF(E43="Yearly",12,1)))))+IF(E43="Quarterly",3,IF(E43="Half-yearly",6,IF(E43="Yearly",12,1)))),12)+1,MIN(D43,DAY(EOMONTH(DATE(INT((((YEAR(TODAY())*12+MONTH(TODAY())-1)+MOD((IF(N(F43)=0,MONTH(TODAY()),F43)-1)-(YEAR(TODAY())*12+MONTH(TODAY())-1),IF(E43="Quarterly",3,IF(E43="Half-yearly",6,IF(E43="Yearly",12,1)))))+IF(E43="Quarterly",3,IF(E43="Half-yearly",6,IF(E43="Yearly",12,1))))/12),MOD((((YEAR(TODAY())*12+MONTH(TODAY())-1)+MOD((IF(N(F43)=0,MONTH(TODAY()),F43)-1)-(YEAR(TODAY())*12+MONTH(TODAY())-1),IF(E43="Quarterly",3,IF(E43="Half-yearly",6,IF(E43="Yearly",12,1)))))+IF(E43="Quarterly",3,IF(E43="Half-yearly",6,IF(E43="Yearly",12,1)))),12)+1,1),0)))),DATE(INT(((YEAR(TODAY())*12+MONTH(TODAY())-1)+MOD((IF(N(F43)=0,MONTH(TODAY()),F43)-1)-(YEAR(TODAY())*12+MONTH(TODAY())-1),IF(E43="Quarterly",3,IF(E43="Half-yearly",6,IF(E43="Yearly",12,1)))))/12),MOD(((YEAR(TODAY())*12+MONTH(TODAY())-1)+MOD((IF(N(F43)=0,MONTH(TODAY()),F43)-1)-(YEAR(TODAY())*12+MONTH(TODAY())-1),IF(E43="Quarterly",3,IF(E43="Half-yearly",6,IF(E43="Yearly",12,1))))),12)+1,MIN(D43,DAY(EOMONTH(DATE(INT(((YEAR(TODAY())*12+MONTH(TODAY())-1)+MOD((IF(N(F43)=0,MONTH(TODAY()),F43)-1)-(YEAR(TODAY())*12+MONTH(TODAY())-1),IF(E43="Quarterly",3,IF(E43="Half-yearly",6,IF(E43="Yearly",12,1)))))/12),MOD(((YEAR(TODAY())*12+MONTH(TODAY())-1)+MOD((IF(N(F43)=0,MONTH(TODAY()),F43)-1)-(YEAR(TODAY())*12+MONTH(TODAY())-1),IF(E43="Quarterly",3,IF(E43="Half-yearly",6,IF(E43="Yearly",12,1))))),12)+1,1),0))))))</f>
        <v/>
      </c>
      <c r="I43">
        <f>IF(H43="","",H43-TODAY())</f>
        <v/>
      </c>
      <c r="J43">
        <f>IF(H43="","",IF(I43=0,"DUE TODAY",IF(I43&lt;=3,"Due in "&amp;I43&amp;" day(s) — pay now",IF(I43&lt;=7,"Due this week","OK"))))</f>
        <v/>
      </c>
    </row>
    <row r="44">
      <c r="A44" s="11" t="n"/>
      <c r="B44" s="11" t="n"/>
      <c r="C44" s="12" t="n"/>
      <c r="D44" s="11" t="n"/>
      <c r="E44" s="11" t="n"/>
      <c r="F44" s="11" t="n"/>
      <c r="G44" s="11" t="n"/>
      <c r="H44" s="13">
        <f>IF(OR(A44="",N(D44)=0),"",IF(DATE(INT(((YEAR(TODAY())*12+MONTH(TODAY())-1)+MOD((IF(N(F44)=0,MONTH(TODAY()),F44)-1)-(YEAR(TODAY())*12+MONTH(TODAY())-1),IF(E44="Quarterly",3,IF(E44="Half-yearly",6,IF(E44="Yearly",12,1)))))/12),MOD(((YEAR(TODAY())*12+MONTH(TODAY())-1)+MOD((IF(N(F44)=0,MONTH(TODAY()),F44)-1)-(YEAR(TODAY())*12+MONTH(TODAY())-1),IF(E44="Quarterly",3,IF(E44="Half-yearly",6,IF(E44="Yearly",12,1))))),12)+1,MIN(D44,DAY(EOMONTH(DATE(INT(((YEAR(TODAY())*12+MONTH(TODAY())-1)+MOD((IF(N(F44)=0,MONTH(TODAY()),F44)-1)-(YEAR(TODAY())*12+MONTH(TODAY())-1),IF(E44="Quarterly",3,IF(E44="Half-yearly",6,IF(E44="Yearly",12,1)))))/12),MOD(((YEAR(TODAY())*12+MONTH(TODAY())-1)+MOD((IF(N(F44)=0,MONTH(TODAY()),F44)-1)-(YEAR(TODAY())*12+MONTH(TODAY())-1),IF(E44="Quarterly",3,IF(E44="Half-yearly",6,IF(E44="Yearly",12,1))))),12)+1,1),0))))&lt;TODAY(),DATE(INT((((YEAR(TODAY())*12+MONTH(TODAY())-1)+MOD((IF(N(F44)=0,MONTH(TODAY()),F44)-1)-(YEAR(TODAY())*12+MONTH(TODAY())-1),IF(E44="Quarterly",3,IF(E44="Half-yearly",6,IF(E44="Yearly",12,1)))))+IF(E44="Quarterly",3,IF(E44="Half-yearly",6,IF(E44="Yearly",12,1))))/12),MOD((((YEAR(TODAY())*12+MONTH(TODAY())-1)+MOD((IF(N(F44)=0,MONTH(TODAY()),F44)-1)-(YEAR(TODAY())*12+MONTH(TODAY())-1),IF(E44="Quarterly",3,IF(E44="Half-yearly",6,IF(E44="Yearly",12,1)))))+IF(E44="Quarterly",3,IF(E44="Half-yearly",6,IF(E44="Yearly",12,1)))),12)+1,MIN(D44,DAY(EOMONTH(DATE(INT((((YEAR(TODAY())*12+MONTH(TODAY())-1)+MOD((IF(N(F44)=0,MONTH(TODAY()),F44)-1)-(YEAR(TODAY())*12+MONTH(TODAY())-1),IF(E44="Quarterly",3,IF(E44="Half-yearly",6,IF(E44="Yearly",12,1)))))+IF(E44="Quarterly",3,IF(E44="Half-yearly",6,IF(E44="Yearly",12,1))))/12),MOD((((YEAR(TODAY())*12+MONTH(TODAY())-1)+MOD((IF(N(F44)=0,MONTH(TODAY()),F44)-1)-(YEAR(TODAY())*12+MONTH(TODAY())-1),IF(E44="Quarterly",3,IF(E44="Half-yearly",6,IF(E44="Yearly",12,1)))))+IF(E44="Quarterly",3,IF(E44="Half-yearly",6,IF(E44="Yearly",12,1)))),12)+1,1),0)))),DATE(INT(((YEAR(TODAY())*12+MONTH(TODAY())-1)+MOD((IF(N(F44)=0,MONTH(TODAY()),F44)-1)-(YEAR(TODAY())*12+MONTH(TODAY())-1),IF(E44="Quarterly",3,IF(E44="Half-yearly",6,IF(E44="Yearly",12,1)))))/12),MOD(((YEAR(TODAY())*12+MONTH(TODAY())-1)+MOD((IF(N(F44)=0,MONTH(TODAY()),F44)-1)-(YEAR(TODAY())*12+MONTH(TODAY())-1),IF(E44="Quarterly",3,IF(E44="Half-yearly",6,IF(E44="Yearly",12,1))))),12)+1,MIN(D44,DAY(EOMONTH(DATE(INT(((YEAR(TODAY())*12+MONTH(TODAY())-1)+MOD((IF(N(F44)=0,MONTH(TODAY()),F44)-1)-(YEAR(TODAY())*12+MONTH(TODAY())-1),IF(E44="Quarterly",3,IF(E44="Half-yearly",6,IF(E44="Yearly",12,1)))))/12),MOD(((YEAR(TODAY())*12+MONTH(TODAY())-1)+MOD((IF(N(F44)=0,MONTH(TODAY()),F44)-1)-(YEAR(TODAY())*12+MONTH(TODAY())-1),IF(E44="Quarterly",3,IF(E44="Half-yearly",6,IF(E44="Yearly",12,1))))),12)+1,1),0))))))</f>
        <v/>
      </c>
      <c r="I44">
        <f>IF(H44="","",H44-TODAY())</f>
        <v/>
      </c>
      <c r="J44">
        <f>IF(H44="","",IF(I44=0,"DUE TODAY",IF(I44&lt;=3,"Due in "&amp;I44&amp;" day(s) — pay now",IF(I44&lt;=7,"Due this week","OK"))))</f>
        <v/>
      </c>
    </row>
  </sheetData>
  <mergeCells count="2">
    <mergeCell ref="A1:J1"/>
    <mergeCell ref="A2:J2"/>
  </mergeCells>
  <conditionalFormatting sqref="A5:J44">
    <cfRule type="expression" priority="1" dxfId="0">
      <formula>AND($I5&lt;&gt;"",$I5&lt;=3)</formula>
    </cfRule>
    <cfRule type="expression" priority="2" dxfId="1">
      <formula>AND($I5&lt;&gt;"",$I5&gt;3,$I5&lt;=7)</formula>
    </cfRule>
  </conditionalFormatting>
  <dataValidations count="4">
    <dataValidation sqref="B5:B44" showDropDown="0" showInputMessage="0" showErrorMessage="0" allowBlank="1" type="list">
      <formula1>"EMI,Utility,Credit card,Insurance,Rent,Tax,School fees,Subscription,SIP,Other"</formula1>
    </dataValidation>
    <dataValidation sqref="E5:E44" showDropDown="0" showInputMessage="0" showErrorMessage="0" allowBlank="1" type="list">
      <formula1>"Monthly,Quarterly,Half-yearly,Yearly"</formula1>
    </dataValidation>
    <dataValidation sqref="F5:F44" showDropDown="0" showInputMessage="0" showErrorMessage="0" allowBlank="1" type="list">
      <formula1>"1,2,3,4,5,6,7,8,9,10,11,12"</formula1>
    </dataValidation>
    <dataValidation sqref="G5:G4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8" t="inlineStr">
        <is>
          <t>Paid Register</t>
        </is>
      </c>
    </row>
    <row r="2">
      <c r="A2" s="9" t="inlineStr">
        <is>
          <t>Type Y in the month you paid. Year starts in the month you choose in B3.</t>
        </is>
      </c>
    </row>
    <row r="3">
      <c r="A3" t="inlineStr">
        <is>
          <t>First month</t>
        </is>
      </c>
      <c r="B3" s="14">
        <f>DATE(YEAR(TODAY()),MONTH(TODAY()),1)</f>
        <v/>
      </c>
    </row>
    <row r="5">
      <c r="A5" s="15" t="inlineStr">
        <is>
          <t>Bill / EMI</t>
        </is>
      </c>
      <c r="B5" s="16">
        <f>EDATE($B$3,0)</f>
        <v/>
      </c>
      <c r="C5" s="16">
        <f>EDATE($B$3,1)</f>
        <v/>
      </c>
      <c r="D5" s="16">
        <f>EDATE($B$3,2)</f>
        <v/>
      </c>
      <c r="E5" s="16">
        <f>EDATE($B$3,3)</f>
        <v/>
      </c>
      <c r="F5" s="16">
        <f>EDATE($B$3,4)</f>
        <v/>
      </c>
      <c r="G5" s="16">
        <f>EDATE($B$3,5)</f>
        <v/>
      </c>
      <c r="H5" s="16">
        <f>EDATE($B$3,6)</f>
        <v/>
      </c>
      <c r="I5" s="16">
        <f>EDATE($B$3,7)</f>
        <v/>
      </c>
      <c r="J5" s="16">
        <f>EDATE($B$3,8)</f>
        <v/>
      </c>
      <c r="K5" s="16">
        <f>EDATE($B$3,9)</f>
        <v/>
      </c>
      <c r="L5" s="16">
        <f>EDATE($B$3,10)</f>
        <v/>
      </c>
      <c r="M5" s="16">
        <f>EDATE($B$3,11)</f>
        <v/>
      </c>
    </row>
    <row r="6">
      <c r="A6">
        <f>IF('My Bills'!A5="","",'My Bills'!A5)</f>
        <v/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>
        <f>IF('My Bills'!A6="","",'My Bills'!A6)</f>
        <v/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>
        <f>IF('My Bills'!A7="","",'My Bills'!A7)</f>
        <v/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>
        <f>IF('My Bills'!A8="","",'My Bills'!A8)</f>
        <v/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>
        <f>IF('My Bills'!A9="","",'My Bills'!A9)</f>
        <v/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>
        <f>IF('My Bills'!A10="","",'My Bills'!A10)</f>
        <v/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>
        <f>IF('My Bills'!A11="","",'My Bills'!A11)</f>
        <v/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>
        <f>IF('My Bills'!A12="","",'My Bills'!A12)</f>
        <v/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>
        <f>IF('My Bills'!A13="","",'My Bills'!A13)</f>
        <v/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>
        <f>IF('My Bills'!A14="","",'My Bills'!A14)</f>
        <v/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>
        <f>IF('My Bills'!A15="","",'My Bills'!A15)</f>
        <v/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>
        <f>IF('My Bills'!A16="","",'My Bills'!A16)</f>
        <v/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>
        <f>IF('My Bills'!A17="","",'My Bills'!A17)</f>
        <v/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>
        <f>IF('My Bills'!A18="","",'My Bills'!A18)</f>
        <v/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>
        <f>IF('My Bills'!A19="","",'My Bills'!A19)</f>
        <v/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>
        <f>IF('My Bills'!A20="","",'My Bills'!A20)</f>
        <v/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>
        <f>IF('My Bills'!A21="","",'My Bills'!A21)</f>
        <v/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>
        <f>IF('My Bills'!A22="","",'My Bills'!A22)</f>
        <v/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>
        <f>IF('My Bills'!A23="","",'My Bills'!A23)</f>
        <v/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>
        <f>IF('My Bills'!A24="","",'My Bills'!A24)</f>
        <v/>
      </c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>
        <f>IF('My Bills'!A25="","",'My Bills'!A25)</f>
        <v/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>
        <f>IF('My Bills'!A26="","",'My Bills'!A26)</f>
        <v/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>
        <f>IF('My Bills'!A27="","",'My Bills'!A27)</f>
        <v/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>
        <f>IF('My Bills'!A28="","",'My Bills'!A28)</f>
        <v/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>
        <f>IF('My Bills'!A29="","",'My Bills'!A29)</f>
        <v/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>
        <f>IF('My Bills'!A30="","",'My Bills'!A30)</f>
        <v/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>
        <f>IF('My Bills'!A31="","",'My Bills'!A31)</f>
        <v/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>
        <f>IF('My Bills'!A32="","",'My Bills'!A32)</f>
        <v/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>
        <f>IF('My Bills'!A33="","",'My Bills'!A33)</f>
        <v/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>
        <f>IF('My Bills'!A34="","",'My Bills'!A34)</f>
        <v/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>
        <f>IF('My Bills'!A35="","",'My Bills'!A35)</f>
        <v/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>
        <f>IF('My Bills'!A36="","",'My Bills'!A36)</f>
        <v/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>
        <f>IF('My Bills'!A37="","",'My Bills'!A37)</f>
        <v/>
      </c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>
        <f>IF('My Bills'!A38="","",'My Bills'!A38)</f>
        <v/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>
        <f>IF('My Bills'!A39="","",'My Bills'!A39)</f>
        <v/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>
        <f>IF('My Bills'!A40="","",'My Bills'!A40)</f>
        <v/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>
        <f>IF('My Bills'!A41="","",'My Bills'!A41)</f>
        <v/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>
        <f>IF('My Bills'!A42="","",'My Bills'!A42)</f>
        <v/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>
        <f>IF('My Bills'!A43="","",'My Bills'!A43)</f>
        <v/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>
        <f>IF('My Bills'!A44="","",'My Bills'!A44)</f>
        <v/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</sheetData>
  <mergeCells count="2">
    <mergeCell ref="A2:N2"/>
    <mergeCell ref="A1:N1"/>
  </mergeCells>
  <conditionalFormatting sqref="B6:M45">
    <cfRule type="cellIs" priority="1" operator="equal" dxfId="2">
      <formula>"Y"</formula>
    </cfRule>
  </conditionalFormatting>
  <dataValidations count="1">
    <dataValidation sqref="B6:M45" showDropDown="0" showInputMessage="0" showErrorMessage="0" allowBlank="1" type="list">
      <formula1>"Y,—"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8" t="inlineStr">
        <is>
          <t>Summary</t>
        </is>
      </c>
    </row>
    <row r="4" ht="22" customHeight="1">
      <c r="A4" s="17" t="inlineStr">
        <is>
          <t>Average monthly commitment</t>
        </is>
      </c>
      <c r="B4" s="18">
        <f>SUMPRODUCT('My Bills'!$C$5:$C$44/IF('My Bills'!$E$5:$E$44="Quarterly",3,IF('My Bills'!$E$5:$E$44="Half-yearly",6,IF('My Bills'!$E$5:$E$44="Yearly",12,1))))</f>
        <v/>
      </c>
    </row>
    <row r="5" ht="22" customHeight="1">
      <c r="A5" s="17" t="inlineStr">
        <is>
          <t>Yearly commitment</t>
        </is>
      </c>
      <c r="B5" s="18">
        <f>B4*12</f>
        <v/>
      </c>
    </row>
    <row r="6" ht="22" customHeight="1">
      <c r="A6" s="17" t="inlineStr">
        <is>
          <t>Bills due in the next 7 days</t>
        </is>
      </c>
      <c r="B6" s="19">
        <f>COUNTIFS('My Bills'!I5:I44,"&gt;=0",'My Bills'!I5:I44,"&lt;=7")</f>
        <v/>
      </c>
    </row>
    <row r="7" ht="22" customHeight="1">
      <c r="A7" s="17" t="inlineStr">
        <is>
          <t>Amount due in the next 7 days</t>
        </is>
      </c>
      <c r="B7" s="18">
        <f>SUMIFS('My Bills'!C5:C44,'My Bills'!I5:I44,"&gt;=0",'My Bills'!I5:I44,"&lt;=7")</f>
        <v/>
      </c>
    </row>
    <row r="10">
      <c r="A10" s="20" t="inlineStr">
        <is>
          <t>Tax, GST or accounts question? Rajput Lalit &amp; Associates — WhatsApp +91 93549 53603 · www.rajputlalitassociates.in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2026-10-02T19:30:33Z</dcterms:created>
  <dcterms:modified xmlns:dcterms="http://purl.org/dc/terms/" xmlns:xsi="http://www.w3.org/2001/XMLSchema-instance" xsi:type="dcterms:W3CDTF">2026-10-02T19:30:33Z</dcterms:modified>
</cp:coreProperties>
</file>