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onth View" sheetId="2" state="visible" r:id="rId2"/>
    <sheet xmlns:r="http://schemas.openxmlformats.org/officeDocument/2006/relationships" name="Year Summary" sheetId="3" state="visible" r:id="rId3"/>
    <sheet xmlns:r="http://schemas.openxmlformats.org/officeDocument/2006/relationships" name="50-30-20 Check" sheetId="4" state="visible" r:id="rId4"/>
    <sheet xmlns:r="http://schemas.openxmlformats.org/officeDocument/2006/relationships" name="Setup" sheetId="5" state="visible" r:id="rId5"/>
    <sheet xmlns:r="http://schemas.openxmlformats.org/officeDocument/2006/relationships" name="Transactions" sheetId="6" state="visible" r:id="rId6"/>
    <sheet xmlns:r="http://schemas.openxmlformats.org/officeDocument/2006/relationships" name="Catego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14">
    <font>
      <name val="Calibri"/>
      <family val="2"/>
      <color theme="1"/>
      <sz val="11"/>
      <scheme val="minor"/>
    </font>
    <font>
      <b val="1"/>
      <color rgb="00002B5C"/>
      <sz val="18"/>
    </font>
    <font>
      <b val="1"/>
      <color rgb="00D99A2B"/>
      <sz val="10"/>
    </font>
    <font>
      <b val="1"/>
      <color rgb="00002B5C"/>
      <sz val="13"/>
    </font>
    <font>
      <b val="1"/>
      <color rgb="00D99A2B"/>
    </font>
    <font>
      <color rgb="006B7280"/>
      <sz val="9"/>
    </font>
    <font>
      <b val="1"/>
      <color rgb="00002B5C"/>
      <sz val="16"/>
    </font>
    <font>
      <i val="1"/>
      <color rgb="006B7280"/>
      <sz val="10"/>
    </font>
    <font>
      <b val="1"/>
      <color rgb="00FFFFFF"/>
    </font>
    <font>
      <b val="1"/>
    </font>
    <font>
      <i val="1"/>
      <color rgb="006B7280"/>
    </font>
    <font>
      <b val="1"/>
      <color rgb="00002B5C"/>
      <sz val="12"/>
    </font>
    <font>
      <b val="1"/>
      <color rgb="00002B5C"/>
    </font>
    <font>
      <b val="1"/>
      <color rgb="00D99A2B"/>
      <sz val="9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2B5C"/>
      </patternFill>
    </fill>
    <fill>
      <patternFill patternType="solid">
        <fgColor rgb="00F3F6FA"/>
      </patternFill>
    </fill>
    <fill>
      <patternFill patternType="solid">
        <fgColor rgb="00E7F5EC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0" fontId="0" fillId="2" borderId="1" pivotButton="0" quotePrefix="0" xfId="0"/>
    <xf numFmtId="0" fontId="11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4" fontId="0" fillId="0" borderId="0" pivotButton="0" quotePrefix="0" xfId="0"/>
    <xf numFmtId="4" fontId="11" fillId="4" borderId="1" pivotButton="0" quotePrefix="0" xfId="0"/>
    <xf numFmtId="0" fontId="10" fillId="0" borderId="0" pivotButton="0" quotePrefix="0" xfId="0"/>
    <xf numFmtId="0" fontId="8" fillId="3" borderId="0" pivotButton="0" quotePrefix="0" xfId="0"/>
    <xf numFmtId="3" fontId="0" fillId="0" borderId="0" pivotButton="0" quotePrefix="0" xfId="0"/>
    <xf numFmtId="3" fontId="0" fillId="4" borderId="0" pivotButton="0" quotePrefix="0" xfId="0"/>
    <xf numFmtId="0" fontId="12" fillId="0" borderId="0" pivotButton="0" quotePrefix="0" xfId="0"/>
    <xf numFmtId="3" fontId="9" fillId="5" borderId="0" pivotButton="0" quotePrefix="0" xfId="0"/>
    <xf numFmtId="9" fontId="0" fillId="0" borderId="0" pivotButton="0" quotePrefix="0" xfId="0"/>
    <xf numFmtId="0" fontId="13" fillId="0" borderId="0" pivotButton="0" quotePrefix="0" xfId="0"/>
    <xf numFmtId="4" fontId="0" fillId="2" borderId="1" pivotButton="0" quotePrefix="0" xfId="0"/>
    <xf numFmtId="164" fontId="0" fillId="2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Income vs spending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v>Income</v>
          </tx>
          <spPr>
            <a:ln xmlns:a="http://schemas.openxmlformats.org/drawingml/2006/main">
              <a:prstDash val="solid"/>
            </a:ln>
          </spPr>
          <cat>
            <numRef>
              <f>'Year Summary'!$C$4:$N$4</f>
            </numRef>
          </cat>
          <val>
            <numRef>
              <f>'Year Summary'!$C$46:$N$46</f>
            </numRef>
          </val>
        </ser>
        <ser>
          <idx val="1"/>
          <order val="1"/>
          <tx>
            <v>Needs</v>
          </tx>
          <spPr>
            <a:ln xmlns:a="http://schemas.openxmlformats.org/drawingml/2006/main">
              <a:prstDash val="solid"/>
            </a:ln>
          </spPr>
          <cat>
            <numRef>
              <f>'Year Summary'!$C$4:$N$4</f>
            </numRef>
          </cat>
          <val>
            <numRef>
              <f>'Year Summary'!$C$47:$N$47</f>
            </numRef>
          </val>
        </ser>
        <ser>
          <idx val="2"/>
          <order val="2"/>
          <tx>
            <v>Wants</v>
          </tx>
          <spPr>
            <a:ln xmlns:a="http://schemas.openxmlformats.org/drawingml/2006/main">
              <a:prstDash val="solid"/>
            </a:ln>
          </spPr>
          <cat>
            <numRef>
              <f>'Year Summary'!$C$4:$N$4</f>
            </numRef>
          </cat>
          <val>
            <numRef>
              <f>'Year Summary'!$C$48:$N$48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53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" customWidth="1" min="1" max="1"/>
    <col width="110" customWidth="1" min="2" max="2"/>
  </cols>
  <sheetData>
    <row r="1">
      <c r="B1" s="1" t="inlineStr">
        <is>
          <t>Monthly &amp; Annual Budget Planner</t>
        </is>
      </c>
    </row>
    <row r="2">
      <c r="B2" s="2" t="inlineStr">
        <is>
          <t>Rajput Lalit &amp; Associates · www.rajputlalitassociates.in · WhatsApp +91 93549 53603</t>
        </is>
      </c>
    </row>
    <row r="4">
      <c r="B4" s="3" t="inlineStr">
        <is>
          <t>Steps</t>
        </is>
      </c>
    </row>
    <row r="5">
      <c r="A5" s="4" t="n">
        <v>1</v>
      </c>
      <c r="B5" s="5" t="inlineStr">
        <is>
          <t>In 'Setup' type the year you are planning for and your monthly budget for each category. Rename or add categories in the 'Categories' sheet — each one is marked Need, Want or Savings.</t>
        </is>
      </c>
    </row>
    <row r="6">
      <c r="A6" s="4" t="n">
        <v>2</v>
      </c>
      <c r="B6" s="5" t="inlineStr">
        <is>
          <t>Every time money comes in or goes out, add one line in 'Transactions' (date, category, amount). That's the only regular work.</t>
        </is>
      </c>
    </row>
    <row r="7">
      <c r="A7" s="4" t="n">
        <v>3</v>
      </c>
      <c r="B7" s="5" t="inlineStr">
        <is>
          <t>'Month View' — pick a month at the top to see budget vs actual for every category, and what is left.</t>
        </is>
      </c>
    </row>
    <row r="8">
      <c r="A8" s="4" t="n">
        <v>4</v>
      </c>
      <c r="B8" s="5" t="inlineStr">
        <is>
          <t>'Year Summary' shows all 12 months side by side, your savings rate and a chart.</t>
        </is>
      </c>
    </row>
    <row r="9">
      <c r="A9" s="4" t="n">
        <v>5</v>
      </c>
      <c r="B9" s="5" t="inlineStr">
        <is>
          <t>'50-30-20 Check' compares your spending with the popular 50% needs / 30% wants / 20% savings rule.</t>
        </is>
      </c>
    </row>
    <row r="11">
      <c r="B11" s="3" t="inlineStr">
        <is>
          <t>Good to know</t>
        </is>
      </c>
    </row>
    <row r="12">
      <c r="B12" s="5" t="inlineStr">
        <is>
          <t>• Works in Excel, Google Sheets and LibreOffice.</t>
        </is>
      </c>
    </row>
    <row r="13">
      <c r="B13" s="5" t="inlineStr">
        <is>
          <t>• Amounts are in rupees but work in any currency.</t>
        </is>
      </c>
    </row>
    <row r="15">
      <c r="B15" s="6" t="inlineStr">
        <is>
          <t>Cells shaded light yellow are for your entries. White cells contain formulas — please don't type over them.</t>
        </is>
      </c>
    </row>
    <row r="17">
      <c r="B17" s="7" t="inlineStr">
        <is>
          <t>Licensed for use in your own business. Please do not resell or share publicly. This template is a working aid, not professional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16" customWidth="1" min="4" max="4"/>
    <col width="16" customWidth="1" min="5" max="5"/>
  </cols>
  <sheetData>
    <row r="1">
      <c r="A1" s="8" t="inlineStr">
        <is>
          <t>Month View — budget vs actual</t>
        </is>
      </c>
    </row>
    <row r="2">
      <c r="A2" s="9" t="inlineStr">
        <is>
          <t>Pick the month in B3</t>
        </is>
      </c>
    </row>
    <row r="3">
      <c r="A3" s="10" t="inlineStr">
        <is>
          <t>Month (1–12)</t>
        </is>
      </c>
      <c r="B3" s="11" t="n">
        <v>4</v>
      </c>
      <c r="C3" s="12">
        <f>TEXT(DATE(Setup!B4,B3,1),"mmmm yyyy")</f>
        <v/>
      </c>
    </row>
    <row r="5" ht="32" customHeight="1">
      <c r="A5" s="13" t="inlineStr">
        <is>
          <t>Category</t>
        </is>
      </c>
      <c r="B5" s="13" t="inlineStr">
        <is>
          <t>Type</t>
        </is>
      </c>
      <c r="C5" s="13" t="inlineStr">
        <is>
          <t>Budget</t>
        </is>
      </c>
      <c r="D5" s="13" t="inlineStr">
        <is>
          <t>Actual</t>
        </is>
      </c>
      <c r="E5" s="13" t="inlineStr">
        <is>
          <t>Left / (over)</t>
        </is>
      </c>
    </row>
    <row r="6">
      <c r="A6">
        <f>IF(Categories!A5="","",Categories!A5)</f>
        <v/>
      </c>
      <c r="B6">
        <f>IF(Categories!A5="","",Categories!B5)</f>
        <v/>
      </c>
      <c r="C6" s="14">
        <f>IF(A6="","",N(Categories!C5))</f>
        <v/>
      </c>
      <c r="D6" s="14">
        <f>IF(A6="","",SUMIFS(Transactions!$C$5:$C$2004,Transactions!$B$5:$B$2004,A6,Transactions!$A$5:$A$2004,"&gt;="&amp;DATE(Setup!$B$4,$B$3,1),Transactions!$A$5:$A$2004,"&lt;="&amp;EOMONTH(DATE(Setup!$B$4,$B$3,1),0)))</f>
        <v/>
      </c>
      <c r="E6" s="14">
        <f>IF(OR(A6="",B6="Income"),"",C6-D6)</f>
        <v/>
      </c>
    </row>
    <row r="7">
      <c r="A7">
        <f>IF(Categories!A6="","",Categories!A6)</f>
        <v/>
      </c>
      <c r="B7">
        <f>IF(Categories!A6="","",Categories!B6)</f>
        <v/>
      </c>
      <c r="C7" s="14">
        <f>IF(A7="","",N(Categories!C6))</f>
        <v/>
      </c>
      <c r="D7" s="14">
        <f>IF(A7="","",SUMIFS(Transactions!$C$5:$C$2004,Transactions!$B$5:$B$2004,A7,Transactions!$A$5:$A$2004,"&gt;="&amp;DATE(Setup!$B$4,$B$3,1),Transactions!$A$5:$A$2004,"&lt;="&amp;EOMONTH(DATE(Setup!$B$4,$B$3,1),0)))</f>
        <v/>
      </c>
      <c r="E7" s="14">
        <f>IF(OR(A7="",B7="Income"),"",C7-D7)</f>
        <v/>
      </c>
    </row>
    <row r="8">
      <c r="A8">
        <f>IF(Categories!A7="","",Categories!A7)</f>
        <v/>
      </c>
      <c r="B8">
        <f>IF(Categories!A7="","",Categories!B7)</f>
        <v/>
      </c>
      <c r="C8" s="14">
        <f>IF(A8="","",N(Categories!C7))</f>
        <v/>
      </c>
      <c r="D8" s="14">
        <f>IF(A8="","",SUMIFS(Transactions!$C$5:$C$2004,Transactions!$B$5:$B$2004,A8,Transactions!$A$5:$A$2004,"&gt;="&amp;DATE(Setup!$B$4,$B$3,1),Transactions!$A$5:$A$2004,"&lt;="&amp;EOMONTH(DATE(Setup!$B$4,$B$3,1),0)))</f>
        <v/>
      </c>
      <c r="E8" s="14">
        <f>IF(OR(A8="",B8="Income"),"",C8-D8)</f>
        <v/>
      </c>
    </row>
    <row r="9">
      <c r="A9">
        <f>IF(Categories!A8="","",Categories!A8)</f>
        <v/>
      </c>
      <c r="B9">
        <f>IF(Categories!A8="","",Categories!B8)</f>
        <v/>
      </c>
      <c r="C9" s="14">
        <f>IF(A9="","",N(Categories!C8))</f>
        <v/>
      </c>
      <c r="D9" s="14">
        <f>IF(A9="","",SUMIFS(Transactions!$C$5:$C$2004,Transactions!$B$5:$B$2004,A9,Transactions!$A$5:$A$2004,"&gt;="&amp;DATE(Setup!$B$4,$B$3,1),Transactions!$A$5:$A$2004,"&lt;="&amp;EOMONTH(DATE(Setup!$B$4,$B$3,1),0)))</f>
        <v/>
      </c>
      <c r="E9" s="14">
        <f>IF(OR(A9="",B9="Income"),"",C9-D9)</f>
        <v/>
      </c>
    </row>
    <row r="10">
      <c r="A10">
        <f>IF(Categories!A9="","",Categories!A9)</f>
        <v/>
      </c>
      <c r="B10">
        <f>IF(Categories!A9="","",Categories!B9)</f>
        <v/>
      </c>
      <c r="C10" s="14">
        <f>IF(A10="","",N(Categories!C9))</f>
        <v/>
      </c>
      <c r="D10" s="14">
        <f>IF(A10="","",SUMIFS(Transactions!$C$5:$C$2004,Transactions!$B$5:$B$2004,A10,Transactions!$A$5:$A$2004,"&gt;="&amp;DATE(Setup!$B$4,$B$3,1),Transactions!$A$5:$A$2004,"&lt;="&amp;EOMONTH(DATE(Setup!$B$4,$B$3,1),0)))</f>
        <v/>
      </c>
      <c r="E10" s="14">
        <f>IF(OR(A10="",B10="Income"),"",C10-D10)</f>
        <v/>
      </c>
    </row>
    <row r="11">
      <c r="A11">
        <f>IF(Categories!A10="","",Categories!A10)</f>
        <v/>
      </c>
      <c r="B11">
        <f>IF(Categories!A10="","",Categories!B10)</f>
        <v/>
      </c>
      <c r="C11" s="14">
        <f>IF(A11="","",N(Categories!C10))</f>
        <v/>
      </c>
      <c r="D11" s="14">
        <f>IF(A11="","",SUMIFS(Transactions!$C$5:$C$2004,Transactions!$B$5:$B$2004,A11,Transactions!$A$5:$A$2004,"&gt;="&amp;DATE(Setup!$B$4,$B$3,1),Transactions!$A$5:$A$2004,"&lt;="&amp;EOMONTH(DATE(Setup!$B$4,$B$3,1),0)))</f>
        <v/>
      </c>
      <c r="E11" s="14">
        <f>IF(OR(A11="",B11="Income"),"",C11-D11)</f>
        <v/>
      </c>
    </row>
    <row r="12">
      <c r="A12">
        <f>IF(Categories!A11="","",Categories!A11)</f>
        <v/>
      </c>
      <c r="B12">
        <f>IF(Categories!A11="","",Categories!B11)</f>
        <v/>
      </c>
      <c r="C12" s="14">
        <f>IF(A12="","",N(Categories!C11))</f>
        <v/>
      </c>
      <c r="D12" s="14">
        <f>IF(A12="","",SUMIFS(Transactions!$C$5:$C$2004,Transactions!$B$5:$B$2004,A12,Transactions!$A$5:$A$2004,"&gt;="&amp;DATE(Setup!$B$4,$B$3,1),Transactions!$A$5:$A$2004,"&lt;="&amp;EOMONTH(DATE(Setup!$B$4,$B$3,1),0)))</f>
        <v/>
      </c>
      <c r="E12" s="14">
        <f>IF(OR(A12="",B12="Income"),"",C12-D12)</f>
        <v/>
      </c>
    </row>
    <row r="13">
      <c r="A13">
        <f>IF(Categories!A12="","",Categories!A12)</f>
        <v/>
      </c>
      <c r="B13">
        <f>IF(Categories!A12="","",Categories!B12)</f>
        <v/>
      </c>
      <c r="C13" s="14">
        <f>IF(A13="","",N(Categories!C12))</f>
        <v/>
      </c>
      <c r="D13" s="14">
        <f>IF(A13="","",SUMIFS(Transactions!$C$5:$C$2004,Transactions!$B$5:$B$2004,A13,Transactions!$A$5:$A$2004,"&gt;="&amp;DATE(Setup!$B$4,$B$3,1),Transactions!$A$5:$A$2004,"&lt;="&amp;EOMONTH(DATE(Setup!$B$4,$B$3,1),0)))</f>
        <v/>
      </c>
      <c r="E13" s="14">
        <f>IF(OR(A13="",B13="Income"),"",C13-D13)</f>
        <v/>
      </c>
    </row>
    <row r="14">
      <c r="A14">
        <f>IF(Categories!A13="","",Categories!A13)</f>
        <v/>
      </c>
      <c r="B14">
        <f>IF(Categories!A13="","",Categories!B13)</f>
        <v/>
      </c>
      <c r="C14" s="14">
        <f>IF(A14="","",N(Categories!C13))</f>
        <v/>
      </c>
      <c r="D14" s="14">
        <f>IF(A14="","",SUMIFS(Transactions!$C$5:$C$2004,Transactions!$B$5:$B$2004,A14,Transactions!$A$5:$A$2004,"&gt;="&amp;DATE(Setup!$B$4,$B$3,1),Transactions!$A$5:$A$2004,"&lt;="&amp;EOMONTH(DATE(Setup!$B$4,$B$3,1),0)))</f>
        <v/>
      </c>
      <c r="E14" s="14">
        <f>IF(OR(A14="",B14="Income"),"",C14-D14)</f>
        <v/>
      </c>
    </row>
    <row r="15">
      <c r="A15">
        <f>IF(Categories!A14="","",Categories!A14)</f>
        <v/>
      </c>
      <c r="B15">
        <f>IF(Categories!A14="","",Categories!B14)</f>
        <v/>
      </c>
      <c r="C15" s="14">
        <f>IF(A15="","",N(Categories!C14))</f>
        <v/>
      </c>
      <c r="D15" s="14">
        <f>IF(A15="","",SUMIFS(Transactions!$C$5:$C$2004,Transactions!$B$5:$B$2004,A15,Transactions!$A$5:$A$2004,"&gt;="&amp;DATE(Setup!$B$4,$B$3,1),Transactions!$A$5:$A$2004,"&lt;="&amp;EOMONTH(DATE(Setup!$B$4,$B$3,1),0)))</f>
        <v/>
      </c>
      <c r="E15" s="14">
        <f>IF(OR(A15="",B15="Income"),"",C15-D15)</f>
        <v/>
      </c>
    </row>
    <row r="16">
      <c r="A16">
        <f>IF(Categories!A15="","",Categories!A15)</f>
        <v/>
      </c>
      <c r="B16">
        <f>IF(Categories!A15="","",Categories!B15)</f>
        <v/>
      </c>
      <c r="C16" s="14">
        <f>IF(A16="","",N(Categories!C15))</f>
        <v/>
      </c>
      <c r="D16" s="14">
        <f>IF(A16="","",SUMIFS(Transactions!$C$5:$C$2004,Transactions!$B$5:$B$2004,A16,Transactions!$A$5:$A$2004,"&gt;="&amp;DATE(Setup!$B$4,$B$3,1),Transactions!$A$5:$A$2004,"&lt;="&amp;EOMONTH(DATE(Setup!$B$4,$B$3,1),0)))</f>
        <v/>
      </c>
      <c r="E16" s="14">
        <f>IF(OR(A16="",B16="Income"),"",C16-D16)</f>
        <v/>
      </c>
    </row>
    <row r="17">
      <c r="A17">
        <f>IF(Categories!A16="","",Categories!A16)</f>
        <v/>
      </c>
      <c r="B17">
        <f>IF(Categories!A16="","",Categories!B16)</f>
        <v/>
      </c>
      <c r="C17" s="14">
        <f>IF(A17="","",N(Categories!C16))</f>
        <v/>
      </c>
      <c r="D17" s="14">
        <f>IF(A17="","",SUMIFS(Transactions!$C$5:$C$2004,Transactions!$B$5:$B$2004,A17,Transactions!$A$5:$A$2004,"&gt;="&amp;DATE(Setup!$B$4,$B$3,1),Transactions!$A$5:$A$2004,"&lt;="&amp;EOMONTH(DATE(Setup!$B$4,$B$3,1),0)))</f>
        <v/>
      </c>
      <c r="E17" s="14">
        <f>IF(OR(A17="",B17="Income"),"",C17-D17)</f>
        <v/>
      </c>
    </row>
    <row r="18">
      <c r="A18">
        <f>IF(Categories!A17="","",Categories!A17)</f>
        <v/>
      </c>
      <c r="B18">
        <f>IF(Categories!A17="","",Categories!B17)</f>
        <v/>
      </c>
      <c r="C18" s="14">
        <f>IF(A18="","",N(Categories!C17))</f>
        <v/>
      </c>
      <c r="D18" s="14">
        <f>IF(A18="","",SUMIFS(Transactions!$C$5:$C$2004,Transactions!$B$5:$B$2004,A18,Transactions!$A$5:$A$2004,"&gt;="&amp;DATE(Setup!$B$4,$B$3,1),Transactions!$A$5:$A$2004,"&lt;="&amp;EOMONTH(DATE(Setup!$B$4,$B$3,1),0)))</f>
        <v/>
      </c>
      <c r="E18" s="14">
        <f>IF(OR(A18="",B18="Income"),"",C18-D18)</f>
        <v/>
      </c>
    </row>
    <row r="19">
      <c r="A19">
        <f>IF(Categories!A18="","",Categories!A18)</f>
        <v/>
      </c>
      <c r="B19">
        <f>IF(Categories!A18="","",Categories!B18)</f>
        <v/>
      </c>
      <c r="C19" s="14">
        <f>IF(A19="","",N(Categories!C18))</f>
        <v/>
      </c>
      <c r="D19" s="14">
        <f>IF(A19="","",SUMIFS(Transactions!$C$5:$C$2004,Transactions!$B$5:$B$2004,A19,Transactions!$A$5:$A$2004,"&gt;="&amp;DATE(Setup!$B$4,$B$3,1),Transactions!$A$5:$A$2004,"&lt;="&amp;EOMONTH(DATE(Setup!$B$4,$B$3,1),0)))</f>
        <v/>
      </c>
      <c r="E19" s="14">
        <f>IF(OR(A19="",B19="Income"),"",C19-D19)</f>
        <v/>
      </c>
    </row>
    <row r="20">
      <c r="A20">
        <f>IF(Categories!A19="","",Categories!A19)</f>
        <v/>
      </c>
      <c r="B20">
        <f>IF(Categories!A19="","",Categories!B19)</f>
        <v/>
      </c>
      <c r="C20" s="14">
        <f>IF(A20="","",N(Categories!C19))</f>
        <v/>
      </c>
      <c r="D20" s="14">
        <f>IF(A20="","",SUMIFS(Transactions!$C$5:$C$2004,Transactions!$B$5:$B$2004,A20,Transactions!$A$5:$A$2004,"&gt;="&amp;DATE(Setup!$B$4,$B$3,1),Transactions!$A$5:$A$2004,"&lt;="&amp;EOMONTH(DATE(Setup!$B$4,$B$3,1),0)))</f>
        <v/>
      </c>
      <c r="E20" s="14">
        <f>IF(OR(A20="",B20="Income"),"",C20-D20)</f>
        <v/>
      </c>
    </row>
    <row r="21">
      <c r="A21">
        <f>IF(Categories!A20="","",Categories!A20)</f>
        <v/>
      </c>
      <c r="B21">
        <f>IF(Categories!A20="","",Categories!B20)</f>
        <v/>
      </c>
      <c r="C21" s="14">
        <f>IF(A21="","",N(Categories!C20))</f>
        <v/>
      </c>
      <c r="D21" s="14">
        <f>IF(A21="","",SUMIFS(Transactions!$C$5:$C$2004,Transactions!$B$5:$B$2004,A21,Transactions!$A$5:$A$2004,"&gt;="&amp;DATE(Setup!$B$4,$B$3,1),Transactions!$A$5:$A$2004,"&lt;="&amp;EOMONTH(DATE(Setup!$B$4,$B$3,1),0)))</f>
        <v/>
      </c>
      <c r="E21" s="14">
        <f>IF(OR(A21="",B21="Income"),"",C21-D21)</f>
        <v/>
      </c>
    </row>
    <row r="22">
      <c r="A22">
        <f>IF(Categories!A21="","",Categories!A21)</f>
        <v/>
      </c>
      <c r="B22">
        <f>IF(Categories!A21="","",Categories!B21)</f>
        <v/>
      </c>
      <c r="C22" s="14">
        <f>IF(A22="","",N(Categories!C21))</f>
        <v/>
      </c>
      <c r="D22" s="14">
        <f>IF(A22="","",SUMIFS(Transactions!$C$5:$C$2004,Transactions!$B$5:$B$2004,A22,Transactions!$A$5:$A$2004,"&gt;="&amp;DATE(Setup!$B$4,$B$3,1),Transactions!$A$5:$A$2004,"&lt;="&amp;EOMONTH(DATE(Setup!$B$4,$B$3,1),0)))</f>
        <v/>
      </c>
      <c r="E22" s="14">
        <f>IF(OR(A22="",B22="Income"),"",C22-D22)</f>
        <v/>
      </c>
    </row>
    <row r="23">
      <c r="A23">
        <f>IF(Categories!A22="","",Categories!A22)</f>
        <v/>
      </c>
      <c r="B23">
        <f>IF(Categories!A22="","",Categories!B22)</f>
        <v/>
      </c>
      <c r="C23" s="14">
        <f>IF(A23="","",N(Categories!C22))</f>
        <v/>
      </c>
      <c r="D23" s="14">
        <f>IF(A23="","",SUMIFS(Transactions!$C$5:$C$2004,Transactions!$B$5:$B$2004,A23,Transactions!$A$5:$A$2004,"&gt;="&amp;DATE(Setup!$B$4,$B$3,1),Transactions!$A$5:$A$2004,"&lt;="&amp;EOMONTH(DATE(Setup!$B$4,$B$3,1),0)))</f>
        <v/>
      </c>
      <c r="E23" s="14">
        <f>IF(OR(A23="",B23="Income"),"",C23-D23)</f>
        <v/>
      </c>
    </row>
    <row r="24">
      <c r="A24">
        <f>IF(Categories!A23="","",Categories!A23)</f>
        <v/>
      </c>
      <c r="B24">
        <f>IF(Categories!A23="","",Categories!B23)</f>
        <v/>
      </c>
      <c r="C24" s="14">
        <f>IF(A24="","",N(Categories!C23))</f>
        <v/>
      </c>
      <c r="D24" s="14">
        <f>IF(A24="","",SUMIFS(Transactions!$C$5:$C$2004,Transactions!$B$5:$B$2004,A24,Transactions!$A$5:$A$2004,"&gt;="&amp;DATE(Setup!$B$4,$B$3,1),Transactions!$A$5:$A$2004,"&lt;="&amp;EOMONTH(DATE(Setup!$B$4,$B$3,1),0)))</f>
        <v/>
      </c>
      <c r="E24" s="14">
        <f>IF(OR(A24="",B24="Income"),"",C24-D24)</f>
        <v/>
      </c>
    </row>
    <row r="25">
      <c r="A25">
        <f>IF(Categories!A24="","",Categories!A24)</f>
        <v/>
      </c>
      <c r="B25">
        <f>IF(Categories!A24="","",Categories!B24)</f>
        <v/>
      </c>
      <c r="C25" s="14">
        <f>IF(A25="","",N(Categories!C24))</f>
        <v/>
      </c>
      <c r="D25" s="14">
        <f>IF(A25="","",SUMIFS(Transactions!$C$5:$C$2004,Transactions!$B$5:$B$2004,A25,Transactions!$A$5:$A$2004,"&gt;="&amp;DATE(Setup!$B$4,$B$3,1),Transactions!$A$5:$A$2004,"&lt;="&amp;EOMONTH(DATE(Setup!$B$4,$B$3,1),0)))</f>
        <v/>
      </c>
      <c r="E25" s="14">
        <f>IF(OR(A25="",B25="Income"),"",C25-D25)</f>
        <v/>
      </c>
    </row>
    <row r="26">
      <c r="A26">
        <f>IF(Categories!A25="","",Categories!A25)</f>
        <v/>
      </c>
      <c r="B26">
        <f>IF(Categories!A25="","",Categories!B25)</f>
        <v/>
      </c>
      <c r="C26" s="14">
        <f>IF(A26="","",N(Categories!C25))</f>
        <v/>
      </c>
      <c r="D26" s="14">
        <f>IF(A26="","",SUMIFS(Transactions!$C$5:$C$2004,Transactions!$B$5:$B$2004,A26,Transactions!$A$5:$A$2004,"&gt;="&amp;DATE(Setup!$B$4,$B$3,1),Transactions!$A$5:$A$2004,"&lt;="&amp;EOMONTH(DATE(Setup!$B$4,$B$3,1),0)))</f>
        <v/>
      </c>
      <c r="E26" s="14">
        <f>IF(OR(A26="",B26="Income"),"",C26-D26)</f>
        <v/>
      </c>
    </row>
    <row r="27">
      <c r="A27">
        <f>IF(Categories!A26="","",Categories!A26)</f>
        <v/>
      </c>
      <c r="B27">
        <f>IF(Categories!A26="","",Categories!B26)</f>
        <v/>
      </c>
      <c r="C27" s="14">
        <f>IF(A27="","",N(Categories!C26))</f>
        <v/>
      </c>
      <c r="D27" s="14">
        <f>IF(A27="","",SUMIFS(Transactions!$C$5:$C$2004,Transactions!$B$5:$B$2004,A27,Transactions!$A$5:$A$2004,"&gt;="&amp;DATE(Setup!$B$4,$B$3,1),Transactions!$A$5:$A$2004,"&lt;="&amp;EOMONTH(DATE(Setup!$B$4,$B$3,1),0)))</f>
        <v/>
      </c>
      <c r="E27" s="14">
        <f>IF(OR(A27="",B27="Income"),"",C27-D27)</f>
        <v/>
      </c>
    </row>
    <row r="28">
      <c r="A28">
        <f>IF(Categories!A27="","",Categories!A27)</f>
        <v/>
      </c>
      <c r="B28">
        <f>IF(Categories!A27="","",Categories!B27)</f>
        <v/>
      </c>
      <c r="C28" s="14">
        <f>IF(A28="","",N(Categories!C27))</f>
        <v/>
      </c>
      <c r="D28" s="14">
        <f>IF(A28="","",SUMIFS(Transactions!$C$5:$C$2004,Transactions!$B$5:$B$2004,A28,Transactions!$A$5:$A$2004,"&gt;="&amp;DATE(Setup!$B$4,$B$3,1),Transactions!$A$5:$A$2004,"&lt;="&amp;EOMONTH(DATE(Setup!$B$4,$B$3,1),0)))</f>
        <v/>
      </c>
      <c r="E28" s="14">
        <f>IF(OR(A28="",B28="Income"),"",C28-D28)</f>
        <v/>
      </c>
    </row>
    <row r="29">
      <c r="A29">
        <f>IF(Categories!A28="","",Categories!A28)</f>
        <v/>
      </c>
      <c r="B29">
        <f>IF(Categories!A28="","",Categories!B28)</f>
        <v/>
      </c>
      <c r="C29" s="14">
        <f>IF(A29="","",N(Categories!C28))</f>
        <v/>
      </c>
      <c r="D29" s="14">
        <f>IF(A29="","",SUMIFS(Transactions!$C$5:$C$2004,Transactions!$B$5:$B$2004,A29,Transactions!$A$5:$A$2004,"&gt;="&amp;DATE(Setup!$B$4,$B$3,1),Transactions!$A$5:$A$2004,"&lt;="&amp;EOMONTH(DATE(Setup!$B$4,$B$3,1),0)))</f>
        <v/>
      </c>
      <c r="E29" s="14">
        <f>IF(OR(A29="",B29="Income"),"",C29-D29)</f>
        <v/>
      </c>
    </row>
    <row r="30">
      <c r="A30">
        <f>IF(Categories!A29="","",Categories!A29)</f>
        <v/>
      </c>
      <c r="B30">
        <f>IF(Categories!A29="","",Categories!B29)</f>
        <v/>
      </c>
      <c r="C30" s="14">
        <f>IF(A30="","",N(Categories!C29))</f>
        <v/>
      </c>
      <c r="D30" s="14">
        <f>IF(A30="","",SUMIFS(Transactions!$C$5:$C$2004,Transactions!$B$5:$B$2004,A30,Transactions!$A$5:$A$2004,"&gt;="&amp;DATE(Setup!$B$4,$B$3,1),Transactions!$A$5:$A$2004,"&lt;="&amp;EOMONTH(DATE(Setup!$B$4,$B$3,1),0)))</f>
        <v/>
      </c>
      <c r="E30" s="14">
        <f>IF(OR(A30="",B30="Income"),"",C30-D30)</f>
        <v/>
      </c>
    </row>
    <row r="31">
      <c r="A31">
        <f>IF(Categories!A30="","",Categories!A30)</f>
        <v/>
      </c>
      <c r="B31">
        <f>IF(Categories!A30="","",Categories!B30)</f>
        <v/>
      </c>
      <c r="C31" s="14">
        <f>IF(A31="","",N(Categories!C30))</f>
        <v/>
      </c>
      <c r="D31" s="14">
        <f>IF(A31="","",SUMIFS(Transactions!$C$5:$C$2004,Transactions!$B$5:$B$2004,A31,Transactions!$A$5:$A$2004,"&gt;="&amp;DATE(Setup!$B$4,$B$3,1),Transactions!$A$5:$A$2004,"&lt;="&amp;EOMONTH(DATE(Setup!$B$4,$B$3,1),0)))</f>
        <v/>
      </c>
      <c r="E31" s="14">
        <f>IF(OR(A31="",B31="Income"),"",C31-D31)</f>
        <v/>
      </c>
    </row>
    <row r="32">
      <c r="A32">
        <f>IF(Categories!A31="","",Categories!A31)</f>
        <v/>
      </c>
      <c r="B32">
        <f>IF(Categories!A31="","",Categories!B31)</f>
        <v/>
      </c>
      <c r="C32" s="14">
        <f>IF(A32="","",N(Categories!C31))</f>
        <v/>
      </c>
      <c r="D32" s="14">
        <f>IF(A32="","",SUMIFS(Transactions!$C$5:$C$2004,Transactions!$B$5:$B$2004,A32,Transactions!$A$5:$A$2004,"&gt;="&amp;DATE(Setup!$B$4,$B$3,1),Transactions!$A$5:$A$2004,"&lt;="&amp;EOMONTH(DATE(Setup!$B$4,$B$3,1),0)))</f>
        <v/>
      </c>
      <c r="E32" s="14">
        <f>IF(OR(A32="",B32="Income"),"",C32-D32)</f>
        <v/>
      </c>
    </row>
    <row r="33">
      <c r="A33">
        <f>IF(Categories!A32="","",Categories!A32)</f>
        <v/>
      </c>
      <c r="B33">
        <f>IF(Categories!A32="","",Categories!B32)</f>
        <v/>
      </c>
      <c r="C33" s="14">
        <f>IF(A33="","",N(Categories!C32))</f>
        <v/>
      </c>
      <c r="D33" s="14">
        <f>IF(A33="","",SUMIFS(Transactions!$C$5:$C$2004,Transactions!$B$5:$B$2004,A33,Transactions!$A$5:$A$2004,"&gt;="&amp;DATE(Setup!$B$4,$B$3,1),Transactions!$A$5:$A$2004,"&lt;="&amp;EOMONTH(DATE(Setup!$B$4,$B$3,1),0)))</f>
        <v/>
      </c>
      <c r="E33" s="14">
        <f>IF(OR(A33="",B33="Income"),"",C33-D33)</f>
        <v/>
      </c>
    </row>
    <row r="34">
      <c r="A34">
        <f>IF(Categories!A33="","",Categories!A33)</f>
        <v/>
      </c>
      <c r="B34">
        <f>IF(Categories!A33="","",Categories!B33)</f>
        <v/>
      </c>
      <c r="C34" s="14">
        <f>IF(A34="","",N(Categories!C33))</f>
        <v/>
      </c>
      <c r="D34" s="14">
        <f>IF(A34="","",SUMIFS(Transactions!$C$5:$C$2004,Transactions!$B$5:$B$2004,A34,Transactions!$A$5:$A$2004,"&gt;="&amp;DATE(Setup!$B$4,$B$3,1),Transactions!$A$5:$A$2004,"&lt;="&amp;EOMONTH(DATE(Setup!$B$4,$B$3,1),0)))</f>
        <v/>
      </c>
      <c r="E34" s="14">
        <f>IF(OR(A34="",B34="Income"),"",C34-D34)</f>
        <v/>
      </c>
    </row>
    <row r="35">
      <c r="A35">
        <f>IF(Categories!A34="","",Categories!A34)</f>
        <v/>
      </c>
      <c r="B35">
        <f>IF(Categories!A34="","",Categories!B34)</f>
        <v/>
      </c>
      <c r="C35" s="14">
        <f>IF(A35="","",N(Categories!C34))</f>
        <v/>
      </c>
      <c r="D35" s="14">
        <f>IF(A35="","",SUMIFS(Transactions!$C$5:$C$2004,Transactions!$B$5:$B$2004,A35,Transactions!$A$5:$A$2004,"&gt;="&amp;DATE(Setup!$B$4,$B$3,1),Transactions!$A$5:$A$2004,"&lt;="&amp;EOMONTH(DATE(Setup!$B$4,$B$3,1),0)))</f>
        <v/>
      </c>
      <c r="E35" s="14">
        <f>IF(OR(A35="",B35="Income"),"",C35-D35)</f>
        <v/>
      </c>
    </row>
    <row r="36">
      <c r="A36">
        <f>IF(Categories!A35="","",Categories!A35)</f>
        <v/>
      </c>
      <c r="B36">
        <f>IF(Categories!A35="","",Categories!B35)</f>
        <v/>
      </c>
      <c r="C36" s="14">
        <f>IF(A36="","",N(Categories!C35))</f>
        <v/>
      </c>
      <c r="D36" s="14">
        <f>IF(A36="","",SUMIFS(Transactions!$C$5:$C$2004,Transactions!$B$5:$B$2004,A36,Transactions!$A$5:$A$2004,"&gt;="&amp;DATE(Setup!$B$4,$B$3,1),Transactions!$A$5:$A$2004,"&lt;="&amp;EOMONTH(DATE(Setup!$B$4,$B$3,1),0)))</f>
        <v/>
      </c>
      <c r="E36" s="14">
        <f>IF(OR(A36="",B36="Income"),"",C36-D36)</f>
        <v/>
      </c>
    </row>
    <row r="37">
      <c r="A37">
        <f>IF(Categories!A36="","",Categories!A36)</f>
        <v/>
      </c>
      <c r="B37">
        <f>IF(Categories!A36="","",Categories!B36)</f>
        <v/>
      </c>
      <c r="C37" s="14">
        <f>IF(A37="","",N(Categories!C36))</f>
        <v/>
      </c>
      <c r="D37" s="14">
        <f>IF(A37="","",SUMIFS(Transactions!$C$5:$C$2004,Transactions!$B$5:$B$2004,A37,Transactions!$A$5:$A$2004,"&gt;="&amp;DATE(Setup!$B$4,$B$3,1),Transactions!$A$5:$A$2004,"&lt;="&amp;EOMONTH(DATE(Setup!$B$4,$B$3,1),0)))</f>
        <v/>
      </c>
      <c r="E37" s="14">
        <f>IF(OR(A37="",B37="Income"),"",C37-D37)</f>
        <v/>
      </c>
    </row>
    <row r="38">
      <c r="A38">
        <f>IF(Categories!A37="","",Categories!A37)</f>
        <v/>
      </c>
      <c r="B38">
        <f>IF(Categories!A37="","",Categories!B37)</f>
        <v/>
      </c>
      <c r="C38" s="14">
        <f>IF(A38="","",N(Categories!C37))</f>
        <v/>
      </c>
      <c r="D38" s="14">
        <f>IF(A38="","",SUMIFS(Transactions!$C$5:$C$2004,Transactions!$B$5:$B$2004,A38,Transactions!$A$5:$A$2004,"&gt;="&amp;DATE(Setup!$B$4,$B$3,1),Transactions!$A$5:$A$2004,"&lt;="&amp;EOMONTH(DATE(Setup!$B$4,$B$3,1),0)))</f>
        <v/>
      </c>
      <c r="E38" s="14">
        <f>IF(OR(A38="",B38="Income"),"",C38-D38)</f>
        <v/>
      </c>
    </row>
    <row r="39">
      <c r="A39">
        <f>IF(Categories!A38="","",Categories!A38)</f>
        <v/>
      </c>
      <c r="B39">
        <f>IF(Categories!A38="","",Categories!B38)</f>
        <v/>
      </c>
      <c r="C39" s="14">
        <f>IF(A39="","",N(Categories!C38))</f>
        <v/>
      </c>
      <c r="D39" s="14">
        <f>IF(A39="","",SUMIFS(Transactions!$C$5:$C$2004,Transactions!$B$5:$B$2004,A39,Transactions!$A$5:$A$2004,"&gt;="&amp;DATE(Setup!$B$4,$B$3,1),Transactions!$A$5:$A$2004,"&lt;="&amp;EOMONTH(DATE(Setup!$B$4,$B$3,1),0)))</f>
        <v/>
      </c>
      <c r="E39" s="14">
        <f>IF(OR(A39="",B39="Income"),"",C39-D39)</f>
        <v/>
      </c>
    </row>
    <row r="40">
      <c r="A40">
        <f>IF(Categories!A39="","",Categories!A39)</f>
        <v/>
      </c>
      <c r="B40">
        <f>IF(Categories!A39="","",Categories!B39)</f>
        <v/>
      </c>
      <c r="C40" s="14">
        <f>IF(A40="","",N(Categories!C39))</f>
        <v/>
      </c>
      <c r="D40" s="14">
        <f>IF(A40="","",SUMIFS(Transactions!$C$5:$C$2004,Transactions!$B$5:$B$2004,A40,Transactions!$A$5:$A$2004,"&gt;="&amp;DATE(Setup!$B$4,$B$3,1),Transactions!$A$5:$A$2004,"&lt;="&amp;EOMONTH(DATE(Setup!$B$4,$B$3,1),0)))</f>
        <v/>
      </c>
      <c r="E40" s="14">
        <f>IF(OR(A40="",B40="Income"),"",C40-D40)</f>
        <v/>
      </c>
    </row>
    <row r="41">
      <c r="A41">
        <f>IF(Categories!A40="","",Categories!A40)</f>
        <v/>
      </c>
      <c r="B41">
        <f>IF(Categories!A40="","",Categories!B40)</f>
        <v/>
      </c>
      <c r="C41" s="14">
        <f>IF(A41="","",N(Categories!C40))</f>
        <v/>
      </c>
      <c r="D41" s="14">
        <f>IF(A41="","",SUMIFS(Transactions!$C$5:$C$2004,Transactions!$B$5:$B$2004,A41,Transactions!$A$5:$A$2004,"&gt;="&amp;DATE(Setup!$B$4,$B$3,1),Transactions!$A$5:$A$2004,"&lt;="&amp;EOMONTH(DATE(Setup!$B$4,$B$3,1),0)))</f>
        <v/>
      </c>
      <c r="E41" s="14">
        <f>IF(OR(A41="",B41="Income"),"",C41-D41)</f>
        <v/>
      </c>
    </row>
    <row r="42">
      <c r="A42">
        <f>IF(Categories!A41="","",Categories!A41)</f>
        <v/>
      </c>
      <c r="B42">
        <f>IF(Categories!A41="","",Categories!B41)</f>
        <v/>
      </c>
      <c r="C42" s="14">
        <f>IF(A42="","",N(Categories!C41))</f>
        <v/>
      </c>
      <c r="D42" s="14">
        <f>IF(A42="","",SUMIFS(Transactions!$C$5:$C$2004,Transactions!$B$5:$B$2004,A42,Transactions!$A$5:$A$2004,"&gt;="&amp;DATE(Setup!$B$4,$B$3,1),Transactions!$A$5:$A$2004,"&lt;="&amp;EOMONTH(DATE(Setup!$B$4,$B$3,1),0)))</f>
        <v/>
      </c>
      <c r="E42" s="14">
        <f>IF(OR(A42="",B42="Income"),"",C42-D42)</f>
        <v/>
      </c>
    </row>
    <row r="43">
      <c r="A43">
        <f>IF(Categories!A42="","",Categories!A42)</f>
        <v/>
      </c>
      <c r="B43">
        <f>IF(Categories!A42="","",Categories!B42)</f>
        <v/>
      </c>
      <c r="C43" s="14">
        <f>IF(A43="","",N(Categories!C42))</f>
        <v/>
      </c>
      <c r="D43" s="14">
        <f>IF(A43="","",SUMIFS(Transactions!$C$5:$C$2004,Transactions!$B$5:$B$2004,A43,Transactions!$A$5:$A$2004,"&gt;="&amp;DATE(Setup!$B$4,$B$3,1),Transactions!$A$5:$A$2004,"&lt;="&amp;EOMONTH(DATE(Setup!$B$4,$B$3,1),0)))</f>
        <v/>
      </c>
      <c r="E43" s="14">
        <f>IF(OR(A43="",B43="Income"),"",C43-D43)</f>
        <v/>
      </c>
    </row>
    <row r="44">
      <c r="A44">
        <f>IF(Categories!A43="","",Categories!A43)</f>
        <v/>
      </c>
      <c r="B44">
        <f>IF(Categories!A43="","",Categories!B43)</f>
        <v/>
      </c>
      <c r="C44" s="14">
        <f>IF(A44="","",N(Categories!C43))</f>
        <v/>
      </c>
      <c r="D44" s="14">
        <f>IF(A44="","",SUMIFS(Transactions!$C$5:$C$2004,Transactions!$B$5:$B$2004,A44,Transactions!$A$5:$A$2004,"&gt;="&amp;DATE(Setup!$B$4,$B$3,1),Transactions!$A$5:$A$2004,"&lt;="&amp;EOMONTH(DATE(Setup!$B$4,$B$3,1),0)))</f>
        <v/>
      </c>
      <c r="E44" s="14">
        <f>IF(OR(A44="",B44="Income"),"",C44-D44)</f>
        <v/>
      </c>
    </row>
    <row r="45">
      <c r="A45">
        <f>IF(Categories!A44="","",Categories!A44)</f>
        <v/>
      </c>
      <c r="B45">
        <f>IF(Categories!A44="","",Categories!B44)</f>
        <v/>
      </c>
      <c r="C45" s="14">
        <f>IF(A45="","",N(Categories!C44))</f>
        <v/>
      </c>
      <c r="D45" s="14">
        <f>IF(A45="","",SUMIFS(Transactions!$C$5:$C$2004,Transactions!$B$5:$B$2004,A45,Transactions!$A$5:$A$2004,"&gt;="&amp;DATE(Setup!$B$4,$B$3,1),Transactions!$A$5:$A$2004,"&lt;="&amp;EOMONTH(DATE(Setup!$B$4,$B$3,1),0)))</f>
        <v/>
      </c>
      <c r="E45" s="14">
        <f>IF(OR(A45="",B45="Income"),"",C45-D45)</f>
        <v/>
      </c>
    </row>
    <row r="47" ht="22" customHeight="1">
      <c r="A47" s="10" t="inlineStr">
        <is>
          <t>Income this month</t>
        </is>
      </c>
      <c r="B47" s="15">
        <f>SUMIFS(D6:D45,B6:B45,"Income")</f>
        <v/>
      </c>
    </row>
    <row r="48" ht="22" customHeight="1">
      <c r="A48" s="10" t="inlineStr">
        <is>
          <t>Spent (needs + wants)</t>
        </is>
      </c>
      <c r="B48" s="15">
        <f>SUMIFS(D6:D45,B6:B45,"Need")+SUMIFS(D6:D45,B6:B45,"Want")</f>
        <v/>
      </c>
    </row>
    <row r="49" ht="22" customHeight="1">
      <c r="A49" s="10" t="inlineStr">
        <is>
          <t>Saved / invested</t>
        </is>
      </c>
      <c r="B49" s="15">
        <f>SUMIFS(D6:D45,B6:B45,"Savings")</f>
        <v/>
      </c>
    </row>
    <row r="50" ht="22" customHeight="1">
      <c r="A50" s="10" t="inlineStr">
        <is>
          <t>Money not yet allocated</t>
        </is>
      </c>
      <c r="B50" s="15">
        <f>B47-B48-B49</f>
        <v/>
      </c>
      <c r="C50" s="16" t="inlineStr">
        <is>
          <t>Positive = extra cash; negative = you spent more than you earned</t>
        </is>
      </c>
    </row>
  </sheetData>
  <mergeCells count="2">
    <mergeCell ref="A2:E2"/>
    <mergeCell ref="A1:E1"/>
  </mergeCells>
  <conditionalFormatting sqref="E6:E45">
    <cfRule type="cellIs" priority="1" operator="lessThan" dxfId="0">
      <formula>0</formula>
    </cfRule>
  </conditionalFormatting>
  <dataValidations count="1">
    <dataValidation sqref="B3" showDropDown="0" showInputMessage="0" showErrorMessage="0" allowBlank="0" type="list">
      <formula1>"1,2,3,4,5,6,7,8,9,10,11,12"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</cols>
  <sheetData>
    <row r="1">
      <c r="A1" s="8" t="inlineStr">
        <is>
          <t>Year Summary</t>
        </is>
      </c>
    </row>
    <row r="2">
      <c r="A2" s="9" t="inlineStr">
        <is>
          <t>Actuals by month from 'Transactions'</t>
        </is>
      </c>
    </row>
    <row r="4">
      <c r="A4" s="17" t="inlineStr">
        <is>
          <t>Category</t>
        </is>
      </c>
      <c r="B4" s="17" t="inlineStr">
        <is>
          <t>Type</t>
        </is>
      </c>
      <c r="C4" s="17" t="inlineStr">
        <is>
          <t>Jan</t>
        </is>
      </c>
      <c r="D4" s="17" t="inlineStr">
        <is>
          <t>Feb</t>
        </is>
      </c>
      <c r="E4" s="17" t="inlineStr">
        <is>
          <t>Mar</t>
        </is>
      </c>
      <c r="F4" s="17" t="inlineStr">
        <is>
          <t>Apr</t>
        </is>
      </c>
      <c r="G4" s="17" t="inlineStr">
        <is>
          <t>May</t>
        </is>
      </c>
      <c r="H4" s="17" t="inlineStr">
        <is>
          <t>Jun</t>
        </is>
      </c>
      <c r="I4" s="17" t="inlineStr">
        <is>
          <t>Jul</t>
        </is>
      </c>
      <c r="J4" s="17" t="inlineStr">
        <is>
          <t>Aug</t>
        </is>
      </c>
      <c r="K4" s="17" t="inlineStr">
        <is>
          <t>Sep</t>
        </is>
      </c>
      <c r="L4" s="17" t="inlineStr">
        <is>
          <t>Oct</t>
        </is>
      </c>
      <c r="M4" s="17" t="inlineStr">
        <is>
          <t>Nov</t>
        </is>
      </c>
      <c r="N4" s="17" t="inlineStr">
        <is>
          <t>Dec</t>
        </is>
      </c>
      <c r="O4" s="17" t="inlineStr">
        <is>
          <t>Total</t>
        </is>
      </c>
    </row>
    <row r="5">
      <c r="A5">
        <f>IF(Categories!A5="","",Categories!A5)</f>
        <v/>
      </c>
      <c r="B5">
        <f>IF(Categories!A5="","",Categories!B5)</f>
        <v/>
      </c>
      <c r="C5" s="18">
        <f>IF($A5="","",SUMIFS(Transactions!$C$5:$C$2004,Transactions!$B$5:$B$2004,$A5,Transactions!$A$5:$A$2004,"&gt;="&amp;DATE(Setup!$B$4,1,1),Transactions!$A$5:$A$2004,"&lt;="&amp;EOMONTH(DATE(Setup!$B$4,1,1),0)))</f>
        <v/>
      </c>
      <c r="D5" s="18">
        <f>IF($A5="","",SUMIFS(Transactions!$C$5:$C$2004,Transactions!$B$5:$B$2004,$A5,Transactions!$A$5:$A$2004,"&gt;="&amp;DATE(Setup!$B$4,2,1),Transactions!$A$5:$A$2004,"&lt;="&amp;EOMONTH(DATE(Setup!$B$4,2,1),0)))</f>
        <v/>
      </c>
      <c r="E5" s="18">
        <f>IF($A5="","",SUMIFS(Transactions!$C$5:$C$2004,Transactions!$B$5:$B$2004,$A5,Transactions!$A$5:$A$2004,"&gt;="&amp;DATE(Setup!$B$4,3,1),Transactions!$A$5:$A$2004,"&lt;="&amp;EOMONTH(DATE(Setup!$B$4,3,1),0)))</f>
        <v/>
      </c>
      <c r="F5" s="18">
        <f>IF($A5="","",SUMIFS(Transactions!$C$5:$C$2004,Transactions!$B$5:$B$2004,$A5,Transactions!$A$5:$A$2004,"&gt;="&amp;DATE(Setup!$B$4,4,1),Transactions!$A$5:$A$2004,"&lt;="&amp;EOMONTH(DATE(Setup!$B$4,4,1),0)))</f>
        <v/>
      </c>
      <c r="G5" s="18">
        <f>IF($A5="","",SUMIFS(Transactions!$C$5:$C$2004,Transactions!$B$5:$B$2004,$A5,Transactions!$A$5:$A$2004,"&gt;="&amp;DATE(Setup!$B$4,5,1),Transactions!$A$5:$A$2004,"&lt;="&amp;EOMONTH(DATE(Setup!$B$4,5,1),0)))</f>
        <v/>
      </c>
      <c r="H5" s="18">
        <f>IF($A5="","",SUMIFS(Transactions!$C$5:$C$2004,Transactions!$B$5:$B$2004,$A5,Transactions!$A$5:$A$2004,"&gt;="&amp;DATE(Setup!$B$4,6,1),Transactions!$A$5:$A$2004,"&lt;="&amp;EOMONTH(DATE(Setup!$B$4,6,1),0)))</f>
        <v/>
      </c>
      <c r="I5" s="18">
        <f>IF($A5="","",SUMIFS(Transactions!$C$5:$C$2004,Transactions!$B$5:$B$2004,$A5,Transactions!$A$5:$A$2004,"&gt;="&amp;DATE(Setup!$B$4,7,1),Transactions!$A$5:$A$2004,"&lt;="&amp;EOMONTH(DATE(Setup!$B$4,7,1),0)))</f>
        <v/>
      </c>
      <c r="J5" s="18">
        <f>IF($A5="","",SUMIFS(Transactions!$C$5:$C$2004,Transactions!$B$5:$B$2004,$A5,Transactions!$A$5:$A$2004,"&gt;="&amp;DATE(Setup!$B$4,8,1),Transactions!$A$5:$A$2004,"&lt;="&amp;EOMONTH(DATE(Setup!$B$4,8,1),0)))</f>
        <v/>
      </c>
      <c r="K5" s="18">
        <f>IF($A5="","",SUMIFS(Transactions!$C$5:$C$2004,Transactions!$B$5:$B$2004,$A5,Transactions!$A$5:$A$2004,"&gt;="&amp;DATE(Setup!$B$4,9,1),Transactions!$A$5:$A$2004,"&lt;="&amp;EOMONTH(DATE(Setup!$B$4,9,1),0)))</f>
        <v/>
      </c>
      <c r="L5" s="18">
        <f>IF($A5="","",SUMIFS(Transactions!$C$5:$C$2004,Transactions!$B$5:$B$2004,$A5,Transactions!$A$5:$A$2004,"&gt;="&amp;DATE(Setup!$B$4,10,1),Transactions!$A$5:$A$2004,"&lt;="&amp;EOMONTH(DATE(Setup!$B$4,10,1),0)))</f>
        <v/>
      </c>
      <c r="M5" s="18">
        <f>IF($A5="","",SUMIFS(Transactions!$C$5:$C$2004,Transactions!$B$5:$B$2004,$A5,Transactions!$A$5:$A$2004,"&gt;="&amp;DATE(Setup!$B$4,11,1),Transactions!$A$5:$A$2004,"&lt;="&amp;EOMONTH(DATE(Setup!$B$4,11,1),0)))</f>
        <v/>
      </c>
      <c r="N5" s="18">
        <f>IF($A5="","",SUMIFS(Transactions!$C$5:$C$2004,Transactions!$B$5:$B$2004,$A5,Transactions!$A$5:$A$2004,"&gt;="&amp;DATE(Setup!$B$4,12,1),Transactions!$A$5:$A$2004,"&lt;="&amp;EOMONTH(DATE(Setup!$B$4,12,1),0)))</f>
        <v/>
      </c>
      <c r="O5" s="18">
        <f>IF($A5="","",SUM(C5:N5))</f>
        <v/>
      </c>
    </row>
    <row r="6">
      <c r="A6">
        <f>IF(Categories!A6="","",Categories!A6)</f>
        <v/>
      </c>
      <c r="B6">
        <f>IF(Categories!A6="","",Categories!B6)</f>
        <v/>
      </c>
      <c r="C6" s="18">
        <f>IF($A6="","",SUMIFS(Transactions!$C$5:$C$2004,Transactions!$B$5:$B$2004,$A6,Transactions!$A$5:$A$2004,"&gt;="&amp;DATE(Setup!$B$4,1,1),Transactions!$A$5:$A$2004,"&lt;="&amp;EOMONTH(DATE(Setup!$B$4,1,1),0)))</f>
        <v/>
      </c>
      <c r="D6" s="18">
        <f>IF($A6="","",SUMIFS(Transactions!$C$5:$C$2004,Transactions!$B$5:$B$2004,$A6,Transactions!$A$5:$A$2004,"&gt;="&amp;DATE(Setup!$B$4,2,1),Transactions!$A$5:$A$2004,"&lt;="&amp;EOMONTH(DATE(Setup!$B$4,2,1),0)))</f>
        <v/>
      </c>
      <c r="E6" s="18">
        <f>IF($A6="","",SUMIFS(Transactions!$C$5:$C$2004,Transactions!$B$5:$B$2004,$A6,Transactions!$A$5:$A$2004,"&gt;="&amp;DATE(Setup!$B$4,3,1),Transactions!$A$5:$A$2004,"&lt;="&amp;EOMONTH(DATE(Setup!$B$4,3,1),0)))</f>
        <v/>
      </c>
      <c r="F6" s="18">
        <f>IF($A6="","",SUMIFS(Transactions!$C$5:$C$2004,Transactions!$B$5:$B$2004,$A6,Transactions!$A$5:$A$2004,"&gt;="&amp;DATE(Setup!$B$4,4,1),Transactions!$A$5:$A$2004,"&lt;="&amp;EOMONTH(DATE(Setup!$B$4,4,1),0)))</f>
        <v/>
      </c>
      <c r="G6" s="18">
        <f>IF($A6="","",SUMIFS(Transactions!$C$5:$C$2004,Transactions!$B$5:$B$2004,$A6,Transactions!$A$5:$A$2004,"&gt;="&amp;DATE(Setup!$B$4,5,1),Transactions!$A$5:$A$2004,"&lt;="&amp;EOMONTH(DATE(Setup!$B$4,5,1),0)))</f>
        <v/>
      </c>
      <c r="H6" s="18">
        <f>IF($A6="","",SUMIFS(Transactions!$C$5:$C$2004,Transactions!$B$5:$B$2004,$A6,Transactions!$A$5:$A$2004,"&gt;="&amp;DATE(Setup!$B$4,6,1),Transactions!$A$5:$A$2004,"&lt;="&amp;EOMONTH(DATE(Setup!$B$4,6,1),0)))</f>
        <v/>
      </c>
      <c r="I6" s="18">
        <f>IF($A6="","",SUMIFS(Transactions!$C$5:$C$2004,Transactions!$B$5:$B$2004,$A6,Transactions!$A$5:$A$2004,"&gt;="&amp;DATE(Setup!$B$4,7,1),Transactions!$A$5:$A$2004,"&lt;="&amp;EOMONTH(DATE(Setup!$B$4,7,1),0)))</f>
        <v/>
      </c>
      <c r="J6" s="18">
        <f>IF($A6="","",SUMIFS(Transactions!$C$5:$C$2004,Transactions!$B$5:$B$2004,$A6,Transactions!$A$5:$A$2004,"&gt;="&amp;DATE(Setup!$B$4,8,1),Transactions!$A$5:$A$2004,"&lt;="&amp;EOMONTH(DATE(Setup!$B$4,8,1),0)))</f>
        <v/>
      </c>
      <c r="K6" s="18">
        <f>IF($A6="","",SUMIFS(Transactions!$C$5:$C$2004,Transactions!$B$5:$B$2004,$A6,Transactions!$A$5:$A$2004,"&gt;="&amp;DATE(Setup!$B$4,9,1),Transactions!$A$5:$A$2004,"&lt;="&amp;EOMONTH(DATE(Setup!$B$4,9,1),0)))</f>
        <v/>
      </c>
      <c r="L6" s="18">
        <f>IF($A6="","",SUMIFS(Transactions!$C$5:$C$2004,Transactions!$B$5:$B$2004,$A6,Transactions!$A$5:$A$2004,"&gt;="&amp;DATE(Setup!$B$4,10,1),Transactions!$A$5:$A$2004,"&lt;="&amp;EOMONTH(DATE(Setup!$B$4,10,1),0)))</f>
        <v/>
      </c>
      <c r="M6" s="18">
        <f>IF($A6="","",SUMIFS(Transactions!$C$5:$C$2004,Transactions!$B$5:$B$2004,$A6,Transactions!$A$5:$A$2004,"&gt;="&amp;DATE(Setup!$B$4,11,1),Transactions!$A$5:$A$2004,"&lt;="&amp;EOMONTH(DATE(Setup!$B$4,11,1),0)))</f>
        <v/>
      </c>
      <c r="N6" s="18">
        <f>IF($A6="","",SUMIFS(Transactions!$C$5:$C$2004,Transactions!$B$5:$B$2004,$A6,Transactions!$A$5:$A$2004,"&gt;="&amp;DATE(Setup!$B$4,12,1),Transactions!$A$5:$A$2004,"&lt;="&amp;EOMONTH(DATE(Setup!$B$4,12,1),0)))</f>
        <v/>
      </c>
      <c r="O6" s="18">
        <f>IF($A6="","",SUM(C6:N6))</f>
        <v/>
      </c>
    </row>
    <row r="7">
      <c r="A7">
        <f>IF(Categories!A7="","",Categories!A7)</f>
        <v/>
      </c>
      <c r="B7">
        <f>IF(Categories!A7="","",Categories!B7)</f>
        <v/>
      </c>
      <c r="C7" s="18">
        <f>IF($A7="","",SUMIFS(Transactions!$C$5:$C$2004,Transactions!$B$5:$B$2004,$A7,Transactions!$A$5:$A$2004,"&gt;="&amp;DATE(Setup!$B$4,1,1),Transactions!$A$5:$A$2004,"&lt;="&amp;EOMONTH(DATE(Setup!$B$4,1,1),0)))</f>
        <v/>
      </c>
      <c r="D7" s="18">
        <f>IF($A7="","",SUMIFS(Transactions!$C$5:$C$2004,Transactions!$B$5:$B$2004,$A7,Transactions!$A$5:$A$2004,"&gt;="&amp;DATE(Setup!$B$4,2,1),Transactions!$A$5:$A$2004,"&lt;="&amp;EOMONTH(DATE(Setup!$B$4,2,1),0)))</f>
        <v/>
      </c>
      <c r="E7" s="18">
        <f>IF($A7="","",SUMIFS(Transactions!$C$5:$C$2004,Transactions!$B$5:$B$2004,$A7,Transactions!$A$5:$A$2004,"&gt;="&amp;DATE(Setup!$B$4,3,1),Transactions!$A$5:$A$2004,"&lt;="&amp;EOMONTH(DATE(Setup!$B$4,3,1),0)))</f>
        <v/>
      </c>
      <c r="F7" s="18">
        <f>IF($A7="","",SUMIFS(Transactions!$C$5:$C$2004,Transactions!$B$5:$B$2004,$A7,Transactions!$A$5:$A$2004,"&gt;="&amp;DATE(Setup!$B$4,4,1),Transactions!$A$5:$A$2004,"&lt;="&amp;EOMONTH(DATE(Setup!$B$4,4,1),0)))</f>
        <v/>
      </c>
      <c r="G7" s="18">
        <f>IF($A7="","",SUMIFS(Transactions!$C$5:$C$2004,Transactions!$B$5:$B$2004,$A7,Transactions!$A$5:$A$2004,"&gt;="&amp;DATE(Setup!$B$4,5,1),Transactions!$A$5:$A$2004,"&lt;="&amp;EOMONTH(DATE(Setup!$B$4,5,1),0)))</f>
        <v/>
      </c>
      <c r="H7" s="18">
        <f>IF($A7="","",SUMIFS(Transactions!$C$5:$C$2004,Transactions!$B$5:$B$2004,$A7,Transactions!$A$5:$A$2004,"&gt;="&amp;DATE(Setup!$B$4,6,1),Transactions!$A$5:$A$2004,"&lt;="&amp;EOMONTH(DATE(Setup!$B$4,6,1),0)))</f>
        <v/>
      </c>
      <c r="I7" s="18">
        <f>IF($A7="","",SUMIFS(Transactions!$C$5:$C$2004,Transactions!$B$5:$B$2004,$A7,Transactions!$A$5:$A$2004,"&gt;="&amp;DATE(Setup!$B$4,7,1),Transactions!$A$5:$A$2004,"&lt;="&amp;EOMONTH(DATE(Setup!$B$4,7,1),0)))</f>
        <v/>
      </c>
      <c r="J7" s="18">
        <f>IF($A7="","",SUMIFS(Transactions!$C$5:$C$2004,Transactions!$B$5:$B$2004,$A7,Transactions!$A$5:$A$2004,"&gt;="&amp;DATE(Setup!$B$4,8,1),Transactions!$A$5:$A$2004,"&lt;="&amp;EOMONTH(DATE(Setup!$B$4,8,1),0)))</f>
        <v/>
      </c>
      <c r="K7" s="18">
        <f>IF($A7="","",SUMIFS(Transactions!$C$5:$C$2004,Transactions!$B$5:$B$2004,$A7,Transactions!$A$5:$A$2004,"&gt;="&amp;DATE(Setup!$B$4,9,1),Transactions!$A$5:$A$2004,"&lt;="&amp;EOMONTH(DATE(Setup!$B$4,9,1),0)))</f>
        <v/>
      </c>
      <c r="L7" s="18">
        <f>IF($A7="","",SUMIFS(Transactions!$C$5:$C$2004,Transactions!$B$5:$B$2004,$A7,Transactions!$A$5:$A$2004,"&gt;="&amp;DATE(Setup!$B$4,10,1),Transactions!$A$5:$A$2004,"&lt;="&amp;EOMONTH(DATE(Setup!$B$4,10,1),0)))</f>
        <v/>
      </c>
      <c r="M7" s="18">
        <f>IF($A7="","",SUMIFS(Transactions!$C$5:$C$2004,Transactions!$B$5:$B$2004,$A7,Transactions!$A$5:$A$2004,"&gt;="&amp;DATE(Setup!$B$4,11,1),Transactions!$A$5:$A$2004,"&lt;="&amp;EOMONTH(DATE(Setup!$B$4,11,1),0)))</f>
        <v/>
      </c>
      <c r="N7" s="18">
        <f>IF($A7="","",SUMIFS(Transactions!$C$5:$C$2004,Transactions!$B$5:$B$2004,$A7,Transactions!$A$5:$A$2004,"&gt;="&amp;DATE(Setup!$B$4,12,1),Transactions!$A$5:$A$2004,"&lt;="&amp;EOMONTH(DATE(Setup!$B$4,12,1),0)))</f>
        <v/>
      </c>
      <c r="O7" s="18">
        <f>IF($A7="","",SUM(C7:N7))</f>
        <v/>
      </c>
    </row>
    <row r="8">
      <c r="A8">
        <f>IF(Categories!A8="","",Categories!A8)</f>
        <v/>
      </c>
      <c r="B8">
        <f>IF(Categories!A8="","",Categories!B8)</f>
        <v/>
      </c>
      <c r="C8" s="18">
        <f>IF($A8="","",SUMIFS(Transactions!$C$5:$C$2004,Transactions!$B$5:$B$2004,$A8,Transactions!$A$5:$A$2004,"&gt;="&amp;DATE(Setup!$B$4,1,1),Transactions!$A$5:$A$2004,"&lt;="&amp;EOMONTH(DATE(Setup!$B$4,1,1),0)))</f>
        <v/>
      </c>
      <c r="D8" s="18">
        <f>IF($A8="","",SUMIFS(Transactions!$C$5:$C$2004,Transactions!$B$5:$B$2004,$A8,Transactions!$A$5:$A$2004,"&gt;="&amp;DATE(Setup!$B$4,2,1),Transactions!$A$5:$A$2004,"&lt;="&amp;EOMONTH(DATE(Setup!$B$4,2,1),0)))</f>
        <v/>
      </c>
      <c r="E8" s="18">
        <f>IF($A8="","",SUMIFS(Transactions!$C$5:$C$2004,Transactions!$B$5:$B$2004,$A8,Transactions!$A$5:$A$2004,"&gt;="&amp;DATE(Setup!$B$4,3,1),Transactions!$A$5:$A$2004,"&lt;="&amp;EOMONTH(DATE(Setup!$B$4,3,1),0)))</f>
        <v/>
      </c>
      <c r="F8" s="18">
        <f>IF($A8="","",SUMIFS(Transactions!$C$5:$C$2004,Transactions!$B$5:$B$2004,$A8,Transactions!$A$5:$A$2004,"&gt;="&amp;DATE(Setup!$B$4,4,1),Transactions!$A$5:$A$2004,"&lt;="&amp;EOMONTH(DATE(Setup!$B$4,4,1),0)))</f>
        <v/>
      </c>
      <c r="G8" s="18">
        <f>IF($A8="","",SUMIFS(Transactions!$C$5:$C$2004,Transactions!$B$5:$B$2004,$A8,Transactions!$A$5:$A$2004,"&gt;="&amp;DATE(Setup!$B$4,5,1),Transactions!$A$5:$A$2004,"&lt;="&amp;EOMONTH(DATE(Setup!$B$4,5,1),0)))</f>
        <v/>
      </c>
      <c r="H8" s="18">
        <f>IF($A8="","",SUMIFS(Transactions!$C$5:$C$2004,Transactions!$B$5:$B$2004,$A8,Transactions!$A$5:$A$2004,"&gt;="&amp;DATE(Setup!$B$4,6,1),Transactions!$A$5:$A$2004,"&lt;="&amp;EOMONTH(DATE(Setup!$B$4,6,1),0)))</f>
        <v/>
      </c>
      <c r="I8" s="18">
        <f>IF($A8="","",SUMIFS(Transactions!$C$5:$C$2004,Transactions!$B$5:$B$2004,$A8,Transactions!$A$5:$A$2004,"&gt;="&amp;DATE(Setup!$B$4,7,1),Transactions!$A$5:$A$2004,"&lt;="&amp;EOMONTH(DATE(Setup!$B$4,7,1),0)))</f>
        <v/>
      </c>
      <c r="J8" s="18">
        <f>IF($A8="","",SUMIFS(Transactions!$C$5:$C$2004,Transactions!$B$5:$B$2004,$A8,Transactions!$A$5:$A$2004,"&gt;="&amp;DATE(Setup!$B$4,8,1),Transactions!$A$5:$A$2004,"&lt;="&amp;EOMONTH(DATE(Setup!$B$4,8,1),0)))</f>
        <v/>
      </c>
      <c r="K8" s="18">
        <f>IF($A8="","",SUMIFS(Transactions!$C$5:$C$2004,Transactions!$B$5:$B$2004,$A8,Transactions!$A$5:$A$2004,"&gt;="&amp;DATE(Setup!$B$4,9,1),Transactions!$A$5:$A$2004,"&lt;="&amp;EOMONTH(DATE(Setup!$B$4,9,1),0)))</f>
        <v/>
      </c>
      <c r="L8" s="18">
        <f>IF($A8="","",SUMIFS(Transactions!$C$5:$C$2004,Transactions!$B$5:$B$2004,$A8,Transactions!$A$5:$A$2004,"&gt;="&amp;DATE(Setup!$B$4,10,1),Transactions!$A$5:$A$2004,"&lt;="&amp;EOMONTH(DATE(Setup!$B$4,10,1),0)))</f>
        <v/>
      </c>
      <c r="M8" s="18">
        <f>IF($A8="","",SUMIFS(Transactions!$C$5:$C$2004,Transactions!$B$5:$B$2004,$A8,Transactions!$A$5:$A$2004,"&gt;="&amp;DATE(Setup!$B$4,11,1),Transactions!$A$5:$A$2004,"&lt;="&amp;EOMONTH(DATE(Setup!$B$4,11,1),0)))</f>
        <v/>
      </c>
      <c r="N8" s="18">
        <f>IF($A8="","",SUMIFS(Transactions!$C$5:$C$2004,Transactions!$B$5:$B$2004,$A8,Transactions!$A$5:$A$2004,"&gt;="&amp;DATE(Setup!$B$4,12,1),Transactions!$A$5:$A$2004,"&lt;="&amp;EOMONTH(DATE(Setup!$B$4,12,1),0)))</f>
        <v/>
      </c>
      <c r="O8" s="18">
        <f>IF($A8="","",SUM(C8:N8))</f>
        <v/>
      </c>
    </row>
    <row r="9">
      <c r="A9">
        <f>IF(Categories!A9="","",Categories!A9)</f>
        <v/>
      </c>
      <c r="B9">
        <f>IF(Categories!A9="","",Categories!B9)</f>
        <v/>
      </c>
      <c r="C9" s="18">
        <f>IF($A9="","",SUMIFS(Transactions!$C$5:$C$2004,Transactions!$B$5:$B$2004,$A9,Transactions!$A$5:$A$2004,"&gt;="&amp;DATE(Setup!$B$4,1,1),Transactions!$A$5:$A$2004,"&lt;="&amp;EOMONTH(DATE(Setup!$B$4,1,1),0)))</f>
        <v/>
      </c>
      <c r="D9" s="18">
        <f>IF($A9="","",SUMIFS(Transactions!$C$5:$C$2004,Transactions!$B$5:$B$2004,$A9,Transactions!$A$5:$A$2004,"&gt;="&amp;DATE(Setup!$B$4,2,1),Transactions!$A$5:$A$2004,"&lt;="&amp;EOMONTH(DATE(Setup!$B$4,2,1),0)))</f>
        <v/>
      </c>
      <c r="E9" s="18">
        <f>IF($A9="","",SUMIFS(Transactions!$C$5:$C$2004,Transactions!$B$5:$B$2004,$A9,Transactions!$A$5:$A$2004,"&gt;="&amp;DATE(Setup!$B$4,3,1),Transactions!$A$5:$A$2004,"&lt;="&amp;EOMONTH(DATE(Setup!$B$4,3,1),0)))</f>
        <v/>
      </c>
      <c r="F9" s="18">
        <f>IF($A9="","",SUMIFS(Transactions!$C$5:$C$2004,Transactions!$B$5:$B$2004,$A9,Transactions!$A$5:$A$2004,"&gt;="&amp;DATE(Setup!$B$4,4,1),Transactions!$A$5:$A$2004,"&lt;="&amp;EOMONTH(DATE(Setup!$B$4,4,1),0)))</f>
        <v/>
      </c>
      <c r="G9" s="18">
        <f>IF($A9="","",SUMIFS(Transactions!$C$5:$C$2004,Transactions!$B$5:$B$2004,$A9,Transactions!$A$5:$A$2004,"&gt;="&amp;DATE(Setup!$B$4,5,1),Transactions!$A$5:$A$2004,"&lt;="&amp;EOMONTH(DATE(Setup!$B$4,5,1),0)))</f>
        <v/>
      </c>
      <c r="H9" s="18">
        <f>IF($A9="","",SUMIFS(Transactions!$C$5:$C$2004,Transactions!$B$5:$B$2004,$A9,Transactions!$A$5:$A$2004,"&gt;="&amp;DATE(Setup!$B$4,6,1),Transactions!$A$5:$A$2004,"&lt;="&amp;EOMONTH(DATE(Setup!$B$4,6,1),0)))</f>
        <v/>
      </c>
      <c r="I9" s="18">
        <f>IF($A9="","",SUMIFS(Transactions!$C$5:$C$2004,Transactions!$B$5:$B$2004,$A9,Transactions!$A$5:$A$2004,"&gt;="&amp;DATE(Setup!$B$4,7,1),Transactions!$A$5:$A$2004,"&lt;="&amp;EOMONTH(DATE(Setup!$B$4,7,1),0)))</f>
        <v/>
      </c>
      <c r="J9" s="18">
        <f>IF($A9="","",SUMIFS(Transactions!$C$5:$C$2004,Transactions!$B$5:$B$2004,$A9,Transactions!$A$5:$A$2004,"&gt;="&amp;DATE(Setup!$B$4,8,1),Transactions!$A$5:$A$2004,"&lt;="&amp;EOMONTH(DATE(Setup!$B$4,8,1),0)))</f>
        <v/>
      </c>
      <c r="K9" s="18">
        <f>IF($A9="","",SUMIFS(Transactions!$C$5:$C$2004,Transactions!$B$5:$B$2004,$A9,Transactions!$A$5:$A$2004,"&gt;="&amp;DATE(Setup!$B$4,9,1),Transactions!$A$5:$A$2004,"&lt;="&amp;EOMONTH(DATE(Setup!$B$4,9,1),0)))</f>
        <v/>
      </c>
      <c r="L9" s="18">
        <f>IF($A9="","",SUMIFS(Transactions!$C$5:$C$2004,Transactions!$B$5:$B$2004,$A9,Transactions!$A$5:$A$2004,"&gt;="&amp;DATE(Setup!$B$4,10,1),Transactions!$A$5:$A$2004,"&lt;="&amp;EOMONTH(DATE(Setup!$B$4,10,1),0)))</f>
        <v/>
      </c>
      <c r="M9" s="18">
        <f>IF($A9="","",SUMIFS(Transactions!$C$5:$C$2004,Transactions!$B$5:$B$2004,$A9,Transactions!$A$5:$A$2004,"&gt;="&amp;DATE(Setup!$B$4,11,1),Transactions!$A$5:$A$2004,"&lt;="&amp;EOMONTH(DATE(Setup!$B$4,11,1),0)))</f>
        <v/>
      </c>
      <c r="N9" s="18">
        <f>IF($A9="","",SUMIFS(Transactions!$C$5:$C$2004,Transactions!$B$5:$B$2004,$A9,Transactions!$A$5:$A$2004,"&gt;="&amp;DATE(Setup!$B$4,12,1),Transactions!$A$5:$A$2004,"&lt;="&amp;EOMONTH(DATE(Setup!$B$4,12,1),0)))</f>
        <v/>
      </c>
      <c r="O9" s="18">
        <f>IF($A9="","",SUM(C9:N9))</f>
        <v/>
      </c>
    </row>
    <row r="10">
      <c r="A10">
        <f>IF(Categories!A10="","",Categories!A10)</f>
        <v/>
      </c>
      <c r="B10">
        <f>IF(Categories!A10="","",Categories!B10)</f>
        <v/>
      </c>
      <c r="C10" s="18">
        <f>IF($A10="","",SUMIFS(Transactions!$C$5:$C$2004,Transactions!$B$5:$B$2004,$A10,Transactions!$A$5:$A$2004,"&gt;="&amp;DATE(Setup!$B$4,1,1),Transactions!$A$5:$A$2004,"&lt;="&amp;EOMONTH(DATE(Setup!$B$4,1,1),0)))</f>
        <v/>
      </c>
      <c r="D10" s="18">
        <f>IF($A10="","",SUMIFS(Transactions!$C$5:$C$2004,Transactions!$B$5:$B$2004,$A10,Transactions!$A$5:$A$2004,"&gt;="&amp;DATE(Setup!$B$4,2,1),Transactions!$A$5:$A$2004,"&lt;="&amp;EOMONTH(DATE(Setup!$B$4,2,1),0)))</f>
        <v/>
      </c>
      <c r="E10" s="18">
        <f>IF($A10="","",SUMIFS(Transactions!$C$5:$C$2004,Transactions!$B$5:$B$2004,$A10,Transactions!$A$5:$A$2004,"&gt;="&amp;DATE(Setup!$B$4,3,1),Transactions!$A$5:$A$2004,"&lt;="&amp;EOMONTH(DATE(Setup!$B$4,3,1),0)))</f>
        <v/>
      </c>
      <c r="F10" s="18">
        <f>IF($A10="","",SUMIFS(Transactions!$C$5:$C$2004,Transactions!$B$5:$B$2004,$A10,Transactions!$A$5:$A$2004,"&gt;="&amp;DATE(Setup!$B$4,4,1),Transactions!$A$5:$A$2004,"&lt;="&amp;EOMONTH(DATE(Setup!$B$4,4,1),0)))</f>
        <v/>
      </c>
      <c r="G10" s="18">
        <f>IF($A10="","",SUMIFS(Transactions!$C$5:$C$2004,Transactions!$B$5:$B$2004,$A10,Transactions!$A$5:$A$2004,"&gt;="&amp;DATE(Setup!$B$4,5,1),Transactions!$A$5:$A$2004,"&lt;="&amp;EOMONTH(DATE(Setup!$B$4,5,1),0)))</f>
        <v/>
      </c>
      <c r="H10" s="18">
        <f>IF($A10="","",SUMIFS(Transactions!$C$5:$C$2004,Transactions!$B$5:$B$2004,$A10,Transactions!$A$5:$A$2004,"&gt;="&amp;DATE(Setup!$B$4,6,1),Transactions!$A$5:$A$2004,"&lt;="&amp;EOMONTH(DATE(Setup!$B$4,6,1),0)))</f>
        <v/>
      </c>
      <c r="I10" s="18">
        <f>IF($A10="","",SUMIFS(Transactions!$C$5:$C$2004,Transactions!$B$5:$B$2004,$A10,Transactions!$A$5:$A$2004,"&gt;="&amp;DATE(Setup!$B$4,7,1),Transactions!$A$5:$A$2004,"&lt;="&amp;EOMONTH(DATE(Setup!$B$4,7,1),0)))</f>
        <v/>
      </c>
      <c r="J10" s="18">
        <f>IF($A10="","",SUMIFS(Transactions!$C$5:$C$2004,Transactions!$B$5:$B$2004,$A10,Transactions!$A$5:$A$2004,"&gt;="&amp;DATE(Setup!$B$4,8,1),Transactions!$A$5:$A$2004,"&lt;="&amp;EOMONTH(DATE(Setup!$B$4,8,1),0)))</f>
        <v/>
      </c>
      <c r="K10" s="18">
        <f>IF($A10="","",SUMIFS(Transactions!$C$5:$C$2004,Transactions!$B$5:$B$2004,$A10,Transactions!$A$5:$A$2004,"&gt;="&amp;DATE(Setup!$B$4,9,1),Transactions!$A$5:$A$2004,"&lt;="&amp;EOMONTH(DATE(Setup!$B$4,9,1),0)))</f>
        <v/>
      </c>
      <c r="L10" s="18">
        <f>IF($A10="","",SUMIFS(Transactions!$C$5:$C$2004,Transactions!$B$5:$B$2004,$A10,Transactions!$A$5:$A$2004,"&gt;="&amp;DATE(Setup!$B$4,10,1),Transactions!$A$5:$A$2004,"&lt;="&amp;EOMONTH(DATE(Setup!$B$4,10,1),0)))</f>
        <v/>
      </c>
      <c r="M10" s="18">
        <f>IF($A10="","",SUMIFS(Transactions!$C$5:$C$2004,Transactions!$B$5:$B$2004,$A10,Transactions!$A$5:$A$2004,"&gt;="&amp;DATE(Setup!$B$4,11,1),Transactions!$A$5:$A$2004,"&lt;="&amp;EOMONTH(DATE(Setup!$B$4,11,1),0)))</f>
        <v/>
      </c>
      <c r="N10" s="18">
        <f>IF($A10="","",SUMIFS(Transactions!$C$5:$C$2004,Transactions!$B$5:$B$2004,$A10,Transactions!$A$5:$A$2004,"&gt;="&amp;DATE(Setup!$B$4,12,1),Transactions!$A$5:$A$2004,"&lt;="&amp;EOMONTH(DATE(Setup!$B$4,12,1),0)))</f>
        <v/>
      </c>
      <c r="O10" s="18">
        <f>IF($A10="","",SUM(C10:N10))</f>
        <v/>
      </c>
    </row>
    <row r="11">
      <c r="A11">
        <f>IF(Categories!A11="","",Categories!A11)</f>
        <v/>
      </c>
      <c r="B11">
        <f>IF(Categories!A11="","",Categories!B11)</f>
        <v/>
      </c>
      <c r="C11" s="18">
        <f>IF($A11="","",SUMIFS(Transactions!$C$5:$C$2004,Transactions!$B$5:$B$2004,$A11,Transactions!$A$5:$A$2004,"&gt;="&amp;DATE(Setup!$B$4,1,1),Transactions!$A$5:$A$2004,"&lt;="&amp;EOMONTH(DATE(Setup!$B$4,1,1),0)))</f>
        <v/>
      </c>
      <c r="D11" s="18">
        <f>IF($A11="","",SUMIFS(Transactions!$C$5:$C$2004,Transactions!$B$5:$B$2004,$A11,Transactions!$A$5:$A$2004,"&gt;="&amp;DATE(Setup!$B$4,2,1),Transactions!$A$5:$A$2004,"&lt;="&amp;EOMONTH(DATE(Setup!$B$4,2,1),0)))</f>
        <v/>
      </c>
      <c r="E11" s="18">
        <f>IF($A11="","",SUMIFS(Transactions!$C$5:$C$2004,Transactions!$B$5:$B$2004,$A11,Transactions!$A$5:$A$2004,"&gt;="&amp;DATE(Setup!$B$4,3,1),Transactions!$A$5:$A$2004,"&lt;="&amp;EOMONTH(DATE(Setup!$B$4,3,1),0)))</f>
        <v/>
      </c>
      <c r="F11" s="18">
        <f>IF($A11="","",SUMIFS(Transactions!$C$5:$C$2004,Transactions!$B$5:$B$2004,$A11,Transactions!$A$5:$A$2004,"&gt;="&amp;DATE(Setup!$B$4,4,1),Transactions!$A$5:$A$2004,"&lt;="&amp;EOMONTH(DATE(Setup!$B$4,4,1),0)))</f>
        <v/>
      </c>
      <c r="G11" s="18">
        <f>IF($A11="","",SUMIFS(Transactions!$C$5:$C$2004,Transactions!$B$5:$B$2004,$A11,Transactions!$A$5:$A$2004,"&gt;="&amp;DATE(Setup!$B$4,5,1),Transactions!$A$5:$A$2004,"&lt;="&amp;EOMONTH(DATE(Setup!$B$4,5,1),0)))</f>
        <v/>
      </c>
      <c r="H11" s="18">
        <f>IF($A11="","",SUMIFS(Transactions!$C$5:$C$2004,Transactions!$B$5:$B$2004,$A11,Transactions!$A$5:$A$2004,"&gt;="&amp;DATE(Setup!$B$4,6,1),Transactions!$A$5:$A$2004,"&lt;="&amp;EOMONTH(DATE(Setup!$B$4,6,1),0)))</f>
        <v/>
      </c>
      <c r="I11" s="18">
        <f>IF($A11="","",SUMIFS(Transactions!$C$5:$C$2004,Transactions!$B$5:$B$2004,$A11,Transactions!$A$5:$A$2004,"&gt;="&amp;DATE(Setup!$B$4,7,1),Transactions!$A$5:$A$2004,"&lt;="&amp;EOMONTH(DATE(Setup!$B$4,7,1),0)))</f>
        <v/>
      </c>
      <c r="J11" s="18">
        <f>IF($A11="","",SUMIFS(Transactions!$C$5:$C$2004,Transactions!$B$5:$B$2004,$A11,Transactions!$A$5:$A$2004,"&gt;="&amp;DATE(Setup!$B$4,8,1),Transactions!$A$5:$A$2004,"&lt;="&amp;EOMONTH(DATE(Setup!$B$4,8,1),0)))</f>
        <v/>
      </c>
      <c r="K11" s="18">
        <f>IF($A11="","",SUMIFS(Transactions!$C$5:$C$2004,Transactions!$B$5:$B$2004,$A11,Transactions!$A$5:$A$2004,"&gt;="&amp;DATE(Setup!$B$4,9,1),Transactions!$A$5:$A$2004,"&lt;="&amp;EOMONTH(DATE(Setup!$B$4,9,1),0)))</f>
        <v/>
      </c>
      <c r="L11" s="18">
        <f>IF($A11="","",SUMIFS(Transactions!$C$5:$C$2004,Transactions!$B$5:$B$2004,$A11,Transactions!$A$5:$A$2004,"&gt;="&amp;DATE(Setup!$B$4,10,1),Transactions!$A$5:$A$2004,"&lt;="&amp;EOMONTH(DATE(Setup!$B$4,10,1),0)))</f>
        <v/>
      </c>
      <c r="M11" s="18">
        <f>IF($A11="","",SUMIFS(Transactions!$C$5:$C$2004,Transactions!$B$5:$B$2004,$A11,Transactions!$A$5:$A$2004,"&gt;="&amp;DATE(Setup!$B$4,11,1),Transactions!$A$5:$A$2004,"&lt;="&amp;EOMONTH(DATE(Setup!$B$4,11,1),0)))</f>
        <v/>
      </c>
      <c r="N11" s="18">
        <f>IF($A11="","",SUMIFS(Transactions!$C$5:$C$2004,Transactions!$B$5:$B$2004,$A11,Transactions!$A$5:$A$2004,"&gt;="&amp;DATE(Setup!$B$4,12,1),Transactions!$A$5:$A$2004,"&lt;="&amp;EOMONTH(DATE(Setup!$B$4,12,1),0)))</f>
        <v/>
      </c>
      <c r="O11" s="18">
        <f>IF($A11="","",SUM(C11:N11))</f>
        <v/>
      </c>
    </row>
    <row r="12">
      <c r="A12">
        <f>IF(Categories!A12="","",Categories!A12)</f>
        <v/>
      </c>
      <c r="B12">
        <f>IF(Categories!A12="","",Categories!B12)</f>
        <v/>
      </c>
      <c r="C12" s="18">
        <f>IF($A12="","",SUMIFS(Transactions!$C$5:$C$2004,Transactions!$B$5:$B$2004,$A12,Transactions!$A$5:$A$2004,"&gt;="&amp;DATE(Setup!$B$4,1,1),Transactions!$A$5:$A$2004,"&lt;="&amp;EOMONTH(DATE(Setup!$B$4,1,1),0)))</f>
        <v/>
      </c>
      <c r="D12" s="18">
        <f>IF($A12="","",SUMIFS(Transactions!$C$5:$C$2004,Transactions!$B$5:$B$2004,$A12,Transactions!$A$5:$A$2004,"&gt;="&amp;DATE(Setup!$B$4,2,1),Transactions!$A$5:$A$2004,"&lt;="&amp;EOMONTH(DATE(Setup!$B$4,2,1),0)))</f>
        <v/>
      </c>
      <c r="E12" s="18">
        <f>IF($A12="","",SUMIFS(Transactions!$C$5:$C$2004,Transactions!$B$5:$B$2004,$A12,Transactions!$A$5:$A$2004,"&gt;="&amp;DATE(Setup!$B$4,3,1),Transactions!$A$5:$A$2004,"&lt;="&amp;EOMONTH(DATE(Setup!$B$4,3,1),0)))</f>
        <v/>
      </c>
      <c r="F12" s="18">
        <f>IF($A12="","",SUMIFS(Transactions!$C$5:$C$2004,Transactions!$B$5:$B$2004,$A12,Transactions!$A$5:$A$2004,"&gt;="&amp;DATE(Setup!$B$4,4,1),Transactions!$A$5:$A$2004,"&lt;="&amp;EOMONTH(DATE(Setup!$B$4,4,1),0)))</f>
        <v/>
      </c>
      <c r="G12" s="18">
        <f>IF($A12="","",SUMIFS(Transactions!$C$5:$C$2004,Transactions!$B$5:$B$2004,$A12,Transactions!$A$5:$A$2004,"&gt;="&amp;DATE(Setup!$B$4,5,1),Transactions!$A$5:$A$2004,"&lt;="&amp;EOMONTH(DATE(Setup!$B$4,5,1),0)))</f>
        <v/>
      </c>
      <c r="H12" s="18">
        <f>IF($A12="","",SUMIFS(Transactions!$C$5:$C$2004,Transactions!$B$5:$B$2004,$A12,Transactions!$A$5:$A$2004,"&gt;="&amp;DATE(Setup!$B$4,6,1),Transactions!$A$5:$A$2004,"&lt;="&amp;EOMONTH(DATE(Setup!$B$4,6,1),0)))</f>
        <v/>
      </c>
      <c r="I12" s="18">
        <f>IF($A12="","",SUMIFS(Transactions!$C$5:$C$2004,Transactions!$B$5:$B$2004,$A12,Transactions!$A$5:$A$2004,"&gt;="&amp;DATE(Setup!$B$4,7,1),Transactions!$A$5:$A$2004,"&lt;="&amp;EOMONTH(DATE(Setup!$B$4,7,1),0)))</f>
        <v/>
      </c>
      <c r="J12" s="18">
        <f>IF($A12="","",SUMIFS(Transactions!$C$5:$C$2004,Transactions!$B$5:$B$2004,$A12,Transactions!$A$5:$A$2004,"&gt;="&amp;DATE(Setup!$B$4,8,1),Transactions!$A$5:$A$2004,"&lt;="&amp;EOMONTH(DATE(Setup!$B$4,8,1),0)))</f>
        <v/>
      </c>
      <c r="K12" s="18">
        <f>IF($A12="","",SUMIFS(Transactions!$C$5:$C$2004,Transactions!$B$5:$B$2004,$A12,Transactions!$A$5:$A$2004,"&gt;="&amp;DATE(Setup!$B$4,9,1),Transactions!$A$5:$A$2004,"&lt;="&amp;EOMONTH(DATE(Setup!$B$4,9,1),0)))</f>
        <v/>
      </c>
      <c r="L12" s="18">
        <f>IF($A12="","",SUMIFS(Transactions!$C$5:$C$2004,Transactions!$B$5:$B$2004,$A12,Transactions!$A$5:$A$2004,"&gt;="&amp;DATE(Setup!$B$4,10,1),Transactions!$A$5:$A$2004,"&lt;="&amp;EOMONTH(DATE(Setup!$B$4,10,1),0)))</f>
        <v/>
      </c>
      <c r="M12" s="18">
        <f>IF($A12="","",SUMIFS(Transactions!$C$5:$C$2004,Transactions!$B$5:$B$2004,$A12,Transactions!$A$5:$A$2004,"&gt;="&amp;DATE(Setup!$B$4,11,1),Transactions!$A$5:$A$2004,"&lt;="&amp;EOMONTH(DATE(Setup!$B$4,11,1),0)))</f>
        <v/>
      </c>
      <c r="N12" s="18">
        <f>IF($A12="","",SUMIFS(Transactions!$C$5:$C$2004,Transactions!$B$5:$B$2004,$A12,Transactions!$A$5:$A$2004,"&gt;="&amp;DATE(Setup!$B$4,12,1),Transactions!$A$5:$A$2004,"&lt;="&amp;EOMONTH(DATE(Setup!$B$4,12,1),0)))</f>
        <v/>
      </c>
      <c r="O12" s="18">
        <f>IF($A12="","",SUM(C12:N12))</f>
        <v/>
      </c>
    </row>
    <row r="13">
      <c r="A13">
        <f>IF(Categories!A13="","",Categories!A13)</f>
        <v/>
      </c>
      <c r="B13">
        <f>IF(Categories!A13="","",Categories!B13)</f>
        <v/>
      </c>
      <c r="C13" s="18">
        <f>IF($A13="","",SUMIFS(Transactions!$C$5:$C$2004,Transactions!$B$5:$B$2004,$A13,Transactions!$A$5:$A$2004,"&gt;="&amp;DATE(Setup!$B$4,1,1),Transactions!$A$5:$A$2004,"&lt;="&amp;EOMONTH(DATE(Setup!$B$4,1,1),0)))</f>
        <v/>
      </c>
      <c r="D13" s="18">
        <f>IF($A13="","",SUMIFS(Transactions!$C$5:$C$2004,Transactions!$B$5:$B$2004,$A13,Transactions!$A$5:$A$2004,"&gt;="&amp;DATE(Setup!$B$4,2,1),Transactions!$A$5:$A$2004,"&lt;="&amp;EOMONTH(DATE(Setup!$B$4,2,1),0)))</f>
        <v/>
      </c>
      <c r="E13" s="18">
        <f>IF($A13="","",SUMIFS(Transactions!$C$5:$C$2004,Transactions!$B$5:$B$2004,$A13,Transactions!$A$5:$A$2004,"&gt;="&amp;DATE(Setup!$B$4,3,1),Transactions!$A$5:$A$2004,"&lt;="&amp;EOMONTH(DATE(Setup!$B$4,3,1),0)))</f>
        <v/>
      </c>
      <c r="F13" s="18">
        <f>IF($A13="","",SUMIFS(Transactions!$C$5:$C$2004,Transactions!$B$5:$B$2004,$A13,Transactions!$A$5:$A$2004,"&gt;="&amp;DATE(Setup!$B$4,4,1),Transactions!$A$5:$A$2004,"&lt;="&amp;EOMONTH(DATE(Setup!$B$4,4,1),0)))</f>
        <v/>
      </c>
      <c r="G13" s="18">
        <f>IF($A13="","",SUMIFS(Transactions!$C$5:$C$2004,Transactions!$B$5:$B$2004,$A13,Transactions!$A$5:$A$2004,"&gt;="&amp;DATE(Setup!$B$4,5,1),Transactions!$A$5:$A$2004,"&lt;="&amp;EOMONTH(DATE(Setup!$B$4,5,1),0)))</f>
        <v/>
      </c>
      <c r="H13" s="18">
        <f>IF($A13="","",SUMIFS(Transactions!$C$5:$C$2004,Transactions!$B$5:$B$2004,$A13,Transactions!$A$5:$A$2004,"&gt;="&amp;DATE(Setup!$B$4,6,1),Transactions!$A$5:$A$2004,"&lt;="&amp;EOMONTH(DATE(Setup!$B$4,6,1),0)))</f>
        <v/>
      </c>
      <c r="I13" s="18">
        <f>IF($A13="","",SUMIFS(Transactions!$C$5:$C$2004,Transactions!$B$5:$B$2004,$A13,Transactions!$A$5:$A$2004,"&gt;="&amp;DATE(Setup!$B$4,7,1),Transactions!$A$5:$A$2004,"&lt;="&amp;EOMONTH(DATE(Setup!$B$4,7,1),0)))</f>
        <v/>
      </c>
      <c r="J13" s="18">
        <f>IF($A13="","",SUMIFS(Transactions!$C$5:$C$2004,Transactions!$B$5:$B$2004,$A13,Transactions!$A$5:$A$2004,"&gt;="&amp;DATE(Setup!$B$4,8,1),Transactions!$A$5:$A$2004,"&lt;="&amp;EOMONTH(DATE(Setup!$B$4,8,1),0)))</f>
        <v/>
      </c>
      <c r="K13" s="18">
        <f>IF($A13="","",SUMIFS(Transactions!$C$5:$C$2004,Transactions!$B$5:$B$2004,$A13,Transactions!$A$5:$A$2004,"&gt;="&amp;DATE(Setup!$B$4,9,1),Transactions!$A$5:$A$2004,"&lt;="&amp;EOMONTH(DATE(Setup!$B$4,9,1),0)))</f>
        <v/>
      </c>
      <c r="L13" s="18">
        <f>IF($A13="","",SUMIFS(Transactions!$C$5:$C$2004,Transactions!$B$5:$B$2004,$A13,Transactions!$A$5:$A$2004,"&gt;="&amp;DATE(Setup!$B$4,10,1),Transactions!$A$5:$A$2004,"&lt;="&amp;EOMONTH(DATE(Setup!$B$4,10,1),0)))</f>
        <v/>
      </c>
      <c r="M13" s="18">
        <f>IF($A13="","",SUMIFS(Transactions!$C$5:$C$2004,Transactions!$B$5:$B$2004,$A13,Transactions!$A$5:$A$2004,"&gt;="&amp;DATE(Setup!$B$4,11,1),Transactions!$A$5:$A$2004,"&lt;="&amp;EOMONTH(DATE(Setup!$B$4,11,1),0)))</f>
        <v/>
      </c>
      <c r="N13" s="18">
        <f>IF($A13="","",SUMIFS(Transactions!$C$5:$C$2004,Transactions!$B$5:$B$2004,$A13,Transactions!$A$5:$A$2004,"&gt;="&amp;DATE(Setup!$B$4,12,1),Transactions!$A$5:$A$2004,"&lt;="&amp;EOMONTH(DATE(Setup!$B$4,12,1),0)))</f>
        <v/>
      </c>
      <c r="O13" s="18">
        <f>IF($A13="","",SUM(C13:N13))</f>
        <v/>
      </c>
    </row>
    <row r="14">
      <c r="A14">
        <f>IF(Categories!A14="","",Categories!A14)</f>
        <v/>
      </c>
      <c r="B14">
        <f>IF(Categories!A14="","",Categories!B14)</f>
        <v/>
      </c>
      <c r="C14" s="18">
        <f>IF($A14="","",SUMIFS(Transactions!$C$5:$C$2004,Transactions!$B$5:$B$2004,$A14,Transactions!$A$5:$A$2004,"&gt;="&amp;DATE(Setup!$B$4,1,1),Transactions!$A$5:$A$2004,"&lt;="&amp;EOMONTH(DATE(Setup!$B$4,1,1),0)))</f>
        <v/>
      </c>
      <c r="D14" s="18">
        <f>IF($A14="","",SUMIFS(Transactions!$C$5:$C$2004,Transactions!$B$5:$B$2004,$A14,Transactions!$A$5:$A$2004,"&gt;="&amp;DATE(Setup!$B$4,2,1),Transactions!$A$5:$A$2004,"&lt;="&amp;EOMONTH(DATE(Setup!$B$4,2,1),0)))</f>
        <v/>
      </c>
      <c r="E14" s="18">
        <f>IF($A14="","",SUMIFS(Transactions!$C$5:$C$2004,Transactions!$B$5:$B$2004,$A14,Transactions!$A$5:$A$2004,"&gt;="&amp;DATE(Setup!$B$4,3,1),Transactions!$A$5:$A$2004,"&lt;="&amp;EOMONTH(DATE(Setup!$B$4,3,1),0)))</f>
        <v/>
      </c>
      <c r="F14" s="18">
        <f>IF($A14="","",SUMIFS(Transactions!$C$5:$C$2004,Transactions!$B$5:$B$2004,$A14,Transactions!$A$5:$A$2004,"&gt;="&amp;DATE(Setup!$B$4,4,1),Transactions!$A$5:$A$2004,"&lt;="&amp;EOMONTH(DATE(Setup!$B$4,4,1),0)))</f>
        <v/>
      </c>
      <c r="G14" s="18">
        <f>IF($A14="","",SUMIFS(Transactions!$C$5:$C$2004,Transactions!$B$5:$B$2004,$A14,Transactions!$A$5:$A$2004,"&gt;="&amp;DATE(Setup!$B$4,5,1),Transactions!$A$5:$A$2004,"&lt;="&amp;EOMONTH(DATE(Setup!$B$4,5,1),0)))</f>
        <v/>
      </c>
      <c r="H14" s="18">
        <f>IF($A14="","",SUMIFS(Transactions!$C$5:$C$2004,Transactions!$B$5:$B$2004,$A14,Transactions!$A$5:$A$2004,"&gt;="&amp;DATE(Setup!$B$4,6,1),Transactions!$A$5:$A$2004,"&lt;="&amp;EOMONTH(DATE(Setup!$B$4,6,1),0)))</f>
        <v/>
      </c>
      <c r="I14" s="18">
        <f>IF($A14="","",SUMIFS(Transactions!$C$5:$C$2004,Transactions!$B$5:$B$2004,$A14,Transactions!$A$5:$A$2004,"&gt;="&amp;DATE(Setup!$B$4,7,1),Transactions!$A$5:$A$2004,"&lt;="&amp;EOMONTH(DATE(Setup!$B$4,7,1),0)))</f>
        <v/>
      </c>
      <c r="J14" s="18">
        <f>IF($A14="","",SUMIFS(Transactions!$C$5:$C$2004,Transactions!$B$5:$B$2004,$A14,Transactions!$A$5:$A$2004,"&gt;="&amp;DATE(Setup!$B$4,8,1),Transactions!$A$5:$A$2004,"&lt;="&amp;EOMONTH(DATE(Setup!$B$4,8,1),0)))</f>
        <v/>
      </c>
      <c r="K14" s="18">
        <f>IF($A14="","",SUMIFS(Transactions!$C$5:$C$2004,Transactions!$B$5:$B$2004,$A14,Transactions!$A$5:$A$2004,"&gt;="&amp;DATE(Setup!$B$4,9,1),Transactions!$A$5:$A$2004,"&lt;="&amp;EOMONTH(DATE(Setup!$B$4,9,1),0)))</f>
        <v/>
      </c>
      <c r="L14" s="18">
        <f>IF($A14="","",SUMIFS(Transactions!$C$5:$C$2004,Transactions!$B$5:$B$2004,$A14,Transactions!$A$5:$A$2004,"&gt;="&amp;DATE(Setup!$B$4,10,1),Transactions!$A$5:$A$2004,"&lt;="&amp;EOMONTH(DATE(Setup!$B$4,10,1),0)))</f>
        <v/>
      </c>
      <c r="M14" s="18">
        <f>IF($A14="","",SUMIFS(Transactions!$C$5:$C$2004,Transactions!$B$5:$B$2004,$A14,Transactions!$A$5:$A$2004,"&gt;="&amp;DATE(Setup!$B$4,11,1),Transactions!$A$5:$A$2004,"&lt;="&amp;EOMONTH(DATE(Setup!$B$4,11,1),0)))</f>
        <v/>
      </c>
      <c r="N14" s="18">
        <f>IF($A14="","",SUMIFS(Transactions!$C$5:$C$2004,Transactions!$B$5:$B$2004,$A14,Transactions!$A$5:$A$2004,"&gt;="&amp;DATE(Setup!$B$4,12,1),Transactions!$A$5:$A$2004,"&lt;="&amp;EOMONTH(DATE(Setup!$B$4,12,1),0)))</f>
        <v/>
      </c>
      <c r="O14" s="18">
        <f>IF($A14="","",SUM(C14:N14))</f>
        <v/>
      </c>
    </row>
    <row r="15">
      <c r="A15">
        <f>IF(Categories!A15="","",Categories!A15)</f>
        <v/>
      </c>
      <c r="B15">
        <f>IF(Categories!A15="","",Categories!B15)</f>
        <v/>
      </c>
      <c r="C15" s="18">
        <f>IF($A15="","",SUMIFS(Transactions!$C$5:$C$2004,Transactions!$B$5:$B$2004,$A15,Transactions!$A$5:$A$2004,"&gt;="&amp;DATE(Setup!$B$4,1,1),Transactions!$A$5:$A$2004,"&lt;="&amp;EOMONTH(DATE(Setup!$B$4,1,1),0)))</f>
        <v/>
      </c>
      <c r="D15" s="18">
        <f>IF($A15="","",SUMIFS(Transactions!$C$5:$C$2004,Transactions!$B$5:$B$2004,$A15,Transactions!$A$5:$A$2004,"&gt;="&amp;DATE(Setup!$B$4,2,1),Transactions!$A$5:$A$2004,"&lt;="&amp;EOMONTH(DATE(Setup!$B$4,2,1),0)))</f>
        <v/>
      </c>
      <c r="E15" s="18">
        <f>IF($A15="","",SUMIFS(Transactions!$C$5:$C$2004,Transactions!$B$5:$B$2004,$A15,Transactions!$A$5:$A$2004,"&gt;="&amp;DATE(Setup!$B$4,3,1),Transactions!$A$5:$A$2004,"&lt;="&amp;EOMONTH(DATE(Setup!$B$4,3,1),0)))</f>
        <v/>
      </c>
      <c r="F15" s="18">
        <f>IF($A15="","",SUMIFS(Transactions!$C$5:$C$2004,Transactions!$B$5:$B$2004,$A15,Transactions!$A$5:$A$2004,"&gt;="&amp;DATE(Setup!$B$4,4,1),Transactions!$A$5:$A$2004,"&lt;="&amp;EOMONTH(DATE(Setup!$B$4,4,1),0)))</f>
        <v/>
      </c>
      <c r="G15" s="18">
        <f>IF($A15="","",SUMIFS(Transactions!$C$5:$C$2004,Transactions!$B$5:$B$2004,$A15,Transactions!$A$5:$A$2004,"&gt;="&amp;DATE(Setup!$B$4,5,1),Transactions!$A$5:$A$2004,"&lt;="&amp;EOMONTH(DATE(Setup!$B$4,5,1),0)))</f>
        <v/>
      </c>
      <c r="H15" s="18">
        <f>IF($A15="","",SUMIFS(Transactions!$C$5:$C$2004,Transactions!$B$5:$B$2004,$A15,Transactions!$A$5:$A$2004,"&gt;="&amp;DATE(Setup!$B$4,6,1),Transactions!$A$5:$A$2004,"&lt;="&amp;EOMONTH(DATE(Setup!$B$4,6,1),0)))</f>
        <v/>
      </c>
      <c r="I15" s="18">
        <f>IF($A15="","",SUMIFS(Transactions!$C$5:$C$2004,Transactions!$B$5:$B$2004,$A15,Transactions!$A$5:$A$2004,"&gt;="&amp;DATE(Setup!$B$4,7,1),Transactions!$A$5:$A$2004,"&lt;="&amp;EOMONTH(DATE(Setup!$B$4,7,1),0)))</f>
        <v/>
      </c>
      <c r="J15" s="18">
        <f>IF($A15="","",SUMIFS(Transactions!$C$5:$C$2004,Transactions!$B$5:$B$2004,$A15,Transactions!$A$5:$A$2004,"&gt;="&amp;DATE(Setup!$B$4,8,1),Transactions!$A$5:$A$2004,"&lt;="&amp;EOMONTH(DATE(Setup!$B$4,8,1),0)))</f>
        <v/>
      </c>
      <c r="K15" s="18">
        <f>IF($A15="","",SUMIFS(Transactions!$C$5:$C$2004,Transactions!$B$5:$B$2004,$A15,Transactions!$A$5:$A$2004,"&gt;="&amp;DATE(Setup!$B$4,9,1),Transactions!$A$5:$A$2004,"&lt;="&amp;EOMONTH(DATE(Setup!$B$4,9,1),0)))</f>
        <v/>
      </c>
      <c r="L15" s="18">
        <f>IF($A15="","",SUMIFS(Transactions!$C$5:$C$2004,Transactions!$B$5:$B$2004,$A15,Transactions!$A$5:$A$2004,"&gt;="&amp;DATE(Setup!$B$4,10,1),Transactions!$A$5:$A$2004,"&lt;="&amp;EOMONTH(DATE(Setup!$B$4,10,1),0)))</f>
        <v/>
      </c>
      <c r="M15" s="18">
        <f>IF($A15="","",SUMIFS(Transactions!$C$5:$C$2004,Transactions!$B$5:$B$2004,$A15,Transactions!$A$5:$A$2004,"&gt;="&amp;DATE(Setup!$B$4,11,1),Transactions!$A$5:$A$2004,"&lt;="&amp;EOMONTH(DATE(Setup!$B$4,11,1),0)))</f>
        <v/>
      </c>
      <c r="N15" s="18">
        <f>IF($A15="","",SUMIFS(Transactions!$C$5:$C$2004,Transactions!$B$5:$B$2004,$A15,Transactions!$A$5:$A$2004,"&gt;="&amp;DATE(Setup!$B$4,12,1),Transactions!$A$5:$A$2004,"&lt;="&amp;EOMONTH(DATE(Setup!$B$4,12,1),0)))</f>
        <v/>
      </c>
      <c r="O15" s="18">
        <f>IF($A15="","",SUM(C15:N15))</f>
        <v/>
      </c>
    </row>
    <row r="16">
      <c r="A16">
        <f>IF(Categories!A16="","",Categories!A16)</f>
        <v/>
      </c>
      <c r="B16">
        <f>IF(Categories!A16="","",Categories!B16)</f>
        <v/>
      </c>
      <c r="C16" s="18">
        <f>IF($A16="","",SUMIFS(Transactions!$C$5:$C$2004,Transactions!$B$5:$B$2004,$A16,Transactions!$A$5:$A$2004,"&gt;="&amp;DATE(Setup!$B$4,1,1),Transactions!$A$5:$A$2004,"&lt;="&amp;EOMONTH(DATE(Setup!$B$4,1,1),0)))</f>
        <v/>
      </c>
      <c r="D16" s="18">
        <f>IF($A16="","",SUMIFS(Transactions!$C$5:$C$2004,Transactions!$B$5:$B$2004,$A16,Transactions!$A$5:$A$2004,"&gt;="&amp;DATE(Setup!$B$4,2,1),Transactions!$A$5:$A$2004,"&lt;="&amp;EOMONTH(DATE(Setup!$B$4,2,1),0)))</f>
        <v/>
      </c>
      <c r="E16" s="18">
        <f>IF($A16="","",SUMIFS(Transactions!$C$5:$C$2004,Transactions!$B$5:$B$2004,$A16,Transactions!$A$5:$A$2004,"&gt;="&amp;DATE(Setup!$B$4,3,1),Transactions!$A$5:$A$2004,"&lt;="&amp;EOMONTH(DATE(Setup!$B$4,3,1),0)))</f>
        <v/>
      </c>
      <c r="F16" s="18">
        <f>IF($A16="","",SUMIFS(Transactions!$C$5:$C$2004,Transactions!$B$5:$B$2004,$A16,Transactions!$A$5:$A$2004,"&gt;="&amp;DATE(Setup!$B$4,4,1),Transactions!$A$5:$A$2004,"&lt;="&amp;EOMONTH(DATE(Setup!$B$4,4,1),0)))</f>
        <v/>
      </c>
      <c r="G16" s="18">
        <f>IF($A16="","",SUMIFS(Transactions!$C$5:$C$2004,Transactions!$B$5:$B$2004,$A16,Transactions!$A$5:$A$2004,"&gt;="&amp;DATE(Setup!$B$4,5,1),Transactions!$A$5:$A$2004,"&lt;="&amp;EOMONTH(DATE(Setup!$B$4,5,1),0)))</f>
        <v/>
      </c>
      <c r="H16" s="18">
        <f>IF($A16="","",SUMIFS(Transactions!$C$5:$C$2004,Transactions!$B$5:$B$2004,$A16,Transactions!$A$5:$A$2004,"&gt;="&amp;DATE(Setup!$B$4,6,1),Transactions!$A$5:$A$2004,"&lt;="&amp;EOMONTH(DATE(Setup!$B$4,6,1),0)))</f>
        <v/>
      </c>
      <c r="I16" s="18">
        <f>IF($A16="","",SUMIFS(Transactions!$C$5:$C$2004,Transactions!$B$5:$B$2004,$A16,Transactions!$A$5:$A$2004,"&gt;="&amp;DATE(Setup!$B$4,7,1),Transactions!$A$5:$A$2004,"&lt;="&amp;EOMONTH(DATE(Setup!$B$4,7,1),0)))</f>
        <v/>
      </c>
      <c r="J16" s="18">
        <f>IF($A16="","",SUMIFS(Transactions!$C$5:$C$2004,Transactions!$B$5:$B$2004,$A16,Transactions!$A$5:$A$2004,"&gt;="&amp;DATE(Setup!$B$4,8,1),Transactions!$A$5:$A$2004,"&lt;="&amp;EOMONTH(DATE(Setup!$B$4,8,1),0)))</f>
        <v/>
      </c>
      <c r="K16" s="18">
        <f>IF($A16="","",SUMIFS(Transactions!$C$5:$C$2004,Transactions!$B$5:$B$2004,$A16,Transactions!$A$5:$A$2004,"&gt;="&amp;DATE(Setup!$B$4,9,1),Transactions!$A$5:$A$2004,"&lt;="&amp;EOMONTH(DATE(Setup!$B$4,9,1),0)))</f>
        <v/>
      </c>
      <c r="L16" s="18">
        <f>IF($A16="","",SUMIFS(Transactions!$C$5:$C$2004,Transactions!$B$5:$B$2004,$A16,Transactions!$A$5:$A$2004,"&gt;="&amp;DATE(Setup!$B$4,10,1),Transactions!$A$5:$A$2004,"&lt;="&amp;EOMONTH(DATE(Setup!$B$4,10,1),0)))</f>
        <v/>
      </c>
      <c r="M16" s="18">
        <f>IF($A16="","",SUMIFS(Transactions!$C$5:$C$2004,Transactions!$B$5:$B$2004,$A16,Transactions!$A$5:$A$2004,"&gt;="&amp;DATE(Setup!$B$4,11,1),Transactions!$A$5:$A$2004,"&lt;="&amp;EOMONTH(DATE(Setup!$B$4,11,1),0)))</f>
        <v/>
      </c>
      <c r="N16" s="18">
        <f>IF($A16="","",SUMIFS(Transactions!$C$5:$C$2004,Transactions!$B$5:$B$2004,$A16,Transactions!$A$5:$A$2004,"&gt;="&amp;DATE(Setup!$B$4,12,1),Transactions!$A$5:$A$2004,"&lt;="&amp;EOMONTH(DATE(Setup!$B$4,12,1),0)))</f>
        <v/>
      </c>
      <c r="O16" s="18">
        <f>IF($A16="","",SUM(C16:N16))</f>
        <v/>
      </c>
    </row>
    <row r="17">
      <c r="A17">
        <f>IF(Categories!A17="","",Categories!A17)</f>
        <v/>
      </c>
      <c r="B17">
        <f>IF(Categories!A17="","",Categories!B17)</f>
        <v/>
      </c>
      <c r="C17" s="18">
        <f>IF($A17="","",SUMIFS(Transactions!$C$5:$C$2004,Transactions!$B$5:$B$2004,$A17,Transactions!$A$5:$A$2004,"&gt;="&amp;DATE(Setup!$B$4,1,1),Transactions!$A$5:$A$2004,"&lt;="&amp;EOMONTH(DATE(Setup!$B$4,1,1),0)))</f>
        <v/>
      </c>
      <c r="D17" s="18">
        <f>IF($A17="","",SUMIFS(Transactions!$C$5:$C$2004,Transactions!$B$5:$B$2004,$A17,Transactions!$A$5:$A$2004,"&gt;="&amp;DATE(Setup!$B$4,2,1),Transactions!$A$5:$A$2004,"&lt;="&amp;EOMONTH(DATE(Setup!$B$4,2,1),0)))</f>
        <v/>
      </c>
      <c r="E17" s="18">
        <f>IF($A17="","",SUMIFS(Transactions!$C$5:$C$2004,Transactions!$B$5:$B$2004,$A17,Transactions!$A$5:$A$2004,"&gt;="&amp;DATE(Setup!$B$4,3,1),Transactions!$A$5:$A$2004,"&lt;="&amp;EOMONTH(DATE(Setup!$B$4,3,1),0)))</f>
        <v/>
      </c>
      <c r="F17" s="18">
        <f>IF($A17="","",SUMIFS(Transactions!$C$5:$C$2004,Transactions!$B$5:$B$2004,$A17,Transactions!$A$5:$A$2004,"&gt;="&amp;DATE(Setup!$B$4,4,1),Transactions!$A$5:$A$2004,"&lt;="&amp;EOMONTH(DATE(Setup!$B$4,4,1),0)))</f>
        <v/>
      </c>
      <c r="G17" s="18">
        <f>IF($A17="","",SUMIFS(Transactions!$C$5:$C$2004,Transactions!$B$5:$B$2004,$A17,Transactions!$A$5:$A$2004,"&gt;="&amp;DATE(Setup!$B$4,5,1),Transactions!$A$5:$A$2004,"&lt;="&amp;EOMONTH(DATE(Setup!$B$4,5,1),0)))</f>
        <v/>
      </c>
      <c r="H17" s="18">
        <f>IF($A17="","",SUMIFS(Transactions!$C$5:$C$2004,Transactions!$B$5:$B$2004,$A17,Transactions!$A$5:$A$2004,"&gt;="&amp;DATE(Setup!$B$4,6,1),Transactions!$A$5:$A$2004,"&lt;="&amp;EOMONTH(DATE(Setup!$B$4,6,1),0)))</f>
        <v/>
      </c>
      <c r="I17" s="18">
        <f>IF($A17="","",SUMIFS(Transactions!$C$5:$C$2004,Transactions!$B$5:$B$2004,$A17,Transactions!$A$5:$A$2004,"&gt;="&amp;DATE(Setup!$B$4,7,1),Transactions!$A$5:$A$2004,"&lt;="&amp;EOMONTH(DATE(Setup!$B$4,7,1),0)))</f>
        <v/>
      </c>
      <c r="J17" s="18">
        <f>IF($A17="","",SUMIFS(Transactions!$C$5:$C$2004,Transactions!$B$5:$B$2004,$A17,Transactions!$A$5:$A$2004,"&gt;="&amp;DATE(Setup!$B$4,8,1),Transactions!$A$5:$A$2004,"&lt;="&amp;EOMONTH(DATE(Setup!$B$4,8,1),0)))</f>
        <v/>
      </c>
      <c r="K17" s="18">
        <f>IF($A17="","",SUMIFS(Transactions!$C$5:$C$2004,Transactions!$B$5:$B$2004,$A17,Transactions!$A$5:$A$2004,"&gt;="&amp;DATE(Setup!$B$4,9,1),Transactions!$A$5:$A$2004,"&lt;="&amp;EOMONTH(DATE(Setup!$B$4,9,1),0)))</f>
        <v/>
      </c>
      <c r="L17" s="18">
        <f>IF($A17="","",SUMIFS(Transactions!$C$5:$C$2004,Transactions!$B$5:$B$2004,$A17,Transactions!$A$5:$A$2004,"&gt;="&amp;DATE(Setup!$B$4,10,1),Transactions!$A$5:$A$2004,"&lt;="&amp;EOMONTH(DATE(Setup!$B$4,10,1),0)))</f>
        <v/>
      </c>
      <c r="M17" s="18">
        <f>IF($A17="","",SUMIFS(Transactions!$C$5:$C$2004,Transactions!$B$5:$B$2004,$A17,Transactions!$A$5:$A$2004,"&gt;="&amp;DATE(Setup!$B$4,11,1),Transactions!$A$5:$A$2004,"&lt;="&amp;EOMONTH(DATE(Setup!$B$4,11,1),0)))</f>
        <v/>
      </c>
      <c r="N17" s="18">
        <f>IF($A17="","",SUMIFS(Transactions!$C$5:$C$2004,Transactions!$B$5:$B$2004,$A17,Transactions!$A$5:$A$2004,"&gt;="&amp;DATE(Setup!$B$4,12,1),Transactions!$A$5:$A$2004,"&lt;="&amp;EOMONTH(DATE(Setup!$B$4,12,1),0)))</f>
        <v/>
      </c>
      <c r="O17" s="18">
        <f>IF($A17="","",SUM(C17:N17))</f>
        <v/>
      </c>
    </row>
    <row r="18">
      <c r="A18">
        <f>IF(Categories!A18="","",Categories!A18)</f>
        <v/>
      </c>
      <c r="B18">
        <f>IF(Categories!A18="","",Categories!B18)</f>
        <v/>
      </c>
      <c r="C18" s="18">
        <f>IF($A18="","",SUMIFS(Transactions!$C$5:$C$2004,Transactions!$B$5:$B$2004,$A18,Transactions!$A$5:$A$2004,"&gt;="&amp;DATE(Setup!$B$4,1,1),Transactions!$A$5:$A$2004,"&lt;="&amp;EOMONTH(DATE(Setup!$B$4,1,1),0)))</f>
        <v/>
      </c>
      <c r="D18" s="18">
        <f>IF($A18="","",SUMIFS(Transactions!$C$5:$C$2004,Transactions!$B$5:$B$2004,$A18,Transactions!$A$5:$A$2004,"&gt;="&amp;DATE(Setup!$B$4,2,1),Transactions!$A$5:$A$2004,"&lt;="&amp;EOMONTH(DATE(Setup!$B$4,2,1),0)))</f>
        <v/>
      </c>
      <c r="E18" s="18">
        <f>IF($A18="","",SUMIFS(Transactions!$C$5:$C$2004,Transactions!$B$5:$B$2004,$A18,Transactions!$A$5:$A$2004,"&gt;="&amp;DATE(Setup!$B$4,3,1),Transactions!$A$5:$A$2004,"&lt;="&amp;EOMONTH(DATE(Setup!$B$4,3,1),0)))</f>
        <v/>
      </c>
      <c r="F18" s="18">
        <f>IF($A18="","",SUMIFS(Transactions!$C$5:$C$2004,Transactions!$B$5:$B$2004,$A18,Transactions!$A$5:$A$2004,"&gt;="&amp;DATE(Setup!$B$4,4,1),Transactions!$A$5:$A$2004,"&lt;="&amp;EOMONTH(DATE(Setup!$B$4,4,1),0)))</f>
        <v/>
      </c>
      <c r="G18" s="18">
        <f>IF($A18="","",SUMIFS(Transactions!$C$5:$C$2004,Transactions!$B$5:$B$2004,$A18,Transactions!$A$5:$A$2004,"&gt;="&amp;DATE(Setup!$B$4,5,1),Transactions!$A$5:$A$2004,"&lt;="&amp;EOMONTH(DATE(Setup!$B$4,5,1),0)))</f>
        <v/>
      </c>
      <c r="H18" s="18">
        <f>IF($A18="","",SUMIFS(Transactions!$C$5:$C$2004,Transactions!$B$5:$B$2004,$A18,Transactions!$A$5:$A$2004,"&gt;="&amp;DATE(Setup!$B$4,6,1),Transactions!$A$5:$A$2004,"&lt;="&amp;EOMONTH(DATE(Setup!$B$4,6,1),0)))</f>
        <v/>
      </c>
      <c r="I18" s="18">
        <f>IF($A18="","",SUMIFS(Transactions!$C$5:$C$2004,Transactions!$B$5:$B$2004,$A18,Transactions!$A$5:$A$2004,"&gt;="&amp;DATE(Setup!$B$4,7,1),Transactions!$A$5:$A$2004,"&lt;="&amp;EOMONTH(DATE(Setup!$B$4,7,1),0)))</f>
        <v/>
      </c>
      <c r="J18" s="18">
        <f>IF($A18="","",SUMIFS(Transactions!$C$5:$C$2004,Transactions!$B$5:$B$2004,$A18,Transactions!$A$5:$A$2004,"&gt;="&amp;DATE(Setup!$B$4,8,1),Transactions!$A$5:$A$2004,"&lt;="&amp;EOMONTH(DATE(Setup!$B$4,8,1),0)))</f>
        <v/>
      </c>
      <c r="K18" s="18">
        <f>IF($A18="","",SUMIFS(Transactions!$C$5:$C$2004,Transactions!$B$5:$B$2004,$A18,Transactions!$A$5:$A$2004,"&gt;="&amp;DATE(Setup!$B$4,9,1),Transactions!$A$5:$A$2004,"&lt;="&amp;EOMONTH(DATE(Setup!$B$4,9,1),0)))</f>
        <v/>
      </c>
      <c r="L18" s="18">
        <f>IF($A18="","",SUMIFS(Transactions!$C$5:$C$2004,Transactions!$B$5:$B$2004,$A18,Transactions!$A$5:$A$2004,"&gt;="&amp;DATE(Setup!$B$4,10,1),Transactions!$A$5:$A$2004,"&lt;="&amp;EOMONTH(DATE(Setup!$B$4,10,1),0)))</f>
        <v/>
      </c>
      <c r="M18" s="18">
        <f>IF($A18="","",SUMIFS(Transactions!$C$5:$C$2004,Transactions!$B$5:$B$2004,$A18,Transactions!$A$5:$A$2004,"&gt;="&amp;DATE(Setup!$B$4,11,1),Transactions!$A$5:$A$2004,"&lt;="&amp;EOMONTH(DATE(Setup!$B$4,11,1),0)))</f>
        <v/>
      </c>
      <c r="N18" s="18">
        <f>IF($A18="","",SUMIFS(Transactions!$C$5:$C$2004,Transactions!$B$5:$B$2004,$A18,Transactions!$A$5:$A$2004,"&gt;="&amp;DATE(Setup!$B$4,12,1),Transactions!$A$5:$A$2004,"&lt;="&amp;EOMONTH(DATE(Setup!$B$4,12,1),0)))</f>
        <v/>
      </c>
      <c r="O18" s="18">
        <f>IF($A18="","",SUM(C18:N18))</f>
        <v/>
      </c>
    </row>
    <row r="19">
      <c r="A19">
        <f>IF(Categories!A19="","",Categories!A19)</f>
        <v/>
      </c>
      <c r="B19">
        <f>IF(Categories!A19="","",Categories!B19)</f>
        <v/>
      </c>
      <c r="C19" s="18">
        <f>IF($A19="","",SUMIFS(Transactions!$C$5:$C$2004,Transactions!$B$5:$B$2004,$A19,Transactions!$A$5:$A$2004,"&gt;="&amp;DATE(Setup!$B$4,1,1),Transactions!$A$5:$A$2004,"&lt;="&amp;EOMONTH(DATE(Setup!$B$4,1,1),0)))</f>
        <v/>
      </c>
      <c r="D19" s="18">
        <f>IF($A19="","",SUMIFS(Transactions!$C$5:$C$2004,Transactions!$B$5:$B$2004,$A19,Transactions!$A$5:$A$2004,"&gt;="&amp;DATE(Setup!$B$4,2,1),Transactions!$A$5:$A$2004,"&lt;="&amp;EOMONTH(DATE(Setup!$B$4,2,1),0)))</f>
        <v/>
      </c>
      <c r="E19" s="18">
        <f>IF($A19="","",SUMIFS(Transactions!$C$5:$C$2004,Transactions!$B$5:$B$2004,$A19,Transactions!$A$5:$A$2004,"&gt;="&amp;DATE(Setup!$B$4,3,1),Transactions!$A$5:$A$2004,"&lt;="&amp;EOMONTH(DATE(Setup!$B$4,3,1),0)))</f>
        <v/>
      </c>
      <c r="F19" s="18">
        <f>IF($A19="","",SUMIFS(Transactions!$C$5:$C$2004,Transactions!$B$5:$B$2004,$A19,Transactions!$A$5:$A$2004,"&gt;="&amp;DATE(Setup!$B$4,4,1),Transactions!$A$5:$A$2004,"&lt;="&amp;EOMONTH(DATE(Setup!$B$4,4,1),0)))</f>
        <v/>
      </c>
      <c r="G19" s="18">
        <f>IF($A19="","",SUMIFS(Transactions!$C$5:$C$2004,Transactions!$B$5:$B$2004,$A19,Transactions!$A$5:$A$2004,"&gt;="&amp;DATE(Setup!$B$4,5,1),Transactions!$A$5:$A$2004,"&lt;="&amp;EOMONTH(DATE(Setup!$B$4,5,1),0)))</f>
        <v/>
      </c>
      <c r="H19" s="18">
        <f>IF($A19="","",SUMIFS(Transactions!$C$5:$C$2004,Transactions!$B$5:$B$2004,$A19,Transactions!$A$5:$A$2004,"&gt;="&amp;DATE(Setup!$B$4,6,1),Transactions!$A$5:$A$2004,"&lt;="&amp;EOMONTH(DATE(Setup!$B$4,6,1),0)))</f>
        <v/>
      </c>
      <c r="I19" s="18">
        <f>IF($A19="","",SUMIFS(Transactions!$C$5:$C$2004,Transactions!$B$5:$B$2004,$A19,Transactions!$A$5:$A$2004,"&gt;="&amp;DATE(Setup!$B$4,7,1),Transactions!$A$5:$A$2004,"&lt;="&amp;EOMONTH(DATE(Setup!$B$4,7,1),0)))</f>
        <v/>
      </c>
      <c r="J19" s="18">
        <f>IF($A19="","",SUMIFS(Transactions!$C$5:$C$2004,Transactions!$B$5:$B$2004,$A19,Transactions!$A$5:$A$2004,"&gt;="&amp;DATE(Setup!$B$4,8,1),Transactions!$A$5:$A$2004,"&lt;="&amp;EOMONTH(DATE(Setup!$B$4,8,1),0)))</f>
        <v/>
      </c>
      <c r="K19" s="18">
        <f>IF($A19="","",SUMIFS(Transactions!$C$5:$C$2004,Transactions!$B$5:$B$2004,$A19,Transactions!$A$5:$A$2004,"&gt;="&amp;DATE(Setup!$B$4,9,1),Transactions!$A$5:$A$2004,"&lt;="&amp;EOMONTH(DATE(Setup!$B$4,9,1),0)))</f>
        <v/>
      </c>
      <c r="L19" s="18">
        <f>IF($A19="","",SUMIFS(Transactions!$C$5:$C$2004,Transactions!$B$5:$B$2004,$A19,Transactions!$A$5:$A$2004,"&gt;="&amp;DATE(Setup!$B$4,10,1),Transactions!$A$5:$A$2004,"&lt;="&amp;EOMONTH(DATE(Setup!$B$4,10,1),0)))</f>
        <v/>
      </c>
      <c r="M19" s="18">
        <f>IF($A19="","",SUMIFS(Transactions!$C$5:$C$2004,Transactions!$B$5:$B$2004,$A19,Transactions!$A$5:$A$2004,"&gt;="&amp;DATE(Setup!$B$4,11,1),Transactions!$A$5:$A$2004,"&lt;="&amp;EOMONTH(DATE(Setup!$B$4,11,1),0)))</f>
        <v/>
      </c>
      <c r="N19" s="18">
        <f>IF($A19="","",SUMIFS(Transactions!$C$5:$C$2004,Transactions!$B$5:$B$2004,$A19,Transactions!$A$5:$A$2004,"&gt;="&amp;DATE(Setup!$B$4,12,1),Transactions!$A$5:$A$2004,"&lt;="&amp;EOMONTH(DATE(Setup!$B$4,12,1),0)))</f>
        <v/>
      </c>
      <c r="O19" s="18">
        <f>IF($A19="","",SUM(C19:N19))</f>
        <v/>
      </c>
    </row>
    <row r="20">
      <c r="A20">
        <f>IF(Categories!A20="","",Categories!A20)</f>
        <v/>
      </c>
      <c r="B20">
        <f>IF(Categories!A20="","",Categories!B20)</f>
        <v/>
      </c>
      <c r="C20" s="18">
        <f>IF($A20="","",SUMIFS(Transactions!$C$5:$C$2004,Transactions!$B$5:$B$2004,$A20,Transactions!$A$5:$A$2004,"&gt;="&amp;DATE(Setup!$B$4,1,1),Transactions!$A$5:$A$2004,"&lt;="&amp;EOMONTH(DATE(Setup!$B$4,1,1),0)))</f>
        <v/>
      </c>
      <c r="D20" s="18">
        <f>IF($A20="","",SUMIFS(Transactions!$C$5:$C$2004,Transactions!$B$5:$B$2004,$A20,Transactions!$A$5:$A$2004,"&gt;="&amp;DATE(Setup!$B$4,2,1),Transactions!$A$5:$A$2004,"&lt;="&amp;EOMONTH(DATE(Setup!$B$4,2,1),0)))</f>
        <v/>
      </c>
      <c r="E20" s="18">
        <f>IF($A20="","",SUMIFS(Transactions!$C$5:$C$2004,Transactions!$B$5:$B$2004,$A20,Transactions!$A$5:$A$2004,"&gt;="&amp;DATE(Setup!$B$4,3,1),Transactions!$A$5:$A$2004,"&lt;="&amp;EOMONTH(DATE(Setup!$B$4,3,1),0)))</f>
        <v/>
      </c>
      <c r="F20" s="18">
        <f>IF($A20="","",SUMIFS(Transactions!$C$5:$C$2004,Transactions!$B$5:$B$2004,$A20,Transactions!$A$5:$A$2004,"&gt;="&amp;DATE(Setup!$B$4,4,1),Transactions!$A$5:$A$2004,"&lt;="&amp;EOMONTH(DATE(Setup!$B$4,4,1),0)))</f>
        <v/>
      </c>
      <c r="G20" s="18">
        <f>IF($A20="","",SUMIFS(Transactions!$C$5:$C$2004,Transactions!$B$5:$B$2004,$A20,Transactions!$A$5:$A$2004,"&gt;="&amp;DATE(Setup!$B$4,5,1),Transactions!$A$5:$A$2004,"&lt;="&amp;EOMONTH(DATE(Setup!$B$4,5,1),0)))</f>
        <v/>
      </c>
      <c r="H20" s="18">
        <f>IF($A20="","",SUMIFS(Transactions!$C$5:$C$2004,Transactions!$B$5:$B$2004,$A20,Transactions!$A$5:$A$2004,"&gt;="&amp;DATE(Setup!$B$4,6,1),Transactions!$A$5:$A$2004,"&lt;="&amp;EOMONTH(DATE(Setup!$B$4,6,1),0)))</f>
        <v/>
      </c>
      <c r="I20" s="18">
        <f>IF($A20="","",SUMIFS(Transactions!$C$5:$C$2004,Transactions!$B$5:$B$2004,$A20,Transactions!$A$5:$A$2004,"&gt;="&amp;DATE(Setup!$B$4,7,1),Transactions!$A$5:$A$2004,"&lt;="&amp;EOMONTH(DATE(Setup!$B$4,7,1),0)))</f>
        <v/>
      </c>
      <c r="J20" s="18">
        <f>IF($A20="","",SUMIFS(Transactions!$C$5:$C$2004,Transactions!$B$5:$B$2004,$A20,Transactions!$A$5:$A$2004,"&gt;="&amp;DATE(Setup!$B$4,8,1),Transactions!$A$5:$A$2004,"&lt;="&amp;EOMONTH(DATE(Setup!$B$4,8,1),0)))</f>
        <v/>
      </c>
      <c r="K20" s="18">
        <f>IF($A20="","",SUMIFS(Transactions!$C$5:$C$2004,Transactions!$B$5:$B$2004,$A20,Transactions!$A$5:$A$2004,"&gt;="&amp;DATE(Setup!$B$4,9,1),Transactions!$A$5:$A$2004,"&lt;="&amp;EOMONTH(DATE(Setup!$B$4,9,1),0)))</f>
        <v/>
      </c>
      <c r="L20" s="18">
        <f>IF($A20="","",SUMIFS(Transactions!$C$5:$C$2004,Transactions!$B$5:$B$2004,$A20,Transactions!$A$5:$A$2004,"&gt;="&amp;DATE(Setup!$B$4,10,1),Transactions!$A$5:$A$2004,"&lt;="&amp;EOMONTH(DATE(Setup!$B$4,10,1),0)))</f>
        <v/>
      </c>
      <c r="M20" s="18">
        <f>IF($A20="","",SUMIFS(Transactions!$C$5:$C$2004,Transactions!$B$5:$B$2004,$A20,Transactions!$A$5:$A$2004,"&gt;="&amp;DATE(Setup!$B$4,11,1),Transactions!$A$5:$A$2004,"&lt;="&amp;EOMONTH(DATE(Setup!$B$4,11,1),0)))</f>
        <v/>
      </c>
      <c r="N20" s="18">
        <f>IF($A20="","",SUMIFS(Transactions!$C$5:$C$2004,Transactions!$B$5:$B$2004,$A20,Transactions!$A$5:$A$2004,"&gt;="&amp;DATE(Setup!$B$4,12,1),Transactions!$A$5:$A$2004,"&lt;="&amp;EOMONTH(DATE(Setup!$B$4,12,1),0)))</f>
        <v/>
      </c>
      <c r="O20" s="18">
        <f>IF($A20="","",SUM(C20:N20))</f>
        <v/>
      </c>
    </row>
    <row r="21">
      <c r="A21">
        <f>IF(Categories!A21="","",Categories!A21)</f>
        <v/>
      </c>
      <c r="B21">
        <f>IF(Categories!A21="","",Categories!B21)</f>
        <v/>
      </c>
      <c r="C21" s="18">
        <f>IF($A21="","",SUMIFS(Transactions!$C$5:$C$2004,Transactions!$B$5:$B$2004,$A21,Transactions!$A$5:$A$2004,"&gt;="&amp;DATE(Setup!$B$4,1,1),Transactions!$A$5:$A$2004,"&lt;="&amp;EOMONTH(DATE(Setup!$B$4,1,1),0)))</f>
        <v/>
      </c>
      <c r="D21" s="18">
        <f>IF($A21="","",SUMIFS(Transactions!$C$5:$C$2004,Transactions!$B$5:$B$2004,$A21,Transactions!$A$5:$A$2004,"&gt;="&amp;DATE(Setup!$B$4,2,1),Transactions!$A$5:$A$2004,"&lt;="&amp;EOMONTH(DATE(Setup!$B$4,2,1),0)))</f>
        <v/>
      </c>
      <c r="E21" s="18">
        <f>IF($A21="","",SUMIFS(Transactions!$C$5:$C$2004,Transactions!$B$5:$B$2004,$A21,Transactions!$A$5:$A$2004,"&gt;="&amp;DATE(Setup!$B$4,3,1),Transactions!$A$5:$A$2004,"&lt;="&amp;EOMONTH(DATE(Setup!$B$4,3,1),0)))</f>
        <v/>
      </c>
      <c r="F21" s="18">
        <f>IF($A21="","",SUMIFS(Transactions!$C$5:$C$2004,Transactions!$B$5:$B$2004,$A21,Transactions!$A$5:$A$2004,"&gt;="&amp;DATE(Setup!$B$4,4,1),Transactions!$A$5:$A$2004,"&lt;="&amp;EOMONTH(DATE(Setup!$B$4,4,1),0)))</f>
        <v/>
      </c>
      <c r="G21" s="18">
        <f>IF($A21="","",SUMIFS(Transactions!$C$5:$C$2004,Transactions!$B$5:$B$2004,$A21,Transactions!$A$5:$A$2004,"&gt;="&amp;DATE(Setup!$B$4,5,1),Transactions!$A$5:$A$2004,"&lt;="&amp;EOMONTH(DATE(Setup!$B$4,5,1),0)))</f>
        <v/>
      </c>
      <c r="H21" s="18">
        <f>IF($A21="","",SUMIFS(Transactions!$C$5:$C$2004,Transactions!$B$5:$B$2004,$A21,Transactions!$A$5:$A$2004,"&gt;="&amp;DATE(Setup!$B$4,6,1),Transactions!$A$5:$A$2004,"&lt;="&amp;EOMONTH(DATE(Setup!$B$4,6,1),0)))</f>
        <v/>
      </c>
      <c r="I21" s="18">
        <f>IF($A21="","",SUMIFS(Transactions!$C$5:$C$2004,Transactions!$B$5:$B$2004,$A21,Transactions!$A$5:$A$2004,"&gt;="&amp;DATE(Setup!$B$4,7,1),Transactions!$A$5:$A$2004,"&lt;="&amp;EOMONTH(DATE(Setup!$B$4,7,1),0)))</f>
        <v/>
      </c>
      <c r="J21" s="18">
        <f>IF($A21="","",SUMIFS(Transactions!$C$5:$C$2004,Transactions!$B$5:$B$2004,$A21,Transactions!$A$5:$A$2004,"&gt;="&amp;DATE(Setup!$B$4,8,1),Transactions!$A$5:$A$2004,"&lt;="&amp;EOMONTH(DATE(Setup!$B$4,8,1),0)))</f>
        <v/>
      </c>
      <c r="K21" s="18">
        <f>IF($A21="","",SUMIFS(Transactions!$C$5:$C$2004,Transactions!$B$5:$B$2004,$A21,Transactions!$A$5:$A$2004,"&gt;="&amp;DATE(Setup!$B$4,9,1),Transactions!$A$5:$A$2004,"&lt;="&amp;EOMONTH(DATE(Setup!$B$4,9,1),0)))</f>
        <v/>
      </c>
      <c r="L21" s="18">
        <f>IF($A21="","",SUMIFS(Transactions!$C$5:$C$2004,Transactions!$B$5:$B$2004,$A21,Transactions!$A$5:$A$2004,"&gt;="&amp;DATE(Setup!$B$4,10,1),Transactions!$A$5:$A$2004,"&lt;="&amp;EOMONTH(DATE(Setup!$B$4,10,1),0)))</f>
        <v/>
      </c>
      <c r="M21" s="18">
        <f>IF($A21="","",SUMIFS(Transactions!$C$5:$C$2004,Transactions!$B$5:$B$2004,$A21,Transactions!$A$5:$A$2004,"&gt;="&amp;DATE(Setup!$B$4,11,1),Transactions!$A$5:$A$2004,"&lt;="&amp;EOMONTH(DATE(Setup!$B$4,11,1),0)))</f>
        <v/>
      </c>
      <c r="N21" s="18">
        <f>IF($A21="","",SUMIFS(Transactions!$C$5:$C$2004,Transactions!$B$5:$B$2004,$A21,Transactions!$A$5:$A$2004,"&gt;="&amp;DATE(Setup!$B$4,12,1),Transactions!$A$5:$A$2004,"&lt;="&amp;EOMONTH(DATE(Setup!$B$4,12,1),0)))</f>
        <v/>
      </c>
      <c r="O21" s="18">
        <f>IF($A21="","",SUM(C21:N21))</f>
        <v/>
      </c>
    </row>
    <row r="22">
      <c r="A22">
        <f>IF(Categories!A22="","",Categories!A22)</f>
        <v/>
      </c>
      <c r="B22">
        <f>IF(Categories!A22="","",Categories!B22)</f>
        <v/>
      </c>
      <c r="C22" s="18">
        <f>IF($A22="","",SUMIFS(Transactions!$C$5:$C$2004,Transactions!$B$5:$B$2004,$A22,Transactions!$A$5:$A$2004,"&gt;="&amp;DATE(Setup!$B$4,1,1),Transactions!$A$5:$A$2004,"&lt;="&amp;EOMONTH(DATE(Setup!$B$4,1,1),0)))</f>
        <v/>
      </c>
      <c r="D22" s="18">
        <f>IF($A22="","",SUMIFS(Transactions!$C$5:$C$2004,Transactions!$B$5:$B$2004,$A22,Transactions!$A$5:$A$2004,"&gt;="&amp;DATE(Setup!$B$4,2,1),Transactions!$A$5:$A$2004,"&lt;="&amp;EOMONTH(DATE(Setup!$B$4,2,1),0)))</f>
        <v/>
      </c>
      <c r="E22" s="18">
        <f>IF($A22="","",SUMIFS(Transactions!$C$5:$C$2004,Transactions!$B$5:$B$2004,$A22,Transactions!$A$5:$A$2004,"&gt;="&amp;DATE(Setup!$B$4,3,1),Transactions!$A$5:$A$2004,"&lt;="&amp;EOMONTH(DATE(Setup!$B$4,3,1),0)))</f>
        <v/>
      </c>
      <c r="F22" s="18">
        <f>IF($A22="","",SUMIFS(Transactions!$C$5:$C$2004,Transactions!$B$5:$B$2004,$A22,Transactions!$A$5:$A$2004,"&gt;="&amp;DATE(Setup!$B$4,4,1),Transactions!$A$5:$A$2004,"&lt;="&amp;EOMONTH(DATE(Setup!$B$4,4,1),0)))</f>
        <v/>
      </c>
      <c r="G22" s="18">
        <f>IF($A22="","",SUMIFS(Transactions!$C$5:$C$2004,Transactions!$B$5:$B$2004,$A22,Transactions!$A$5:$A$2004,"&gt;="&amp;DATE(Setup!$B$4,5,1),Transactions!$A$5:$A$2004,"&lt;="&amp;EOMONTH(DATE(Setup!$B$4,5,1),0)))</f>
        <v/>
      </c>
      <c r="H22" s="18">
        <f>IF($A22="","",SUMIFS(Transactions!$C$5:$C$2004,Transactions!$B$5:$B$2004,$A22,Transactions!$A$5:$A$2004,"&gt;="&amp;DATE(Setup!$B$4,6,1),Transactions!$A$5:$A$2004,"&lt;="&amp;EOMONTH(DATE(Setup!$B$4,6,1),0)))</f>
        <v/>
      </c>
      <c r="I22" s="18">
        <f>IF($A22="","",SUMIFS(Transactions!$C$5:$C$2004,Transactions!$B$5:$B$2004,$A22,Transactions!$A$5:$A$2004,"&gt;="&amp;DATE(Setup!$B$4,7,1),Transactions!$A$5:$A$2004,"&lt;="&amp;EOMONTH(DATE(Setup!$B$4,7,1),0)))</f>
        <v/>
      </c>
      <c r="J22" s="18">
        <f>IF($A22="","",SUMIFS(Transactions!$C$5:$C$2004,Transactions!$B$5:$B$2004,$A22,Transactions!$A$5:$A$2004,"&gt;="&amp;DATE(Setup!$B$4,8,1),Transactions!$A$5:$A$2004,"&lt;="&amp;EOMONTH(DATE(Setup!$B$4,8,1),0)))</f>
        <v/>
      </c>
      <c r="K22" s="18">
        <f>IF($A22="","",SUMIFS(Transactions!$C$5:$C$2004,Transactions!$B$5:$B$2004,$A22,Transactions!$A$5:$A$2004,"&gt;="&amp;DATE(Setup!$B$4,9,1),Transactions!$A$5:$A$2004,"&lt;="&amp;EOMONTH(DATE(Setup!$B$4,9,1),0)))</f>
        <v/>
      </c>
      <c r="L22" s="18">
        <f>IF($A22="","",SUMIFS(Transactions!$C$5:$C$2004,Transactions!$B$5:$B$2004,$A22,Transactions!$A$5:$A$2004,"&gt;="&amp;DATE(Setup!$B$4,10,1),Transactions!$A$5:$A$2004,"&lt;="&amp;EOMONTH(DATE(Setup!$B$4,10,1),0)))</f>
        <v/>
      </c>
      <c r="M22" s="18">
        <f>IF($A22="","",SUMIFS(Transactions!$C$5:$C$2004,Transactions!$B$5:$B$2004,$A22,Transactions!$A$5:$A$2004,"&gt;="&amp;DATE(Setup!$B$4,11,1),Transactions!$A$5:$A$2004,"&lt;="&amp;EOMONTH(DATE(Setup!$B$4,11,1),0)))</f>
        <v/>
      </c>
      <c r="N22" s="18">
        <f>IF($A22="","",SUMIFS(Transactions!$C$5:$C$2004,Transactions!$B$5:$B$2004,$A22,Transactions!$A$5:$A$2004,"&gt;="&amp;DATE(Setup!$B$4,12,1),Transactions!$A$5:$A$2004,"&lt;="&amp;EOMONTH(DATE(Setup!$B$4,12,1),0)))</f>
        <v/>
      </c>
      <c r="O22" s="18">
        <f>IF($A22="","",SUM(C22:N22))</f>
        <v/>
      </c>
    </row>
    <row r="23">
      <c r="A23">
        <f>IF(Categories!A23="","",Categories!A23)</f>
        <v/>
      </c>
      <c r="B23">
        <f>IF(Categories!A23="","",Categories!B23)</f>
        <v/>
      </c>
      <c r="C23" s="18">
        <f>IF($A23="","",SUMIFS(Transactions!$C$5:$C$2004,Transactions!$B$5:$B$2004,$A23,Transactions!$A$5:$A$2004,"&gt;="&amp;DATE(Setup!$B$4,1,1),Transactions!$A$5:$A$2004,"&lt;="&amp;EOMONTH(DATE(Setup!$B$4,1,1),0)))</f>
        <v/>
      </c>
      <c r="D23" s="18">
        <f>IF($A23="","",SUMIFS(Transactions!$C$5:$C$2004,Transactions!$B$5:$B$2004,$A23,Transactions!$A$5:$A$2004,"&gt;="&amp;DATE(Setup!$B$4,2,1),Transactions!$A$5:$A$2004,"&lt;="&amp;EOMONTH(DATE(Setup!$B$4,2,1),0)))</f>
        <v/>
      </c>
      <c r="E23" s="18">
        <f>IF($A23="","",SUMIFS(Transactions!$C$5:$C$2004,Transactions!$B$5:$B$2004,$A23,Transactions!$A$5:$A$2004,"&gt;="&amp;DATE(Setup!$B$4,3,1),Transactions!$A$5:$A$2004,"&lt;="&amp;EOMONTH(DATE(Setup!$B$4,3,1),0)))</f>
        <v/>
      </c>
      <c r="F23" s="18">
        <f>IF($A23="","",SUMIFS(Transactions!$C$5:$C$2004,Transactions!$B$5:$B$2004,$A23,Transactions!$A$5:$A$2004,"&gt;="&amp;DATE(Setup!$B$4,4,1),Transactions!$A$5:$A$2004,"&lt;="&amp;EOMONTH(DATE(Setup!$B$4,4,1),0)))</f>
        <v/>
      </c>
      <c r="G23" s="18">
        <f>IF($A23="","",SUMIFS(Transactions!$C$5:$C$2004,Transactions!$B$5:$B$2004,$A23,Transactions!$A$5:$A$2004,"&gt;="&amp;DATE(Setup!$B$4,5,1),Transactions!$A$5:$A$2004,"&lt;="&amp;EOMONTH(DATE(Setup!$B$4,5,1),0)))</f>
        <v/>
      </c>
      <c r="H23" s="18">
        <f>IF($A23="","",SUMIFS(Transactions!$C$5:$C$2004,Transactions!$B$5:$B$2004,$A23,Transactions!$A$5:$A$2004,"&gt;="&amp;DATE(Setup!$B$4,6,1),Transactions!$A$5:$A$2004,"&lt;="&amp;EOMONTH(DATE(Setup!$B$4,6,1),0)))</f>
        <v/>
      </c>
      <c r="I23" s="18">
        <f>IF($A23="","",SUMIFS(Transactions!$C$5:$C$2004,Transactions!$B$5:$B$2004,$A23,Transactions!$A$5:$A$2004,"&gt;="&amp;DATE(Setup!$B$4,7,1),Transactions!$A$5:$A$2004,"&lt;="&amp;EOMONTH(DATE(Setup!$B$4,7,1),0)))</f>
        <v/>
      </c>
      <c r="J23" s="18">
        <f>IF($A23="","",SUMIFS(Transactions!$C$5:$C$2004,Transactions!$B$5:$B$2004,$A23,Transactions!$A$5:$A$2004,"&gt;="&amp;DATE(Setup!$B$4,8,1),Transactions!$A$5:$A$2004,"&lt;="&amp;EOMONTH(DATE(Setup!$B$4,8,1),0)))</f>
        <v/>
      </c>
      <c r="K23" s="18">
        <f>IF($A23="","",SUMIFS(Transactions!$C$5:$C$2004,Transactions!$B$5:$B$2004,$A23,Transactions!$A$5:$A$2004,"&gt;="&amp;DATE(Setup!$B$4,9,1),Transactions!$A$5:$A$2004,"&lt;="&amp;EOMONTH(DATE(Setup!$B$4,9,1),0)))</f>
        <v/>
      </c>
      <c r="L23" s="18">
        <f>IF($A23="","",SUMIFS(Transactions!$C$5:$C$2004,Transactions!$B$5:$B$2004,$A23,Transactions!$A$5:$A$2004,"&gt;="&amp;DATE(Setup!$B$4,10,1),Transactions!$A$5:$A$2004,"&lt;="&amp;EOMONTH(DATE(Setup!$B$4,10,1),0)))</f>
        <v/>
      </c>
      <c r="M23" s="18">
        <f>IF($A23="","",SUMIFS(Transactions!$C$5:$C$2004,Transactions!$B$5:$B$2004,$A23,Transactions!$A$5:$A$2004,"&gt;="&amp;DATE(Setup!$B$4,11,1),Transactions!$A$5:$A$2004,"&lt;="&amp;EOMONTH(DATE(Setup!$B$4,11,1),0)))</f>
        <v/>
      </c>
      <c r="N23" s="18">
        <f>IF($A23="","",SUMIFS(Transactions!$C$5:$C$2004,Transactions!$B$5:$B$2004,$A23,Transactions!$A$5:$A$2004,"&gt;="&amp;DATE(Setup!$B$4,12,1),Transactions!$A$5:$A$2004,"&lt;="&amp;EOMONTH(DATE(Setup!$B$4,12,1),0)))</f>
        <v/>
      </c>
      <c r="O23" s="18">
        <f>IF($A23="","",SUM(C23:N23))</f>
        <v/>
      </c>
    </row>
    <row r="24">
      <c r="A24">
        <f>IF(Categories!A24="","",Categories!A24)</f>
        <v/>
      </c>
      <c r="B24">
        <f>IF(Categories!A24="","",Categories!B24)</f>
        <v/>
      </c>
      <c r="C24" s="18">
        <f>IF($A24="","",SUMIFS(Transactions!$C$5:$C$2004,Transactions!$B$5:$B$2004,$A24,Transactions!$A$5:$A$2004,"&gt;="&amp;DATE(Setup!$B$4,1,1),Transactions!$A$5:$A$2004,"&lt;="&amp;EOMONTH(DATE(Setup!$B$4,1,1),0)))</f>
        <v/>
      </c>
      <c r="D24" s="18">
        <f>IF($A24="","",SUMIFS(Transactions!$C$5:$C$2004,Transactions!$B$5:$B$2004,$A24,Transactions!$A$5:$A$2004,"&gt;="&amp;DATE(Setup!$B$4,2,1),Transactions!$A$5:$A$2004,"&lt;="&amp;EOMONTH(DATE(Setup!$B$4,2,1),0)))</f>
        <v/>
      </c>
      <c r="E24" s="18">
        <f>IF($A24="","",SUMIFS(Transactions!$C$5:$C$2004,Transactions!$B$5:$B$2004,$A24,Transactions!$A$5:$A$2004,"&gt;="&amp;DATE(Setup!$B$4,3,1),Transactions!$A$5:$A$2004,"&lt;="&amp;EOMONTH(DATE(Setup!$B$4,3,1),0)))</f>
        <v/>
      </c>
      <c r="F24" s="18">
        <f>IF($A24="","",SUMIFS(Transactions!$C$5:$C$2004,Transactions!$B$5:$B$2004,$A24,Transactions!$A$5:$A$2004,"&gt;="&amp;DATE(Setup!$B$4,4,1),Transactions!$A$5:$A$2004,"&lt;="&amp;EOMONTH(DATE(Setup!$B$4,4,1),0)))</f>
        <v/>
      </c>
      <c r="G24" s="18">
        <f>IF($A24="","",SUMIFS(Transactions!$C$5:$C$2004,Transactions!$B$5:$B$2004,$A24,Transactions!$A$5:$A$2004,"&gt;="&amp;DATE(Setup!$B$4,5,1),Transactions!$A$5:$A$2004,"&lt;="&amp;EOMONTH(DATE(Setup!$B$4,5,1),0)))</f>
        <v/>
      </c>
      <c r="H24" s="18">
        <f>IF($A24="","",SUMIFS(Transactions!$C$5:$C$2004,Transactions!$B$5:$B$2004,$A24,Transactions!$A$5:$A$2004,"&gt;="&amp;DATE(Setup!$B$4,6,1),Transactions!$A$5:$A$2004,"&lt;="&amp;EOMONTH(DATE(Setup!$B$4,6,1),0)))</f>
        <v/>
      </c>
      <c r="I24" s="18">
        <f>IF($A24="","",SUMIFS(Transactions!$C$5:$C$2004,Transactions!$B$5:$B$2004,$A24,Transactions!$A$5:$A$2004,"&gt;="&amp;DATE(Setup!$B$4,7,1),Transactions!$A$5:$A$2004,"&lt;="&amp;EOMONTH(DATE(Setup!$B$4,7,1),0)))</f>
        <v/>
      </c>
      <c r="J24" s="18">
        <f>IF($A24="","",SUMIFS(Transactions!$C$5:$C$2004,Transactions!$B$5:$B$2004,$A24,Transactions!$A$5:$A$2004,"&gt;="&amp;DATE(Setup!$B$4,8,1),Transactions!$A$5:$A$2004,"&lt;="&amp;EOMONTH(DATE(Setup!$B$4,8,1),0)))</f>
        <v/>
      </c>
      <c r="K24" s="18">
        <f>IF($A24="","",SUMIFS(Transactions!$C$5:$C$2004,Transactions!$B$5:$B$2004,$A24,Transactions!$A$5:$A$2004,"&gt;="&amp;DATE(Setup!$B$4,9,1),Transactions!$A$5:$A$2004,"&lt;="&amp;EOMONTH(DATE(Setup!$B$4,9,1),0)))</f>
        <v/>
      </c>
      <c r="L24" s="18">
        <f>IF($A24="","",SUMIFS(Transactions!$C$5:$C$2004,Transactions!$B$5:$B$2004,$A24,Transactions!$A$5:$A$2004,"&gt;="&amp;DATE(Setup!$B$4,10,1),Transactions!$A$5:$A$2004,"&lt;="&amp;EOMONTH(DATE(Setup!$B$4,10,1),0)))</f>
        <v/>
      </c>
      <c r="M24" s="18">
        <f>IF($A24="","",SUMIFS(Transactions!$C$5:$C$2004,Transactions!$B$5:$B$2004,$A24,Transactions!$A$5:$A$2004,"&gt;="&amp;DATE(Setup!$B$4,11,1),Transactions!$A$5:$A$2004,"&lt;="&amp;EOMONTH(DATE(Setup!$B$4,11,1),0)))</f>
        <v/>
      </c>
      <c r="N24" s="18">
        <f>IF($A24="","",SUMIFS(Transactions!$C$5:$C$2004,Transactions!$B$5:$B$2004,$A24,Transactions!$A$5:$A$2004,"&gt;="&amp;DATE(Setup!$B$4,12,1),Transactions!$A$5:$A$2004,"&lt;="&amp;EOMONTH(DATE(Setup!$B$4,12,1),0)))</f>
        <v/>
      </c>
      <c r="O24" s="18">
        <f>IF($A24="","",SUM(C24:N24))</f>
        <v/>
      </c>
    </row>
    <row r="25">
      <c r="A25">
        <f>IF(Categories!A25="","",Categories!A25)</f>
        <v/>
      </c>
      <c r="B25">
        <f>IF(Categories!A25="","",Categories!B25)</f>
        <v/>
      </c>
      <c r="C25" s="18">
        <f>IF($A25="","",SUMIFS(Transactions!$C$5:$C$2004,Transactions!$B$5:$B$2004,$A25,Transactions!$A$5:$A$2004,"&gt;="&amp;DATE(Setup!$B$4,1,1),Transactions!$A$5:$A$2004,"&lt;="&amp;EOMONTH(DATE(Setup!$B$4,1,1),0)))</f>
        <v/>
      </c>
      <c r="D25" s="18">
        <f>IF($A25="","",SUMIFS(Transactions!$C$5:$C$2004,Transactions!$B$5:$B$2004,$A25,Transactions!$A$5:$A$2004,"&gt;="&amp;DATE(Setup!$B$4,2,1),Transactions!$A$5:$A$2004,"&lt;="&amp;EOMONTH(DATE(Setup!$B$4,2,1),0)))</f>
        <v/>
      </c>
      <c r="E25" s="18">
        <f>IF($A25="","",SUMIFS(Transactions!$C$5:$C$2004,Transactions!$B$5:$B$2004,$A25,Transactions!$A$5:$A$2004,"&gt;="&amp;DATE(Setup!$B$4,3,1),Transactions!$A$5:$A$2004,"&lt;="&amp;EOMONTH(DATE(Setup!$B$4,3,1),0)))</f>
        <v/>
      </c>
      <c r="F25" s="18">
        <f>IF($A25="","",SUMIFS(Transactions!$C$5:$C$2004,Transactions!$B$5:$B$2004,$A25,Transactions!$A$5:$A$2004,"&gt;="&amp;DATE(Setup!$B$4,4,1),Transactions!$A$5:$A$2004,"&lt;="&amp;EOMONTH(DATE(Setup!$B$4,4,1),0)))</f>
        <v/>
      </c>
      <c r="G25" s="18">
        <f>IF($A25="","",SUMIFS(Transactions!$C$5:$C$2004,Transactions!$B$5:$B$2004,$A25,Transactions!$A$5:$A$2004,"&gt;="&amp;DATE(Setup!$B$4,5,1),Transactions!$A$5:$A$2004,"&lt;="&amp;EOMONTH(DATE(Setup!$B$4,5,1),0)))</f>
        <v/>
      </c>
      <c r="H25" s="18">
        <f>IF($A25="","",SUMIFS(Transactions!$C$5:$C$2004,Transactions!$B$5:$B$2004,$A25,Transactions!$A$5:$A$2004,"&gt;="&amp;DATE(Setup!$B$4,6,1),Transactions!$A$5:$A$2004,"&lt;="&amp;EOMONTH(DATE(Setup!$B$4,6,1),0)))</f>
        <v/>
      </c>
      <c r="I25" s="18">
        <f>IF($A25="","",SUMIFS(Transactions!$C$5:$C$2004,Transactions!$B$5:$B$2004,$A25,Transactions!$A$5:$A$2004,"&gt;="&amp;DATE(Setup!$B$4,7,1),Transactions!$A$5:$A$2004,"&lt;="&amp;EOMONTH(DATE(Setup!$B$4,7,1),0)))</f>
        <v/>
      </c>
      <c r="J25" s="18">
        <f>IF($A25="","",SUMIFS(Transactions!$C$5:$C$2004,Transactions!$B$5:$B$2004,$A25,Transactions!$A$5:$A$2004,"&gt;="&amp;DATE(Setup!$B$4,8,1),Transactions!$A$5:$A$2004,"&lt;="&amp;EOMONTH(DATE(Setup!$B$4,8,1),0)))</f>
        <v/>
      </c>
      <c r="K25" s="18">
        <f>IF($A25="","",SUMIFS(Transactions!$C$5:$C$2004,Transactions!$B$5:$B$2004,$A25,Transactions!$A$5:$A$2004,"&gt;="&amp;DATE(Setup!$B$4,9,1),Transactions!$A$5:$A$2004,"&lt;="&amp;EOMONTH(DATE(Setup!$B$4,9,1),0)))</f>
        <v/>
      </c>
      <c r="L25" s="18">
        <f>IF($A25="","",SUMIFS(Transactions!$C$5:$C$2004,Transactions!$B$5:$B$2004,$A25,Transactions!$A$5:$A$2004,"&gt;="&amp;DATE(Setup!$B$4,10,1),Transactions!$A$5:$A$2004,"&lt;="&amp;EOMONTH(DATE(Setup!$B$4,10,1),0)))</f>
        <v/>
      </c>
      <c r="M25" s="18">
        <f>IF($A25="","",SUMIFS(Transactions!$C$5:$C$2004,Transactions!$B$5:$B$2004,$A25,Transactions!$A$5:$A$2004,"&gt;="&amp;DATE(Setup!$B$4,11,1),Transactions!$A$5:$A$2004,"&lt;="&amp;EOMONTH(DATE(Setup!$B$4,11,1),0)))</f>
        <v/>
      </c>
      <c r="N25" s="18">
        <f>IF($A25="","",SUMIFS(Transactions!$C$5:$C$2004,Transactions!$B$5:$B$2004,$A25,Transactions!$A$5:$A$2004,"&gt;="&amp;DATE(Setup!$B$4,12,1),Transactions!$A$5:$A$2004,"&lt;="&amp;EOMONTH(DATE(Setup!$B$4,12,1),0)))</f>
        <v/>
      </c>
      <c r="O25" s="18">
        <f>IF($A25="","",SUM(C25:N25))</f>
        <v/>
      </c>
    </row>
    <row r="26">
      <c r="A26">
        <f>IF(Categories!A26="","",Categories!A26)</f>
        <v/>
      </c>
      <c r="B26">
        <f>IF(Categories!A26="","",Categories!B26)</f>
        <v/>
      </c>
      <c r="C26" s="18">
        <f>IF($A26="","",SUMIFS(Transactions!$C$5:$C$2004,Transactions!$B$5:$B$2004,$A26,Transactions!$A$5:$A$2004,"&gt;="&amp;DATE(Setup!$B$4,1,1),Transactions!$A$5:$A$2004,"&lt;="&amp;EOMONTH(DATE(Setup!$B$4,1,1),0)))</f>
        <v/>
      </c>
      <c r="D26" s="18">
        <f>IF($A26="","",SUMIFS(Transactions!$C$5:$C$2004,Transactions!$B$5:$B$2004,$A26,Transactions!$A$5:$A$2004,"&gt;="&amp;DATE(Setup!$B$4,2,1),Transactions!$A$5:$A$2004,"&lt;="&amp;EOMONTH(DATE(Setup!$B$4,2,1),0)))</f>
        <v/>
      </c>
      <c r="E26" s="18">
        <f>IF($A26="","",SUMIFS(Transactions!$C$5:$C$2004,Transactions!$B$5:$B$2004,$A26,Transactions!$A$5:$A$2004,"&gt;="&amp;DATE(Setup!$B$4,3,1),Transactions!$A$5:$A$2004,"&lt;="&amp;EOMONTH(DATE(Setup!$B$4,3,1),0)))</f>
        <v/>
      </c>
      <c r="F26" s="18">
        <f>IF($A26="","",SUMIFS(Transactions!$C$5:$C$2004,Transactions!$B$5:$B$2004,$A26,Transactions!$A$5:$A$2004,"&gt;="&amp;DATE(Setup!$B$4,4,1),Transactions!$A$5:$A$2004,"&lt;="&amp;EOMONTH(DATE(Setup!$B$4,4,1),0)))</f>
        <v/>
      </c>
      <c r="G26" s="18">
        <f>IF($A26="","",SUMIFS(Transactions!$C$5:$C$2004,Transactions!$B$5:$B$2004,$A26,Transactions!$A$5:$A$2004,"&gt;="&amp;DATE(Setup!$B$4,5,1),Transactions!$A$5:$A$2004,"&lt;="&amp;EOMONTH(DATE(Setup!$B$4,5,1),0)))</f>
        <v/>
      </c>
      <c r="H26" s="18">
        <f>IF($A26="","",SUMIFS(Transactions!$C$5:$C$2004,Transactions!$B$5:$B$2004,$A26,Transactions!$A$5:$A$2004,"&gt;="&amp;DATE(Setup!$B$4,6,1),Transactions!$A$5:$A$2004,"&lt;="&amp;EOMONTH(DATE(Setup!$B$4,6,1),0)))</f>
        <v/>
      </c>
      <c r="I26" s="18">
        <f>IF($A26="","",SUMIFS(Transactions!$C$5:$C$2004,Transactions!$B$5:$B$2004,$A26,Transactions!$A$5:$A$2004,"&gt;="&amp;DATE(Setup!$B$4,7,1),Transactions!$A$5:$A$2004,"&lt;="&amp;EOMONTH(DATE(Setup!$B$4,7,1),0)))</f>
        <v/>
      </c>
      <c r="J26" s="18">
        <f>IF($A26="","",SUMIFS(Transactions!$C$5:$C$2004,Transactions!$B$5:$B$2004,$A26,Transactions!$A$5:$A$2004,"&gt;="&amp;DATE(Setup!$B$4,8,1),Transactions!$A$5:$A$2004,"&lt;="&amp;EOMONTH(DATE(Setup!$B$4,8,1),0)))</f>
        <v/>
      </c>
      <c r="K26" s="18">
        <f>IF($A26="","",SUMIFS(Transactions!$C$5:$C$2004,Transactions!$B$5:$B$2004,$A26,Transactions!$A$5:$A$2004,"&gt;="&amp;DATE(Setup!$B$4,9,1),Transactions!$A$5:$A$2004,"&lt;="&amp;EOMONTH(DATE(Setup!$B$4,9,1),0)))</f>
        <v/>
      </c>
      <c r="L26" s="18">
        <f>IF($A26="","",SUMIFS(Transactions!$C$5:$C$2004,Transactions!$B$5:$B$2004,$A26,Transactions!$A$5:$A$2004,"&gt;="&amp;DATE(Setup!$B$4,10,1),Transactions!$A$5:$A$2004,"&lt;="&amp;EOMONTH(DATE(Setup!$B$4,10,1),0)))</f>
        <v/>
      </c>
      <c r="M26" s="18">
        <f>IF($A26="","",SUMIFS(Transactions!$C$5:$C$2004,Transactions!$B$5:$B$2004,$A26,Transactions!$A$5:$A$2004,"&gt;="&amp;DATE(Setup!$B$4,11,1),Transactions!$A$5:$A$2004,"&lt;="&amp;EOMONTH(DATE(Setup!$B$4,11,1),0)))</f>
        <v/>
      </c>
      <c r="N26" s="18">
        <f>IF($A26="","",SUMIFS(Transactions!$C$5:$C$2004,Transactions!$B$5:$B$2004,$A26,Transactions!$A$5:$A$2004,"&gt;="&amp;DATE(Setup!$B$4,12,1),Transactions!$A$5:$A$2004,"&lt;="&amp;EOMONTH(DATE(Setup!$B$4,12,1),0)))</f>
        <v/>
      </c>
      <c r="O26" s="18">
        <f>IF($A26="","",SUM(C26:N26))</f>
        <v/>
      </c>
    </row>
    <row r="27">
      <c r="A27">
        <f>IF(Categories!A27="","",Categories!A27)</f>
        <v/>
      </c>
      <c r="B27">
        <f>IF(Categories!A27="","",Categories!B27)</f>
        <v/>
      </c>
      <c r="C27" s="18">
        <f>IF($A27="","",SUMIFS(Transactions!$C$5:$C$2004,Transactions!$B$5:$B$2004,$A27,Transactions!$A$5:$A$2004,"&gt;="&amp;DATE(Setup!$B$4,1,1),Transactions!$A$5:$A$2004,"&lt;="&amp;EOMONTH(DATE(Setup!$B$4,1,1),0)))</f>
        <v/>
      </c>
      <c r="D27" s="18">
        <f>IF($A27="","",SUMIFS(Transactions!$C$5:$C$2004,Transactions!$B$5:$B$2004,$A27,Transactions!$A$5:$A$2004,"&gt;="&amp;DATE(Setup!$B$4,2,1),Transactions!$A$5:$A$2004,"&lt;="&amp;EOMONTH(DATE(Setup!$B$4,2,1),0)))</f>
        <v/>
      </c>
      <c r="E27" s="18">
        <f>IF($A27="","",SUMIFS(Transactions!$C$5:$C$2004,Transactions!$B$5:$B$2004,$A27,Transactions!$A$5:$A$2004,"&gt;="&amp;DATE(Setup!$B$4,3,1),Transactions!$A$5:$A$2004,"&lt;="&amp;EOMONTH(DATE(Setup!$B$4,3,1),0)))</f>
        <v/>
      </c>
      <c r="F27" s="18">
        <f>IF($A27="","",SUMIFS(Transactions!$C$5:$C$2004,Transactions!$B$5:$B$2004,$A27,Transactions!$A$5:$A$2004,"&gt;="&amp;DATE(Setup!$B$4,4,1),Transactions!$A$5:$A$2004,"&lt;="&amp;EOMONTH(DATE(Setup!$B$4,4,1),0)))</f>
        <v/>
      </c>
      <c r="G27" s="18">
        <f>IF($A27="","",SUMIFS(Transactions!$C$5:$C$2004,Transactions!$B$5:$B$2004,$A27,Transactions!$A$5:$A$2004,"&gt;="&amp;DATE(Setup!$B$4,5,1),Transactions!$A$5:$A$2004,"&lt;="&amp;EOMONTH(DATE(Setup!$B$4,5,1),0)))</f>
        <v/>
      </c>
      <c r="H27" s="18">
        <f>IF($A27="","",SUMIFS(Transactions!$C$5:$C$2004,Transactions!$B$5:$B$2004,$A27,Transactions!$A$5:$A$2004,"&gt;="&amp;DATE(Setup!$B$4,6,1),Transactions!$A$5:$A$2004,"&lt;="&amp;EOMONTH(DATE(Setup!$B$4,6,1),0)))</f>
        <v/>
      </c>
      <c r="I27" s="18">
        <f>IF($A27="","",SUMIFS(Transactions!$C$5:$C$2004,Transactions!$B$5:$B$2004,$A27,Transactions!$A$5:$A$2004,"&gt;="&amp;DATE(Setup!$B$4,7,1),Transactions!$A$5:$A$2004,"&lt;="&amp;EOMONTH(DATE(Setup!$B$4,7,1),0)))</f>
        <v/>
      </c>
      <c r="J27" s="18">
        <f>IF($A27="","",SUMIFS(Transactions!$C$5:$C$2004,Transactions!$B$5:$B$2004,$A27,Transactions!$A$5:$A$2004,"&gt;="&amp;DATE(Setup!$B$4,8,1),Transactions!$A$5:$A$2004,"&lt;="&amp;EOMONTH(DATE(Setup!$B$4,8,1),0)))</f>
        <v/>
      </c>
      <c r="K27" s="18">
        <f>IF($A27="","",SUMIFS(Transactions!$C$5:$C$2004,Transactions!$B$5:$B$2004,$A27,Transactions!$A$5:$A$2004,"&gt;="&amp;DATE(Setup!$B$4,9,1),Transactions!$A$5:$A$2004,"&lt;="&amp;EOMONTH(DATE(Setup!$B$4,9,1),0)))</f>
        <v/>
      </c>
      <c r="L27" s="18">
        <f>IF($A27="","",SUMIFS(Transactions!$C$5:$C$2004,Transactions!$B$5:$B$2004,$A27,Transactions!$A$5:$A$2004,"&gt;="&amp;DATE(Setup!$B$4,10,1),Transactions!$A$5:$A$2004,"&lt;="&amp;EOMONTH(DATE(Setup!$B$4,10,1),0)))</f>
        <v/>
      </c>
      <c r="M27" s="18">
        <f>IF($A27="","",SUMIFS(Transactions!$C$5:$C$2004,Transactions!$B$5:$B$2004,$A27,Transactions!$A$5:$A$2004,"&gt;="&amp;DATE(Setup!$B$4,11,1),Transactions!$A$5:$A$2004,"&lt;="&amp;EOMONTH(DATE(Setup!$B$4,11,1),0)))</f>
        <v/>
      </c>
      <c r="N27" s="18">
        <f>IF($A27="","",SUMIFS(Transactions!$C$5:$C$2004,Transactions!$B$5:$B$2004,$A27,Transactions!$A$5:$A$2004,"&gt;="&amp;DATE(Setup!$B$4,12,1),Transactions!$A$5:$A$2004,"&lt;="&amp;EOMONTH(DATE(Setup!$B$4,12,1),0)))</f>
        <v/>
      </c>
      <c r="O27" s="18">
        <f>IF($A27="","",SUM(C27:N27))</f>
        <v/>
      </c>
    </row>
    <row r="28">
      <c r="A28">
        <f>IF(Categories!A28="","",Categories!A28)</f>
        <v/>
      </c>
      <c r="B28">
        <f>IF(Categories!A28="","",Categories!B28)</f>
        <v/>
      </c>
      <c r="C28" s="18">
        <f>IF($A28="","",SUMIFS(Transactions!$C$5:$C$2004,Transactions!$B$5:$B$2004,$A28,Transactions!$A$5:$A$2004,"&gt;="&amp;DATE(Setup!$B$4,1,1),Transactions!$A$5:$A$2004,"&lt;="&amp;EOMONTH(DATE(Setup!$B$4,1,1),0)))</f>
        <v/>
      </c>
      <c r="D28" s="18">
        <f>IF($A28="","",SUMIFS(Transactions!$C$5:$C$2004,Transactions!$B$5:$B$2004,$A28,Transactions!$A$5:$A$2004,"&gt;="&amp;DATE(Setup!$B$4,2,1),Transactions!$A$5:$A$2004,"&lt;="&amp;EOMONTH(DATE(Setup!$B$4,2,1),0)))</f>
        <v/>
      </c>
      <c r="E28" s="18">
        <f>IF($A28="","",SUMIFS(Transactions!$C$5:$C$2004,Transactions!$B$5:$B$2004,$A28,Transactions!$A$5:$A$2004,"&gt;="&amp;DATE(Setup!$B$4,3,1),Transactions!$A$5:$A$2004,"&lt;="&amp;EOMONTH(DATE(Setup!$B$4,3,1),0)))</f>
        <v/>
      </c>
      <c r="F28" s="18">
        <f>IF($A28="","",SUMIFS(Transactions!$C$5:$C$2004,Transactions!$B$5:$B$2004,$A28,Transactions!$A$5:$A$2004,"&gt;="&amp;DATE(Setup!$B$4,4,1),Transactions!$A$5:$A$2004,"&lt;="&amp;EOMONTH(DATE(Setup!$B$4,4,1),0)))</f>
        <v/>
      </c>
      <c r="G28" s="18">
        <f>IF($A28="","",SUMIFS(Transactions!$C$5:$C$2004,Transactions!$B$5:$B$2004,$A28,Transactions!$A$5:$A$2004,"&gt;="&amp;DATE(Setup!$B$4,5,1),Transactions!$A$5:$A$2004,"&lt;="&amp;EOMONTH(DATE(Setup!$B$4,5,1),0)))</f>
        <v/>
      </c>
      <c r="H28" s="18">
        <f>IF($A28="","",SUMIFS(Transactions!$C$5:$C$2004,Transactions!$B$5:$B$2004,$A28,Transactions!$A$5:$A$2004,"&gt;="&amp;DATE(Setup!$B$4,6,1),Transactions!$A$5:$A$2004,"&lt;="&amp;EOMONTH(DATE(Setup!$B$4,6,1),0)))</f>
        <v/>
      </c>
      <c r="I28" s="18">
        <f>IF($A28="","",SUMIFS(Transactions!$C$5:$C$2004,Transactions!$B$5:$B$2004,$A28,Transactions!$A$5:$A$2004,"&gt;="&amp;DATE(Setup!$B$4,7,1),Transactions!$A$5:$A$2004,"&lt;="&amp;EOMONTH(DATE(Setup!$B$4,7,1),0)))</f>
        <v/>
      </c>
      <c r="J28" s="18">
        <f>IF($A28="","",SUMIFS(Transactions!$C$5:$C$2004,Transactions!$B$5:$B$2004,$A28,Transactions!$A$5:$A$2004,"&gt;="&amp;DATE(Setup!$B$4,8,1),Transactions!$A$5:$A$2004,"&lt;="&amp;EOMONTH(DATE(Setup!$B$4,8,1),0)))</f>
        <v/>
      </c>
      <c r="K28" s="18">
        <f>IF($A28="","",SUMIFS(Transactions!$C$5:$C$2004,Transactions!$B$5:$B$2004,$A28,Transactions!$A$5:$A$2004,"&gt;="&amp;DATE(Setup!$B$4,9,1),Transactions!$A$5:$A$2004,"&lt;="&amp;EOMONTH(DATE(Setup!$B$4,9,1),0)))</f>
        <v/>
      </c>
      <c r="L28" s="18">
        <f>IF($A28="","",SUMIFS(Transactions!$C$5:$C$2004,Transactions!$B$5:$B$2004,$A28,Transactions!$A$5:$A$2004,"&gt;="&amp;DATE(Setup!$B$4,10,1),Transactions!$A$5:$A$2004,"&lt;="&amp;EOMONTH(DATE(Setup!$B$4,10,1),0)))</f>
        <v/>
      </c>
      <c r="M28" s="18">
        <f>IF($A28="","",SUMIFS(Transactions!$C$5:$C$2004,Transactions!$B$5:$B$2004,$A28,Transactions!$A$5:$A$2004,"&gt;="&amp;DATE(Setup!$B$4,11,1),Transactions!$A$5:$A$2004,"&lt;="&amp;EOMONTH(DATE(Setup!$B$4,11,1),0)))</f>
        <v/>
      </c>
      <c r="N28" s="18">
        <f>IF($A28="","",SUMIFS(Transactions!$C$5:$C$2004,Transactions!$B$5:$B$2004,$A28,Transactions!$A$5:$A$2004,"&gt;="&amp;DATE(Setup!$B$4,12,1),Transactions!$A$5:$A$2004,"&lt;="&amp;EOMONTH(DATE(Setup!$B$4,12,1),0)))</f>
        <v/>
      </c>
      <c r="O28" s="18">
        <f>IF($A28="","",SUM(C28:N28))</f>
        <v/>
      </c>
    </row>
    <row r="29">
      <c r="A29">
        <f>IF(Categories!A29="","",Categories!A29)</f>
        <v/>
      </c>
      <c r="B29">
        <f>IF(Categories!A29="","",Categories!B29)</f>
        <v/>
      </c>
      <c r="C29" s="18">
        <f>IF($A29="","",SUMIFS(Transactions!$C$5:$C$2004,Transactions!$B$5:$B$2004,$A29,Transactions!$A$5:$A$2004,"&gt;="&amp;DATE(Setup!$B$4,1,1),Transactions!$A$5:$A$2004,"&lt;="&amp;EOMONTH(DATE(Setup!$B$4,1,1),0)))</f>
        <v/>
      </c>
      <c r="D29" s="18">
        <f>IF($A29="","",SUMIFS(Transactions!$C$5:$C$2004,Transactions!$B$5:$B$2004,$A29,Transactions!$A$5:$A$2004,"&gt;="&amp;DATE(Setup!$B$4,2,1),Transactions!$A$5:$A$2004,"&lt;="&amp;EOMONTH(DATE(Setup!$B$4,2,1),0)))</f>
        <v/>
      </c>
      <c r="E29" s="18">
        <f>IF($A29="","",SUMIFS(Transactions!$C$5:$C$2004,Transactions!$B$5:$B$2004,$A29,Transactions!$A$5:$A$2004,"&gt;="&amp;DATE(Setup!$B$4,3,1),Transactions!$A$5:$A$2004,"&lt;="&amp;EOMONTH(DATE(Setup!$B$4,3,1),0)))</f>
        <v/>
      </c>
      <c r="F29" s="18">
        <f>IF($A29="","",SUMIFS(Transactions!$C$5:$C$2004,Transactions!$B$5:$B$2004,$A29,Transactions!$A$5:$A$2004,"&gt;="&amp;DATE(Setup!$B$4,4,1),Transactions!$A$5:$A$2004,"&lt;="&amp;EOMONTH(DATE(Setup!$B$4,4,1),0)))</f>
        <v/>
      </c>
      <c r="G29" s="18">
        <f>IF($A29="","",SUMIFS(Transactions!$C$5:$C$2004,Transactions!$B$5:$B$2004,$A29,Transactions!$A$5:$A$2004,"&gt;="&amp;DATE(Setup!$B$4,5,1),Transactions!$A$5:$A$2004,"&lt;="&amp;EOMONTH(DATE(Setup!$B$4,5,1),0)))</f>
        <v/>
      </c>
      <c r="H29" s="18">
        <f>IF($A29="","",SUMIFS(Transactions!$C$5:$C$2004,Transactions!$B$5:$B$2004,$A29,Transactions!$A$5:$A$2004,"&gt;="&amp;DATE(Setup!$B$4,6,1),Transactions!$A$5:$A$2004,"&lt;="&amp;EOMONTH(DATE(Setup!$B$4,6,1),0)))</f>
        <v/>
      </c>
      <c r="I29" s="18">
        <f>IF($A29="","",SUMIFS(Transactions!$C$5:$C$2004,Transactions!$B$5:$B$2004,$A29,Transactions!$A$5:$A$2004,"&gt;="&amp;DATE(Setup!$B$4,7,1),Transactions!$A$5:$A$2004,"&lt;="&amp;EOMONTH(DATE(Setup!$B$4,7,1),0)))</f>
        <v/>
      </c>
      <c r="J29" s="18">
        <f>IF($A29="","",SUMIFS(Transactions!$C$5:$C$2004,Transactions!$B$5:$B$2004,$A29,Transactions!$A$5:$A$2004,"&gt;="&amp;DATE(Setup!$B$4,8,1),Transactions!$A$5:$A$2004,"&lt;="&amp;EOMONTH(DATE(Setup!$B$4,8,1),0)))</f>
        <v/>
      </c>
      <c r="K29" s="18">
        <f>IF($A29="","",SUMIFS(Transactions!$C$5:$C$2004,Transactions!$B$5:$B$2004,$A29,Transactions!$A$5:$A$2004,"&gt;="&amp;DATE(Setup!$B$4,9,1),Transactions!$A$5:$A$2004,"&lt;="&amp;EOMONTH(DATE(Setup!$B$4,9,1),0)))</f>
        <v/>
      </c>
      <c r="L29" s="18">
        <f>IF($A29="","",SUMIFS(Transactions!$C$5:$C$2004,Transactions!$B$5:$B$2004,$A29,Transactions!$A$5:$A$2004,"&gt;="&amp;DATE(Setup!$B$4,10,1),Transactions!$A$5:$A$2004,"&lt;="&amp;EOMONTH(DATE(Setup!$B$4,10,1),0)))</f>
        <v/>
      </c>
      <c r="M29" s="18">
        <f>IF($A29="","",SUMIFS(Transactions!$C$5:$C$2004,Transactions!$B$5:$B$2004,$A29,Transactions!$A$5:$A$2004,"&gt;="&amp;DATE(Setup!$B$4,11,1),Transactions!$A$5:$A$2004,"&lt;="&amp;EOMONTH(DATE(Setup!$B$4,11,1),0)))</f>
        <v/>
      </c>
      <c r="N29" s="18">
        <f>IF($A29="","",SUMIFS(Transactions!$C$5:$C$2004,Transactions!$B$5:$B$2004,$A29,Transactions!$A$5:$A$2004,"&gt;="&amp;DATE(Setup!$B$4,12,1),Transactions!$A$5:$A$2004,"&lt;="&amp;EOMONTH(DATE(Setup!$B$4,12,1),0)))</f>
        <v/>
      </c>
      <c r="O29" s="18">
        <f>IF($A29="","",SUM(C29:N29))</f>
        <v/>
      </c>
    </row>
    <row r="30">
      <c r="A30">
        <f>IF(Categories!A30="","",Categories!A30)</f>
        <v/>
      </c>
      <c r="B30">
        <f>IF(Categories!A30="","",Categories!B30)</f>
        <v/>
      </c>
      <c r="C30" s="18">
        <f>IF($A30="","",SUMIFS(Transactions!$C$5:$C$2004,Transactions!$B$5:$B$2004,$A30,Transactions!$A$5:$A$2004,"&gt;="&amp;DATE(Setup!$B$4,1,1),Transactions!$A$5:$A$2004,"&lt;="&amp;EOMONTH(DATE(Setup!$B$4,1,1),0)))</f>
        <v/>
      </c>
      <c r="D30" s="18">
        <f>IF($A30="","",SUMIFS(Transactions!$C$5:$C$2004,Transactions!$B$5:$B$2004,$A30,Transactions!$A$5:$A$2004,"&gt;="&amp;DATE(Setup!$B$4,2,1),Transactions!$A$5:$A$2004,"&lt;="&amp;EOMONTH(DATE(Setup!$B$4,2,1),0)))</f>
        <v/>
      </c>
      <c r="E30" s="18">
        <f>IF($A30="","",SUMIFS(Transactions!$C$5:$C$2004,Transactions!$B$5:$B$2004,$A30,Transactions!$A$5:$A$2004,"&gt;="&amp;DATE(Setup!$B$4,3,1),Transactions!$A$5:$A$2004,"&lt;="&amp;EOMONTH(DATE(Setup!$B$4,3,1),0)))</f>
        <v/>
      </c>
      <c r="F30" s="18">
        <f>IF($A30="","",SUMIFS(Transactions!$C$5:$C$2004,Transactions!$B$5:$B$2004,$A30,Transactions!$A$5:$A$2004,"&gt;="&amp;DATE(Setup!$B$4,4,1),Transactions!$A$5:$A$2004,"&lt;="&amp;EOMONTH(DATE(Setup!$B$4,4,1),0)))</f>
        <v/>
      </c>
      <c r="G30" s="18">
        <f>IF($A30="","",SUMIFS(Transactions!$C$5:$C$2004,Transactions!$B$5:$B$2004,$A30,Transactions!$A$5:$A$2004,"&gt;="&amp;DATE(Setup!$B$4,5,1),Transactions!$A$5:$A$2004,"&lt;="&amp;EOMONTH(DATE(Setup!$B$4,5,1),0)))</f>
        <v/>
      </c>
      <c r="H30" s="18">
        <f>IF($A30="","",SUMIFS(Transactions!$C$5:$C$2004,Transactions!$B$5:$B$2004,$A30,Transactions!$A$5:$A$2004,"&gt;="&amp;DATE(Setup!$B$4,6,1),Transactions!$A$5:$A$2004,"&lt;="&amp;EOMONTH(DATE(Setup!$B$4,6,1),0)))</f>
        <v/>
      </c>
      <c r="I30" s="18">
        <f>IF($A30="","",SUMIFS(Transactions!$C$5:$C$2004,Transactions!$B$5:$B$2004,$A30,Transactions!$A$5:$A$2004,"&gt;="&amp;DATE(Setup!$B$4,7,1),Transactions!$A$5:$A$2004,"&lt;="&amp;EOMONTH(DATE(Setup!$B$4,7,1),0)))</f>
        <v/>
      </c>
      <c r="J30" s="18">
        <f>IF($A30="","",SUMIFS(Transactions!$C$5:$C$2004,Transactions!$B$5:$B$2004,$A30,Transactions!$A$5:$A$2004,"&gt;="&amp;DATE(Setup!$B$4,8,1),Transactions!$A$5:$A$2004,"&lt;="&amp;EOMONTH(DATE(Setup!$B$4,8,1),0)))</f>
        <v/>
      </c>
      <c r="K30" s="18">
        <f>IF($A30="","",SUMIFS(Transactions!$C$5:$C$2004,Transactions!$B$5:$B$2004,$A30,Transactions!$A$5:$A$2004,"&gt;="&amp;DATE(Setup!$B$4,9,1),Transactions!$A$5:$A$2004,"&lt;="&amp;EOMONTH(DATE(Setup!$B$4,9,1),0)))</f>
        <v/>
      </c>
      <c r="L30" s="18">
        <f>IF($A30="","",SUMIFS(Transactions!$C$5:$C$2004,Transactions!$B$5:$B$2004,$A30,Transactions!$A$5:$A$2004,"&gt;="&amp;DATE(Setup!$B$4,10,1),Transactions!$A$5:$A$2004,"&lt;="&amp;EOMONTH(DATE(Setup!$B$4,10,1),0)))</f>
        <v/>
      </c>
      <c r="M30" s="18">
        <f>IF($A30="","",SUMIFS(Transactions!$C$5:$C$2004,Transactions!$B$5:$B$2004,$A30,Transactions!$A$5:$A$2004,"&gt;="&amp;DATE(Setup!$B$4,11,1),Transactions!$A$5:$A$2004,"&lt;="&amp;EOMONTH(DATE(Setup!$B$4,11,1),0)))</f>
        <v/>
      </c>
      <c r="N30" s="18">
        <f>IF($A30="","",SUMIFS(Transactions!$C$5:$C$2004,Transactions!$B$5:$B$2004,$A30,Transactions!$A$5:$A$2004,"&gt;="&amp;DATE(Setup!$B$4,12,1),Transactions!$A$5:$A$2004,"&lt;="&amp;EOMONTH(DATE(Setup!$B$4,12,1),0)))</f>
        <v/>
      </c>
      <c r="O30" s="18">
        <f>IF($A30="","",SUM(C30:N30))</f>
        <v/>
      </c>
    </row>
    <row r="31">
      <c r="A31">
        <f>IF(Categories!A31="","",Categories!A31)</f>
        <v/>
      </c>
      <c r="B31">
        <f>IF(Categories!A31="","",Categories!B31)</f>
        <v/>
      </c>
      <c r="C31" s="18">
        <f>IF($A31="","",SUMIFS(Transactions!$C$5:$C$2004,Transactions!$B$5:$B$2004,$A31,Transactions!$A$5:$A$2004,"&gt;="&amp;DATE(Setup!$B$4,1,1),Transactions!$A$5:$A$2004,"&lt;="&amp;EOMONTH(DATE(Setup!$B$4,1,1),0)))</f>
        <v/>
      </c>
      <c r="D31" s="18">
        <f>IF($A31="","",SUMIFS(Transactions!$C$5:$C$2004,Transactions!$B$5:$B$2004,$A31,Transactions!$A$5:$A$2004,"&gt;="&amp;DATE(Setup!$B$4,2,1),Transactions!$A$5:$A$2004,"&lt;="&amp;EOMONTH(DATE(Setup!$B$4,2,1),0)))</f>
        <v/>
      </c>
      <c r="E31" s="18">
        <f>IF($A31="","",SUMIFS(Transactions!$C$5:$C$2004,Transactions!$B$5:$B$2004,$A31,Transactions!$A$5:$A$2004,"&gt;="&amp;DATE(Setup!$B$4,3,1),Transactions!$A$5:$A$2004,"&lt;="&amp;EOMONTH(DATE(Setup!$B$4,3,1),0)))</f>
        <v/>
      </c>
      <c r="F31" s="18">
        <f>IF($A31="","",SUMIFS(Transactions!$C$5:$C$2004,Transactions!$B$5:$B$2004,$A31,Transactions!$A$5:$A$2004,"&gt;="&amp;DATE(Setup!$B$4,4,1),Transactions!$A$5:$A$2004,"&lt;="&amp;EOMONTH(DATE(Setup!$B$4,4,1),0)))</f>
        <v/>
      </c>
      <c r="G31" s="18">
        <f>IF($A31="","",SUMIFS(Transactions!$C$5:$C$2004,Transactions!$B$5:$B$2004,$A31,Transactions!$A$5:$A$2004,"&gt;="&amp;DATE(Setup!$B$4,5,1),Transactions!$A$5:$A$2004,"&lt;="&amp;EOMONTH(DATE(Setup!$B$4,5,1),0)))</f>
        <v/>
      </c>
      <c r="H31" s="18">
        <f>IF($A31="","",SUMIFS(Transactions!$C$5:$C$2004,Transactions!$B$5:$B$2004,$A31,Transactions!$A$5:$A$2004,"&gt;="&amp;DATE(Setup!$B$4,6,1),Transactions!$A$5:$A$2004,"&lt;="&amp;EOMONTH(DATE(Setup!$B$4,6,1),0)))</f>
        <v/>
      </c>
      <c r="I31" s="18">
        <f>IF($A31="","",SUMIFS(Transactions!$C$5:$C$2004,Transactions!$B$5:$B$2004,$A31,Transactions!$A$5:$A$2004,"&gt;="&amp;DATE(Setup!$B$4,7,1),Transactions!$A$5:$A$2004,"&lt;="&amp;EOMONTH(DATE(Setup!$B$4,7,1),0)))</f>
        <v/>
      </c>
      <c r="J31" s="18">
        <f>IF($A31="","",SUMIFS(Transactions!$C$5:$C$2004,Transactions!$B$5:$B$2004,$A31,Transactions!$A$5:$A$2004,"&gt;="&amp;DATE(Setup!$B$4,8,1),Transactions!$A$5:$A$2004,"&lt;="&amp;EOMONTH(DATE(Setup!$B$4,8,1),0)))</f>
        <v/>
      </c>
      <c r="K31" s="18">
        <f>IF($A31="","",SUMIFS(Transactions!$C$5:$C$2004,Transactions!$B$5:$B$2004,$A31,Transactions!$A$5:$A$2004,"&gt;="&amp;DATE(Setup!$B$4,9,1),Transactions!$A$5:$A$2004,"&lt;="&amp;EOMONTH(DATE(Setup!$B$4,9,1),0)))</f>
        <v/>
      </c>
      <c r="L31" s="18">
        <f>IF($A31="","",SUMIFS(Transactions!$C$5:$C$2004,Transactions!$B$5:$B$2004,$A31,Transactions!$A$5:$A$2004,"&gt;="&amp;DATE(Setup!$B$4,10,1),Transactions!$A$5:$A$2004,"&lt;="&amp;EOMONTH(DATE(Setup!$B$4,10,1),0)))</f>
        <v/>
      </c>
      <c r="M31" s="18">
        <f>IF($A31="","",SUMIFS(Transactions!$C$5:$C$2004,Transactions!$B$5:$B$2004,$A31,Transactions!$A$5:$A$2004,"&gt;="&amp;DATE(Setup!$B$4,11,1),Transactions!$A$5:$A$2004,"&lt;="&amp;EOMONTH(DATE(Setup!$B$4,11,1),0)))</f>
        <v/>
      </c>
      <c r="N31" s="18">
        <f>IF($A31="","",SUMIFS(Transactions!$C$5:$C$2004,Transactions!$B$5:$B$2004,$A31,Transactions!$A$5:$A$2004,"&gt;="&amp;DATE(Setup!$B$4,12,1),Transactions!$A$5:$A$2004,"&lt;="&amp;EOMONTH(DATE(Setup!$B$4,12,1),0)))</f>
        <v/>
      </c>
      <c r="O31" s="18">
        <f>IF($A31="","",SUM(C31:N31))</f>
        <v/>
      </c>
    </row>
    <row r="32">
      <c r="A32">
        <f>IF(Categories!A32="","",Categories!A32)</f>
        <v/>
      </c>
      <c r="B32">
        <f>IF(Categories!A32="","",Categories!B32)</f>
        <v/>
      </c>
      <c r="C32" s="18">
        <f>IF($A32="","",SUMIFS(Transactions!$C$5:$C$2004,Transactions!$B$5:$B$2004,$A32,Transactions!$A$5:$A$2004,"&gt;="&amp;DATE(Setup!$B$4,1,1),Transactions!$A$5:$A$2004,"&lt;="&amp;EOMONTH(DATE(Setup!$B$4,1,1),0)))</f>
        <v/>
      </c>
      <c r="D32" s="18">
        <f>IF($A32="","",SUMIFS(Transactions!$C$5:$C$2004,Transactions!$B$5:$B$2004,$A32,Transactions!$A$5:$A$2004,"&gt;="&amp;DATE(Setup!$B$4,2,1),Transactions!$A$5:$A$2004,"&lt;="&amp;EOMONTH(DATE(Setup!$B$4,2,1),0)))</f>
        <v/>
      </c>
      <c r="E32" s="18">
        <f>IF($A32="","",SUMIFS(Transactions!$C$5:$C$2004,Transactions!$B$5:$B$2004,$A32,Transactions!$A$5:$A$2004,"&gt;="&amp;DATE(Setup!$B$4,3,1),Transactions!$A$5:$A$2004,"&lt;="&amp;EOMONTH(DATE(Setup!$B$4,3,1),0)))</f>
        <v/>
      </c>
      <c r="F32" s="18">
        <f>IF($A32="","",SUMIFS(Transactions!$C$5:$C$2004,Transactions!$B$5:$B$2004,$A32,Transactions!$A$5:$A$2004,"&gt;="&amp;DATE(Setup!$B$4,4,1),Transactions!$A$5:$A$2004,"&lt;="&amp;EOMONTH(DATE(Setup!$B$4,4,1),0)))</f>
        <v/>
      </c>
      <c r="G32" s="18">
        <f>IF($A32="","",SUMIFS(Transactions!$C$5:$C$2004,Transactions!$B$5:$B$2004,$A32,Transactions!$A$5:$A$2004,"&gt;="&amp;DATE(Setup!$B$4,5,1),Transactions!$A$5:$A$2004,"&lt;="&amp;EOMONTH(DATE(Setup!$B$4,5,1),0)))</f>
        <v/>
      </c>
      <c r="H32" s="18">
        <f>IF($A32="","",SUMIFS(Transactions!$C$5:$C$2004,Transactions!$B$5:$B$2004,$A32,Transactions!$A$5:$A$2004,"&gt;="&amp;DATE(Setup!$B$4,6,1),Transactions!$A$5:$A$2004,"&lt;="&amp;EOMONTH(DATE(Setup!$B$4,6,1),0)))</f>
        <v/>
      </c>
      <c r="I32" s="18">
        <f>IF($A32="","",SUMIFS(Transactions!$C$5:$C$2004,Transactions!$B$5:$B$2004,$A32,Transactions!$A$5:$A$2004,"&gt;="&amp;DATE(Setup!$B$4,7,1),Transactions!$A$5:$A$2004,"&lt;="&amp;EOMONTH(DATE(Setup!$B$4,7,1),0)))</f>
        <v/>
      </c>
      <c r="J32" s="18">
        <f>IF($A32="","",SUMIFS(Transactions!$C$5:$C$2004,Transactions!$B$5:$B$2004,$A32,Transactions!$A$5:$A$2004,"&gt;="&amp;DATE(Setup!$B$4,8,1),Transactions!$A$5:$A$2004,"&lt;="&amp;EOMONTH(DATE(Setup!$B$4,8,1),0)))</f>
        <v/>
      </c>
      <c r="K32" s="18">
        <f>IF($A32="","",SUMIFS(Transactions!$C$5:$C$2004,Transactions!$B$5:$B$2004,$A32,Transactions!$A$5:$A$2004,"&gt;="&amp;DATE(Setup!$B$4,9,1),Transactions!$A$5:$A$2004,"&lt;="&amp;EOMONTH(DATE(Setup!$B$4,9,1),0)))</f>
        <v/>
      </c>
      <c r="L32" s="18">
        <f>IF($A32="","",SUMIFS(Transactions!$C$5:$C$2004,Transactions!$B$5:$B$2004,$A32,Transactions!$A$5:$A$2004,"&gt;="&amp;DATE(Setup!$B$4,10,1),Transactions!$A$5:$A$2004,"&lt;="&amp;EOMONTH(DATE(Setup!$B$4,10,1),0)))</f>
        <v/>
      </c>
      <c r="M32" s="18">
        <f>IF($A32="","",SUMIFS(Transactions!$C$5:$C$2004,Transactions!$B$5:$B$2004,$A32,Transactions!$A$5:$A$2004,"&gt;="&amp;DATE(Setup!$B$4,11,1),Transactions!$A$5:$A$2004,"&lt;="&amp;EOMONTH(DATE(Setup!$B$4,11,1),0)))</f>
        <v/>
      </c>
      <c r="N32" s="18">
        <f>IF($A32="","",SUMIFS(Transactions!$C$5:$C$2004,Transactions!$B$5:$B$2004,$A32,Transactions!$A$5:$A$2004,"&gt;="&amp;DATE(Setup!$B$4,12,1),Transactions!$A$5:$A$2004,"&lt;="&amp;EOMONTH(DATE(Setup!$B$4,12,1),0)))</f>
        <v/>
      </c>
      <c r="O32" s="18">
        <f>IF($A32="","",SUM(C32:N32))</f>
        <v/>
      </c>
    </row>
    <row r="33">
      <c r="A33">
        <f>IF(Categories!A33="","",Categories!A33)</f>
        <v/>
      </c>
      <c r="B33">
        <f>IF(Categories!A33="","",Categories!B33)</f>
        <v/>
      </c>
      <c r="C33" s="18">
        <f>IF($A33="","",SUMIFS(Transactions!$C$5:$C$2004,Transactions!$B$5:$B$2004,$A33,Transactions!$A$5:$A$2004,"&gt;="&amp;DATE(Setup!$B$4,1,1),Transactions!$A$5:$A$2004,"&lt;="&amp;EOMONTH(DATE(Setup!$B$4,1,1),0)))</f>
        <v/>
      </c>
      <c r="D33" s="18">
        <f>IF($A33="","",SUMIFS(Transactions!$C$5:$C$2004,Transactions!$B$5:$B$2004,$A33,Transactions!$A$5:$A$2004,"&gt;="&amp;DATE(Setup!$B$4,2,1),Transactions!$A$5:$A$2004,"&lt;="&amp;EOMONTH(DATE(Setup!$B$4,2,1),0)))</f>
        <v/>
      </c>
      <c r="E33" s="18">
        <f>IF($A33="","",SUMIFS(Transactions!$C$5:$C$2004,Transactions!$B$5:$B$2004,$A33,Transactions!$A$5:$A$2004,"&gt;="&amp;DATE(Setup!$B$4,3,1),Transactions!$A$5:$A$2004,"&lt;="&amp;EOMONTH(DATE(Setup!$B$4,3,1),0)))</f>
        <v/>
      </c>
      <c r="F33" s="18">
        <f>IF($A33="","",SUMIFS(Transactions!$C$5:$C$2004,Transactions!$B$5:$B$2004,$A33,Transactions!$A$5:$A$2004,"&gt;="&amp;DATE(Setup!$B$4,4,1),Transactions!$A$5:$A$2004,"&lt;="&amp;EOMONTH(DATE(Setup!$B$4,4,1),0)))</f>
        <v/>
      </c>
      <c r="G33" s="18">
        <f>IF($A33="","",SUMIFS(Transactions!$C$5:$C$2004,Transactions!$B$5:$B$2004,$A33,Transactions!$A$5:$A$2004,"&gt;="&amp;DATE(Setup!$B$4,5,1),Transactions!$A$5:$A$2004,"&lt;="&amp;EOMONTH(DATE(Setup!$B$4,5,1),0)))</f>
        <v/>
      </c>
      <c r="H33" s="18">
        <f>IF($A33="","",SUMIFS(Transactions!$C$5:$C$2004,Transactions!$B$5:$B$2004,$A33,Transactions!$A$5:$A$2004,"&gt;="&amp;DATE(Setup!$B$4,6,1),Transactions!$A$5:$A$2004,"&lt;="&amp;EOMONTH(DATE(Setup!$B$4,6,1),0)))</f>
        <v/>
      </c>
      <c r="I33" s="18">
        <f>IF($A33="","",SUMIFS(Transactions!$C$5:$C$2004,Transactions!$B$5:$B$2004,$A33,Transactions!$A$5:$A$2004,"&gt;="&amp;DATE(Setup!$B$4,7,1),Transactions!$A$5:$A$2004,"&lt;="&amp;EOMONTH(DATE(Setup!$B$4,7,1),0)))</f>
        <v/>
      </c>
      <c r="J33" s="18">
        <f>IF($A33="","",SUMIFS(Transactions!$C$5:$C$2004,Transactions!$B$5:$B$2004,$A33,Transactions!$A$5:$A$2004,"&gt;="&amp;DATE(Setup!$B$4,8,1),Transactions!$A$5:$A$2004,"&lt;="&amp;EOMONTH(DATE(Setup!$B$4,8,1),0)))</f>
        <v/>
      </c>
      <c r="K33" s="18">
        <f>IF($A33="","",SUMIFS(Transactions!$C$5:$C$2004,Transactions!$B$5:$B$2004,$A33,Transactions!$A$5:$A$2004,"&gt;="&amp;DATE(Setup!$B$4,9,1),Transactions!$A$5:$A$2004,"&lt;="&amp;EOMONTH(DATE(Setup!$B$4,9,1),0)))</f>
        <v/>
      </c>
      <c r="L33" s="18">
        <f>IF($A33="","",SUMIFS(Transactions!$C$5:$C$2004,Transactions!$B$5:$B$2004,$A33,Transactions!$A$5:$A$2004,"&gt;="&amp;DATE(Setup!$B$4,10,1),Transactions!$A$5:$A$2004,"&lt;="&amp;EOMONTH(DATE(Setup!$B$4,10,1),0)))</f>
        <v/>
      </c>
      <c r="M33" s="18">
        <f>IF($A33="","",SUMIFS(Transactions!$C$5:$C$2004,Transactions!$B$5:$B$2004,$A33,Transactions!$A$5:$A$2004,"&gt;="&amp;DATE(Setup!$B$4,11,1),Transactions!$A$5:$A$2004,"&lt;="&amp;EOMONTH(DATE(Setup!$B$4,11,1),0)))</f>
        <v/>
      </c>
      <c r="N33" s="18">
        <f>IF($A33="","",SUMIFS(Transactions!$C$5:$C$2004,Transactions!$B$5:$B$2004,$A33,Transactions!$A$5:$A$2004,"&gt;="&amp;DATE(Setup!$B$4,12,1),Transactions!$A$5:$A$2004,"&lt;="&amp;EOMONTH(DATE(Setup!$B$4,12,1),0)))</f>
        <v/>
      </c>
      <c r="O33" s="18">
        <f>IF($A33="","",SUM(C33:N33))</f>
        <v/>
      </c>
    </row>
    <row r="34">
      <c r="A34">
        <f>IF(Categories!A34="","",Categories!A34)</f>
        <v/>
      </c>
      <c r="B34">
        <f>IF(Categories!A34="","",Categories!B34)</f>
        <v/>
      </c>
      <c r="C34" s="18">
        <f>IF($A34="","",SUMIFS(Transactions!$C$5:$C$2004,Transactions!$B$5:$B$2004,$A34,Transactions!$A$5:$A$2004,"&gt;="&amp;DATE(Setup!$B$4,1,1),Transactions!$A$5:$A$2004,"&lt;="&amp;EOMONTH(DATE(Setup!$B$4,1,1),0)))</f>
        <v/>
      </c>
      <c r="D34" s="18">
        <f>IF($A34="","",SUMIFS(Transactions!$C$5:$C$2004,Transactions!$B$5:$B$2004,$A34,Transactions!$A$5:$A$2004,"&gt;="&amp;DATE(Setup!$B$4,2,1),Transactions!$A$5:$A$2004,"&lt;="&amp;EOMONTH(DATE(Setup!$B$4,2,1),0)))</f>
        <v/>
      </c>
      <c r="E34" s="18">
        <f>IF($A34="","",SUMIFS(Transactions!$C$5:$C$2004,Transactions!$B$5:$B$2004,$A34,Transactions!$A$5:$A$2004,"&gt;="&amp;DATE(Setup!$B$4,3,1),Transactions!$A$5:$A$2004,"&lt;="&amp;EOMONTH(DATE(Setup!$B$4,3,1),0)))</f>
        <v/>
      </c>
      <c r="F34" s="18">
        <f>IF($A34="","",SUMIFS(Transactions!$C$5:$C$2004,Transactions!$B$5:$B$2004,$A34,Transactions!$A$5:$A$2004,"&gt;="&amp;DATE(Setup!$B$4,4,1),Transactions!$A$5:$A$2004,"&lt;="&amp;EOMONTH(DATE(Setup!$B$4,4,1),0)))</f>
        <v/>
      </c>
      <c r="G34" s="18">
        <f>IF($A34="","",SUMIFS(Transactions!$C$5:$C$2004,Transactions!$B$5:$B$2004,$A34,Transactions!$A$5:$A$2004,"&gt;="&amp;DATE(Setup!$B$4,5,1),Transactions!$A$5:$A$2004,"&lt;="&amp;EOMONTH(DATE(Setup!$B$4,5,1),0)))</f>
        <v/>
      </c>
      <c r="H34" s="18">
        <f>IF($A34="","",SUMIFS(Transactions!$C$5:$C$2004,Transactions!$B$5:$B$2004,$A34,Transactions!$A$5:$A$2004,"&gt;="&amp;DATE(Setup!$B$4,6,1),Transactions!$A$5:$A$2004,"&lt;="&amp;EOMONTH(DATE(Setup!$B$4,6,1),0)))</f>
        <v/>
      </c>
      <c r="I34" s="18">
        <f>IF($A34="","",SUMIFS(Transactions!$C$5:$C$2004,Transactions!$B$5:$B$2004,$A34,Transactions!$A$5:$A$2004,"&gt;="&amp;DATE(Setup!$B$4,7,1),Transactions!$A$5:$A$2004,"&lt;="&amp;EOMONTH(DATE(Setup!$B$4,7,1),0)))</f>
        <v/>
      </c>
      <c r="J34" s="18">
        <f>IF($A34="","",SUMIFS(Transactions!$C$5:$C$2004,Transactions!$B$5:$B$2004,$A34,Transactions!$A$5:$A$2004,"&gt;="&amp;DATE(Setup!$B$4,8,1),Transactions!$A$5:$A$2004,"&lt;="&amp;EOMONTH(DATE(Setup!$B$4,8,1),0)))</f>
        <v/>
      </c>
      <c r="K34" s="18">
        <f>IF($A34="","",SUMIFS(Transactions!$C$5:$C$2004,Transactions!$B$5:$B$2004,$A34,Transactions!$A$5:$A$2004,"&gt;="&amp;DATE(Setup!$B$4,9,1),Transactions!$A$5:$A$2004,"&lt;="&amp;EOMONTH(DATE(Setup!$B$4,9,1),0)))</f>
        <v/>
      </c>
      <c r="L34" s="18">
        <f>IF($A34="","",SUMIFS(Transactions!$C$5:$C$2004,Transactions!$B$5:$B$2004,$A34,Transactions!$A$5:$A$2004,"&gt;="&amp;DATE(Setup!$B$4,10,1),Transactions!$A$5:$A$2004,"&lt;="&amp;EOMONTH(DATE(Setup!$B$4,10,1),0)))</f>
        <v/>
      </c>
      <c r="M34" s="18">
        <f>IF($A34="","",SUMIFS(Transactions!$C$5:$C$2004,Transactions!$B$5:$B$2004,$A34,Transactions!$A$5:$A$2004,"&gt;="&amp;DATE(Setup!$B$4,11,1),Transactions!$A$5:$A$2004,"&lt;="&amp;EOMONTH(DATE(Setup!$B$4,11,1),0)))</f>
        <v/>
      </c>
      <c r="N34" s="18">
        <f>IF($A34="","",SUMIFS(Transactions!$C$5:$C$2004,Transactions!$B$5:$B$2004,$A34,Transactions!$A$5:$A$2004,"&gt;="&amp;DATE(Setup!$B$4,12,1),Transactions!$A$5:$A$2004,"&lt;="&amp;EOMONTH(DATE(Setup!$B$4,12,1),0)))</f>
        <v/>
      </c>
      <c r="O34" s="18">
        <f>IF($A34="","",SUM(C34:N34))</f>
        <v/>
      </c>
    </row>
    <row r="35">
      <c r="A35">
        <f>IF(Categories!A35="","",Categories!A35)</f>
        <v/>
      </c>
      <c r="B35">
        <f>IF(Categories!A35="","",Categories!B35)</f>
        <v/>
      </c>
      <c r="C35" s="18">
        <f>IF($A35="","",SUMIFS(Transactions!$C$5:$C$2004,Transactions!$B$5:$B$2004,$A35,Transactions!$A$5:$A$2004,"&gt;="&amp;DATE(Setup!$B$4,1,1),Transactions!$A$5:$A$2004,"&lt;="&amp;EOMONTH(DATE(Setup!$B$4,1,1),0)))</f>
        <v/>
      </c>
      <c r="D35" s="18">
        <f>IF($A35="","",SUMIFS(Transactions!$C$5:$C$2004,Transactions!$B$5:$B$2004,$A35,Transactions!$A$5:$A$2004,"&gt;="&amp;DATE(Setup!$B$4,2,1),Transactions!$A$5:$A$2004,"&lt;="&amp;EOMONTH(DATE(Setup!$B$4,2,1),0)))</f>
        <v/>
      </c>
      <c r="E35" s="18">
        <f>IF($A35="","",SUMIFS(Transactions!$C$5:$C$2004,Transactions!$B$5:$B$2004,$A35,Transactions!$A$5:$A$2004,"&gt;="&amp;DATE(Setup!$B$4,3,1),Transactions!$A$5:$A$2004,"&lt;="&amp;EOMONTH(DATE(Setup!$B$4,3,1),0)))</f>
        <v/>
      </c>
      <c r="F35" s="18">
        <f>IF($A35="","",SUMIFS(Transactions!$C$5:$C$2004,Transactions!$B$5:$B$2004,$A35,Transactions!$A$5:$A$2004,"&gt;="&amp;DATE(Setup!$B$4,4,1),Transactions!$A$5:$A$2004,"&lt;="&amp;EOMONTH(DATE(Setup!$B$4,4,1),0)))</f>
        <v/>
      </c>
      <c r="G35" s="18">
        <f>IF($A35="","",SUMIFS(Transactions!$C$5:$C$2004,Transactions!$B$5:$B$2004,$A35,Transactions!$A$5:$A$2004,"&gt;="&amp;DATE(Setup!$B$4,5,1),Transactions!$A$5:$A$2004,"&lt;="&amp;EOMONTH(DATE(Setup!$B$4,5,1),0)))</f>
        <v/>
      </c>
      <c r="H35" s="18">
        <f>IF($A35="","",SUMIFS(Transactions!$C$5:$C$2004,Transactions!$B$5:$B$2004,$A35,Transactions!$A$5:$A$2004,"&gt;="&amp;DATE(Setup!$B$4,6,1),Transactions!$A$5:$A$2004,"&lt;="&amp;EOMONTH(DATE(Setup!$B$4,6,1),0)))</f>
        <v/>
      </c>
      <c r="I35" s="18">
        <f>IF($A35="","",SUMIFS(Transactions!$C$5:$C$2004,Transactions!$B$5:$B$2004,$A35,Transactions!$A$5:$A$2004,"&gt;="&amp;DATE(Setup!$B$4,7,1),Transactions!$A$5:$A$2004,"&lt;="&amp;EOMONTH(DATE(Setup!$B$4,7,1),0)))</f>
        <v/>
      </c>
      <c r="J35" s="18">
        <f>IF($A35="","",SUMIFS(Transactions!$C$5:$C$2004,Transactions!$B$5:$B$2004,$A35,Transactions!$A$5:$A$2004,"&gt;="&amp;DATE(Setup!$B$4,8,1),Transactions!$A$5:$A$2004,"&lt;="&amp;EOMONTH(DATE(Setup!$B$4,8,1),0)))</f>
        <v/>
      </c>
      <c r="K35" s="18">
        <f>IF($A35="","",SUMIFS(Transactions!$C$5:$C$2004,Transactions!$B$5:$B$2004,$A35,Transactions!$A$5:$A$2004,"&gt;="&amp;DATE(Setup!$B$4,9,1),Transactions!$A$5:$A$2004,"&lt;="&amp;EOMONTH(DATE(Setup!$B$4,9,1),0)))</f>
        <v/>
      </c>
      <c r="L35" s="18">
        <f>IF($A35="","",SUMIFS(Transactions!$C$5:$C$2004,Transactions!$B$5:$B$2004,$A35,Transactions!$A$5:$A$2004,"&gt;="&amp;DATE(Setup!$B$4,10,1),Transactions!$A$5:$A$2004,"&lt;="&amp;EOMONTH(DATE(Setup!$B$4,10,1),0)))</f>
        <v/>
      </c>
      <c r="M35" s="18">
        <f>IF($A35="","",SUMIFS(Transactions!$C$5:$C$2004,Transactions!$B$5:$B$2004,$A35,Transactions!$A$5:$A$2004,"&gt;="&amp;DATE(Setup!$B$4,11,1),Transactions!$A$5:$A$2004,"&lt;="&amp;EOMONTH(DATE(Setup!$B$4,11,1),0)))</f>
        <v/>
      </c>
      <c r="N35" s="18">
        <f>IF($A35="","",SUMIFS(Transactions!$C$5:$C$2004,Transactions!$B$5:$B$2004,$A35,Transactions!$A$5:$A$2004,"&gt;="&amp;DATE(Setup!$B$4,12,1),Transactions!$A$5:$A$2004,"&lt;="&amp;EOMONTH(DATE(Setup!$B$4,12,1),0)))</f>
        <v/>
      </c>
      <c r="O35" s="18">
        <f>IF($A35="","",SUM(C35:N35))</f>
        <v/>
      </c>
    </row>
    <row r="36">
      <c r="A36">
        <f>IF(Categories!A36="","",Categories!A36)</f>
        <v/>
      </c>
      <c r="B36">
        <f>IF(Categories!A36="","",Categories!B36)</f>
        <v/>
      </c>
      <c r="C36" s="18">
        <f>IF($A36="","",SUMIFS(Transactions!$C$5:$C$2004,Transactions!$B$5:$B$2004,$A36,Transactions!$A$5:$A$2004,"&gt;="&amp;DATE(Setup!$B$4,1,1),Transactions!$A$5:$A$2004,"&lt;="&amp;EOMONTH(DATE(Setup!$B$4,1,1),0)))</f>
        <v/>
      </c>
      <c r="D36" s="18">
        <f>IF($A36="","",SUMIFS(Transactions!$C$5:$C$2004,Transactions!$B$5:$B$2004,$A36,Transactions!$A$5:$A$2004,"&gt;="&amp;DATE(Setup!$B$4,2,1),Transactions!$A$5:$A$2004,"&lt;="&amp;EOMONTH(DATE(Setup!$B$4,2,1),0)))</f>
        <v/>
      </c>
      <c r="E36" s="18">
        <f>IF($A36="","",SUMIFS(Transactions!$C$5:$C$2004,Transactions!$B$5:$B$2004,$A36,Transactions!$A$5:$A$2004,"&gt;="&amp;DATE(Setup!$B$4,3,1),Transactions!$A$5:$A$2004,"&lt;="&amp;EOMONTH(DATE(Setup!$B$4,3,1),0)))</f>
        <v/>
      </c>
      <c r="F36" s="18">
        <f>IF($A36="","",SUMIFS(Transactions!$C$5:$C$2004,Transactions!$B$5:$B$2004,$A36,Transactions!$A$5:$A$2004,"&gt;="&amp;DATE(Setup!$B$4,4,1),Transactions!$A$5:$A$2004,"&lt;="&amp;EOMONTH(DATE(Setup!$B$4,4,1),0)))</f>
        <v/>
      </c>
      <c r="G36" s="18">
        <f>IF($A36="","",SUMIFS(Transactions!$C$5:$C$2004,Transactions!$B$5:$B$2004,$A36,Transactions!$A$5:$A$2004,"&gt;="&amp;DATE(Setup!$B$4,5,1),Transactions!$A$5:$A$2004,"&lt;="&amp;EOMONTH(DATE(Setup!$B$4,5,1),0)))</f>
        <v/>
      </c>
      <c r="H36" s="18">
        <f>IF($A36="","",SUMIFS(Transactions!$C$5:$C$2004,Transactions!$B$5:$B$2004,$A36,Transactions!$A$5:$A$2004,"&gt;="&amp;DATE(Setup!$B$4,6,1),Transactions!$A$5:$A$2004,"&lt;="&amp;EOMONTH(DATE(Setup!$B$4,6,1),0)))</f>
        <v/>
      </c>
      <c r="I36" s="18">
        <f>IF($A36="","",SUMIFS(Transactions!$C$5:$C$2004,Transactions!$B$5:$B$2004,$A36,Transactions!$A$5:$A$2004,"&gt;="&amp;DATE(Setup!$B$4,7,1),Transactions!$A$5:$A$2004,"&lt;="&amp;EOMONTH(DATE(Setup!$B$4,7,1),0)))</f>
        <v/>
      </c>
      <c r="J36" s="18">
        <f>IF($A36="","",SUMIFS(Transactions!$C$5:$C$2004,Transactions!$B$5:$B$2004,$A36,Transactions!$A$5:$A$2004,"&gt;="&amp;DATE(Setup!$B$4,8,1),Transactions!$A$5:$A$2004,"&lt;="&amp;EOMONTH(DATE(Setup!$B$4,8,1),0)))</f>
        <v/>
      </c>
      <c r="K36" s="18">
        <f>IF($A36="","",SUMIFS(Transactions!$C$5:$C$2004,Transactions!$B$5:$B$2004,$A36,Transactions!$A$5:$A$2004,"&gt;="&amp;DATE(Setup!$B$4,9,1),Transactions!$A$5:$A$2004,"&lt;="&amp;EOMONTH(DATE(Setup!$B$4,9,1),0)))</f>
        <v/>
      </c>
      <c r="L36" s="18">
        <f>IF($A36="","",SUMIFS(Transactions!$C$5:$C$2004,Transactions!$B$5:$B$2004,$A36,Transactions!$A$5:$A$2004,"&gt;="&amp;DATE(Setup!$B$4,10,1),Transactions!$A$5:$A$2004,"&lt;="&amp;EOMONTH(DATE(Setup!$B$4,10,1),0)))</f>
        <v/>
      </c>
      <c r="M36" s="18">
        <f>IF($A36="","",SUMIFS(Transactions!$C$5:$C$2004,Transactions!$B$5:$B$2004,$A36,Transactions!$A$5:$A$2004,"&gt;="&amp;DATE(Setup!$B$4,11,1),Transactions!$A$5:$A$2004,"&lt;="&amp;EOMONTH(DATE(Setup!$B$4,11,1),0)))</f>
        <v/>
      </c>
      <c r="N36" s="18">
        <f>IF($A36="","",SUMIFS(Transactions!$C$5:$C$2004,Transactions!$B$5:$B$2004,$A36,Transactions!$A$5:$A$2004,"&gt;="&amp;DATE(Setup!$B$4,12,1),Transactions!$A$5:$A$2004,"&lt;="&amp;EOMONTH(DATE(Setup!$B$4,12,1),0)))</f>
        <v/>
      </c>
      <c r="O36" s="18">
        <f>IF($A36="","",SUM(C36:N36))</f>
        <v/>
      </c>
    </row>
    <row r="37">
      <c r="A37">
        <f>IF(Categories!A37="","",Categories!A37)</f>
        <v/>
      </c>
      <c r="B37">
        <f>IF(Categories!A37="","",Categories!B37)</f>
        <v/>
      </c>
      <c r="C37" s="18">
        <f>IF($A37="","",SUMIFS(Transactions!$C$5:$C$2004,Transactions!$B$5:$B$2004,$A37,Transactions!$A$5:$A$2004,"&gt;="&amp;DATE(Setup!$B$4,1,1),Transactions!$A$5:$A$2004,"&lt;="&amp;EOMONTH(DATE(Setup!$B$4,1,1),0)))</f>
        <v/>
      </c>
      <c r="D37" s="18">
        <f>IF($A37="","",SUMIFS(Transactions!$C$5:$C$2004,Transactions!$B$5:$B$2004,$A37,Transactions!$A$5:$A$2004,"&gt;="&amp;DATE(Setup!$B$4,2,1),Transactions!$A$5:$A$2004,"&lt;="&amp;EOMONTH(DATE(Setup!$B$4,2,1),0)))</f>
        <v/>
      </c>
      <c r="E37" s="18">
        <f>IF($A37="","",SUMIFS(Transactions!$C$5:$C$2004,Transactions!$B$5:$B$2004,$A37,Transactions!$A$5:$A$2004,"&gt;="&amp;DATE(Setup!$B$4,3,1),Transactions!$A$5:$A$2004,"&lt;="&amp;EOMONTH(DATE(Setup!$B$4,3,1),0)))</f>
        <v/>
      </c>
      <c r="F37" s="18">
        <f>IF($A37="","",SUMIFS(Transactions!$C$5:$C$2004,Transactions!$B$5:$B$2004,$A37,Transactions!$A$5:$A$2004,"&gt;="&amp;DATE(Setup!$B$4,4,1),Transactions!$A$5:$A$2004,"&lt;="&amp;EOMONTH(DATE(Setup!$B$4,4,1),0)))</f>
        <v/>
      </c>
      <c r="G37" s="18">
        <f>IF($A37="","",SUMIFS(Transactions!$C$5:$C$2004,Transactions!$B$5:$B$2004,$A37,Transactions!$A$5:$A$2004,"&gt;="&amp;DATE(Setup!$B$4,5,1),Transactions!$A$5:$A$2004,"&lt;="&amp;EOMONTH(DATE(Setup!$B$4,5,1),0)))</f>
        <v/>
      </c>
      <c r="H37" s="18">
        <f>IF($A37="","",SUMIFS(Transactions!$C$5:$C$2004,Transactions!$B$5:$B$2004,$A37,Transactions!$A$5:$A$2004,"&gt;="&amp;DATE(Setup!$B$4,6,1),Transactions!$A$5:$A$2004,"&lt;="&amp;EOMONTH(DATE(Setup!$B$4,6,1),0)))</f>
        <v/>
      </c>
      <c r="I37" s="18">
        <f>IF($A37="","",SUMIFS(Transactions!$C$5:$C$2004,Transactions!$B$5:$B$2004,$A37,Transactions!$A$5:$A$2004,"&gt;="&amp;DATE(Setup!$B$4,7,1),Transactions!$A$5:$A$2004,"&lt;="&amp;EOMONTH(DATE(Setup!$B$4,7,1),0)))</f>
        <v/>
      </c>
      <c r="J37" s="18">
        <f>IF($A37="","",SUMIFS(Transactions!$C$5:$C$2004,Transactions!$B$5:$B$2004,$A37,Transactions!$A$5:$A$2004,"&gt;="&amp;DATE(Setup!$B$4,8,1),Transactions!$A$5:$A$2004,"&lt;="&amp;EOMONTH(DATE(Setup!$B$4,8,1),0)))</f>
        <v/>
      </c>
      <c r="K37" s="18">
        <f>IF($A37="","",SUMIFS(Transactions!$C$5:$C$2004,Transactions!$B$5:$B$2004,$A37,Transactions!$A$5:$A$2004,"&gt;="&amp;DATE(Setup!$B$4,9,1),Transactions!$A$5:$A$2004,"&lt;="&amp;EOMONTH(DATE(Setup!$B$4,9,1),0)))</f>
        <v/>
      </c>
      <c r="L37" s="18">
        <f>IF($A37="","",SUMIFS(Transactions!$C$5:$C$2004,Transactions!$B$5:$B$2004,$A37,Transactions!$A$5:$A$2004,"&gt;="&amp;DATE(Setup!$B$4,10,1),Transactions!$A$5:$A$2004,"&lt;="&amp;EOMONTH(DATE(Setup!$B$4,10,1),0)))</f>
        <v/>
      </c>
      <c r="M37" s="18">
        <f>IF($A37="","",SUMIFS(Transactions!$C$5:$C$2004,Transactions!$B$5:$B$2004,$A37,Transactions!$A$5:$A$2004,"&gt;="&amp;DATE(Setup!$B$4,11,1),Transactions!$A$5:$A$2004,"&lt;="&amp;EOMONTH(DATE(Setup!$B$4,11,1),0)))</f>
        <v/>
      </c>
      <c r="N37" s="18">
        <f>IF($A37="","",SUMIFS(Transactions!$C$5:$C$2004,Transactions!$B$5:$B$2004,$A37,Transactions!$A$5:$A$2004,"&gt;="&amp;DATE(Setup!$B$4,12,1),Transactions!$A$5:$A$2004,"&lt;="&amp;EOMONTH(DATE(Setup!$B$4,12,1),0)))</f>
        <v/>
      </c>
      <c r="O37" s="18">
        <f>IF($A37="","",SUM(C37:N37))</f>
        <v/>
      </c>
    </row>
    <row r="38">
      <c r="A38">
        <f>IF(Categories!A38="","",Categories!A38)</f>
        <v/>
      </c>
      <c r="B38">
        <f>IF(Categories!A38="","",Categories!B38)</f>
        <v/>
      </c>
      <c r="C38" s="18">
        <f>IF($A38="","",SUMIFS(Transactions!$C$5:$C$2004,Transactions!$B$5:$B$2004,$A38,Transactions!$A$5:$A$2004,"&gt;="&amp;DATE(Setup!$B$4,1,1),Transactions!$A$5:$A$2004,"&lt;="&amp;EOMONTH(DATE(Setup!$B$4,1,1),0)))</f>
        <v/>
      </c>
      <c r="D38" s="18">
        <f>IF($A38="","",SUMIFS(Transactions!$C$5:$C$2004,Transactions!$B$5:$B$2004,$A38,Transactions!$A$5:$A$2004,"&gt;="&amp;DATE(Setup!$B$4,2,1),Transactions!$A$5:$A$2004,"&lt;="&amp;EOMONTH(DATE(Setup!$B$4,2,1),0)))</f>
        <v/>
      </c>
      <c r="E38" s="18">
        <f>IF($A38="","",SUMIFS(Transactions!$C$5:$C$2004,Transactions!$B$5:$B$2004,$A38,Transactions!$A$5:$A$2004,"&gt;="&amp;DATE(Setup!$B$4,3,1),Transactions!$A$5:$A$2004,"&lt;="&amp;EOMONTH(DATE(Setup!$B$4,3,1),0)))</f>
        <v/>
      </c>
      <c r="F38" s="18">
        <f>IF($A38="","",SUMIFS(Transactions!$C$5:$C$2004,Transactions!$B$5:$B$2004,$A38,Transactions!$A$5:$A$2004,"&gt;="&amp;DATE(Setup!$B$4,4,1),Transactions!$A$5:$A$2004,"&lt;="&amp;EOMONTH(DATE(Setup!$B$4,4,1),0)))</f>
        <v/>
      </c>
      <c r="G38" s="18">
        <f>IF($A38="","",SUMIFS(Transactions!$C$5:$C$2004,Transactions!$B$5:$B$2004,$A38,Transactions!$A$5:$A$2004,"&gt;="&amp;DATE(Setup!$B$4,5,1),Transactions!$A$5:$A$2004,"&lt;="&amp;EOMONTH(DATE(Setup!$B$4,5,1),0)))</f>
        <v/>
      </c>
      <c r="H38" s="18">
        <f>IF($A38="","",SUMIFS(Transactions!$C$5:$C$2004,Transactions!$B$5:$B$2004,$A38,Transactions!$A$5:$A$2004,"&gt;="&amp;DATE(Setup!$B$4,6,1),Transactions!$A$5:$A$2004,"&lt;="&amp;EOMONTH(DATE(Setup!$B$4,6,1),0)))</f>
        <v/>
      </c>
      <c r="I38" s="18">
        <f>IF($A38="","",SUMIFS(Transactions!$C$5:$C$2004,Transactions!$B$5:$B$2004,$A38,Transactions!$A$5:$A$2004,"&gt;="&amp;DATE(Setup!$B$4,7,1),Transactions!$A$5:$A$2004,"&lt;="&amp;EOMONTH(DATE(Setup!$B$4,7,1),0)))</f>
        <v/>
      </c>
      <c r="J38" s="18">
        <f>IF($A38="","",SUMIFS(Transactions!$C$5:$C$2004,Transactions!$B$5:$B$2004,$A38,Transactions!$A$5:$A$2004,"&gt;="&amp;DATE(Setup!$B$4,8,1),Transactions!$A$5:$A$2004,"&lt;="&amp;EOMONTH(DATE(Setup!$B$4,8,1),0)))</f>
        <v/>
      </c>
      <c r="K38" s="18">
        <f>IF($A38="","",SUMIFS(Transactions!$C$5:$C$2004,Transactions!$B$5:$B$2004,$A38,Transactions!$A$5:$A$2004,"&gt;="&amp;DATE(Setup!$B$4,9,1),Transactions!$A$5:$A$2004,"&lt;="&amp;EOMONTH(DATE(Setup!$B$4,9,1),0)))</f>
        <v/>
      </c>
      <c r="L38" s="18">
        <f>IF($A38="","",SUMIFS(Transactions!$C$5:$C$2004,Transactions!$B$5:$B$2004,$A38,Transactions!$A$5:$A$2004,"&gt;="&amp;DATE(Setup!$B$4,10,1),Transactions!$A$5:$A$2004,"&lt;="&amp;EOMONTH(DATE(Setup!$B$4,10,1),0)))</f>
        <v/>
      </c>
      <c r="M38" s="18">
        <f>IF($A38="","",SUMIFS(Transactions!$C$5:$C$2004,Transactions!$B$5:$B$2004,$A38,Transactions!$A$5:$A$2004,"&gt;="&amp;DATE(Setup!$B$4,11,1),Transactions!$A$5:$A$2004,"&lt;="&amp;EOMONTH(DATE(Setup!$B$4,11,1),0)))</f>
        <v/>
      </c>
      <c r="N38" s="18">
        <f>IF($A38="","",SUMIFS(Transactions!$C$5:$C$2004,Transactions!$B$5:$B$2004,$A38,Transactions!$A$5:$A$2004,"&gt;="&amp;DATE(Setup!$B$4,12,1),Transactions!$A$5:$A$2004,"&lt;="&amp;EOMONTH(DATE(Setup!$B$4,12,1),0)))</f>
        <v/>
      </c>
      <c r="O38" s="18">
        <f>IF($A38="","",SUM(C38:N38))</f>
        <v/>
      </c>
    </row>
    <row r="39">
      <c r="A39">
        <f>IF(Categories!A39="","",Categories!A39)</f>
        <v/>
      </c>
      <c r="B39">
        <f>IF(Categories!A39="","",Categories!B39)</f>
        <v/>
      </c>
      <c r="C39" s="18">
        <f>IF($A39="","",SUMIFS(Transactions!$C$5:$C$2004,Transactions!$B$5:$B$2004,$A39,Transactions!$A$5:$A$2004,"&gt;="&amp;DATE(Setup!$B$4,1,1),Transactions!$A$5:$A$2004,"&lt;="&amp;EOMONTH(DATE(Setup!$B$4,1,1),0)))</f>
        <v/>
      </c>
      <c r="D39" s="18">
        <f>IF($A39="","",SUMIFS(Transactions!$C$5:$C$2004,Transactions!$B$5:$B$2004,$A39,Transactions!$A$5:$A$2004,"&gt;="&amp;DATE(Setup!$B$4,2,1),Transactions!$A$5:$A$2004,"&lt;="&amp;EOMONTH(DATE(Setup!$B$4,2,1),0)))</f>
        <v/>
      </c>
      <c r="E39" s="18">
        <f>IF($A39="","",SUMIFS(Transactions!$C$5:$C$2004,Transactions!$B$5:$B$2004,$A39,Transactions!$A$5:$A$2004,"&gt;="&amp;DATE(Setup!$B$4,3,1),Transactions!$A$5:$A$2004,"&lt;="&amp;EOMONTH(DATE(Setup!$B$4,3,1),0)))</f>
        <v/>
      </c>
      <c r="F39" s="18">
        <f>IF($A39="","",SUMIFS(Transactions!$C$5:$C$2004,Transactions!$B$5:$B$2004,$A39,Transactions!$A$5:$A$2004,"&gt;="&amp;DATE(Setup!$B$4,4,1),Transactions!$A$5:$A$2004,"&lt;="&amp;EOMONTH(DATE(Setup!$B$4,4,1),0)))</f>
        <v/>
      </c>
      <c r="G39" s="18">
        <f>IF($A39="","",SUMIFS(Transactions!$C$5:$C$2004,Transactions!$B$5:$B$2004,$A39,Transactions!$A$5:$A$2004,"&gt;="&amp;DATE(Setup!$B$4,5,1),Transactions!$A$5:$A$2004,"&lt;="&amp;EOMONTH(DATE(Setup!$B$4,5,1),0)))</f>
        <v/>
      </c>
      <c r="H39" s="18">
        <f>IF($A39="","",SUMIFS(Transactions!$C$5:$C$2004,Transactions!$B$5:$B$2004,$A39,Transactions!$A$5:$A$2004,"&gt;="&amp;DATE(Setup!$B$4,6,1),Transactions!$A$5:$A$2004,"&lt;="&amp;EOMONTH(DATE(Setup!$B$4,6,1),0)))</f>
        <v/>
      </c>
      <c r="I39" s="18">
        <f>IF($A39="","",SUMIFS(Transactions!$C$5:$C$2004,Transactions!$B$5:$B$2004,$A39,Transactions!$A$5:$A$2004,"&gt;="&amp;DATE(Setup!$B$4,7,1),Transactions!$A$5:$A$2004,"&lt;="&amp;EOMONTH(DATE(Setup!$B$4,7,1),0)))</f>
        <v/>
      </c>
      <c r="J39" s="18">
        <f>IF($A39="","",SUMIFS(Transactions!$C$5:$C$2004,Transactions!$B$5:$B$2004,$A39,Transactions!$A$5:$A$2004,"&gt;="&amp;DATE(Setup!$B$4,8,1),Transactions!$A$5:$A$2004,"&lt;="&amp;EOMONTH(DATE(Setup!$B$4,8,1),0)))</f>
        <v/>
      </c>
      <c r="K39" s="18">
        <f>IF($A39="","",SUMIFS(Transactions!$C$5:$C$2004,Transactions!$B$5:$B$2004,$A39,Transactions!$A$5:$A$2004,"&gt;="&amp;DATE(Setup!$B$4,9,1),Transactions!$A$5:$A$2004,"&lt;="&amp;EOMONTH(DATE(Setup!$B$4,9,1),0)))</f>
        <v/>
      </c>
      <c r="L39" s="18">
        <f>IF($A39="","",SUMIFS(Transactions!$C$5:$C$2004,Transactions!$B$5:$B$2004,$A39,Transactions!$A$5:$A$2004,"&gt;="&amp;DATE(Setup!$B$4,10,1),Transactions!$A$5:$A$2004,"&lt;="&amp;EOMONTH(DATE(Setup!$B$4,10,1),0)))</f>
        <v/>
      </c>
      <c r="M39" s="18">
        <f>IF($A39="","",SUMIFS(Transactions!$C$5:$C$2004,Transactions!$B$5:$B$2004,$A39,Transactions!$A$5:$A$2004,"&gt;="&amp;DATE(Setup!$B$4,11,1),Transactions!$A$5:$A$2004,"&lt;="&amp;EOMONTH(DATE(Setup!$B$4,11,1),0)))</f>
        <v/>
      </c>
      <c r="N39" s="18">
        <f>IF($A39="","",SUMIFS(Transactions!$C$5:$C$2004,Transactions!$B$5:$B$2004,$A39,Transactions!$A$5:$A$2004,"&gt;="&amp;DATE(Setup!$B$4,12,1),Transactions!$A$5:$A$2004,"&lt;="&amp;EOMONTH(DATE(Setup!$B$4,12,1),0)))</f>
        <v/>
      </c>
      <c r="O39" s="18">
        <f>IF($A39="","",SUM(C39:N39))</f>
        <v/>
      </c>
    </row>
    <row r="40">
      <c r="A40">
        <f>IF(Categories!A40="","",Categories!A40)</f>
        <v/>
      </c>
      <c r="B40">
        <f>IF(Categories!A40="","",Categories!B40)</f>
        <v/>
      </c>
      <c r="C40" s="18">
        <f>IF($A40="","",SUMIFS(Transactions!$C$5:$C$2004,Transactions!$B$5:$B$2004,$A40,Transactions!$A$5:$A$2004,"&gt;="&amp;DATE(Setup!$B$4,1,1),Transactions!$A$5:$A$2004,"&lt;="&amp;EOMONTH(DATE(Setup!$B$4,1,1),0)))</f>
        <v/>
      </c>
      <c r="D40" s="18">
        <f>IF($A40="","",SUMIFS(Transactions!$C$5:$C$2004,Transactions!$B$5:$B$2004,$A40,Transactions!$A$5:$A$2004,"&gt;="&amp;DATE(Setup!$B$4,2,1),Transactions!$A$5:$A$2004,"&lt;="&amp;EOMONTH(DATE(Setup!$B$4,2,1),0)))</f>
        <v/>
      </c>
      <c r="E40" s="18">
        <f>IF($A40="","",SUMIFS(Transactions!$C$5:$C$2004,Transactions!$B$5:$B$2004,$A40,Transactions!$A$5:$A$2004,"&gt;="&amp;DATE(Setup!$B$4,3,1),Transactions!$A$5:$A$2004,"&lt;="&amp;EOMONTH(DATE(Setup!$B$4,3,1),0)))</f>
        <v/>
      </c>
      <c r="F40" s="18">
        <f>IF($A40="","",SUMIFS(Transactions!$C$5:$C$2004,Transactions!$B$5:$B$2004,$A40,Transactions!$A$5:$A$2004,"&gt;="&amp;DATE(Setup!$B$4,4,1),Transactions!$A$5:$A$2004,"&lt;="&amp;EOMONTH(DATE(Setup!$B$4,4,1),0)))</f>
        <v/>
      </c>
      <c r="G40" s="18">
        <f>IF($A40="","",SUMIFS(Transactions!$C$5:$C$2004,Transactions!$B$5:$B$2004,$A40,Transactions!$A$5:$A$2004,"&gt;="&amp;DATE(Setup!$B$4,5,1),Transactions!$A$5:$A$2004,"&lt;="&amp;EOMONTH(DATE(Setup!$B$4,5,1),0)))</f>
        <v/>
      </c>
      <c r="H40" s="18">
        <f>IF($A40="","",SUMIFS(Transactions!$C$5:$C$2004,Transactions!$B$5:$B$2004,$A40,Transactions!$A$5:$A$2004,"&gt;="&amp;DATE(Setup!$B$4,6,1),Transactions!$A$5:$A$2004,"&lt;="&amp;EOMONTH(DATE(Setup!$B$4,6,1),0)))</f>
        <v/>
      </c>
      <c r="I40" s="18">
        <f>IF($A40="","",SUMIFS(Transactions!$C$5:$C$2004,Transactions!$B$5:$B$2004,$A40,Transactions!$A$5:$A$2004,"&gt;="&amp;DATE(Setup!$B$4,7,1),Transactions!$A$5:$A$2004,"&lt;="&amp;EOMONTH(DATE(Setup!$B$4,7,1),0)))</f>
        <v/>
      </c>
      <c r="J40" s="18">
        <f>IF($A40="","",SUMIFS(Transactions!$C$5:$C$2004,Transactions!$B$5:$B$2004,$A40,Transactions!$A$5:$A$2004,"&gt;="&amp;DATE(Setup!$B$4,8,1),Transactions!$A$5:$A$2004,"&lt;="&amp;EOMONTH(DATE(Setup!$B$4,8,1),0)))</f>
        <v/>
      </c>
      <c r="K40" s="18">
        <f>IF($A40="","",SUMIFS(Transactions!$C$5:$C$2004,Transactions!$B$5:$B$2004,$A40,Transactions!$A$5:$A$2004,"&gt;="&amp;DATE(Setup!$B$4,9,1),Transactions!$A$5:$A$2004,"&lt;="&amp;EOMONTH(DATE(Setup!$B$4,9,1),0)))</f>
        <v/>
      </c>
      <c r="L40" s="18">
        <f>IF($A40="","",SUMIFS(Transactions!$C$5:$C$2004,Transactions!$B$5:$B$2004,$A40,Transactions!$A$5:$A$2004,"&gt;="&amp;DATE(Setup!$B$4,10,1),Transactions!$A$5:$A$2004,"&lt;="&amp;EOMONTH(DATE(Setup!$B$4,10,1),0)))</f>
        <v/>
      </c>
      <c r="M40" s="18">
        <f>IF($A40="","",SUMIFS(Transactions!$C$5:$C$2004,Transactions!$B$5:$B$2004,$A40,Transactions!$A$5:$A$2004,"&gt;="&amp;DATE(Setup!$B$4,11,1),Transactions!$A$5:$A$2004,"&lt;="&amp;EOMONTH(DATE(Setup!$B$4,11,1),0)))</f>
        <v/>
      </c>
      <c r="N40" s="18">
        <f>IF($A40="","",SUMIFS(Transactions!$C$5:$C$2004,Transactions!$B$5:$B$2004,$A40,Transactions!$A$5:$A$2004,"&gt;="&amp;DATE(Setup!$B$4,12,1),Transactions!$A$5:$A$2004,"&lt;="&amp;EOMONTH(DATE(Setup!$B$4,12,1),0)))</f>
        <v/>
      </c>
      <c r="O40" s="18">
        <f>IF($A40="","",SUM(C40:N40))</f>
        <v/>
      </c>
    </row>
    <row r="41">
      <c r="A41">
        <f>IF(Categories!A41="","",Categories!A41)</f>
        <v/>
      </c>
      <c r="B41">
        <f>IF(Categories!A41="","",Categories!B41)</f>
        <v/>
      </c>
      <c r="C41" s="18">
        <f>IF($A41="","",SUMIFS(Transactions!$C$5:$C$2004,Transactions!$B$5:$B$2004,$A41,Transactions!$A$5:$A$2004,"&gt;="&amp;DATE(Setup!$B$4,1,1),Transactions!$A$5:$A$2004,"&lt;="&amp;EOMONTH(DATE(Setup!$B$4,1,1),0)))</f>
        <v/>
      </c>
      <c r="D41" s="18">
        <f>IF($A41="","",SUMIFS(Transactions!$C$5:$C$2004,Transactions!$B$5:$B$2004,$A41,Transactions!$A$5:$A$2004,"&gt;="&amp;DATE(Setup!$B$4,2,1),Transactions!$A$5:$A$2004,"&lt;="&amp;EOMONTH(DATE(Setup!$B$4,2,1),0)))</f>
        <v/>
      </c>
      <c r="E41" s="18">
        <f>IF($A41="","",SUMIFS(Transactions!$C$5:$C$2004,Transactions!$B$5:$B$2004,$A41,Transactions!$A$5:$A$2004,"&gt;="&amp;DATE(Setup!$B$4,3,1),Transactions!$A$5:$A$2004,"&lt;="&amp;EOMONTH(DATE(Setup!$B$4,3,1),0)))</f>
        <v/>
      </c>
      <c r="F41" s="18">
        <f>IF($A41="","",SUMIFS(Transactions!$C$5:$C$2004,Transactions!$B$5:$B$2004,$A41,Transactions!$A$5:$A$2004,"&gt;="&amp;DATE(Setup!$B$4,4,1),Transactions!$A$5:$A$2004,"&lt;="&amp;EOMONTH(DATE(Setup!$B$4,4,1),0)))</f>
        <v/>
      </c>
      <c r="G41" s="18">
        <f>IF($A41="","",SUMIFS(Transactions!$C$5:$C$2004,Transactions!$B$5:$B$2004,$A41,Transactions!$A$5:$A$2004,"&gt;="&amp;DATE(Setup!$B$4,5,1),Transactions!$A$5:$A$2004,"&lt;="&amp;EOMONTH(DATE(Setup!$B$4,5,1),0)))</f>
        <v/>
      </c>
      <c r="H41" s="18">
        <f>IF($A41="","",SUMIFS(Transactions!$C$5:$C$2004,Transactions!$B$5:$B$2004,$A41,Transactions!$A$5:$A$2004,"&gt;="&amp;DATE(Setup!$B$4,6,1),Transactions!$A$5:$A$2004,"&lt;="&amp;EOMONTH(DATE(Setup!$B$4,6,1),0)))</f>
        <v/>
      </c>
      <c r="I41" s="18">
        <f>IF($A41="","",SUMIFS(Transactions!$C$5:$C$2004,Transactions!$B$5:$B$2004,$A41,Transactions!$A$5:$A$2004,"&gt;="&amp;DATE(Setup!$B$4,7,1),Transactions!$A$5:$A$2004,"&lt;="&amp;EOMONTH(DATE(Setup!$B$4,7,1),0)))</f>
        <v/>
      </c>
      <c r="J41" s="18">
        <f>IF($A41="","",SUMIFS(Transactions!$C$5:$C$2004,Transactions!$B$5:$B$2004,$A41,Transactions!$A$5:$A$2004,"&gt;="&amp;DATE(Setup!$B$4,8,1),Transactions!$A$5:$A$2004,"&lt;="&amp;EOMONTH(DATE(Setup!$B$4,8,1),0)))</f>
        <v/>
      </c>
      <c r="K41" s="18">
        <f>IF($A41="","",SUMIFS(Transactions!$C$5:$C$2004,Transactions!$B$5:$B$2004,$A41,Transactions!$A$5:$A$2004,"&gt;="&amp;DATE(Setup!$B$4,9,1),Transactions!$A$5:$A$2004,"&lt;="&amp;EOMONTH(DATE(Setup!$B$4,9,1),0)))</f>
        <v/>
      </c>
      <c r="L41" s="18">
        <f>IF($A41="","",SUMIFS(Transactions!$C$5:$C$2004,Transactions!$B$5:$B$2004,$A41,Transactions!$A$5:$A$2004,"&gt;="&amp;DATE(Setup!$B$4,10,1),Transactions!$A$5:$A$2004,"&lt;="&amp;EOMONTH(DATE(Setup!$B$4,10,1),0)))</f>
        <v/>
      </c>
      <c r="M41" s="18">
        <f>IF($A41="","",SUMIFS(Transactions!$C$5:$C$2004,Transactions!$B$5:$B$2004,$A41,Transactions!$A$5:$A$2004,"&gt;="&amp;DATE(Setup!$B$4,11,1),Transactions!$A$5:$A$2004,"&lt;="&amp;EOMONTH(DATE(Setup!$B$4,11,1),0)))</f>
        <v/>
      </c>
      <c r="N41" s="18">
        <f>IF($A41="","",SUMIFS(Transactions!$C$5:$C$2004,Transactions!$B$5:$B$2004,$A41,Transactions!$A$5:$A$2004,"&gt;="&amp;DATE(Setup!$B$4,12,1),Transactions!$A$5:$A$2004,"&lt;="&amp;EOMONTH(DATE(Setup!$B$4,12,1),0)))</f>
        <v/>
      </c>
      <c r="O41" s="18">
        <f>IF($A41="","",SUM(C41:N41))</f>
        <v/>
      </c>
    </row>
    <row r="42">
      <c r="A42">
        <f>IF(Categories!A42="","",Categories!A42)</f>
        <v/>
      </c>
      <c r="B42">
        <f>IF(Categories!A42="","",Categories!B42)</f>
        <v/>
      </c>
      <c r="C42" s="18">
        <f>IF($A42="","",SUMIFS(Transactions!$C$5:$C$2004,Transactions!$B$5:$B$2004,$A42,Transactions!$A$5:$A$2004,"&gt;="&amp;DATE(Setup!$B$4,1,1),Transactions!$A$5:$A$2004,"&lt;="&amp;EOMONTH(DATE(Setup!$B$4,1,1),0)))</f>
        <v/>
      </c>
      <c r="D42" s="18">
        <f>IF($A42="","",SUMIFS(Transactions!$C$5:$C$2004,Transactions!$B$5:$B$2004,$A42,Transactions!$A$5:$A$2004,"&gt;="&amp;DATE(Setup!$B$4,2,1),Transactions!$A$5:$A$2004,"&lt;="&amp;EOMONTH(DATE(Setup!$B$4,2,1),0)))</f>
        <v/>
      </c>
      <c r="E42" s="18">
        <f>IF($A42="","",SUMIFS(Transactions!$C$5:$C$2004,Transactions!$B$5:$B$2004,$A42,Transactions!$A$5:$A$2004,"&gt;="&amp;DATE(Setup!$B$4,3,1),Transactions!$A$5:$A$2004,"&lt;="&amp;EOMONTH(DATE(Setup!$B$4,3,1),0)))</f>
        <v/>
      </c>
      <c r="F42" s="18">
        <f>IF($A42="","",SUMIFS(Transactions!$C$5:$C$2004,Transactions!$B$5:$B$2004,$A42,Transactions!$A$5:$A$2004,"&gt;="&amp;DATE(Setup!$B$4,4,1),Transactions!$A$5:$A$2004,"&lt;="&amp;EOMONTH(DATE(Setup!$B$4,4,1),0)))</f>
        <v/>
      </c>
      <c r="G42" s="18">
        <f>IF($A42="","",SUMIFS(Transactions!$C$5:$C$2004,Transactions!$B$5:$B$2004,$A42,Transactions!$A$5:$A$2004,"&gt;="&amp;DATE(Setup!$B$4,5,1),Transactions!$A$5:$A$2004,"&lt;="&amp;EOMONTH(DATE(Setup!$B$4,5,1),0)))</f>
        <v/>
      </c>
      <c r="H42" s="18">
        <f>IF($A42="","",SUMIFS(Transactions!$C$5:$C$2004,Transactions!$B$5:$B$2004,$A42,Transactions!$A$5:$A$2004,"&gt;="&amp;DATE(Setup!$B$4,6,1),Transactions!$A$5:$A$2004,"&lt;="&amp;EOMONTH(DATE(Setup!$B$4,6,1),0)))</f>
        <v/>
      </c>
      <c r="I42" s="18">
        <f>IF($A42="","",SUMIFS(Transactions!$C$5:$C$2004,Transactions!$B$5:$B$2004,$A42,Transactions!$A$5:$A$2004,"&gt;="&amp;DATE(Setup!$B$4,7,1),Transactions!$A$5:$A$2004,"&lt;="&amp;EOMONTH(DATE(Setup!$B$4,7,1),0)))</f>
        <v/>
      </c>
      <c r="J42" s="18">
        <f>IF($A42="","",SUMIFS(Transactions!$C$5:$C$2004,Transactions!$B$5:$B$2004,$A42,Transactions!$A$5:$A$2004,"&gt;="&amp;DATE(Setup!$B$4,8,1),Transactions!$A$5:$A$2004,"&lt;="&amp;EOMONTH(DATE(Setup!$B$4,8,1),0)))</f>
        <v/>
      </c>
      <c r="K42" s="18">
        <f>IF($A42="","",SUMIFS(Transactions!$C$5:$C$2004,Transactions!$B$5:$B$2004,$A42,Transactions!$A$5:$A$2004,"&gt;="&amp;DATE(Setup!$B$4,9,1),Transactions!$A$5:$A$2004,"&lt;="&amp;EOMONTH(DATE(Setup!$B$4,9,1),0)))</f>
        <v/>
      </c>
      <c r="L42" s="18">
        <f>IF($A42="","",SUMIFS(Transactions!$C$5:$C$2004,Transactions!$B$5:$B$2004,$A42,Transactions!$A$5:$A$2004,"&gt;="&amp;DATE(Setup!$B$4,10,1),Transactions!$A$5:$A$2004,"&lt;="&amp;EOMONTH(DATE(Setup!$B$4,10,1),0)))</f>
        <v/>
      </c>
      <c r="M42" s="18">
        <f>IF($A42="","",SUMIFS(Transactions!$C$5:$C$2004,Transactions!$B$5:$B$2004,$A42,Transactions!$A$5:$A$2004,"&gt;="&amp;DATE(Setup!$B$4,11,1),Transactions!$A$5:$A$2004,"&lt;="&amp;EOMONTH(DATE(Setup!$B$4,11,1),0)))</f>
        <v/>
      </c>
      <c r="N42" s="18">
        <f>IF($A42="","",SUMIFS(Transactions!$C$5:$C$2004,Transactions!$B$5:$B$2004,$A42,Transactions!$A$5:$A$2004,"&gt;="&amp;DATE(Setup!$B$4,12,1),Transactions!$A$5:$A$2004,"&lt;="&amp;EOMONTH(DATE(Setup!$B$4,12,1),0)))</f>
        <v/>
      </c>
      <c r="O42" s="18">
        <f>IF($A42="","",SUM(C42:N42))</f>
        <v/>
      </c>
    </row>
    <row r="43">
      <c r="A43">
        <f>IF(Categories!A43="","",Categories!A43)</f>
        <v/>
      </c>
      <c r="B43">
        <f>IF(Categories!A43="","",Categories!B43)</f>
        <v/>
      </c>
      <c r="C43" s="18">
        <f>IF($A43="","",SUMIFS(Transactions!$C$5:$C$2004,Transactions!$B$5:$B$2004,$A43,Transactions!$A$5:$A$2004,"&gt;="&amp;DATE(Setup!$B$4,1,1),Transactions!$A$5:$A$2004,"&lt;="&amp;EOMONTH(DATE(Setup!$B$4,1,1),0)))</f>
        <v/>
      </c>
      <c r="D43" s="18">
        <f>IF($A43="","",SUMIFS(Transactions!$C$5:$C$2004,Transactions!$B$5:$B$2004,$A43,Transactions!$A$5:$A$2004,"&gt;="&amp;DATE(Setup!$B$4,2,1),Transactions!$A$5:$A$2004,"&lt;="&amp;EOMONTH(DATE(Setup!$B$4,2,1),0)))</f>
        <v/>
      </c>
      <c r="E43" s="18">
        <f>IF($A43="","",SUMIFS(Transactions!$C$5:$C$2004,Transactions!$B$5:$B$2004,$A43,Transactions!$A$5:$A$2004,"&gt;="&amp;DATE(Setup!$B$4,3,1),Transactions!$A$5:$A$2004,"&lt;="&amp;EOMONTH(DATE(Setup!$B$4,3,1),0)))</f>
        <v/>
      </c>
      <c r="F43" s="18">
        <f>IF($A43="","",SUMIFS(Transactions!$C$5:$C$2004,Transactions!$B$5:$B$2004,$A43,Transactions!$A$5:$A$2004,"&gt;="&amp;DATE(Setup!$B$4,4,1),Transactions!$A$5:$A$2004,"&lt;="&amp;EOMONTH(DATE(Setup!$B$4,4,1),0)))</f>
        <v/>
      </c>
      <c r="G43" s="18">
        <f>IF($A43="","",SUMIFS(Transactions!$C$5:$C$2004,Transactions!$B$5:$B$2004,$A43,Transactions!$A$5:$A$2004,"&gt;="&amp;DATE(Setup!$B$4,5,1),Transactions!$A$5:$A$2004,"&lt;="&amp;EOMONTH(DATE(Setup!$B$4,5,1),0)))</f>
        <v/>
      </c>
      <c r="H43" s="18">
        <f>IF($A43="","",SUMIFS(Transactions!$C$5:$C$2004,Transactions!$B$5:$B$2004,$A43,Transactions!$A$5:$A$2004,"&gt;="&amp;DATE(Setup!$B$4,6,1),Transactions!$A$5:$A$2004,"&lt;="&amp;EOMONTH(DATE(Setup!$B$4,6,1),0)))</f>
        <v/>
      </c>
      <c r="I43" s="18">
        <f>IF($A43="","",SUMIFS(Transactions!$C$5:$C$2004,Transactions!$B$5:$B$2004,$A43,Transactions!$A$5:$A$2004,"&gt;="&amp;DATE(Setup!$B$4,7,1),Transactions!$A$5:$A$2004,"&lt;="&amp;EOMONTH(DATE(Setup!$B$4,7,1),0)))</f>
        <v/>
      </c>
      <c r="J43" s="18">
        <f>IF($A43="","",SUMIFS(Transactions!$C$5:$C$2004,Transactions!$B$5:$B$2004,$A43,Transactions!$A$5:$A$2004,"&gt;="&amp;DATE(Setup!$B$4,8,1),Transactions!$A$5:$A$2004,"&lt;="&amp;EOMONTH(DATE(Setup!$B$4,8,1),0)))</f>
        <v/>
      </c>
      <c r="K43" s="18">
        <f>IF($A43="","",SUMIFS(Transactions!$C$5:$C$2004,Transactions!$B$5:$B$2004,$A43,Transactions!$A$5:$A$2004,"&gt;="&amp;DATE(Setup!$B$4,9,1),Transactions!$A$5:$A$2004,"&lt;="&amp;EOMONTH(DATE(Setup!$B$4,9,1),0)))</f>
        <v/>
      </c>
      <c r="L43" s="18">
        <f>IF($A43="","",SUMIFS(Transactions!$C$5:$C$2004,Transactions!$B$5:$B$2004,$A43,Transactions!$A$5:$A$2004,"&gt;="&amp;DATE(Setup!$B$4,10,1),Transactions!$A$5:$A$2004,"&lt;="&amp;EOMONTH(DATE(Setup!$B$4,10,1),0)))</f>
        <v/>
      </c>
      <c r="M43" s="18">
        <f>IF($A43="","",SUMIFS(Transactions!$C$5:$C$2004,Transactions!$B$5:$B$2004,$A43,Transactions!$A$5:$A$2004,"&gt;="&amp;DATE(Setup!$B$4,11,1),Transactions!$A$5:$A$2004,"&lt;="&amp;EOMONTH(DATE(Setup!$B$4,11,1),0)))</f>
        <v/>
      </c>
      <c r="N43" s="18">
        <f>IF($A43="","",SUMIFS(Transactions!$C$5:$C$2004,Transactions!$B$5:$B$2004,$A43,Transactions!$A$5:$A$2004,"&gt;="&amp;DATE(Setup!$B$4,12,1),Transactions!$A$5:$A$2004,"&lt;="&amp;EOMONTH(DATE(Setup!$B$4,12,1),0)))</f>
        <v/>
      </c>
      <c r="O43" s="18">
        <f>IF($A43="","",SUM(C43:N43))</f>
        <v/>
      </c>
    </row>
    <row r="44">
      <c r="A44">
        <f>IF(Categories!A44="","",Categories!A44)</f>
        <v/>
      </c>
      <c r="B44">
        <f>IF(Categories!A44="","",Categories!B44)</f>
        <v/>
      </c>
      <c r="C44" s="18">
        <f>IF($A44="","",SUMIFS(Transactions!$C$5:$C$2004,Transactions!$B$5:$B$2004,$A44,Transactions!$A$5:$A$2004,"&gt;="&amp;DATE(Setup!$B$4,1,1),Transactions!$A$5:$A$2004,"&lt;="&amp;EOMONTH(DATE(Setup!$B$4,1,1),0)))</f>
        <v/>
      </c>
      <c r="D44" s="18">
        <f>IF($A44="","",SUMIFS(Transactions!$C$5:$C$2004,Transactions!$B$5:$B$2004,$A44,Transactions!$A$5:$A$2004,"&gt;="&amp;DATE(Setup!$B$4,2,1),Transactions!$A$5:$A$2004,"&lt;="&amp;EOMONTH(DATE(Setup!$B$4,2,1),0)))</f>
        <v/>
      </c>
      <c r="E44" s="18">
        <f>IF($A44="","",SUMIFS(Transactions!$C$5:$C$2004,Transactions!$B$5:$B$2004,$A44,Transactions!$A$5:$A$2004,"&gt;="&amp;DATE(Setup!$B$4,3,1),Transactions!$A$5:$A$2004,"&lt;="&amp;EOMONTH(DATE(Setup!$B$4,3,1),0)))</f>
        <v/>
      </c>
      <c r="F44" s="18">
        <f>IF($A44="","",SUMIFS(Transactions!$C$5:$C$2004,Transactions!$B$5:$B$2004,$A44,Transactions!$A$5:$A$2004,"&gt;="&amp;DATE(Setup!$B$4,4,1),Transactions!$A$5:$A$2004,"&lt;="&amp;EOMONTH(DATE(Setup!$B$4,4,1),0)))</f>
        <v/>
      </c>
      <c r="G44" s="18">
        <f>IF($A44="","",SUMIFS(Transactions!$C$5:$C$2004,Transactions!$B$5:$B$2004,$A44,Transactions!$A$5:$A$2004,"&gt;="&amp;DATE(Setup!$B$4,5,1),Transactions!$A$5:$A$2004,"&lt;="&amp;EOMONTH(DATE(Setup!$B$4,5,1),0)))</f>
        <v/>
      </c>
      <c r="H44" s="18">
        <f>IF($A44="","",SUMIFS(Transactions!$C$5:$C$2004,Transactions!$B$5:$B$2004,$A44,Transactions!$A$5:$A$2004,"&gt;="&amp;DATE(Setup!$B$4,6,1),Transactions!$A$5:$A$2004,"&lt;="&amp;EOMONTH(DATE(Setup!$B$4,6,1),0)))</f>
        <v/>
      </c>
      <c r="I44" s="18">
        <f>IF($A44="","",SUMIFS(Transactions!$C$5:$C$2004,Transactions!$B$5:$B$2004,$A44,Transactions!$A$5:$A$2004,"&gt;="&amp;DATE(Setup!$B$4,7,1),Transactions!$A$5:$A$2004,"&lt;="&amp;EOMONTH(DATE(Setup!$B$4,7,1),0)))</f>
        <v/>
      </c>
      <c r="J44" s="18">
        <f>IF($A44="","",SUMIFS(Transactions!$C$5:$C$2004,Transactions!$B$5:$B$2004,$A44,Transactions!$A$5:$A$2004,"&gt;="&amp;DATE(Setup!$B$4,8,1),Transactions!$A$5:$A$2004,"&lt;="&amp;EOMONTH(DATE(Setup!$B$4,8,1),0)))</f>
        <v/>
      </c>
      <c r="K44" s="18">
        <f>IF($A44="","",SUMIFS(Transactions!$C$5:$C$2004,Transactions!$B$5:$B$2004,$A44,Transactions!$A$5:$A$2004,"&gt;="&amp;DATE(Setup!$B$4,9,1),Transactions!$A$5:$A$2004,"&lt;="&amp;EOMONTH(DATE(Setup!$B$4,9,1),0)))</f>
        <v/>
      </c>
      <c r="L44" s="18">
        <f>IF($A44="","",SUMIFS(Transactions!$C$5:$C$2004,Transactions!$B$5:$B$2004,$A44,Transactions!$A$5:$A$2004,"&gt;="&amp;DATE(Setup!$B$4,10,1),Transactions!$A$5:$A$2004,"&lt;="&amp;EOMONTH(DATE(Setup!$B$4,10,1),0)))</f>
        <v/>
      </c>
      <c r="M44" s="18">
        <f>IF($A44="","",SUMIFS(Transactions!$C$5:$C$2004,Transactions!$B$5:$B$2004,$A44,Transactions!$A$5:$A$2004,"&gt;="&amp;DATE(Setup!$B$4,11,1),Transactions!$A$5:$A$2004,"&lt;="&amp;EOMONTH(DATE(Setup!$B$4,11,1),0)))</f>
        <v/>
      </c>
      <c r="N44" s="18">
        <f>IF($A44="","",SUMIFS(Transactions!$C$5:$C$2004,Transactions!$B$5:$B$2004,$A44,Transactions!$A$5:$A$2004,"&gt;="&amp;DATE(Setup!$B$4,12,1),Transactions!$A$5:$A$2004,"&lt;="&amp;EOMONTH(DATE(Setup!$B$4,12,1),0)))</f>
        <v/>
      </c>
      <c r="O44" s="18">
        <f>IF($A44="","",SUM(C44:N44))</f>
        <v/>
      </c>
    </row>
    <row r="46">
      <c r="A46" s="10" t="inlineStr">
        <is>
          <t>TOTAL INCOME</t>
        </is>
      </c>
      <c r="C46" s="19">
        <f>SUMIFS(C5:C44,$B$5:$B$44,"Income")</f>
        <v/>
      </c>
      <c r="D46" s="19">
        <f>SUMIFS(D5:D44,$B$5:$B$44,"Income")</f>
        <v/>
      </c>
      <c r="E46" s="19">
        <f>SUMIFS(E5:E44,$B$5:$B$44,"Income")</f>
        <v/>
      </c>
      <c r="F46" s="19">
        <f>SUMIFS(F5:F44,$B$5:$B$44,"Income")</f>
        <v/>
      </c>
      <c r="G46" s="19">
        <f>SUMIFS(G5:G44,$B$5:$B$44,"Income")</f>
        <v/>
      </c>
      <c r="H46" s="19">
        <f>SUMIFS(H5:H44,$B$5:$B$44,"Income")</f>
        <v/>
      </c>
      <c r="I46" s="19">
        <f>SUMIFS(I5:I44,$B$5:$B$44,"Income")</f>
        <v/>
      </c>
      <c r="J46" s="19">
        <f>SUMIFS(J5:J44,$B$5:$B$44,"Income")</f>
        <v/>
      </c>
      <c r="K46" s="19">
        <f>SUMIFS(K5:K44,$B$5:$B$44,"Income")</f>
        <v/>
      </c>
      <c r="L46" s="19">
        <f>SUMIFS(L5:L44,$B$5:$B$44,"Income")</f>
        <v/>
      </c>
      <c r="M46" s="19">
        <f>SUMIFS(M5:M44,$B$5:$B$44,"Income")</f>
        <v/>
      </c>
      <c r="N46" s="19">
        <f>SUMIFS(N5:N44,$B$5:$B$44,"Income")</f>
        <v/>
      </c>
      <c r="O46" s="19">
        <f>SUMIFS(O5:O44,$B$5:$B$44,"Income")</f>
        <v/>
      </c>
    </row>
    <row r="47">
      <c r="A47" s="10" t="inlineStr">
        <is>
          <t>TOTAL NEEDS</t>
        </is>
      </c>
      <c r="C47" s="19">
        <f>SUMIFS(C5:C44,$B$5:$B$44,"Need")</f>
        <v/>
      </c>
      <c r="D47" s="19">
        <f>SUMIFS(D5:D44,$B$5:$B$44,"Need")</f>
        <v/>
      </c>
      <c r="E47" s="19">
        <f>SUMIFS(E5:E44,$B$5:$B$44,"Need")</f>
        <v/>
      </c>
      <c r="F47" s="19">
        <f>SUMIFS(F5:F44,$B$5:$B$44,"Need")</f>
        <v/>
      </c>
      <c r="G47" s="19">
        <f>SUMIFS(G5:G44,$B$5:$B$44,"Need")</f>
        <v/>
      </c>
      <c r="H47" s="19">
        <f>SUMIFS(H5:H44,$B$5:$B$44,"Need")</f>
        <v/>
      </c>
      <c r="I47" s="19">
        <f>SUMIFS(I5:I44,$B$5:$B$44,"Need")</f>
        <v/>
      </c>
      <c r="J47" s="19">
        <f>SUMIFS(J5:J44,$B$5:$B$44,"Need")</f>
        <v/>
      </c>
      <c r="K47" s="19">
        <f>SUMIFS(K5:K44,$B$5:$B$44,"Need")</f>
        <v/>
      </c>
      <c r="L47" s="19">
        <f>SUMIFS(L5:L44,$B$5:$B$44,"Need")</f>
        <v/>
      </c>
      <c r="M47" s="19">
        <f>SUMIFS(M5:M44,$B$5:$B$44,"Need")</f>
        <v/>
      </c>
      <c r="N47" s="19">
        <f>SUMIFS(N5:N44,$B$5:$B$44,"Need")</f>
        <v/>
      </c>
      <c r="O47" s="19">
        <f>SUMIFS(O5:O44,$B$5:$B$44,"Need")</f>
        <v/>
      </c>
    </row>
    <row r="48">
      <c r="A48" s="10" t="inlineStr">
        <is>
          <t>TOTAL WANTS</t>
        </is>
      </c>
      <c r="C48" s="19">
        <f>SUMIFS(C5:C44,$B$5:$B$44,"Want")</f>
        <v/>
      </c>
      <c r="D48" s="19">
        <f>SUMIFS(D5:D44,$B$5:$B$44,"Want")</f>
        <v/>
      </c>
      <c r="E48" s="19">
        <f>SUMIFS(E5:E44,$B$5:$B$44,"Want")</f>
        <v/>
      </c>
      <c r="F48" s="19">
        <f>SUMIFS(F5:F44,$B$5:$B$44,"Want")</f>
        <v/>
      </c>
      <c r="G48" s="19">
        <f>SUMIFS(G5:G44,$B$5:$B$44,"Want")</f>
        <v/>
      </c>
      <c r="H48" s="19">
        <f>SUMIFS(H5:H44,$B$5:$B$44,"Want")</f>
        <v/>
      </c>
      <c r="I48" s="19">
        <f>SUMIFS(I5:I44,$B$5:$B$44,"Want")</f>
        <v/>
      </c>
      <c r="J48" s="19">
        <f>SUMIFS(J5:J44,$B$5:$B$44,"Want")</f>
        <v/>
      </c>
      <c r="K48" s="19">
        <f>SUMIFS(K5:K44,$B$5:$B$44,"Want")</f>
        <v/>
      </c>
      <c r="L48" s="19">
        <f>SUMIFS(L5:L44,$B$5:$B$44,"Want")</f>
        <v/>
      </c>
      <c r="M48" s="19">
        <f>SUMIFS(M5:M44,$B$5:$B$44,"Want")</f>
        <v/>
      </c>
      <c r="N48" s="19">
        <f>SUMIFS(N5:N44,$B$5:$B$44,"Want")</f>
        <v/>
      </c>
      <c r="O48" s="19">
        <f>SUMIFS(O5:O44,$B$5:$B$44,"Want")</f>
        <v/>
      </c>
    </row>
    <row r="49">
      <c r="A49" s="10" t="inlineStr">
        <is>
          <t>TOTAL SAVINGS</t>
        </is>
      </c>
      <c r="C49" s="19">
        <f>SUMIFS(C5:C44,$B$5:$B$44,"Savings")</f>
        <v/>
      </c>
      <c r="D49" s="19">
        <f>SUMIFS(D5:D44,$B$5:$B$44,"Savings")</f>
        <v/>
      </c>
      <c r="E49" s="19">
        <f>SUMIFS(E5:E44,$B$5:$B$44,"Savings")</f>
        <v/>
      </c>
      <c r="F49" s="19">
        <f>SUMIFS(F5:F44,$B$5:$B$44,"Savings")</f>
        <v/>
      </c>
      <c r="G49" s="19">
        <f>SUMIFS(G5:G44,$B$5:$B$44,"Savings")</f>
        <v/>
      </c>
      <c r="H49" s="19">
        <f>SUMIFS(H5:H44,$B$5:$B$44,"Savings")</f>
        <v/>
      </c>
      <c r="I49" s="19">
        <f>SUMIFS(I5:I44,$B$5:$B$44,"Savings")</f>
        <v/>
      </c>
      <c r="J49" s="19">
        <f>SUMIFS(J5:J44,$B$5:$B$44,"Savings")</f>
        <v/>
      </c>
      <c r="K49" s="19">
        <f>SUMIFS(K5:K44,$B$5:$B$44,"Savings")</f>
        <v/>
      </c>
      <c r="L49" s="19">
        <f>SUMIFS(L5:L44,$B$5:$B$44,"Savings")</f>
        <v/>
      </c>
      <c r="M49" s="19">
        <f>SUMIFS(M5:M44,$B$5:$B$44,"Savings")</f>
        <v/>
      </c>
      <c r="N49" s="19">
        <f>SUMIFS(N5:N44,$B$5:$B$44,"Savings")</f>
        <v/>
      </c>
      <c r="O49" s="19">
        <f>SUMIFS(O5:O44,$B$5:$B$44,"Savings")</f>
        <v/>
      </c>
    </row>
    <row r="50">
      <c r="A50" s="20" t="inlineStr">
        <is>
          <t>LEFT OVER (income − all outflows)</t>
        </is>
      </c>
      <c r="C50" s="21">
        <f>C46-C47-C48-C49</f>
        <v/>
      </c>
      <c r="D50" s="21">
        <f>D46-D47-D48-D49</f>
        <v/>
      </c>
      <c r="E50" s="21">
        <f>E46-E47-E48-E49</f>
        <v/>
      </c>
      <c r="F50" s="21">
        <f>F46-F47-F48-F49</f>
        <v/>
      </c>
      <c r="G50" s="21">
        <f>G46-G47-G48-G49</f>
        <v/>
      </c>
      <c r="H50" s="21">
        <f>H46-H47-H48-H49</f>
        <v/>
      </c>
      <c r="I50" s="21">
        <f>I46-I47-I48-I49</f>
        <v/>
      </c>
      <c r="J50" s="21">
        <f>J46-J47-J48-J49</f>
        <v/>
      </c>
      <c r="K50" s="21">
        <f>K46-K47-K48-K49</f>
        <v/>
      </c>
      <c r="L50" s="21">
        <f>L46-L47-L48-L49</f>
        <v/>
      </c>
      <c r="M50" s="21">
        <f>M46-M47-M48-M49</f>
        <v/>
      </c>
      <c r="N50" s="21">
        <f>N46-N47-N48-N49</f>
        <v/>
      </c>
      <c r="O50" s="21">
        <f>O46-O47-O48-O49</f>
        <v/>
      </c>
    </row>
    <row r="51">
      <c r="A51" s="10" t="inlineStr">
        <is>
          <t>Savings rate</t>
        </is>
      </c>
      <c r="C51" s="22">
        <f>IF(C46=0,"",C49/C46)</f>
        <v/>
      </c>
      <c r="D51" s="22">
        <f>IF(D46=0,"",D49/D46)</f>
        <v/>
      </c>
      <c r="E51" s="22">
        <f>IF(E46=0,"",E49/E46)</f>
        <v/>
      </c>
      <c r="F51" s="22">
        <f>IF(F46=0,"",F49/F46)</f>
        <v/>
      </c>
      <c r="G51" s="22">
        <f>IF(G46=0,"",G49/G46)</f>
        <v/>
      </c>
      <c r="H51" s="22">
        <f>IF(H46=0,"",H49/H46)</f>
        <v/>
      </c>
      <c r="I51" s="22">
        <f>IF(I46=0,"",I49/I46)</f>
        <v/>
      </c>
      <c r="J51" s="22">
        <f>IF(J46=0,"",J49/J46)</f>
        <v/>
      </c>
      <c r="K51" s="22">
        <f>IF(K46=0,"",K49/K46)</f>
        <v/>
      </c>
      <c r="L51" s="22">
        <f>IF(L46=0,"",L49/L46)</f>
        <v/>
      </c>
      <c r="M51" s="22">
        <f>IF(M46=0,"",M49/M46)</f>
        <v/>
      </c>
      <c r="N51" s="22">
        <f>IF(N46=0,"",N49/N46)</f>
        <v/>
      </c>
      <c r="O51" s="22">
        <f>IF(O46=0,"",O49/O46)</f>
        <v/>
      </c>
    </row>
  </sheetData>
  <mergeCells count="2">
    <mergeCell ref="A1:O1"/>
    <mergeCell ref="A2:O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50" customWidth="1" min="4" max="4"/>
  </cols>
  <sheetData>
    <row r="1">
      <c r="A1" s="8" t="inlineStr">
        <is>
          <t>50 / 30 / 20 Check — whole year</t>
        </is>
      </c>
    </row>
    <row r="2">
      <c r="A2" s="9" t="inlineStr">
        <is>
          <t>A simple rule of thumb: 50% needs, 30% wants, 20% savings</t>
        </is>
      </c>
    </row>
    <row r="4" ht="32" customHeight="1">
      <c r="A4" s="13" t="inlineStr">
        <is>
          <t>Bucket</t>
        </is>
      </c>
      <c r="B4" s="13" t="inlineStr">
        <is>
          <t>Your share of income</t>
        </is>
      </c>
      <c r="C4" s="13" t="inlineStr">
        <is>
          <t>Rule of thumb</t>
        </is>
      </c>
      <c r="D4" s="13" t="inlineStr">
        <is>
          <t>Comment</t>
        </is>
      </c>
    </row>
    <row r="5">
      <c r="A5" s="10" t="inlineStr">
        <is>
          <t>Needs</t>
        </is>
      </c>
      <c r="B5" s="22">
        <f>IF('Year Summary'!O46=0,0,'Year Summary'!O47/'Year Summary'!O46)</f>
        <v/>
      </c>
      <c r="C5" s="22" t="n">
        <v>0.5</v>
      </c>
      <c r="D5">
        <f>IF('Year Summary'!O46=0,"Add some transactions first",IF(B5&lt;=C5,"On track ✔","Higher than the rule — look for cuts here"))</f>
        <v/>
      </c>
    </row>
    <row r="6">
      <c r="A6" s="10" t="inlineStr">
        <is>
          <t>Wants</t>
        </is>
      </c>
      <c r="B6" s="22">
        <f>IF('Year Summary'!O46=0,0,'Year Summary'!O48/'Year Summary'!O46)</f>
        <v/>
      </c>
      <c r="C6" s="22" t="n">
        <v>0.3</v>
      </c>
      <c r="D6">
        <f>IF('Year Summary'!O46=0,"Add some transactions first",IF(B6&lt;=C6,"On track ✔","Higher than the rule — look for cuts here"))</f>
        <v/>
      </c>
    </row>
    <row r="7">
      <c r="A7" s="10" t="inlineStr">
        <is>
          <t>Savings</t>
        </is>
      </c>
      <c r="B7" s="22">
        <f>IF('Year Summary'!O46=0,0,'Year Summary'!O49/'Year Summary'!O46)</f>
        <v/>
      </c>
      <c r="C7" s="22" t="n">
        <v>0.2</v>
      </c>
      <c r="D7">
        <f>IF('Year Summary'!O46=0,"Add some transactions first",IF(B7&gt;=C7,"On track ✔","Try to save a little more"))</f>
        <v/>
      </c>
    </row>
    <row r="10">
      <c r="A10" s="23" t="inlineStr">
        <is>
          <t>Tax, GST or accounts question? Rajput Lalit &amp; Associates — WhatsApp +91 93549 53603 · www.rajputlalitassociates.in</t>
        </is>
      </c>
    </row>
  </sheetData>
  <mergeCells count="3">
    <mergeCell ref="A1:D1"/>
    <mergeCell ref="A10:D10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</cols>
  <sheetData>
    <row r="1">
      <c r="A1" s="8" t="inlineStr">
        <is>
          <t>Setup</t>
        </is>
      </c>
    </row>
    <row r="3">
      <c r="A3" s="10" t="inlineStr">
        <is>
          <t>Your name</t>
        </is>
      </c>
      <c r="B3" s="11" t="inlineStr"/>
    </row>
    <row r="4">
      <c r="A4" s="10" t="inlineStr">
        <is>
          <t>Year</t>
        </is>
      </c>
      <c r="B4" s="11" t="n">
        <v>2026</v>
      </c>
    </row>
    <row r="5">
      <c r="A5" s="10" t="inlineStr">
        <is>
          <t>Starting bank balance (optional)</t>
        </is>
      </c>
      <c r="B5" s="24" t="n">
        <v>0</v>
      </c>
    </row>
    <row r="7">
      <c r="A7" s="16" t="inlineStr">
        <is>
          <t>Monthly budgets are entered in the 'Categories' sheet, column C.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8" customWidth="1" min="4" max="4"/>
    <col width="30" customWidth="1" min="5" max="5"/>
    <col width="10" customWidth="1" min="6" max="6"/>
    <col width="10" customWidth="1" min="7" max="7"/>
  </cols>
  <sheetData>
    <row r="1">
      <c r="A1" s="8" t="inlineStr">
        <is>
          <t>Transactions</t>
        </is>
      </c>
    </row>
    <row r="2">
      <c r="A2" s="9" t="inlineStr">
        <is>
          <t>One line per income or expense. Type and month fill in by themselves.</t>
        </is>
      </c>
    </row>
    <row r="4" ht="32" customHeight="1">
      <c r="A4" s="13" t="inlineStr">
        <is>
          <t>Date</t>
        </is>
      </c>
      <c r="B4" s="13" t="inlineStr">
        <is>
          <t>Category</t>
        </is>
      </c>
      <c r="C4" s="13" t="inlineStr">
        <is>
          <t>Amount (₹)</t>
        </is>
      </c>
      <c r="D4" s="13" t="inlineStr">
        <is>
          <t>Paid by (Cash/UPI/Card/Bank)</t>
        </is>
      </c>
      <c r="E4" s="13" t="inlineStr">
        <is>
          <t>Note</t>
        </is>
      </c>
      <c r="F4" s="13" t="inlineStr">
        <is>
          <t>Type</t>
        </is>
      </c>
      <c r="G4" s="13" t="inlineStr">
        <is>
          <t>Month</t>
        </is>
      </c>
    </row>
    <row r="5">
      <c r="A5" s="25" t="n"/>
      <c r="B5" s="11" t="n"/>
      <c r="C5" s="24" t="n"/>
      <c r="D5" s="11" t="n"/>
      <c r="E5" s="11" t="n"/>
      <c r="F5">
        <f>IF(B5="","",IFERROR(INDEX(Categories!$B$5:$B$44,MATCH(B5,Categories!$A$5:$A$44,0)),"?"))</f>
        <v/>
      </c>
      <c r="G5">
        <f>IF(A5="","",MONTH(A5))</f>
        <v/>
      </c>
    </row>
    <row r="6">
      <c r="A6" s="25" t="n"/>
      <c r="B6" s="11" t="n"/>
      <c r="C6" s="24" t="n"/>
      <c r="D6" s="11" t="n"/>
      <c r="E6" s="11" t="n"/>
      <c r="F6">
        <f>IF(B6="","",IFERROR(INDEX(Categories!$B$5:$B$44,MATCH(B6,Categories!$A$5:$A$44,0)),"?"))</f>
        <v/>
      </c>
      <c r="G6">
        <f>IF(A6="","",MONTH(A6))</f>
        <v/>
      </c>
    </row>
    <row r="7">
      <c r="A7" s="25" t="n"/>
      <c r="B7" s="11" t="n"/>
      <c r="C7" s="24" t="n"/>
      <c r="D7" s="11" t="n"/>
      <c r="E7" s="11" t="n"/>
      <c r="F7">
        <f>IF(B7="","",IFERROR(INDEX(Categories!$B$5:$B$44,MATCH(B7,Categories!$A$5:$A$44,0)),"?"))</f>
        <v/>
      </c>
      <c r="G7">
        <f>IF(A7="","",MONTH(A7))</f>
        <v/>
      </c>
    </row>
    <row r="8">
      <c r="A8" s="25" t="n"/>
      <c r="B8" s="11" t="n"/>
      <c r="C8" s="24" t="n"/>
      <c r="D8" s="11" t="n"/>
      <c r="E8" s="11" t="n"/>
      <c r="F8">
        <f>IF(B8="","",IFERROR(INDEX(Categories!$B$5:$B$44,MATCH(B8,Categories!$A$5:$A$44,0)),"?"))</f>
        <v/>
      </c>
      <c r="G8">
        <f>IF(A8="","",MONTH(A8))</f>
        <v/>
      </c>
    </row>
    <row r="9">
      <c r="A9" s="25" t="n"/>
      <c r="B9" s="11" t="n"/>
      <c r="C9" s="24" t="n"/>
      <c r="D9" s="11" t="n"/>
      <c r="E9" s="11" t="n"/>
      <c r="F9">
        <f>IF(B9="","",IFERROR(INDEX(Categories!$B$5:$B$44,MATCH(B9,Categories!$A$5:$A$44,0)),"?"))</f>
        <v/>
      </c>
      <c r="G9">
        <f>IF(A9="","",MONTH(A9))</f>
        <v/>
      </c>
    </row>
    <row r="10">
      <c r="A10" s="25" t="n"/>
      <c r="B10" s="11" t="n"/>
      <c r="C10" s="24" t="n"/>
      <c r="D10" s="11" t="n"/>
      <c r="E10" s="11" t="n"/>
      <c r="F10">
        <f>IF(B10="","",IFERROR(INDEX(Categories!$B$5:$B$44,MATCH(B10,Categories!$A$5:$A$44,0)),"?"))</f>
        <v/>
      </c>
      <c r="G10">
        <f>IF(A10="","",MONTH(A10))</f>
        <v/>
      </c>
    </row>
    <row r="11">
      <c r="A11" s="25" t="n"/>
      <c r="B11" s="11" t="n"/>
      <c r="C11" s="24" t="n"/>
      <c r="D11" s="11" t="n"/>
      <c r="E11" s="11" t="n"/>
      <c r="F11">
        <f>IF(B11="","",IFERROR(INDEX(Categories!$B$5:$B$44,MATCH(B11,Categories!$A$5:$A$44,0)),"?"))</f>
        <v/>
      </c>
      <c r="G11">
        <f>IF(A11="","",MONTH(A11))</f>
        <v/>
      </c>
    </row>
    <row r="12">
      <c r="A12" s="25" t="n"/>
      <c r="B12" s="11" t="n"/>
      <c r="C12" s="24" t="n"/>
      <c r="D12" s="11" t="n"/>
      <c r="E12" s="11" t="n"/>
      <c r="F12">
        <f>IF(B12="","",IFERROR(INDEX(Categories!$B$5:$B$44,MATCH(B12,Categories!$A$5:$A$44,0)),"?"))</f>
        <v/>
      </c>
      <c r="G12">
        <f>IF(A12="","",MONTH(A12))</f>
        <v/>
      </c>
    </row>
    <row r="13">
      <c r="A13" s="25" t="n"/>
      <c r="B13" s="11" t="n"/>
      <c r="C13" s="24" t="n"/>
      <c r="D13" s="11" t="n"/>
      <c r="E13" s="11" t="n"/>
      <c r="F13">
        <f>IF(B13="","",IFERROR(INDEX(Categories!$B$5:$B$44,MATCH(B13,Categories!$A$5:$A$44,0)),"?"))</f>
        <v/>
      </c>
      <c r="G13">
        <f>IF(A13="","",MONTH(A13))</f>
        <v/>
      </c>
    </row>
    <row r="14">
      <c r="A14" s="25" t="n"/>
      <c r="B14" s="11" t="n"/>
      <c r="C14" s="24" t="n"/>
      <c r="D14" s="11" t="n"/>
      <c r="E14" s="11" t="n"/>
      <c r="F14">
        <f>IF(B14="","",IFERROR(INDEX(Categories!$B$5:$B$44,MATCH(B14,Categories!$A$5:$A$44,0)),"?"))</f>
        <v/>
      </c>
      <c r="G14">
        <f>IF(A14="","",MONTH(A14))</f>
        <v/>
      </c>
    </row>
    <row r="15">
      <c r="A15" s="25" t="n"/>
      <c r="B15" s="11" t="n"/>
      <c r="C15" s="24" t="n"/>
      <c r="D15" s="11" t="n"/>
      <c r="E15" s="11" t="n"/>
      <c r="F15">
        <f>IF(B15="","",IFERROR(INDEX(Categories!$B$5:$B$44,MATCH(B15,Categories!$A$5:$A$44,0)),"?"))</f>
        <v/>
      </c>
      <c r="G15">
        <f>IF(A15="","",MONTH(A15))</f>
        <v/>
      </c>
    </row>
    <row r="16">
      <c r="A16" s="25" t="n"/>
      <c r="B16" s="11" t="n"/>
      <c r="C16" s="24" t="n"/>
      <c r="D16" s="11" t="n"/>
      <c r="E16" s="11" t="n"/>
      <c r="F16">
        <f>IF(B16="","",IFERROR(INDEX(Categories!$B$5:$B$44,MATCH(B16,Categories!$A$5:$A$44,0)),"?"))</f>
        <v/>
      </c>
      <c r="G16">
        <f>IF(A16="","",MONTH(A16))</f>
        <v/>
      </c>
    </row>
    <row r="17">
      <c r="A17" s="25" t="n"/>
      <c r="B17" s="11" t="n"/>
      <c r="C17" s="24" t="n"/>
      <c r="D17" s="11" t="n"/>
      <c r="E17" s="11" t="n"/>
      <c r="F17">
        <f>IF(B17="","",IFERROR(INDEX(Categories!$B$5:$B$44,MATCH(B17,Categories!$A$5:$A$44,0)),"?"))</f>
        <v/>
      </c>
      <c r="G17">
        <f>IF(A17="","",MONTH(A17))</f>
        <v/>
      </c>
    </row>
    <row r="18">
      <c r="A18" s="25" t="n"/>
      <c r="B18" s="11" t="n"/>
      <c r="C18" s="24" t="n"/>
      <c r="D18" s="11" t="n"/>
      <c r="E18" s="11" t="n"/>
      <c r="F18">
        <f>IF(B18="","",IFERROR(INDEX(Categories!$B$5:$B$44,MATCH(B18,Categories!$A$5:$A$44,0)),"?"))</f>
        <v/>
      </c>
      <c r="G18">
        <f>IF(A18="","",MONTH(A18))</f>
        <v/>
      </c>
    </row>
    <row r="19">
      <c r="A19" s="25" t="n"/>
      <c r="B19" s="11" t="n"/>
      <c r="C19" s="24" t="n"/>
      <c r="D19" s="11" t="n"/>
      <c r="E19" s="11" t="n"/>
      <c r="F19">
        <f>IF(B19="","",IFERROR(INDEX(Categories!$B$5:$B$44,MATCH(B19,Categories!$A$5:$A$44,0)),"?"))</f>
        <v/>
      </c>
      <c r="G19">
        <f>IF(A19="","",MONTH(A19))</f>
        <v/>
      </c>
    </row>
    <row r="20">
      <c r="A20" s="25" t="n"/>
      <c r="B20" s="11" t="n"/>
      <c r="C20" s="24" t="n"/>
      <c r="D20" s="11" t="n"/>
      <c r="E20" s="11" t="n"/>
      <c r="F20">
        <f>IF(B20="","",IFERROR(INDEX(Categories!$B$5:$B$44,MATCH(B20,Categories!$A$5:$A$44,0)),"?"))</f>
        <v/>
      </c>
      <c r="G20">
        <f>IF(A20="","",MONTH(A20))</f>
        <v/>
      </c>
    </row>
    <row r="21">
      <c r="A21" s="25" t="n"/>
      <c r="B21" s="11" t="n"/>
      <c r="C21" s="24" t="n"/>
      <c r="D21" s="11" t="n"/>
      <c r="E21" s="11" t="n"/>
      <c r="F21">
        <f>IF(B21="","",IFERROR(INDEX(Categories!$B$5:$B$44,MATCH(B21,Categories!$A$5:$A$44,0)),"?"))</f>
        <v/>
      </c>
      <c r="G21">
        <f>IF(A21="","",MONTH(A21))</f>
        <v/>
      </c>
    </row>
    <row r="22">
      <c r="A22" s="25" t="n"/>
      <c r="B22" s="11" t="n"/>
      <c r="C22" s="24" t="n"/>
      <c r="D22" s="11" t="n"/>
      <c r="E22" s="11" t="n"/>
      <c r="F22">
        <f>IF(B22="","",IFERROR(INDEX(Categories!$B$5:$B$44,MATCH(B22,Categories!$A$5:$A$44,0)),"?"))</f>
        <v/>
      </c>
      <c r="G22">
        <f>IF(A22="","",MONTH(A22))</f>
        <v/>
      </c>
    </row>
    <row r="23">
      <c r="A23" s="25" t="n"/>
      <c r="B23" s="11" t="n"/>
      <c r="C23" s="24" t="n"/>
      <c r="D23" s="11" t="n"/>
      <c r="E23" s="11" t="n"/>
      <c r="F23">
        <f>IF(B23="","",IFERROR(INDEX(Categories!$B$5:$B$44,MATCH(B23,Categories!$A$5:$A$44,0)),"?"))</f>
        <v/>
      </c>
      <c r="G23">
        <f>IF(A23="","",MONTH(A23))</f>
        <v/>
      </c>
    </row>
    <row r="24">
      <c r="A24" s="25" t="n"/>
      <c r="B24" s="11" t="n"/>
      <c r="C24" s="24" t="n"/>
      <c r="D24" s="11" t="n"/>
      <c r="E24" s="11" t="n"/>
      <c r="F24">
        <f>IF(B24="","",IFERROR(INDEX(Categories!$B$5:$B$44,MATCH(B24,Categories!$A$5:$A$44,0)),"?"))</f>
        <v/>
      </c>
      <c r="G24">
        <f>IF(A24="","",MONTH(A24))</f>
        <v/>
      </c>
    </row>
    <row r="25">
      <c r="A25" s="25" t="n"/>
      <c r="B25" s="11" t="n"/>
      <c r="C25" s="24" t="n"/>
      <c r="D25" s="11" t="n"/>
      <c r="E25" s="11" t="n"/>
      <c r="F25">
        <f>IF(B25="","",IFERROR(INDEX(Categories!$B$5:$B$44,MATCH(B25,Categories!$A$5:$A$44,0)),"?"))</f>
        <v/>
      </c>
      <c r="G25">
        <f>IF(A25="","",MONTH(A25))</f>
        <v/>
      </c>
    </row>
    <row r="26">
      <c r="A26" s="25" t="n"/>
      <c r="B26" s="11" t="n"/>
      <c r="C26" s="24" t="n"/>
      <c r="D26" s="11" t="n"/>
      <c r="E26" s="11" t="n"/>
      <c r="F26">
        <f>IF(B26="","",IFERROR(INDEX(Categories!$B$5:$B$44,MATCH(B26,Categories!$A$5:$A$44,0)),"?"))</f>
        <v/>
      </c>
      <c r="G26">
        <f>IF(A26="","",MONTH(A26))</f>
        <v/>
      </c>
    </row>
    <row r="27">
      <c r="A27" s="25" t="n"/>
      <c r="B27" s="11" t="n"/>
      <c r="C27" s="24" t="n"/>
      <c r="D27" s="11" t="n"/>
      <c r="E27" s="11" t="n"/>
      <c r="F27">
        <f>IF(B27="","",IFERROR(INDEX(Categories!$B$5:$B$44,MATCH(B27,Categories!$A$5:$A$44,0)),"?"))</f>
        <v/>
      </c>
      <c r="G27">
        <f>IF(A27="","",MONTH(A27))</f>
        <v/>
      </c>
    </row>
    <row r="28">
      <c r="A28" s="25" t="n"/>
      <c r="B28" s="11" t="n"/>
      <c r="C28" s="24" t="n"/>
      <c r="D28" s="11" t="n"/>
      <c r="E28" s="11" t="n"/>
      <c r="F28">
        <f>IF(B28="","",IFERROR(INDEX(Categories!$B$5:$B$44,MATCH(B28,Categories!$A$5:$A$44,0)),"?"))</f>
        <v/>
      </c>
      <c r="G28">
        <f>IF(A28="","",MONTH(A28))</f>
        <v/>
      </c>
    </row>
    <row r="29">
      <c r="A29" s="25" t="n"/>
      <c r="B29" s="11" t="n"/>
      <c r="C29" s="24" t="n"/>
      <c r="D29" s="11" t="n"/>
      <c r="E29" s="11" t="n"/>
      <c r="F29">
        <f>IF(B29="","",IFERROR(INDEX(Categories!$B$5:$B$44,MATCH(B29,Categories!$A$5:$A$44,0)),"?"))</f>
        <v/>
      </c>
      <c r="G29">
        <f>IF(A29="","",MONTH(A29))</f>
        <v/>
      </c>
    </row>
    <row r="30">
      <c r="A30" s="25" t="n"/>
      <c r="B30" s="11" t="n"/>
      <c r="C30" s="24" t="n"/>
      <c r="D30" s="11" t="n"/>
      <c r="E30" s="11" t="n"/>
      <c r="F30">
        <f>IF(B30="","",IFERROR(INDEX(Categories!$B$5:$B$44,MATCH(B30,Categories!$A$5:$A$44,0)),"?"))</f>
        <v/>
      </c>
      <c r="G30">
        <f>IF(A30="","",MONTH(A30))</f>
        <v/>
      </c>
    </row>
    <row r="31">
      <c r="A31" s="25" t="n"/>
      <c r="B31" s="11" t="n"/>
      <c r="C31" s="24" t="n"/>
      <c r="D31" s="11" t="n"/>
      <c r="E31" s="11" t="n"/>
      <c r="F31">
        <f>IF(B31="","",IFERROR(INDEX(Categories!$B$5:$B$44,MATCH(B31,Categories!$A$5:$A$44,0)),"?"))</f>
        <v/>
      </c>
      <c r="G31">
        <f>IF(A31="","",MONTH(A31))</f>
        <v/>
      </c>
    </row>
    <row r="32">
      <c r="A32" s="25" t="n"/>
      <c r="B32" s="11" t="n"/>
      <c r="C32" s="24" t="n"/>
      <c r="D32" s="11" t="n"/>
      <c r="E32" s="11" t="n"/>
      <c r="F32">
        <f>IF(B32="","",IFERROR(INDEX(Categories!$B$5:$B$44,MATCH(B32,Categories!$A$5:$A$44,0)),"?"))</f>
        <v/>
      </c>
      <c r="G32">
        <f>IF(A32="","",MONTH(A32))</f>
        <v/>
      </c>
    </row>
    <row r="33">
      <c r="A33" s="25" t="n"/>
      <c r="B33" s="11" t="n"/>
      <c r="C33" s="24" t="n"/>
      <c r="D33" s="11" t="n"/>
      <c r="E33" s="11" t="n"/>
      <c r="F33">
        <f>IF(B33="","",IFERROR(INDEX(Categories!$B$5:$B$44,MATCH(B33,Categories!$A$5:$A$44,0)),"?"))</f>
        <v/>
      </c>
      <c r="G33">
        <f>IF(A33="","",MONTH(A33))</f>
        <v/>
      </c>
    </row>
    <row r="34">
      <c r="A34" s="25" t="n"/>
      <c r="B34" s="11" t="n"/>
      <c r="C34" s="24" t="n"/>
      <c r="D34" s="11" t="n"/>
      <c r="E34" s="11" t="n"/>
      <c r="F34">
        <f>IF(B34="","",IFERROR(INDEX(Categories!$B$5:$B$44,MATCH(B34,Categories!$A$5:$A$44,0)),"?"))</f>
        <v/>
      </c>
      <c r="G34">
        <f>IF(A34="","",MONTH(A34))</f>
        <v/>
      </c>
    </row>
    <row r="35">
      <c r="A35" s="25" t="n"/>
      <c r="B35" s="11" t="n"/>
      <c r="C35" s="24" t="n"/>
      <c r="D35" s="11" t="n"/>
      <c r="E35" s="11" t="n"/>
      <c r="F35">
        <f>IF(B35="","",IFERROR(INDEX(Categories!$B$5:$B$44,MATCH(B35,Categories!$A$5:$A$44,0)),"?"))</f>
        <v/>
      </c>
      <c r="G35">
        <f>IF(A35="","",MONTH(A35))</f>
        <v/>
      </c>
    </row>
    <row r="36">
      <c r="A36" s="25" t="n"/>
      <c r="B36" s="11" t="n"/>
      <c r="C36" s="24" t="n"/>
      <c r="D36" s="11" t="n"/>
      <c r="E36" s="11" t="n"/>
      <c r="F36">
        <f>IF(B36="","",IFERROR(INDEX(Categories!$B$5:$B$44,MATCH(B36,Categories!$A$5:$A$44,0)),"?"))</f>
        <v/>
      </c>
      <c r="G36">
        <f>IF(A36="","",MONTH(A36))</f>
        <v/>
      </c>
    </row>
    <row r="37">
      <c r="A37" s="25" t="n"/>
      <c r="B37" s="11" t="n"/>
      <c r="C37" s="24" t="n"/>
      <c r="D37" s="11" t="n"/>
      <c r="E37" s="11" t="n"/>
      <c r="F37">
        <f>IF(B37="","",IFERROR(INDEX(Categories!$B$5:$B$44,MATCH(B37,Categories!$A$5:$A$44,0)),"?"))</f>
        <v/>
      </c>
      <c r="G37">
        <f>IF(A37="","",MONTH(A37))</f>
        <v/>
      </c>
    </row>
    <row r="38">
      <c r="A38" s="25" t="n"/>
      <c r="B38" s="11" t="n"/>
      <c r="C38" s="24" t="n"/>
      <c r="D38" s="11" t="n"/>
      <c r="E38" s="11" t="n"/>
      <c r="F38">
        <f>IF(B38="","",IFERROR(INDEX(Categories!$B$5:$B$44,MATCH(B38,Categories!$A$5:$A$44,0)),"?"))</f>
        <v/>
      </c>
      <c r="G38">
        <f>IF(A38="","",MONTH(A38))</f>
        <v/>
      </c>
    </row>
    <row r="39">
      <c r="A39" s="25" t="n"/>
      <c r="B39" s="11" t="n"/>
      <c r="C39" s="24" t="n"/>
      <c r="D39" s="11" t="n"/>
      <c r="E39" s="11" t="n"/>
      <c r="F39">
        <f>IF(B39="","",IFERROR(INDEX(Categories!$B$5:$B$44,MATCH(B39,Categories!$A$5:$A$44,0)),"?"))</f>
        <v/>
      </c>
      <c r="G39">
        <f>IF(A39="","",MONTH(A39))</f>
        <v/>
      </c>
    </row>
    <row r="40">
      <c r="A40" s="25" t="n"/>
      <c r="B40" s="11" t="n"/>
      <c r="C40" s="24" t="n"/>
      <c r="D40" s="11" t="n"/>
      <c r="E40" s="11" t="n"/>
      <c r="F40">
        <f>IF(B40="","",IFERROR(INDEX(Categories!$B$5:$B$44,MATCH(B40,Categories!$A$5:$A$44,0)),"?"))</f>
        <v/>
      </c>
      <c r="G40">
        <f>IF(A40="","",MONTH(A40))</f>
        <v/>
      </c>
    </row>
    <row r="41">
      <c r="A41" s="25" t="n"/>
      <c r="B41" s="11" t="n"/>
      <c r="C41" s="24" t="n"/>
      <c r="D41" s="11" t="n"/>
      <c r="E41" s="11" t="n"/>
      <c r="F41">
        <f>IF(B41="","",IFERROR(INDEX(Categories!$B$5:$B$44,MATCH(B41,Categories!$A$5:$A$44,0)),"?"))</f>
        <v/>
      </c>
      <c r="G41">
        <f>IF(A41="","",MONTH(A41))</f>
        <v/>
      </c>
    </row>
    <row r="42">
      <c r="A42" s="25" t="n"/>
      <c r="B42" s="11" t="n"/>
      <c r="C42" s="24" t="n"/>
      <c r="D42" s="11" t="n"/>
      <c r="E42" s="11" t="n"/>
      <c r="F42">
        <f>IF(B42="","",IFERROR(INDEX(Categories!$B$5:$B$44,MATCH(B42,Categories!$A$5:$A$44,0)),"?"))</f>
        <v/>
      </c>
      <c r="G42">
        <f>IF(A42="","",MONTH(A42))</f>
        <v/>
      </c>
    </row>
    <row r="43">
      <c r="A43" s="25" t="n"/>
      <c r="B43" s="11" t="n"/>
      <c r="C43" s="24" t="n"/>
      <c r="D43" s="11" t="n"/>
      <c r="E43" s="11" t="n"/>
      <c r="F43">
        <f>IF(B43="","",IFERROR(INDEX(Categories!$B$5:$B$44,MATCH(B43,Categories!$A$5:$A$44,0)),"?"))</f>
        <v/>
      </c>
      <c r="G43">
        <f>IF(A43="","",MONTH(A43))</f>
        <v/>
      </c>
    </row>
    <row r="44">
      <c r="A44" s="25" t="n"/>
      <c r="B44" s="11" t="n"/>
      <c r="C44" s="24" t="n"/>
      <c r="D44" s="11" t="n"/>
      <c r="E44" s="11" t="n"/>
      <c r="F44">
        <f>IF(B44="","",IFERROR(INDEX(Categories!$B$5:$B$44,MATCH(B44,Categories!$A$5:$A$44,0)),"?"))</f>
        <v/>
      </c>
      <c r="G44">
        <f>IF(A44="","",MONTH(A44))</f>
        <v/>
      </c>
    </row>
    <row r="45">
      <c r="A45" s="25" t="n"/>
      <c r="B45" s="11" t="n"/>
      <c r="C45" s="24" t="n"/>
      <c r="D45" s="11" t="n"/>
      <c r="E45" s="11" t="n"/>
      <c r="F45">
        <f>IF(B45="","",IFERROR(INDEX(Categories!$B$5:$B$44,MATCH(B45,Categories!$A$5:$A$44,0)),"?"))</f>
        <v/>
      </c>
      <c r="G45">
        <f>IF(A45="","",MONTH(A45))</f>
        <v/>
      </c>
    </row>
    <row r="46">
      <c r="A46" s="25" t="n"/>
      <c r="B46" s="11" t="n"/>
      <c r="C46" s="24" t="n"/>
      <c r="D46" s="11" t="n"/>
      <c r="E46" s="11" t="n"/>
      <c r="F46">
        <f>IF(B46="","",IFERROR(INDEX(Categories!$B$5:$B$44,MATCH(B46,Categories!$A$5:$A$44,0)),"?"))</f>
        <v/>
      </c>
      <c r="G46">
        <f>IF(A46="","",MONTH(A46))</f>
        <v/>
      </c>
    </row>
    <row r="47">
      <c r="A47" s="25" t="n"/>
      <c r="B47" s="11" t="n"/>
      <c r="C47" s="24" t="n"/>
      <c r="D47" s="11" t="n"/>
      <c r="E47" s="11" t="n"/>
      <c r="F47">
        <f>IF(B47="","",IFERROR(INDEX(Categories!$B$5:$B$44,MATCH(B47,Categories!$A$5:$A$44,0)),"?"))</f>
        <v/>
      </c>
      <c r="G47">
        <f>IF(A47="","",MONTH(A47))</f>
        <v/>
      </c>
    </row>
    <row r="48">
      <c r="A48" s="25" t="n"/>
      <c r="B48" s="11" t="n"/>
      <c r="C48" s="24" t="n"/>
      <c r="D48" s="11" t="n"/>
      <c r="E48" s="11" t="n"/>
      <c r="F48">
        <f>IF(B48="","",IFERROR(INDEX(Categories!$B$5:$B$44,MATCH(B48,Categories!$A$5:$A$44,0)),"?"))</f>
        <v/>
      </c>
      <c r="G48">
        <f>IF(A48="","",MONTH(A48))</f>
        <v/>
      </c>
    </row>
    <row r="49">
      <c r="A49" s="25" t="n"/>
      <c r="B49" s="11" t="n"/>
      <c r="C49" s="24" t="n"/>
      <c r="D49" s="11" t="n"/>
      <c r="E49" s="11" t="n"/>
      <c r="F49">
        <f>IF(B49="","",IFERROR(INDEX(Categories!$B$5:$B$44,MATCH(B49,Categories!$A$5:$A$44,0)),"?"))</f>
        <v/>
      </c>
      <c r="G49">
        <f>IF(A49="","",MONTH(A49))</f>
        <v/>
      </c>
    </row>
    <row r="50">
      <c r="A50" s="25" t="n"/>
      <c r="B50" s="11" t="n"/>
      <c r="C50" s="24" t="n"/>
      <c r="D50" s="11" t="n"/>
      <c r="E50" s="11" t="n"/>
      <c r="F50">
        <f>IF(B50="","",IFERROR(INDEX(Categories!$B$5:$B$44,MATCH(B50,Categories!$A$5:$A$44,0)),"?"))</f>
        <v/>
      </c>
      <c r="G50">
        <f>IF(A50="","",MONTH(A50))</f>
        <v/>
      </c>
    </row>
    <row r="51">
      <c r="A51" s="25" t="n"/>
      <c r="B51" s="11" t="n"/>
      <c r="C51" s="24" t="n"/>
      <c r="D51" s="11" t="n"/>
      <c r="E51" s="11" t="n"/>
      <c r="F51">
        <f>IF(B51="","",IFERROR(INDEX(Categories!$B$5:$B$44,MATCH(B51,Categories!$A$5:$A$44,0)),"?"))</f>
        <v/>
      </c>
      <c r="G51">
        <f>IF(A51="","",MONTH(A51))</f>
        <v/>
      </c>
    </row>
    <row r="52">
      <c r="A52" s="25" t="n"/>
      <c r="B52" s="11" t="n"/>
      <c r="C52" s="24" t="n"/>
      <c r="D52" s="11" t="n"/>
      <c r="E52" s="11" t="n"/>
      <c r="F52">
        <f>IF(B52="","",IFERROR(INDEX(Categories!$B$5:$B$44,MATCH(B52,Categories!$A$5:$A$44,0)),"?"))</f>
        <v/>
      </c>
      <c r="G52">
        <f>IF(A52="","",MONTH(A52))</f>
        <v/>
      </c>
    </row>
    <row r="53">
      <c r="A53" s="25" t="n"/>
      <c r="B53" s="11" t="n"/>
      <c r="C53" s="24" t="n"/>
      <c r="D53" s="11" t="n"/>
      <c r="E53" s="11" t="n"/>
      <c r="F53">
        <f>IF(B53="","",IFERROR(INDEX(Categories!$B$5:$B$44,MATCH(B53,Categories!$A$5:$A$44,0)),"?"))</f>
        <v/>
      </c>
      <c r="G53">
        <f>IF(A53="","",MONTH(A53))</f>
        <v/>
      </c>
    </row>
    <row r="54">
      <c r="A54" s="25" t="n"/>
      <c r="B54" s="11" t="n"/>
      <c r="C54" s="24" t="n"/>
      <c r="D54" s="11" t="n"/>
      <c r="E54" s="11" t="n"/>
      <c r="F54">
        <f>IF(B54="","",IFERROR(INDEX(Categories!$B$5:$B$44,MATCH(B54,Categories!$A$5:$A$44,0)),"?"))</f>
        <v/>
      </c>
      <c r="G54">
        <f>IF(A54="","",MONTH(A54))</f>
        <v/>
      </c>
    </row>
    <row r="55">
      <c r="A55" s="25" t="n"/>
      <c r="B55" s="11" t="n"/>
      <c r="C55" s="24" t="n"/>
      <c r="D55" s="11" t="n"/>
      <c r="E55" s="11" t="n"/>
      <c r="F55">
        <f>IF(B55="","",IFERROR(INDEX(Categories!$B$5:$B$44,MATCH(B55,Categories!$A$5:$A$44,0)),"?"))</f>
        <v/>
      </c>
      <c r="G55">
        <f>IF(A55="","",MONTH(A55))</f>
        <v/>
      </c>
    </row>
    <row r="56">
      <c r="A56" s="25" t="n"/>
      <c r="B56" s="11" t="n"/>
      <c r="C56" s="24" t="n"/>
      <c r="D56" s="11" t="n"/>
      <c r="E56" s="11" t="n"/>
      <c r="F56">
        <f>IF(B56="","",IFERROR(INDEX(Categories!$B$5:$B$44,MATCH(B56,Categories!$A$5:$A$44,0)),"?"))</f>
        <v/>
      </c>
      <c r="G56">
        <f>IF(A56="","",MONTH(A56))</f>
        <v/>
      </c>
    </row>
    <row r="57">
      <c r="A57" s="25" t="n"/>
      <c r="B57" s="11" t="n"/>
      <c r="C57" s="24" t="n"/>
      <c r="D57" s="11" t="n"/>
      <c r="E57" s="11" t="n"/>
      <c r="F57">
        <f>IF(B57="","",IFERROR(INDEX(Categories!$B$5:$B$44,MATCH(B57,Categories!$A$5:$A$44,0)),"?"))</f>
        <v/>
      </c>
      <c r="G57">
        <f>IF(A57="","",MONTH(A57))</f>
        <v/>
      </c>
    </row>
    <row r="58">
      <c r="A58" s="25" t="n"/>
      <c r="B58" s="11" t="n"/>
      <c r="C58" s="24" t="n"/>
      <c r="D58" s="11" t="n"/>
      <c r="E58" s="11" t="n"/>
      <c r="F58">
        <f>IF(B58="","",IFERROR(INDEX(Categories!$B$5:$B$44,MATCH(B58,Categories!$A$5:$A$44,0)),"?"))</f>
        <v/>
      </c>
      <c r="G58">
        <f>IF(A58="","",MONTH(A58))</f>
        <v/>
      </c>
    </row>
    <row r="59">
      <c r="A59" s="25" t="n"/>
      <c r="B59" s="11" t="n"/>
      <c r="C59" s="24" t="n"/>
      <c r="D59" s="11" t="n"/>
      <c r="E59" s="11" t="n"/>
      <c r="F59">
        <f>IF(B59="","",IFERROR(INDEX(Categories!$B$5:$B$44,MATCH(B59,Categories!$A$5:$A$44,0)),"?"))</f>
        <v/>
      </c>
      <c r="G59">
        <f>IF(A59="","",MONTH(A59))</f>
        <v/>
      </c>
    </row>
    <row r="60">
      <c r="A60" s="25" t="n"/>
      <c r="B60" s="11" t="n"/>
      <c r="C60" s="24" t="n"/>
      <c r="D60" s="11" t="n"/>
      <c r="E60" s="11" t="n"/>
      <c r="F60">
        <f>IF(B60="","",IFERROR(INDEX(Categories!$B$5:$B$44,MATCH(B60,Categories!$A$5:$A$44,0)),"?"))</f>
        <v/>
      </c>
      <c r="G60">
        <f>IF(A60="","",MONTH(A60))</f>
        <v/>
      </c>
    </row>
    <row r="61">
      <c r="A61" s="25" t="n"/>
      <c r="B61" s="11" t="n"/>
      <c r="C61" s="24" t="n"/>
      <c r="D61" s="11" t="n"/>
      <c r="E61" s="11" t="n"/>
      <c r="F61">
        <f>IF(B61="","",IFERROR(INDEX(Categories!$B$5:$B$44,MATCH(B61,Categories!$A$5:$A$44,0)),"?"))</f>
        <v/>
      </c>
      <c r="G61">
        <f>IF(A61="","",MONTH(A61))</f>
        <v/>
      </c>
    </row>
    <row r="62">
      <c r="A62" s="25" t="n"/>
      <c r="B62" s="11" t="n"/>
      <c r="C62" s="24" t="n"/>
      <c r="D62" s="11" t="n"/>
      <c r="E62" s="11" t="n"/>
      <c r="F62">
        <f>IF(B62="","",IFERROR(INDEX(Categories!$B$5:$B$44,MATCH(B62,Categories!$A$5:$A$44,0)),"?"))</f>
        <v/>
      </c>
      <c r="G62">
        <f>IF(A62="","",MONTH(A62))</f>
        <v/>
      </c>
    </row>
    <row r="63">
      <c r="A63" s="25" t="n"/>
      <c r="B63" s="11" t="n"/>
      <c r="C63" s="24" t="n"/>
      <c r="D63" s="11" t="n"/>
      <c r="E63" s="11" t="n"/>
      <c r="F63">
        <f>IF(B63="","",IFERROR(INDEX(Categories!$B$5:$B$44,MATCH(B63,Categories!$A$5:$A$44,0)),"?"))</f>
        <v/>
      </c>
      <c r="G63">
        <f>IF(A63="","",MONTH(A63))</f>
        <v/>
      </c>
    </row>
    <row r="64">
      <c r="A64" s="25" t="n"/>
      <c r="B64" s="11" t="n"/>
      <c r="C64" s="24" t="n"/>
      <c r="D64" s="11" t="n"/>
      <c r="E64" s="11" t="n"/>
      <c r="F64">
        <f>IF(B64="","",IFERROR(INDEX(Categories!$B$5:$B$44,MATCH(B64,Categories!$A$5:$A$44,0)),"?"))</f>
        <v/>
      </c>
      <c r="G64">
        <f>IF(A64="","",MONTH(A64))</f>
        <v/>
      </c>
    </row>
    <row r="65">
      <c r="A65" s="25" t="n"/>
      <c r="B65" s="11" t="n"/>
      <c r="C65" s="24" t="n"/>
      <c r="D65" s="11" t="n"/>
      <c r="E65" s="11" t="n"/>
      <c r="F65">
        <f>IF(B65="","",IFERROR(INDEX(Categories!$B$5:$B$44,MATCH(B65,Categories!$A$5:$A$44,0)),"?"))</f>
        <v/>
      </c>
      <c r="G65">
        <f>IF(A65="","",MONTH(A65))</f>
        <v/>
      </c>
    </row>
    <row r="66">
      <c r="A66" s="25" t="n"/>
      <c r="B66" s="11" t="n"/>
      <c r="C66" s="24" t="n"/>
      <c r="D66" s="11" t="n"/>
      <c r="E66" s="11" t="n"/>
      <c r="F66">
        <f>IF(B66="","",IFERROR(INDEX(Categories!$B$5:$B$44,MATCH(B66,Categories!$A$5:$A$44,0)),"?"))</f>
        <v/>
      </c>
      <c r="G66">
        <f>IF(A66="","",MONTH(A66))</f>
        <v/>
      </c>
    </row>
    <row r="67">
      <c r="A67" s="25" t="n"/>
      <c r="B67" s="11" t="n"/>
      <c r="C67" s="24" t="n"/>
      <c r="D67" s="11" t="n"/>
      <c r="E67" s="11" t="n"/>
      <c r="F67">
        <f>IF(B67="","",IFERROR(INDEX(Categories!$B$5:$B$44,MATCH(B67,Categories!$A$5:$A$44,0)),"?"))</f>
        <v/>
      </c>
      <c r="G67">
        <f>IF(A67="","",MONTH(A67))</f>
        <v/>
      </c>
    </row>
    <row r="68">
      <c r="A68" s="25" t="n"/>
      <c r="B68" s="11" t="n"/>
      <c r="C68" s="24" t="n"/>
      <c r="D68" s="11" t="n"/>
      <c r="E68" s="11" t="n"/>
      <c r="F68">
        <f>IF(B68="","",IFERROR(INDEX(Categories!$B$5:$B$44,MATCH(B68,Categories!$A$5:$A$44,0)),"?"))</f>
        <v/>
      </c>
      <c r="G68">
        <f>IF(A68="","",MONTH(A68))</f>
        <v/>
      </c>
    </row>
    <row r="69">
      <c r="A69" s="25" t="n"/>
      <c r="B69" s="11" t="n"/>
      <c r="C69" s="24" t="n"/>
      <c r="D69" s="11" t="n"/>
      <c r="E69" s="11" t="n"/>
      <c r="F69">
        <f>IF(B69="","",IFERROR(INDEX(Categories!$B$5:$B$44,MATCH(B69,Categories!$A$5:$A$44,0)),"?"))</f>
        <v/>
      </c>
      <c r="G69">
        <f>IF(A69="","",MONTH(A69))</f>
        <v/>
      </c>
    </row>
    <row r="70">
      <c r="A70" s="25" t="n"/>
      <c r="B70" s="11" t="n"/>
      <c r="C70" s="24" t="n"/>
      <c r="D70" s="11" t="n"/>
      <c r="E70" s="11" t="n"/>
      <c r="F70">
        <f>IF(B70="","",IFERROR(INDEX(Categories!$B$5:$B$44,MATCH(B70,Categories!$A$5:$A$44,0)),"?"))</f>
        <v/>
      </c>
      <c r="G70">
        <f>IF(A70="","",MONTH(A70))</f>
        <v/>
      </c>
    </row>
    <row r="71">
      <c r="A71" s="25" t="n"/>
      <c r="B71" s="11" t="n"/>
      <c r="C71" s="24" t="n"/>
      <c r="D71" s="11" t="n"/>
      <c r="E71" s="11" t="n"/>
      <c r="F71">
        <f>IF(B71="","",IFERROR(INDEX(Categories!$B$5:$B$44,MATCH(B71,Categories!$A$5:$A$44,0)),"?"))</f>
        <v/>
      </c>
      <c r="G71">
        <f>IF(A71="","",MONTH(A71))</f>
        <v/>
      </c>
    </row>
    <row r="72">
      <c r="A72" s="25" t="n"/>
      <c r="B72" s="11" t="n"/>
      <c r="C72" s="24" t="n"/>
      <c r="D72" s="11" t="n"/>
      <c r="E72" s="11" t="n"/>
      <c r="F72">
        <f>IF(B72="","",IFERROR(INDEX(Categories!$B$5:$B$44,MATCH(B72,Categories!$A$5:$A$44,0)),"?"))</f>
        <v/>
      </c>
      <c r="G72">
        <f>IF(A72="","",MONTH(A72))</f>
        <v/>
      </c>
    </row>
    <row r="73">
      <c r="A73" s="25" t="n"/>
      <c r="B73" s="11" t="n"/>
      <c r="C73" s="24" t="n"/>
      <c r="D73" s="11" t="n"/>
      <c r="E73" s="11" t="n"/>
      <c r="F73">
        <f>IF(B73="","",IFERROR(INDEX(Categories!$B$5:$B$44,MATCH(B73,Categories!$A$5:$A$44,0)),"?"))</f>
        <v/>
      </c>
      <c r="G73">
        <f>IF(A73="","",MONTH(A73))</f>
        <v/>
      </c>
    </row>
    <row r="74">
      <c r="A74" s="25" t="n"/>
      <c r="B74" s="11" t="n"/>
      <c r="C74" s="24" t="n"/>
      <c r="D74" s="11" t="n"/>
      <c r="E74" s="11" t="n"/>
      <c r="F74">
        <f>IF(B74="","",IFERROR(INDEX(Categories!$B$5:$B$44,MATCH(B74,Categories!$A$5:$A$44,0)),"?"))</f>
        <v/>
      </c>
      <c r="G74">
        <f>IF(A74="","",MONTH(A74))</f>
        <v/>
      </c>
    </row>
    <row r="75">
      <c r="A75" s="25" t="n"/>
      <c r="B75" s="11" t="n"/>
      <c r="C75" s="24" t="n"/>
      <c r="D75" s="11" t="n"/>
      <c r="E75" s="11" t="n"/>
      <c r="F75">
        <f>IF(B75="","",IFERROR(INDEX(Categories!$B$5:$B$44,MATCH(B75,Categories!$A$5:$A$44,0)),"?"))</f>
        <v/>
      </c>
      <c r="G75">
        <f>IF(A75="","",MONTH(A75))</f>
        <v/>
      </c>
    </row>
    <row r="76">
      <c r="A76" s="25" t="n"/>
      <c r="B76" s="11" t="n"/>
      <c r="C76" s="24" t="n"/>
      <c r="D76" s="11" t="n"/>
      <c r="E76" s="11" t="n"/>
      <c r="F76">
        <f>IF(B76="","",IFERROR(INDEX(Categories!$B$5:$B$44,MATCH(B76,Categories!$A$5:$A$44,0)),"?"))</f>
        <v/>
      </c>
      <c r="G76">
        <f>IF(A76="","",MONTH(A76))</f>
        <v/>
      </c>
    </row>
    <row r="77">
      <c r="A77" s="25" t="n"/>
      <c r="B77" s="11" t="n"/>
      <c r="C77" s="24" t="n"/>
      <c r="D77" s="11" t="n"/>
      <c r="E77" s="11" t="n"/>
      <c r="F77">
        <f>IF(B77="","",IFERROR(INDEX(Categories!$B$5:$B$44,MATCH(B77,Categories!$A$5:$A$44,0)),"?"))</f>
        <v/>
      </c>
      <c r="G77">
        <f>IF(A77="","",MONTH(A77))</f>
        <v/>
      </c>
    </row>
    <row r="78">
      <c r="A78" s="25" t="n"/>
      <c r="B78" s="11" t="n"/>
      <c r="C78" s="24" t="n"/>
      <c r="D78" s="11" t="n"/>
      <c r="E78" s="11" t="n"/>
      <c r="F78">
        <f>IF(B78="","",IFERROR(INDEX(Categories!$B$5:$B$44,MATCH(B78,Categories!$A$5:$A$44,0)),"?"))</f>
        <v/>
      </c>
      <c r="G78">
        <f>IF(A78="","",MONTH(A78))</f>
        <v/>
      </c>
    </row>
    <row r="79">
      <c r="A79" s="25" t="n"/>
      <c r="B79" s="11" t="n"/>
      <c r="C79" s="24" t="n"/>
      <c r="D79" s="11" t="n"/>
      <c r="E79" s="11" t="n"/>
      <c r="F79">
        <f>IF(B79="","",IFERROR(INDEX(Categories!$B$5:$B$44,MATCH(B79,Categories!$A$5:$A$44,0)),"?"))</f>
        <v/>
      </c>
      <c r="G79">
        <f>IF(A79="","",MONTH(A79))</f>
        <v/>
      </c>
    </row>
    <row r="80">
      <c r="A80" s="25" t="n"/>
      <c r="B80" s="11" t="n"/>
      <c r="C80" s="24" t="n"/>
      <c r="D80" s="11" t="n"/>
      <c r="E80" s="11" t="n"/>
      <c r="F80">
        <f>IF(B80="","",IFERROR(INDEX(Categories!$B$5:$B$44,MATCH(B80,Categories!$A$5:$A$44,0)),"?"))</f>
        <v/>
      </c>
      <c r="G80">
        <f>IF(A80="","",MONTH(A80))</f>
        <v/>
      </c>
    </row>
    <row r="81">
      <c r="A81" s="25" t="n"/>
      <c r="B81" s="11" t="n"/>
      <c r="C81" s="24" t="n"/>
      <c r="D81" s="11" t="n"/>
      <c r="E81" s="11" t="n"/>
      <c r="F81">
        <f>IF(B81="","",IFERROR(INDEX(Categories!$B$5:$B$44,MATCH(B81,Categories!$A$5:$A$44,0)),"?"))</f>
        <v/>
      </c>
      <c r="G81">
        <f>IF(A81="","",MONTH(A81))</f>
        <v/>
      </c>
    </row>
    <row r="82">
      <c r="A82" s="25" t="n"/>
      <c r="B82" s="11" t="n"/>
      <c r="C82" s="24" t="n"/>
      <c r="D82" s="11" t="n"/>
      <c r="E82" s="11" t="n"/>
      <c r="F82">
        <f>IF(B82="","",IFERROR(INDEX(Categories!$B$5:$B$44,MATCH(B82,Categories!$A$5:$A$44,0)),"?"))</f>
        <v/>
      </c>
      <c r="G82">
        <f>IF(A82="","",MONTH(A82))</f>
        <v/>
      </c>
    </row>
    <row r="83">
      <c r="A83" s="25" t="n"/>
      <c r="B83" s="11" t="n"/>
      <c r="C83" s="24" t="n"/>
      <c r="D83" s="11" t="n"/>
      <c r="E83" s="11" t="n"/>
      <c r="F83">
        <f>IF(B83="","",IFERROR(INDEX(Categories!$B$5:$B$44,MATCH(B83,Categories!$A$5:$A$44,0)),"?"))</f>
        <v/>
      </c>
      <c r="G83">
        <f>IF(A83="","",MONTH(A83))</f>
        <v/>
      </c>
    </row>
    <row r="84">
      <c r="A84" s="25" t="n"/>
      <c r="B84" s="11" t="n"/>
      <c r="C84" s="24" t="n"/>
      <c r="D84" s="11" t="n"/>
      <c r="E84" s="11" t="n"/>
      <c r="F84">
        <f>IF(B84="","",IFERROR(INDEX(Categories!$B$5:$B$44,MATCH(B84,Categories!$A$5:$A$44,0)),"?"))</f>
        <v/>
      </c>
      <c r="G84">
        <f>IF(A84="","",MONTH(A84))</f>
        <v/>
      </c>
    </row>
    <row r="85">
      <c r="A85" s="25" t="n"/>
      <c r="B85" s="11" t="n"/>
      <c r="C85" s="24" t="n"/>
      <c r="D85" s="11" t="n"/>
      <c r="E85" s="11" t="n"/>
      <c r="F85">
        <f>IF(B85="","",IFERROR(INDEX(Categories!$B$5:$B$44,MATCH(B85,Categories!$A$5:$A$44,0)),"?"))</f>
        <v/>
      </c>
      <c r="G85">
        <f>IF(A85="","",MONTH(A85))</f>
        <v/>
      </c>
    </row>
    <row r="86">
      <c r="A86" s="25" t="n"/>
      <c r="B86" s="11" t="n"/>
      <c r="C86" s="24" t="n"/>
      <c r="D86" s="11" t="n"/>
      <c r="E86" s="11" t="n"/>
      <c r="F86">
        <f>IF(B86="","",IFERROR(INDEX(Categories!$B$5:$B$44,MATCH(B86,Categories!$A$5:$A$44,0)),"?"))</f>
        <v/>
      </c>
      <c r="G86">
        <f>IF(A86="","",MONTH(A86))</f>
        <v/>
      </c>
    </row>
    <row r="87">
      <c r="A87" s="25" t="n"/>
      <c r="B87" s="11" t="n"/>
      <c r="C87" s="24" t="n"/>
      <c r="D87" s="11" t="n"/>
      <c r="E87" s="11" t="n"/>
      <c r="F87">
        <f>IF(B87="","",IFERROR(INDEX(Categories!$B$5:$B$44,MATCH(B87,Categories!$A$5:$A$44,0)),"?"))</f>
        <v/>
      </c>
      <c r="G87">
        <f>IF(A87="","",MONTH(A87))</f>
        <v/>
      </c>
    </row>
    <row r="88">
      <c r="A88" s="25" t="n"/>
      <c r="B88" s="11" t="n"/>
      <c r="C88" s="24" t="n"/>
      <c r="D88" s="11" t="n"/>
      <c r="E88" s="11" t="n"/>
      <c r="F88">
        <f>IF(B88="","",IFERROR(INDEX(Categories!$B$5:$B$44,MATCH(B88,Categories!$A$5:$A$44,0)),"?"))</f>
        <v/>
      </c>
      <c r="G88">
        <f>IF(A88="","",MONTH(A88))</f>
        <v/>
      </c>
    </row>
    <row r="89">
      <c r="A89" s="25" t="n"/>
      <c r="B89" s="11" t="n"/>
      <c r="C89" s="24" t="n"/>
      <c r="D89" s="11" t="n"/>
      <c r="E89" s="11" t="n"/>
      <c r="F89">
        <f>IF(B89="","",IFERROR(INDEX(Categories!$B$5:$B$44,MATCH(B89,Categories!$A$5:$A$44,0)),"?"))</f>
        <v/>
      </c>
      <c r="G89">
        <f>IF(A89="","",MONTH(A89))</f>
        <v/>
      </c>
    </row>
    <row r="90">
      <c r="A90" s="25" t="n"/>
      <c r="B90" s="11" t="n"/>
      <c r="C90" s="24" t="n"/>
      <c r="D90" s="11" t="n"/>
      <c r="E90" s="11" t="n"/>
      <c r="F90">
        <f>IF(B90="","",IFERROR(INDEX(Categories!$B$5:$B$44,MATCH(B90,Categories!$A$5:$A$44,0)),"?"))</f>
        <v/>
      </c>
      <c r="G90">
        <f>IF(A90="","",MONTH(A90))</f>
        <v/>
      </c>
    </row>
    <row r="91">
      <c r="A91" s="25" t="n"/>
      <c r="B91" s="11" t="n"/>
      <c r="C91" s="24" t="n"/>
      <c r="D91" s="11" t="n"/>
      <c r="E91" s="11" t="n"/>
      <c r="F91">
        <f>IF(B91="","",IFERROR(INDEX(Categories!$B$5:$B$44,MATCH(B91,Categories!$A$5:$A$44,0)),"?"))</f>
        <v/>
      </c>
      <c r="G91">
        <f>IF(A91="","",MONTH(A91))</f>
        <v/>
      </c>
    </row>
    <row r="92">
      <c r="A92" s="25" t="n"/>
      <c r="B92" s="11" t="n"/>
      <c r="C92" s="24" t="n"/>
      <c r="D92" s="11" t="n"/>
      <c r="E92" s="11" t="n"/>
      <c r="F92">
        <f>IF(B92="","",IFERROR(INDEX(Categories!$B$5:$B$44,MATCH(B92,Categories!$A$5:$A$44,0)),"?"))</f>
        <v/>
      </c>
      <c r="G92">
        <f>IF(A92="","",MONTH(A92))</f>
        <v/>
      </c>
    </row>
    <row r="93">
      <c r="A93" s="25" t="n"/>
      <c r="B93" s="11" t="n"/>
      <c r="C93" s="24" t="n"/>
      <c r="D93" s="11" t="n"/>
      <c r="E93" s="11" t="n"/>
      <c r="F93">
        <f>IF(B93="","",IFERROR(INDEX(Categories!$B$5:$B$44,MATCH(B93,Categories!$A$5:$A$44,0)),"?"))</f>
        <v/>
      </c>
      <c r="G93">
        <f>IF(A93="","",MONTH(A93))</f>
        <v/>
      </c>
    </row>
    <row r="94">
      <c r="A94" s="25" t="n"/>
      <c r="B94" s="11" t="n"/>
      <c r="C94" s="24" t="n"/>
      <c r="D94" s="11" t="n"/>
      <c r="E94" s="11" t="n"/>
      <c r="F94">
        <f>IF(B94="","",IFERROR(INDEX(Categories!$B$5:$B$44,MATCH(B94,Categories!$A$5:$A$44,0)),"?"))</f>
        <v/>
      </c>
      <c r="G94">
        <f>IF(A94="","",MONTH(A94))</f>
        <v/>
      </c>
    </row>
    <row r="95">
      <c r="A95" s="25" t="n"/>
      <c r="B95" s="11" t="n"/>
      <c r="C95" s="24" t="n"/>
      <c r="D95" s="11" t="n"/>
      <c r="E95" s="11" t="n"/>
      <c r="F95">
        <f>IF(B95="","",IFERROR(INDEX(Categories!$B$5:$B$44,MATCH(B95,Categories!$A$5:$A$44,0)),"?"))</f>
        <v/>
      </c>
      <c r="G95">
        <f>IF(A95="","",MONTH(A95))</f>
        <v/>
      </c>
    </row>
    <row r="96">
      <c r="A96" s="25" t="n"/>
      <c r="B96" s="11" t="n"/>
      <c r="C96" s="24" t="n"/>
      <c r="D96" s="11" t="n"/>
      <c r="E96" s="11" t="n"/>
      <c r="F96">
        <f>IF(B96="","",IFERROR(INDEX(Categories!$B$5:$B$44,MATCH(B96,Categories!$A$5:$A$44,0)),"?"))</f>
        <v/>
      </c>
      <c r="G96">
        <f>IF(A96="","",MONTH(A96))</f>
        <v/>
      </c>
    </row>
    <row r="97">
      <c r="A97" s="25" t="n"/>
      <c r="B97" s="11" t="n"/>
      <c r="C97" s="24" t="n"/>
      <c r="D97" s="11" t="n"/>
      <c r="E97" s="11" t="n"/>
      <c r="F97">
        <f>IF(B97="","",IFERROR(INDEX(Categories!$B$5:$B$44,MATCH(B97,Categories!$A$5:$A$44,0)),"?"))</f>
        <v/>
      </c>
      <c r="G97">
        <f>IF(A97="","",MONTH(A97))</f>
        <v/>
      </c>
    </row>
    <row r="98">
      <c r="A98" s="25" t="n"/>
      <c r="B98" s="11" t="n"/>
      <c r="C98" s="24" t="n"/>
      <c r="D98" s="11" t="n"/>
      <c r="E98" s="11" t="n"/>
      <c r="F98">
        <f>IF(B98="","",IFERROR(INDEX(Categories!$B$5:$B$44,MATCH(B98,Categories!$A$5:$A$44,0)),"?"))</f>
        <v/>
      </c>
      <c r="G98">
        <f>IF(A98="","",MONTH(A98))</f>
        <v/>
      </c>
    </row>
    <row r="99">
      <c r="A99" s="25" t="n"/>
      <c r="B99" s="11" t="n"/>
      <c r="C99" s="24" t="n"/>
      <c r="D99" s="11" t="n"/>
      <c r="E99" s="11" t="n"/>
      <c r="F99">
        <f>IF(B99="","",IFERROR(INDEX(Categories!$B$5:$B$44,MATCH(B99,Categories!$A$5:$A$44,0)),"?"))</f>
        <v/>
      </c>
      <c r="G99">
        <f>IF(A99="","",MONTH(A99))</f>
        <v/>
      </c>
    </row>
    <row r="100">
      <c r="A100" s="25" t="n"/>
      <c r="B100" s="11" t="n"/>
      <c r="C100" s="24" t="n"/>
      <c r="D100" s="11" t="n"/>
      <c r="E100" s="11" t="n"/>
      <c r="F100">
        <f>IF(B100="","",IFERROR(INDEX(Categories!$B$5:$B$44,MATCH(B100,Categories!$A$5:$A$44,0)),"?"))</f>
        <v/>
      </c>
      <c r="G100">
        <f>IF(A100="","",MONTH(A100))</f>
        <v/>
      </c>
    </row>
    <row r="101">
      <c r="A101" s="25" t="n"/>
      <c r="B101" s="11" t="n"/>
      <c r="C101" s="24" t="n"/>
      <c r="D101" s="11" t="n"/>
      <c r="E101" s="11" t="n"/>
      <c r="F101">
        <f>IF(B101="","",IFERROR(INDEX(Categories!$B$5:$B$44,MATCH(B101,Categories!$A$5:$A$44,0)),"?"))</f>
        <v/>
      </c>
      <c r="G101">
        <f>IF(A101="","",MONTH(A101))</f>
        <v/>
      </c>
    </row>
    <row r="102">
      <c r="A102" s="25" t="n"/>
      <c r="B102" s="11" t="n"/>
      <c r="C102" s="24" t="n"/>
      <c r="D102" s="11" t="n"/>
      <c r="E102" s="11" t="n"/>
      <c r="F102">
        <f>IF(B102="","",IFERROR(INDEX(Categories!$B$5:$B$44,MATCH(B102,Categories!$A$5:$A$44,0)),"?"))</f>
        <v/>
      </c>
      <c r="G102">
        <f>IF(A102="","",MONTH(A102))</f>
        <v/>
      </c>
    </row>
    <row r="103">
      <c r="A103" s="25" t="n"/>
      <c r="B103" s="11" t="n"/>
      <c r="C103" s="24" t="n"/>
      <c r="D103" s="11" t="n"/>
      <c r="E103" s="11" t="n"/>
      <c r="F103">
        <f>IF(B103="","",IFERROR(INDEX(Categories!$B$5:$B$44,MATCH(B103,Categories!$A$5:$A$44,0)),"?"))</f>
        <v/>
      </c>
      <c r="G103">
        <f>IF(A103="","",MONTH(A103))</f>
        <v/>
      </c>
    </row>
    <row r="104">
      <c r="A104" s="25" t="n"/>
      <c r="B104" s="11" t="n"/>
      <c r="C104" s="24" t="n"/>
      <c r="D104" s="11" t="n"/>
      <c r="E104" s="11" t="n"/>
      <c r="F104">
        <f>IF(B104="","",IFERROR(INDEX(Categories!$B$5:$B$44,MATCH(B104,Categories!$A$5:$A$44,0)),"?"))</f>
        <v/>
      </c>
      <c r="G104">
        <f>IF(A104="","",MONTH(A104))</f>
        <v/>
      </c>
    </row>
    <row r="105">
      <c r="A105" s="25" t="n"/>
      <c r="B105" s="11" t="n"/>
      <c r="C105" s="24" t="n"/>
      <c r="D105" s="11" t="n"/>
      <c r="E105" s="11" t="n"/>
      <c r="F105">
        <f>IF(B105="","",IFERROR(INDEX(Categories!$B$5:$B$44,MATCH(B105,Categories!$A$5:$A$44,0)),"?"))</f>
        <v/>
      </c>
      <c r="G105">
        <f>IF(A105="","",MONTH(A105))</f>
        <v/>
      </c>
    </row>
    <row r="106">
      <c r="A106" s="25" t="n"/>
      <c r="B106" s="11" t="n"/>
      <c r="C106" s="24" t="n"/>
      <c r="D106" s="11" t="n"/>
      <c r="E106" s="11" t="n"/>
      <c r="F106">
        <f>IF(B106="","",IFERROR(INDEX(Categories!$B$5:$B$44,MATCH(B106,Categories!$A$5:$A$44,0)),"?"))</f>
        <v/>
      </c>
      <c r="G106">
        <f>IF(A106="","",MONTH(A106))</f>
        <v/>
      </c>
    </row>
    <row r="107">
      <c r="A107" s="25" t="n"/>
      <c r="B107" s="11" t="n"/>
      <c r="C107" s="24" t="n"/>
      <c r="D107" s="11" t="n"/>
      <c r="E107" s="11" t="n"/>
      <c r="F107">
        <f>IF(B107="","",IFERROR(INDEX(Categories!$B$5:$B$44,MATCH(B107,Categories!$A$5:$A$44,0)),"?"))</f>
        <v/>
      </c>
      <c r="G107">
        <f>IF(A107="","",MONTH(A107))</f>
        <v/>
      </c>
    </row>
    <row r="108">
      <c r="A108" s="25" t="n"/>
      <c r="B108" s="11" t="n"/>
      <c r="C108" s="24" t="n"/>
      <c r="D108" s="11" t="n"/>
      <c r="E108" s="11" t="n"/>
      <c r="F108">
        <f>IF(B108="","",IFERROR(INDEX(Categories!$B$5:$B$44,MATCH(B108,Categories!$A$5:$A$44,0)),"?"))</f>
        <v/>
      </c>
      <c r="G108">
        <f>IF(A108="","",MONTH(A108))</f>
        <v/>
      </c>
    </row>
    <row r="109">
      <c r="A109" s="25" t="n"/>
      <c r="B109" s="11" t="n"/>
      <c r="C109" s="24" t="n"/>
      <c r="D109" s="11" t="n"/>
      <c r="E109" s="11" t="n"/>
      <c r="F109">
        <f>IF(B109="","",IFERROR(INDEX(Categories!$B$5:$B$44,MATCH(B109,Categories!$A$5:$A$44,0)),"?"))</f>
        <v/>
      </c>
      <c r="G109">
        <f>IF(A109="","",MONTH(A109))</f>
        <v/>
      </c>
    </row>
    <row r="110">
      <c r="A110" s="25" t="n"/>
      <c r="B110" s="11" t="n"/>
      <c r="C110" s="24" t="n"/>
      <c r="D110" s="11" t="n"/>
      <c r="E110" s="11" t="n"/>
      <c r="F110">
        <f>IF(B110="","",IFERROR(INDEX(Categories!$B$5:$B$44,MATCH(B110,Categories!$A$5:$A$44,0)),"?"))</f>
        <v/>
      </c>
      <c r="G110">
        <f>IF(A110="","",MONTH(A110))</f>
        <v/>
      </c>
    </row>
    <row r="111">
      <c r="A111" s="25" t="n"/>
      <c r="B111" s="11" t="n"/>
      <c r="C111" s="24" t="n"/>
      <c r="D111" s="11" t="n"/>
      <c r="E111" s="11" t="n"/>
      <c r="F111">
        <f>IF(B111="","",IFERROR(INDEX(Categories!$B$5:$B$44,MATCH(B111,Categories!$A$5:$A$44,0)),"?"))</f>
        <v/>
      </c>
      <c r="G111">
        <f>IF(A111="","",MONTH(A111))</f>
        <v/>
      </c>
    </row>
    <row r="112">
      <c r="A112" s="25" t="n"/>
      <c r="B112" s="11" t="n"/>
      <c r="C112" s="24" t="n"/>
      <c r="D112" s="11" t="n"/>
      <c r="E112" s="11" t="n"/>
      <c r="F112">
        <f>IF(B112="","",IFERROR(INDEX(Categories!$B$5:$B$44,MATCH(B112,Categories!$A$5:$A$44,0)),"?"))</f>
        <v/>
      </c>
      <c r="G112">
        <f>IF(A112="","",MONTH(A112))</f>
        <v/>
      </c>
    </row>
    <row r="113">
      <c r="A113" s="25" t="n"/>
      <c r="B113" s="11" t="n"/>
      <c r="C113" s="24" t="n"/>
      <c r="D113" s="11" t="n"/>
      <c r="E113" s="11" t="n"/>
      <c r="F113">
        <f>IF(B113="","",IFERROR(INDEX(Categories!$B$5:$B$44,MATCH(B113,Categories!$A$5:$A$44,0)),"?"))</f>
        <v/>
      </c>
      <c r="G113">
        <f>IF(A113="","",MONTH(A113))</f>
        <v/>
      </c>
    </row>
    <row r="114">
      <c r="A114" s="25" t="n"/>
      <c r="B114" s="11" t="n"/>
      <c r="C114" s="24" t="n"/>
      <c r="D114" s="11" t="n"/>
      <c r="E114" s="11" t="n"/>
      <c r="F114">
        <f>IF(B114="","",IFERROR(INDEX(Categories!$B$5:$B$44,MATCH(B114,Categories!$A$5:$A$44,0)),"?"))</f>
        <v/>
      </c>
      <c r="G114">
        <f>IF(A114="","",MONTH(A114))</f>
        <v/>
      </c>
    </row>
    <row r="115">
      <c r="A115" s="25" t="n"/>
      <c r="B115" s="11" t="n"/>
      <c r="C115" s="24" t="n"/>
      <c r="D115" s="11" t="n"/>
      <c r="E115" s="11" t="n"/>
      <c r="F115">
        <f>IF(B115="","",IFERROR(INDEX(Categories!$B$5:$B$44,MATCH(B115,Categories!$A$5:$A$44,0)),"?"))</f>
        <v/>
      </c>
      <c r="G115">
        <f>IF(A115="","",MONTH(A115))</f>
        <v/>
      </c>
    </row>
    <row r="116">
      <c r="A116" s="25" t="n"/>
      <c r="B116" s="11" t="n"/>
      <c r="C116" s="24" t="n"/>
      <c r="D116" s="11" t="n"/>
      <c r="E116" s="11" t="n"/>
      <c r="F116">
        <f>IF(B116="","",IFERROR(INDEX(Categories!$B$5:$B$44,MATCH(B116,Categories!$A$5:$A$44,0)),"?"))</f>
        <v/>
      </c>
      <c r="G116">
        <f>IF(A116="","",MONTH(A116))</f>
        <v/>
      </c>
    </row>
    <row r="117">
      <c r="A117" s="25" t="n"/>
      <c r="B117" s="11" t="n"/>
      <c r="C117" s="24" t="n"/>
      <c r="D117" s="11" t="n"/>
      <c r="E117" s="11" t="n"/>
      <c r="F117">
        <f>IF(B117="","",IFERROR(INDEX(Categories!$B$5:$B$44,MATCH(B117,Categories!$A$5:$A$44,0)),"?"))</f>
        <v/>
      </c>
      <c r="G117">
        <f>IF(A117="","",MONTH(A117))</f>
        <v/>
      </c>
    </row>
    <row r="118">
      <c r="A118" s="25" t="n"/>
      <c r="B118" s="11" t="n"/>
      <c r="C118" s="24" t="n"/>
      <c r="D118" s="11" t="n"/>
      <c r="E118" s="11" t="n"/>
      <c r="F118">
        <f>IF(B118="","",IFERROR(INDEX(Categories!$B$5:$B$44,MATCH(B118,Categories!$A$5:$A$44,0)),"?"))</f>
        <v/>
      </c>
      <c r="G118">
        <f>IF(A118="","",MONTH(A118))</f>
        <v/>
      </c>
    </row>
    <row r="119">
      <c r="A119" s="25" t="n"/>
      <c r="B119" s="11" t="n"/>
      <c r="C119" s="24" t="n"/>
      <c r="D119" s="11" t="n"/>
      <c r="E119" s="11" t="n"/>
      <c r="F119">
        <f>IF(B119="","",IFERROR(INDEX(Categories!$B$5:$B$44,MATCH(B119,Categories!$A$5:$A$44,0)),"?"))</f>
        <v/>
      </c>
      <c r="G119">
        <f>IF(A119="","",MONTH(A119))</f>
        <v/>
      </c>
    </row>
    <row r="120">
      <c r="A120" s="25" t="n"/>
      <c r="B120" s="11" t="n"/>
      <c r="C120" s="24" t="n"/>
      <c r="D120" s="11" t="n"/>
      <c r="E120" s="11" t="n"/>
      <c r="F120">
        <f>IF(B120="","",IFERROR(INDEX(Categories!$B$5:$B$44,MATCH(B120,Categories!$A$5:$A$44,0)),"?"))</f>
        <v/>
      </c>
      <c r="G120">
        <f>IF(A120="","",MONTH(A120))</f>
        <v/>
      </c>
    </row>
    <row r="121">
      <c r="A121" s="25" t="n"/>
      <c r="B121" s="11" t="n"/>
      <c r="C121" s="24" t="n"/>
      <c r="D121" s="11" t="n"/>
      <c r="E121" s="11" t="n"/>
      <c r="F121">
        <f>IF(B121="","",IFERROR(INDEX(Categories!$B$5:$B$44,MATCH(B121,Categories!$A$5:$A$44,0)),"?"))</f>
        <v/>
      </c>
      <c r="G121">
        <f>IF(A121="","",MONTH(A121))</f>
        <v/>
      </c>
    </row>
    <row r="122">
      <c r="A122" s="25" t="n"/>
      <c r="B122" s="11" t="n"/>
      <c r="C122" s="24" t="n"/>
      <c r="D122" s="11" t="n"/>
      <c r="E122" s="11" t="n"/>
      <c r="F122">
        <f>IF(B122="","",IFERROR(INDEX(Categories!$B$5:$B$44,MATCH(B122,Categories!$A$5:$A$44,0)),"?"))</f>
        <v/>
      </c>
      <c r="G122">
        <f>IF(A122="","",MONTH(A122))</f>
        <v/>
      </c>
    </row>
    <row r="123">
      <c r="A123" s="25" t="n"/>
      <c r="B123" s="11" t="n"/>
      <c r="C123" s="24" t="n"/>
      <c r="D123" s="11" t="n"/>
      <c r="E123" s="11" t="n"/>
      <c r="F123">
        <f>IF(B123="","",IFERROR(INDEX(Categories!$B$5:$B$44,MATCH(B123,Categories!$A$5:$A$44,0)),"?"))</f>
        <v/>
      </c>
      <c r="G123">
        <f>IF(A123="","",MONTH(A123))</f>
        <v/>
      </c>
    </row>
    <row r="124">
      <c r="A124" s="25" t="n"/>
      <c r="B124" s="11" t="n"/>
      <c r="C124" s="24" t="n"/>
      <c r="D124" s="11" t="n"/>
      <c r="E124" s="11" t="n"/>
      <c r="F124">
        <f>IF(B124="","",IFERROR(INDEX(Categories!$B$5:$B$44,MATCH(B124,Categories!$A$5:$A$44,0)),"?"))</f>
        <v/>
      </c>
      <c r="G124">
        <f>IF(A124="","",MONTH(A124))</f>
        <v/>
      </c>
    </row>
    <row r="125">
      <c r="A125" s="25" t="n"/>
      <c r="B125" s="11" t="n"/>
      <c r="C125" s="24" t="n"/>
      <c r="D125" s="11" t="n"/>
      <c r="E125" s="11" t="n"/>
      <c r="F125">
        <f>IF(B125="","",IFERROR(INDEX(Categories!$B$5:$B$44,MATCH(B125,Categories!$A$5:$A$44,0)),"?"))</f>
        <v/>
      </c>
      <c r="G125">
        <f>IF(A125="","",MONTH(A125))</f>
        <v/>
      </c>
    </row>
    <row r="126">
      <c r="A126" s="25" t="n"/>
      <c r="B126" s="11" t="n"/>
      <c r="C126" s="24" t="n"/>
      <c r="D126" s="11" t="n"/>
      <c r="E126" s="11" t="n"/>
      <c r="F126">
        <f>IF(B126="","",IFERROR(INDEX(Categories!$B$5:$B$44,MATCH(B126,Categories!$A$5:$A$44,0)),"?"))</f>
        <v/>
      </c>
      <c r="G126">
        <f>IF(A126="","",MONTH(A126))</f>
        <v/>
      </c>
    </row>
    <row r="127">
      <c r="A127" s="25" t="n"/>
      <c r="B127" s="11" t="n"/>
      <c r="C127" s="24" t="n"/>
      <c r="D127" s="11" t="n"/>
      <c r="E127" s="11" t="n"/>
      <c r="F127">
        <f>IF(B127="","",IFERROR(INDEX(Categories!$B$5:$B$44,MATCH(B127,Categories!$A$5:$A$44,0)),"?"))</f>
        <v/>
      </c>
      <c r="G127">
        <f>IF(A127="","",MONTH(A127))</f>
        <v/>
      </c>
    </row>
    <row r="128">
      <c r="A128" s="25" t="n"/>
      <c r="B128" s="11" t="n"/>
      <c r="C128" s="24" t="n"/>
      <c r="D128" s="11" t="n"/>
      <c r="E128" s="11" t="n"/>
      <c r="F128">
        <f>IF(B128="","",IFERROR(INDEX(Categories!$B$5:$B$44,MATCH(B128,Categories!$A$5:$A$44,0)),"?"))</f>
        <v/>
      </c>
      <c r="G128">
        <f>IF(A128="","",MONTH(A128))</f>
        <v/>
      </c>
    </row>
    <row r="129">
      <c r="A129" s="25" t="n"/>
      <c r="B129" s="11" t="n"/>
      <c r="C129" s="24" t="n"/>
      <c r="D129" s="11" t="n"/>
      <c r="E129" s="11" t="n"/>
      <c r="F129">
        <f>IF(B129="","",IFERROR(INDEX(Categories!$B$5:$B$44,MATCH(B129,Categories!$A$5:$A$44,0)),"?"))</f>
        <v/>
      </c>
      <c r="G129">
        <f>IF(A129="","",MONTH(A129))</f>
        <v/>
      </c>
    </row>
    <row r="130">
      <c r="A130" s="25" t="n"/>
      <c r="B130" s="11" t="n"/>
      <c r="C130" s="24" t="n"/>
      <c r="D130" s="11" t="n"/>
      <c r="E130" s="11" t="n"/>
      <c r="F130">
        <f>IF(B130="","",IFERROR(INDEX(Categories!$B$5:$B$44,MATCH(B130,Categories!$A$5:$A$44,0)),"?"))</f>
        <v/>
      </c>
      <c r="G130">
        <f>IF(A130="","",MONTH(A130))</f>
        <v/>
      </c>
    </row>
    <row r="131">
      <c r="A131" s="25" t="n"/>
      <c r="B131" s="11" t="n"/>
      <c r="C131" s="24" t="n"/>
      <c r="D131" s="11" t="n"/>
      <c r="E131" s="11" t="n"/>
      <c r="F131">
        <f>IF(B131="","",IFERROR(INDEX(Categories!$B$5:$B$44,MATCH(B131,Categories!$A$5:$A$44,0)),"?"))</f>
        <v/>
      </c>
      <c r="G131">
        <f>IF(A131="","",MONTH(A131))</f>
        <v/>
      </c>
    </row>
    <row r="132">
      <c r="A132" s="25" t="n"/>
      <c r="B132" s="11" t="n"/>
      <c r="C132" s="24" t="n"/>
      <c r="D132" s="11" t="n"/>
      <c r="E132" s="11" t="n"/>
      <c r="F132">
        <f>IF(B132="","",IFERROR(INDEX(Categories!$B$5:$B$44,MATCH(B132,Categories!$A$5:$A$44,0)),"?"))</f>
        <v/>
      </c>
      <c r="G132">
        <f>IF(A132="","",MONTH(A132))</f>
        <v/>
      </c>
    </row>
    <row r="133">
      <c r="A133" s="25" t="n"/>
      <c r="B133" s="11" t="n"/>
      <c r="C133" s="24" t="n"/>
      <c r="D133" s="11" t="n"/>
      <c r="E133" s="11" t="n"/>
      <c r="F133">
        <f>IF(B133="","",IFERROR(INDEX(Categories!$B$5:$B$44,MATCH(B133,Categories!$A$5:$A$44,0)),"?"))</f>
        <v/>
      </c>
      <c r="G133">
        <f>IF(A133="","",MONTH(A133))</f>
        <v/>
      </c>
    </row>
    <row r="134">
      <c r="A134" s="25" t="n"/>
      <c r="B134" s="11" t="n"/>
      <c r="C134" s="24" t="n"/>
      <c r="D134" s="11" t="n"/>
      <c r="E134" s="11" t="n"/>
      <c r="F134">
        <f>IF(B134="","",IFERROR(INDEX(Categories!$B$5:$B$44,MATCH(B134,Categories!$A$5:$A$44,0)),"?"))</f>
        <v/>
      </c>
      <c r="G134">
        <f>IF(A134="","",MONTH(A134))</f>
        <v/>
      </c>
    </row>
    <row r="135">
      <c r="A135" s="25" t="n"/>
      <c r="B135" s="11" t="n"/>
      <c r="C135" s="24" t="n"/>
      <c r="D135" s="11" t="n"/>
      <c r="E135" s="11" t="n"/>
      <c r="F135">
        <f>IF(B135="","",IFERROR(INDEX(Categories!$B$5:$B$44,MATCH(B135,Categories!$A$5:$A$44,0)),"?"))</f>
        <v/>
      </c>
      <c r="G135">
        <f>IF(A135="","",MONTH(A135))</f>
        <v/>
      </c>
    </row>
    <row r="136">
      <c r="A136" s="25" t="n"/>
      <c r="B136" s="11" t="n"/>
      <c r="C136" s="24" t="n"/>
      <c r="D136" s="11" t="n"/>
      <c r="E136" s="11" t="n"/>
      <c r="F136">
        <f>IF(B136="","",IFERROR(INDEX(Categories!$B$5:$B$44,MATCH(B136,Categories!$A$5:$A$44,0)),"?"))</f>
        <v/>
      </c>
      <c r="G136">
        <f>IF(A136="","",MONTH(A136))</f>
        <v/>
      </c>
    </row>
    <row r="137">
      <c r="A137" s="25" t="n"/>
      <c r="B137" s="11" t="n"/>
      <c r="C137" s="24" t="n"/>
      <c r="D137" s="11" t="n"/>
      <c r="E137" s="11" t="n"/>
      <c r="F137">
        <f>IF(B137="","",IFERROR(INDEX(Categories!$B$5:$B$44,MATCH(B137,Categories!$A$5:$A$44,0)),"?"))</f>
        <v/>
      </c>
      <c r="G137">
        <f>IF(A137="","",MONTH(A137))</f>
        <v/>
      </c>
    </row>
    <row r="138">
      <c r="A138" s="25" t="n"/>
      <c r="B138" s="11" t="n"/>
      <c r="C138" s="24" t="n"/>
      <c r="D138" s="11" t="n"/>
      <c r="E138" s="11" t="n"/>
      <c r="F138">
        <f>IF(B138="","",IFERROR(INDEX(Categories!$B$5:$B$44,MATCH(B138,Categories!$A$5:$A$44,0)),"?"))</f>
        <v/>
      </c>
      <c r="G138">
        <f>IF(A138="","",MONTH(A138))</f>
        <v/>
      </c>
    </row>
    <row r="139">
      <c r="A139" s="25" t="n"/>
      <c r="B139" s="11" t="n"/>
      <c r="C139" s="24" t="n"/>
      <c r="D139" s="11" t="n"/>
      <c r="E139" s="11" t="n"/>
      <c r="F139">
        <f>IF(B139="","",IFERROR(INDEX(Categories!$B$5:$B$44,MATCH(B139,Categories!$A$5:$A$44,0)),"?"))</f>
        <v/>
      </c>
      <c r="G139">
        <f>IF(A139="","",MONTH(A139))</f>
        <v/>
      </c>
    </row>
    <row r="140">
      <c r="A140" s="25" t="n"/>
      <c r="B140" s="11" t="n"/>
      <c r="C140" s="24" t="n"/>
      <c r="D140" s="11" t="n"/>
      <c r="E140" s="11" t="n"/>
      <c r="F140">
        <f>IF(B140="","",IFERROR(INDEX(Categories!$B$5:$B$44,MATCH(B140,Categories!$A$5:$A$44,0)),"?"))</f>
        <v/>
      </c>
      <c r="G140">
        <f>IF(A140="","",MONTH(A140))</f>
        <v/>
      </c>
    </row>
    <row r="141">
      <c r="A141" s="25" t="n"/>
      <c r="B141" s="11" t="n"/>
      <c r="C141" s="24" t="n"/>
      <c r="D141" s="11" t="n"/>
      <c r="E141" s="11" t="n"/>
      <c r="F141">
        <f>IF(B141="","",IFERROR(INDEX(Categories!$B$5:$B$44,MATCH(B141,Categories!$A$5:$A$44,0)),"?"))</f>
        <v/>
      </c>
      <c r="G141">
        <f>IF(A141="","",MONTH(A141))</f>
        <v/>
      </c>
    </row>
    <row r="142">
      <c r="A142" s="25" t="n"/>
      <c r="B142" s="11" t="n"/>
      <c r="C142" s="24" t="n"/>
      <c r="D142" s="11" t="n"/>
      <c r="E142" s="11" t="n"/>
      <c r="F142">
        <f>IF(B142="","",IFERROR(INDEX(Categories!$B$5:$B$44,MATCH(B142,Categories!$A$5:$A$44,0)),"?"))</f>
        <v/>
      </c>
      <c r="G142">
        <f>IF(A142="","",MONTH(A142))</f>
        <v/>
      </c>
    </row>
    <row r="143">
      <c r="A143" s="25" t="n"/>
      <c r="B143" s="11" t="n"/>
      <c r="C143" s="24" t="n"/>
      <c r="D143" s="11" t="n"/>
      <c r="E143" s="11" t="n"/>
      <c r="F143">
        <f>IF(B143="","",IFERROR(INDEX(Categories!$B$5:$B$44,MATCH(B143,Categories!$A$5:$A$44,0)),"?"))</f>
        <v/>
      </c>
      <c r="G143">
        <f>IF(A143="","",MONTH(A143))</f>
        <v/>
      </c>
    </row>
    <row r="144">
      <c r="A144" s="25" t="n"/>
      <c r="B144" s="11" t="n"/>
      <c r="C144" s="24" t="n"/>
      <c r="D144" s="11" t="n"/>
      <c r="E144" s="11" t="n"/>
      <c r="F144">
        <f>IF(B144="","",IFERROR(INDEX(Categories!$B$5:$B$44,MATCH(B144,Categories!$A$5:$A$44,0)),"?"))</f>
        <v/>
      </c>
      <c r="G144">
        <f>IF(A144="","",MONTH(A144))</f>
        <v/>
      </c>
    </row>
    <row r="145">
      <c r="A145" s="25" t="n"/>
      <c r="B145" s="11" t="n"/>
      <c r="C145" s="24" t="n"/>
      <c r="D145" s="11" t="n"/>
      <c r="E145" s="11" t="n"/>
      <c r="F145">
        <f>IF(B145="","",IFERROR(INDEX(Categories!$B$5:$B$44,MATCH(B145,Categories!$A$5:$A$44,0)),"?"))</f>
        <v/>
      </c>
      <c r="G145">
        <f>IF(A145="","",MONTH(A145))</f>
        <v/>
      </c>
    </row>
    <row r="146">
      <c r="A146" s="25" t="n"/>
      <c r="B146" s="11" t="n"/>
      <c r="C146" s="24" t="n"/>
      <c r="D146" s="11" t="n"/>
      <c r="E146" s="11" t="n"/>
      <c r="F146">
        <f>IF(B146="","",IFERROR(INDEX(Categories!$B$5:$B$44,MATCH(B146,Categories!$A$5:$A$44,0)),"?"))</f>
        <v/>
      </c>
      <c r="G146">
        <f>IF(A146="","",MONTH(A146))</f>
        <v/>
      </c>
    </row>
    <row r="147">
      <c r="A147" s="25" t="n"/>
      <c r="B147" s="11" t="n"/>
      <c r="C147" s="24" t="n"/>
      <c r="D147" s="11" t="n"/>
      <c r="E147" s="11" t="n"/>
      <c r="F147">
        <f>IF(B147="","",IFERROR(INDEX(Categories!$B$5:$B$44,MATCH(B147,Categories!$A$5:$A$44,0)),"?"))</f>
        <v/>
      </c>
      <c r="G147">
        <f>IF(A147="","",MONTH(A147))</f>
        <v/>
      </c>
    </row>
    <row r="148">
      <c r="A148" s="25" t="n"/>
      <c r="B148" s="11" t="n"/>
      <c r="C148" s="24" t="n"/>
      <c r="D148" s="11" t="n"/>
      <c r="E148" s="11" t="n"/>
      <c r="F148">
        <f>IF(B148="","",IFERROR(INDEX(Categories!$B$5:$B$44,MATCH(B148,Categories!$A$5:$A$44,0)),"?"))</f>
        <v/>
      </c>
      <c r="G148">
        <f>IF(A148="","",MONTH(A148))</f>
        <v/>
      </c>
    </row>
    <row r="149">
      <c r="A149" s="25" t="n"/>
      <c r="B149" s="11" t="n"/>
      <c r="C149" s="24" t="n"/>
      <c r="D149" s="11" t="n"/>
      <c r="E149" s="11" t="n"/>
      <c r="F149">
        <f>IF(B149="","",IFERROR(INDEX(Categories!$B$5:$B$44,MATCH(B149,Categories!$A$5:$A$44,0)),"?"))</f>
        <v/>
      </c>
      <c r="G149">
        <f>IF(A149="","",MONTH(A149))</f>
        <v/>
      </c>
    </row>
    <row r="150">
      <c r="A150" s="25" t="n"/>
      <c r="B150" s="11" t="n"/>
      <c r="C150" s="24" t="n"/>
      <c r="D150" s="11" t="n"/>
      <c r="E150" s="11" t="n"/>
      <c r="F150">
        <f>IF(B150="","",IFERROR(INDEX(Categories!$B$5:$B$44,MATCH(B150,Categories!$A$5:$A$44,0)),"?"))</f>
        <v/>
      </c>
      <c r="G150">
        <f>IF(A150="","",MONTH(A150))</f>
        <v/>
      </c>
    </row>
    <row r="151">
      <c r="A151" s="25" t="n"/>
      <c r="B151" s="11" t="n"/>
      <c r="C151" s="24" t="n"/>
      <c r="D151" s="11" t="n"/>
      <c r="E151" s="11" t="n"/>
      <c r="F151">
        <f>IF(B151="","",IFERROR(INDEX(Categories!$B$5:$B$44,MATCH(B151,Categories!$A$5:$A$44,0)),"?"))</f>
        <v/>
      </c>
      <c r="G151">
        <f>IF(A151="","",MONTH(A151))</f>
        <v/>
      </c>
    </row>
    <row r="152">
      <c r="A152" s="25" t="n"/>
      <c r="B152" s="11" t="n"/>
      <c r="C152" s="24" t="n"/>
      <c r="D152" s="11" t="n"/>
      <c r="E152" s="11" t="n"/>
      <c r="F152">
        <f>IF(B152="","",IFERROR(INDEX(Categories!$B$5:$B$44,MATCH(B152,Categories!$A$5:$A$44,0)),"?"))</f>
        <v/>
      </c>
      <c r="G152">
        <f>IF(A152="","",MONTH(A152))</f>
        <v/>
      </c>
    </row>
    <row r="153">
      <c r="A153" s="25" t="n"/>
      <c r="B153" s="11" t="n"/>
      <c r="C153" s="24" t="n"/>
      <c r="D153" s="11" t="n"/>
      <c r="E153" s="11" t="n"/>
      <c r="F153">
        <f>IF(B153="","",IFERROR(INDEX(Categories!$B$5:$B$44,MATCH(B153,Categories!$A$5:$A$44,0)),"?"))</f>
        <v/>
      </c>
      <c r="G153">
        <f>IF(A153="","",MONTH(A153))</f>
        <v/>
      </c>
    </row>
    <row r="154">
      <c r="A154" s="25" t="n"/>
      <c r="B154" s="11" t="n"/>
      <c r="C154" s="24" t="n"/>
      <c r="D154" s="11" t="n"/>
      <c r="E154" s="11" t="n"/>
      <c r="F154">
        <f>IF(B154="","",IFERROR(INDEX(Categories!$B$5:$B$44,MATCH(B154,Categories!$A$5:$A$44,0)),"?"))</f>
        <v/>
      </c>
      <c r="G154">
        <f>IF(A154="","",MONTH(A154))</f>
        <v/>
      </c>
    </row>
    <row r="155">
      <c r="A155" s="25" t="n"/>
      <c r="B155" s="11" t="n"/>
      <c r="C155" s="24" t="n"/>
      <c r="D155" s="11" t="n"/>
      <c r="E155" s="11" t="n"/>
      <c r="F155">
        <f>IF(B155="","",IFERROR(INDEX(Categories!$B$5:$B$44,MATCH(B155,Categories!$A$5:$A$44,0)),"?"))</f>
        <v/>
      </c>
      <c r="G155">
        <f>IF(A155="","",MONTH(A155))</f>
        <v/>
      </c>
    </row>
    <row r="156">
      <c r="A156" s="25" t="n"/>
      <c r="B156" s="11" t="n"/>
      <c r="C156" s="24" t="n"/>
      <c r="D156" s="11" t="n"/>
      <c r="E156" s="11" t="n"/>
      <c r="F156">
        <f>IF(B156="","",IFERROR(INDEX(Categories!$B$5:$B$44,MATCH(B156,Categories!$A$5:$A$44,0)),"?"))</f>
        <v/>
      </c>
      <c r="G156">
        <f>IF(A156="","",MONTH(A156))</f>
        <v/>
      </c>
    </row>
    <row r="157">
      <c r="A157" s="25" t="n"/>
      <c r="B157" s="11" t="n"/>
      <c r="C157" s="24" t="n"/>
      <c r="D157" s="11" t="n"/>
      <c r="E157" s="11" t="n"/>
      <c r="F157">
        <f>IF(B157="","",IFERROR(INDEX(Categories!$B$5:$B$44,MATCH(B157,Categories!$A$5:$A$44,0)),"?"))</f>
        <v/>
      </c>
      <c r="G157">
        <f>IF(A157="","",MONTH(A157))</f>
        <v/>
      </c>
    </row>
    <row r="158">
      <c r="A158" s="25" t="n"/>
      <c r="B158" s="11" t="n"/>
      <c r="C158" s="24" t="n"/>
      <c r="D158" s="11" t="n"/>
      <c r="E158" s="11" t="n"/>
      <c r="F158">
        <f>IF(B158="","",IFERROR(INDEX(Categories!$B$5:$B$44,MATCH(B158,Categories!$A$5:$A$44,0)),"?"))</f>
        <v/>
      </c>
      <c r="G158">
        <f>IF(A158="","",MONTH(A158))</f>
        <v/>
      </c>
    </row>
    <row r="159">
      <c r="A159" s="25" t="n"/>
      <c r="B159" s="11" t="n"/>
      <c r="C159" s="24" t="n"/>
      <c r="D159" s="11" t="n"/>
      <c r="E159" s="11" t="n"/>
      <c r="F159">
        <f>IF(B159="","",IFERROR(INDEX(Categories!$B$5:$B$44,MATCH(B159,Categories!$A$5:$A$44,0)),"?"))</f>
        <v/>
      </c>
      <c r="G159">
        <f>IF(A159="","",MONTH(A159))</f>
        <v/>
      </c>
    </row>
    <row r="160">
      <c r="A160" s="25" t="n"/>
      <c r="B160" s="11" t="n"/>
      <c r="C160" s="24" t="n"/>
      <c r="D160" s="11" t="n"/>
      <c r="E160" s="11" t="n"/>
      <c r="F160">
        <f>IF(B160="","",IFERROR(INDEX(Categories!$B$5:$B$44,MATCH(B160,Categories!$A$5:$A$44,0)),"?"))</f>
        <v/>
      </c>
      <c r="G160">
        <f>IF(A160="","",MONTH(A160))</f>
        <v/>
      </c>
    </row>
    <row r="161">
      <c r="A161" s="25" t="n"/>
      <c r="B161" s="11" t="n"/>
      <c r="C161" s="24" t="n"/>
      <c r="D161" s="11" t="n"/>
      <c r="E161" s="11" t="n"/>
      <c r="F161">
        <f>IF(B161="","",IFERROR(INDEX(Categories!$B$5:$B$44,MATCH(B161,Categories!$A$5:$A$44,0)),"?"))</f>
        <v/>
      </c>
      <c r="G161">
        <f>IF(A161="","",MONTH(A161))</f>
        <v/>
      </c>
    </row>
    <row r="162">
      <c r="A162" s="25" t="n"/>
      <c r="B162" s="11" t="n"/>
      <c r="C162" s="24" t="n"/>
      <c r="D162" s="11" t="n"/>
      <c r="E162" s="11" t="n"/>
      <c r="F162">
        <f>IF(B162="","",IFERROR(INDEX(Categories!$B$5:$B$44,MATCH(B162,Categories!$A$5:$A$44,0)),"?"))</f>
        <v/>
      </c>
      <c r="G162">
        <f>IF(A162="","",MONTH(A162))</f>
        <v/>
      </c>
    </row>
    <row r="163">
      <c r="A163" s="25" t="n"/>
      <c r="B163" s="11" t="n"/>
      <c r="C163" s="24" t="n"/>
      <c r="D163" s="11" t="n"/>
      <c r="E163" s="11" t="n"/>
      <c r="F163">
        <f>IF(B163="","",IFERROR(INDEX(Categories!$B$5:$B$44,MATCH(B163,Categories!$A$5:$A$44,0)),"?"))</f>
        <v/>
      </c>
      <c r="G163">
        <f>IF(A163="","",MONTH(A163))</f>
        <v/>
      </c>
    </row>
    <row r="164">
      <c r="A164" s="25" t="n"/>
      <c r="B164" s="11" t="n"/>
      <c r="C164" s="24" t="n"/>
      <c r="D164" s="11" t="n"/>
      <c r="E164" s="11" t="n"/>
      <c r="F164">
        <f>IF(B164="","",IFERROR(INDEX(Categories!$B$5:$B$44,MATCH(B164,Categories!$A$5:$A$44,0)),"?"))</f>
        <v/>
      </c>
      <c r="G164">
        <f>IF(A164="","",MONTH(A164))</f>
        <v/>
      </c>
    </row>
    <row r="165">
      <c r="A165" s="25" t="n"/>
      <c r="B165" s="11" t="n"/>
      <c r="C165" s="24" t="n"/>
      <c r="D165" s="11" t="n"/>
      <c r="E165" s="11" t="n"/>
      <c r="F165">
        <f>IF(B165="","",IFERROR(INDEX(Categories!$B$5:$B$44,MATCH(B165,Categories!$A$5:$A$44,0)),"?"))</f>
        <v/>
      </c>
      <c r="G165">
        <f>IF(A165="","",MONTH(A165))</f>
        <v/>
      </c>
    </row>
    <row r="166">
      <c r="A166" s="25" t="n"/>
      <c r="B166" s="11" t="n"/>
      <c r="C166" s="24" t="n"/>
      <c r="D166" s="11" t="n"/>
      <c r="E166" s="11" t="n"/>
      <c r="F166">
        <f>IF(B166="","",IFERROR(INDEX(Categories!$B$5:$B$44,MATCH(B166,Categories!$A$5:$A$44,0)),"?"))</f>
        <v/>
      </c>
      <c r="G166">
        <f>IF(A166="","",MONTH(A166))</f>
        <v/>
      </c>
    </row>
    <row r="167">
      <c r="A167" s="25" t="n"/>
      <c r="B167" s="11" t="n"/>
      <c r="C167" s="24" t="n"/>
      <c r="D167" s="11" t="n"/>
      <c r="E167" s="11" t="n"/>
      <c r="F167">
        <f>IF(B167="","",IFERROR(INDEX(Categories!$B$5:$B$44,MATCH(B167,Categories!$A$5:$A$44,0)),"?"))</f>
        <v/>
      </c>
      <c r="G167">
        <f>IF(A167="","",MONTH(A167))</f>
        <v/>
      </c>
    </row>
    <row r="168">
      <c r="A168" s="25" t="n"/>
      <c r="B168" s="11" t="n"/>
      <c r="C168" s="24" t="n"/>
      <c r="D168" s="11" t="n"/>
      <c r="E168" s="11" t="n"/>
      <c r="F168">
        <f>IF(B168="","",IFERROR(INDEX(Categories!$B$5:$B$44,MATCH(B168,Categories!$A$5:$A$44,0)),"?"))</f>
        <v/>
      </c>
      <c r="G168">
        <f>IF(A168="","",MONTH(A168))</f>
        <v/>
      </c>
    </row>
    <row r="169">
      <c r="A169" s="25" t="n"/>
      <c r="B169" s="11" t="n"/>
      <c r="C169" s="24" t="n"/>
      <c r="D169" s="11" t="n"/>
      <c r="E169" s="11" t="n"/>
      <c r="F169">
        <f>IF(B169="","",IFERROR(INDEX(Categories!$B$5:$B$44,MATCH(B169,Categories!$A$5:$A$44,0)),"?"))</f>
        <v/>
      </c>
      <c r="G169">
        <f>IF(A169="","",MONTH(A169))</f>
        <v/>
      </c>
    </row>
    <row r="170">
      <c r="A170" s="25" t="n"/>
      <c r="B170" s="11" t="n"/>
      <c r="C170" s="24" t="n"/>
      <c r="D170" s="11" t="n"/>
      <c r="E170" s="11" t="n"/>
      <c r="F170">
        <f>IF(B170="","",IFERROR(INDEX(Categories!$B$5:$B$44,MATCH(B170,Categories!$A$5:$A$44,0)),"?"))</f>
        <v/>
      </c>
      <c r="G170">
        <f>IF(A170="","",MONTH(A170))</f>
        <v/>
      </c>
    </row>
    <row r="171">
      <c r="A171" s="25" t="n"/>
      <c r="B171" s="11" t="n"/>
      <c r="C171" s="24" t="n"/>
      <c r="D171" s="11" t="n"/>
      <c r="E171" s="11" t="n"/>
      <c r="F171">
        <f>IF(B171="","",IFERROR(INDEX(Categories!$B$5:$B$44,MATCH(B171,Categories!$A$5:$A$44,0)),"?"))</f>
        <v/>
      </c>
      <c r="G171">
        <f>IF(A171="","",MONTH(A171))</f>
        <v/>
      </c>
    </row>
    <row r="172">
      <c r="A172" s="25" t="n"/>
      <c r="B172" s="11" t="n"/>
      <c r="C172" s="24" t="n"/>
      <c r="D172" s="11" t="n"/>
      <c r="E172" s="11" t="n"/>
      <c r="F172">
        <f>IF(B172="","",IFERROR(INDEX(Categories!$B$5:$B$44,MATCH(B172,Categories!$A$5:$A$44,0)),"?"))</f>
        <v/>
      </c>
      <c r="G172">
        <f>IF(A172="","",MONTH(A172))</f>
        <v/>
      </c>
    </row>
    <row r="173">
      <c r="A173" s="25" t="n"/>
      <c r="B173" s="11" t="n"/>
      <c r="C173" s="24" t="n"/>
      <c r="D173" s="11" t="n"/>
      <c r="E173" s="11" t="n"/>
      <c r="F173">
        <f>IF(B173="","",IFERROR(INDEX(Categories!$B$5:$B$44,MATCH(B173,Categories!$A$5:$A$44,0)),"?"))</f>
        <v/>
      </c>
      <c r="G173">
        <f>IF(A173="","",MONTH(A173))</f>
        <v/>
      </c>
    </row>
    <row r="174">
      <c r="A174" s="25" t="n"/>
      <c r="B174" s="11" t="n"/>
      <c r="C174" s="24" t="n"/>
      <c r="D174" s="11" t="n"/>
      <c r="E174" s="11" t="n"/>
      <c r="F174">
        <f>IF(B174="","",IFERROR(INDEX(Categories!$B$5:$B$44,MATCH(B174,Categories!$A$5:$A$44,0)),"?"))</f>
        <v/>
      </c>
      <c r="G174">
        <f>IF(A174="","",MONTH(A174))</f>
        <v/>
      </c>
    </row>
    <row r="175">
      <c r="A175" s="25" t="n"/>
      <c r="B175" s="11" t="n"/>
      <c r="C175" s="24" t="n"/>
      <c r="D175" s="11" t="n"/>
      <c r="E175" s="11" t="n"/>
      <c r="F175">
        <f>IF(B175="","",IFERROR(INDEX(Categories!$B$5:$B$44,MATCH(B175,Categories!$A$5:$A$44,0)),"?"))</f>
        <v/>
      </c>
      <c r="G175">
        <f>IF(A175="","",MONTH(A175))</f>
        <v/>
      </c>
    </row>
    <row r="176">
      <c r="A176" s="25" t="n"/>
      <c r="B176" s="11" t="n"/>
      <c r="C176" s="24" t="n"/>
      <c r="D176" s="11" t="n"/>
      <c r="E176" s="11" t="n"/>
      <c r="F176">
        <f>IF(B176="","",IFERROR(INDEX(Categories!$B$5:$B$44,MATCH(B176,Categories!$A$5:$A$44,0)),"?"))</f>
        <v/>
      </c>
      <c r="G176">
        <f>IF(A176="","",MONTH(A176))</f>
        <v/>
      </c>
    </row>
    <row r="177">
      <c r="A177" s="25" t="n"/>
      <c r="B177" s="11" t="n"/>
      <c r="C177" s="24" t="n"/>
      <c r="D177" s="11" t="n"/>
      <c r="E177" s="11" t="n"/>
      <c r="F177">
        <f>IF(B177="","",IFERROR(INDEX(Categories!$B$5:$B$44,MATCH(B177,Categories!$A$5:$A$44,0)),"?"))</f>
        <v/>
      </c>
      <c r="G177">
        <f>IF(A177="","",MONTH(A177))</f>
        <v/>
      </c>
    </row>
    <row r="178">
      <c r="A178" s="25" t="n"/>
      <c r="B178" s="11" t="n"/>
      <c r="C178" s="24" t="n"/>
      <c r="D178" s="11" t="n"/>
      <c r="E178" s="11" t="n"/>
      <c r="F178">
        <f>IF(B178="","",IFERROR(INDEX(Categories!$B$5:$B$44,MATCH(B178,Categories!$A$5:$A$44,0)),"?"))</f>
        <v/>
      </c>
      <c r="G178">
        <f>IF(A178="","",MONTH(A178))</f>
        <v/>
      </c>
    </row>
    <row r="179">
      <c r="A179" s="25" t="n"/>
      <c r="B179" s="11" t="n"/>
      <c r="C179" s="24" t="n"/>
      <c r="D179" s="11" t="n"/>
      <c r="E179" s="11" t="n"/>
      <c r="F179">
        <f>IF(B179="","",IFERROR(INDEX(Categories!$B$5:$B$44,MATCH(B179,Categories!$A$5:$A$44,0)),"?"))</f>
        <v/>
      </c>
      <c r="G179">
        <f>IF(A179="","",MONTH(A179))</f>
        <v/>
      </c>
    </row>
    <row r="180">
      <c r="A180" s="25" t="n"/>
      <c r="B180" s="11" t="n"/>
      <c r="C180" s="24" t="n"/>
      <c r="D180" s="11" t="n"/>
      <c r="E180" s="11" t="n"/>
      <c r="F180">
        <f>IF(B180="","",IFERROR(INDEX(Categories!$B$5:$B$44,MATCH(B180,Categories!$A$5:$A$44,0)),"?"))</f>
        <v/>
      </c>
      <c r="G180">
        <f>IF(A180="","",MONTH(A180))</f>
        <v/>
      </c>
    </row>
    <row r="181">
      <c r="A181" s="25" t="n"/>
      <c r="B181" s="11" t="n"/>
      <c r="C181" s="24" t="n"/>
      <c r="D181" s="11" t="n"/>
      <c r="E181" s="11" t="n"/>
      <c r="F181">
        <f>IF(B181="","",IFERROR(INDEX(Categories!$B$5:$B$44,MATCH(B181,Categories!$A$5:$A$44,0)),"?"))</f>
        <v/>
      </c>
      <c r="G181">
        <f>IF(A181="","",MONTH(A181))</f>
        <v/>
      </c>
    </row>
    <row r="182">
      <c r="A182" s="25" t="n"/>
      <c r="B182" s="11" t="n"/>
      <c r="C182" s="24" t="n"/>
      <c r="D182" s="11" t="n"/>
      <c r="E182" s="11" t="n"/>
      <c r="F182">
        <f>IF(B182="","",IFERROR(INDEX(Categories!$B$5:$B$44,MATCH(B182,Categories!$A$5:$A$44,0)),"?"))</f>
        <v/>
      </c>
      <c r="G182">
        <f>IF(A182="","",MONTH(A182))</f>
        <v/>
      </c>
    </row>
    <row r="183">
      <c r="A183" s="25" t="n"/>
      <c r="B183" s="11" t="n"/>
      <c r="C183" s="24" t="n"/>
      <c r="D183" s="11" t="n"/>
      <c r="E183" s="11" t="n"/>
      <c r="F183">
        <f>IF(B183="","",IFERROR(INDEX(Categories!$B$5:$B$44,MATCH(B183,Categories!$A$5:$A$44,0)),"?"))</f>
        <v/>
      </c>
      <c r="G183">
        <f>IF(A183="","",MONTH(A183))</f>
        <v/>
      </c>
    </row>
    <row r="184">
      <c r="A184" s="25" t="n"/>
      <c r="B184" s="11" t="n"/>
      <c r="C184" s="24" t="n"/>
      <c r="D184" s="11" t="n"/>
      <c r="E184" s="11" t="n"/>
      <c r="F184">
        <f>IF(B184="","",IFERROR(INDEX(Categories!$B$5:$B$44,MATCH(B184,Categories!$A$5:$A$44,0)),"?"))</f>
        <v/>
      </c>
      <c r="G184">
        <f>IF(A184="","",MONTH(A184))</f>
        <v/>
      </c>
    </row>
    <row r="185">
      <c r="A185" s="25" t="n"/>
      <c r="B185" s="11" t="n"/>
      <c r="C185" s="24" t="n"/>
      <c r="D185" s="11" t="n"/>
      <c r="E185" s="11" t="n"/>
      <c r="F185">
        <f>IF(B185="","",IFERROR(INDEX(Categories!$B$5:$B$44,MATCH(B185,Categories!$A$5:$A$44,0)),"?"))</f>
        <v/>
      </c>
      <c r="G185">
        <f>IF(A185="","",MONTH(A185))</f>
        <v/>
      </c>
    </row>
    <row r="186">
      <c r="A186" s="25" t="n"/>
      <c r="B186" s="11" t="n"/>
      <c r="C186" s="24" t="n"/>
      <c r="D186" s="11" t="n"/>
      <c r="E186" s="11" t="n"/>
      <c r="F186">
        <f>IF(B186="","",IFERROR(INDEX(Categories!$B$5:$B$44,MATCH(B186,Categories!$A$5:$A$44,0)),"?"))</f>
        <v/>
      </c>
      <c r="G186">
        <f>IF(A186="","",MONTH(A186))</f>
        <v/>
      </c>
    </row>
    <row r="187">
      <c r="A187" s="25" t="n"/>
      <c r="B187" s="11" t="n"/>
      <c r="C187" s="24" t="n"/>
      <c r="D187" s="11" t="n"/>
      <c r="E187" s="11" t="n"/>
      <c r="F187">
        <f>IF(B187="","",IFERROR(INDEX(Categories!$B$5:$B$44,MATCH(B187,Categories!$A$5:$A$44,0)),"?"))</f>
        <v/>
      </c>
      <c r="G187">
        <f>IF(A187="","",MONTH(A187))</f>
        <v/>
      </c>
    </row>
    <row r="188">
      <c r="A188" s="25" t="n"/>
      <c r="B188" s="11" t="n"/>
      <c r="C188" s="24" t="n"/>
      <c r="D188" s="11" t="n"/>
      <c r="E188" s="11" t="n"/>
      <c r="F188">
        <f>IF(B188="","",IFERROR(INDEX(Categories!$B$5:$B$44,MATCH(B188,Categories!$A$5:$A$44,0)),"?"))</f>
        <v/>
      </c>
      <c r="G188">
        <f>IF(A188="","",MONTH(A188))</f>
        <v/>
      </c>
    </row>
    <row r="189">
      <c r="A189" s="25" t="n"/>
      <c r="B189" s="11" t="n"/>
      <c r="C189" s="24" t="n"/>
      <c r="D189" s="11" t="n"/>
      <c r="E189" s="11" t="n"/>
      <c r="F189">
        <f>IF(B189="","",IFERROR(INDEX(Categories!$B$5:$B$44,MATCH(B189,Categories!$A$5:$A$44,0)),"?"))</f>
        <v/>
      </c>
      <c r="G189">
        <f>IF(A189="","",MONTH(A189))</f>
        <v/>
      </c>
    </row>
    <row r="190">
      <c r="A190" s="25" t="n"/>
      <c r="B190" s="11" t="n"/>
      <c r="C190" s="24" t="n"/>
      <c r="D190" s="11" t="n"/>
      <c r="E190" s="11" t="n"/>
      <c r="F190">
        <f>IF(B190="","",IFERROR(INDEX(Categories!$B$5:$B$44,MATCH(B190,Categories!$A$5:$A$44,0)),"?"))</f>
        <v/>
      </c>
      <c r="G190">
        <f>IF(A190="","",MONTH(A190))</f>
        <v/>
      </c>
    </row>
    <row r="191">
      <c r="A191" s="25" t="n"/>
      <c r="B191" s="11" t="n"/>
      <c r="C191" s="24" t="n"/>
      <c r="D191" s="11" t="n"/>
      <c r="E191" s="11" t="n"/>
      <c r="F191">
        <f>IF(B191="","",IFERROR(INDEX(Categories!$B$5:$B$44,MATCH(B191,Categories!$A$5:$A$44,0)),"?"))</f>
        <v/>
      </c>
      <c r="G191">
        <f>IF(A191="","",MONTH(A191))</f>
        <v/>
      </c>
    </row>
    <row r="192">
      <c r="A192" s="25" t="n"/>
      <c r="B192" s="11" t="n"/>
      <c r="C192" s="24" t="n"/>
      <c r="D192" s="11" t="n"/>
      <c r="E192" s="11" t="n"/>
      <c r="F192">
        <f>IF(B192="","",IFERROR(INDEX(Categories!$B$5:$B$44,MATCH(B192,Categories!$A$5:$A$44,0)),"?"))</f>
        <v/>
      </c>
      <c r="G192">
        <f>IF(A192="","",MONTH(A192))</f>
        <v/>
      </c>
    </row>
    <row r="193">
      <c r="A193" s="25" t="n"/>
      <c r="B193" s="11" t="n"/>
      <c r="C193" s="24" t="n"/>
      <c r="D193" s="11" t="n"/>
      <c r="E193" s="11" t="n"/>
      <c r="F193">
        <f>IF(B193="","",IFERROR(INDEX(Categories!$B$5:$B$44,MATCH(B193,Categories!$A$5:$A$44,0)),"?"))</f>
        <v/>
      </c>
      <c r="G193">
        <f>IF(A193="","",MONTH(A193))</f>
        <v/>
      </c>
    </row>
    <row r="194">
      <c r="A194" s="25" t="n"/>
      <c r="B194" s="11" t="n"/>
      <c r="C194" s="24" t="n"/>
      <c r="D194" s="11" t="n"/>
      <c r="E194" s="11" t="n"/>
      <c r="F194">
        <f>IF(B194="","",IFERROR(INDEX(Categories!$B$5:$B$44,MATCH(B194,Categories!$A$5:$A$44,0)),"?"))</f>
        <v/>
      </c>
      <c r="G194">
        <f>IF(A194="","",MONTH(A194))</f>
        <v/>
      </c>
    </row>
    <row r="195">
      <c r="A195" s="25" t="n"/>
      <c r="B195" s="11" t="n"/>
      <c r="C195" s="24" t="n"/>
      <c r="D195" s="11" t="n"/>
      <c r="E195" s="11" t="n"/>
      <c r="F195">
        <f>IF(B195="","",IFERROR(INDEX(Categories!$B$5:$B$44,MATCH(B195,Categories!$A$5:$A$44,0)),"?"))</f>
        <v/>
      </c>
      <c r="G195">
        <f>IF(A195="","",MONTH(A195))</f>
        <v/>
      </c>
    </row>
    <row r="196">
      <c r="A196" s="25" t="n"/>
      <c r="B196" s="11" t="n"/>
      <c r="C196" s="24" t="n"/>
      <c r="D196" s="11" t="n"/>
      <c r="E196" s="11" t="n"/>
      <c r="F196">
        <f>IF(B196="","",IFERROR(INDEX(Categories!$B$5:$B$44,MATCH(B196,Categories!$A$5:$A$44,0)),"?"))</f>
        <v/>
      </c>
      <c r="G196">
        <f>IF(A196="","",MONTH(A196))</f>
        <v/>
      </c>
    </row>
    <row r="197">
      <c r="A197" s="25" t="n"/>
      <c r="B197" s="11" t="n"/>
      <c r="C197" s="24" t="n"/>
      <c r="D197" s="11" t="n"/>
      <c r="E197" s="11" t="n"/>
      <c r="F197">
        <f>IF(B197="","",IFERROR(INDEX(Categories!$B$5:$B$44,MATCH(B197,Categories!$A$5:$A$44,0)),"?"))</f>
        <v/>
      </c>
      <c r="G197">
        <f>IF(A197="","",MONTH(A197))</f>
        <v/>
      </c>
    </row>
    <row r="198">
      <c r="A198" s="25" t="n"/>
      <c r="B198" s="11" t="n"/>
      <c r="C198" s="24" t="n"/>
      <c r="D198" s="11" t="n"/>
      <c r="E198" s="11" t="n"/>
      <c r="F198">
        <f>IF(B198="","",IFERROR(INDEX(Categories!$B$5:$B$44,MATCH(B198,Categories!$A$5:$A$44,0)),"?"))</f>
        <v/>
      </c>
      <c r="G198">
        <f>IF(A198="","",MONTH(A198))</f>
        <v/>
      </c>
    </row>
    <row r="199">
      <c r="A199" s="25" t="n"/>
      <c r="B199" s="11" t="n"/>
      <c r="C199" s="24" t="n"/>
      <c r="D199" s="11" t="n"/>
      <c r="E199" s="11" t="n"/>
      <c r="F199">
        <f>IF(B199="","",IFERROR(INDEX(Categories!$B$5:$B$44,MATCH(B199,Categories!$A$5:$A$44,0)),"?"))</f>
        <v/>
      </c>
      <c r="G199">
        <f>IF(A199="","",MONTH(A199))</f>
        <v/>
      </c>
    </row>
    <row r="200">
      <c r="A200" s="25" t="n"/>
      <c r="B200" s="11" t="n"/>
      <c r="C200" s="24" t="n"/>
      <c r="D200" s="11" t="n"/>
      <c r="E200" s="11" t="n"/>
      <c r="F200">
        <f>IF(B200="","",IFERROR(INDEX(Categories!$B$5:$B$44,MATCH(B200,Categories!$A$5:$A$44,0)),"?"))</f>
        <v/>
      </c>
      <c r="G200">
        <f>IF(A200="","",MONTH(A200))</f>
        <v/>
      </c>
    </row>
    <row r="201">
      <c r="A201" s="25" t="n"/>
      <c r="B201" s="11" t="n"/>
      <c r="C201" s="24" t="n"/>
      <c r="D201" s="11" t="n"/>
      <c r="E201" s="11" t="n"/>
      <c r="F201">
        <f>IF(B201="","",IFERROR(INDEX(Categories!$B$5:$B$44,MATCH(B201,Categories!$A$5:$A$44,0)),"?"))</f>
        <v/>
      </c>
      <c r="G201">
        <f>IF(A201="","",MONTH(A201))</f>
        <v/>
      </c>
    </row>
    <row r="202">
      <c r="A202" s="25" t="n"/>
      <c r="B202" s="11" t="n"/>
      <c r="C202" s="24" t="n"/>
      <c r="D202" s="11" t="n"/>
      <c r="E202" s="11" t="n"/>
      <c r="F202">
        <f>IF(B202="","",IFERROR(INDEX(Categories!$B$5:$B$44,MATCH(B202,Categories!$A$5:$A$44,0)),"?"))</f>
        <v/>
      </c>
      <c r="G202">
        <f>IF(A202="","",MONTH(A202))</f>
        <v/>
      </c>
    </row>
    <row r="203">
      <c r="A203" s="25" t="n"/>
      <c r="B203" s="11" t="n"/>
      <c r="C203" s="24" t="n"/>
      <c r="D203" s="11" t="n"/>
      <c r="E203" s="11" t="n"/>
      <c r="F203">
        <f>IF(B203="","",IFERROR(INDEX(Categories!$B$5:$B$44,MATCH(B203,Categories!$A$5:$A$44,0)),"?"))</f>
        <v/>
      </c>
      <c r="G203">
        <f>IF(A203="","",MONTH(A203))</f>
        <v/>
      </c>
    </row>
    <row r="204">
      <c r="A204" s="25" t="n"/>
      <c r="B204" s="11" t="n"/>
      <c r="C204" s="24" t="n"/>
      <c r="D204" s="11" t="n"/>
      <c r="E204" s="11" t="n"/>
      <c r="F204">
        <f>IF(B204="","",IFERROR(INDEX(Categories!$B$5:$B$44,MATCH(B204,Categories!$A$5:$A$44,0)),"?"))</f>
        <v/>
      </c>
      <c r="G204">
        <f>IF(A204="","",MONTH(A204))</f>
        <v/>
      </c>
    </row>
    <row r="205">
      <c r="A205" s="25" t="n"/>
      <c r="B205" s="11" t="n"/>
      <c r="C205" s="24" t="n"/>
      <c r="D205" s="11" t="n"/>
      <c r="E205" s="11" t="n"/>
      <c r="F205">
        <f>IF(B205="","",IFERROR(INDEX(Categories!$B$5:$B$44,MATCH(B205,Categories!$A$5:$A$44,0)),"?"))</f>
        <v/>
      </c>
      <c r="G205">
        <f>IF(A205="","",MONTH(A205))</f>
        <v/>
      </c>
    </row>
    <row r="206">
      <c r="A206" s="25" t="n"/>
      <c r="B206" s="11" t="n"/>
      <c r="C206" s="24" t="n"/>
      <c r="D206" s="11" t="n"/>
      <c r="E206" s="11" t="n"/>
      <c r="F206">
        <f>IF(B206="","",IFERROR(INDEX(Categories!$B$5:$B$44,MATCH(B206,Categories!$A$5:$A$44,0)),"?"))</f>
        <v/>
      </c>
      <c r="G206">
        <f>IF(A206="","",MONTH(A206))</f>
        <v/>
      </c>
    </row>
    <row r="207">
      <c r="A207" s="25" t="n"/>
      <c r="B207" s="11" t="n"/>
      <c r="C207" s="24" t="n"/>
      <c r="D207" s="11" t="n"/>
      <c r="E207" s="11" t="n"/>
      <c r="F207">
        <f>IF(B207="","",IFERROR(INDEX(Categories!$B$5:$B$44,MATCH(B207,Categories!$A$5:$A$44,0)),"?"))</f>
        <v/>
      </c>
      <c r="G207">
        <f>IF(A207="","",MONTH(A207))</f>
        <v/>
      </c>
    </row>
    <row r="208">
      <c r="A208" s="25" t="n"/>
      <c r="B208" s="11" t="n"/>
      <c r="C208" s="24" t="n"/>
      <c r="D208" s="11" t="n"/>
      <c r="E208" s="11" t="n"/>
      <c r="F208">
        <f>IF(B208="","",IFERROR(INDEX(Categories!$B$5:$B$44,MATCH(B208,Categories!$A$5:$A$44,0)),"?"))</f>
        <v/>
      </c>
      <c r="G208">
        <f>IF(A208="","",MONTH(A208))</f>
        <v/>
      </c>
    </row>
    <row r="209">
      <c r="A209" s="25" t="n"/>
      <c r="B209" s="11" t="n"/>
      <c r="C209" s="24" t="n"/>
      <c r="D209" s="11" t="n"/>
      <c r="E209" s="11" t="n"/>
      <c r="F209">
        <f>IF(B209="","",IFERROR(INDEX(Categories!$B$5:$B$44,MATCH(B209,Categories!$A$5:$A$44,0)),"?"))</f>
        <v/>
      </c>
      <c r="G209">
        <f>IF(A209="","",MONTH(A209))</f>
        <v/>
      </c>
    </row>
    <row r="210">
      <c r="A210" s="25" t="n"/>
      <c r="B210" s="11" t="n"/>
      <c r="C210" s="24" t="n"/>
      <c r="D210" s="11" t="n"/>
      <c r="E210" s="11" t="n"/>
      <c r="F210">
        <f>IF(B210="","",IFERROR(INDEX(Categories!$B$5:$B$44,MATCH(B210,Categories!$A$5:$A$44,0)),"?"))</f>
        <v/>
      </c>
      <c r="G210">
        <f>IF(A210="","",MONTH(A210))</f>
        <v/>
      </c>
    </row>
    <row r="211">
      <c r="A211" s="25" t="n"/>
      <c r="B211" s="11" t="n"/>
      <c r="C211" s="24" t="n"/>
      <c r="D211" s="11" t="n"/>
      <c r="E211" s="11" t="n"/>
      <c r="F211">
        <f>IF(B211="","",IFERROR(INDEX(Categories!$B$5:$B$44,MATCH(B211,Categories!$A$5:$A$44,0)),"?"))</f>
        <v/>
      </c>
      <c r="G211">
        <f>IF(A211="","",MONTH(A211))</f>
        <v/>
      </c>
    </row>
    <row r="212">
      <c r="A212" s="25" t="n"/>
      <c r="B212" s="11" t="n"/>
      <c r="C212" s="24" t="n"/>
      <c r="D212" s="11" t="n"/>
      <c r="E212" s="11" t="n"/>
      <c r="F212">
        <f>IF(B212="","",IFERROR(INDEX(Categories!$B$5:$B$44,MATCH(B212,Categories!$A$5:$A$44,0)),"?"))</f>
        <v/>
      </c>
      <c r="G212">
        <f>IF(A212="","",MONTH(A212))</f>
        <v/>
      </c>
    </row>
    <row r="213">
      <c r="A213" s="25" t="n"/>
      <c r="B213" s="11" t="n"/>
      <c r="C213" s="24" t="n"/>
      <c r="D213" s="11" t="n"/>
      <c r="E213" s="11" t="n"/>
      <c r="F213">
        <f>IF(B213="","",IFERROR(INDEX(Categories!$B$5:$B$44,MATCH(B213,Categories!$A$5:$A$44,0)),"?"))</f>
        <v/>
      </c>
      <c r="G213">
        <f>IF(A213="","",MONTH(A213))</f>
        <v/>
      </c>
    </row>
    <row r="214">
      <c r="A214" s="25" t="n"/>
      <c r="B214" s="11" t="n"/>
      <c r="C214" s="24" t="n"/>
      <c r="D214" s="11" t="n"/>
      <c r="E214" s="11" t="n"/>
      <c r="F214">
        <f>IF(B214="","",IFERROR(INDEX(Categories!$B$5:$B$44,MATCH(B214,Categories!$A$5:$A$44,0)),"?"))</f>
        <v/>
      </c>
      <c r="G214">
        <f>IF(A214="","",MONTH(A214))</f>
        <v/>
      </c>
    </row>
    <row r="215">
      <c r="A215" s="25" t="n"/>
      <c r="B215" s="11" t="n"/>
      <c r="C215" s="24" t="n"/>
      <c r="D215" s="11" t="n"/>
      <c r="E215" s="11" t="n"/>
      <c r="F215">
        <f>IF(B215="","",IFERROR(INDEX(Categories!$B$5:$B$44,MATCH(B215,Categories!$A$5:$A$44,0)),"?"))</f>
        <v/>
      </c>
      <c r="G215">
        <f>IF(A215="","",MONTH(A215))</f>
        <v/>
      </c>
    </row>
    <row r="216">
      <c r="A216" s="25" t="n"/>
      <c r="B216" s="11" t="n"/>
      <c r="C216" s="24" t="n"/>
      <c r="D216" s="11" t="n"/>
      <c r="E216" s="11" t="n"/>
      <c r="F216">
        <f>IF(B216="","",IFERROR(INDEX(Categories!$B$5:$B$44,MATCH(B216,Categories!$A$5:$A$44,0)),"?"))</f>
        <v/>
      </c>
      <c r="G216">
        <f>IF(A216="","",MONTH(A216))</f>
        <v/>
      </c>
    </row>
    <row r="217">
      <c r="A217" s="25" t="n"/>
      <c r="B217" s="11" t="n"/>
      <c r="C217" s="24" t="n"/>
      <c r="D217" s="11" t="n"/>
      <c r="E217" s="11" t="n"/>
      <c r="F217">
        <f>IF(B217="","",IFERROR(INDEX(Categories!$B$5:$B$44,MATCH(B217,Categories!$A$5:$A$44,0)),"?"))</f>
        <v/>
      </c>
      <c r="G217">
        <f>IF(A217="","",MONTH(A217))</f>
        <v/>
      </c>
    </row>
    <row r="218">
      <c r="A218" s="25" t="n"/>
      <c r="B218" s="11" t="n"/>
      <c r="C218" s="24" t="n"/>
      <c r="D218" s="11" t="n"/>
      <c r="E218" s="11" t="n"/>
      <c r="F218">
        <f>IF(B218="","",IFERROR(INDEX(Categories!$B$5:$B$44,MATCH(B218,Categories!$A$5:$A$44,0)),"?"))</f>
        <v/>
      </c>
      <c r="G218">
        <f>IF(A218="","",MONTH(A218))</f>
        <v/>
      </c>
    </row>
    <row r="219">
      <c r="A219" s="25" t="n"/>
      <c r="B219" s="11" t="n"/>
      <c r="C219" s="24" t="n"/>
      <c r="D219" s="11" t="n"/>
      <c r="E219" s="11" t="n"/>
      <c r="F219">
        <f>IF(B219="","",IFERROR(INDEX(Categories!$B$5:$B$44,MATCH(B219,Categories!$A$5:$A$44,0)),"?"))</f>
        <v/>
      </c>
      <c r="G219">
        <f>IF(A219="","",MONTH(A219))</f>
        <v/>
      </c>
    </row>
    <row r="220">
      <c r="A220" s="25" t="n"/>
      <c r="B220" s="11" t="n"/>
      <c r="C220" s="24" t="n"/>
      <c r="D220" s="11" t="n"/>
      <c r="E220" s="11" t="n"/>
      <c r="F220">
        <f>IF(B220="","",IFERROR(INDEX(Categories!$B$5:$B$44,MATCH(B220,Categories!$A$5:$A$44,0)),"?"))</f>
        <v/>
      </c>
      <c r="G220">
        <f>IF(A220="","",MONTH(A220))</f>
        <v/>
      </c>
    </row>
    <row r="221">
      <c r="A221" s="25" t="n"/>
      <c r="B221" s="11" t="n"/>
      <c r="C221" s="24" t="n"/>
      <c r="D221" s="11" t="n"/>
      <c r="E221" s="11" t="n"/>
      <c r="F221">
        <f>IF(B221="","",IFERROR(INDEX(Categories!$B$5:$B$44,MATCH(B221,Categories!$A$5:$A$44,0)),"?"))</f>
        <v/>
      </c>
      <c r="G221">
        <f>IF(A221="","",MONTH(A221))</f>
        <v/>
      </c>
    </row>
    <row r="222">
      <c r="A222" s="25" t="n"/>
      <c r="B222" s="11" t="n"/>
      <c r="C222" s="24" t="n"/>
      <c r="D222" s="11" t="n"/>
      <c r="E222" s="11" t="n"/>
      <c r="F222">
        <f>IF(B222="","",IFERROR(INDEX(Categories!$B$5:$B$44,MATCH(B222,Categories!$A$5:$A$44,0)),"?"))</f>
        <v/>
      </c>
      <c r="G222">
        <f>IF(A222="","",MONTH(A222))</f>
        <v/>
      </c>
    </row>
    <row r="223">
      <c r="A223" s="25" t="n"/>
      <c r="B223" s="11" t="n"/>
      <c r="C223" s="24" t="n"/>
      <c r="D223" s="11" t="n"/>
      <c r="E223" s="11" t="n"/>
      <c r="F223">
        <f>IF(B223="","",IFERROR(INDEX(Categories!$B$5:$B$44,MATCH(B223,Categories!$A$5:$A$44,0)),"?"))</f>
        <v/>
      </c>
      <c r="G223">
        <f>IF(A223="","",MONTH(A223))</f>
        <v/>
      </c>
    </row>
    <row r="224">
      <c r="A224" s="25" t="n"/>
      <c r="B224" s="11" t="n"/>
      <c r="C224" s="24" t="n"/>
      <c r="D224" s="11" t="n"/>
      <c r="E224" s="11" t="n"/>
      <c r="F224">
        <f>IF(B224="","",IFERROR(INDEX(Categories!$B$5:$B$44,MATCH(B224,Categories!$A$5:$A$44,0)),"?"))</f>
        <v/>
      </c>
      <c r="G224">
        <f>IF(A224="","",MONTH(A224))</f>
        <v/>
      </c>
    </row>
    <row r="225">
      <c r="A225" s="25" t="n"/>
      <c r="B225" s="11" t="n"/>
      <c r="C225" s="24" t="n"/>
      <c r="D225" s="11" t="n"/>
      <c r="E225" s="11" t="n"/>
      <c r="F225">
        <f>IF(B225="","",IFERROR(INDEX(Categories!$B$5:$B$44,MATCH(B225,Categories!$A$5:$A$44,0)),"?"))</f>
        <v/>
      </c>
      <c r="G225">
        <f>IF(A225="","",MONTH(A225))</f>
        <v/>
      </c>
    </row>
    <row r="226">
      <c r="A226" s="25" t="n"/>
      <c r="B226" s="11" t="n"/>
      <c r="C226" s="24" t="n"/>
      <c r="D226" s="11" t="n"/>
      <c r="E226" s="11" t="n"/>
      <c r="F226">
        <f>IF(B226="","",IFERROR(INDEX(Categories!$B$5:$B$44,MATCH(B226,Categories!$A$5:$A$44,0)),"?"))</f>
        <v/>
      </c>
      <c r="G226">
        <f>IF(A226="","",MONTH(A226))</f>
        <v/>
      </c>
    </row>
    <row r="227">
      <c r="A227" s="25" t="n"/>
      <c r="B227" s="11" t="n"/>
      <c r="C227" s="24" t="n"/>
      <c r="D227" s="11" t="n"/>
      <c r="E227" s="11" t="n"/>
      <c r="F227">
        <f>IF(B227="","",IFERROR(INDEX(Categories!$B$5:$B$44,MATCH(B227,Categories!$A$5:$A$44,0)),"?"))</f>
        <v/>
      </c>
      <c r="G227">
        <f>IF(A227="","",MONTH(A227))</f>
        <v/>
      </c>
    </row>
    <row r="228">
      <c r="A228" s="25" t="n"/>
      <c r="B228" s="11" t="n"/>
      <c r="C228" s="24" t="n"/>
      <c r="D228" s="11" t="n"/>
      <c r="E228" s="11" t="n"/>
      <c r="F228">
        <f>IF(B228="","",IFERROR(INDEX(Categories!$B$5:$B$44,MATCH(B228,Categories!$A$5:$A$44,0)),"?"))</f>
        <v/>
      </c>
      <c r="G228">
        <f>IF(A228="","",MONTH(A228))</f>
        <v/>
      </c>
    </row>
    <row r="229">
      <c r="A229" s="25" t="n"/>
      <c r="B229" s="11" t="n"/>
      <c r="C229" s="24" t="n"/>
      <c r="D229" s="11" t="n"/>
      <c r="E229" s="11" t="n"/>
      <c r="F229">
        <f>IF(B229="","",IFERROR(INDEX(Categories!$B$5:$B$44,MATCH(B229,Categories!$A$5:$A$44,0)),"?"))</f>
        <v/>
      </c>
      <c r="G229">
        <f>IF(A229="","",MONTH(A229))</f>
        <v/>
      </c>
    </row>
    <row r="230">
      <c r="A230" s="25" t="n"/>
      <c r="B230" s="11" t="n"/>
      <c r="C230" s="24" t="n"/>
      <c r="D230" s="11" t="n"/>
      <c r="E230" s="11" t="n"/>
      <c r="F230">
        <f>IF(B230="","",IFERROR(INDEX(Categories!$B$5:$B$44,MATCH(B230,Categories!$A$5:$A$44,0)),"?"))</f>
        <v/>
      </c>
      <c r="G230">
        <f>IF(A230="","",MONTH(A230))</f>
        <v/>
      </c>
    </row>
    <row r="231">
      <c r="A231" s="25" t="n"/>
      <c r="B231" s="11" t="n"/>
      <c r="C231" s="24" t="n"/>
      <c r="D231" s="11" t="n"/>
      <c r="E231" s="11" t="n"/>
      <c r="F231">
        <f>IF(B231="","",IFERROR(INDEX(Categories!$B$5:$B$44,MATCH(B231,Categories!$A$5:$A$44,0)),"?"))</f>
        <v/>
      </c>
      <c r="G231">
        <f>IF(A231="","",MONTH(A231))</f>
        <v/>
      </c>
    </row>
    <row r="232">
      <c r="A232" s="25" t="n"/>
      <c r="B232" s="11" t="n"/>
      <c r="C232" s="24" t="n"/>
      <c r="D232" s="11" t="n"/>
      <c r="E232" s="11" t="n"/>
      <c r="F232">
        <f>IF(B232="","",IFERROR(INDEX(Categories!$B$5:$B$44,MATCH(B232,Categories!$A$5:$A$44,0)),"?"))</f>
        <v/>
      </c>
      <c r="G232">
        <f>IF(A232="","",MONTH(A232))</f>
        <v/>
      </c>
    </row>
    <row r="233">
      <c r="A233" s="25" t="n"/>
      <c r="B233" s="11" t="n"/>
      <c r="C233" s="24" t="n"/>
      <c r="D233" s="11" t="n"/>
      <c r="E233" s="11" t="n"/>
      <c r="F233">
        <f>IF(B233="","",IFERROR(INDEX(Categories!$B$5:$B$44,MATCH(B233,Categories!$A$5:$A$44,0)),"?"))</f>
        <v/>
      </c>
      <c r="G233">
        <f>IF(A233="","",MONTH(A233))</f>
        <v/>
      </c>
    </row>
    <row r="234">
      <c r="A234" s="25" t="n"/>
      <c r="B234" s="11" t="n"/>
      <c r="C234" s="24" t="n"/>
      <c r="D234" s="11" t="n"/>
      <c r="E234" s="11" t="n"/>
      <c r="F234">
        <f>IF(B234="","",IFERROR(INDEX(Categories!$B$5:$B$44,MATCH(B234,Categories!$A$5:$A$44,0)),"?"))</f>
        <v/>
      </c>
      <c r="G234">
        <f>IF(A234="","",MONTH(A234))</f>
        <v/>
      </c>
    </row>
    <row r="235">
      <c r="A235" s="25" t="n"/>
      <c r="B235" s="11" t="n"/>
      <c r="C235" s="24" t="n"/>
      <c r="D235" s="11" t="n"/>
      <c r="E235" s="11" t="n"/>
      <c r="F235">
        <f>IF(B235="","",IFERROR(INDEX(Categories!$B$5:$B$44,MATCH(B235,Categories!$A$5:$A$44,0)),"?"))</f>
        <v/>
      </c>
      <c r="G235">
        <f>IF(A235="","",MONTH(A235))</f>
        <v/>
      </c>
    </row>
    <row r="236">
      <c r="A236" s="25" t="n"/>
      <c r="B236" s="11" t="n"/>
      <c r="C236" s="24" t="n"/>
      <c r="D236" s="11" t="n"/>
      <c r="E236" s="11" t="n"/>
      <c r="F236">
        <f>IF(B236="","",IFERROR(INDEX(Categories!$B$5:$B$44,MATCH(B236,Categories!$A$5:$A$44,0)),"?"))</f>
        <v/>
      </c>
      <c r="G236">
        <f>IF(A236="","",MONTH(A236))</f>
        <v/>
      </c>
    </row>
    <row r="237">
      <c r="A237" s="25" t="n"/>
      <c r="B237" s="11" t="n"/>
      <c r="C237" s="24" t="n"/>
      <c r="D237" s="11" t="n"/>
      <c r="E237" s="11" t="n"/>
      <c r="F237">
        <f>IF(B237="","",IFERROR(INDEX(Categories!$B$5:$B$44,MATCH(B237,Categories!$A$5:$A$44,0)),"?"))</f>
        <v/>
      </c>
      <c r="G237">
        <f>IF(A237="","",MONTH(A237))</f>
        <v/>
      </c>
    </row>
    <row r="238">
      <c r="A238" s="25" t="n"/>
      <c r="B238" s="11" t="n"/>
      <c r="C238" s="24" t="n"/>
      <c r="D238" s="11" t="n"/>
      <c r="E238" s="11" t="n"/>
      <c r="F238">
        <f>IF(B238="","",IFERROR(INDEX(Categories!$B$5:$B$44,MATCH(B238,Categories!$A$5:$A$44,0)),"?"))</f>
        <v/>
      </c>
      <c r="G238">
        <f>IF(A238="","",MONTH(A238))</f>
        <v/>
      </c>
    </row>
    <row r="239">
      <c r="A239" s="25" t="n"/>
      <c r="B239" s="11" t="n"/>
      <c r="C239" s="24" t="n"/>
      <c r="D239" s="11" t="n"/>
      <c r="E239" s="11" t="n"/>
      <c r="F239">
        <f>IF(B239="","",IFERROR(INDEX(Categories!$B$5:$B$44,MATCH(B239,Categories!$A$5:$A$44,0)),"?"))</f>
        <v/>
      </c>
      <c r="G239">
        <f>IF(A239="","",MONTH(A239))</f>
        <v/>
      </c>
    </row>
    <row r="240">
      <c r="A240" s="25" t="n"/>
      <c r="B240" s="11" t="n"/>
      <c r="C240" s="24" t="n"/>
      <c r="D240" s="11" t="n"/>
      <c r="E240" s="11" t="n"/>
      <c r="F240">
        <f>IF(B240="","",IFERROR(INDEX(Categories!$B$5:$B$44,MATCH(B240,Categories!$A$5:$A$44,0)),"?"))</f>
        <v/>
      </c>
      <c r="G240">
        <f>IF(A240="","",MONTH(A240))</f>
        <v/>
      </c>
    </row>
    <row r="241">
      <c r="A241" s="25" t="n"/>
      <c r="B241" s="11" t="n"/>
      <c r="C241" s="24" t="n"/>
      <c r="D241" s="11" t="n"/>
      <c r="E241" s="11" t="n"/>
      <c r="F241">
        <f>IF(B241="","",IFERROR(INDEX(Categories!$B$5:$B$44,MATCH(B241,Categories!$A$5:$A$44,0)),"?"))</f>
        <v/>
      </c>
      <c r="G241">
        <f>IF(A241="","",MONTH(A241))</f>
        <v/>
      </c>
    </row>
    <row r="242">
      <c r="A242" s="25" t="n"/>
      <c r="B242" s="11" t="n"/>
      <c r="C242" s="24" t="n"/>
      <c r="D242" s="11" t="n"/>
      <c r="E242" s="11" t="n"/>
      <c r="F242">
        <f>IF(B242="","",IFERROR(INDEX(Categories!$B$5:$B$44,MATCH(B242,Categories!$A$5:$A$44,0)),"?"))</f>
        <v/>
      </c>
      <c r="G242">
        <f>IF(A242="","",MONTH(A242))</f>
        <v/>
      </c>
    </row>
    <row r="243">
      <c r="A243" s="25" t="n"/>
      <c r="B243" s="11" t="n"/>
      <c r="C243" s="24" t="n"/>
      <c r="D243" s="11" t="n"/>
      <c r="E243" s="11" t="n"/>
      <c r="F243">
        <f>IF(B243="","",IFERROR(INDEX(Categories!$B$5:$B$44,MATCH(B243,Categories!$A$5:$A$44,0)),"?"))</f>
        <v/>
      </c>
      <c r="G243">
        <f>IF(A243="","",MONTH(A243))</f>
        <v/>
      </c>
    </row>
    <row r="244">
      <c r="A244" s="25" t="n"/>
      <c r="B244" s="11" t="n"/>
      <c r="C244" s="24" t="n"/>
      <c r="D244" s="11" t="n"/>
      <c r="E244" s="11" t="n"/>
      <c r="F244">
        <f>IF(B244="","",IFERROR(INDEX(Categories!$B$5:$B$44,MATCH(B244,Categories!$A$5:$A$44,0)),"?"))</f>
        <v/>
      </c>
      <c r="G244">
        <f>IF(A244="","",MONTH(A244))</f>
        <v/>
      </c>
    </row>
    <row r="245">
      <c r="A245" s="25" t="n"/>
      <c r="B245" s="11" t="n"/>
      <c r="C245" s="24" t="n"/>
      <c r="D245" s="11" t="n"/>
      <c r="E245" s="11" t="n"/>
      <c r="F245">
        <f>IF(B245="","",IFERROR(INDEX(Categories!$B$5:$B$44,MATCH(B245,Categories!$A$5:$A$44,0)),"?"))</f>
        <v/>
      </c>
      <c r="G245">
        <f>IF(A245="","",MONTH(A245))</f>
        <v/>
      </c>
    </row>
    <row r="246">
      <c r="A246" s="25" t="n"/>
      <c r="B246" s="11" t="n"/>
      <c r="C246" s="24" t="n"/>
      <c r="D246" s="11" t="n"/>
      <c r="E246" s="11" t="n"/>
      <c r="F246">
        <f>IF(B246="","",IFERROR(INDEX(Categories!$B$5:$B$44,MATCH(B246,Categories!$A$5:$A$44,0)),"?"))</f>
        <v/>
      </c>
      <c r="G246">
        <f>IF(A246="","",MONTH(A246))</f>
        <v/>
      </c>
    </row>
    <row r="247">
      <c r="A247" s="25" t="n"/>
      <c r="B247" s="11" t="n"/>
      <c r="C247" s="24" t="n"/>
      <c r="D247" s="11" t="n"/>
      <c r="E247" s="11" t="n"/>
      <c r="F247">
        <f>IF(B247="","",IFERROR(INDEX(Categories!$B$5:$B$44,MATCH(B247,Categories!$A$5:$A$44,0)),"?"))</f>
        <v/>
      </c>
      <c r="G247">
        <f>IF(A247="","",MONTH(A247))</f>
        <v/>
      </c>
    </row>
    <row r="248">
      <c r="A248" s="25" t="n"/>
      <c r="B248" s="11" t="n"/>
      <c r="C248" s="24" t="n"/>
      <c r="D248" s="11" t="n"/>
      <c r="E248" s="11" t="n"/>
      <c r="F248">
        <f>IF(B248="","",IFERROR(INDEX(Categories!$B$5:$B$44,MATCH(B248,Categories!$A$5:$A$44,0)),"?"))</f>
        <v/>
      </c>
      <c r="G248">
        <f>IF(A248="","",MONTH(A248))</f>
        <v/>
      </c>
    </row>
    <row r="249">
      <c r="A249" s="25" t="n"/>
      <c r="B249" s="11" t="n"/>
      <c r="C249" s="24" t="n"/>
      <c r="D249" s="11" t="n"/>
      <c r="E249" s="11" t="n"/>
      <c r="F249">
        <f>IF(B249="","",IFERROR(INDEX(Categories!$B$5:$B$44,MATCH(B249,Categories!$A$5:$A$44,0)),"?"))</f>
        <v/>
      </c>
      <c r="G249">
        <f>IF(A249="","",MONTH(A249))</f>
        <v/>
      </c>
    </row>
    <row r="250">
      <c r="A250" s="25" t="n"/>
      <c r="B250" s="11" t="n"/>
      <c r="C250" s="24" t="n"/>
      <c r="D250" s="11" t="n"/>
      <c r="E250" s="11" t="n"/>
      <c r="F250">
        <f>IF(B250="","",IFERROR(INDEX(Categories!$B$5:$B$44,MATCH(B250,Categories!$A$5:$A$44,0)),"?"))</f>
        <v/>
      </c>
      <c r="G250">
        <f>IF(A250="","",MONTH(A250))</f>
        <v/>
      </c>
    </row>
    <row r="251">
      <c r="A251" s="25" t="n"/>
      <c r="B251" s="11" t="n"/>
      <c r="C251" s="24" t="n"/>
      <c r="D251" s="11" t="n"/>
      <c r="E251" s="11" t="n"/>
      <c r="F251">
        <f>IF(B251="","",IFERROR(INDEX(Categories!$B$5:$B$44,MATCH(B251,Categories!$A$5:$A$44,0)),"?"))</f>
        <v/>
      </c>
      <c r="G251">
        <f>IF(A251="","",MONTH(A251))</f>
        <v/>
      </c>
    </row>
    <row r="252">
      <c r="A252" s="25" t="n"/>
      <c r="B252" s="11" t="n"/>
      <c r="C252" s="24" t="n"/>
      <c r="D252" s="11" t="n"/>
      <c r="E252" s="11" t="n"/>
      <c r="F252">
        <f>IF(B252="","",IFERROR(INDEX(Categories!$B$5:$B$44,MATCH(B252,Categories!$A$5:$A$44,0)),"?"))</f>
        <v/>
      </c>
      <c r="G252">
        <f>IF(A252="","",MONTH(A252))</f>
        <v/>
      </c>
    </row>
    <row r="253">
      <c r="A253" s="25" t="n"/>
      <c r="B253" s="11" t="n"/>
      <c r="C253" s="24" t="n"/>
      <c r="D253" s="11" t="n"/>
      <c r="E253" s="11" t="n"/>
      <c r="F253">
        <f>IF(B253="","",IFERROR(INDEX(Categories!$B$5:$B$44,MATCH(B253,Categories!$A$5:$A$44,0)),"?"))</f>
        <v/>
      </c>
      <c r="G253">
        <f>IF(A253="","",MONTH(A253))</f>
        <v/>
      </c>
    </row>
    <row r="254">
      <c r="A254" s="25" t="n"/>
      <c r="B254" s="11" t="n"/>
      <c r="C254" s="24" t="n"/>
      <c r="D254" s="11" t="n"/>
      <c r="E254" s="11" t="n"/>
      <c r="F254">
        <f>IF(B254="","",IFERROR(INDEX(Categories!$B$5:$B$44,MATCH(B254,Categories!$A$5:$A$44,0)),"?"))</f>
        <v/>
      </c>
      <c r="G254">
        <f>IF(A254="","",MONTH(A254))</f>
        <v/>
      </c>
    </row>
    <row r="255">
      <c r="A255" s="25" t="n"/>
      <c r="B255" s="11" t="n"/>
      <c r="C255" s="24" t="n"/>
      <c r="D255" s="11" t="n"/>
      <c r="E255" s="11" t="n"/>
      <c r="F255">
        <f>IF(B255="","",IFERROR(INDEX(Categories!$B$5:$B$44,MATCH(B255,Categories!$A$5:$A$44,0)),"?"))</f>
        <v/>
      </c>
      <c r="G255">
        <f>IF(A255="","",MONTH(A255))</f>
        <v/>
      </c>
    </row>
    <row r="256">
      <c r="A256" s="25" t="n"/>
      <c r="B256" s="11" t="n"/>
      <c r="C256" s="24" t="n"/>
      <c r="D256" s="11" t="n"/>
      <c r="E256" s="11" t="n"/>
      <c r="F256">
        <f>IF(B256="","",IFERROR(INDEX(Categories!$B$5:$B$44,MATCH(B256,Categories!$A$5:$A$44,0)),"?"))</f>
        <v/>
      </c>
      <c r="G256">
        <f>IF(A256="","",MONTH(A256))</f>
        <v/>
      </c>
    </row>
    <row r="257">
      <c r="A257" s="25" t="n"/>
      <c r="B257" s="11" t="n"/>
      <c r="C257" s="24" t="n"/>
      <c r="D257" s="11" t="n"/>
      <c r="E257" s="11" t="n"/>
      <c r="F257">
        <f>IF(B257="","",IFERROR(INDEX(Categories!$B$5:$B$44,MATCH(B257,Categories!$A$5:$A$44,0)),"?"))</f>
        <v/>
      </c>
      <c r="G257">
        <f>IF(A257="","",MONTH(A257))</f>
        <v/>
      </c>
    </row>
    <row r="258">
      <c r="A258" s="25" t="n"/>
      <c r="B258" s="11" t="n"/>
      <c r="C258" s="24" t="n"/>
      <c r="D258" s="11" t="n"/>
      <c r="E258" s="11" t="n"/>
      <c r="F258">
        <f>IF(B258="","",IFERROR(INDEX(Categories!$B$5:$B$44,MATCH(B258,Categories!$A$5:$A$44,0)),"?"))</f>
        <v/>
      </c>
      <c r="G258">
        <f>IF(A258="","",MONTH(A258))</f>
        <v/>
      </c>
    </row>
    <row r="259">
      <c r="A259" s="25" t="n"/>
      <c r="B259" s="11" t="n"/>
      <c r="C259" s="24" t="n"/>
      <c r="D259" s="11" t="n"/>
      <c r="E259" s="11" t="n"/>
      <c r="F259">
        <f>IF(B259="","",IFERROR(INDEX(Categories!$B$5:$B$44,MATCH(B259,Categories!$A$5:$A$44,0)),"?"))</f>
        <v/>
      </c>
      <c r="G259">
        <f>IF(A259="","",MONTH(A259))</f>
        <v/>
      </c>
    </row>
    <row r="260">
      <c r="A260" s="25" t="n"/>
      <c r="B260" s="11" t="n"/>
      <c r="C260" s="24" t="n"/>
      <c r="D260" s="11" t="n"/>
      <c r="E260" s="11" t="n"/>
      <c r="F260">
        <f>IF(B260="","",IFERROR(INDEX(Categories!$B$5:$B$44,MATCH(B260,Categories!$A$5:$A$44,0)),"?"))</f>
        <v/>
      </c>
      <c r="G260">
        <f>IF(A260="","",MONTH(A260))</f>
        <v/>
      </c>
    </row>
    <row r="261">
      <c r="A261" s="25" t="n"/>
      <c r="B261" s="11" t="n"/>
      <c r="C261" s="24" t="n"/>
      <c r="D261" s="11" t="n"/>
      <c r="E261" s="11" t="n"/>
      <c r="F261">
        <f>IF(B261="","",IFERROR(INDEX(Categories!$B$5:$B$44,MATCH(B261,Categories!$A$5:$A$44,0)),"?"))</f>
        <v/>
      </c>
      <c r="G261">
        <f>IF(A261="","",MONTH(A261))</f>
        <v/>
      </c>
    </row>
    <row r="262">
      <c r="A262" s="25" t="n"/>
      <c r="B262" s="11" t="n"/>
      <c r="C262" s="24" t="n"/>
      <c r="D262" s="11" t="n"/>
      <c r="E262" s="11" t="n"/>
      <c r="F262">
        <f>IF(B262="","",IFERROR(INDEX(Categories!$B$5:$B$44,MATCH(B262,Categories!$A$5:$A$44,0)),"?"))</f>
        <v/>
      </c>
      <c r="G262">
        <f>IF(A262="","",MONTH(A262))</f>
        <v/>
      </c>
    </row>
    <row r="263">
      <c r="A263" s="25" t="n"/>
      <c r="B263" s="11" t="n"/>
      <c r="C263" s="24" t="n"/>
      <c r="D263" s="11" t="n"/>
      <c r="E263" s="11" t="n"/>
      <c r="F263">
        <f>IF(B263="","",IFERROR(INDEX(Categories!$B$5:$B$44,MATCH(B263,Categories!$A$5:$A$44,0)),"?"))</f>
        <v/>
      </c>
      <c r="G263">
        <f>IF(A263="","",MONTH(A263))</f>
        <v/>
      </c>
    </row>
    <row r="264">
      <c r="A264" s="25" t="n"/>
      <c r="B264" s="11" t="n"/>
      <c r="C264" s="24" t="n"/>
      <c r="D264" s="11" t="n"/>
      <c r="E264" s="11" t="n"/>
      <c r="F264">
        <f>IF(B264="","",IFERROR(INDEX(Categories!$B$5:$B$44,MATCH(B264,Categories!$A$5:$A$44,0)),"?"))</f>
        <v/>
      </c>
      <c r="G264">
        <f>IF(A264="","",MONTH(A264))</f>
        <v/>
      </c>
    </row>
    <row r="265">
      <c r="A265" s="25" t="n"/>
      <c r="B265" s="11" t="n"/>
      <c r="C265" s="24" t="n"/>
      <c r="D265" s="11" t="n"/>
      <c r="E265" s="11" t="n"/>
      <c r="F265">
        <f>IF(B265="","",IFERROR(INDEX(Categories!$B$5:$B$44,MATCH(B265,Categories!$A$5:$A$44,0)),"?"))</f>
        <v/>
      </c>
      <c r="G265">
        <f>IF(A265="","",MONTH(A265))</f>
        <v/>
      </c>
    </row>
    <row r="266">
      <c r="A266" s="25" t="n"/>
      <c r="B266" s="11" t="n"/>
      <c r="C266" s="24" t="n"/>
      <c r="D266" s="11" t="n"/>
      <c r="E266" s="11" t="n"/>
      <c r="F266">
        <f>IF(B266="","",IFERROR(INDEX(Categories!$B$5:$B$44,MATCH(B266,Categories!$A$5:$A$44,0)),"?"))</f>
        <v/>
      </c>
      <c r="G266">
        <f>IF(A266="","",MONTH(A266))</f>
        <v/>
      </c>
    </row>
    <row r="267">
      <c r="A267" s="25" t="n"/>
      <c r="B267" s="11" t="n"/>
      <c r="C267" s="24" t="n"/>
      <c r="D267" s="11" t="n"/>
      <c r="E267" s="11" t="n"/>
      <c r="F267">
        <f>IF(B267="","",IFERROR(INDEX(Categories!$B$5:$B$44,MATCH(B267,Categories!$A$5:$A$44,0)),"?"))</f>
        <v/>
      </c>
      <c r="G267">
        <f>IF(A267="","",MONTH(A267))</f>
        <v/>
      </c>
    </row>
    <row r="268">
      <c r="A268" s="25" t="n"/>
      <c r="B268" s="11" t="n"/>
      <c r="C268" s="24" t="n"/>
      <c r="D268" s="11" t="n"/>
      <c r="E268" s="11" t="n"/>
      <c r="F268">
        <f>IF(B268="","",IFERROR(INDEX(Categories!$B$5:$B$44,MATCH(B268,Categories!$A$5:$A$44,0)),"?"))</f>
        <v/>
      </c>
      <c r="G268">
        <f>IF(A268="","",MONTH(A268))</f>
        <v/>
      </c>
    </row>
    <row r="269">
      <c r="A269" s="25" t="n"/>
      <c r="B269" s="11" t="n"/>
      <c r="C269" s="24" t="n"/>
      <c r="D269" s="11" t="n"/>
      <c r="E269" s="11" t="n"/>
      <c r="F269">
        <f>IF(B269="","",IFERROR(INDEX(Categories!$B$5:$B$44,MATCH(B269,Categories!$A$5:$A$44,0)),"?"))</f>
        <v/>
      </c>
      <c r="G269">
        <f>IF(A269="","",MONTH(A269))</f>
        <v/>
      </c>
    </row>
    <row r="270">
      <c r="A270" s="25" t="n"/>
      <c r="B270" s="11" t="n"/>
      <c r="C270" s="24" t="n"/>
      <c r="D270" s="11" t="n"/>
      <c r="E270" s="11" t="n"/>
      <c r="F270">
        <f>IF(B270="","",IFERROR(INDEX(Categories!$B$5:$B$44,MATCH(B270,Categories!$A$5:$A$44,0)),"?"))</f>
        <v/>
      </c>
      <c r="G270">
        <f>IF(A270="","",MONTH(A270))</f>
        <v/>
      </c>
    </row>
    <row r="271">
      <c r="A271" s="25" t="n"/>
      <c r="B271" s="11" t="n"/>
      <c r="C271" s="24" t="n"/>
      <c r="D271" s="11" t="n"/>
      <c r="E271" s="11" t="n"/>
      <c r="F271">
        <f>IF(B271="","",IFERROR(INDEX(Categories!$B$5:$B$44,MATCH(B271,Categories!$A$5:$A$44,0)),"?"))</f>
        <v/>
      </c>
      <c r="G271">
        <f>IF(A271="","",MONTH(A271))</f>
        <v/>
      </c>
    </row>
    <row r="272">
      <c r="A272" s="25" t="n"/>
      <c r="B272" s="11" t="n"/>
      <c r="C272" s="24" t="n"/>
      <c r="D272" s="11" t="n"/>
      <c r="E272" s="11" t="n"/>
      <c r="F272">
        <f>IF(B272="","",IFERROR(INDEX(Categories!$B$5:$B$44,MATCH(B272,Categories!$A$5:$A$44,0)),"?"))</f>
        <v/>
      </c>
      <c r="G272">
        <f>IF(A272="","",MONTH(A272))</f>
        <v/>
      </c>
    </row>
    <row r="273">
      <c r="A273" s="25" t="n"/>
      <c r="B273" s="11" t="n"/>
      <c r="C273" s="24" t="n"/>
      <c r="D273" s="11" t="n"/>
      <c r="E273" s="11" t="n"/>
      <c r="F273">
        <f>IF(B273="","",IFERROR(INDEX(Categories!$B$5:$B$44,MATCH(B273,Categories!$A$5:$A$44,0)),"?"))</f>
        <v/>
      </c>
      <c r="G273">
        <f>IF(A273="","",MONTH(A273))</f>
        <v/>
      </c>
    </row>
    <row r="274">
      <c r="A274" s="25" t="n"/>
      <c r="B274" s="11" t="n"/>
      <c r="C274" s="24" t="n"/>
      <c r="D274" s="11" t="n"/>
      <c r="E274" s="11" t="n"/>
      <c r="F274">
        <f>IF(B274="","",IFERROR(INDEX(Categories!$B$5:$B$44,MATCH(B274,Categories!$A$5:$A$44,0)),"?"))</f>
        <v/>
      </c>
      <c r="G274">
        <f>IF(A274="","",MONTH(A274))</f>
        <v/>
      </c>
    </row>
    <row r="275">
      <c r="A275" s="25" t="n"/>
      <c r="B275" s="11" t="n"/>
      <c r="C275" s="24" t="n"/>
      <c r="D275" s="11" t="n"/>
      <c r="E275" s="11" t="n"/>
      <c r="F275">
        <f>IF(B275="","",IFERROR(INDEX(Categories!$B$5:$B$44,MATCH(B275,Categories!$A$5:$A$44,0)),"?"))</f>
        <v/>
      </c>
      <c r="G275">
        <f>IF(A275="","",MONTH(A275))</f>
        <v/>
      </c>
    </row>
    <row r="276">
      <c r="A276" s="25" t="n"/>
      <c r="B276" s="11" t="n"/>
      <c r="C276" s="24" t="n"/>
      <c r="D276" s="11" t="n"/>
      <c r="E276" s="11" t="n"/>
      <c r="F276">
        <f>IF(B276="","",IFERROR(INDEX(Categories!$B$5:$B$44,MATCH(B276,Categories!$A$5:$A$44,0)),"?"))</f>
        <v/>
      </c>
      <c r="G276">
        <f>IF(A276="","",MONTH(A276))</f>
        <v/>
      </c>
    </row>
    <row r="277">
      <c r="A277" s="25" t="n"/>
      <c r="B277" s="11" t="n"/>
      <c r="C277" s="24" t="n"/>
      <c r="D277" s="11" t="n"/>
      <c r="E277" s="11" t="n"/>
      <c r="F277">
        <f>IF(B277="","",IFERROR(INDEX(Categories!$B$5:$B$44,MATCH(B277,Categories!$A$5:$A$44,0)),"?"))</f>
        <v/>
      </c>
      <c r="G277">
        <f>IF(A277="","",MONTH(A277))</f>
        <v/>
      </c>
    </row>
    <row r="278">
      <c r="A278" s="25" t="n"/>
      <c r="B278" s="11" t="n"/>
      <c r="C278" s="24" t="n"/>
      <c r="D278" s="11" t="n"/>
      <c r="E278" s="11" t="n"/>
      <c r="F278">
        <f>IF(B278="","",IFERROR(INDEX(Categories!$B$5:$B$44,MATCH(B278,Categories!$A$5:$A$44,0)),"?"))</f>
        <v/>
      </c>
      <c r="G278">
        <f>IF(A278="","",MONTH(A278))</f>
        <v/>
      </c>
    </row>
    <row r="279">
      <c r="A279" s="25" t="n"/>
      <c r="B279" s="11" t="n"/>
      <c r="C279" s="24" t="n"/>
      <c r="D279" s="11" t="n"/>
      <c r="E279" s="11" t="n"/>
      <c r="F279">
        <f>IF(B279="","",IFERROR(INDEX(Categories!$B$5:$B$44,MATCH(B279,Categories!$A$5:$A$44,0)),"?"))</f>
        <v/>
      </c>
      <c r="G279">
        <f>IF(A279="","",MONTH(A279))</f>
        <v/>
      </c>
    </row>
    <row r="280">
      <c r="A280" s="25" t="n"/>
      <c r="B280" s="11" t="n"/>
      <c r="C280" s="24" t="n"/>
      <c r="D280" s="11" t="n"/>
      <c r="E280" s="11" t="n"/>
      <c r="F280">
        <f>IF(B280="","",IFERROR(INDEX(Categories!$B$5:$B$44,MATCH(B280,Categories!$A$5:$A$44,0)),"?"))</f>
        <v/>
      </c>
      <c r="G280">
        <f>IF(A280="","",MONTH(A280))</f>
        <v/>
      </c>
    </row>
    <row r="281">
      <c r="A281" s="25" t="n"/>
      <c r="B281" s="11" t="n"/>
      <c r="C281" s="24" t="n"/>
      <c r="D281" s="11" t="n"/>
      <c r="E281" s="11" t="n"/>
      <c r="F281">
        <f>IF(B281="","",IFERROR(INDEX(Categories!$B$5:$B$44,MATCH(B281,Categories!$A$5:$A$44,0)),"?"))</f>
        <v/>
      </c>
      <c r="G281">
        <f>IF(A281="","",MONTH(A281))</f>
        <v/>
      </c>
    </row>
    <row r="282">
      <c r="A282" s="25" t="n"/>
      <c r="B282" s="11" t="n"/>
      <c r="C282" s="24" t="n"/>
      <c r="D282" s="11" t="n"/>
      <c r="E282" s="11" t="n"/>
      <c r="F282">
        <f>IF(B282="","",IFERROR(INDEX(Categories!$B$5:$B$44,MATCH(B282,Categories!$A$5:$A$44,0)),"?"))</f>
        <v/>
      </c>
      <c r="G282">
        <f>IF(A282="","",MONTH(A282))</f>
        <v/>
      </c>
    </row>
    <row r="283">
      <c r="A283" s="25" t="n"/>
      <c r="B283" s="11" t="n"/>
      <c r="C283" s="24" t="n"/>
      <c r="D283" s="11" t="n"/>
      <c r="E283" s="11" t="n"/>
      <c r="F283">
        <f>IF(B283="","",IFERROR(INDEX(Categories!$B$5:$B$44,MATCH(B283,Categories!$A$5:$A$44,0)),"?"))</f>
        <v/>
      </c>
      <c r="G283">
        <f>IF(A283="","",MONTH(A283))</f>
        <v/>
      </c>
    </row>
    <row r="284">
      <c r="A284" s="25" t="n"/>
      <c r="B284" s="11" t="n"/>
      <c r="C284" s="24" t="n"/>
      <c r="D284" s="11" t="n"/>
      <c r="E284" s="11" t="n"/>
      <c r="F284">
        <f>IF(B284="","",IFERROR(INDEX(Categories!$B$5:$B$44,MATCH(B284,Categories!$A$5:$A$44,0)),"?"))</f>
        <v/>
      </c>
      <c r="G284">
        <f>IF(A284="","",MONTH(A284))</f>
        <v/>
      </c>
    </row>
    <row r="285">
      <c r="A285" s="25" t="n"/>
      <c r="B285" s="11" t="n"/>
      <c r="C285" s="24" t="n"/>
      <c r="D285" s="11" t="n"/>
      <c r="E285" s="11" t="n"/>
      <c r="F285">
        <f>IF(B285="","",IFERROR(INDEX(Categories!$B$5:$B$44,MATCH(B285,Categories!$A$5:$A$44,0)),"?"))</f>
        <v/>
      </c>
      <c r="G285">
        <f>IF(A285="","",MONTH(A285))</f>
        <v/>
      </c>
    </row>
    <row r="286">
      <c r="A286" s="25" t="n"/>
      <c r="B286" s="11" t="n"/>
      <c r="C286" s="24" t="n"/>
      <c r="D286" s="11" t="n"/>
      <c r="E286" s="11" t="n"/>
      <c r="F286">
        <f>IF(B286="","",IFERROR(INDEX(Categories!$B$5:$B$44,MATCH(B286,Categories!$A$5:$A$44,0)),"?"))</f>
        <v/>
      </c>
      <c r="G286">
        <f>IF(A286="","",MONTH(A286))</f>
        <v/>
      </c>
    </row>
    <row r="287">
      <c r="A287" s="25" t="n"/>
      <c r="B287" s="11" t="n"/>
      <c r="C287" s="24" t="n"/>
      <c r="D287" s="11" t="n"/>
      <c r="E287" s="11" t="n"/>
      <c r="F287">
        <f>IF(B287="","",IFERROR(INDEX(Categories!$B$5:$B$44,MATCH(B287,Categories!$A$5:$A$44,0)),"?"))</f>
        <v/>
      </c>
      <c r="G287">
        <f>IF(A287="","",MONTH(A287))</f>
        <v/>
      </c>
    </row>
    <row r="288">
      <c r="A288" s="25" t="n"/>
      <c r="B288" s="11" t="n"/>
      <c r="C288" s="24" t="n"/>
      <c r="D288" s="11" t="n"/>
      <c r="E288" s="11" t="n"/>
      <c r="F288">
        <f>IF(B288="","",IFERROR(INDEX(Categories!$B$5:$B$44,MATCH(B288,Categories!$A$5:$A$44,0)),"?"))</f>
        <v/>
      </c>
      <c r="G288">
        <f>IF(A288="","",MONTH(A288))</f>
        <v/>
      </c>
    </row>
    <row r="289">
      <c r="A289" s="25" t="n"/>
      <c r="B289" s="11" t="n"/>
      <c r="C289" s="24" t="n"/>
      <c r="D289" s="11" t="n"/>
      <c r="E289" s="11" t="n"/>
      <c r="F289">
        <f>IF(B289="","",IFERROR(INDEX(Categories!$B$5:$B$44,MATCH(B289,Categories!$A$5:$A$44,0)),"?"))</f>
        <v/>
      </c>
      <c r="G289">
        <f>IF(A289="","",MONTH(A289))</f>
        <v/>
      </c>
    </row>
    <row r="290">
      <c r="A290" s="25" t="n"/>
      <c r="B290" s="11" t="n"/>
      <c r="C290" s="24" t="n"/>
      <c r="D290" s="11" t="n"/>
      <c r="E290" s="11" t="n"/>
      <c r="F290">
        <f>IF(B290="","",IFERROR(INDEX(Categories!$B$5:$B$44,MATCH(B290,Categories!$A$5:$A$44,0)),"?"))</f>
        <v/>
      </c>
      <c r="G290">
        <f>IF(A290="","",MONTH(A290))</f>
        <v/>
      </c>
    </row>
    <row r="291">
      <c r="A291" s="25" t="n"/>
      <c r="B291" s="11" t="n"/>
      <c r="C291" s="24" t="n"/>
      <c r="D291" s="11" t="n"/>
      <c r="E291" s="11" t="n"/>
      <c r="F291">
        <f>IF(B291="","",IFERROR(INDEX(Categories!$B$5:$B$44,MATCH(B291,Categories!$A$5:$A$44,0)),"?"))</f>
        <v/>
      </c>
      <c r="G291">
        <f>IF(A291="","",MONTH(A291))</f>
        <v/>
      </c>
    </row>
    <row r="292">
      <c r="A292" s="25" t="n"/>
      <c r="B292" s="11" t="n"/>
      <c r="C292" s="24" t="n"/>
      <c r="D292" s="11" t="n"/>
      <c r="E292" s="11" t="n"/>
      <c r="F292">
        <f>IF(B292="","",IFERROR(INDEX(Categories!$B$5:$B$44,MATCH(B292,Categories!$A$5:$A$44,0)),"?"))</f>
        <v/>
      </c>
      <c r="G292">
        <f>IF(A292="","",MONTH(A292))</f>
        <v/>
      </c>
    </row>
    <row r="293">
      <c r="A293" s="25" t="n"/>
      <c r="B293" s="11" t="n"/>
      <c r="C293" s="24" t="n"/>
      <c r="D293" s="11" t="n"/>
      <c r="E293" s="11" t="n"/>
      <c r="F293">
        <f>IF(B293="","",IFERROR(INDEX(Categories!$B$5:$B$44,MATCH(B293,Categories!$A$5:$A$44,0)),"?"))</f>
        <v/>
      </c>
      <c r="G293">
        <f>IF(A293="","",MONTH(A293))</f>
        <v/>
      </c>
    </row>
    <row r="294">
      <c r="A294" s="25" t="n"/>
      <c r="B294" s="11" t="n"/>
      <c r="C294" s="24" t="n"/>
      <c r="D294" s="11" t="n"/>
      <c r="E294" s="11" t="n"/>
      <c r="F294">
        <f>IF(B294="","",IFERROR(INDEX(Categories!$B$5:$B$44,MATCH(B294,Categories!$A$5:$A$44,0)),"?"))</f>
        <v/>
      </c>
      <c r="G294">
        <f>IF(A294="","",MONTH(A294))</f>
        <v/>
      </c>
    </row>
    <row r="295">
      <c r="A295" s="25" t="n"/>
      <c r="B295" s="11" t="n"/>
      <c r="C295" s="24" t="n"/>
      <c r="D295" s="11" t="n"/>
      <c r="E295" s="11" t="n"/>
      <c r="F295">
        <f>IF(B295="","",IFERROR(INDEX(Categories!$B$5:$B$44,MATCH(B295,Categories!$A$5:$A$44,0)),"?"))</f>
        <v/>
      </c>
      <c r="G295">
        <f>IF(A295="","",MONTH(A295))</f>
        <v/>
      </c>
    </row>
    <row r="296">
      <c r="A296" s="25" t="n"/>
      <c r="B296" s="11" t="n"/>
      <c r="C296" s="24" t="n"/>
      <c r="D296" s="11" t="n"/>
      <c r="E296" s="11" t="n"/>
      <c r="F296">
        <f>IF(B296="","",IFERROR(INDEX(Categories!$B$5:$B$44,MATCH(B296,Categories!$A$5:$A$44,0)),"?"))</f>
        <v/>
      </c>
      <c r="G296">
        <f>IF(A296="","",MONTH(A296))</f>
        <v/>
      </c>
    </row>
    <row r="297">
      <c r="A297" s="25" t="n"/>
      <c r="B297" s="11" t="n"/>
      <c r="C297" s="24" t="n"/>
      <c r="D297" s="11" t="n"/>
      <c r="E297" s="11" t="n"/>
      <c r="F297">
        <f>IF(B297="","",IFERROR(INDEX(Categories!$B$5:$B$44,MATCH(B297,Categories!$A$5:$A$44,0)),"?"))</f>
        <v/>
      </c>
      <c r="G297">
        <f>IF(A297="","",MONTH(A297))</f>
        <v/>
      </c>
    </row>
    <row r="298">
      <c r="A298" s="25" t="n"/>
      <c r="B298" s="11" t="n"/>
      <c r="C298" s="24" t="n"/>
      <c r="D298" s="11" t="n"/>
      <c r="E298" s="11" t="n"/>
      <c r="F298">
        <f>IF(B298="","",IFERROR(INDEX(Categories!$B$5:$B$44,MATCH(B298,Categories!$A$5:$A$44,0)),"?"))</f>
        <v/>
      </c>
      <c r="G298">
        <f>IF(A298="","",MONTH(A298))</f>
        <v/>
      </c>
    </row>
    <row r="299">
      <c r="A299" s="25" t="n"/>
      <c r="B299" s="11" t="n"/>
      <c r="C299" s="24" t="n"/>
      <c r="D299" s="11" t="n"/>
      <c r="E299" s="11" t="n"/>
      <c r="F299">
        <f>IF(B299="","",IFERROR(INDEX(Categories!$B$5:$B$44,MATCH(B299,Categories!$A$5:$A$44,0)),"?"))</f>
        <v/>
      </c>
      <c r="G299">
        <f>IF(A299="","",MONTH(A299))</f>
        <v/>
      </c>
    </row>
    <row r="300">
      <c r="A300" s="25" t="n"/>
      <c r="B300" s="11" t="n"/>
      <c r="C300" s="24" t="n"/>
      <c r="D300" s="11" t="n"/>
      <c r="E300" s="11" t="n"/>
      <c r="F300">
        <f>IF(B300="","",IFERROR(INDEX(Categories!$B$5:$B$44,MATCH(B300,Categories!$A$5:$A$44,0)),"?"))</f>
        <v/>
      </c>
      <c r="G300">
        <f>IF(A300="","",MONTH(A300))</f>
        <v/>
      </c>
    </row>
    <row r="301">
      <c r="A301" s="25" t="n"/>
      <c r="B301" s="11" t="n"/>
      <c r="C301" s="24" t="n"/>
      <c r="D301" s="11" t="n"/>
      <c r="E301" s="11" t="n"/>
      <c r="F301">
        <f>IF(B301="","",IFERROR(INDEX(Categories!$B$5:$B$44,MATCH(B301,Categories!$A$5:$A$44,0)),"?"))</f>
        <v/>
      </c>
      <c r="G301">
        <f>IF(A301="","",MONTH(A301))</f>
        <v/>
      </c>
    </row>
    <row r="302">
      <c r="A302" s="25" t="n"/>
      <c r="B302" s="11" t="n"/>
      <c r="C302" s="24" t="n"/>
      <c r="D302" s="11" t="n"/>
      <c r="E302" s="11" t="n"/>
      <c r="F302">
        <f>IF(B302="","",IFERROR(INDEX(Categories!$B$5:$B$44,MATCH(B302,Categories!$A$5:$A$44,0)),"?"))</f>
        <v/>
      </c>
      <c r="G302">
        <f>IF(A302="","",MONTH(A302))</f>
        <v/>
      </c>
    </row>
    <row r="303">
      <c r="A303" s="25" t="n"/>
      <c r="B303" s="11" t="n"/>
      <c r="C303" s="24" t="n"/>
      <c r="D303" s="11" t="n"/>
      <c r="E303" s="11" t="n"/>
      <c r="F303">
        <f>IF(B303="","",IFERROR(INDEX(Categories!$B$5:$B$44,MATCH(B303,Categories!$A$5:$A$44,0)),"?"))</f>
        <v/>
      </c>
      <c r="G303">
        <f>IF(A303="","",MONTH(A303))</f>
        <v/>
      </c>
    </row>
    <row r="304">
      <c r="A304" s="25" t="n"/>
      <c r="B304" s="11" t="n"/>
      <c r="C304" s="24" t="n"/>
      <c r="D304" s="11" t="n"/>
      <c r="E304" s="11" t="n"/>
      <c r="F304">
        <f>IF(B304="","",IFERROR(INDEX(Categories!$B$5:$B$44,MATCH(B304,Categories!$A$5:$A$44,0)),"?"))</f>
        <v/>
      </c>
      <c r="G304">
        <f>IF(A304="","",MONTH(A304))</f>
        <v/>
      </c>
    </row>
    <row r="305">
      <c r="A305" s="25" t="n"/>
      <c r="B305" s="11" t="n"/>
      <c r="C305" s="24" t="n"/>
      <c r="D305" s="11" t="n"/>
      <c r="E305" s="11" t="n"/>
      <c r="F305">
        <f>IF(B305="","",IFERROR(INDEX(Categories!$B$5:$B$44,MATCH(B305,Categories!$A$5:$A$44,0)),"?"))</f>
        <v/>
      </c>
      <c r="G305">
        <f>IF(A305="","",MONTH(A305))</f>
        <v/>
      </c>
    </row>
    <row r="306">
      <c r="A306" s="25" t="n"/>
      <c r="B306" s="11" t="n"/>
      <c r="C306" s="24" t="n"/>
      <c r="D306" s="11" t="n"/>
      <c r="E306" s="11" t="n"/>
      <c r="F306">
        <f>IF(B306="","",IFERROR(INDEX(Categories!$B$5:$B$44,MATCH(B306,Categories!$A$5:$A$44,0)),"?"))</f>
        <v/>
      </c>
      <c r="G306">
        <f>IF(A306="","",MONTH(A306))</f>
        <v/>
      </c>
    </row>
    <row r="307">
      <c r="A307" s="25" t="n"/>
      <c r="B307" s="11" t="n"/>
      <c r="C307" s="24" t="n"/>
      <c r="D307" s="11" t="n"/>
      <c r="E307" s="11" t="n"/>
      <c r="F307">
        <f>IF(B307="","",IFERROR(INDEX(Categories!$B$5:$B$44,MATCH(B307,Categories!$A$5:$A$44,0)),"?"))</f>
        <v/>
      </c>
      <c r="G307">
        <f>IF(A307="","",MONTH(A307))</f>
        <v/>
      </c>
    </row>
    <row r="308">
      <c r="A308" s="25" t="n"/>
      <c r="B308" s="11" t="n"/>
      <c r="C308" s="24" t="n"/>
      <c r="D308" s="11" t="n"/>
      <c r="E308" s="11" t="n"/>
      <c r="F308">
        <f>IF(B308="","",IFERROR(INDEX(Categories!$B$5:$B$44,MATCH(B308,Categories!$A$5:$A$44,0)),"?"))</f>
        <v/>
      </c>
      <c r="G308">
        <f>IF(A308="","",MONTH(A308))</f>
        <v/>
      </c>
    </row>
    <row r="309">
      <c r="A309" s="25" t="n"/>
      <c r="B309" s="11" t="n"/>
      <c r="C309" s="24" t="n"/>
      <c r="D309" s="11" t="n"/>
      <c r="E309" s="11" t="n"/>
      <c r="F309">
        <f>IF(B309="","",IFERROR(INDEX(Categories!$B$5:$B$44,MATCH(B309,Categories!$A$5:$A$44,0)),"?"))</f>
        <v/>
      </c>
      <c r="G309">
        <f>IF(A309="","",MONTH(A309))</f>
        <v/>
      </c>
    </row>
    <row r="310">
      <c r="A310" s="25" t="n"/>
      <c r="B310" s="11" t="n"/>
      <c r="C310" s="24" t="n"/>
      <c r="D310" s="11" t="n"/>
      <c r="E310" s="11" t="n"/>
      <c r="F310">
        <f>IF(B310="","",IFERROR(INDEX(Categories!$B$5:$B$44,MATCH(B310,Categories!$A$5:$A$44,0)),"?"))</f>
        <v/>
      </c>
      <c r="G310">
        <f>IF(A310="","",MONTH(A310))</f>
        <v/>
      </c>
    </row>
    <row r="311">
      <c r="A311" s="25" t="n"/>
      <c r="B311" s="11" t="n"/>
      <c r="C311" s="24" t="n"/>
      <c r="D311" s="11" t="n"/>
      <c r="E311" s="11" t="n"/>
      <c r="F311">
        <f>IF(B311="","",IFERROR(INDEX(Categories!$B$5:$B$44,MATCH(B311,Categories!$A$5:$A$44,0)),"?"))</f>
        <v/>
      </c>
      <c r="G311">
        <f>IF(A311="","",MONTH(A311))</f>
        <v/>
      </c>
    </row>
    <row r="312">
      <c r="A312" s="25" t="n"/>
      <c r="B312" s="11" t="n"/>
      <c r="C312" s="24" t="n"/>
      <c r="D312" s="11" t="n"/>
      <c r="E312" s="11" t="n"/>
      <c r="F312">
        <f>IF(B312="","",IFERROR(INDEX(Categories!$B$5:$B$44,MATCH(B312,Categories!$A$5:$A$44,0)),"?"))</f>
        <v/>
      </c>
      <c r="G312">
        <f>IF(A312="","",MONTH(A312))</f>
        <v/>
      </c>
    </row>
    <row r="313">
      <c r="A313" s="25" t="n"/>
      <c r="B313" s="11" t="n"/>
      <c r="C313" s="24" t="n"/>
      <c r="D313" s="11" t="n"/>
      <c r="E313" s="11" t="n"/>
      <c r="F313">
        <f>IF(B313="","",IFERROR(INDEX(Categories!$B$5:$B$44,MATCH(B313,Categories!$A$5:$A$44,0)),"?"))</f>
        <v/>
      </c>
      <c r="G313">
        <f>IF(A313="","",MONTH(A313))</f>
        <v/>
      </c>
    </row>
    <row r="314">
      <c r="A314" s="25" t="n"/>
      <c r="B314" s="11" t="n"/>
      <c r="C314" s="24" t="n"/>
      <c r="D314" s="11" t="n"/>
      <c r="E314" s="11" t="n"/>
      <c r="F314">
        <f>IF(B314="","",IFERROR(INDEX(Categories!$B$5:$B$44,MATCH(B314,Categories!$A$5:$A$44,0)),"?"))</f>
        <v/>
      </c>
      <c r="G314">
        <f>IF(A314="","",MONTH(A314))</f>
        <v/>
      </c>
    </row>
    <row r="315">
      <c r="A315" s="25" t="n"/>
      <c r="B315" s="11" t="n"/>
      <c r="C315" s="24" t="n"/>
      <c r="D315" s="11" t="n"/>
      <c r="E315" s="11" t="n"/>
      <c r="F315">
        <f>IF(B315="","",IFERROR(INDEX(Categories!$B$5:$B$44,MATCH(B315,Categories!$A$5:$A$44,0)),"?"))</f>
        <v/>
      </c>
      <c r="G315">
        <f>IF(A315="","",MONTH(A315))</f>
        <v/>
      </c>
    </row>
    <row r="316">
      <c r="A316" s="25" t="n"/>
      <c r="B316" s="11" t="n"/>
      <c r="C316" s="24" t="n"/>
      <c r="D316" s="11" t="n"/>
      <c r="E316" s="11" t="n"/>
      <c r="F316">
        <f>IF(B316="","",IFERROR(INDEX(Categories!$B$5:$B$44,MATCH(B316,Categories!$A$5:$A$44,0)),"?"))</f>
        <v/>
      </c>
      <c r="G316">
        <f>IF(A316="","",MONTH(A316))</f>
        <v/>
      </c>
    </row>
    <row r="317">
      <c r="A317" s="25" t="n"/>
      <c r="B317" s="11" t="n"/>
      <c r="C317" s="24" t="n"/>
      <c r="D317" s="11" t="n"/>
      <c r="E317" s="11" t="n"/>
      <c r="F317">
        <f>IF(B317="","",IFERROR(INDEX(Categories!$B$5:$B$44,MATCH(B317,Categories!$A$5:$A$44,0)),"?"))</f>
        <v/>
      </c>
      <c r="G317">
        <f>IF(A317="","",MONTH(A317))</f>
        <v/>
      </c>
    </row>
    <row r="318">
      <c r="A318" s="25" t="n"/>
      <c r="B318" s="11" t="n"/>
      <c r="C318" s="24" t="n"/>
      <c r="D318" s="11" t="n"/>
      <c r="E318" s="11" t="n"/>
      <c r="F318">
        <f>IF(B318="","",IFERROR(INDEX(Categories!$B$5:$B$44,MATCH(B318,Categories!$A$5:$A$44,0)),"?"))</f>
        <v/>
      </c>
      <c r="G318">
        <f>IF(A318="","",MONTH(A318))</f>
        <v/>
      </c>
    </row>
    <row r="319">
      <c r="A319" s="25" t="n"/>
      <c r="B319" s="11" t="n"/>
      <c r="C319" s="24" t="n"/>
      <c r="D319" s="11" t="n"/>
      <c r="E319" s="11" t="n"/>
      <c r="F319">
        <f>IF(B319="","",IFERROR(INDEX(Categories!$B$5:$B$44,MATCH(B319,Categories!$A$5:$A$44,0)),"?"))</f>
        <v/>
      </c>
      <c r="G319">
        <f>IF(A319="","",MONTH(A319))</f>
        <v/>
      </c>
    </row>
    <row r="320">
      <c r="A320" s="25" t="n"/>
      <c r="B320" s="11" t="n"/>
      <c r="C320" s="24" t="n"/>
      <c r="D320" s="11" t="n"/>
      <c r="E320" s="11" t="n"/>
      <c r="F320">
        <f>IF(B320="","",IFERROR(INDEX(Categories!$B$5:$B$44,MATCH(B320,Categories!$A$5:$A$44,0)),"?"))</f>
        <v/>
      </c>
      <c r="G320">
        <f>IF(A320="","",MONTH(A320))</f>
        <v/>
      </c>
    </row>
    <row r="321">
      <c r="A321" s="25" t="n"/>
      <c r="B321" s="11" t="n"/>
      <c r="C321" s="24" t="n"/>
      <c r="D321" s="11" t="n"/>
      <c r="E321" s="11" t="n"/>
      <c r="F321">
        <f>IF(B321="","",IFERROR(INDEX(Categories!$B$5:$B$44,MATCH(B321,Categories!$A$5:$A$44,0)),"?"))</f>
        <v/>
      </c>
      <c r="G321">
        <f>IF(A321="","",MONTH(A321))</f>
        <v/>
      </c>
    </row>
    <row r="322">
      <c r="A322" s="25" t="n"/>
      <c r="B322" s="11" t="n"/>
      <c r="C322" s="24" t="n"/>
      <c r="D322" s="11" t="n"/>
      <c r="E322" s="11" t="n"/>
      <c r="F322">
        <f>IF(B322="","",IFERROR(INDEX(Categories!$B$5:$B$44,MATCH(B322,Categories!$A$5:$A$44,0)),"?"))</f>
        <v/>
      </c>
      <c r="G322">
        <f>IF(A322="","",MONTH(A322))</f>
        <v/>
      </c>
    </row>
    <row r="323">
      <c r="A323" s="25" t="n"/>
      <c r="B323" s="11" t="n"/>
      <c r="C323" s="24" t="n"/>
      <c r="D323" s="11" t="n"/>
      <c r="E323" s="11" t="n"/>
      <c r="F323">
        <f>IF(B323="","",IFERROR(INDEX(Categories!$B$5:$B$44,MATCH(B323,Categories!$A$5:$A$44,0)),"?"))</f>
        <v/>
      </c>
      <c r="G323">
        <f>IF(A323="","",MONTH(A323))</f>
        <v/>
      </c>
    </row>
    <row r="324">
      <c r="A324" s="25" t="n"/>
      <c r="B324" s="11" t="n"/>
      <c r="C324" s="24" t="n"/>
      <c r="D324" s="11" t="n"/>
      <c r="E324" s="11" t="n"/>
      <c r="F324">
        <f>IF(B324="","",IFERROR(INDEX(Categories!$B$5:$B$44,MATCH(B324,Categories!$A$5:$A$44,0)),"?"))</f>
        <v/>
      </c>
      <c r="G324">
        <f>IF(A324="","",MONTH(A324))</f>
        <v/>
      </c>
    </row>
    <row r="325">
      <c r="A325" s="25" t="n"/>
      <c r="B325" s="11" t="n"/>
      <c r="C325" s="24" t="n"/>
      <c r="D325" s="11" t="n"/>
      <c r="E325" s="11" t="n"/>
      <c r="F325">
        <f>IF(B325="","",IFERROR(INDEX(Categories!$B$5:$B$44,MATCH(B325,Categories!$A$5:$A$44,0)),"?"))</f>
        <v/>
      </c>
      <c r="G325">
        <f>IF(A325="","",MONTH(A325))</f>
        <v/>
      </c>
    </row>
    <row r="326">
      <c r="A326" s="25" t="n"/>
      <c r="B326" s="11" t="n"/>
      <c r="C326" s="24" t="n"/>
      <c r="D326" s="11" t="n"/>
      <c r="E326" s="11" t="n"/>
      <c r="F326">
        <f>IF(B326="","",IFERROR(INDEX(Categories!$B$5:$B$44,MATCH(B326,Categories!$A$5:$A$44,0)),"?"))</f>
        <v/>
      </c>
      <c r="G326">
        <f>IF(A326="","",MONTH(A326))</f>
        <v/>
      </c>
    </row>
    <row r="327">
      <c r="A327" s="25" t="n"/>
      <c r="B327" s="11" t="n"/>
      <c r="C327" s="24" t="n"/>
      <c r="D327" s="11" t="n"/>
      <c r="E327" s="11" t="n"/>
      <c r="F327">
        <f>IF(B327="","",IFERROR(INDEX(Categories!$B$5:$B$44,MATCH(B327,Categories!$A$5:$A$44,0)),"?"))</f>
        <v/>
      </c>
      <c r="G327">
        <f>IF(A327="","",MONTH(A327))</f>
        <v/>
      </c>
    </row>
    <row r="328">
      <c r="A328" s="25" t="n"/>
      <c r="B328" s="11" t="n"/>
      <c r="C328" s="24" t="n"/>
      <c r="D328" s="11" t="n"/>
      <c r="E328" s="11" t="n"/>
      <c r="F328">
        <f>IF(B328="","",IFERROR(INDEX(Categories!$B$5:$B$44,MATCH(B328,Categories!$A$5:$A$44,0)),"?"))</f>
        <v/>
      </c>
      <c r="G328">
        <f>IF(A328="","",MONTH(A328))</f>
        <v/>
      </c>
    </row>
    <row r="329">
      <c r="A329" s="25" t="n"/>
      <c r="B329" s="11" t="n"/>
      <c r="C329" s="24" t="n"/>
      <c r="D329" s="11" t="n"/>
      <c r="E329" s="11" t="n"/>
      <c r="F329">
        <f>IF(B329="","",IFERROR(INDEX(Categories!$B$5:$B$44,MATCH(B329,Categories!$A$5:$A$44,0)),"?"))</f>
        <v/>
      </c>
      <c r="G329">
        <f>IF(A329="","",MONTH(A329))</f>
        <v/>
      </c>
    </row>
    <row r="330">
      <c r="A330" s="25" t="n"/>
      <c r="B330" s="11" t="n"/>
      <c r="C330" s="24" t="n"/>
      <c r="D330" s="11" t="n"/>
      <c r="E330" s="11" t="n"/>
      <c r="F330">
        <f>IF(B330="","",IFERROR(INDEX(Categories!$B$5:$B$44,MATCH(B330,Categories!$A$5:$A$44,0)),"?"))</f>
        <v/>
      </c>
      <c r="G330">
        <f>IF(A330="","",MONTH(A330))</f>
        <v/>
      </c>
    </row>
    <row r="331">
      <c r="A331" s="25" t="n"/>
      <c r="B331" s="11" t="n"/>
      <c r="C331" s="24" t="n"/>
      <c r="D331" s="11" t="n"/>
      <c r="E331" s="11" t="n"/>
      <c r="F331">
        <f>IF(B331="","",IFERROR(INDEX(Categories!$B$5:$B$44,MATCH(B331,Categories!$A$5:$A$44,0)),"?"))</f>
        <v/>
      </c>
      <c r="G331">
        <f>IF(A331="","",MONTH(A331))</f>
        <v/>
      </c>
    </row>
    <row r="332">
      <c r="A332" s="25" t="n"/>
      <c r="B332" s="11" t="n"/>
      <c r="C332" s="24" t="n"/>
      <c r="D332" s="11" t="n"/>
      <c r="E332" s="11" t="n"/>
      <c r="F332">
        <f>IF(B332="","",IFERROR(INDEX(Categories!$B$5:$B$44,MATCH(B332,Categories!$A$5:$A$44,0)),"?"))</f>
        <v/>
      </c>
      <c r="G332">
        <f>IF(A332="","",MONTH(A332))</f>
        <v/>
      </c>
    </row>
    <row r="333">
      <c r="A333" s="25" t="n"/>
      <c r="B333" s="11" t="n"/>
      <c r="C333" s="24" t="n"/>
      <c r="D333" s="11" t="n"/>
      <c r="E333" s="11" t="n"/>
      <c r="F333">
        <f>IF(B333="","",IFERROR(INDEX(Categories!$B$5:$B$44,MATCH(B333,Categories!$A$5:$A$44,0)),"?"))</f>
        <v/>
      </c>
      <c r="G333">
        <f>IF(A333="","",MONTH(A333))</f>
        <v/>
      </c>
    </row>
    <row r="334">
      <c r="A334" s="25" t="n"/>
      <c r="B334" s="11" t="n"/>
      <c r="C334" s="24" t="n"/>
      <c r="D334" s="11" t="n"/>
      <c r="E334" s="11" t="n"/>
      <c r="F334">
        <f>IF(B334="","",IFERROR(INDEX(Categories!$B$5:$B$44,MATCH(B334,Categories!$A$5:$A$44,0)),"?"))</f>
        <v/>
      </c>
      <c r="G334">
        <f>IF(A334="","",MONTH(A334))</f>
        <v/>
      </c>
    </row>
    <row r="335">
      <c r="A335" s="25" t="n"/>
      <c r="B335" s="11" t="n"/>
      <c r="C335" s="24" t="n"/>
      <c r="D335" s="11" t="n"/>
      <c r="E335" s="11" t="n"/>
      <c r="F335">
        <f>IF(B335="","",IFERROR(INDEX(Categories!$B$5:$B$44,MATCH(B335,Categories!$A$5:$A$44,0)),"?"))</f>
        <v/>
      </c>
      <c r="G335">
        <f>IF(A335="","",MONTH(A335))</f>
        <v/>
      </c>
    </row>
    <row r="336">
      <c r="A336" s="25" t="n"/>
      <c r="B336" s="11" t="n"/>
      <c r="C336" s="24" t="n"/>
      <c r="D336" s="11" t="n"/>
      <c r="E336" s="11" t="n"/>
      <c r="F336">
        <f>IF(B336="","",IFERROR(INDEX(Categories!$B$5:$B$44,MATCH(B336,Categories!$A$5:$A$44,0)),"?"))</f>
        <v/>
      </c>
      <c r="G336">
        <f>IF(A336="","",MONTH(A336))</f>
        <v/>
      </c>
    </row>
    <row r="337">
      <c r="A337" s="25" t="n"/>
      <c r="B337" s="11" t="n"/>
      <c r="C337" s="24" t="n"/>
      <c r="D337" s="11" t="n"/>
      <c r="E337" s="11" t="n"/>
      <c r="F337">
        <f>IF(B337="","",IFERROR(INDEX(Categories!$B$5:$B$44,MATCH(B337,Categories!$A$5:$A$44,0)),"?"))</f>
        <v/>
      </c>
      <c r="G337">
        <f>IF(A337="","",MONTH(A337))</f>
        <v/>
      </c>
    </row>
    <row r="338">
      <c r="A338" s="25" t="n"/>
      <c r="B338" s="11" t="n"/>
      <c r="C338" s="24" t="n"/>
      <c r="D338" s="11" t="n"/>
      <c r="E338" s="11" t="n"/>
      <c r="F338">
        <f>IF(B338="","",IFERROR(INDEX(Categories!$B$5:$B$44,MATCH(B338,Categories!$A$5:$A$44,0)),"?"))</f>
        <v/>
      </c>
      <c r="G338">
        <f>IF(A338="","",MONTH(A338))</f>
        <v/>
      </c>
    </row>
    <row r="339">
      <c r="A339" s="25" t="n"/>
      <c r="B339" s="11" t="n"/>
      <c r="C339" s="24" t="n"/>
      <c r="D339" s="11" t="n"/>
      <c r="E339" s="11" t="n"/>
      <c r="F339">
        <f>IF(B339="","",IFERROR(INDEX(Categories!$B$5:$B$44,MATCH(B339,Categories!$A$5:$A$44,0)),"?"))</f>
        <v/>
      </c>
      <c r="G339">
        <f>IF(A339="","",MONTH(A339))</f>
        <v/>
      </c>
    </row>
    <row r="340">
      <c r="A340" s="25" t="n"/>
      <c r="B340" s="11" t="n"/>
      <c r="C340" s="24" t="n"/>
      <c r="D340" s="11" t="n"/>
      <c r="E340" s="11" t="n"/>
      <c r="F340">
        <f>IF(B340="","",IFERROR(INDEX(Categories!$B$5:$B$44,MATCH(B340,Categories!$A$5:$A$44,0)),"?"))</f>
        <v/>
      </c>
      <c r="G340">
        <f>IF(A340="","",MONTH(A340))</f>
        <v/>
      </c>
    </row>
    <row r="341">
      <c r="A341" s="25" t="n"/>
      <c r="B341" s="11" t="n"/>
      <c r="C341" s="24" t="n"/>
      <c r="D341" s="11" t="n"/>
      <c r="E341" s="11" t="n"/>
      <c r="F341">
        <f>IF(B341="","",IFERROR(INDEX(Categories!$B$5:$B$44,MATCH(B341,Categories!$A$5:$A$44,0)),"?"))</f>
        <v/>
      </c>
      <c r="G341">
        <f>IF(A341="","",MONTH(A341))</f>
        <v/>
      </c>
    </row>
    <row r="342">
      <c r="A342" s="25" t="n"/>
      <c r="B342" s="11" t="n"/>
      <c r="C342" s="24" t="n"/>
      <c r="D342" s="11" t="n"/>
      <c r="E342" s="11" t="n"/>
      <c r="F342">
        <f>IF(B342="","",IFERROR(INDEX(Categories!$B$5:$B$44,MATCH(B342,Categories!$A$5:$A$44,0)),"?"))</f>
        <v/>
      </c>
      <c r="G342">
        <f>IF(A342="","",MONTH(A342))</f>
        <v/>
      </c>
    </row>
    <row r="343">
      <c r="A343" s="25" t="n"/>
      <c r="B343" s="11" t="n"/>
      <c r="C343" s="24" t="n"/>
      <c r="D343" s="11" t="n"/>
      <c r="E343" s="11" t="n"/>
      <c r="F343">
        <f>IF(B343="","",IFERROR(INDEX(Categories!$B$5:$B$44,MATCH(B343,Categories!$A$5:$A$44,0)),"?"))</f>
        <v/>
      </c>
      <c r="G343">
        <f>IF(A343="","",MONTH(A343))</f>
        <v/>
      </c>
    </row>
    <row r="344">
      <c r="A344" s="25" t="n"/>
      <c r="B344" s="11" t="n"/>
      <c r="C344" s="24" t="n"/>
      <c r="D344" s="11" t="n"/>
      <c r="E344" s="11" t="n"/>
      <c r="F344">
        <f>IF(B344="","",IFERROR(INDEX(Categories!$B$5:$B$44,MATCH(B344,Categories!$A$5:$A$44,0)),"?"))</f>
        <v/>
      </c>
      <c r="G344">
        <f>IF(A344="","",MONTH(A344))</f>
        <v/>
      </c>
    </row>
    <row r="345">
      <c r="A345" s="25" t="n"/>
      <c r="B345" s="11" t="n"/>
      <c r="C345" s="24" t="n"/>
      <c r="D345" s="11" t="n"/>
      <c r="E345" s="11" t="n"/>
      <c r="F345">
        <f>IF(B345="","",IFERROR(INDEX(Categories!$B$5:$B$44,MATCH(B345,Categories!$A$5:$A$44,0)),"?"))</f>
        <v/>
      </c>
      <c r="G345">
        <f>IF(A345="","",MONTH(A345))</f>
        <v/>
      </c>
    </row>
    <row r="346">
      <c r="A346" s="25" t="n"/>
      <c r="B346" s="11" t="n"/>
      <c r="C346" s="24" t="n"/>
      <c r="D346" s="11" t="n"/>
      <c r="E346" s="11" t="n"/>
      <c r="F346">
        <f>IF(B346="","",IFERROR(INDEX(Categories!$B$5:$B$44,MATCH(B346,Categories!$A$5:$A$44,0)),"?"))</f>
        <v/>
      </c>
      <c r="G346">
        <f>IF(A346="","",MONTH(A346))</f>
        <v/>
      </c>
    </row>
    <row r="347">
      <c r="A347" s="25" t="n"/>
      <c r="B347" s="11" t="n"/>
      <c r="C347" s="24" t="n"/>
      <c r="D347" s="11" t="n"/>
      <c r="E347" s="11" t="n"/>
      <c r="F347">
        <f>IF(B347="","",IFERROR(INDEX(Categories!$B$5:$B$44,MATCH(B347,Categories!$A$5:$A$44,0)),"?"))</f>
        <v/>
      </c>
      <c r="G347">
        <f>IF(A347="","",MONTH(A347))</f>
        <v/>
      </c>
    </row>
    <row r="348">
      <c r="A348" s="25" t="n"/>
      <c r="B348" s="11" t="n"/>
      <c r="C348" s="24" t="n"/>
      <c r="D348" s="11" t="n"/>
      <c r="E348" s="11" t="n"/>
      <c r="F348">
        <f>IF(B348="","",IFERROR(INDEX(Categories!$B$5:$B$44,MATCH(B348,Categories!$A$5:$A$44,0)),"?"))</f>
        <v/>
      </c>
      <c r="G348">
        <f>IF(A348="","",MONTH(A348))</f>
        <v/>
      </c>
    </row>
    <row r="349">
      <c r="A349" s="25" t="n"/>
      <c r="B349" s="11" t="n"/>
      <c r="C349" s="24" t="n"/>
      <c r="D349" s="11" t="n"/>
      <c r="E349" s="11" t="n"/>
      <c r="F349">
        <f>IF(B349="","",IFERROR(INDEX(Categories!$B$5:$B$44,MATCH(B349,Categories!$A$5:$A$44,0)),"?"))</f>
        <v/>
      </c>
      <c r="G349">
        <f>IF(A349="","",MONTH(A349))</f>
        <v/>
      </c>
    </row>
    <row r="350">
      <c r="A350" s="25" t="n"/>
      <c r="B350" s="11" t="n"/>
      <c r="C350" s="24" t="n"/>
      <c r="D350" s="11" t="n"/>
      <c r="E350" s="11" t="n"/>
      <c r="F350">
        <f>IF(B350="","",IFERROR(INDEX(Categories!$B$5:$B$44,MATCH(B350,Categories!$A$5:$A$44,0)),"?"))</f>
        <v/>
      </c>
      <c r="G350">
        <f>IF(A350="","",MONTH(A350))</f>
        <v/>
      </c>
    </row>
    <row r="351">
      <c r="A351" s="25" t="n"/>
      <c r="B351" s="11" t="n"/>
      <c r="C351" s="24" t="n"/>
      <c r="D351" s="11" t="n"/>
      <c r="E351" s="11" t="n"/>
      <c r="F351">
        <f>IF(B351="","",IFERROR(INDEX(Categories!$B$5:$B$44,MATCH(B351,Categories!$A$5:$A$44,0)),"?"))</f>
        <v/>
      </c>
      <c r="G351">
        <f>IF(A351="","",MONTH(A351))</f>
        <v/>
      </c>
    </row>
    <row r="352">
      <c r="A352" s="25" t="n"/>
      <c r="B352" s="11" t="n"/>
      <c r="C352" s="24" t="n"/>
      <c r="D352" s="11" t="n"/>
      <c r="E352" s="11" t="n"/>
      <c r="F352">
        <f>IF(B352="","",IFERROR(INDEX(Categories!$B$5:$B$44,MATCH(B352,Categories!$A$5:$A$44,0)),"?"))</f>
        <v/>
      </c>
      <c r="G352">
        <f>IF(A352="","",MONTH(A352))</f>
        <v/>
      </c>
    </row>
    <row r="353">
      <c r="A353" s="25" t="n"/>
      <c r="B353" s="11" t="n"/>
      <c r="C353" s="24" t="n"/>
      <c r="D353" s="11" t="n"/>
      <c r="E353" s="11" t="n"/>
      <c r="F353">
        <f>IF(B353="","",IFERROR(INDEX(Categories!$B$5:$B$44,MATCH(B353,Categories!$A$5:$A$44,0)),"?"))</f>
        <v/>
      </c>
      <c r="G353">
        <f>IF(A353="","",MONTH(A353))</f>
        <v/>
      </c>
    </row>
    <row r="354">
      <c r="A354" s="25" t="n"/>
      <c r="B354" s="11" t="n"/>
      <c r="C354" s="24" t="n"/>
      <c r="D354" s="11" t="n"/>
      <c r="E354" s="11" t="n"/>
      <c r="F354">
        <f>IF(B354="","",IFERROR(INDEX(Categories!$B$5:$B$44,MATCH(B354,Categories!$A$5:$A$44,0)),"?"))</f>
        <v/>
      </c>
      <c r="G354">
        <f>IF(A354="","",MONTH(A354))</f>
        <v/>
      </c>
    </row>
    <row r="355">
      <c r="A355" s="25" t="n"/>
      <c r="B355" s="11" t="n"/>
      <c r="C355" s="24" t="n"/>
      <c r="D355" s="11" t="n"/>
      <c r="E355" s="11" t="n"/>
      <c r="F355">
        <f>IF(B355="","",IFERROR(INDEX(Categories!$B$5:$B$44,MATCH(B355,Categories!$A$5:$A$44,0)),"?"))</f>
        <v/>
      </c>
      <c r="G355">
        <f>IF(A355="","",MONTH(A355))</f>
        <v/>
      </c>
    </row>
    <row r="356">
      <c r="A356" s="25" t="n"/>
      <c r="B356" s="11" t="n"/>
      <c r="C356" s="24" t="n"/>
      <c r="D356" s="11" t="n"/>
      <c r="E356" s="11" t="n"/>
      <c r="F356">
        <f>IF(B356="","",IFERROR(INDEX(Categories!$B$5:$B$44,MATCH(B356,Categories!$A$5:$A$44,0)),"?"))</f>
        <v/>
      </c>
      <c r="G356">
        <f>IF(A356="","",MONTH(A356))</f>
        <v/>
      </c>
    </row>
    <row r="357">
      <c r="A357" s="25" t="n"/>
      <c r="B357" s="11" t="n"/>
      <c r="C357" s="24" t="n"/>
      <c r="D357" s="11" t="n"/>
      <c r="E357" s="11" t="n"/>
      <c r="F357">
        <f>IF(B357="","",IFERROR(INDEX(Categories!$B$5:$B$44,MATCH(B357,Categories!$A$5:$A$44,0)),"?"))</f>
        <v/>
      </c>
      <c r="G357">
        <f>IF(A357="","",MONTH(A357))</f>
        <v/>
      </c>
    </row>
    <row r="358">
      <c r="A358" s="25" t="n"/>
      <c r="B358" s="11" t="n"/>
      <c r="C358" s="24" t="n"/>
      <c r="D358" s="11" t="n"/>
      <c r="E358" s="11" t="n"/>
      <c r="F358">
        <f>IF(B358="","",IFERROR(INDEX(Categories!$B$5:$B$44,MATCH(B358,Categories!$A$5:$A$44,0)),"?"))</f>
        <v/>
      </c>
      <c r="G358">
        <f>IF(A358="","",MONTH(A358))</f>
        <v/>
      </c>
    </row>
    <row r="359">
      <c r="A359" s="25" t="n"/>
      <c r="B359" s="11" t="n"/>
      <c r="C359" s="24" t="n"/>
      <c r="D359" s="11" t="n"/>
      <c r="E359" s="11" t="n"/>
      <c r="F359">
        <f>IF(B359="","",IFERROR(INDEX(Categories!$B$5:$B$44,MATCH(B359,Categories!$A$5:$A$44,0)),"?"))</f>
        <v/>
      </c>
      <c r="G359">
        <f>IF(A359="","",MONTH(A359))</f>
        <v/>
      </c>
    </row>
    <row r="360">
      <c r="A360" s="25" t="n"/>
      <c r="B360" s="11" t="n"/>
      <c r="C360" s="24" t="n"/>
      <c r="D360" s="11" t="n"/>
      <c r="E360" s="11" t="n"/>
      <c r="F360">
        <f>IF(B360="","",IFERROR(INDEX(Categories!$B$5:$B$44,MATCH(B360,Categories!$A$5:$A$44,0)),"?"))</f>
        <v/>
      </c>
      <c r="G360">
        <f>IF(A360="","",MONTH(A360))</f>
        <v/>
      </c>
    </row>
    <row r="361">
      <c r="A361" s="25" t="n"/>
      <c r="B361" s="11" t="n"/>
      <c r="C361" s="24" t="n"/>
      <c r="D361" s="11" t="n"/>
      <c r="E361" s="11" t="n"/>
      <c r="F361">
        <f>IF(B361="","",IFERROR(INDEX(Categories!$B$5:$B$44,MATCH(B361,Categories!$A$5:$A$44,0)),"?"))</f>
        <v/>
      </c>
      <c r="G361">
        <f>IF(A361="","",MONTH(A361))</f>
        <v/>
      </c>
    </row>
    <row r="362">
      <c r="A362" s="25" t="n"/>
      <c r="B362" s="11" t="n"/>
      <c r="C362" s="24" t="n"/>
      <c r="D362" s="11" t="n"/>
      <c r="E362" s="11" t="n"/>
      <c r="F362">
        <f>IF(B362="","",IFERROR(INDEX(Categories!$B$5:$B$44,MATCH(B362,Categories!$A$5:$A$44,0)),"?"))</f>
        <v/>
      </c>
      <c r="G362">
        <f>IF(A362="","",MONTH(A362))</f>
        <v/>
      </c>
    </row>
    <row r="363">
      <c r="A363" s="25" t="n"/>
      <c r="B363" s="11" t="n"/>
      <c r="C363" s="24" t="n"/>
      <c r="D363" s="11" t="n"/>
      <c r="E363" s="11" t="n"/>
      <c r="F363">
        <f>IF(B363="","",IFERROR(INDEX(Categories!$B$5:$B$44,MATCH(B363,Categories!$A$5:$A$44,0)),"?"))</f>
        <v/>
      </c>
      <c r="G363">
        <f>IF(A363="","",MONTH(A363))</f>
        <v/>
      </c>
    </row>
    <row r="364">
      <c r="A364" s="25" t="n"/>
      <c r="B364" s="11" t="n"/>
      <c r="C364" s="24" t="n"/>
      <c r="D364" s="11" t="n"/>
      <c r="E364" s="11" t="n"/>
      <c r="F364">
        <f>IF(B364="","",IFERROR(INDEX(Categories!$B$5:$B$44,MATCH(B364,Categories!$A$5:$A$44,0)),"?"))</f>
        <v/>
      </c>
      <c r="G364">
        <f>IF(A364="","",MONTH(A364))</f>
        <v/>
      </c>
    </row>
    <row r="365">
      <c r="A365" s="25" t="n"/>
      <c r="B365" s="11" t="n"/>
      <c r="C365" s="24" t="n"/>
      <c r="D365" s="11" t="n"/>
      <c r="E365" s="11" t="n"/>
      <c r="F365">
        <f>IF(B365="","",IFERROR(INDEX(Categories!$B$5:$B$44,MATCH(B365,Categories!$A$5:$A$44,0)),"?"))</f>
        <v/>
      </c>
      <c r="G365">
        <f>IF(A365="","",MONTH(A365))</f>
        <v/>
      </c>
    </row>
    <row r="366">
      <c r="A366" s="25" t="n"/>
      <c r="B366" s="11" t="n"/>
      <c r="C366" s="24" t="n"/>
      <c r="D366" s="11" t="n"/>
      <c r="E366" s="11" t="n"/>
      <c r="F366">
        <f>IF(B366="","",IFERROR(INDEX(Categories!$B$5:$B$44,MATCH(B366,Categories!$A$5:$A$44,0)),"?"))</f>
        <v/>
      </c>
      <c r="G366">
        <f>IF(A366="","",MONTH(A366))</f>
        <v/>
      </c>
    </row>
    <row r="367">
      <c r="A367" s="25" t="n"/>
      <c r="B367" s="11" t="n"/>
      <c r="C367" s="24" t="n"/>
      <c r="D367" s="11" t="n"/>
      <c r="E367" s="11" t="n"/>
      <c r="F367">
        <f>IF(B367="","",IFERROR(INDEX(Categories!$B$5:$B$44,MATCH(B367,Categories!$A$5:$A$44,0)),"?"))</f>
        <v/>
      </c>
      <c r="G367">
        <f>IF(A367="","",MONTH(A367))</f>
        <v/>
      </c>
    </row>
    <row r="368">
      <c r="A368" s="25" t="n"/>
      <c r="B368" s="11" t="n"/>
      <c r="C368" s="24" t="n"/>
      <c r="D368" s="11" t="n"/>
      <c r="E368" s="11" t="n"/>
      <c r="F368">
        <f>IF(B368="","",IFERROR(INDEX(Categories!$B$5:$B$44,MATCH(B368,Categories!$A$5:$A$44,0)),"?"))</f>
        <v/>
      </c>
      <c r="G368">
        <f>IF(A368="","",MONTH(A368))</f>
        <v/>
      </c>
    </row>
    <row r="369">
      <c r="A369" s="25" t="n"/>
      <c r="B369" s="11" t="n"/>
      <c r="C369" s="24" t="n"/>
      <c r="D369" s="11" t="n"/>
      <c r="E369" s="11" t="n"/>
      <c r="F369">
        <f>IF(B369="","",IFERROR(INDEX(Categories!$B$5:$B$44,MATCH(B369,Categories!$A$5:$A$44,0)),"?"))</f>
        <v/>
      </c>
      <c r="G369">
        <f>IF(A369="","",MONTH(A369))</f>
        <v/>
      </c>
    </row>
    <row r="370">
      <c r="A370" s="25" t="n"/>
      <c r="B370" s="11" t="n"/>
      <c r="C370" s="24" t="n"/>
      <c r="D370" s="11" t="n"/>
      <c r="E370" s="11" t="n"/>
      <c r="F370">
        <f>IF(B370="","",IFERROR(INDEX(Categories!$B$5:$B$44,MATCH(B370,Categories!$A$5:$A$44,0)),"?"))</f>
        <v/>
      </c>
      <c r="G370">
        <f>IF(A370="","",MONTH(A370))</f>
        <v/>
      </c>
    </row>
    <row r="371">
      <c r="A371" s="25" t="n"/>
      <c r="B371" s="11" t="n"/>
      <c r="C371" s="24" t="n"/>
      <c r="D371" s="11" t="n"/>
      <c r="E371" s="11" t="n"/>
      <c r="F371">
        <f>IF(B371="","",IFERROR(INDEX(Categories!$B$5:$B$44,MATCH(B371,Categories!$A$5:$A$44,0)),"?"))</f>
        <v/>
      </c>
      <c r="G371">
        <f>IF(A371="","",MONTH(A371))</f>
        <v/>
      </c>
    </row>
    <row r="372">
      <c r="A372" s="25" t="n"/>
      <c r="B372" s="11" t="n"/>
      <c r="C372" s="24" t="n"/>
      <c r="D372" s="11" t="n"/>
      <c r="E372" s="11" t="n"/>
      <c r="F372">
        <f>IF(B372="","",IFERROR(INDEX(Categories!$B$5:$B$44,MATCH(B372,Categories!$A$5:$A$44,0)),"?"))</f>
        <v/>
      </c>
      <c r="G372">
        <f>IF(A372="","",MONTH(A372))</f>
        <v/>
      </c>
    </row>
    <row r="373">
      <c r="A373" s="25" t="n"/>
      <c r="B373" s="11" t="n"/>
      <c r="C373" s="24" t="n"/>
      <c r="D373" s="11" t="n"/>
      <c r="E373" s="11" t="n"/>
      <c r="F373">
        <f>IF(B373="","",IFERROR(INDEX(Categories!$B$5:$B$44,MATCH(B373,Categories!$A$5:$A$44,0)),"?"))</f>
        <v/>
      </c>
      <c r="G373">
        <f>IF(A373="","",MONTH(A373))</f>
        <v/>
      </c>
    </row>
    <row r="374">
      <c r="A374" s="25" t="n"/>
      <c r="B374" s="11" t="n"/>
      <c r="C374" s="24" t="n"/>
      <c r="D374" s="11" t="n"/>
      <c r="E374" s="11" t="n"/>
      <c r="F374">
        <f>IF(B374="","",IFERROR(INDEX(Categories!$B$5:$B$44,MATCH(B374,Categories!$A$5:$A$44,0)),"?"))</f>
        <v/>
      </c>
      <c r="G374">
        <f>IF(A374="","",MONTH(A374))</f>
        <v/>
      </c>
    </row>
    <row r="375">
      <c r="A375" s="25" t="n"/>
      <c r="B375" s="11" t="n"/>
      <c r="C375" s="24" t="n"/>
      <c r="D375" s="11" t="n"/>
      <c r="E375" s="11" t="n"/>
      <c r="F375">
        <f>IF(B375="","",IFERROR(INDEX(Categories!$B$5:$B$44,MATCH(B375,Categories!$A$5:$A$44,0)),"?"))</f>
        <v/>
      </c>
      <c r="G375">
        <f>IF(A375="","",MONTH(A375))</f>
        <v/>
      </c>
    </row>
    <row r="376">
      <c r="A376" s="25" t="n"/>
      <c r="B376" s="11" t="n"/>
      <c r="C376" s="24" t="n"/>
      <c r="D376" s="11" t="n"/>
      <c r="E376" s="11" t="n"/>
      <c r="F376">
        <f>IF(B376="","",IFERROR(INDEX(Categories!$B$5:$B$44,MATCH(B376,Categories!$A$5:$A$44,0)),"?"))</f>
        <v/>
      </c>
      <c r="G376">
        <f>IF(A376="","",MONTH(A376))</f>
        <v/>
      </c>
    </row>
    <row r="377">
      <c r="A377" s="25" t="n"/>
      <c r="B377" s="11" t="n"/>
      <c r="C377" s="24" t="n"/>
      <c r="D377" s="11" t="n"/>
      <c r="E377" s="11" t="n"/>
      <c r="F377">
        <f>IF(B377="","",IFERROR(INDEX(Categories!$B$5:$B$44,MATCH(B377,Categories!$A$5:$A$44,0)),"?"))</f>
        <v/>
      </c>
      <c r="G377">
        <f>IF(A377="","",MONTH(A377))</f>
        <v/>
      </c>
    </row>
    <row r="378">
      <c r="A378" s="25" t="n"/>
      <c r="B378" s="11" t="n"/>
      <c r="C378" s="24" t="n"/>
      <c r="D378" s="11" t="n"/>
      <c r="E378" s="11" t="n"/>
      <c r="F378">
        <f>IF(B378="","",IFERROR(INDEX(Categories!$B$5:$B$44,MATCH(B378,Categories!$A$5:$A$44,0)),"?"))</f>
        <v/>
      </c>
      <c r="G378">
        <f>IF(A378="","",MONTH(A378))</f>
        <v/>
      </c>
    </row>
    <row r="379">
      <c r="A379" s="25" t="n"/>
      <c r="B379" s="11" t="n"/>
      <c r="C379" s="24" t="n"/>
      <c r="D379" s="11" t="n"/>
      <c r="E379" s="11" t="n"/>
      <c r="F379">
        <f>IF(B379="","",IFERROR(INDEX(Categories!$B$5:$B$44,MATCH(B379,Categories!$A$5:$A$44,0)),"?"))</f>
        <v/>
      </c>
      <c r="G379">
        <f>IF(A379="","",MONTH(A379))</f>
        <v/>
      </c>
    </row>
    <row r="380">
      <c r="A380" s="25" t="n"/>
      <c r="B380" s="11" t="n"/>
      <c r="C380" s="24" t="n"/>
      <c r="D380" s="11" t="n"/>
      <c r="E380" s="11" t="n"/>
      <c r="F380">
        <f>IF(B380="","",IFERROR(INDEX(Categories!$B$5:$B$44,MATCH(B380,Categories!$A$5:$A$44,0)),"?"))</f>
        <v/>
      </c>
      <c r="G380">
        <f>IF(A380="","",MONTH(A380))</f>
        <v/>
      </c>
    </row>
    <row r="381">
      <c r="A381" s="25" t="n"/>
      <c r="B381" s="11" t="n"/>
      <c r="C381" s="24" t="n"/>
      <c r="D381" s="11" t="n"/>
      <c r="E381" s="11" t="n"/>
      <c r="F381">
        <f>IF(B381="","",IFERROR(INDEX(Categories!$B$5:$B$44,MATCH(B381,Categories!$A$5:$A$44,0)),"?"))</f>
        <v/>
      </c>
      <c r="G381">
        <f>IF(A381="","",MONTH(A381))</f>
        <v/>
      </c>
    </row>
    <row r="382">
      <c r="A382" s="25" t="n"/>
      <c r="B382" s="11" t="n"/>
      <c r="C382" s="24" t="n"/>
      <c r="D382" s="11" t="n"/>
      <c r="E382" s="11" t="n"/>
      <c r="F382">
        <f>IF(B382="","",IFERROR(INDEX(Categories!$B$5:$B$44,MATCH(B382,Categories!$A$5:$A$44,0)),"?"))</f>
        <v/>
      </c>
      <c r="G382">
        <f>IF(A382="","",MONTH(A382))</f>
        <v/>
      </c>
    </row>
    <row r="383">
      <c r="A383" s="25" t="n"/>
      <c r="B383" s="11" t="n"/>
      <c r="C383" s="24" t="n"/>
      <c r="D383" s="11" t="n"/>
      <c r="E383" s="11" t="n"/>
      <c r="F383">
        <f>IF(B383="","",IFERROR(INDEX(Categories!$B$5:$B$44,MATCH(B383,Categories!$A$5:$A$44,0)),"?"))</f>
        <v/>
      </c>
      <c r="G383">
        <f>IF(A383="","",MONTH(A383))</f>
        <v/>
      </c>
    </row>
    <row r="384">
      <c r="A384" s="25" t="n"/>
      <c r="B384" s="11" t="n"/>
      <c r="C384" s="24" t="n"/>
      <c r="D384" s="11" t="n"/>
      <c r="E384" s="11" t="n"/>
      <c r="F384">
        <f>IF(B384="","",IFERROR(INDEX(Categories!$B$5:$B$44,MATCH(B384,Categories!$A$5:$A$44,0)),"?"))</f>
        <v/>
      </c>
      <c r="G384">
        <f>IF(A384="","",MONTH(A384))</f>
        <v/>
      </c>
    </row>
    <row r="385">
      <c r="A385" s="25" t="n"/>
      <c r="B385" s="11" t="n"/>
      <c r="C385" s="24" t="n"/>
      <c r="D385" s="11" t="n"/>
      <c r="E385" s="11" t="n"/>
      <c r="F385">
        <f>IF(B385="","",IFERROR(INDEX(Categories!$B$5:$B$44,MATCH(B385,Categories!$A$5:$A$44,0)),"?"))</f>
        <v/>
      </c>
      <c r="G385">
        <f>IF(A385="","",MONTH(A385))</f>
        <v/>
      </c>
    </row>
    <row r="386">
      <c r="A386" s="25" t="n"/>
      <c r="B386" s="11" t="n"/>
      <c r="C386" s="24" t="n"/>
      <c r="D386" s="11" t="n"/>
      <c r="E386" s="11" t="n"/>
      <c r="F386">
        <f>IF(B386="","",IFERROR(INDEX(Categories!$B$5:$B$44,MATCH(B386,Categories!$A$5:$A$44,0)),"?"))</f>
        <v/>
      </c>
      <c r="G386">
        <f>IF(A386="","",MONTH(A386))</f>
        <v/>
      </c>
    </row>
    <row r="387">
      <c r="A387" s="25" t="n"/>
      <c r="B387" s="11" t="n"/>
      <c r="C387" s="24" t="n"/>
      <c r="D387" s="11" t="n"/>
      <c r="E387" s="11" t="n"/>
      <c r="F387">
        <f>IF(B387="","",IFERROR(INDEX(Categories!$B$5:$B$44,MATCH(B387,Categories!$A$5:$A$44,0)),"?"))</f>
        <v/>
      </c>
      <c r="G387">
        <f>IF(A387="","",MONTH(A387))</f>
        <v/>
      </c>
    </row>
    <row r="388">
      <c r="A388" s="25" t="n"/>
      <c r="B388" s="11" t="n"/>
      <c r="C388" s="24" t="n"/>
      <c r="D388" s="11" t="n"/>
      <c r="E388" s="11" t="n"/>
      <c r="F388">
        <f>IF(B388="","",IFERROR(INDEX(Categories!$B$5:$B$44,MATCH(B388,Categories!$A$5:$A$44,0)),"?"))</f>
        <v/>
      </c>
      <c r="G388">
        <f>IF(A388="","",MONTH(A388))</f>
        <v/>
      </c>
    </row>
    <row r="389">
      <c r="A389" s="25" t="n"/>
      <c r="B389" s="11" t="n"/>
      <c r="C389" s="24" t="n"/>
      <c r="D389" s="11" t="n"/>
      <c r="E389" s="11" t="n"/>
      <c r="F389">
        <f>IF(B389="","",IFERROR(INDEX(Categories!$B$5:$B$44,MATCH(B389,Categories!$A$5:$A$44,0)),"?"))</f>
        <v/>
      </c>
      <c r="G389">
        <f>IF(A389="","",MONTH(A389))</f>
        <v/>
      </c>
    </row>
    <row r="390">
      <c r="A390" s="25" t="n"/>
      <c r="B390" s="11" t="n"/>
      <c r="C390" s="24" t="n"/>
      <c r="D390" s="11" t="n"/>
      <c r="E390" s="11" t="n"/>
      <c r="F390">
        <f>IF(B390="","",IFERROR(INDEX(Categories!$B$5:$B$44,MATCH(B390,Categories!$A$5:$A$44,0)),"?"))</f>
        <v/>
      </c>
      <c r="G390">
        <f>IF(A390="","",MONTH(A390))</f>
        <v/>
      </c>
    </row>
    <row r="391">
      <c r="A391" s="25" t="n"/>
      <c r="B391" s="11" t="n"/>
      <c r="C391" s="24" t="n"/>
      <c r="D391" s="11" t="n"/>
      <c r="E391" s="11" t="n"/>
      <c r="F391">
        <f>IF(B391="","",IFERROR(INDEX(Categories!$B$5:$B$44,MATCH(B391,Categories!$A$5:$A$44,0)),"?"))</f>
        <v/>
      </c>
      <c r="G391">
        <f>IF(A391="","",MONTH(A391))</f>
        <v/>
      </c>
    </row>
    <row r="392">
      <c r="A392" s="25" t="n"/>
      <c r="B392" s="11" t="n"/>
      <c r="C392" s="24" t="n"/>
      <c r="D392" s="11" t="n"/>
      <c r="E392" s="11" t="n"/>
      <c r="F392">
        <f>IF(B392="","",IFERROR(INDEX(Categories!$B$5:$B$44,MATCH(B392,Categories!$A$5:$A$44,0)),"?"))</f>
        <v/>
      </c>
      <c r="G392">
        <f>IF(A392="","",MONTH(A392))</f>
        <v/>
      </c>
    </row>
    <row r="393">
      <c r="A393" s="25" t="n"/>
      <c r="B393" s="11" t="n"/>
      <c r="C393" s="24" t="n"/>
      <c r="D393" s="11" t="n"/>
      <c r="E393" s="11" t="n"/>
      <c r="F393">
        <f>IF(B393="","",IFERROR(INDEX(Categories!$B$5:$B$44,MATCH(B393,Categories!$A$5:$A$44,0)),"?"))</f>
        <v/>
      </c>
      <c r="G393">
        <f>IF(A393="","",MONTH(A393))</f>
        <v/>
      </c>
    </row>
    <row r="394">
      <c r="A394" s="25" t="n"/>
      <c r="B394" s="11" t="n"/>
      <c r="C394" s="24" t="n"/>
      <c r="D394" s="11" t="n"/>
      <c r="E394" s="11" t="n"/>
      <c r="F394">
        <f>IF(B394="","",IFERROR(INDEX(Categories!$B$5:$B$44,MATCH(B394,Categories!$A$5:$A$44,0)),"?"))</f>
        <v/>
      </c>
      <c r="G394">
        <f>IF(A394="","",MONTH(A394))</f>
        <v/>
      </c>
    </row>
    <row r="395">
      <c r="A395" s="25" t="n"/>
      <c r="B395" s="11" t="n"/>
      <c r="C395" s="24" t="n"/>
      <c r="D395" s="11" t="n"/>
      <c r="E395" s="11" t="n"/>
      <c r="F395">
        <f>IF(B395="","",IFERROR(INDEX(Categories!$B$5:$B$44,MATCH(B395,Categories!$A$5:$A$44,0)),"?"))</f>
        <v/>
      </c>
      <c r="G395">
        <f>IF(A395="","",MONTH(A395))</f>
        <v/>
      </c>
    </row>
    <row r="396">
      <c r="A396" s="25" t="n"/>
      <c r="B396" s="11" t="n"/>
      <c r="C396" s="24" t="n"/>
      <c r="D396" s="11" t="n"/>
      <c r="E396" s="11" t="n"/>
      <c r="F396">
        <f>IF(B396="","",IFERROR(INDEX(Categories!$B$5:$B$44,MATCH(B396,Categories!$A$5:$A$44,0)),"?"))</f>
        <v/>
      </c>
      <c r="G396">
        <f>IF(A396="","",MONTH(A396))</f>
        <v/>
      </c>
    </row>
    <row r="397">
      <c r="A397" s="25" t="n"/>
      <c r="B397" s="11" t="n"/>
      <c r="C397" s="24" t="n"/>
      <c r="D397" s="11" t="n"/>
      <c r="E397" s="11" t="n"/>
      <c r="F397">
        <f>IF(B397="","",IFERROR(INDEX(Categories!$B$5:$B$44,MATCH(B397,Categories!$A$5:$A$44,0)),"?"))</f>
        <v/>
      </c>
      <c r="G397">
        <f>IF(A397="","",MONTH(A397))</f>
        <v/>
      </c>
    </row>
    <row r="398">
      <c r="A398" s="25" t="n"/>
      <c r="B398" s="11" t="n"/>
      <c r="C398" s="24" t="n"/>
      <c r="D398" s="11" t="n"/>
      <c r="E398" s="11" t="n"/>
      <c r="F398">
        <f>IF(B398="","",IFERROR(INDEX(Categories!$B$5:$B$44,MATCH(B398,Categories!$A$5:$A$44,0)),"?"))</f>
        <v/>
      </c>
      <c r="G398">
        <f>IF(A398="","",MONTH(A398))</f>
        <v/>
      </c>
    </row>
    <row r="399">
      <c r="A399" s="25" t="n"/>
      <c r="B399" s="11" t="n"/>
      <c r="C399" s="24" t="n"/>
      <c r="D399" s="11" t="n"/>
      <c r="E399" s="11" t="n"/>
      <c r="F399">
        <f>IF(B399="","",IFERROR(INDEX(Categories!$B$5:$B$44,MATCH(B399,Categories!$A$5:$A$44,0)),"?"))</f>
        <v/>
      </c>
      <c r="G399">
        <f>IF(A399="","",MONTH(A399))</f>
        <v/>
      </c>
    </row>
    <row r="400">
      <c r="A400" s="25" t="n"/>
      <c r="B400" s="11" t="n"/>
      <c r="C400" s="24" t="n"/>
      <c r="D400" s="11" t="n"/>
      <c r="E400" s="11" t="n"/>
      <c r="F400">
        <f>IF(B400="","",IFERROR(INDEX(Categories!$B$5:$B$44,MATCH(B400,Categories!$A$5:$A$44,0)),"?"))</f>
        <v/>
      </c>
      <c r="G400">
        <f>IF(A400="","",MONTH(A400))</f>
        <v/>
      </c>
    </row>
    <row r="401">
      <c r="A401" s="25" t="n"/>
      <c r="B401" s="11" t="n"/>
      <c r="C401" s="24" t="n"/>
      <c r="D401" s="11" t="n"/>
      <c r="E401" s="11" t="n"/>
      <c r="F401">
        <f>IF(B401="","",IFERROR(INDEX(Categories!$B$5:$B$44,MATCH(B401,Categories!$A$5:$A$44,0)),"?"))</f>
        <v/>
      </c>
      <c r="G401">
        <f>IF(A401="","",MONTH(A401))</f>
        <v/>
      </c>
    </row>
    <row r="402">
      <c r="A402" s="25" t="n"/>
      <c r="B402" s="11" t="n"/>
      <c r="C402" s="24" t="n"/>
      <c r="D402" s="11" t="n"/>
      <c r="E402" s="11" t="n"/>
      <c r="F402">
        <f>IF(B402="","",IFERROR(INDEX(Categories!$B$5:$B$44,MATCH(B402,Categories!$A$5:$A$44,0)),"?"))</f>
        <v/>
      </c>
      <c r="G402">
        <f>IF(A402="","",MONTH(A402))</f>
        <v/>
      </c>
    </row>
    <row r="403">
      <c r="A403" s="25" t="n"/>
      <c r="B403" s="11" t="n"/>
      <c r="C403" s="24" t="n"/>
      <c r="D403" s="11" t="n"/>
      <c r="E403" s="11" t="n"/>
      <c r="F403">
        <f>IF(B403="","",IFERROR(INDEX(Categories!$B$5:$B$44,MATCH(B403,Categories!$A$5:$A$44,0)),"?"))</f>
        <v/>
      </c>
      <c r="G403">
        <f>IF(A403="","",MONTH(A403))</f>
        <v/>
      </c>
    </row>
    <row r="404">
      <c r="A404" s="25" t="n"/>
      <c r="B404" s="11" t="n"/>
      <c r="C404" s="24" t="n"/>
      <c r="D404" s="11" t="n"/>
      <c r="E404" s="11" t="n"/>
      <c r="F404">
        <f>IF(B404="","",IFERROR(INDEX(Categories!$B$5:$B$44,MATCH(B404,Categories!$A$5:$A$44,0)),"?"))</f>
        <v/>
      </c>
      <c r="G404">
        <f>IF(A404="","",MONTH(A404))</f>
        <v/>
      </c>
    </row>
    <row r="405">
      <c r="A405" s="25" t="n"/>
      <c r="B405" s="11" t="n"/>
      <c r="C405" s="24" t="n"/>
      <c r="D405" s="11" t="n"/>
      <c r="E405" s="11" t="n"/>
      <c r="F405">
        <f>IF(B405="","",IFERROR(INDEX(Categories!$B$5:$B$44,MATCH(B405,Categories!$A$5:$A$44,0)),"?"))</f>
        <v/>
      </c>
      <c r="G405">
        <f>IF(A405="","",MONTH(A405))</f>
        <v/>
      </c>
    </row>
    <row r="406">
      <c r="A406" s="25" t="n"/>
      <c r="B406" s="11" t="n"/>
      <c r="C406" s="24" t="n"/>
      <c r="D406" s="11" t="n"/>
      <c r="E406" s="11" t="n"/>
      <c r="F406">
        <f>IF(B406="","",IFERROR(INDEX(Categories!$B$5:$B$44,MATCH(B406,Categories!$A$5:$A$44,0)),"?"))</f>
        <v/>
      </c>
      <c r="G406">
        <f>IF(A406="","",MONTH(A406))</f>
        <v/>
      </c>
    </row>
    <row r="407">
      <c r="A407" s="25" t="n"/>
      <c r="B407" s="11" t="n"/>
      <c r="C407" s="24" t="n"/>
      <c r="D407" s="11" t="n"/>
      <c r="E407" s="11" t="n"/>
      <c r="F407">
        <f>IF(B407="","",IFERROR(INDEX(Categories!$B$5:$B$44,MATCH(B407,Categories!$A$5:$A$44,0)),"?"))</f>
        <v/>
      </c>
      <c r="G407">
        <f>IF(A407="","",MONTH(A407))</f>
        <v/>
      </c>
    </row>
    <row r="408">
      <c r="A408" s="25" t="n"/>
      <c r="B408" s="11" t="n"/>
      <c r="C408" s="24" t="n"/>
      <c r="D408" s="11" t="n"/>
      <c r="E408" s="11" t="n"/>
      <c r="F408">
        <f>IF(B408="","",IFERROR(INDEX(Categories!$B$5:$B$44,MATCH(B408,Categories!$A$5:$A$44,0)),"?"))</f>
        <v/>
      </c>
      <c r="G408">
        <f>IF(A408="","",MONTH(A408))</f>
        <v/>
      </c>
    </row>
    <row r="409">
      <c r="A409" s="25" t="n"/>
      <c r="B409" s="11" t="n"/>
      <c r="C409" s="24" t="n"/>
      <c r="D409" s="11" t="n"/>
      <c r="E409" s="11" t="n"/>
      <c r="F409">
        <f>IF(B409="","",IFERROR(INDEX(Categories!$B$5:$B$44,MATCH(B409,Categories!$A$5:$A$44,0)),"?"))</f>
        <v/>
      </c>
      <c r="G409">
        <f>IF(A409="","",MONTH(A409))</f>
        <v/>
      </c>
    </row>
    <row r="410">
      <c r="A410" s="25" t="n"/>
      <c r="B410" s="11" t="n"/>
      <c r="C410" s="24" t="n"/>
      <c r="D410" s="11" t="n"/>
      <c r="E410" s="11" t="n"/>
      <c r="F410">
        <f>IF(B410="","",IFERROR(INDEX(Categories!$B$5:$B$44,MATCH(B410,Categories!$A$5:$A$44,0)),"?"))</f>
        <v/>
      </c>
      <c r="G410">
        <f>IF(A410="","",MONTH(A410))</f>
        <v/>
      </c>
    </row>
    <row r="411">
      <c r="A411" s="25" t="n"/>
      <c r="B411" s="11" t="n"/>
      <c r="C411" s="24" t="n"/>
      <c r="D411" s="11" t="n"/>
      <c r="E411" s="11" t="n"/>
      <c r="F411">
        <f>IF(B411="","",IFERROR(INDEX(Categories!$B$5:$B$44,MATCH(B411,Categories!$A$5:$A$44,0)),"?"))</f>
        <v/>
      </c>
      <c r="G411">
        <f>IF(A411="","",MONTH(A411))</f>
        <v/>
      </c>
    </row>
    <row r="412">
      <c r="A412" s="25" t="n"/>
      <c r="B412" s="11" t="n"/>
      <c r="C412" s="24" t="n"/>
      <c r="D412" s="11" t="n"/>
      <c r="E412" s="11" t="n"/>
      <c r="F412">
        <f>IF(B412="","",IFERROR(INDEX(Categories!$B$5:$B$44,MATCH(B412,Categories!$A$5:$A$44,0)),"?"))</f>
        <v/>
      </c>
      <c r="G412">
        <f>IF(A412="","",MONTH(A412))</f>
        <v/>
      </c>
    </row>
    <row r="413">
      <c r="A413" s="25" t="n"/>
      <c r="B413" s="11" t="n"/>
      <c r="C413" s="24" t="n"/>
      <c r="D413" s="11" t="n"/>
      <c r="E413" s="11" t="n"/>
      <c r="F413">
        <f>IF(B413="","",IFERROR(INDEX(Categories!$B$5:$B$44,MATCH(B413,Categories!$A$5:$A$44,0)),"?"))</f>
        <v/>
      </c>
      <c r="G413">
        <f>IF(A413="","",MONTH(A413))</f>
        <v/>
      </c>
    </row>
    <row r="414">
      <c r="A414" s="25" t="n"/>
      <c r="B414" s="11" t="n"/>
      <c r="C414" s="24" t="n"/>
      <c r="D414" s="11" t="n"/>
      <c r="E414" s="11" t="n"/>
      <c r="F414">
        <f>IF(B414="","",IFERROR(INDEX(Categories!$B$5:$B$44,MATCH(B414,Categories!$A$5:$A$44,0)),"?"))</f>
        <v/>
      </c>
      <c r="G414">
        <f>IF(A414="","",MONTH(A414))</f>
        <v/>
      </c>
    </row>
    <row r="415">
      <c r="A415" s="25" t="n"/>
      <c r="B415" s="11" t="n"/>
      <c r="C415" s="24" t="n"/>
      <c r="D415" s="11" t="n"/>
      <c r="E415" s="11" t="n"/>
      <c r="F415">
        <f>IF(B415="","",IFERROR(INDEX(Categories!$B$5:$B$44,MATCH(B415,Categories!$A$5:$A$44,0)),"?"))</f>
        <v/>
      </c>
      <c r="G415">
        <f>IF(A415="","",MONTH(A415))</f>
        <v/>
      </c>
    </row>
    <row r="416">
      <c r="A416" s="25" t="n"/>
      <c r="B416" s="11" t="n"/>
      <c r="C416" s="24" t="n"/>
      <c r="D416" s="11" t="n"/>
      <c r="E416" s="11" t="n"/>
      <c r="F416">
        <f>IF(B416="","",IFERROR(INDEX(Categories!$B$5:$B$44,MATCH(B416,Categories!$A$5:$A$44,0)),"?"))</f>
        <v/>
      </c>
      <c r="G416">
        <f>IF(A416="","",MONTH(A416))</f>
        <v/>
      </c>
    </row>
    <row r="417">
      <c r="A417" s="25" t="n"/>
      <c r="B417" s="11" t="n"/>
      <c r="C417" s="24" t="n"/>
      <c r="D417" s="11" t="n"/>
      <c r="E417" s="11" t="n"/>
      <c r="F417">
        <f>IF(B417="","",IFERROR(INDEX(Categories!$B$5:$B$44,MATCH(B417,Categories!$A$5:$A$44,0)),"?"))</f>
        <v/>
      </c>
      <c r="G417">
        <f>IF(A417="","",MONTH(A417))</f>
        <v/>
      </c>
    </row>
    <row r="418">
      <c r="A418" s="25" t="n"/>
      <c r="B418" s="11" t="n"/>
      <c r="C418" s="24" t="n"/>
      <c r="D418" s="11" t="n"/>
      <c r="E418" s="11" t="n"/>
      <c r="F418">
        <f>IF(B418="","",IFERROR(INDEX(Categories!$B$5:$B$44,MATCH(B418,Categories!$A$5:$A$44,0)),"?"))</f>
        <v/>
      </c>
      <c r="G418">
        <f>IF(A418="","",MONTH(A418))</f>
        <v/>
      </c>
    </row>
    <row r="419">
      <c r="A419" s="25" t="n"/>
      <c r="B419" s="11" t="n"/>
      <c r="C419" s="24" t="n"/>
      <c r="D419" s="11" t="n"/>
      <c r="E419" s="11" t="n"/>
      <c r="F419">
        <f>IF(B419="","",IFERROR(INDEX(Categories!$B$5:$B$44,MATCH(B419,Categories!$A$5:$A$44,0)),"?"))</f>
        <v/>
      </c>
      <c r="G419">
        <f>IF(A419="","",MONTH(A419))</f>
        <v/>
      </c>
    </row>
    <row r="420">
      <c r="A420" s="25" t="n"/>
      <c r="B420" s="11" t="n"/>
      <c r="C420" s="24" t="n"/>
      <c r="D420" s="11" t="n"/>
      <c r="E420" s="11" t="n"/>
      <c r="F420">
        <f>IF(B420="","",IFERROR(INDEX(Categories!$B$5:$B$44,MATCH(B420,Categories!$A$5:$A$44,0)),"?"))</f>
        <v/>
      </c>
      <c r="G420">
        <f>IF(A420="","",MONTH(A420))</f>
        <v/>
      </c>
    </row>
    <row r="421">
      <c r="A421" s="25" t="n"/>
      <c r="B421" s="11" t="n"/>
      <c r="C421" s="24" t="n"/>
      <c r="D421" s="11" t="n"/>
      <c r="E421" s="11" t="n"/>
      <c r="F421">
        <f>IF(B421="","",IFERROR(INDEX(Categories!$B$5:$B$44,MATCH(B421,Categories!$A$5:$A$44,0)),"?"))</f>
        <v/>
      </c>
      <c r="G421">
        <f>IF(A421="","",MONTH(A421))</f>
        <v/>
      </c>
    </row>
    <row r="422">
      <c r="A422" s="25" t="n"/>
      <c r="B422" s="11" t="n"/>
      <c r="C422" s="24" t="n"/>
      <c r="D422" s="11" t="n"/>
      <c r="E422" s="11" t="n"/>
      <c r="F422">
        <f>IF(B422="","",IFERROR(INDEX(Categories!$B$5:$B$44,MATCH(B422,Categories!$A$5:$A$44,0)),"?"))</f>
        <v/>
      </c>
      <c r="G422">
        <f>IF(A422="","",MONTH(A422))</f>
        <v/>
      </c>
    </row>
    <row r="423">
      <c r="A423" s="25" t="n"/>
      <c r="B423" s="11" t="n"/>
      <c r="C423" s="24" t="n"/>
      <c r="D423" s="11" t="n"/>
      <c r="E423" s="11" t="n"/>
      <c r="F423">
        <f>IF(B423="","",IFERROR(INDEX(Categories!$B$5:$B$44,MATCH(B423,Categories!$A$5:$A$44,0)),"?"))</f>
        <v/>
      </c>
      <c r="G423">
        <f>IF(A423="","",MONTH(A423))</f>
        <v/>
      </c>
    </row>
    <row r="424">
      <c r="A424" s="25" t="n"/>
      <c r="B424" s="11" t="n"/>
      <c r="C424" s="24" t="n"/>
      <c r="D424" s="11" t="n"/>
      <c r="E424" s="11" t="n"/>
      <c r="F424">
        <f>IF(B424="","",IFERROR(INDEX(Categories!$B$5:$B$44,MATCH(B424,Categories!$A$5:$A$44,0)),"?"))</f>
        <v/>
      </c>
      <c r="G424">
        <f>IF(A424="","",MONTH(A424))</f>
        <v/>
      </c>
    </row>
    <row r="425">
      <c r="A425" s="25" t="n"/>
      <c r="B425" s="11" t="n"/>
      <c r="C425" s="24" t="n"/>
      <c r="D425" s="11" t="n"/>
      <c r="E425" s="11" t="n"/>
      <c r="F425">
        <f>IF(B425="","",IFERROR(INDEX(Categories!$B$5:$B$44,MATCH(B425,Categories!$A$5:$A$44,0)),"?"))</f>
        <v/>
      </c>
      <c r="G425">
        <f>IF(A425="","",MONTH(A425))</f>
        <v/>
      </c>
    </row>
    <row r="426">
      <c r="A426" s="25" t="n"/>
      <c r="B426" s="11" t="n"/>
      <c r="C426" s="24" t="n"/>
      <c r="D426" s="11" t="n"/>
      <c r="E426" s="11" t="n"/>
      <c r="F426">
        <f>IF(B426="","",IFERROR(INDEX(Categories!$B$5:$B$44,MATCH(B426,Categories!$A$5:$A$44,0)),"?"))</f>
        <v/>
      </c>
      <c r="G426">
        <f>IF(A426="","",MONTH(A426))</f>
        <v/>
      </c>
    </row>
    <row r="427">
      <c r="A427" s="25" t="n"/>
      <c r="B427" s="11" t="n"/>
      <c r="C427" s="24" t="n"/>
      <c r="D427" s="11" t="n"/>
      <c r="E427" s="11" t="n"/>
      <c r="F427">
        <f>IF(B427="","",IFERROR(INDEX(Categories!$B$5:$B$44,MATCH(B427,Categories!$A$5:$A$44,0)),"?"))</f>
        <v/>
      </c>
      <c r="G427">
        <f>IF(A427="","",MONTH(A427))</f>
        <v/>
      </c>
    </row>
    <row r="428">
      <c r="A428" s="25" t="n"/>
      <c r="B428" s="11" t="n"/>
      <c r="C428" s="24" t="n"/>
      <c r="D428" s="11" t="n"/>
      <c r="E428" s="11" t="n"/>
      <c r="F428">
        <f>IF(B428="","",IFERROR(INDEX(Categories!$B$5:$B$44,MATCH(B428,Categories!$A$5:$A$44,0)),"?"))</f>
        <v/>
      </c>
      <c r="G428">
        <f>IF(A428="","",MONTH(A428))</f>
        <v/>
      </c>
    </row>
    <row r="429">
      <c r="A429" s="25" t="n"/>
      <c r="B429" s="11" t="n"/>
      <c r="C429" s="24" t="n"/>
      <c r="D429" s="11" t="n"/>
      <c r="E429" s="11" t="n"/>
      <c r="F429">
        <f>IF(B429="","",IFERROR(INDEX(Categories!$B$5:$B$44,MATCH(B429,Categories!$A$5:$A$44,0)),"?"))</f>
        <v/>
      </c>
      <c r="G429">
        <f>IF(A429="","",MONTH(A429))</f>
        <v/>
      </c>
    </row>
    <row r="430">
      <c r="A430" s="25" t="n"/>
      <c r="B430" s="11" t="n"/>
      <c r="C430" s="24" t="n"/>
      <c r="D430" s="11" t="n"/>
      <c r="E430" s="11" t="n"/>
      <c r="F430">
        <f>IF(B430="","",IFERROR(INDEX(Categories!$B$5:$B$44,MATCH(B430,Categories!$A$5:$A$44,0)),"?"))</f>
        <v/>
      </c>
      <c r="G430">
        <f>IF(A430="","",MONTH(A430))</f>
        <v/>
      </c>
    </row>
    <row r="431">
      <c r="A431" s="25" t="n"/>
      <c r="B431" s="11" t="n"/>
      <c r="C431" s="24" t="n"/>
      <c r="D431" s="11" t="n"/>
      <c r="E431" s="11" t="n"/>
      <c r="F431">
        <f>IF(B431="","",IFERROR(INDEX(Categories!$B$5:$B$44,MATCH(B431,Categories!$A$5:$A$44,0)),"?"))</f>
        <v/>
      </c>
      <c r="G431">
        <f>IF(A431="","",MONTH(A431))</f>
        <v/>
      </c>
    </row>
    <row r="432">
      <c r="A432" s="25" t="n"/>
      <c r="B432" s="11" t="n"/>
      <c r="C432" s="24" t="n"/>
      <c r="D432" s="11" t="n"/>
      <c r="E432" s="11" t="n"/>
      <c r="F432">
        <f>IF(B432="","",IFERROR(INDEX(Categories!$B$5:$B$44,MATCH(B432,Categories!$A$5:$A$44,0)),"?"))</f>
        <v/>
      </c>
      <c r="G432">
        <f>IF(A432="","",MONTH(A432))</f>
        <v/>
      </c>
    </row>
    <row r="433">
      <c r="A433" s="25" t="n"/>
      <c r="B433" s="11" t="n"/>
      <c r="C433" s="24" t="n"/>
      <c r="D433" s="11" t="n"/>
      <c r="E433" s="11" t="n"/>
      <c r="F433">
        <f>IF(B433="","",IFERROR(INDEX(Categories!$B$5:$B$44,MATCH(B433,Categories!$A$5:$A$44,0)),"?"))</f>
        <v/>
      </c>
      <c r="G433">
        <f>IF(A433="","",MONTH(A433))</f>
        <v/>
      </c>
    </row>
    <row r="434">
      <c r="A434" s="25" t="n"/>
      <c r="B434" s="11" t="n"/>
      <c r="C434" s="24" t="n"/>
      <c r="D434" s="11" t="n"/>
      <c r="E434" s="11" t="n"/>
      <c r="F434">
        <f>IF(B434="","",IFERROR(INDEX(Categories!$B$5:$B$44,MATCH(B434,Categories!$A$5:$A$44,0)),"?"))</f>
        <v/>
      </c>
      <c r="G434">
        <f>IF(A434="","",MONTH(A434))</f>
        <v/>
      </c>
    </row>
    <row r="435">
      <c r="A435" s="25" t="n"/>
      <c r="B435" s="11" t="n"/>
      <c r="C435" s="24" t="n"/>
      <c r="D435" s="11" t="n"/>
      <c r="E435" s="11" t="n"/>
      <c r="F435">
        <f>IF(B435="","",IFERROR(INDEX(Categories!$B$5:$B$44,MATCH(B435,Categories!$A$5:$A$44,0)),"?"))</f>
        <v/>
      </c>
      <c r="G435">
        <f>IF(A435="","",MONTH(A435))</f>
        <v/>
      </c>
    </row>
    <row r="436">
      <c r="A436" s="25" t="n"/>
      <c r="B436" s="11" t="n"/>
      <c r="C436" s="24" t="n"/>
      <c r="D436" s="11" t="n"/>
      <c r="E436" s="11" t="n"/>
      <c r="F436">
        <f>IF(B436="","",IFERROR(INDEX(Categories!$B$5:$B$44,MATCH(B436,Categories!$A$5:$A$44,0)),"?"))</f>
        <v/>
      </c>
      <c r="G436">
        <f>IF(A436="","",MONTH(A436))</f>
        <v/>
      </c>
    </row>
    <row r="437">
      <c r="A437" s="25" t="n"/>
      <c r="B437" s="11" t="n"/>
      <c r="C437" s="24" t="n"/>
      <c r="D437" s="11" t="n"/>
      <c r="E437" s="11" t="n"/>
      <c r="F437">
        <f>IF(B437="","",IFERROR(INDEX(Categories!$B$5:$B$44,MATCH(B437,Categories!$A$5:$A$44,0)),"?"))</f>
        <v/>
      </c>
      <c r="G437">
        <f>IF(A437="","",MONTH(A437))</f>
        <v/>
      </c>
    </row>
    <row r="438">
      <c r="A438" s="25" t="n"/>
      <c r="B438" s="11" t="n"/>
      <c r="C438" s="24" t="n"/>
      <c r="D438" s="11" t="n"/>
      <c r="E438" s="11" t="n"/>
      <c r="F438">
        <f>IF(B438="","",IFERROR(INDEX(Categories!$B$5:$B$44,MATCH(B438,Categories!$A$5:$A$44,0)),"?"))</f>
        <v/>
      </c>
      <c r="G438">
        <f>IF(A438="","",MONTH(A438))</f>
        <v/>
      </c>
    </row>
    <row r="439">
      <c r="A439" s="25" t="n"/>
      <c r="B439" s="11" t="n"/>
      <c r="C439" s="24" t="n"/>
      <c r="D439" s="11" t="n"/>
      <c r="E439" s="11" t="n"/>
      <c r="F439">
        <f>IF(B439="","",IFERROR(INDEX(Categories!$B$5:$B$44,MATCH(B439,Categories!$A$5:$A$44,0)),"?"))</f>
        <v/>
      </c>
      <c r="G439">
        <f>IF(A439="","",MONTH(A439))</f>
        <v/>
      </c>
    </row>
    <row r="440">
      <c r="A440" s="25" t="n"/>
      <c r="B440" s="11" t="n"/>
      <c r="C440" s="24" t="n"/>
      <c r="D440" s="11" t="n"/>
      <c r="E440" s="11" t="n"/>
      <c r="F440">
        <f>IF(B440="","",IFERROR(INDEX(Categories!$B$5:$B$44,MATCH(B440,Categories!$A$5:$A$44,0)),"?"))</f>
        <v/>
      </c>
      <c r="G440">
        <f>IF(A440="","",MONTH(A440))</f>
        <v/>
      </c>
    </row>
    <row r="441">
      <c r="A441" s="25" t="n"/>
      <c r="B441" s="11" t="n"/>
      <c r="C441" s="24" t="n"/>
      <c r="D441" s="11" t="n"/>
      <c r="E441" s="11" t="n"/>
      <c r="F441">
        <f>IF(B441="","",IFERROR(INDEX(Categories!$B$5:$B$44,MATCH(B441,Categories!$A$5:$A$44,0)),"?"))</f>
        <v/>
      </c>
      <c r="G441">
        <f>IF(A441="","",MONTH(A441))</f>
        <v/>
      </c>
    </row>
    <row r="442">
      <c r="A442" s="25" t="n"/>
      <c r="B442" s="11" t="n"/>
      <c r="C442" s="24" t="n"/>
      <c r="D442" s="11" t="n"/>
      <c r="E442" s="11" t="n"/>
      <c r="F442">
        <f>IF(B442="","",IFERROR(INDEX(Categories!$B$5:$B$44,MATCH(B442,Categories!$A$5:$A$44,0)),"?"))</f>
        <v/>
      </c>
      <c r="G442">
        <f>IF(A442="","",MONTH(A442))</f>
        <v/>
      </c>
    </row>
    <row r="443">
      <c r="A443" s="25" t="n"/>
      <c r="B443" s="11" t="n"/>
      <c r="C443" s="24" t="n"/>
      <c r="D443" s="11" t="n"/>
      <c r="E443" s="11" t="n"/>
      <c r="F443">
        <f>IF(B443="","",IFERROR(INDEX(Categories!$B$5:$B$44,MATCH(B443,Categories!$A$5:$A$44,0)),"?"))</f>
        <v/>
      </c>
      <c r="G443">
        <f>IF(A443="","",MONTH(A443))</f>
        <v/>
      </c>
    </row>
    <row r="444">
      <c r="A444" s="25" t="n"/>
      <c r="B444" s="11" t="n"/>
      <c r="C444" s="24" t="n"/>
      <c r="D444" s="11" t="n"/>
      <c r="E444" s="11" t="n"/>
      <c r="F444">
        <f>IF(B444="","",IFERROR(INDEX(Categories!$B$5:$B$44,MATCH(B444,Categories!$A$5:$A$44,0)),"?"))</f>
        <v/>
      </c>
      <c r="G444">
        <f>IF(A444="","",MONTH(A444))</f>
        <v/>
      </c>
    </row>
    <row r="445">
      <c r="A445" s="25" t="n"/>
      <c r="B445" s="11" t="n"/>
      <c r="C445" s="24" t="n"/>
      <c r="D445" s="11" t="n"/>
      <c r="E445" s="11" t="n"/>
      <c r="F445">
        <f>IF(B445="","",IFERROR(INDEX(Categories!$B$5:$B$44,MATCH(B445,Categories!$A$5:$A$44,0)),"?"))</f>
        <v/>
      </c>
      <c r="G445">
        <f>IF(A445="","",MONTH(A445))</f>
        <v/>
      </c>
    </row>
    <row r="446">
      <c r="A446" s="25" t="n"/>
      <c r="B446" s="11" t="n"/>
      <c r="C446" s="24" t="n"/>
      <c r="D446" s="11" t="n"/>
      <c r="E446" s="11" t="n"/>
      <c r="F446">
        <f>IF(B446="","",IFERROR(INDEX(Categories!$B$5:$B$44,MATCH(B446,Categories!$A$5:$A$44,0)),"?"))</f>
        <v/>
      </c>
      <c r="G446">
        <f>IF(A446="","",MONTH(A446))</f>
        <v/>
      </c>
    </row>
    <row r="447">
      <c r="A447" s="25" t="n"/>
      <c r="B447" s="11" t="n"/>
      <c r="C447" s="24" t="n"/>
      <c r="D447" s="11" t="n"/>
      <c r="E447" s="11" t="n"/>
      <c r="F447">
        <f>IF(B447="","",IFERROR(INDEX(Categories!$B$5:$B$44,MATCH(B447,Categories!$A$5:$A$44,0)),"?"))</f>
        <v/>
      </c>
      <c r="G447">
        <f>IF(A447="","",MONTH(A447))</f>
        <v/>
      </c>
    </row>
    <row r="448">
      <c r="A448" s="25" t="n"/>
      <c r="B448" s="11" t="n"/>
      <c r="C448" s="24" t="n"/>
      <c r="D448" s="11" t="n"/>
      <c r="E448" s="11" t="n"/>
      <c r="F448">
        <f>IF(B448="","",IFERROR(INDEX(Categories!$B$5:$B$44,MATCH(B448,Categories!$A$5:$A$44,0)),"?"))</f>
        <v/>
      </c>
      <c r="G448">
        <f>IF(A448="","",MONTH(A448))</f>
        <v/>
      </c>
    </row>
    <row r="449">
      <c r="A449" s="25" t="n"/>
      <c r="B449" s="11" t="n"/>
      <c r="C449" s="24" t="n"/>
      <c r="D449" s="11" t="n"/>
      <c r="E449" s="11" t="n"/>
      <c r="F449">
        <f>IF(B449="","",IFERROR(INDEX(Categories!$B$5:$B$44,MATCH(B449,Categories!$A$5:$A$44,0)),"?"))</f>
        <v/>
      </c>
      <c r="G449">
        <f>IF(A449="","",MONTH(A449))</f>
        <v/>
      </c>
    </row>
    <row r="450">
      <c r="A450" s="25" t="n"/>
      <c r="B450" s="11" t="n"/>
      <c r="C450" s="24" t="n"/>
      <c r="D450" s="11" t="n"/>
      <c r="E450" s="11" t="n"/>
      <c r="F450">
        <f>IF(B450="","",IFERROR(INDEX(Categories!$B$5:$B$44,MATCH(B450,Categories!$A$5:$A$44,0)),"?"))</f>
        <v/>
      </c>
      <c r="G450">
        <f>IF(A450="","",MONTH(A450))</f>
        <v/>
      </c>
    </row>
    <row r="451">
      <c r="A451" s="25" t="n"/>
      <c r="B451" s="11" t="n"/>
      <c r="C451" s="24" t="n"/>
      <c r="D451" s="11" t="n"/>
      <c r="E451" s="11" t="n"/>
      <c r="F451">
        <f>IF(B451="","",IFERROR(INDEX(Categories!$B$5:$B$44,MATCH(B451,Categories!$A$5:$A$44,0)),"?"))</f>
        <v/>
      </c>
      <c r="G451">
        <f>IF(A451="","",MONTH(A451))</f>
        <v/>
      </c>
    </row>
    <row r="452">
      <c r="A452" s="25" t="n"/>
      <c r="B452" s="11" t="n"/>
      <c r="C452" s="24" t="n"/>
      <c r="D452" s="11" t="n"/>
      <c r="E452" s="11" t="n"/>
      <c r="F452">
        <f>IF(B452="","",IFERROR(INDEX(Categories!$B$5:$B$44,MATCH(B452,Categories!$A$5:$A$44,0)),"?"))</f>
        <v/>
      </c>
      <c r="G452">
        <f>IF(A452="","",MONTH(A452))</f>
        <v/>
      </c>
    </row>
    <row r="453">
      <c r="A453" s="25" t="n"/>
      <c r="B453" s="11" t="n"/>
      <c r="C453" s="24" t="n"/>
      <c r="D453" s="11" t="n"/>
      <c r="E453" s="11" t="n"/>
      <c r="F453">
        <f>IF(B453="","",IFERROR(INDEX(Categories!$B$5:$B$44,MATCH(B453,Categories!$A$5:$A$44,0)),"?"))</f>
        <v/>
      </c>
      <c r="G453">
        <f>IF(A453="","",MONTH(A453))</f>
        <v/>
      </c>
    </row>
    <row r="454">
      <c r="A454" s="25" t="n"/>
      <c r="B454" s="11" t="n"/>
      <c r="C454" s="24" t="n"/>
      <c r="D454" s="11" t="n"/>
      <c r="E454" s="11" t="n"/>
      <c r="F454">
        <f>IF(B454="","",IFERROR(INDEX(Categories!$B$5:$B$44,MATCH(B454,Categories!$A$5:$A$44,0)),"?"))</f>
        <v/>
      </c>
      <c r="G454">
        <f>IF(A454="","",MONTH(A454))</f>
        <v/>
      </c>
    </row>
    <row r="455">
      <c r="A455" s="25" t="n"/>
      <c r="B455" s="11" t="n"/>
      <c r="C455" s="24" t="n"/>
      <c r="D455" s="11" t="n"/>
      <c r="E455" s="11" t="n"/>
      <c r="F455">
        <f>IF(B455="","",IFERROR(INDEX(Categories!$B$5:$B$44,MATCH(B455,Categories!$A$5:$A$44,0)),"?"))</f>
        <v/>
      </c>
      <c r="G455">
        <f>IF(A455="","",MONTH(A455))</f>
        <v/>
      </c>
    </row>
    <row r="456">
      <c r="A456" s="25" t="n"/>
      <c r="B456" s="11" t="n"/>
      <c r="C456" s="24" t="n"/>
      <c r="D456" s="11" t="n"/>
      <c r="E456" s="11" t="n"/>
      <c r="F456">
        <f>IF(B456="","",IFERROR(INDEX(Categories!$B$5:$B$44,MATCH(B456,Categories!$A$5:$A$44,0)),"?"))</f>
        <v/>
      </c>
      <c r="G456">
        <f>IF(A456="","",MONTH(A456))</f>
        <v/>
      </c>
    </row>
    <row r="457">
      <c r="A457" s="25" t="n"/>
      <c r="B457" s="11" t="n"/>
      <c r="C457" s="24" t="n"/>
      <c r="D457" s="11" t="n"/>
      <c r="E457" s="11" t="n"/>
      <c r="F457">
        <f>IF(B457="","",IFERROR(INDEX(Categories!$B$5:$B$44,MATCH(B457,Categories!$A$5:$A$44,0)),"?"))</f>
        <v/>
      </c>
      <c r="G457">
        <f>IF(A457="","",MONTH(A457))</f>
        <v/>
      </c>
    </row>
    <row r="458">
      <c r="A458" s="25" t="n"/>
      <c r="B458" s="11" t="n"/>
      <c r="C458" s="24" t="n"/>
      <c r="D458" s="11" t="n"/>
      <c r="E458" s="11" t="n"/>
      <c r="F458">
        <f>IF(B458="","",IFERROR(INDEX(Categories!$B$5:$B$44,MATCH(B458,Categories!$A$5:$A$44,0)),"?"))</f>
        <v/>
      </c>
      <c r="G458">
        <f>IF(A458="","",MONTH(A458))</f>
        <v/>
      </c>
    </row>
    <row r="459">
      <c r="A459" s="25" t="n"/>
      <c r="B459" s="11" t="n"/>
      <c r="C459" s="24" t="n"/>
      <c r="D459" s="11" t="n"/>
      <c r="E459" s="11" t="n"/>
      <c r="F459">
        <f>IF(B459="","",IFERROR(INDEX(Categories!$B$5:$B$44,MATCH(B459,Categories!$A$5:$A$44,0)),"?"))</f>
        <v/>
      </c>
      <c r="G459">
        <f>IF(A459="","",MONTH(A459))</f>
        <v/>
      </c>
    </row>
    <row r="460">
      <c r="A460" s="25" t="n"/>
      <c r="B460" s="11" t="n"/>
      <c r="C460" s="24" t="n"/>
      <c r="D460" s="11" t="n"/>
      <c r="E460" s="11" t="n"/>
      <c r="F460">
        <f>IF(B460="","",IFERROR(INDEX(Categories!$B$5:$B$44,MATCH(B460,Categories!$A$5:$A$44,0)),"?"))</f>
        <v/>
      </c>
      <c r="G460">
        <f>IF(A460="","",MONTH(A460))</f>
        <v/>
      </c>
    </row>
    <row r="461">
      <c r="A461" s="25" t="n"/>
      <c r="B461" s="11" t="n"/>
      <c r="C461" s="24" t="n"/>
      <c r="D461" s="11" t="n"/>
      <c r="E461" s="11" t="n"/>
      <c r="F461">
        <f>IF(B461="","",IFERROR(INDEX(Categories!$B$5:$B$44,MATCH(B461,Categories!$A$5:$A$44,0)),"?"))</f>
        <v/>
      </c>
      <c r="G461">
        <f>IF(A461="","",MONTH(A461))</f>
        <v/>
      </c>
    </row>
    <row r="462">
      <c r="A462" s="25" t="n"/>
      <c r="B462" s="11" t="n"/>
      <c r="C462" s="24" t="n"/>
      <c r="D462" s="11" t="n"/>
      <c r="E462" s="11" t="n"/>
      <c r="F462">
        <f>IF(B462="","",IFERROR(INDEX(Categories!$B$5:$B$44,MATCH(B462,Categories!$A$5:$A$44,0)),"?"))</f>
        <v/>
      </c>
      <c r="G462">
        <f>IF(A462="","",MONTH(A462))</f>
        <v/>
      </c>
    </row>
    <row r="463">
      <c r="A463" s="25" t="n"/>
      <c r="B463" s="11" t="n"/>
      <c r="C463" s="24" t="n"/>
      <c r="D463" s="11" t="n"/>
      <c r="E463" s="11" t="n"/>
      <c r="F463">
        <f>IF(B463="","",IFERROR(INDEX(Categories!$B$5:$B$44,MATCH(B463,Categories!$A$5:$A$44,0)),"?"))</f>
        <v/>
      </c>
      <c r="G463">
        <f>IF(A463="","",MONTH(A463))</f>
        <v/>
      </c>
    </row>
    <row r="464">
      <c r="A464" s="25" t="n"/>
      <c r="B464" s="11" t="n"/>
      <c r="C464" s="24" t="n"/>
      <c r="D464" s="11" t="n"/>
      <c r="E464" s="11" t="n"/>
      <c r="F464">
        <f>IF(B464="","",IFERROR(INDEX(Categories!$B$5:$B$44,MATCH(B464,Categories!$A$5:$A$44,0)),"?"))</f>
        <v/>
      </c>
      <c r="G464">
        <f>IF(A464="","",MONTH(A464))</f>
        <v/>
      </c>
    </row>
    <row r="465">
      <c r="A465" s="25" t="n"/>
      <c r="B465" s="11" t="n"/>
      <c r="C465" s="24" t="n"/>
      <c r="D465" s="11" t="n"/>
      <c r="E465" s="11" t="n"/>
      <c r="F465">
        <f>IF(B465="","",IFERROR(INDEX(Categories!$B$5:$B$44,MATCH(B465,Categories!$A$5:$A$44,0)),"?"))</f>
        <v/>
      </c>
      <c r="G465">
        <f>IF(A465="","",MONTH(A465))</f>
        <v/>
      </c>
    </row>
    <row r="466">
      <c r="A466" s="25" t="n"/>
      <c r="B466" s="11" t="n"/>
      <c r="C466" s="24" t="n"/>
      <c r="D466" s="11" t="n"/>
      <c r="E466" s="11" t="n"/>
      <c r="F466">
        <f>IF(B466="","",IFERROR(INDEX(Categories!$B$5:$B$44,MATCH(B466,Categories!$A$5:$A$44,0)),"?"))</f>
        <v/>
      </c>
      <c r="G466">
        <f>IF(A466="","",MONTH(A466))</f>
        <v/>
      </c>
    </row>
    <row r="467">
      <c r="A467" s="25" t="n"/>
      <c r="B467" s="11" t="n"/>
      <c r="C467" s="24" t="n"/>
      <c r="D467" s="11" t="n"/>
      <c r="E467" s="11" t="n"/>
      <c r="F467">
        <f>IF(B467="","",IFERROR(INDEX(Categories!$B$5:$B$44,MATCH(B467,Categories!$A$5:$A$44,0)),"?"))</f>
        <v/>
      </c>
      <c r="G467">
        <f>IF(A467="","",MONTH(A467))</f>
        <v/>
      </c>
    </row>
    <row r="468">
      <c r="A468" s="25" t="n"/>
      <c r="B468" s="11" t="n"/>
      <c r="C468" s="24" t="n"/>
      <c r="D468" s="11" t="n"/>
      <c r="E468" s="11" t="n"/>
      <c r="F468">
        <f>IF(B468="","",IFERROR(INDEX(Categories!$B$5:$B$44,MATCH(B468,Categories!$A$5:$A$44,0)),"?"))</f>
        <v/>
      </c>
      <c r="G468">
        <f>IF(A468="","",MONTH(A468))</f>
        <v/>
      </c>
    </row>
    <row r="469">
      <c r="A469" s="25" t="n"/>
      <c r="B469" s="11" t="n"/>
      <c r="C469" s="24" t="n"/>
      <c r="D469" s="11" t="n"/>
      <c r="E469" s="11" t="n"/>
      <c r="F469">
        <f>IF(B469="","",IFERROR(INDEX(Categories!$B$5:$B$44,MATCH(B469,Categories!$A$5:$A$44,0)),"?"))</f>
        <v/>
      </c>
      <c r="G469">
        <f>IF(A469="","",MONTH(A469))</f>
        <v/>
      </c>
    </row>
    <row r="470">
      <c r="A470" s="25" t="n"/>
      <c r="B470" s="11" t="n"/>
      <c r="C470" s="24" t="n"/>
      <c r="D470" s="11" t="n"/>
      <c r="E470" s="11" t="n"/>
      <c r="F470">
        <f>IF(B470="","",IFERROR(INDEX(Categories!$B$5:$B$44,MATCH(B470,Categories!$A$5:$A$44,0)),"?"))</f>
        <v/>
      </c>
      <c r="G470">
        <f>IF(A470="","",MONTH(A470))</f>
        <v/>
      </c>
    </row>
    <row r="471">
      <c r="A471" s="25" t="n"/>
      <c r="B471" s="11" t="n"/>
      <c r="C471" s="24" t="n"/>
      <c r="D471" s="11" t="n"/>
      <c r="E471" s="11" t="n"/>
      <c r="F471">
        <f>IF(B471="","",IFERROR(INDEX(Categories!$B$5:$B$44,MATCH(B471,Categories!$A$5:$A$44,0)),"?"))</f>
        <v/>
      </c>
      <c r="G471">
        <f>IF(A471="","",MONTH(A471))</f>
        <v/>
      </c>
    </row>
    <row r="472">
      <c r="A472" s="25" t="n"/>
      <c r="B472" s="11" t="n"/>
      <c r="C472" s="24" t="n"/>
      <c r="D472" s="11" t="n"/>
      <c r="E472" s="11" t="n"/>
      <c r="F472">
        <f>IF(B472="","",IFERROR(INDEX(Categories!$B$5:$B$44,MATCH(B472,Categories!$A$5:$A$44,0)),"?"))</f>
        <v/>
      </c>
      <c r="G472">
        <f>IF(A472="","",MONTH(A472))</f>
        <v/>
      </c>
    </row>
    <row r="473">
      <c r="A473" s="25" t="n"/>
      <c r="B473" s="11" t="n"/>
      <c r="C473" s="24" t="n"/>
      <c r="D473" s="11" t="n"/>
      <c r="E473" s="11" t="n"/>
      <c r="F473">
        <f>IF(B473="","",IFERROR(INDEX(Categories!$B$5:$B$44,MATCH(B473,Categories!$A$5:$A$44,0)),"?"))</f>
        <v/>
      </c>
      <c r="G473">
        <f>IF(A473="","",MONTH(A473))</f>
        <v/>
      </c>
    </row>
    <row r="474">
      <c r="A474" s="25" t="n"/>
      <c r="B474" s="11" t="n"/>
      <c r="C474" s="24" t="n"/>
      <c r="D474" s="11" t="n"/>
      <c r="E474" s="11" t="n"/>
      <c r="F474">
        <f>IF(B474="","",IFERROR(INDEX(Categories!$B$5:$B$44,MATCH(B474,Categories!$A$5:$A$44,0)),"?"))</f>
        <v/>
      </c>
      <c r="G474">
        <f>IF(A474="","",MONTH(A474))</f>
        <v/>
      </c>
    </row>
    <row r="475">
      <c r="A475" s="25" t="n"/>
      <c r="B475" s="11" t="n"/>
      <c r="C475" s="24" t="n"/>
      <c r="D475" s="11" t="n"/>
      <c r="E475" s="11" t="n"/>
      <c r="F475">
        <f>IF(B475="","",IFERROR(INDEX(Categories!$B$5:$B$44,MATCH(B475,Categories!$A$5:$A$44,0)),"?"))</f>
        <v/>
      </c>
      <c r="G475">
        <f>IF(A475="","",MONTH(A475))</f>
        <v/>
      </c>
    </row>
    <row r="476">
      <c r="A476" s="25" t="n"/>
      <c r="B476" s="11" t="n"/>
      <c r="C476" s="24" t="n"/>
      <c r="D476" s="11" t="n"/>
      <c r="E476" s="11" t="n"/>
      <c r="F476">
        <f>IF(B476="","",IFERROR(INDEX(Categories!$B$5:$B$44,MATCH(B476,Categories!$A$5:$A$44,0)),"?"))</f>
        <v/>
      </c>
      <c r="G476">
        <f>IF(A476="","",MONTH(A476))</f>
        <v/>
      </c>
    </row>
    <row r="477">
      <c r="A477" s="25" t="n"/>
      <c r="B477" s="11" t="n"/>
      <c r="C477" s="24" t="n"/>
      <c r="D477" s="11" t="n"/>
      <c r="E477" s="11" t="n"/>
      <c r="F477">
        <f>IF(B477="","",IFERROR(INDEX(Categories!$B$5:$B$44,MATCH(B477,Categories!$A$5:$A$44,0)),"?"))</f>
        <v/>
      </c>
      <c r="G477">
        <f>IF(A477="","",MONTH(A477))</f>
        <v/>
      </c>
    </row>
    <row r="478">
      <c r="A478" s="25" t="n"/>
      <c r="B478" s="11" t="n"/>
      <c r="C478" s="24" t="n"/>
      <c r="D478" s="11" t="n"/>
      <c r="E478" s="11" t="n"/>
      <c r="F478">
        <f>IF(B478="","",IFERROR(INDEX(Categories!$B$5:$B$44,MATCH(B478,Categories!$A$5:$A$44,0)),"?"))</f>
        <v/>
      </c>
      <c r="G478">
        <f>IF(A478="","",MONTH(A478))</f>
        <v/>
      </c>
    </row>
    <row r="479">
      <c r="A479" s="25" t="n"/>
      <c r="B479" s="11" t="n"/>
      <c r="C479" s="24" t="n"/>
      <c r="D479" s="11" t="n"/>
      <c r="E479" s="11" t="n"/>
      <c r="F479">
        <f>IF(B479="","",IFERROR(INDEX(Categories!$B$5:$B$44,MATCH(B479,Categories!$A$5:$A$44,0)),"?"))</f>
        <v/>
      </c>
      <c r="G479">
        <f>IF(A479="","",MONTH(A479))</f>
        <v/>
      </c>
    </row>
    <row r="480">
      <c r="A480" s="25" t="n"/>
      <c r="B480" s="11" t="n"/>
      <c r="C480" s="24" t="n"/>
      <c r="D480" s="11" t="n"/>
      <c r="E480" s="11" t="n"/>
      <c r="F480">
        <f>IF(B480="","",IFERROR(INDEX(Categories!$B$5:$B$44,MATCH(B480,Categories!$A$5:$A$44,0)),"?"))</f>
        <v/>
      </c>
      <c r="G480">
        <f>IF(A480="","",MONTH(A480))</f>
        <v/>
      </c>
    </row>
    <row r="481">
      <c r="A481" s="25" t="n"/>
      <c r="B481" s="11" t="n"/>
      <c r="C481" s="24" t="n"/>
      <c r="D481" s="11" t="n"/>
      <c r="E481" s="11" t="n"/>
      <c r="F481">
        <f>IF(B481="","",IFERROR(INDEX(Categories!$B$5:$B$44,MATCH(B481,Categories!$A$5:$A$44,0)),"?"))</f>
        <v/>
      </c>
      <c r="G481">
        <f>IF(A481="","",MONTH(A481))</f>
        <v/>
      </c>
    </row>
    <row r="482">
      <c r="A482" s="25" t="n"/>
      <c r="B482" s="11" t="n"/>
      <c r="C482" s="24" t="n"/>
      <c r="D482" s="11" t="n"/>
      <c r="E482" s="11" t="n"/>
      <c r="F482">
        <f>IF(B482="","",IFERROR(INDEX(Categories!$B$5:$B$44,MATCH(B482,Categories!$A$5:$A$44,0)),"?"))</f>
        <v/>
      </c>
      <c r="G482">
        <f>IF(A482="","",MONTH(A482))</f>
        <v/>
      </c>
    </row>
    <row r="483">
      <c r="A483" s="25" t="n"/>
      <c r="B483" s="11" t="n"/>
      <c r="C483" s="24" t="n"/>
      <c r="D483" s="11" t="n"/>
      <c r="E483" s="11" t="n"/>
      <c r="F483">
        <f>IF(B483="","",IFERROR(INDEX(Categories!$B$5:$B$44,MATCH(B483,Categories!$A$5:$A$44,0)),"?"))</f>
        <v/>
      </c>
      <c r="G483">
        <f>IF(A483="","",MONTH(A483))</f>
        <v/>
      </c>
    </row>
    <row r="484">
      <c r="A484" s="25" t="n"/>
      <c r="B484" s="11" t="n"/>
      <c r="C484" s="24" t="n"/>
      <c r="D484" s="11" t="n"/>
      <c r="E484" s="11" t="n"/>
      <c r="F484">
        <f>IF(B484="","",IFERROR(INDEX(Categories!$B$5:$B$44,MATCH(B484,Categories!$A$5:$A$44,0)),"?"))</f>
        <v/>
      </c>
      <c r="G484">
        <f>IF(A484="","",MONTH(A484))</f>
        <v/>
      </c>
    </row>
    <row r="485">
      <c r="A485" s="25" t="n"/>
      <c r="B485" s="11" t="n"/>
      <c r="C485" s="24" t="n"/>
      <c r="D485" s="11" t="n"/>
      <c r="E485" s="11" t="n"/>
      <c r="F485">
        <f>IF(B485="","",IFERROR(INDEX(Categories!$B$5:$B$44,MATCH(B485,Categories!$A$5:$A$44,0)),"?"))</f>
        <v/>
      </c>
      <c r="G485">
        <f>IF(A485="","",MONTH(A485))</f>
        <v/>
      </c>
    </row>
    <row r="486">
      <c r="A486" s="25" t="n"/>
      <c r="B486" s="11" t="n"/>
      <c r="C486" s="24" t="n"/>
      <c r="D486" s="11" t="n"/>
      <c r="E486" s="11" t="n"/>
      <c r="F486">
        <f>IF(B486="","",IFERROR(INDEX(Categories!$B$5:$B$44,MATCH(B486,Categories!$A$5:$A$44,0)),"?"))</f>
        <v/>
      </c>
      <c r="G486">
        <f>IF(A486="","",MONTH(A486))</f>
        <v/>
      </c>
    </row>
    <row r="487">
      <c r="A487" s="25" t="n"/>
      <c r="B487" s="11" t="n"/>
      <c r="C487" s="24" t="n"/>
      <c r="D487" s="11" t="n"/>
      <c r="E487" s="11" t="n"/>
      <c r="F487">
        <f>IF(B487="","",IFERROR(INDEX(Categories!$B$5:$B$44,MATCH(B487,Categories!$A$5:$A$44,0)),"?"))</f>
        <v/>
      </c>
      <c r="G487">
        <f>IF(A487="","",MONTH(A487))</f>
        <v/>
      </c>
    </row>
    <row r="488">
      <c r="A488" s="25" t="n"/>
      <c r="B488" s="11" t="n"/>
      <c r="C488" s="24" t="n"/>
      <c r="D488" s="11" t="n"/>
      <c r="E488" s="11" t="n"/>
      <c r="F488">
        <f>IF(B488="","",IFERROR(INDEX(Categories!$B$5:$B$44,MATCH(B488,Categories!$A$5:$A$44,0)),"?"))</f>
        <v/>
      </c>
      <c r="G488">
        <f>IF(A488="","",MONTH(A488))</f>
        <v/>
      </c>
    </row>
    <row r="489">
      <c r="A489" s="25" t="n"/>
      <c r="B489" s="11" t="n"/>
      <c r="C489" s="24" t="n"/>
      <c r="D489" s="11" t="n"/>
      <c r="E489" s="11" t="n"/>
      <c r="F489">
        <f>IF(B489="","",IFERROR(INDEX(Categories!$B$5:$B$44,MATCH(B489,Categories!$A$5:$A$44,0)),"?"))</f>
        <v/>
      </c>
      <c r="G489">
        <f>IF(A489="","",MONTH(A489))</f>
        <v/>
      </c>
    </row>
    <row r="490">
      <c r="A490" s="25" t="n"/>
      <c r="B490" s="11" t="n"/>
      <c r="C490" s="24" t="n"/>
      <c r="D490" s="11" t="n"/>
      <c r="E490" s="11" t="n"/>
      <c r="F490">
        <f>IF(B490="","",IFERROR(INDEX(Categories!$B$5:$B$44,MATCH(B490,Categories!$A$5:$A$44,0)),"?"))</f>
        <v/>
      </c>
      <c r="G490">
        <f>IF(A490="","",MONTH(A490))</f>
        <v/>
      </c>
    </row>
    <row r="491">
      <c r="A491" s="25" t="n"/>
      <c r="B491" s="11" t="n"/>
      <c r="C491" s="24" t="n"/>
      <c r="D491" s="11" t="n"/>
      <c r="E491" s="11" t="n"/>
      <c r="F491">
        <f>IF(B491="","",IFERROR(INDEX(Categories!$B$5:$B$44,MATCH(B491,Categories!$A$5:$A$44,0)),"?"))</f>
        <v/>
      </c>
      <c r="G491">
        <f>IF(A491="","",MONTH(A491))</f>
        <v/>
      </c>
    </row>
    <row r="492">
      <c r="A492" s="25" t="n"/>
      <c r="B492" s="11" t="n"/>
      <c r="C492" s="24" t="n"/>
      <c r="D492" s="11" t="n"/>
      <c r="E492" s="11" t="n"/>
      <c r="F492">
        <f>IF(B492="","",IFERROR(INDEX(Categories!$B$5:$B$44,MATCH(B492,Categories!$A$5:$A$44,0)),"?"))</f>
        <v/>
      </c>
      <c r="G492">
        <f>IF(A492="","",MONTH(A492))</f>
        <v/>
      </c>
    </row>
    <row r="493">
      <c r="A493" s="25" t="n"/>
      <c r="B493" s="11" t="n"/>
      <c r="C493" s="24" t="n"/>
      <c r="D493" s="11" t="n"/>
      <c r="E493" s="11" t="n"/>
      <c r="F493">
        <f>IF(B493="","",IFERROR(INDEX(Categories!$B$5:$B$44,MATCH(B493,Categories!$A$5:$A$44,0)),"?"))</f>
        <v/>
      </c>
      <c r="G493">
        <f>IF(A493="","",MONTH(A493))</f>
        <v/>
      </c>
    </row>
    <row r="494">
      <c r="A494" s="25" t="n"/>
      <c r="B494" s="11" t="n"/>
      <c r="C494" s="24" t="n"/>
      <c r="D494" s="11" t="n"/>
      <c r="E494" s="11" t="n"/>
      <c r="F494">
        <f>IF(B494="","",IFERROR(INDEX(Categories!$B$5:$B$44,MATCH(B494,Categories!$A$5:$A$44,0)),"?"))</f>
        <v/>
      </c>
      <c r="G494">
        <f>IF(A494="","",MONTH(A494))</f>
        <v/>
      </c>
    </row>
    <row r="495">
      <c r="A495" s="25" t="n"/>
      <c r="B495" s="11" t="n"/>
      <c r="C495" s="24" t="n"/>
      <c r="D495" s="11" t="n"/>
      <c r="E495" s="11" t="n"/>
      <c r="F495">
        <f>IF(B495="","",IFERROR(INDEX(Categories!$B$5:$B$44,MATCH(B495,Categories!$A$5:$A$44,0)),"?"))</f>
        <v/>
      </c>
      <c r="G495">
        <f>IF(A495="","",MONTH(A495))</f>
        <v/>
      </c>
    </row>
    <row r="496">
      <c r="A496" s="25" t="n"/>
      <c r="B496" s="11" t="n"/>
      <c r="C496" s="24" t="n"/>
      <c r="D496" s="11" t="n"/>
      <c r="E496" s="11" t="n"/>
      <c r="F496">
        <f>IF(B496="","",IFERROR(INDEX(Categories!$B$5:$B$44,MATCH(B496,Categories!$A$5:$A$44,0)),"?"))</f>
        <v/>
      </c>
      <c r="G496">
        <f>IF(A496="","",MONTH(A496))</f>
        <v/>
      </c>
    </row>
    <row r="497">
      <c r="A497" s="25" t="n"/>
      <c r="B497" s="11" t="n"/>
      <c r="C497" s="24" t="n"/>
      <c r="D497" s="11" t="n"/>
      <c r="E497" s="11" t="n"/>
      <c r="F497">
        <f>IF(B497="","",IFERROR(INDEX(Categories!$B$5:$B$44,MATCH(B497,Categories!$A$5:$A$44,0)),"?"))</f>
        <v/>
      </c>
      <c r="G497">
        <f>IF(A497="","",MONTH(A497))</f>
        <v/>
      </c>
    </row>
    <row r="498">
      <c r="A498" s="25" t="n"/>
      <c r="B498" s="11" t="n"/>
      <c r="C498" s="24" t="n"/>
      <c r="D498" s="11" t="n"/>
      <c r="E498" s="11" t="n"/>
      <c r="F498">
        <f>IF(B498="","",IFERROR(INDEX(Categories!$B$5:$B$44,MATCH(B498,Categories!$A$5:$A$44,0)),"?"))</f>
        <v/>
      </c>
      <c r="G498">
        <f>IF(A498="","",MONTH(A498))</f>
        <v/>
      </c>
    </row>
    <row r="499">
      <c r="A499" s="25" t="n"/>
      <c r="B499" s="11" t="n"/>
      <c r="C499" s="24" t="n"/>
      <c r="D499" s="11" t="n"/>
      <c r="E499" s="11" t="n"/>
      <c r="F499">
        <f>IF(B499="","",IFERROR(INDEX(Categories!$B$5:$B$44,MATCH(B499,Categories!$A$5:$A$44,0)),"?"))</f>
        <v/>
      </c>
      <c r="G499">
        <f>IF(A499="","",MONTH(A499))</f>
        <v/>
      </c>
    </row>
    <row r="500">
      <c r="A500" s="25" t="n"/>
      <c r="B500" s="11" t="n"/>
      <c r="C500" s="24" t="n"/>
      <c r="D500" s="11" t="n"/>
      <c r="E500" s="11" t="n"/>
      <c r="F500">
        <f>IF(B500="","",IFERROR(INDEX(Categories!$B$5:$B$44,MATCH(B500,Categories!$A$5:$A$44,0)),"?"))</f>
        <v/>
      </c>
      <c r="G500">
        <f>IF(A500="","",MONTH(A500))</f>
        <v/>
      </c>
    </row>
    <row r="501">
      <c r="A501" s="25" t="n"/>
      <c r="B501" s="11" t="n"/>
      <c r="C501" s="24" t="n"/>
      <c r="D501" s="11" t="n"/>
      <c r="E501" s="11" t="n"/>
      <c r="F501">
        <f>IF(B501="","",IFERROR(INDEX(Categories!$B$5:$B$44,MATCH(B501,Categories!$A$5:$A$44,0)),"?"))</f>
        <v/>
      </c>
      <c r="G501">
        <f>IF(A501="","",MONTH(A501))</f>
        <v/>
      </c>
    </row>
    <row r="502">
      <c r="A502" s="25" t="n"/>
      <c r="B502" s="11" t="n"/>
      <c r="C502" s="24" t="n"/>
      <c r="D502" s="11" t="n"/>
      <c r="E502" s="11" t="n"/>
      <c r="F502">
        <f>IF(B502="","",IFERROR(INDEX(Categories!$B$5:$B$44,MATCH(B502,Categories!$A$5:$A$44,0)),"?"))</f>
        <v/>
      </c>
      <c r="G502">
        <f>IF(A502="","",MONTH(A502))</f>
        <v/>
      </c>
    </row>
    <row r="503">
      <c r="A503" s="25" t="n"/>
      <c r="B503" s="11" t="n"/>
      <c r="C503" s="24" t="n"/>
      <c r="D503" s="11" t="n"/>
      <c r="E503" s="11" t="n"/>
      <c r="F503">
        <f>IF(B503="","",IFERROR(INDEX(Categories!$B$5:$B$44,MATCH(B503,Categories!$A$5:$A$44,0)),"?"))</f>
        <v/>
      </c>
      <c r="G503">
        <f>IF(A503="","",MONTH(A503))</f>
        <v/>
      </c>
    </row>
    <row r="504">
      <c r="A504" s="25" t="n"/>
      <c r="B504" s="11" t="n"/>
      <c r="C504" s="24" t="n"/>
      <c r="D504" s="11" t="n"/>
      <c r="E504" s="11" t="n"/>
      <c r="F504">
        <f>IF(B504="","",IFERROR(INDEX(Categories!$B$5:$B$44,MATCH(B504,Categories!$A$5:$A$44,0)),"?"))</f>
        <v/>
      </c>
      <c r="G504">
        <f>IF(A504="","",MONTH(A504))</f>
        <v/>
      </c>
    </row>
    <row r="505">
      <c r="A505" s="25" t="n"/>
      <c r="B505" s="11" t="n"/>
      <c r="C505" s="24" t="n"/>
      <c r="D505" s="11" t="n"/>
      <c r="E505" s="11" t="n"/>
      <c r="F505">
        <f>IF(B505="","",IFERROR(INDEX(Categories!$B$5:$B$44,MATCH(B505,Categories!$A$5:$A$44,0)),"?"))</f>
        <v/>
      </c>
      <c r="G505">
        <f>IF(A505="","",MONTH(A505))</f>
        <v/>
      </c>
    </row>
    <row r="506">
      <c r="A506" s="25" t="n"/>
      <c r="B506" s="11" t="n"/>
      <c r="C506" s="24" t="n"/>
      <c r="D506" s="11" t="n"/>
      <c r="E506" s="11" t="n"/>
      <c r="F506">
        <f>IF(B506="","",IFERROR(INDEX(Categories!$B$5:$B$44,MATCH(B506,Categories!$A$5:$A$44,0)),"?"))</f>
        <v/>
      </c>
      <c r="G506">
        <f>IF(A506="","",MONTH(A506))</f>
        <v/>
      </c>
    </row>
    <row r="507">
      <c r="A507" s="25" t="n"/>
      <c r="B507" s="11" t="n"/>
      <c r="C507" s="24" t="n"/>
      <c r="D507" s="11" t="n"/>
      <c r="E507" s="11" t="n"/>
      <c r="F507">
        <f>IF(B507="","",IFERROR(INDEX(Categories!$B$5:$B$44,MATCH(B507,Categories!$A$5:$A$44,0)),"?"))</f>
        <v/>
      </c>
      <c r="G507">
        <f>IF(A507="","",MONTH(A507))</f>
        <v/>
      </c>
    </row>
    <row r="508">
      <c r="A508" s="25" t="n"/>
      <c r="B508" s="11" t="n"/>
      <c r="C508" s="24" t="n"/>
      <c r="D508" s="11" t="n"/>
      <c r="E508" s="11" t="n"/>
      <c r="F508">
        <f>IF(B508="","",IFERROR(INDEX(Categories!$B$5:$B$44,MATCH(B508,Categories!$A$5:$A$44,0)),"?"))</f>
        <v/>
      </c>
      <c r="G508">
        <f>IF(A508="","",MONTH(A508))</f>
        <v/>
      </c>
    </row>
    <row r="509">
      <c r="A509" s="25" t="n"/>
      <c r="B509" s="11" t="n"/>
      <c r="C509" s="24" t="n"/>
      <c r="D509" s="11" t="n"/>
      <c r="E509" s="11" t="n"/>
      <c r="F509">
        <f>IF(B509="","",IFERROR(INDEX(Categories!$B$5:$B$44,MATCH(B509,Categories!$A$5:$A$44,0)),"?"))</f>
        <v/>
      </c>
      <c r="G509">
        <f>IF(A509="","",MONTH(A509))</f>
        <v/>
      </c>
    </row>
    <row r="510">
      <c r="A510" s="25" t="n"/>
      <c r="B510" s="11" t="n"/>
      <c r="C510" s="24" t="n"/>
      <c r="D510" s="11" t="n"/>
      <c r="E510" s="11" t="n"/>
      <c r="F510">
        <f>IF(B510="","",IFERROR(INDEX(Categories!$B$5:$B$44,MATCH(B510,Categories!$A$5:$A$44,0)),"?"))</f>
        <v/>
      </c>
      <c r="G510">
        <f>IF(A510="","",MONTH(A510))</f>
        <v/>
      </c>
    </row>
    <row r="511">
      <c r="A511" s="25" t="n"/>
      <c r="B511" s="11" t="n"/>
      <c r="C511" s="24" t="n"/>
      <c r="D511" s="11" t="n"/>
      <c r="E511" s="11" t="n"/>
      <c r="F511">
        <f>IF(B511="","",IFERROR(INDEX(Categories!$B$5:$B$44,MATCH(B511,Categories!$A$5:$A$44,0)),"?"))</f>
        <v/>
      </c>
      <c r="G511">
        <f>IF(A511="","",MONTH(A511))</f>
        <v/>
      </c>
    </row>
    <row r="512">
      <c r="A512" s="25" t="n"/>
      <c r="B512" s="11" t="n"/>
      <c r="C512" s="24" t="n"/>
      <c r="D512" s="11" t="n"/>
      <c r="E512" s="11" t="n"/>
      <c r="F512">
        <f>IF(B512="","",IFERROR(INDEX(Categories!$B$5:$B$44,MATCH(B512,Categories!$A$5:$A$44,0)),"?"))</f>
        <v/>
      </c>
      <c r="G512">
        <f>IF(A512="","",MONTH(A512))</f>
        <v/>
      </c>
    </row>
    <row r="513">
      <c r="A513" s="25" t="n"/>
      <c r="B513" s="11" t="n"/>
      <c r="C513" s="24" t="n"/>
      <c r="D513" s="11" t="n"/>
      <c r="E513" s="11" t="n"/>
      <c r="F513">
        <f>IF(B513="","",IFERROR(INDEX(Categories!$B$5:$B$44,MATCH(B513,Categories!$A$5:$A$44,0)),"?"))</f>
        <v/>
      </c>
      <c r="G513">
        <f>IF(A513="","",MONTH(A513))</f>
        <v/>
      </c>
    </row>
    <row r="514">
      <c r="A514" s="25" t="n"/>
      <c r="B514" s="11" t="n"/>
      <c r="C514" s="24" t="n"/>
      <c r="D514" s="11" t="n"/>
      <c r="E514" s="11" t="n"/>
      <c r="F514">
        <f>IF(B514="","",IFERROR(INDEX(Categories!$B$5:$B$44,MATCH(B514,Categories!$A$5:$A$44,0)),"?"))</f>
        <v/>
      </c>
      <c r="G514">
        <f>IF(A514="","",MONTH(A514))</f>
        <v/>
      </c>
    </row>
    <row r="515">
      <c r="A515" s="25" t="n"/>
      <c r="B515" s="11" t="n"/>
      <c r="C515" s="24" t="n"/>
      <c r="D515" s="11" t="n"/>
      <c r="E515" s="11" t="n"/>
      <c r="F515">
        <f>IF(B515="","",IFERROR(INDEX(Categories!$B$5:$B$44,MATCH(B515,Categories!$A$5:$A$44,0)),"?"))</f>
        <v/>
      </c>
      <c r="G515">
        <f>IF(A515="","",MONTH(A515))</f>
        <v/>
      </c>
    </row>
    <row r="516">
      <c r="A516" s="25" t="n"/>
      <c r="B516" s="11" t="n"/>
      <c r="C516" s="24" t="n"/>
      <c r="D516" s="11" t="n"/>
      <c r="E516" s="11" t="n"/>
      <c r="F516">
        <f>IF(B516="","",IFERROR(INDEX(Categories!$B$5:$B$44,MATCH(B516,Categories!$A$5:$A$44,0)),"?"))</f>
        <v/>
      </c>
      <c r="G516">
        <f>IF(A516="","",MONTH(A516))</f>
        <v/>
      </c>
    </row>
    <row r="517">
      <c r="A517" s="25" t="n"/>
      <c r="B517" s="11" t="n"/>
      <c r="C517" s="24" t="n"/>
      <c r="D517" s="11" t="n"/>
      <c r="E517" s="11" t="n"/>
      <c r="F517">
        <f>IF(B517="","",IFERROR(INDEX(Categories!$B$5:$B$44,MATCH(B517,Categories!$A$5:$A$44,0)),"?"))</f>
        <v/>
      </c>
      <c r="G517">
        <f>IF(A517="","",MONTH(A517))</f>
        <v/>
      </c>
    </row>
    <row r="518">
      <c r="A518" s="25" t="n"/>
      <c r="B518" s="11" t="n"/>
      <c r="C518" s="24" t="n"/>
      <c r="D518" s="11" t="n"/>
      <c r="E518" s="11" t="n"/>
      <c r="F518">
        <f>IF(B518="","",IFERROR(INDEX(Categories!$B$5:$B$44,MATCH(B518,Categories!$A$5:$A$44,0)),"?"))</f>
        <v/>
      </c>
      <c r="G518">
        <f>IF(A518="","",MONTH(A518))</f>
        <v/>
      </c>
    </row>
    <row r="519">
      <c r="A519" s="25" t="n"/>
      <c r="B519" s="11" t="n"/>
      <c r="C519" s="24" t="n"/>
      <c r="D519" s="11" t="n"/>
      <c r="E519" s="11" t="n"/>
      <c r="F519">
        <f>IF(B519="","",IFERROR(INDEX(Categories!$B$5:$B$44,MATCH(B519,Categories!$A$5:$A$44,0)),"?"))</f>
        <v/>
      </c>
      <c r="G519">
        <f>IF(A519="","",MONTH(A519))</f>
        <v/>
      </c>
    </row>
    <row r="520">
      <c r="A520" s="25" t="n"/>
      <c r="B520" s="11" t="n"/>
      <c r="C520" s="24" t="n"/>
      <c r="D520" s="11" t="n"/>
      <c r="E520" s="11" t="n"/>
      <c r="F520">
        <f>IF(B520="","",IFERROR(INDEX(Categories!$B$5:$B$44,MATCH(B520,Categories!$A$5:$A$44,0)),"?"))</f>
        <v/>
      </c>
      <c r="G520">
        <f>IF(A520="","",MONTH(A520))</f>
        <v/>
      </c>
    </row>
    <row r="521">
      <c r="A521" s="25" t="n"/>
      <c r="B521" s="11" t="n"/>
      <c r="C521" s="24" t="n"/>
      <c r="D521" s="11" t="n"/>
      <c r="E521" s="11" t="n"/>
      <c r="F521">
        <f>IF(B521="","",IFERROR(INDEX(Categories!$B$5:$B$44,MATCH(B521,Categories!$A$5:$A$44,0)),"?"))</f>
        <v/>
      </c>
      <c r="G521">
        <f>IF(A521="","",MONTH(A521))</f>
        <v/>
      </c>
    </row>
    <row r="522">
      <c r="A522" s="25" t="n"/>
      <c r="B522" s="11" t="n"/>
      <c r="C522" s="24" t="n"/>
      <c r="D522" s="11" t="n"/>
      <c r="E522" s="11" t="n"/>
      <c r="F522">
        <f>IF(B522="","",IFERROR(INDEX(Categories!$B$5:$B$44,MATCH(B522,Categories!$A$5:$A$44,0)),"?"))</f>
        <v/>
      </c>
      <c r="G522">
        <f>IF(A522="","",MONTH(A522))</f>
        <v/>
      </c>
    </row>
    <row r="523">
      <c r="A523" s="25" t="n"/>
      <c r="B523" s="11" t="n"/>
      <c r="C523" s="24" t="n"/>
      <c r="D523" s="11" t="n"/>
      <c r="E523" s="11" t="n"/>
      <c r="F523">
        <f>IF(B523="","",IFERROR(INDEX(Categories!$B$5:$B$44,MATCH(B523,Categories!$A$5:$A$44,0)),"?"))</f>
        <v/>
      </c>
      <c r="G523">
        <f>IF(A523="","",MONTH(A523))</f>
        <v/>
      </c>
    </row>
    <row r="524">
      <c r="A524" s="25" t="n"/>
      <c r="B524" s="11" t="n"/>
      <c r="C524" s="24" t="n"/>
      <c r="D524" s="11" t="n"/>
      <c r="E524" s="11" t="n"/>
      <c r="F524">
        <f>IF(B524="","",IFERROR(INDEX(Categories!$B$5:$B$44,MATCH(B524,Categories!$A$5:$A$44,0)),"?"))</f>
        <v/>
      </c>
      <c r="G524">
        <f>IF(A524="","",MONTH(A524))</f>
        <v/>
      </c>
    </row>
    <row r="525">
      <c r="A525" s="25" t="n"/>
      <c r="B525" s="11" t="n"/>
      <c r="C525" s="24" t="n"/>
      <c r="D525" s="11" t="n"/>
      <c r="E525" s="11" t="n"/>
      <c r="F525">
        <f>IF(B525="","",IFERROR(INDEX(Categories!$B$5:$B$44,MATCH(B525,Categories!$A$5:$A$44,0)),"?"))</f>
        <v/>
      </c>
      <c r="G525">
        <f>IF(A525="","",MONTH(A525))</f>
        <v/>
      </c>
    </row>
    <row r="526">
      <c r="A526" s="25" t="n"/>
      <c r="B526" s="11" t="n"/>
      <c r="C526" s="24" t="n"/>
      <c r="D526" s="11" t="n"/>
      <c r="E526" s="11" t="n"/>
      <c r="F526">
        <f>IF(B526="","",IFERROR(INDEX(Categories!$B$5:$B$44,MATCH(B526,Categories!$A$5:$A$44,0)),"?"))</f>
        <v/>
      </c>
      <c r="G526">
        <f>IF(A526="","",MONTH(A526))</f>
        <v/>
      </c>
    </row>
    <row r="527">
      <c r="A527" s="25" t="n"/>
      <c r="B527" s="11" t="n"/>
      <c r="C527" s="24" t="n"/>
      <c r="D527" s="11" t="n"/>
      <c r="E527" s="11" t="n"/>
      <c r="F527">
        <f>IF(B527="","",IFERROR(INDEX(Categories!$B$5:$B$44,MATCH(B527,Categories!$A$5:$A$44,0)),"?"))</f>
        <v/>
      </c>
      <c r="G527">
        <f>IF(A527="","",MONTH(A527))</f>
        <v/>
      </c>
    </row>
    <row r="528">
      <c r="A528" s="25" t="n"/>
      <c r="B528" s="11" t="n"/>
      <c r="C528" s="24" t="n"/>
      <c r="D528" s="11" t="n"/>
      <c r="E528" s="11" t="n"/>
      <c r="F528">
        <f>IF(B528="","",IFERROR(INDEX(Categories!$B$5:$B$44,MATCH(B528,Categories!$A$5:$A$44,0)),"?"))</f>
        <v/>
      </c>
      <c r="G528">
        <f>IF(A528="","",MONTH(A528))</f>
        <v/>
      </c>
    </row>
    <row r="529">
      <c r="A529" s="25" t="n"/>
      <c r="B529" s="11" t="n"/>
      <c r="C529" s="24" t="n"/>
      <c r="D529" s="11" t="n"/>
      <c r="E529" s="11" t="n"/>
      <c r="F529">
        <f>IF(B529="","",IFERROR(INDEX(Categories!$B$5:$B$44,MATCH(B529,Categories!$A$5:$A$44,0)),"?"))</f>
        <v/>
      </c>
      <c r="G529">
        <f>IF(A529="","",MONTH(A529))</f>
        <v/>
      </c>
    </row>
    <row r="530">
      <c r="A530" s="25" t="n"/>
      <c r="B530" s="11" t="n"/>
      <c r="C530" s="24" t="n"/>
      <c r="D530" s="11" t="n"/>
      <c r="E530" s="11" t="n"/>
      <c r="F530">
        <f>IF(B530="","",IFERROR(INDEX(Categories!$B$5:$B$44,MATCH(B530,Categories!$A$5:$A$44,0)),"?"))</f>
        <v/>
      </c>
      <c r="G530">
        <f>IF(A530="","",MONTH(A530))</f>
        <v/>
      </c>
    </row>
    <row r="531">
      <c r="A531" s="25" t="n"/>
      <c r="B531" s="11" t="n"/>
      <c r="C531" s="24" t="n"/>
      <c r="D531" s="11" t="n"/>
      <c r="E531" s="11" t="n"/>
      <c r="F531">
        <f>IF(B531="","",IFERROR(INDEX(Categories!$B$5:$B$44,MATCH(B531,Categories!$A$5:$A$44,0)),"?"))</f>
        <v/>
      </c>
      <c r="G531">
        <f>IF(A531="","",MONTH(A531))</f>
        <v/>
      </c>
    </row>
    <row r="532">
      <c r="A532" s="25" t="n"/>
      <c r="B532" s="11" t="n"/>
      <c r="C532" s="24" t="n"/>
      <c r="D532" s="11" t="n"/>
      <c r="E532" s="11" t="n"/>
      <c r="F532">
        <f>IF(B532="","",IFERROR(INDEX(Categories!$B$5:$B$44,MATCH(B532,Categories!$A$5:$A$44,0)),"?"))</f>
        <v/>
      </c>
      <c r="G532">
        <f>IF(A532="","",MONTH(A532))</f>
        <v/>
      </c>
    </row>
    <row r="533">
      <c r="A533" s="25" t="n"/>
      <c r="B533" s="11" t="n"/>
      <c r="C533" s="24" t="n"/>
      <c r="D533" s="11" t="n"/>
      <c r="E533" s="11" t="n"/>
      <c r="F533">
        <f>IF(B533="","",IFERROR(INDEX(Categories!$B$5:$B$44,MATCH(B533,Categories!$A$5:$A$44,0)),"?"))</f>
        <v/>
      </c>
      <c r="G533">
        <f>IF(A533="","",MONTH(A533))</f>
        <v/>
      </c>
    </row>
    <row r="534">
      <c r="A534" s="25" t="n"/>
      <c r="B534" s="11" t="n"/>
      <c r="C534" s="24" t="n"/>
      <c r="D534" s="11" t="n"/>
      <c r="E534" s="11" t="n"/>
      <c r="F534">
        <f>IF(B534="","",IFERROR(INDEX(Categories!$B$5:$B$44,MATCH(B534,Categories!$A$5:$A$44,0)),"?"))</f>
        <v/>
      </c>
      <c r="G534">
        <f>IF(A534="","",MONTH(A534))</f>
        <v/>
      </c>
    </row>
    <row r="535">
      <c r="A535" s="25" t="n"/>
      <c r="B535" s="11" t="n"/>
      <c r="C535" s="24" t="n"/>
      <c r="D535" s="11" t="n"/>
      <c r="E535" s="11" t="n"/>
      <c r="F535">
        <f>IF(B535="","",IFERROR(INDEX(Categories!$B$5:$B$44,MATCH(B535,Categories!$A$5:$A$44,0)),"?"))</f>
        <v/>
      </c>
      <c r="G535">
        <f>IF(A535="","",MONTH(A535))</f>
        <v/>
      </c>
    </row>
    <row r="536">
      <c r="A536" s="25" t="n"/>
      <c r="B536" s="11" t="n"/>
      <c r="C536" s="24" t="n"/>
      <c r="D536" s="11" t="n"/>
      <c r="E536" s="11" t="n"/>
      <c r="F536">
        <f>IF(B536="","",IFERROR(INDEX(Categories!$B$5:$B$44,MATCH(B536,Categories!$A$5:$A$44,0)),"?"))</f>
        <v/>
      </c>
      <c r="G536">
        <f>IF(A536="","",MONTH(A536))</f>
        <v/>
      </c>
    </row>
    <row r="537">
      <c r="A537" s="25" t="n"/>
      <c r="B537" s="11" t="n"/>
      <c r="C537" s="24" t="n"/>
      <c r="D537" s="11" t="n"/>
      <c r="E537" s="11" t="n"/>
      <c r="F537">
        <f>IF(B537="","",IFERROR(INDEX(Categories!$B$5:$B$44,MATCH(B537,Categories!$A$5:$A$44,0)),"?"))</f>
        <v/>
      </c>
      <c r="G537">
        <f>IF(A537="","",MONTH(A537))</f>
        <v/>
      </c>
    </row>
    <row r="538">
      <c r="A538" s="25" t="n"/>
      <c r="B538" s="11" t="n"/>
      <c r="C538" s="24" t="n"/>
      <c r="D538" s="11" t="n"/>
      <c r="E538" s="11" t="n"/>
      <c r="F538">
        <f>IF(B538="","",IFERROR(INDEX(Categories!$B$5:$B$44,MATCH(B538,Categories!$A$5:$A$44,0)),"?"))</f>
        <v/>
      </c>
      <c r="G538">
        <f>IF(A538="","",MONTH(A538))</f>
        <v/>
      </c>
    </row>
    <row r="539">
      <c r="A539" s="25" t="n"/>
      <c r="B539" s="11" t="n"/>
      <c r="C539" s="24" t="n"/>
      <c r="D539" s="11" t="n"/>
      <c r="E539" s="11" t="n"/>
      <c r="F539">
        <f>IF(B539="","",IFERROR(INDEX(Categories!$B$5:$B$44,MATCH(B539,Categories!$A$5:$A$44,0)),"?"))</f>
        <v/>
      </c>
      <c r="G539">
        <f>IF(A539="","",MONTH(A539))</f>
        <v/>
      </c>
    </row>
    <row r="540">
      <c r="A540" s="25" t="n"/>
      <c r="B540" s="11" t="n"/>
      <c r="C540" s="24" t="n"/>
      <c r="D540" s="11" t="n"/>
      <c r="E540" s="11" t="n"/>
      <c r="F540">
        <f>IF(B540="","",IFERROR(INDEX(Categories!$B$5:$B$44,MATCH(B540,Categories!$A$5:$A$44,0)),"?"))</f>
        <v/>
      </c>
      <c r="G540">
        <f>IF(A540="","",MONTH(A540))</f>
        <v/>
      </c>
    </row>
    <row r="541">
      <c r="A541" s="25" t="n"/>
      <c r="B541" s="11" t="n"/>
      <c r="C541" s="24" t="n"/>
      <c r="D541" s="11" t="n"/>
      <c r="E541" s="11" t="n"/>
      <c r="F541">
        <f>IF(B541="","",IFERROR(INDEX(Categories!$B$5:$B$44,MATCH(B541,Categories!$A$5:$A$44,0)),"?"))</f>
        <v/>
      </c>
      <c r="G541">
        <f>IF(A541="","",MONTH(A541))</f>
        <v/>
      </c>
    </row>
    <row r="542">
      <c r="A542" s="25" t="n"/>
      <c r="B542" s="11" t="n"/>
      <c r="C542" s="24" t="n"/>
      <c r="D542" s="11" t="n"/>
      <c r="E542" s="11" t="n"/>
      <c r="F542">
        <f>IF(B542="","",IFERROR(INDEX(Categories!$B$5:$B$44,MATCH(B542,Categories!$A$5:$A$44,0)),"?"))</f>
        <v/>
      </c>
      <c r="G542">
        <f>IF(A542="","",MONTH(A542))</f>
        <v/>
      </c>
    </row>
    <row r="543">
      <c r="A543" s="25" t="n"/>
      <c r="B543" s="11" t="n"/>
      <c r="C543" s="24" t="n"/>
      <c r="D543" s="11" t="n"/>
      <c r="E543" s="11" t="n"/>
      <c r="F543">
        <f>IF(B543="","",IFERROR(INDEX(Categories!$B$5:$B$44,MATCH(B543,Categories!$A$5:$A$44,0)),"?"))</f>
        <v/>
      </c>
      <c r="G543">
        <f>IF(A543="","",MONTH(A543))</f>
        <v/>
      </c>
    </row>
    <row r="544">
      <c r="A544" s="25" t="n"/>
      <c r="B544" s="11" t="n"/>
      <c r="C544" s="24" t="n"/>
      <c r="D544" s="11" t="n"/>
      <c r="E544" s="11" t="n"/>
      <c r="F544">
        <f>IF(B544="","",IFERROR(INDEX(Categories!$B$5:$B$44,MATCH(B544,Categories!$A$5:$A$44,0)),"?"))</f>
        <v/>
      </c>
      <c r="G544">
        <f>IF(A544="","",MONTH(A544))</f>
        <v/>
      </c>
    </row>
    <row r="545">
      <c r="A545" s="25" t="n"/>
      <c r="B545" s="11" t="n"/>
      <c r="C545" s="24" t="n"/>
      <c r="D545" s="11" t="n"/>
      <c r="E545" s="11" t="n"/>
      <c r="F545">
        <f>IF(B545="","",IFERROR(INDEX(Categories!$B$5:$B$44,MATCH(B545,Categories!$A$5:$A$44,0)),"?"))</f>
        <v/>
      </c>
      <c r="G545">
        <f>IF(A545="","",MONTH(A545))</f>
        <v/>
      </c>
    </row>
    <row r="546">
      <c r="A546" s="25" t="n"/>
      <c r="B546" s="11" t="n"/>
      <c r="C546" s="24" t="n"/>
      <c r="D546" s="11" t="n"/>
      <c r="E546" s="11" t="n"/>
      <c r="F546">
        <f>IF(B546="","",IFERROR(INDEX(Categories!$B$5:$B$44,MATCH(B546,Categories!$A$5:$A$44,0)),"?"))</f>
        <v/>
      </c>
      <c r="G546">
        <f>IF(A546="","",MONTH(A546))</f>
        <v/>
      </c>
    </row>
    <row r="547">
      <c r="A547" s="25" t="n"/>
      <c r="B547" s="11" t="n"/>
      <c r="C547" s="24" t="n"/>
      <c r="D547" s="11" t="n"/>
      <c r="E547" s="11" t="n"/>
      <c r="F547">
        <f>IF(B547="","",IFERROR(INDEX(Categories!$B$5:$B$44,MATCH(B547,Categories!$A$5:$A$44,0)),"?"))</f>
        <v/>
      </c>
      <c r="G547">
        <f>IF(A547="","",MONTH(A547))</f>
        <v/>
      </c>
    </row>
    <row r="548">
      <c r="A548" s="25" t="n"/>
      <c r="B548" s="11" t="n"/>
      <c r="C548" s="24" t="n"/>
      <c r="D548" s="11" t="n"/>
      <c r="E548" s="11" t="n"/>
      <c r="F548">
        <f>IF(B548="","",IFERROR(INDEX(Categories!$B$5:$B$44,MATCH(B548,Categories!$A$5:$A$44,0)),"?"))</f>
        <v/>
      </c>
      <c r="G548">
        <f>IF(A548="","",MONTH(A548))</f>
        <v/>
      </c>
    </row>
    <row r="549">
      <c r="A549" s="25" t="n"/>
      <c r="B549" s="11" t="n"/>
      <c r="C549" s="24" t="n"/>
      <c r="D549" s="11" t="n"/>
      <c r="E549" s="11" t="n"/>
      <c r="F549">
        <f>IF(B549="","",IFERROR(INDEX(Categories!$B$5:$B$44,MATCH(B549,Categories!$A$5:$A$44,0)),"?"))</f>
        <v/>
      </c>
      <c r="G549">
        <f>IF(A549="","",MONTH(A549))</f>
        <v/>
      </c>
    </row>
    <row r="550">
      <c r="A550" s="25" t="n"/>
      <c r="B550" s="11" t="n"/>
      <c r="C550" s="24" t="n"/>
      <c r="D550" s="11" t="n"/>
      <c r="E550" s="11" t="n"/>
      <c r="F550">
        <f>IF(B550="","",IFERROR(INDEX(Categories!$B$5:$B$44,MATCH(B550,Categories!$A$5:$A$44,0)),"?"))</f>
        <v/>
      </c>
      <c r="G550">
        <f>IF(A550="","",MONTH(A550))</f>
        <v/>
      </c>
    </row>
    <row r="551">
      <c r="A551" s="25" t="n"/>
      <c r="B551" s="11" t="n"/>
      <c r="C551" s="24" t="n"/>
      <c r="D551" s="11" t="n"/>
      <c r="E551" s="11" t="n"/>
      <c r="F551">
        <f>IF(B551="","",IFERROR(INDEX(Categories!$B$5:$B$44,MATCH(B551,Categories!$A$5:$A$44,0)),"?"))</f>
        <v/>
      </c>
      <c r="G551">
        <f>IF(A551="","",MONTH(A551))</f>
        <v/>
      </c>
    </row>
    <row r="552">
      <c r="A552" s="25" t="n"/>
      <c r="B552" s="11" t="n"/>
      <c r="C552" s="24" t="n"/>
      <c r="D552" s="11" t="n"/>
      <c r="E552" s="11" t="n"/>
      <c r="F552">
        <f>IF(B552="","",IFERROR(INDEX(Categories!$B$5:$B$44,MATCH(B552,Categories!$A$5:$A$44,0)),"?"))</f>
        <v/>
      </c>
      <c r="G552">
        <f>IF(A552="","",MONTH(A552))</f>
        <v/>
      </c>
    </row>
    <row r="553">
      <c r="A553" s="25" t="n"/>
      <c r="B553" s="11" t="n"/>
      <c r="C553" s="24" t="n"/>
      <c r="D553" s="11" t="n"/>
      <c r="E553" s="11" t="n"/>
      <c r="F553">
        <f>IF(B553="","",IFERROR(INDEX(Categories!$B$5:$B$44,MATCH(B553,Categories!$A$5:$A$44,0)),"?"))</f>
        <v/>
      </c>
      <c r="G553">
        <f>IF(A553="","",MONTH(A553))</f>
        <v/>
      </c>
    </row>
    <row r="554">
      <c r="A554" s="25" t="n"/>
      <c r="B554" s="11" t="n"/>
      <c r="C554" s="24" t="n"/>
      <c r="D554" s="11" t="n"/>
      <c r="E554" s="11" t="n"/>
      <c r="F554">
        <f>IF(B554="","",IFERROR(INDEX(Categories!$B$5:$B$44,MATCH(B554,Categories!$A$5:$A$44,0)),"?"))</f>
        <v/>
      </c>
      <c r="G554">
        <f>IF(A554="","",MONTH(A554))</f>
        <v/>
      </c>
    </row>
    <row r="555">
      <c r="A555" s="25" t="n"/>
      <c r="B555" s="11" t="n"/>
      <c r="C555" s="24" t="n"/>
      <c r="D555" s="11" t="n"/>
      <c r="E555" s="11" t="n"/>
      <c r="F555">
        <f>IF(B555="","",IFERROR(INDEX(Categories!$B$5:$B$44,MATCH(B555,Categories!$A$5:$A$44,0)),"?"))</f>
        <v/>
      </c>
      <c r="G555">
        <f>IF(A555="","",MONTH(A555))</f>
        <v/>
      </c>
    </row>
    <row r="556">
      <c r="A556" s="25" t="n"/>
      <c r="B556" s="11" t="n"/>
      <c r="C556" s="24" t="n"/>
      <c r="D556" s="11" t="n"/>
      <c r="E556" s="11" t="n"/>
      <c r="F556">
        <f>IF(B556="","",IFERROR(INDEX(Categories!$B$5:$B$44,MATCH(B556,Categories!$A$5:$A$44,0)),"?"))</f>
        <v/>
      </c>
      <c r="G556">
        <f>IF(A556="","",MONTH(A556))</f>
        <v/>
      </c>
    </row>
    <row r="557">
      <c r="A557" s="25" t="n"/>
      <c r="B557" s="11" t="n"/>
      <c r="C557" s="24" t="n"/>
      <c r="D557" s="11" t="n"/>
      <c r="E557" s="11" t="n"/>
      <c r="F557">
        <f>IF(B557="","",IFERROR(INDEX(Categories!$B$5:$B$44,MATCH(B557,Categories!$A$5:$A$44,0)),"?"))</f>
        <v/>
      </c>
      <c r="G557">
        <f>IF(A557="","",MONTH(A557))</f>
        <v/>
      </c>
    </row>
    <row r="558">
      <c r="A558" s="25" t="n"/>
      <c r="B558" s="11" t="n"/>
      <c r="C558" s="24" t="n"/>
      <c r="D558" s="11" t="n"/>
      <c r="E558" s="11" t="n"/>
      <c r="F558">
        <f>IF(B558="","",IFERROR(INDEX(Categories!$B$5:$B$44,MATCH(B558,Categories!$A$5:$A$44,0)),"?"))</f>
        <v/>
      </c>
      <c r="G558">
        <f>IF(A558="","",MONTH(A558))</f>
        <v/>
      </c>
    </row>
    <row r="559">
      <c r="A559" s="25" t="n"/>
      <c r="B559" s="11" t="n"/>
      <c r="C559" s="24" t="n"/>
      <c r="D559" s="11" t="n"/>
      <c r="E559" s="11" t="n"/>
      <c r="F559">
        <f>IF(B559="","",IFERROR(INDEX(Categories!$B$5:$B$44,MATCH(B559,Categories!$A$5:$A$44,0)),"?"))</f>
        <v/>
      </c>
      <c r="G559">
        <f>IF(A559="","",MONTH(A559))</f>
        <v/>
      </c>
    </row>
    <row r="560">
      <c r="A560" s="25" t="n"/>
      <c r="B560" s="11" t="n"/>
      <c r="C560" s="24" t="n"/>
      <c r="D560" s="11" t="n"/>
      <c r="E560" s="11" t="n"/>
      <c r="F560">
        <f>IF(B560="","",IFERROR(INDEX(Categories!$B$5:$B$44,MATCH(B560,Categories!$A$5:$A$44,0)),"?"))</f>
        <v/>
      </c>
      <c r="G560">
        <f>IF(A560="","",MONTH(A560))</f>
        <v/>
      </c>
    </row>
    <row r="561">
      <c r="A561" s="25" t="n"/>
      <c r="B561" s="11" t="n"/>
      <c r="C561" s="24" t="n"/>
      <c r="D561" s="11" t="n"/>
      <c r="E561" s="11" t="n"/>
      <c r="F561">
        <f>IF(B561="","",IFERROR(INDEX(Categories!$B$5:$B$44,MATCH(B561,Categories!$A$5:$A$44,0)),"?"))</f>
        <v/>
      </c>
      <c r="G561">
        <f>IF(A561="","",MONTH(A561))</f>
        <v/>
      </c>
    </row>
    <row r="562">
      <c r="A562" s="25" t="n"/>
      <c r="B562" s="11" t="n"/>
      <c r="C562" s="24" t="n"/>
      <c r="D562" s="11" t="n"/>
      <c r="E562" s="11" t="n"/>
      <c r="F562">
        <f>IF(B562="","",IFERROR(INDEX(Categories!$B$5:$B$44,MATCH(B562,Categories!$A$5:$A$44,0)),"?"))</f>
        <v/>
      </c>
      <c r="G562">
        <f>IF(A562="","",MONTH(A562))</f>
        <v/>
      </c>
    </row>
    <row r="563">
      <c r="A563" s="25" t="n"/>
      <c r="B563" s="11" t="n"/>
      <c r="C563" s="24" t="n"/>
      <c r="D563" s="11" t="n"/>
      <c r="E563" s="11" t="n"/>
      <c r="F563">
        <f>IF(B563="","",IFERROR(INDEX(Categories!$B$5:$B$44,MATCH(B563,Categories!$A$5:$A$44,0)),"?"))</f>
        <v/>
      </c>
      <c r="G563">
        <f>IF(A563="","",MONTH(A563))</f>
        <v/>
      </c>
    </row>
    <row r="564">
      <c r="A564" s="25" t="n"/>
      <c r="B564" s="11" t="n"/>
      <c r="C564" s="24" t="n"/>
      <c r="D564" s="11" t="n"/>
      <c r="E564" s="11" t="n"/>
      <c r="F564">
        <f>IF(B564="","",IFERROR(INDEX(Categories!$B$5:$B$44,MATCH(B564,Categories!$A$5:$A$44,0)),"?"))</f>
        <v/>
      </c>
      <c r="G564">
        <f>IF(A564="","",MONTH(A564))</f>
        <v/>
      </c>
    </row>
    <row r="565">
      <c r="A565" s="25" t="n"/>
      <c r="B565" s="11" t="n"/>
      <c r="C565" s="24" t="n"/>
      <c r="D565" s="11" t="n"/>
      <c r="E565" s="11" t="n"/>
      <c r="F565">
        <f>IF(B565="","",IFERROR(INDEX(Categories!$B$5:$B$44,MATCH(B565,Categories!$A$5:$A$44,0)),"?"))</f>
        <v/>
      </c>
      <c r="G565">
        <f>IF(A565="","",MONTH(A565))</f>
        <v/>
      </c>
    </row>
    <row r="566">
      <c r="A566" s="25" t="n"/>
      <c r="B566" s="11" t="n"/>
      <c r="C566" s="24" t="n"/>
      <c r="D566" s="11" t="n"/>
      <c r="E566" s="11" t="n"/>
      <c r="F566">
        <f>IF(B566="","",IFERROR(INDEX(Categories!$B$5:$B$44,MATCH(B566,Categories!$A$5:$A$44,0)),"?"))</f>
        <v/>
      </c>
      <c r="G566">
        <f>IF(A566="","",MONTH(A566))</f>
        <v/>
      </c>
    </row>
    <row r="567">
      <c r="A567" s="25" t="n"/>
      <c r="B567" s="11" t="n"/>
      <c r="C567" s="24" t="n"/>
      <c r="D567" s="11" t="n"/>
      <c r="E567" s="11" t="n"/>
      <c r="F567">
        <f>IF(B567="","",IFERROR(INDEX(Categories!$B$5:$B$44,MATCH(B567,Categories!$A$5:$A$44,0)),"?"))</f>
        <v/>
      </c>
      <c r="G567">
        <f>IF(A567="","",MONTH(A567))</f>
        <v/>
      </c>
    </row>
    <row r="568">
      <c r="A568" s="25" t="n"/>
      <c r="B568" s="11" t="n"/>
      <c r="C568" s="24" t="n"/>
      <c r="D568" s="11" t="n"/>
      <c r="E568" s="11" t="n"/>
      <c r="F568">
        <f>IF(B568="","",IFERROR(INDEX(Categories!$B$5:$B$44,MATCH(B568,Categories!$A$5:$A$44,0)),"?"))</f>
        <v/>
      </c>
      <c r="G568">
        <f>IF(A568="","",MONTH(A568))</f>
        <v/>
      </c>
    </row>
    <row r="569">
      <c r="A569" s="25" t="n"/>
      <c r="B569" s="11" t="n"/>
      <c r="C569" s="24" t="n"/>
      <c r="D569" s="11" t="n"/>
      <c r="E569" s="11" t="n"/>
      <c r="F569">
        <f>IF(B569="","",IFERROR(INDEX(Categories!$B$5:$B$44,MATCH(B569,Categories!$A$5:$A$44,0)),"?"))</f>
        <v/>
      </c>
      <c r="G569">
        <f>IF(A569="","",MONTH(A569))</f>
        <v/>
      </c>
    </row>
    <row r="570">
      <c r="A570" s="25" t="n"/>
      <c r="B570" s="11" t="n"/>
      <c r="C570" s="24" t="n"/>
      <c r="D570" s="11" t="n"/>
      <c r="E570" s="11" t="n"/>
      <c r="F570">
        <f>IF(B570="","",IFERROR(INDEX(Categories!$B$5:$B$44,MATCH(B570,Categories!$A$5:$A$44,0)),"?"))</f>
        <v/>
      </c>
      <c r="G570">
        <f>IF(A570="","",MONTH(A570))</f>
        <v/>
      </c>
    </row>
    <row r="571">
      <c r="A571" s="25" t="n"/>
      <c r="B571" s="11" t="n"/>
      <c r="C571" s="24" t="n"/>
      <c r="D571" s="11" t="n"/>
      <c r="E571" s="11" t="n"/>
      <c r="F571">
        <f>IF(B571="","",IFERROR(INDEX(Categories!$B$5:$B$44,MATCH(B571,Categories!$A$5:$A$44,0)),"?"))</f>
        <v/>
      </c>
      <c r="G571">
        <f>IF(A571="","",MONTH(A571))</f>
        <v/>
      </c>
    </row>
    <row r="572">
      <c r="A572" s="25" t="n"/>
      <c r="B572" s="11" t="n"/>
      <c r="C572" s="24" t="n"/>
      <c r="D572" s="11" t="n"/>
      <c r="E572" s="11" t="n"/>
      <c r="F572">
        <f>IF(B572="","",IFERROR(INDEX(Categories!$B$5:$B$44,MATCH(B572,Categories!$A$5:$A$44,0)),"?"))</f>
        <v/>
      </c>
      <c r="G572">
        <f>IF(A572="","",MONTH(A572))</f>
        <v/>
      </c>
    </row>
    <row r="573">
      <c r="A573" s="25" t="n"/>
      <c r="B573" s="11" t="n"/>
      <c r="C573" s="24" t="n"/>
      <c r="D573" s="11" t="n"/>
      <c r="E573" s="11" t="n"/>
      <c r="F573">
        <f>IF(B573="","",IFERROR(INDEX(Categories!$B$5:$B$44,MATCH(B573,Categories!$A$5:$A$44,0)),"?"))</f>
        <v/>
      </c>
      <c r="G573">
        <f>IF(A573="","",MONTH(A573))</f>
        <v/>
      </c>
    </row>
    <row r="574">
      <c r="A574" s="25" t="n"/>
      <c r="B574" s="11" t="n"/>
      <c r="C574" s="24" t="n"/>
      <c r="D574" s="11" t="n"/>
      <c r="E574" s="11" t="n"/>
      <c r="F574">
        <f>IF(B574="","",IFERROR(INDEX(Categories!$B$5:$B$44,MATCH(B574,Categories!$A$5:$A$44,0)),"?"))</f>
        <v/>
      </c>
      <c r="G574">
        <f>IF(A574="","",MONTH(A574))</f>
        <v/>
      </c>
    </row>
    <row r="575">
      <c r="A575" s="25" t="n"/>
      <c r="B575" s="11" t="n"/>
      <c r="C575" s="24" t="n"/>
      <c r="D575" s="11" t="n"/>
      <c r="E575" s="11" t="n"/>
      <c r="F575">
        <f>IF(B575="","",IFERROR(INDEX(Categories!$B$5:$B$44,MATCH(B575,Categories!$A$5:$A$44,0)),"?"))</f>
        <v/>
      </c>
      <c r="G575">
        <f>IF(A575="","",MONTH(A575))</f>
        <v/>
      </c>
    </row>
    <row r="576">
      <c r="A576" s="25" t="n"/>
      <c r="B576" s="11" t="n"/>
      <c r="C576" s="24" t="n"/>
      <c r="D576" s="11" t="n"/>
      <c r="E576" s="11" t="n"/>
      <c r="F576">
        <f>IF(B576="","",IFERROR(INDEX(Categories!$B$5:$B$44,MATCH(B576,Categories!$A$5:$A$44,0)),"?"))</f>
        <v/>
      </c>
      <c r="G576">
        <f>IF(A576="","",MONTH(A576))</f>
        <v/>
      </c>
    </row>
    <row r="577">
      <c r="A577" s="25" t="n"/>
      <c r="B577" s="11" t="n"/>
      <c r="C577" s="24" t="n"/>
      <c r="D577" s="11" t="n"/>
      <c r="E577" s="11" t="n"/>
      <c r="F577">
        <f>IF(B577="","",IFERROR(INDEX(Categories!$B$5:$B$44,MATCH(B577,Categories!$A$5:$A$44,0)),"?"))</f>
        <v/>
      </c>
      <c r="G577">
        <f>IF(A577="","",MONTH(A577))</f>
        <v/>
      </c>
    </row>
    <row r="578">
      <c r="A578" s="25" t="n"/>
      <c r="B578" s="11" t="n"/>
      <c r="C578" s="24" t="n"/>
      <c r="D578" s="11" t="n"/>
      <c r="E578" s="11" t="n"/>
      <c r="F578">
        <f>IF(B578="","",IFERROR(INDEX(Categories!$B$5:$B$44,MATCH(B578,Categories!$A$5:$A$44,0)),"?"))</f>
        <v/>
      </c>
      <c r="G578">
        <f>IF(A578="","",MONTH(A578))</f>
        <v/>
      </c>
    </row>
    <row r="579">
      <c r="A579" s="25" t="n"/>
      <c r="B579" s="11" t="n"/>
      <c r="C579" s="24" t="n"/>
      <c r="D579" s="11" t="n"/>
      <c r="E579" s="11" t="n"/>
      <c r="F579">
        <f>IF(B579="","",IFERROR(INDEX(Categories!$B$5:$B$44,MATCH(B579,Categories!$A$5:$A$44,0)),"?"))</f>
        <v/>
      </c>
      <c r="G579">
        <f>IF(A579="","",MONTH(A579))</f>
        <v/>
      </c>
    </row>
    <row r="580">
      <c r="A580" s="25" t="n"/>
      <c r="B580" s="11" t="n"/>
      <c r="C580" s="24" t="n"/>
      <c r="D580" s="11" t="n"/>
      <c r="E580" s="11" t="n"/>
      <c r="F580">
        <f>IF(B580="","",IFERROR(INDEX(Categories!$B$5:$B$44,MATCH(B580,Categories!$A$5:$A$44,0)),"?"))</f>
        <v/>
      </c>
      <c r="G580">
        <f>IF(A580="","",MONTH(A580))</f>
        <v/>
      </c>
    </row>
    <row r="581">
      <c r="A581" s="25" t="n"/>
      <c r="B581" s="11" t="n"/>
      <c r="C581" s="24" t="n"/>
      <c r="D581" s="11" t="n"/>
      <c r="E581" s="11" t="n"/>
      <c r="F581">
        <f>IF(B581="","",IFERROR(INDEX(Categories!$B$5:$B$44,MATCH(B581,Categories!$A$5:$A$44,0)),"?"))</f>
        <v/>
      </c>
      <c r="G581">
        <f>IF(A581="","",MONTH(A581))</f>
        <v/>
      </c>
    </row>
    <row r="582">
      <c r="A582" s="25" t="n"/>
      <c r="B582" s="11" t="n"/>
      <c r="C582" s="24" t="n"/>
      <c r="D582" s="11" t="n"/>
      <c r="E582" s="11" t="n"/>
      <c r="F582">
        <f>IF(B582="","",IFERROR(INDEX(Categories!$B$5:$B$44,MATCH(B582,Categories!$A$5:$A$44,0)),"?"))</f>
        <v/>
      </c>
      <c r="G582">
        <f>IF(A582="","",MONTH(A582))</f>
        <v/>
      </c>
    </row>
    <row r="583">
      <c r="A583" s="25" t="n"/>
      <c r="B583" s="11" t="n"/>
      <c r="C583" s="24" t="n"/>
      <c r="D583" s="11" t="n"/>
      <c r="E583" s="11" t="n"/>
      <c r="F583">
        <f>IF(B583="","",IFERROR(INDEX(Categories!$B$5:$B$44,MATCH(B583,Categories!$A$5:$A$44,0)),"?"))</f>
        <v/>
      </c>
      <c r="G583">
        <f>IF(A583="","",MONTH(A583))</f>
        <v/>
      </c>
    </row>
    <row r="584">
      <c r="A584" s="25" t="n"/>
      <c r="B584" s="11" t="n"/>
      <c r="C584" s="24" t="n"/>
      <c r="D584" s="11" t="n"/>
      <c r="E584" s="11" t="n"/>
      <c r="F584">
        <f>IF(B584="","",IFERROR(INDEX(Categories!$B$5:$B$44,MATCH(B584,Categories!$A$5:$A$44,0)),"?"))</f>
        <v/>
      </c>
      <c r="G584">
        <f>IF(A584="","",MONTH(A584))</f>
        <v/>
      </c>
    </row>
    <row r="585">
      <c r="A585" s="25" t="n"/>
      <c r="B585" s="11" t="n"/>
      <c r="C585" s="24" t="n"/>
      <c r="D585" s="11" t="n"/>
      <c r="E585" s="11" t="n"/>
      <c r="F585">
        <f>IF(B585="","",IFERROR(INDEX(Categories!$B$5:$B$44,MATCH(B585,Categories!$A$5:$A$44,0)),"?"))</f>
        <v/>
      </c>
      <c r="G585">
        <f>IF(A585="","",MONTH(A585))</f>
        <v/>
      </c>
    </row>
    <row r="586">
      <c r="A586" s="25" t="n"/>
      <c r="B586" s="11" t="n"/>
      <c r="C586" s="24" t="n"/>
      <c r="D586" s="11" t="n"/>
      <c r="E586" s="11" t="n"/>
      <c r="F586">
        <f>IF(B586="","",IFERROR(INDEX(Categories!$B$5:$B$44,MATCH(B586,Categories!$A$5:$A$44,0)),"?"))</f>
        <v/>
      </c>
      <c r="G586">
        <f>IF(A586="","",MONTH(A586))</f>
        <v/>
      </c>
    </row>
    <row r="587">
      <c r="A587" s="25" t="n"/>
      <c r="B587" s="11" t="n"/>
      <c r="C587" s="24" t="n"/>
      <c r="D587" s="11" t="n"/>
      <c r="E587" s="11" t="n"/>
      <c r="F587">
        <f>IF(B587="","",IFERROR(INDEX(Categories!$B$5:$B$44,MATCH(B587,Categories!$A$5:$A$44,0)),"?"))</f>
        <v/>
      </c>
      <c r="G587">
        <f>IF(A587="","",MONTH(A587))</f>
        <v/>
      </c>
    </row>
    <row r="588">
      <c r="A588" s="25" t="n"/>
      <c r="B588" s="11" t="n"/>
      <c r="C588" s="24" t="n"/>
      <c r="D588" s="11" t="n"/>
      <c r="E588" s="11" t="n"/>
      <c r="F588">
        <f>IF(B588="","",IFERROR(INDEX(Categories!$B$5:$B$44,MATCH(B588,Categories!$A$5:$A$44,0)),"?"))</f>
        <v/>
      </c>
      <c r="G588">
        <f>IF(A588="","",MONTH(A588))</f>
        <v/>
      </c>
    </row>
    <row r="589">
      <c r="A589" s="25" t="n"/>
      <c r="B589" s="11" t="n"/>
      <c r="C589" s="24" t="n"/>
      <c r="D589" s="11" t="n"/>
      <c r="E589" s="11" t="n"/>
      <c r="F589">
        <f>IF(B589="","",IFERROR(INDEX(Categories!$B$5:$B$44,MATCH(B589,Categories!$A$5:$A$44,0)),"?"))</f>
        <v/>
      </c>
      <c r="G589">
        <f>IF(A589="","",MONTH(A589))</f>
        <v/>
      </c>
    </row>
    <row r="590">
      <c r="A590" s="25" t="n"/>
      <c r="B590" s="11" t="n"/>
      <c r="C590" s="24" t="n"/>
      <c r="D590" s="11" t="n"/>
      <c r="E590" s="11" t="n"/>
      <c r="F590">
        <f>IF(B590="","",IFERROR(INDEX(Categories!$B$5:$B$44,MATCH(B590,Categories!$A$5:$A$44,0)),"?"))</f>
        <v/>
      </c>
      <c r="G590">
        <f>IF(A590="","",MONTH(A590))</f>
        <v/>
      </c>
    </row>
    <row r="591">
      <c r="A591" s="25" t="n"/>
      <c r="B591" s="11" t="n"/>
      <c r="C591" s="24" t="n"/>
      <c r="D591" s="11" t="n"/>
      <c r="E591" s="11" t="n"/>
      <c r="F591">
        <f>IF(B591="","",IFERROR(INDEX(Categories!$B$5:$B$44,MATCH(B591,Categories!$A$5:$A$44,0)),"?"))</f>
        <v/>
      </c>
      <c r="G591">
        <f>IF(A591="","",MONTH(A591))</f>
        <v/>
      </c>
    </row>
    <row r="592">
      <c r="A592" s="25" t="n"/>
      <c r="B592" s="11" t="n"/>
      <c r="C592" s="24" t="n"/>
      <c r="D592" s="11" t="n"/>
      <c r="E592" s="11" t="n"/>
      <c r="F592">
        <f>IF(B592="","",IFERROR(INDEX(Categories!$B$5:$B$44,MATCH(B592,Categories!$A$5:$A$44,0)),"?"))</f>
        <v/>
      </c>
      <c r="G592">
        <f>IF(A592="","",MONTH(A592))</f>
        <v/>
      </c>
    </row>
    <row r="593">
      <c r="A593" s="25" t="n"/>
      <c r="B593" s="11" t="n"/>
      <c r="C593" s="24" t="n"/>
      <c r="D593" s="11" t="n"/>
      <c r="E593" s="11" t="n"/>
      <c r="F593">
        <f>IF(B593="","",IFERROR(INDEX(Categories!$B$5:$B$44,MATCH(B593,Categories!$A$5:$A$44,0)),"?"))</f>
        <v/>
      </c>
      <c r="G593">
        <f>IF(A593="","",MONTH(A593))</f>
        <v/>
      </c>
    </row>
    <row r="594">
      <c r="A594" s="25" t="n"/>
      <c r="B594" s="11" t="n"/>
      <c r="C594" s="24" t="n"/>
      <c r="D594" s="11" t="n"/>
      <c r="E594" s="11" t="n"/>
      <c r="F594">
        <f>IF(B594="","",IFERROR(INDEX(Categories!$B$5:$B$44,MATCH(B594,Categories!$A$5:$A$44,0)),"?"))</f>
        <v/>
      </c>
      <c r="G594">
        <f>IF(A594="","",MONTH(A594))</f>
        <v/>
      </c>
    </row>
    <row r="595">
      <c r="A595" s="25" t="n"/>
      <c r="B595" s="11" t="n"/>
      <c r="C595" s="24" t="n"/>
      <c r="D595" s="11" t="n"/>
      <c r="E595" s="11" t="n"/>
      <c r="F595">
        <f>IF(B595="","",IFERROR(INDEX(Categories!$B$5:$B$44,MATCH(B595,Categories!$A$5:$A$44,0)),"?"))</f>
        <v/>
      </c>
      <c r="G595">
        <f>IF(A595="","",MONTH(A595))</f>
        <v/>
      </c>
    </row>
    <row r="596">
      <c r="A596" s="25" t="n"/>
      <c r="B596" s="11" t="n"/>
      <c r="C596" s="24" t="n"/>
      <c r="D596" s="11" t="n"/>
      <c r="E596" s="11" t="n"/>
      <c r="F596">
        <f>IF(B596="","",IFERROR(INDEX(Categories!$B$5:$B$44,MATCH(B596,Categories!$A$5:$A$44,0)),"?"))</f>
        <v/>
      </c>
      <c r="G596">
        <f>IF(A596="","",MONTH(A596))</f>
        <v/>
      </c>
    </row>
    <row r="597">
      <c r="A597" s="25" t="n"/>
      <c r="B597" s="11" t="n"/>
      <c r="C597" s="24" t="n"/>
      <c r="D597" s="11" t="n"/>
      <c r="E597" s="11" t="n"/>
      <c r="F597">
        <f>IF(B597="","",IFERROR(INDEX(Categories!$B$5:$B$44,MATCH(B597,Categories!$A$5:$A$44,0)),"?"))</f>
        <v/>
      </c>
      <c r="G597">
        <f>IF(A597="","",MONTH(A597))</f>
        <v/>
      </c>
    </row>
    <row r="598">
      <c r="A598" s="25" t="n"/>
      <c r="B598" s="11" t="n"/>
      <c r="C598" s="24" t="n"/>
      <c r="D598" s="11" t="n"/>
      <c r="E598" s="11" t="n"/>
      <c r="F598">
        <f>IF(B598="","",IFERROR(INDEX(Categories!$B$5:$B$44,MATCH(B598,Categories!$A$5:$A$44,0)),"?"))</f>
        <v/>
      </c>
      <c r="G598">
        <f>IF(A598="","",MONTH(A598))</f>
        <v/>
      </c>
    </row>
    <row r="599">
      <c r="A599" s="25" t="n"/>
      <c r="B599" s="11" t="n"/>
      <c r="C599" s="24" t="n"/>
      <c r="D599" s="11" t="n"/>
      <c r="E599" s="11" t="n"/>
      <c r="F599">
        <f>IF(B599="","",IFERROR(INDEX(Categories!$B$5:$B$44,MATCH(B599,Categories!$A$5:$A$44,0)),"?"))</f>
        <v/>
      </c>
      <c r="G599">
        <f>IF(A599="","",MONTH(A599))</f>
        <v/>
      </c>
    </row>
    <row r="600">
      <c r="A600" s="25" t="n"/>
      <c r="B600" s="11" t="n"/>
      <c r="C600" s="24" t="n"/>
      <c r="D600" s="11" t="n"/>
      <c r="E600" s="11" t="n"/>
      <c r="F600">
        <f>IF(B600="","",IFERROR(INDEX(Categories!$B$5:$B$44,MATCH(B600,Categories!$A$5:$A$44,0)),"?"))</f>
        <v/>
      </c>
      <c r="G600">
        <f>IF(A600="","",MONTH(A600))</f>
        <v/>
      </c>
    </row>
    <row r="601">
      <c r="A601" s="25" t="n"/>
      <c r="B601" s="11" t="n"/>
      <c r="C601" s="24" t="n"/>
      <c r="D601" s="11" t="n"/>
      <c r="E601" s="11" t="n"/>
      <c r="F601">
        <f>IF(B601="","",IFERROR(INDEX(Categories!$B$5:$B$44,MATCH(B601,Categories!$A$5:$A$44,0)),"?"))</f>
        <v/>
      </c>
      <c r="G601">
        <f>IF(A601="","",MONTH(A601))</f>
        <v/>
      </c>
    </row>
    <row r="602">
      <c r="A602" s="25" t="n"/>
      <c r="B602" s="11" t="n"/>
      <c r="C602" s="24" t="n"/>
      <c r="D602" s="11" t="n"/>
      <c r="E602" s="11" t="n"/>
      <c r="F602">
        <f>IF(B602="","",IFERROR(INDEX(Categories!$B$5:$B$44,MATCH(B602,Categories!$A$5:$A$44,0)),"?"))</f>
        <v/>
      </c>
      <c r="G602">
        <f>IF(A602="","",MONTH(A602))</f>
        <v/>
      </c>
    </row>
    <row r="603">
      <c r="A603" s="25" t="n"/>
      <c r="B603" s="11" t="n"/>
      <c r="C603" s="24" t="n"/>
      <c r="D603" s="11" t="n"/>
      <c r="E603" s="11" t="n"/>
      <c r="F603">
        <f>IF(B603="","",IFERROR(INDEX(Categories!$B$5:$B$44,MATCH(B603,Categories!$A$5:$A$44,0)),"?"))</f>
        <v/>
      </c>
      <c r="G603">
        <f>IF(A603="","",MONTH(A603))</f>
        <v/>
      </c>
    </row>
    <row r="604">
      <c r="A604" s="25" t="n"/>
      <c r="B604" s="11" t="n"/>
      <c r="C604" s="24" t="n"/>
      <c r="D604" s="11" t="n"/>
      <c r="E604" s="11" t="n"/>
      <c r="F604">
        <f>IF(B604="","",IFERROR(INDEX(Categories!$B$5:$B$44,MATCH(B604,Categories!$A$5:$A$44,0)),"?"))</f>
        <v/>
      </c>
      <c r="G604">
        <f>IF(A604="","",MONTH(A604))</f>
        <v/>
      </c>
    </row>
    <row r="605">
      <c r="A605" s="25" t="n"/>
      <c r="B605" s="11" t="n"/>
      <c r="C605" s="24" t="n"/>
      <c r="D605" s="11" t="n"/>
      <c r="E605" s="11" t="n"/>
      <c r="F605">
        <f>IF(B605="","",IFERROR(INDEX(Categories!$B$5:$B$44,MATCH(B605,Categories!$A$5:$A$44,0)),"?"))</f>
        <v/>
      </c>
      <c r="G605">
        <f>IF(A605="","",MONTH(A605))</f>
        <v/>
      </c>
    </row>
    <row r="606">
      <c r="A606" s="25" t="n"/>
      <c r="B606" s="11" t="n"/>
      <c r="C606" s="24" t="n"/>
      <c r="D606" s="11" t="n"/>
      <c r="E606" s="11" t="n"/>
      <c r="F606">
        <f>IF(B606="","",IFERROR(INDEX(Categories!$B$5:$B$44,MATCH(B606,Categories!$A$5:$A$44,0)),"?"))</f>
        <v/>
      </c>
      <c r="G606">
        <f>IF(A606="","",MONTH(A606))</f>
        <v/>
      </c>
    </row>
    <row r="607">
      <c r="A607" s="25" t="n"/>
      <c r="B607" s="11" t="n"/>
      <c r="C607" s="24" t="n"/>
      <c r="D607" s="11" t="n"/>
      <c r="E607" s="11" t="n"/>
      <c r="F607">
        <f>IF(B607="","",IFERROR(INDEX(Categories!$B$5:$B$44,MATCH(B607,Categories!$A$5:$A$44,0)),"?"))</f>
        <v/>
      </c>
      <c r="G607">
        <f>IF(A607="","",MONTH(A607))</f>
        <v/>
      </c>
    </row>
    <row r="608">
      <c r="A608" s="25" t="n"/>
      <c r="B608" s="11" t="n"/>
      <c r="C608" s="24" t="n"/>
      <c r="D608" s="11" t="n"/>
      <c r="E608" s="11" t="n"/>
      <c r="F608">
        <f>IF(B608="","",IFERROR(INDEX(Categories!$B$5:$B$44,MATCH(B608,Categories!$A$5:$A$44,0)),"?"))</f>
        <v/>
      </c>
      <c r="G608">
        <f>IF(A608="","",MONTH(A608))</f>
        <v/>
      </c>
    </row>
    <row r="609">
      <c r="A609" s="25" t="n"/>
      <c r="B609" s="11" t="n"/>
      <c r="C609" s="24" t="n"/>
      <c r="D609" s="11" t="n"/>
      <c r="E609" s="11" t="n"/>
      <c r="F609">
        <f>IF(B609="","",IFERROR(INDEX(Categories!$B$5:$B$44,MATCH(B609,Categories!$A$5:$A$44,0)),"?"))</f>
        <v/>
      </c>
      <c r="G609">
        <f>IF(A609="","",MONTH(A609))</f>
        <v/>
      </c>
    </row>
    <row r="610">
      <c r="A610" s="25" t="n"/>
      <c r="B610" s="11" t="n"/>
      <c r="C610" s="24" t="n"/>
      <c r="D610" s="11" t="n"/>
      <c r="E610" s="11" t="n"/>
      <c r="F610">
        <f>IF(B610="","",IFERROR(INDEX(Categories!$B$5:$B$44,MATCH(B610,Categories!$A$5:$A$44,0)),"?"))</f>
        <v/>
      </c>
      <c r="G610">
        <f>IF(A610="","",MONTH(A610))</f>
        <v/>
      </c>
    </row>
    <row r="611">
      <c r="A611" s="25" t="n"/>
      <c r="B611" s="11" t="n"/>
      <c r="C611" s="24" t="n"/>
      <c r="D611" s="11" t="n"/>
      <c r="E611" s="11" t="n"/>
      <c r="F611">
        <f>IF(B611="","",IFERROR(INDEX(Categories!$B$5:$B$44,MATCH(B611,Categories!$A$5:$A$44,0)),"?"))</f>
        <v/>
      </c>
      <c r="G611">
        <f>IF(A611="","",MONTH(A611))</f>
        <v/>
      </c>
    </row>
    <row r="612">
      <c r="A612" s="25" t="n"/>
      <c r="B612" s="11" t="n"/>
      <c r="C612" s="24" t="n"/>
      <c r="D612" s="11" t="n"/>
      <c r="E612" s="11" t="n"/>
      <c r="F612">
        <f>IF(B612="","",IFERROR(INDEX(Categories!$B$5:$B$44,MATCH(B612,Categories!$A$5:$A$44,0)),"?"))</f>
        <v/>
      </c>
      <c r="G612">
        <f>IF(A612="","",MONTH(A612))</f>
        <v/>
      </c>
    </row>
    <row r="613">
      <c r="A613" s="25" t="n"/>
      <c r="B613" s="11" t="n"/>
      <c r="C613" s="24" t="n"/>
      <c r="D613" s="11" t="n"/>
      <c r="E613" s="11" t="n"/>
      <c r="F613">
        <f>IF(B613="","",IFERROR(INDEX(Categories!$B$5:$B$44,MATCH(B613,Categories!$A$5:$A$44,0)),"?"))</f>
        <v/>
      </c>
      <c r="G613">
        <f>IF(A613="","",MONTH(A613))</f>
        <v/>
      </c>
    </row>
    <row r="614">
      <c r="A614" s="25" t="n"/>
      <c r="B614" s="11" t="n"/>
      <c r="C614" s="24" t="n"/>
      <c r="D614" s="11" t="n"/>
      <c r="E614" s="11" t="n"/>
      <c r="F614">
        <f>IF(B614="","",IFERROR(INDEX(Categories!$B$5:$B$44,MATCH(B614,Categories!$A$5:$A$44,0)),"?"))</f>
        <v/>
      </c>
      <c r="G614">
        <f>IF(A614="","",MONTH(A614))</f>
        <v/>
      </c>
    </row>
    <row r="615">
      <c r="A615" s="25" t="n"/>
      <c r="B615" s="11" t="n"/>
      <c r="C615" s="24" t="n"/>
      <c r="D615" s="11" t="n"/>
      <c r="E615" s="11" t="n"/>
      <c r="F615">
        <f>IF(B615="","",IFERROR(INDEX(Categories!$B$5:$B$44,MATCH(B615,Categories!$A$5:$A$44,0)),"?"))</f>
        <v/>
      </c>
      <c r="G615">
        <f>IF(A615="","",MONTH(A615))</f>
        <v/>
      </c>
    </row>
    <row r="616">
      <c r="A616" s="25" t="n"/>
      <c r="B616" s="11" t="n"/>
      <c r="C616" s="24" t="n"/>
      <c r="D616" s="11" t="n"/>
      <c r="E616" s="11" t="n"/>
      <c r="F616">
        <f>IF(B616="","",IFERROR(INDEX(Categories!$B$5:$B$44,MATCH(B616,Categories!$A$5:$A$44,0)),"?"))</f>
        <v/>
      </c>
      <c r="G616">
        <f>IF(A616="","",MONTH(A616))</f>
        <v/>
      </c>
    </row>
    <row r="617">
      <c r="A617" s="25" t="n"/>
      <c r="B617" s="11" t="n"/>
      <c r="C617" s="24" t="n"/>
      <c r="D617" s="11" t="n"/>
      <c r="E617" s="11" t="n"/>
      <c r="F617">
        <f>IF(B617="","",IFERROR(INDEX(Categories!$B$5:$B$44,MATCH(B617,Categories!$A$5:$A$44,0)),"?"))</f>
        <v/>
      </c>
      <c r="G617">
        <f>IF(A617="","",MONTH(A617))</f>
        <v/>
      </c>
    </row>
    <row r="618">
      <c r="A618" s="25" t="n"/>
      <c r="B618" s="11" t="n"/>
      <c r="C618" s="24" t="n"/>
      <c r="D618" s="11" t="n"/>
      <c r="E618" s="11" t="n"/>
      <c r="F618">
        <f>IF(B618="","",IFERROR(INDEX(Categories!$B$5:$B$44,MATCH(B618,Categories!$A$5:$A$44,0)),"?"))</f>
        <v/>
      </c>
      <c r="G618">
        <f>IF(A618="","",MONTH(A618))</f>
        <v/>
      </c>
    </row>
    <row r="619">
      <c r="A619" s="25" t="n"/>
      <c r="B619" s="11" t="n"/>
      <c r="C619" s="24" t="n"/>
      <c r="D619" s="11" t="n"/>
      <c r="E619" s="11" t="n"/>
      <c r="F619">
        <f>IF(B619="","",IFERROR(INDEX(Categories!$B$5:$B$44,MATCH(B619,Categories!$A$5:$A$44,0)),"?"))</f>
        <v/>
      </c>
      <c r="G619">
        <f>IF(A619="","",MONTH(A619))</f>
        <v/>
      </c>
    </row>
    <row r="620">
      <c r="A620" s="25" t="n"/>
      <c r="B620" s="11" t="n"/>
      <c r="C620" s="24" t="n"/>
      <c r="D620" s="11" t="n"/>
      <c r="E620" s="11" t="n"/>
      <c r="F620">
        <f>IF(B620="","",IFERROR(INDEX(Categories!$B$5:$B$44,MATCH(B620,Categories!$A$5:$A$44,0)),"?"))</f>
        <v/>
      </c>
      <c r="G620">
        <f>IF(A620="","",MONTH(A620))</f>
        <v/>
      </c>
    </row>
    <row r="621">
      <c r="A621" s="25" t="n"/>
      <c r="B621" s="11" t="n"/>
      <c r="C621" s="24" t="n"/>
      <c r="D621" s="11" t="n"/>
      <c r="E621" s="11" t="n"/>
      <c r="F621">
        <f>IF(B621="","",IFERROR(INDEX(Categories!$B$5:$B$44,MATCH(B621,Categories!$A$5:$A$44,0)),"?"))</f>
        <v/>
      </c>
      <c r="G621">
        <f>IF(A621="","",MONTH(A621))</f>
        <v/>
      </c>
    </row>
    <row r="622">
      <c r="A622" s="25" t="n"/>
      <c r="B622" s="11" t="n"/>
      <c r="C622" s="24" t="n"/>
      <c r="D622" s="11" t="n"/>
      <c r="E622" s="11" t="n"/>
      <c r="F622">
        <f>IF(B622="","",IFERROR(INDEX(Categories!$B$5:$B$44,MATCH(B622,Categories!$A$5:$A$44,0)),"?"))</f>
        <v/>
      </c>
      <c r="G622">
        <f>IF(A622="","",MONTH(A622))</f>
        <v/>
      </c>
    </row>
    <row r="623">
      <c r="A623" s="25" t="n"/>
      <c r="B623" s="11" t="n"/>
      <c r="C623" s="24" t="n"/>
      <c r="D623" s="11" t="n"/>
      <c r="E623" s="11" t="n"/>
      <c r="F623">
        <f>IF(B623="","",IFERROR(INDEX(Categories!$B$5:$B$44,MATCH(B623,Categories!$A$5:$A$44,0)),"?"))</f>
        <v/>
      </c>
      <c r="G623">
        <f>IF(A623="","",MONTH(A623))</f>
        <v/>
      </c>
    </row>
    <row r="624">
      <c r="A624" s="25" t="n"/>
      <c r="B624" s="11" t="n"/>
      <c r="C624" s="24" t="n"/>
      <c r="D624" s="11" t="n"/>
      <c r="E624" s="11" t="n"/>
      <c r="F624">
        <f>IF(B624="","",IFERROR(INDEX(Categories!$B$5:$B$44,MATCH(B624,Categories!$A$5:$A$44,0)),"?"))</f>
        <v/>
      </c>
      <c r="G624">
        <f>IF(A624="","",MONTH(A624))</f>
        <v/>
      </c>
    </row>
    <row r="625">
      <c r="A625" s="25" t="n"/>
      <c r="B625" s="11" t="n"/>
      <c r="C625" s="24" t="n"/>
      <c r="D625" s="11" t="n"/>
      <c r="E625" s="11" t="n"/>
      <c r="F625">
        <f>IF(B625="","",IFERROR(INDEX(Categories!$B$5:$B$44,MATCH(B625,Categories!$A$5:$A$44,0)),"?"))</f>
        <v/>
      </c>
      <c r="G625">
        <f>IF(A625="","",MONTH(A625))</f>
        <v/>
      </c>
    </row>
    <row r="626">
      <c r="A626" s="25" t="n"/>
      <c r="B626" s="11" t="n"/>
      <c r="C626" s="24" t="n"/>
      <c r="D626" s="11" t="n"/>
      <c r="E626" s="11" t="n"/>
      <c r="F626">
        <f>IF(B626="","",IFERROR(INDEX(Categories!$B$5:$B$44,MATCH(B626,Categories!$A$5:$A$44,0)),"?"))</f>
        <v/>
      </c>
      <c r="G626">
        <f>IF(A626="","",MONTH(A626))</f>
        <v/>
      </c>
    </row>
    <row r="627">
      <c r="A627" s="25" t="n"/>
      <c r="B627" s="11" t="n"/>
      <c r="C627" s="24" t="n"/>
      <c r="D627" s="11" t="n"/>
      <c r="E627" s="11" t="n"/>
      <c r="F627">
        <f>IF(B627="","",IFERROR(INDEX(Categories!$B$5:$B$44,MATCH(B627,Categories!$A$5:$A$44,0)),"?"))</f>
        <v/>
      </c>
      <c r="G627">
        <f>IF(A627="","",MONTH(A627))</f>
        <v/>
      </c>
    </row>
    <row r="628">
      <c r="A628" s="25" t="n"/>
      <c r="B628" s="11" t="n"/>
      <c r="C628" s="24" t="n"/>
      <c r="D628" s="11" t="n"/>
      <c r="E628" s="11" t="n"/>
      <c r="F628">
        <f>IF(B628="","",IFERROR(INDEX(Categories!$B$5:$B$44,MATCH(B628,Categories!$A$5:$A$44,0)),"?"))</f>
        <v/>
      </c>
      <c r="G628">
        <f>IF(A628="","",MONTH(A628))</f>
        <v/>
      </c>
    </row>
    <row r="629">
      <c r="A629" s="25" t="n"/>
      <c r="B629" s="11" t="n"/>
      <c r="C629" s="24" t="n"/>
      <c r="D629" s="11" t="n"/>
      <c r="E629" s="11" t="n"/>
      <c r="F629">
        <f>IF(B629="","",IFERROR(INDEX(Categories!$B$5:$B$44,MATCH(B629,Categories!$A$5:$A$44,0)),"?"))</f>
        <v/>
      </c>
      <c r="G629">
        <f>IF(A629="","",MONTH(A629))</f>
        <v/>
      </c>
    </row>
    <row r="630">
      <c r="A630" s="25" t="n"/>
      <c r="B630" s="11" t="n"/>
      <c r="C630" s="24" t="n"/>
      <c r="D630" s="11" t="n"/>
      <c r="E630" s="11" t="n"/>
      <c r="F630">
        <f>IF(B630="","",IFERROR(INDEX(Categories!$B$5:$B$44,MATCH(B630,Categories!$A$5:$A$44,0)),"?"))</f>
        <v/>
      </c>
      <c r="G630">
        <f>IF(A630="","",MONTH(A630))</f>
        <v/>
      </c>
    </row>
    <row r="631">
      <c r="A631" s="25" t="n"/>
      <c r="B631" s="11" t="n"/>
      <c r="C631" s="24" t="n"/>
      <c r="D631" s="11" t="n"/>
      <c r="E631" s="11" t="n"/>
      <c r="F631">
        <f>IF(B631="","",IFERROR(INDEX(Categories!$B$5:$B$44,MATCH(B631,Categories!$A$5:$A$44,0)),"?"))</f>
        <v/>
      </c>
      <c r="G631">
        <f>IF(A631="","",MONTH(A631))</f>
        <v/>
      </c>
    </row>
    <row r="632">
      <c r="A632" s="25" t="n"/>
      <c r="B632" s="11" t="n"/>
      <c r="C632" s="24" t="n"/>
      <c r="D632" s="11" t="n"/>
      <c r="E632" s="11" t="n"/>
      <c r="F632">
        <f>IF(B632="","",IFERROR(INDEX(Categories!$B$5:$B$44,MATCH(B632,Categories!$A$5:$A$44,0)),"?"))</f>
        <v/>
      </c>
      <c r="G632">
        <f>IF(A632="","",MONTH(A632))</f>
        <v/>
      </c>
    </row>
    <row r="633">
      <c r="A633" s="25" t="n"/>
      <c r="B633" s="11" t="n"/>
      <c r="C633" s="24" t="n"/>
      <c r="D633" s="11" t="n"/>
      <c r="E633" s="11" t="n"/>
      <c r="F633">
        <f>IF(B633="","",IFERROR(INDEX(Categories!$B$5:$B$44,MATCH(B633,Categories!$A$5:$A$44,0)),"?"))</f>
        <v/>
      </c>
      <c r="G633">
        <f>IF(A633="","",MONTH(A633))</f>
        <v/>
      </c>
    </row>
    <row r="634">
      <c r="A634" s="25" t="n"/>
      <c r="B634" s="11" t="n"/>
      <c r="C634" s="24" t="n"/>
      <c r="D634" s="11" t="n"/>
      <c r="E634" s="11" t="n"/>
      <c r="F634">
        <f>IF(B634="","",IFERROR(INDEX(Categories!$B$5:$B$44,MATCH(B634,Categories!$A$5:$A$44,0)),"?"))</f>
        <v/>
      </c>
      <c r="G634">
        <f>IF(A634="","",MONTH(A634))</f>
        <v/>
      </c>
    </row>
    <row r="635">
      <c r="A635" s="25" t="n"/>
      <c r="B635" s="11" t="n"/>
      <c r="C635" s="24" t="n"/>
      <c r="D635" s="11" t="n"/>
      <c r="E635" s="11" t="n"/>
      <c r="F635">
        <f>IF(B635="","",IFERROR(INDEX(Categories!$B$5:$B$44,MATCH(B635,Categories!$A$5:$A$44,0)),"?"))</f>
        <v/>
      </c>
      <c r="G635">
        <f>IF(A635="","",MONTH(A635))</f>
        <v/>
      </c>
    </row>
    <row r="636">
      <c r="A636" s="25" t="n"/>
      <c r="B636" s="11" t="n"/>
      <c r="C636" s="24" t="n"/>
      <c r="D636" s="11" t="n"/>
      <c r="E636" s="11" t="n"/>
      <c r="F636">
        <f>IF(B636="","",IFERROR(INDEX(Categories!$B$5:$B$44,MATCH(B636,Categories!$A$5:$A$44,0)),"?"))</f>
        <v/>
      </c>
      <c r="G636">
        <f>IF(A636="","",MONTH(A636))</f>
        <v/>
      </c>
    </row>
    <row r="637">
      <c r="A637" s="25" t="n"/>
      <c r="B637" s="11" t="n"/>
      <c r="C637" s="24" t="n"/>
      <c r="D637" s="11" t="n"/>
      <c r="E637" s="11" t="n"/>
      <c r="F637">
        <f>IF(B637="","",IFERROR(INDEX(Categories!$B$5:$B$44,MATCH(B637,Categories!$A$5:$A$44,0)),"?"))</f>
        <v/>
      </c>
      <c r="G637">
        <f>IF(A637="","",MONTH(A637))</f>
        <v/>
      </c>
    </row>
    <row r="638">
      <c r="A638" s="25" t="n"/>
      <c r="B638" s="11" t="n"/>
      <c r="C638" s="24" t="n"/>
      <c r="D638" s="11" t="n"/>
      <c r="E638" s="11" t="n"/>
      <c r="F638">
        <f>IF(B638="","",IFERROR(INDEX(Categories!$B$5:$B$44,MATCH(B638,Categories!$A$5:$A$44,0)),"?"))</f>
        <v/>
      </c>
      <c r="G638">
        <f>IF(A638="","",MONTH(A638))</f>
        <v/>
      </c>
    </row>
    <row r="639">
      <c r="A639" s="25" t="n"/>
      <c r="B639" s="11" t="n"/>
      <c r="C639" s="24" t="n"/>
      <c r="D639" s="11" t="n"/>
      <c r="E639" s="11" t="n"/>
      <c r="F639">
        <f>IF(B639="","",IFERROR(INDEX(Categories!$B$5:$B$44,MATCH(B639,Categories!$A$5:$A$44,0)),"?"))</f>
        <v/>
      </c>
      <c r="G639">
        <f>IF(A639="","",MONTH(A639))</f>
        <v/>
      </c>
    </row>
    <row r="640">
      <c r="A640" s="25" t="n"/>
      <c r="B640" s="11" t="n"/>
      <c r="C640" s="24" t="n"/>
      <c r="D640" s="11" t="n"/>
      <c r="E640" s="11" t="n"/>
      <c r="F640">
        <f>IF(B640="","",IFERROR(INDEX(Categories!$B$5:$B$44,MATCH(B640,Categories!$A$5:$A$44,0)),"?"))</f>
        <v/>
      </c>
      <c r="G640">
        <f>IF(A640="","",MONTH(A640))</f>
        <v/>
      </c>
    </row>
    <row r="641">
      <c r="A641" s="25" t="n"/>
      <c r="B641" s="11" t="n"/>
      <c r="C641" s="24" t="n"/>
      <c r="D641" s="11" t="n"/>
      <c r="E641" s="11" t="n"/>
      <c r="F641">
        <f>IF(B641="","",IFERROR(INDEX(Categories!$B$5:$B$44,MATCH(B641,Categories!$A$5:$A$44,0)),"?"))</f>
        <v/>
      </c>
      <c r="G641">
        <f>IF(A641="","",MONTH(A641))</f>
        <v/>
      </c>
    </row>
    <row r="642">
      <c r="A642" s="25" t="n"/>
      <c r="B642" s="11" t="n"/>
      <c r="C642" s="24" t="n"/>
      <c r="D642" s="11" t="n"/>
      <c r="E642" s="11" t="n"/>
      <c r="F642">
        <f>IF(B642="","",IFERROR(INDEX(Categories!$B$5:$B$44,MATCH(B642,Categories!$A$5:$A$44,0)),"?"))</f>
        <v/>
      </c>
      <c r="G642">
        <f>IF(A642="","",MONTH(A642))</f>
        <v/>
      </c>
    </row>
    <row r="643">
      <c r="A643" s="25" t="n"/>
      <c r="B643" s="11" t="n"/>
      <c r="C643" s="24" t="n"/>
      <c r="D643" s="11" t="n"/>
      <c r="E643" s="11" t="n"/>
      <c r="F643">
        <f>IF(B643="","",IFERROR(INDEX(Categories!$B$5:$B$44,MATCH(B643,Categories!$A$5:$A$44,0)),"?"))</f>
        <v/>
      </c>
      <c r="G643">
        <f>IF(A643="","",MONTH(A643))</f>
        <v/>
      </c>
    </row>
    <row r="644">
      <c r="A644" s="25" t="n"/>
      <c r="B644" s="11" t="n"/>
      <c r="C644" s="24" t="n"/>
      <c r="D644" s="11" t="n"/>
      <c r="E644" s="11" t="n"/>
      <c r="F644">
        <f>IF(B644="","",IFERROR(INDEX(Categories!$B$5:$B$44,MATCH(B644,Categories!$A$5:$A$44,0)),"?"))</f>
        <v/>
      </c>
      <c r="G644">
        <f>IF(A644="","",MONTH(A644))</f>
        <v/>
      </c>
    </row>
    <row r="645">
      <c r="A645" s="25" t="n"/>
      <c r="B645" s="11" t="n"/>
      <c r="C645" s="24" t="n"/>
      <c r="D645" s="11" t="n"/>
      <c r="E645" s="11" t="n"/>
      <c r="F645">
        <f>IF(B645="","",IFERROR(INDEX(Categories!$B$5:$B$44,MATCH(B645,Categories!$A$5:$A$44,0)),"?"))</f>
        <v/>
      </c>
      <c r="G645">
        <f>IF(A645="","",MONTH(A645))</f>
        <v/>
      </c>
    </row>
    <row r="646">
      <c r="A646" s="25" t="n"/>
      <c r="B646" s="11" t="n"/>
      <c r="C646" s="24" t="n"/>
      <c r="D646" s="11" t="n"/>
      <c r="E646" s="11" t="n"/>
      <c r="F646">
        <f>IF(B646="","",IFERROR(INDEX(Categories!$B$5:$B$44,MATCH(B646,Categories!$A$5:$A$44,0)),"?"))</f>
        <v/>
      </c>
      <c r="G646">
        <f>IF(A646="","",MONTH(A646))</f>
        <v/>
      </c>
    </row>
    <row r="647">
      <c r="A647" s="25" t="n"/>
      <c r="B647" s="11" t="n"/>
      <c r="C647" s="24" t="n"/>
      <c r="D647" s="11" t="n"/>
      <c r="E647" s="11" t="n"/>
      <c r="F647">
        <f>IF(B647="","",IFERROR(INDEX(Categories!$B$5:$B$44,MATCH(B647,Categories!$A$5:$A$44,0)),"?"))</f>
        <v/>
      </c>
      <c r="G647">
        <f>IF(A647="","",MONTH(A647))</f>
        <v/>
      </c>
    </row>
    <row r="648">
      <c r="A648" s="25" t="n"/>
      <c r="B648" s="11" t="n"/>
      <c r="C648" s="24" t="n"/>
      <c r="D648" s="11" t="n"/>
      <c r="E648" s="11" t="n"/>
      <c r="F648">
        <f>IF(B648="","",IFERROR(INDEX(Categories!$B$5:$B$44,MATCH(B648,Categories!$A$5:$A$44,0)),"?"))</f>
        <v/>
      </c>
      <c r="G648">
        <f>IF(A648="","",MONTH(A648))</f>
        <v/>
      </c>
    </row>
    <row r="649">
      <c r="A649" s="25" t="n"/>
      <c r="B649" s="11" t="n"/>
      <c r="C649" s="24" t="n"/>
      <c r="D649" s="11" t="n"/>
      <c r="E649" s="11" t="n"/>
      <c r="F649">
        <f>IF(B649="","",IFERROR(INDEX(Categories!$B$5:$B$44,MATCH(B649,Categories!$A$5:$A$44,0)),"?"))</f>
        <v/>
      </c>
      <c r="G649">
        <f>IF(A649="","",MONTH(A649))</f>
        <v/>
      </c>
    </row>
    <row r="650">
      <c r="A650" s="25" t="n"/>
      <c r="B650" s="11" t="n"/>
      <c r="C650" s="24" t="n"/>
      <c r="D650" s="11" t="n"/>
      <c r="E650" s="11" t="n"/>
      <c r="F650">
        <f>IF(B650="","",IFERROR(INDEX(Categories!$B$5:$B$44,MATCH(B650,Categories!$A$5:$A$44,0)),"?"))</f>
        <v/>
      </c>
      <c r="G650">
        <f>IF(A650="","",MONTH(A650))</f>
        <v/>
      </c>
    </row>
    <row r="651">
      <c r="A651" s="25" t="n"/>
      <c r="B651" s="11" t="n"/>
      <c r="C651" s="24" t="n"/>
      <c r="D651" s="11" t="n"/>
      <c r="E651" s="11" t="n"/>
      <c r="F651">
        <f>IF(B651="","",IFERROR(INDEX(Categories!$B$5:$B$44,MATCH(B651,Categories!$A$5:$A$44,0)),"?"))</f>
        <v/>
      </c>
      <c r="G651">
        <f>IF(A651="","",MONTH(A651))</f>
        <v/>
      </c>
    </row>
    <row r="652">
      <c r="A652" s="25" t="n"/>
      <c r="B652" s="11" t="n"/>
      <c r="C652" s="24" t="n"/>
      <c r="D652" s="11" t="n"/>
      <c r="E652" s="11" t="n"/>
      <c r="F652">
        <f>IF(B652="","",IFERROR(INDEX(Categories!$B$5:$B$44,MATCH(B652,Categories!$A$5:$A$44,0)),"?"))</f>
        <v/>
      </c>
      <c r="G652">
        <f>IF(A652="","",MONTH(A652))</f>
        <v/>
      </c>
    </row>
    <row r="653">
      <c r="A653" s="25" t="n"/>
      <c r="B653" s="11" t="n"/>
      <c r="C653" s="24" t="n"/>
      <c r="D653" s="11" t="n"/>
      <c r="E653" s="11" t="n"/>
      <c r="F653">
        <f>IF(B653="","",IFERROR(INDEX(Categories!$B$5:$B$44,MATCH(B653,Categories!$A$5:$A$44,0)),"?"))</f>
        <v/>
      </c>
      <c r="G653">
        <f>IF(A653="","",MONTH(A653))</f>
        <v/>
      </c>
    </row>
    <row r="654">
      <c r="A654" s="25" t="n"/>
      <c r="B654" s="11" t="n"/>
      <c r="C654" s="24" t="n"/>
      <c r="D654" s="11" t="n"/>
      <c r="E654" s="11" t="n"/>
      <c r="F654">
        <f>IF(B654="","",IFERROR(INDEX(Categories!$B$5:$B$44,MATCH(B654,Categories!$A$5:$A$44,0)),"?"))</f>
        <v/>
      </c>
      <c r="G654">
        <f>IF(A654="","",MONTH(A654))</f>
        <v/>
      </c>
    </row>
    <row r="655">
      <c r="A655" s="25" t="n"/>
      <c r="B655" s="11" t="n"/>
      <c r="C655" s="24" t="n"/>
      <c r="D655" s="11" t="n"/>
      <c r="E655" s="11" t="n"/>
      <c r="F655">
        <f>IF(B655="","",IFERROR(INDEX(Categories!$B$5:$B$44,MATCH(B655,Categories!$A$5:$A$44,0)),"?"))</f>
        <v/>
      </c>
      <c r="G655">
        <f>IF(A655="","",MONTH(A655))</f>
        <v/>
      </c>
    </row>
    <row r="656">
      <c r="A656" s="25" t="n"/>
      <c r="B656" s="11" t="n"/>
      <c r="C656" s="24" t="n"/>
      <c r="D656" s="11" t="n"/>
      <c r="E656" s="11" t="n"/>
      <c r="F656">
        <f>IF(B656="","",IFERROR(INDEX(Categories!$B$5:$B$44,MATCH(B656,Categories!$A$5:$A$44,0)),"?"))</f>
        <v/>
      </c>
      <c r="G656">
        <f>IF(A656="","",MONTH(A656))</f>
        <v/>
      </c>
    </row>
    <row r="657">
      <c r="A657" s="25" t="n"/>
      <c r="B657" s="11" t="n"/>
      <c r="C657" s="24" t="n"/>
      <c r="D657" s="11" t="n"/>
      <c r="E657" s="11" t="n"/>
      <c r="F657">
        <f>IF(B657="","",IFERROR(INDEX(Categories!$B$5:$B$44,MATCH(B657,Categories!$A$5:$A$44,0)),"?"))</f>
        <v/>
      </c>
      <c r="G657">
        <f>IF(A657="","",MONTH(A657))</f>
        <v/>
      </c>
    </row>
    <row r="658">
      <c r="A658" s="25" t="n"/>
      <c r="B658" s="11" t="n"/>
      <c r="C658" s="24" t="n"/>
      <c r="D658" s="11" t="n"/>
      <c r="E658" s="11" t="n"/>
      <c r="F658">
        <f>IF(B658="","",IFERROR(INDEX(Categories!$B$5:$B$44,MATCH(B658,Categories!$A$5:$A$44,0)),"?"))</f>
        <v/>
      </c>
      <c r="G658">
        <f>IF(A658="","",MONTH(A658))</f>
        <v/>
      </c>
    </row>
    <row r="659">
      <c r="A659" s="25" t="n"/>
      <c r="B659" s="11" t="n"/>
      <c r="C659" s="24" t="n"/>
      <c r="D659" s="11" t="n"/>
      <c r="E659" s="11" t="n"/>
      <c r="F659">
        <f>IF(B659="","",IFERROR(INDEX(Categories!$B$5:$B$44,MATCH(B659,Categories!$A$5:$A$44,0)),"?"))</f>
        <v/>
      </c>
      <c r="G659">
        <f>IF(A659="","",MONTH(A659))</f>
        <v/>
      </c>
    </row>
    <row r="660">
      <c r="A660" s="25" t="n"/>
      <c r="B660" s="11" t="n"/>
      <c r="C660" s="24" t="n"/>
      <c r="D660" s="11" t="n"/>
      <c r="E660" s="11" t="n"/>
      <c r="F660">
        <f>IF(B660="","",IFERROR(INDEX(Categories!$B$5:$B$44,MATCH(B660,Categories!$A$5:$A$44,0)),"?"))</f>
        <v/>
      </c>
      <c r="G660">
        <f>IF(A660="","",MONTH(A660))</f>
        <v/>
      </c>
    </row>
    <row r="661">
      <c r="A661" s="25" t="n"/>
      <c r="B661" s="11" t="n"/>
      <c r="C661" s="24" t="n"/>
      <c r="D661" s="11" t="n"/>
      <c r="E661" s="11" t="n"/>
      <c r="F661">
        <f>IF(B661="","",IFERROR(INDEX(Categories!$B$5:$B$44,MATCH(B661,Categories!$A$5:$A$44,0)),"?"))</f>
        <v/>
      </c>
      <c r="G661">
        <f>IF(A661="","",MONTH(A661))</f>
        <v/>
      </c>
    </row>
    <row r="662">
      <c r="A662" s="25" t="n"/>
      <c r="B662" s="11" t="n"/>
      <c r="C662" s="24" t="n"/>
      <c r="D662" s="11" t="n"/>
      <c r="E662" s="11" t="n"/>
      <c r="F662">
        <f>IF(B662="","",IFERROR(INDEX(Categories!$B$5:$B$44,MATCH(B662,Categories!$A$5:$A$44,0)),"?"))</f>
        <v/>
      </c>
      <c r="G662">
        <f>IF(A662="","",MONTH(A662))</f>
        <v/>
      </c>
    </row>
    <row r="663">
      <c r="A663" s="25" t="n"/>
      <c r="B663" s="11" t="n"/>
      <c r="C663" s="24" t="n"/>
      <c r="D663" s="11" t="n"/>
      <c r="E663" s="11" t="n"/>
      <c r="F663">
        <f>IF(B663="","",IFERROR(INDEX(Categories!$B$5:$B$44,MATCH(B663,Categories!$A$5:$A$44,0)),"?"))</f>
        <v/>
      </c>
      <c r="G663">
        <f>IF(A663="","",MONTH(A663))</f>
        <v/>
      </c>
    </row>
    <row r="664">
      <c r="A664" s="25" t="n"/>
      <c r="B664" s="11" t="n"/>
      <c r="C664" s="24" t="n"/>
      <c r="D664" s="11" t="n"/>
      <c r="E664" s="11" t="n"/>
      <c r="F664">
        <f>IF(B664="","",IFERROR(INDEX(Categories!$B$5:$B$44,MATCH(B664,Categories!$A$5:$A$44,0)),"?"))</f>
        <v/>
      </c>
      <c r="G664">
        <f>IF(A664="","",MONTH(A664))</f>
        <v/>
      </c>
    </row>
    <row r="665">
      <c r="A665" s="25" t="n"/>
      <c r="B665" s="11" t="n"/>
      <c r="C665" s="24" t="n"/>
      <c r="D665" s="11" t="n"/>
      <c r="E665" s="11" t="n"/>
      <c r="F665">
        <f>IF(B665="","",IFERROR(INDEX(Categories!$B$5:$B$44,MATCH(B665,Categories!$A$5:$A$44,0)),"?"))</f>
        <v/>
      </c>
      <c r="G665">
        <f>IF(A665="","",MONTH(A665))</f>
        <v/>
      </c>
    </row>
    <row r="666">
      <c r="A666" s="25" t="n"/>
      <c r="B666" s="11" t="n"/>
      <c r="C666" s="24" t="n"/>
      <c r="D666" s="11" t="n"/>
      <c r="E666" s="11" t="n"/>
      <c r="F666">
        <f>IF(B666="","",IFERROR(INDEX(Categories!$B$5:$B$44,MATCH(B666,Categories!$A$5:$A$44,0)),"?"))</f>
        <v/>
      </c>
      <c r="G666">
        <f>IF(A666="","",MONTH(A666))</f>
        <v/>
      </c>
    </row>
    <row r="667">
      <c r="A667" s="25" t="n"/>
      <c r="B667" s="11" t="n"/>
      <c r="C667" s="24" t="n"/>
      <c r="D667" s="11" t="n"/>
      <c r="E667" s="11" t="n"/>
      <c r="F667">
        <f>IF(B667="","",IFERROR(INDEX(Categories!$B$5:$B$44,MATCH(B667,Categories!$A$5:$A$44,0)),"?"))</f>
        <v/>
      </c>
      <c r="G667">
        <f>IF(A667="","",MONTH(A667))</f>
        <v/>
      </c>
    </row>
    <row r="668">
      <c r="A668" s="25" t="n"/>
      <c r="B668" s="11" t="n"/>
      <c r="C668" s="24" t="n"/>
      <c r="D668" s="11" t="n"/>
      <c r="E668" s="11" t="n"/>
      <c r="F668">
        <f>IF(B668="","",IFERROR(INDEX(Categories!$B$5:$B$44,MATCH(B668,Categories!$A$5:$A$44,0)),"?"))</f>
        <v/>
      </c>
      <c r="G668">
        <f>IF(A668="","",MONTH(A668))</f>
        <v/>
      </c>
    </row>
    <row r="669">
      <c r="A669" s="25" t="n"/>
      <c r="B669" s="11" t="n"/>
      <c r="C669" s="24" t="n"/>
      <c r="D669" s="11" t="n"/>
      <c r="E669" s="11" t="n"/>
      <c r="F669">
        <f>IF(B669="","",IFERROR(INDEX(Categories!$B$5:$B$44,MATCH(B669,Categories!$A$5:$A$44,0)),"?"))</f>
        <v/>
      </c>
      <c r="G669">
        <f>IF(A669="","",MONTH(A669))</f>
        <v/>
      </c>
    </row>
    <row r="670">
      <c r="A670" s="25" t="n"/>
      <c r="B670" s="11" t="n"/>
      <c r="C670" s="24" t="n"/>
      <c r="D670" s="11" t="n"/>
      <c r="E670" s="11" t="n"/>
      <c r="F670">
        <f>IF(B670="","",IFERROR(INDEX(Categories!$B$5:$B$44,MATCH(B670,Categories!$A$5:$A$44,0)),"?"))</f>
        <v/>
      </c>
      <c r="G670">
        <f>IF(A670="","",MONTH(A670))</f>
        <v/>
      </c>
    </row>
    <row r="671">
      <c r="A671" s="25" t="n"/>
      <c r="B671" s="11" t="n"/>
      <c r="C671" s="24" t="n"/>
      <c r="D671" s="11" t="n"/>
      <c r="E671" s="11" t="n"/>
      <c r="F671">
        <f>IF(B671="","",IFERROR(INDEX(Categories!$B$5:$B$44,MATCH(B671,Categories!$A$5:$A$44,0)),"?"))</f>
        <v/>
      </c>
      <c r="G671">
        <f>IF(A671="","",MONTH(A671))</f>
        <v/>
      </c>
    </row>
    <row r="672">
      <c r="A672" s="25" t="n"/>
      <c r="B672" s="11" t="n"/>
      <c r="C672" s="24" t="n"/>
      <c r="D672" s="11" t="n"/>
      <c r="E672" s="11" t="n"/>
      <c r="F672">
        <f>IF(B672="","",IFERROR(INDEX(Categories!$B$5:$B$44,MATCH(B672,Categories!$A$5:$A$44,0)),"?"))</f>
        <v/>
      </c>
      <c r="G672">
        <f>IF(A672="","",MONTH(A672))</f>
        <v/>
      </c>
    </row>
    <row r="673">
      <c r="A673" s="25" t="n"/>
      <c r="B673" s="11" t="n"/>
      <c r="C673" s="24" t="n"/>
      <c r="D673" s="11" t="n"/>
      <c r="E673" s="11" t="n"/>
      <c r="F673">
        <f>IF(B673="","",IFERROR(INDEX(Categories!$B$5:$B$44,MATCH(B673,Categories!$A$5:$A$44,0)),"?"))</f>
        <v/>
      </c>
      <c r="G673">
        <f>IF(A673="","",MONTH(A673))</f>
        <v/>
      </c>
    </row>
    <row r="674">
      <c r="A674" s="25" t="n"/>
      <c r="B674" s="11" t="n"/>
      <c r="C674" s="24" t="n"/>
      <c r="D674" s="11" t="n"/>
      <c r="E674" s="11" t="n"/>
      <c r="F674">
        <f>IF(B674="","",IFERROR(INDEX(Categories!$B$5:$B$44,MATCH(B674,Categories!$A$5:$A$44,0)),"?"))</f>
        <v/>
      </c>
      <c r="G674">
        <f>IF(A674="","",MONTH(A674))</f>
        <v/>
      </c>
    </row>
    <row r="675">
      <c r="A675" s="25" t="n"/>
      <c r="B675" s="11" t="n"/>
      <c r="C675" s="24" t="n"/>
      <c r="D675" s="11" t="n"/>
      <c r="E675" s="11" t="n"/>
      <c r="F675">
        <f>IF(B675="","",IFERROR(INDEX(Categories!$B$5:$B$44,MATCH(B675,Categories!$A$5:$A$44,0)),"?"))</f>
        <v/>
      </c>
      <c r="G675">
        <f>IF(A675="","",MONTH(A675))</f>
        <v/>
      </c>
    </row>
    <row r="676">
      <c r="A676" s="25" t="n"/>
      <c r="B676" s="11" t="n"/>
      <c r="C676" s="24" t="n"/>
      <c r="D676" s="11" t="n"/>
      <c r="E676" s="11" t="n"/>
      <c r="F676">
        <f>IF(B676="","",IFERROR(INDEX(Categories!$B$5:$B$44,MATCH(B676,Categories!$A$5:$A$44,0)),"?"))</f>
        <v/>
      </c>
      <c r="G676">
        <f>IF(A676="","",MONTH(A676))</f>
        <v/>
      </c>
    </row>
    <row r="677">
      <c r="A677" s="25" t="n"/>
      <c r="B677" s="11" t="n"/>
      <c r="C677" s="24" t="n"/>
      <c r="D677" s="11" t="n"/>
      <c r="E677" s="11" t="n"/>
      <c r="F677">
        <f>IF(B677="","",IFERROR(INDEX(Categories!$B$5:$B$44,MATCH(B677,Categories!$A$5:$A$44,0)),"?"))</f>
        <v/>
      </c>
      <c r="G677">
        <f>IF(A677="","",MONTH(A677))</f>
        <v/>
      </c>
    </row>
    <row r="678">
      <c r="A678" s="25" t="n"/>
      <c r="B678" s="11" t="n"/>
      <c r="C678" s="24" t="n"/>
      <c r="D678" s="11" t="n"/>
      <c r="E678" s="11" t="n"/>
      <c r="F678">
        <f>IF(B678="","",IFERROR(INDEX(Categories!$B$5:$B$44,MATCH(B678,Categories!$A$5:$A$44,0)),"?"))</f>
        <v/>
      </c>
      <c r="G678">
        <f>IF(A678="","",MONTH(A678))</f>
        <v/>
      </c>
    </row>
    <row r="679">
      <c r="A679" s="25" t="n"/>
      <c r="B679" s="11" t="n"/>
      <c r="C679" s="24" t="n"/>
      <c r="D679" s="11" t="n"/>
      <c r="E679" s="11" t="n"/>
      <c r="F679">
        <f>IF(B679="","",IFERROR(INDEX(Categories!$B$5:$B$44,MATCH(B679,Categories!$A$5:$A$44,0)),"?"))</f>
        <v/>
      </c>
      <c r="G679">
        <f>IF(A679="","",MONTH(A679))</f>
        <v/>
      </c>
    </row>
    <row r="680">
      <c r="A680" s="25" t="n"/>
      <c r="B680" s="11" t="n"/>
      <c r="C680" s="24" t="n"/>
      <c r="D680" s="11" t="n"/>
      <c r="E680" s="11" t="n"/>
      <c r="F680">
        <f>IF(B680="","",IFERROR(INDEX(Categories!$B$5:$B$44,MATCH(B680,Categories!$A$5:$A$44,0)),"?"))</f>
        <v/>
      </c>
      <c r="G680">
        <f>IF(A680="","",MONTH(A680))</f>
        <v/>
      </c>
    </row>
    <row r="681">
      <c r="A681" s="25" t="n"/>
      <c r="B681" s="11" t="n"/>
      <c r="C681" s="24" t="n"/>
      <c r="D681" s="11" t="n"/>
      <c r="E681" s="11" t="n"/>
      <c r="F681">
        <f>IF(B681="","",IFERROR(INDEX(Categories!$B$5:$B$44,MATCH(B681,Categories!$A$5:$A$44,0)),"?"))</f>
        <v/>
      </c>
      <c r="G681">
        <f>IF(A681="","",MONTH(A681))</f>
        <v/>
      </c>
    </row>
    <row r="682">
      <c r="A682" s="25" t="n"/>
      <c r="B682" s="11" t="n"/>
      <c r="C682" s="24" t="n"/>
      <c r="D682" s="11" t="n"/>
      <c r="E682" s="11" t="n"/>
      <c r="F682">
        <f>IF(B682="","",IFERROR(INDEX(Categories!$B$5:$B$44,MATCH(B682,Categories!$A$5:$A$44,0)),"?"))</f>
        <v/>
      </c>
      <c r="G682">
        <f>IF(A682="","",MONTH(A682))</f>
        <v/>
      </c>
    </row>
    <row r="683">
      <c r="A683" s="25" t="n"/>
      <c r="B683" s="11" t="n"/>
      <c r="C683" s="24" t="n"/>
      <c r="D683" s="11" t="n"/>
      <c r="E683" s="11" t="n"/>
      <c r="F683">
        <f>IF(B683="","",IFERROR(INDEX(Categories!$B$5:$B$44,MATCH(B683,Categories!$A$5:$A$44,0)),"?"))</f>
        <v/>
      </c>
      <c r="G683">
        <f>IF(A683="","",MONTH(A683))</f>
        <v/>
      </c>
    </row>
    <row r="684">
      <c r="A684" s="25" t="n"/>
      <c r="B684" s="11" t="n"/>
      <c r="C684" s="24" t="n"/>
      <c r="D684" s="11" t="n"/>
      <c r="E684" s="11" t="n"/>
      <c r="F684">
        <f>IF(B684="","",IFERROR(INDEX(Categories!$B$5:$B$44,MATCH(B684,Categories!$A$5:$A$44,0)),"?"))</f>
        <v/>
      </c>
      <c r="G684">
        <f>IF(A684="","",MONTH(A684))</f>
        <v/>
      </c>
    </row>
    <row r="685">
      <c r="A685" s="25" t="n"/>
      <c r="B685" s="11" t="n"/>
      <c r="C685" s="24" t="n"/>
      <c r="D685" s="11" t="n"/>
      <c r="E685" s="11" t="n"/>
      <c r="F685">
        <f>IF(B685="","",IFERROR(INDEX(Categories!$B$5:$B$44,MATCH(B685,Categories!$A$5:$A$44,0)),"?"))</f>
        <v/>
      </c>
      <c r="G685">
        <f>IF(A685="","",MONTH(A685))</f>
        <v/>
      </c>
    </row>
    <row r="686">
      <c r="A686" s="25" t="n"/>
      <c r="B686" s="11" t="n"/>
      <c r="C686" s="24" t="n"/>
      <c r="D686" s="11" t="n"/>
      <c r="E686" s="11" t="n"/>
      <c r="F686">
        <f>IF(B686="","",IFERROR(INDEX(Categories!$B$5:$B$44,MATCH(B686,Categories!$A$5:$A$44,0)),"?"))</f>
        <v/>
      </c>
      <c r="G686">
        <f>IF(A686="","",MONTH(A686))</f>
        <v/>
      </c>
    </row>
    <row r="687">
      <c r="A687" s="25" t="n"/>
      <c r="B687" s="11" t="n"/>
      <c r="C687" s="24" t="n"/>
      <c r="D687" s="11" t="n"/>
      <c r="E687" s="11" t="n"/>
      <c r="F687">
        <f>IF(B687="","",IFERROR(INDEX(Categories!$B$5:$B$44,MATCH(B687,Categories!$A$5:$A$44,0)),"?"))</f>
        <v/>
      </c>
      <c r="G687">
        <f>IF(A687="","",MONTH(A687))</f>
        <v/>
      </c>
    </row>
    <row r="688">
      <c r="A688" s="25" t="n"/>
      <c r="B688" s="11" t="n"/>
      <c r="C688" s="24" t="n"/>
      <c r="D688" s="11" t="n"/>
      <c r="E688" s="11" t="n"/>
      <c r="F688">
        <f>IF(B688="","",IFERROR(INDEX(Categories!$B$5:$B$44,MATCH(B688,Categories!$A$5:$A$44,0)),"?"))</f>
        <v/>
      </c>
      <c r="G688">
        <f>IF(A688="","",MONTH(A688))</f>
        <v/>
      </c>
    </row>
    <row r="689">
      <c r="A689" s="25" t="n"/>
      <c r="B689" s="11" t="n"/>
      <c r="C689" s="24" t="n"/>
      <c r="D689" s="11" t="n"/>
      <c r="E689" s="11" t="n"/>
      <c r="F689">
        <f>IF(B689="","",IFERROR(INDEX(Categories!$B$5:$B$44,MATCH(B689,Categories!$A$5:$A$44,0)),"?"))</f>
        <v/>
      </c>
      <c r="G689">
        <f>IF(A689="","",MONTH(A689))</f>
        <v/>
      </c>
    </row>
    <row r="690">
      <c r="A690" s="25" t="n"/>
      <c r="B690" s="11" t="n"/>
      <c r="C690" s="24" t="n"/>
      <c r="D690" s="11" t="n"/>
      <c r="E690" s="11" t="n"/>
      <c r="F690">
        <f>IF(B690="","",IFERROR(INDEX(Categories!$B$5:$B$44,MATCH(B690,Categories!$A$5:$A$44,0)),"?"))</f>
        <v/>
      </c>
      <c r="G690">
        <f>IF(A690="","",MONTH(A690))</f>
        <v/>
      </c>
    </row>
    <row r="691">
      <c r="A691" s="25" t="n"/>
      <c r="B691" s="11" t="n"/>
      <c r="C691" s="24" t="n"/>
      <c r="D691" s="11" t="n"/>
      <c r="E691" s="11" t="n"/>
      <c r="F691">
        <f>IF(B691="","",IFERROR(INDEX(Categories!$B$5:$B$44,MATCH(B691,Categories!$A$5:$A$44,0)),"?"))</f>
        <v/>
      </c>
      <c r="G691">
        <f>IF(A691="","",MONTH(A691))</f>
        <v/>
      </c>
    </row>
    <row r="692">
      <c r="A692" s="25" t="n"/>
      <c r="B692" s="11" t="n"/>
      <c r="C692" s="24" t="n"/>
      <c r="D692" s="11" t="n"/>
      <c r="E692" s="11" t="n"/>
      <c r="F692">
        <f>IF(B692="","",IFERROR(INDEX(Categories!$B$5:$B$44,MATCH(B692,Categories!$A$5:$A$44,0)),"?"))</f>
        <v/>
      </c>
      <c r="G692">
        <f>IF(A692="","",MONTH(A692))</f>
        <v/>
      </c>
    </row>
    <row r="693">
      <c r="A693" s="25" t="n"/>
      <c r="B693" s="11" t="n"/>
      <c r="C693" s="24" t="n"/>
      <c r="D693" s="11" t="n"/>
      <c r="E693" s="11" t="n"/>
      <c r="F693">
        <f>IF(B693="","",IFERROR(INDEX(Categories!$B$5:$B$44,MATCH(B693,Categories!$A$5:$A$44,0)),"?"))</f>
        <v/>
      </c>
      <c r="G693">
        <f>IF(A693="","",MONTH(A693))</f>
        <v/>
      </c>
    </row>
    <row r="694">
      <c r="A694" s="25" t="n"/>
      <c r="B694" s="11" t="n"/>
      <c r="C694" s="24" t="n"/>
      <c r="D694" s="11" t="n"/>
      <c r="E694" s="11" t="n"/>
      <c r="F694">
        <f>IF(B694="","",IFERROR(INDEX(Categories!$B$5:$B$44,MATCH(B694,Categories!$A$5:$A$44,0)),"?"))</f>
        <v/>
      </c>
      <c r="G694">
        <f>IF(A694="","",MONTH(A694))</f>
        <v/>
      </c>
    </row>
    <row r="695">
      <c r="A695" s="25" t="n"/>
      <c r="B695" s="11" t="n"/>
      <c r="C695" s="24" t="n"/>
      <c r="D695" s="11" t="n"/>
      <c r="E695" s="11" t="n"/>
      <c r="F695">
        <f>IF(B695="","",IFERROR(INDEX(Categories!$B$5:$B$44,MATCH(B695,Categories!$A$5:$A$44,0)),"?"))</f>
        <v/>
      </c>
      <c r="G695">
        <f>IF(A695="","",MONTH(A695))</f>
        <v/>
      </c>
    </row>
    <row r="696">
      <c r="A696" s="25" t="n"/>
      <c r="B696" s="11" t="n"/>
      <c r="C696" s="24" t="n"/>
      <c r="D696" s="11" t="n"/>
      <c r="E696" s="11" t="n"/>
      <c r="F696">
        <f>IF(B696="","",IFERROR(INDEX(Categories!$B$5:$B$44,MATCH(B696,Categories!$A$5:$A$44,0)),"?"))</f>
        <v/>
      </c>
      <c r="G696">
        <f>IF(A696="","",MONTH(A696))</f>
        <v/>
      </c>
    </row>
    <row r="697">
      <c r="A697" s="25" t="n"/>
      <c r="B697" s="11" t="n"/>
      <c r="C697" s="24" t="n"/>
      <c r="D697" s="11" t="n"/>
      <c r="E697" s="11" t="n"/>
      <c r="F697">
        <f>IF(B697="","",IFERROR(INDEX(Categories!$B$5:$B$44,MATCH(B697,Categories!$A$5:$A$44,0)),"?"))</f>
        <v/>
      </c>
      <c r="G697">
        <f>IF(A697="","",MONTH(A697))</f>
        <v/>
      </c>
    </row>
    <row r="698">
      <c r="A698" s="25" t="n"/>
      <c r="B698" s="11" t="n"/>
      <c r="C698" s="24" t="n"/>
      <c r="D698" s="11" t="n"/>
      <c r="E698" s="11" t="n"/>
      <c r="F698">
        <f>IF(B698="","",IFERROR(INDEX(Categories!$B$5:$B$44,MATCH(B698,Categories!$A$5:$A$44,0)),"?"))</f>
        <v/>
      </c>
      <c r="G698">
        <f>IF(A698="","",MONTH(A698))</f>
        <v/>
      </c>
    </row>
    <row r="699">
      <c r="A699" s="25" t="n"/>
      <c r="B699" s="11" t="n"/>
      <c r="C699" s="24" t="n"/>
      <c r="D699" s="11" t="n"/>
      <c r="E699" s="11" t="n"/>
      <c r="F699">
        <f>IF(B699="","",IFERROR(INDEX(Categories!$B$5:$B$44,MATCH(B699,Categories!$A$5:$A$44,0)),"?"))</f>
        <v/>
      </c>
      <c r="G699">
        <f>IF(A699="","",MONTH(A699))</f>
        <v/>
      </c>
    </row>
    <row r="700">
      <c r="A700" s="25" t="n"/>
      <c r="B700" s="11" t="n"/>
      <c r="C700" s="24" t="n"/>
      <c r="D700" s="11" t="n"/>
      <c r="E700" s="11" t="n"/>
      <c r="F700">
        <f>IF(B700="","",IFERROR(INDEX(Categories!$B$5:$B$44,MATCH(B700,Categories!$A$5:$A$44,0)),"?"))</f>
        <v/>
      </c>
      <c r="G700">
        <f>IF(A700="","",MONTH(A700))</f>
        <v/>
      </c>
    </row>
    <row r="701">
      <c r="A701" s="25" t="n"/>
      <c r="B701" s="11" t="n"/>
      <c r="C701" s="24" t="n"/>
      <c r="D701" s="11" t="n"/>
      <c r="E701" s="11" t="n"/>
      <c r="F701">
        <f>IF(B701="","",IFERROR(INDEX(Categories!$B$5:$B$44,MATCH(B701,Categories!$A$5:$A$44,0)),"?"))</f>
        <v/>
      </c>
      <c r="G701">
        <f>IF(A701="","",MONTH(A701))</f>
        <v/>
      </c>
    </row>
    <row r="702">
      <c r="A702" s="25" t="n"/>
      <c r="B702" s="11" t="n"/>
      <c r="C702" s="24" t="n"/>
      <c r="D702" s="11" t="n"/>
      <c r="E702" s="11" t="n"/>
      <c r="F702">
        <f>IF(B702="","",IFERROR(INDEX(Categories!$B$5:$B$44,MATCH(B702,Categories!$A$5:$A$44,0)),"?"))</f>
        <v/>
      </c>
      <c r="G702">
        <f>IF(A702="","",MONTH(A702))</f>
        <v/>
      </c>
    </row>
    <row r="703">
      <c r="A703" s="25" t="n"/>
      <c r="B703" s="11" t="n"/>
      <c r="C703" s="24" t="n"/>
      <c r="D703" s="11" t="n"/>
      <c r="E703" s="11" t="n"/>
      <c r="F703">
        <f>IF(B703="","",IFERROR(INDEX(Categories!$B$5:$B$44,MATCH(B703,Categories!$A$5:$A$44,0)),"?"))</f>
        <v/>
      </c>
      <c r="G703">
        <f>IF(A703="","",MONTH(A703))</f>
        <v/>
      </c>
    </row>
    <row r="704">
      <c r="A704" s="25" t="n"/>
      <c r="B704" s="11" t="n"/>
      <c r="C704" s="24" t="n"/>
      <c r="D704" s="11" t="n"/>
      <c r="E704" s="11" t="n"/>
      <c r="F704">
        <f>IF(B704="","",IFERROR(INDEX(Categories!$B$5:$B$44,MATCH(B704,Categories!$A$5:$A$44,0)),"?"))</f>
        <v/>
      </c>
      <c r="G704">
        <f>IF(A704="","",MONTH(A704))</f>
        <v/>
      </c>
    </row>
    <row r="705">
      <c r="A705" s="25" t="n"/>
      <c r="B705" s="11" t="n"/>
      <c r="C705" s="24" t="n"/>
      <c r="D705" s="11" t="n"/>
      <c r="E705" s="11" t="n"/>
      <c r="F705">
        <f>IF(B705="","",IFERROR(INDEX(Categories!$B$5:$B$44,MATCH(B705,Categories!$A$5:$A$44,0)),"?"))</f>
        <v/>
      </c>
      <c r="G705">
        <f>IF(A705="","",MONTH(A705))</f>
        <v/>
      </c>
    </row>
    <row r="706">
      <c r="A706" s="25" t="n"/>
      <c r="B706" s="11" t="n"/>
      <c r="C706" s="24" t="n"/>
      <c r="D706" s="11" t="n"/>
      <c r="E706" s="11" t="n"/>
      <c r="F706">
        <f>IF(B706="","",IFERROR(INDEX(Categories!$B$5:$B$44,MATCH(B706,Categories!$A$5:$A$44,0)),"?"))</f>
        <v/>
      </c>
      <c r="G706">
        <f>IF(A706="","",MONTH(A706))</f>
        <v/>
      </c>
    </row>
    <row r="707">
      <c r="A707" s="25" t="n"/>
      <c r="B707" s="11" t="n"/>
      <c r="C707" s="24" t="n"/>
      <c r="D707" s="11" t="n"/>
      <c r="E707" s="11" t="n"/>
      <c r="F707">
        <f>IF(B707="","",IFERROR(INDEX(Categories!$B$5:$B$44,MATCH(B707,Categories!$A$5:$A$44,0)),"?"))</f>
        <v/>
      </c>
      <c r="G707">
        <f>IF(A707="","",MONTH(A707))</f>
        <v/>
      </c>
    </row>
    <row r="708">
      <c r="A708" s="25" t="n"/>
      <c r="B708" s="11" t="n"/>
      <c r="C708" s="24" t="n"/>
      <c r="D708" s="11" t="n"/>
      <c r="E708" s="11" t="n"/>
      <c r="F708">
        <f>IF(B708="","",IFERROR(INDEX(Categories!$B$5:$B$44,MATCH(B708,Categories!$A$5:$A$44,0)),"?"))</f>
        <v/>
      </c>
      <c r="G708">
        <f>IF(A708="","",MONTH(A708))</f>
        <v/>
      </c>
    </row>
    <row r="709">
      <c r="A709" s="25" t="n"/>
      <c r="B709" s="11" t="n"/>
      <c r="C709" s="24" t="n"/>
      <c r="D709" s="11" t="n"/>
      <c r="E709" s="11" t="n"/>
      <c r="F709">
        <f>IF(B709="","",IFERROR(INDEX(Categories!$B$5:$B$44,MATCH(B709,Categories!$A$5:$A$44,0)),"?"))</f>
        <v/>
      </c>
      <c r="G709">
        <f>IF(A709="","",MONTH(A709))</f>
        <v/>
      </c>
    </row>
    <row r="710">
      <c r="A710" s="25" t="n"/>
      <c r="B710" s="11" t="n"/>
      <c r="C710" s="24" t="n"/>
      <c r="D710" s="11" t="n"/>
      <c r="E710" s="11" t="n"/>
      <c r="F710">
        <f>IF(B710="","",IFERROR(INDEX(Categories!$B$5:$B$44,MATCH(B710,Categories!$A$5:$A$44,0)),"?"))</f>
        <v/>
      </c>
      <c r="G710">
        <f>IF(A710="","",MONTH(A710))</f>
        <v/>
      </c>
    </row>
    <row r="711">
      <c r="A711" s="25" t="n"/>
      <c r="B711" s="11" t="n"/>
      <c r="C711" s="24" t="n"/>
      <c r="D711" s="11" t="n"/>
      <c r="E711" s="11" t="n"/>
      <c r="F711">
        <f>IF(B711="","",IFERROR(INDEX(Categories!$B$5:$B$44,MATCH(B711,Categories!$A$5:$A$44,0)),"?"))</f>
        <v/>
      </c>
      <c r="G711">
        <f>IF(A711="","",MONTH(A711))</f>
        <v/>
      </c>
    </row>
    <row r="712">
      <c r="A712" s="25" t="n"/>
      <c r="B712" s="11" t="n"/>
      <c r="C712" s="24" t="n"/>
      <c r="D712" s="11" t="n"/>
      <c r="E712" s="11" t="n"/>
      <c r="F712">
        <f>IF(B712="","",IFERROR(INDEX(Categories!$B$5:$B$44,MATCH(B712,Categories!$A$5:$A$44,0)),"?"))</f>
        <v/>
      </c>
      <c r="G712">
        <f>IF(A712="","",MONTH(A712))</f>
        <v/>
      </c>
    </row>
    <row r="713">
      <c r="A713" s="25" t="n"/>
      <c r="B713" s="11" t="n"/>
      <c r="C713" s="24" t="n"/>
      <c r="D713" s="11" t="n"/>
      <c r="E713" s="11" t="n"/>
      <c r="F713">
        <f>IF(B713="","",IFERROR(INDEX(Categories!$B$5:$B$44,MATCH(B713,Categories!$A$5:$A$44,0)),"?"))</f>
        <v/>
      </c>
      <c r="G713">
        <f>IF(A713="","",MONTH(A713))</f>
        <v/>
      </c>
    </row>
    <row r="714">
      <c r="A714" s="25" t="n"/>
      <c r="B714" s="11" t="n"/>
      <c r="C714" s="24" t="n"/>
      <c r="D714" s="11" t="n"/>
      <c r="E714" s="11" t="n"/>
      <c r="F714">
        <f>IF(B714="","",IFERROR(INDEX(Categories!$B$5:$B$44,MATCH(B714,Categories!$A$5:$A$44,0)),"?"))</f>
        <v/>
      </c>
      <c r="G714">
        <f>IF(A714="","",MONTH(A714))</f>
        <v/>
      </c>
    </row>
    <row r="715">
      <c r="A715" s="25" t="n"/>
      <c r="B715" s="11" t="n"/>
      <c r="C715" s="24" t="n"/>
      <c r="D715" s="11" t="n"/>
      <c r="E715" s="11" t="n"/>
      <c r="F715">
        <f>IF(B715="","",IFERROR(INDEX(Categories!$B$5:$B$44,MATCH(B715,Categories!$A$5:$A$44,0)),"?"))</f>
        <v/>
      </c>
      <c r="G715">
        <f>IF(A715="","",MONTH(A715))</f>
        <v/>
      </c>
    </row>
    <row r="716">
      <c r="A716" s="25" t="n"/>
      <c r="B716" s="11" t="n"/>
      <c r="C716" s="24" t="n"/>
      <c r="D716" s="11" t="n"/>
      <c r="E716" s="11" t="n"/>
      <c r="F716">
        <f>IF(B716="","",IFERROR(INDEX(Categories!$B$5:$B$44,MATCH(B716,Categories!$A$5:$A$44,0)),"?"))</f>
        <v/>
      </c>
      <c r="G716">
        <f>IF(A716="","",MONTH(A716))</f>
        <v/>
      </c>
    </row>
    <row r="717">
      <c r="A717" s="25" t="n"/>
      <c r="B717" s="11" t="n"/>
      <c r="C717" s="24" t="n"/>
      <c r="D717" s="11" t="n"/>
      <c r="E717" s="11" t="n"/>
      <c r="F717">
        <f>IF(B717="","",IFERROR(INDEX(Categories!$B$5:$B$44,MATCH(B717,Categories!$A$5:$A$44,0)),"?"))</f>
        <v/>
      </c>
      <c r="G717">
        <f>IF(A717="","",MONTH(A717))</f>
        <v/>
      </c>
    </row>
    <row r="718">
      <c r="A718" s="25" t="n"/>
      <c r="B718" s="11" t="n"/>
      <c r="C718" s="24" t="n"/>
      <c r="D718" s="11" t="n"/>
      <c r="E718" s="11" t="n"/>
      <c r="F718">
        <f>IF(B718="","",IFERROR(INDEX(Categories!$B$5:$B$44,MATCH(B718,Categories!$A$5:$A$44,0)),"?"))</f>
        <v/>
      </c>
      <c r="G718">
        <f>IF(A718="","",MONTH(A718))</f>
        <v/>
      </c>
    </row>
    <row r="719">
      <c r="A719" s="25" t="n"/>
      <c r="B719" s="11" t="n"/>
      <c r="C719" s="24" t="n"/>
      <c r="D719" s="11" t="n"/>
      <c r="E719" s="11" t="n"/>
      <c r="F719">
        <f>IF(B719="","",IFERROR(INDEX(Categories!$B$5:$B$44,MATCH(B719,Categories!$A$5:$A$44,0)),"?"))</f>
        <v/>
      </c>
      <c r="G719">
        <f>IF(A719="","",MONTH(A719))</f>
        <v/>
      </c>
    </row>
    <row r="720">
      <c r="A720" s="25" t="n"/>
      <c r="B720" s="11" t="n"/>
      <c r="C720" s="24" t="n"/>
      <c r="D720" s="11" t="n"/>
      <c r="E720" s="11" t="n"/>
      <c r="F720">
        <f>IF(B720="","",IFERROR(INDEX(Categories!$B$5:$B$44,MATCH(B720,Categories!$A$5:$A$44,0)),"?"))</f>
        <v/>
      </c>
      <c r="G720">
        <f>IF(A720="","",MONTH(A720))</f>
        <v/>
      </c>
    </row>
    <row r="721">
      <c r="A721" s="25" t="n"/>
      <c r="B721" s="11" t="n"/>
      <c r="C721" s="24" t="n"/>
      <c r="D721" s="11" t="n"/>
      <c r="E721" s="11" t="n"/>
      <c r="F721">
        <f>IF(B721="","",IFERROR(INDEX(Categories!$B$5:$B$44,MATCH(B721,Categories!$A$5:$A$44,0)),"?"))</f>
        <v/>
      </c>
      <c r="G721">
        <f>IF(A721="","",MONTH(A721))</f>
        <v/>
      </c>
    </row>
    <row r="722">
      <c r="A722" s="25" t="n"/>
      <c r="B722" s="11" t="n"/>
      <c r="C722" s="24" t="n"/>
      <c r="D722" s="11" t="n"/>
      <c r="E722" s="11" t="n"/>
      <c r="F722">
        <f>IF(B722="","",IFERROR(INDEX(Categories!$B$5:$B$44,MATCH(B722,Categories!$A$5:$A$44,0)),"?"))</f>
        <v/>
      </c>
      <c r="G722">
        <f>IF(A722="","",MONTH(A722))</f>
        <v/>
      </c>
    </row>
    <row r="723">
      <c r="A723" s="25" t="n"/>
      <c r="B723" s="11" t="n"/>
      <c r="C723" s="24" t="n"/>
      <c r="D723" s="11" t="n"/>
      <c r="E723" s="11" t="n"/>
      <c r="F723">
        <f>IF(B723="","",IFERROR(INDEX(Categories!$B$5:$B$44,MATCH(B723,Categories!$A$5:$A$44,0)),"?"))</f>
        <v/>
      </c>
      <c r="G723">
        <f>IF(A723="","",MONTH(A723))</f>
        <v/>
      </c>
    </row>
    <row r="724">
      <c r="A724" s="25" t="n"/>
      <c r="B724" s="11" t="n"/>
      <c r="C724" s="24" t="n"/>
      <c r="D724" s="11" t="n"/>
      <c r="E724" s="11" t="n"/>
      <c r="F724">
        <f>IF(B724="","",IFERROR(INDEX(Categories!$B$5:$B$44,MATCH(B724,Categories!$A$5:$A$44,0)),"?"))</f>
        <v/>
      </c>
      <c r="G724">
        <f>IF(A724="","",MONTH(A724))</f>
        <v/>
      </c>
    </row>
    <row r="725">
      <c r="A725" s="25" t="n"/>
      <c r="B725" s="11" t="n"/>
      <c r="C725" s="24" t="n"/>
      <c r="D725" s="11" t="n"/>
      <c r="E725" s="11" t="n"/>
      <c r="F725">
        <f>IF(B725="","",IFERROR(INDEX(Categories!$B$5:$B$44,MATCH(B725,Categories!$A$5:$A$44,0)),"?"))</f>
        <v/>
      </c>
      <c r="G725">
        <f>IF(A725="","",MONTH(A725))</f>
        <v/>
      </c>
    </row>
    <row r="726">
      <c r="A726" s="25" t="n"/>
      <c r="B726" s="11" t="n"/>
      <c r="C726" s="24" t="n"/>
      <c r="D726" s="11" t="n"/>
      <c r="E726" s="11" t="n"/>
      <c r="F726">
        <f>IF(B726="","",IFERROR(INDEX(Categories!$B$5:$B$44,MATCH(B726,Categories!$A$5:$A$44,0)),"?"))</f>
        <v/>
      </c>
      <c r="G726">
        <f>IF(A726="","",MONTH(A726))</f>
        <v/>
      </c>
    </row>
    <row r="727">
      <c r="A727" s="25" t="n"/>
      <c r="B727" s="11" t="n"/>
      <c r="C727" s="24" t="n"/>
      <c r="D727" s="11" t="n"/>
      <c r="E727" s="11" t="n"/>
      <c r="F727">
        <f>IF(B727="","",IFERROR(INDEX(Categories!$B$5:$B$44,MATCH(B727,Categories!$A$5:$A$44,0)),"?"))</f>
        <v/>
      </c>
      <c r="G727">
        <f>IF(A727="","",MONTH(A727))</f>
        <v/>
      </c>
    </row>
    <row r="728">
      <c r="A728" s="25" t="n"/>
      <c r="B728" s="11" t="n"/>
      <c r="C728" s="24" t="n"/>
      <c r="D728" s="11" t="n"/>
      <c r="E728" s="11" t="n"/>
      <c r="F728">
        <f>IF(B728="","",IFERROR(INDEX(Categories!$B$5:$B$44,MATCH(B728,Categories!$A$5:$A$44,0)),"?"))</f>
        <v/>
      </c>
      <c r="G728">
        <f>IF(A728="","",MONTH(A728))</f>
        <v/>
      </c>
    </row>
    <row r="729">
      <c r="A729" s="25" t="n"/>
      <c r="B729" s="11" t="n"/>
      <c r="C729" s="24" t="n"/>
      <c r="D729" s="11" t="n"/>
      <c r="E729" s="11" t="n"/>
      <c r="F729">
        <f>IF(B729="","",IFERROR(INDEX(Categories!$B$5:$B$44,MATCH(B729,Categories!$A$5:$A$44,0)),"?"))</f>
        <v/>
      </c>
      <c r="G729">
        <f>IF(A729="","",MONTH(A729))</f>
        <v/>
      </c>
    </row>
    <row r="730">
      <c r="A730" s="25" t="n"/>
      <c r="B730" s="11" t="n"/>
      <c r="C730" s="24" t="n"/>
      <c r="D730" s="11" t="n"/>
      <c r="E730" s="11" t="n"/>
      <c r="F730">
        <f>IF(B730="","",IFERROR(INDEX(Categories!$B$5:$B$44,MATCH(B730,Categories!$A$5:$A$44,0)),"?"))</f>
        <v/>
      </c>
      <c r="G730">
        <f>IF(A730="","",MONTH(A730))</f>
        <v/>
      </c>
    </row>
    <row r="731">
      <c r="A731" s="25" t="n"/>
      <c r="B731" s="11" t="n"/>
      <c r="C731" s="24" t="n"/>
      <c r="D731" s="11" t="n"/>
      <c r="E731" s="11" t="n"/>
      <c r="F731">
        <f>IF(B731="","",IFERROR(INDEX(Categories!$B$5:$B$44,MATCH(B731,Categories!$A$5:$A$44,0)),"?"))</f>
        <v/>
      </c>
      <c r="G731">
        <f>IF(A731="","",MONTH(A731))</f>
        <v/>
      </c>
    </row>
    <row r="732">
      <c r="A732" s="25" t="n"/>
      <c r="B732" s="11" t="n"/>
      <c r="C732" s="24" t="n"/>
      <c r="D732" s="11" t="n"/>
      <c r="E732" s="11" t="n"/>
      <c r="F732">
        <f>IF(B732="","",IFERROR(INDEX(Categories!$B$5:$B$44,MATCH(B732,Categories!$A$5:$A$44,0)),"?"))</f>
        <v/>
      </c>
      <c r="G732">
        <f>IF(A732="","",MONTH(A732))</f>
        <v/>
      </c>
    </row>
    <row r="733">
      <c r="A733" s="25" t="n"/>
      <c r="B733" s="11" t="n"/>
      <c r="C733" s="24" t="n"/>
      <c r="D733" s="11" t="n"/>
      <c r="E733" s="11" t="n"/>
      <c r="F733">
        <f>IF(B733="","",IFERROR(INDEX(Categories!$B$5:$B$44,MATCH(B733,Categories!$A$5:$A$44,0)),"?"))</f>
        <v/>
      </c>
      <c r="G733">
        <f>IF(A733="","",MONTH(A733))</f>
        <v/>
      </c>
    </row>
    <row r="734">
      <c r="A734" s="25" t="n"/>
      <c r="B734" s="11" t="n"/>
      <c r="C734" s="24" t="n"/>
      <c r="D734" s="11" t="n"/>
      <c r="E734" s="11" t="n"/>
      <c r="F734">
        <f>IF(B734="","",IFERROR(INDEX(Categories!$B$5:$B$44,MATCH(B734,Categories!$A$5:$A$44,0)),"?"))</f>
        <v/>
      </c>
      <c r="G734">
        <f>IF(A734="","",MONTH(A734))</f>
        <v/>
      </c>
    </row>
    <row r="735">
      <c r="A735" s="25" t="n"/>
      <c r="B735" s="11" t="n"/>
      <c r="C735" s="24" t="n"/>
      <c r="D735" s="11" t="n"/>
      <c r="E735" s="11" t="n"/>
      <c r="F735">
        <f>IF(B735="","",IFERROR(INDEX(Categories!$B$5:$B$44,MATCH(B735,Categories!$A$5:$A$44,0)),"?"))</f>
        <v/>
      </c>
      <c r="G735">
        <f>IF(A735="","",MONTH(A735))</f>
        <v/>
      </c>
    </row>
    <row r="736">
      <c r="A736" s="25" t="n"/>
      <c r="B736" s="11" t="n"/>
      <c r="C736" s="24" t="n"/>
      <c r="D736" s="11" t="n"/>
      <c r="E736" s="11" t="n"/>
      <c r="F736">
        <f>IF(B736="","",IFERROR(INDEX(Categories!$B$5:$B$44,MATCH(B736,Categories!$A$5:$A$44,0)),"?"))</f>
        <v/>
      </c>
      <c r="G736">
        <f>IF(A736="","",MONTH(A736))</f>
        <v/>
      </c>
    </row>
    <row r="737">
      <c r="A737" s="25" t="n"/>
      <c r="B737" s="11" t="n"/>
      <c r="C737" s="24" t="n"/>
      <c r="D737" s="11" t="n"/>
      <c r="E737" s="11" t="n"/>
      <c r="F737">
        <f>IF(B737="","",IFERROR(INDEX(Categories!$B$5:$B$44,MATCH(B737,Categories!$A$5:$A$44,0)),"?"))</f>
        <v/>
      </c>
      <c r="G737">
        <f>IF(A737="","",MONTH(A737))</f>
        <v/>
      </c>
    </row>
    <row r="738">
      <c r="A738" s="25" t="n"/>
      <c r="B738" s="11" t="n"/>
      <c r="C738" s="24" t="n"/>
      <c r="D738" s="11" t="n"/>
      <c r="E738" s="11" t="n"/>
      <c r="F738">
        <f>IF(B738="","",IFERROR(INDEX(Categories!$B$5:$B$44,MATCH(B738,Categories!$A$5:$A$44,0)),"?"))</f>
        <v/>
      </c>
      <c r="G738">
        <f>IF(A738="","",MONTH(A738))</f>
        <v/>
      </c>
    </row>
    <row r="739">
      <c r="A739" s="25" t="n"/>
      <c r="B739" s="11" t="n"/>
      <c r="C739" s="24" t="n"/>
      <c r="D739" s="11" t="n"/>
      <c r="E739" s="11" t="n"/>
      <c r="F739">
        <f>IF(B739="","",IFERROR(INDEX(Categories!$B$5:$B$44,MATCH(B739,Categories!$A$5:$A$44,0)),"?"))</f>
        <v/>
      </c>
      <c r="G739">
        <f>IF(A739="","",MONTH(A739))</f>
        <v/>
      </c>
    </row>
    <row r="740">
      <c r="A740" s="25" t="n"/>
      <c r="B740" s="11" t="n"/>
      <c r="C740" s="24" t="n"/>
      <c r="D740" s="11" t="n"/>
      <c r="E740" s="11" t="n"/>
      <c r="F740">
        <f>IF(B740="","",IFERROR(INDEX(Categories!$B$5:$B$44,MATCH(B740,Categories!$A$5:$A$44,0)),"?"))</f>
        <v/>
      </c>
      <c r="G740">
        <f>IF(A740="","",MONTH(A740))</f>
        <v/>
      </c>
    </row>
    <row r="741">
      <c r="A741" s="25" t="n"/>
      <c r="B741" s="11" t="n"/>
      <c r="C741" s="24" t="n"/>
      <c r="D741" s="11" t="n"/>
      <c r="E741" s="11" t="n"/>
      <c r="F741">
        <f>IF(B741="","",IFERROR(INDEX(Categories!$B$5:$B$44,MATCH(B741,Categories!$A$5:$A$44,0)),"?"))</f>
        <v/>
      </c>
      <c r="G741">
        <f>IF(A741="","",MONTH(A741))</f>
        <v/>
      </c>
    </row>
    <row r="742">
      <c r="A742" s="25" t="n"/>
      <c r="B742" s="11" t="n"/>
      <c r="C742" s="24" t="n"/>
      <c r="D742" s="11" t="n"/>
      <c r="E742" s="11" t="n"/>
      <c r="F742">
        <f>IF(B742="","",IFERROR(INDEX(Categories!$B$5:$B$44,MATCH(B742,Categories!$A$5:$A$44,0)),"?"))</f>
        <v/>
      </c>
      <c r="G742">
        <f>IF(A742="","",MONTH(A742))</f>
        <v/>
      </c>
    </row>
    <row r="743">
      <c r="A743" s="25" t="n"/>
      <c r="B743" s="11" t="n"/>
      <c r="C743" s="24" t="n"/>
      <c r="D743" s="11" t="n"/>
      <c r="E743" s="11" t="n"/>
      <c r="F743">
        <f>IF(B743="","",IFERROR(INDEX(Categories!$B$5:$B$44,MATCH(B743,Categories!$A$5:$A$44,0)),"?"))</f>
        <v/>
      </c>
      <c r="G743">
        <f>IF(A743="","",MONTH(A743))</f>
        <v/>
      </c>
    </row>
    <row r="744">
      <c r="A744" s="25" t="n"/>
      <c r="B744" s="11" t="n"/>
      <c r="C744" s="24" t="n"/>
      <c r="D744" s="11" t="n"/>
      <c r="E744" s="11" t="n"/>
      <c r="F744">
        <f>IF(B744="","",IFERROR(INDEX(Categories!$B$5:$B$44,MATCH(B744,Categories!$A$5:$A$44,0)),"?"))</f>
        <v/>
      </c>
      <c r="G744">
        <f>IF(A744="","",MONTH(A744))</f>
        <v/>
      </c>
    </row>
    <row r="745">
      <c r="A745" s="25" t="n"/>
      <c r="B745" s="11" t="n"/>
      <c r="C745" s="24" t="n"/>
      <c r="D745" s="11" t="n"/>
      <c r="E745" s="11" t="n"/>
      <c r="F745">
        <f>IF(B745="","",IFERROR(INDEX(Categories!$B$5:$B$44,MATCH(B745,Categories!$A$5:$A$44,0)),"?"))</f>
        <v/>
      </c>
      <c r="G745">
        <f>IF(A745="","",MONTH(A745))</f>
        <v/>
      </c>
    </row>
    <row r="746">
      <c r="A746" s="25" t="n"/>
      <c r="B746" s="11" t="n"/>
      <c r="C746" s="24" t="n"/>
      <c r="D746" s="11" t="n"/>
      <c r="E746" s="11" t="n"/>
      <c r="F746">
        <f>IF(B746="","",IFERROR(INDEX(Categories!$B$5:$B$44,MATCH(B746,Categories!$A$5:$A$44,0)),"?"))</f>
        <v/>
      </c>
      <c r="G746">
        <f>IF(A746="","",MONTH(A746))</f>
        <v/>
      </c>
    </row>
    <row r="747">
      <c r="A747" s="25" t="n"/>
      <c r="B747" s="11" t="n"/>
      <c r="C747" s="24" t="n"/>
      <c r="D747" s="11" t="n"/>
      <c r="E747" s="11" t="n"/>
      <c r="F747">
        <f>IF(B747="","",IFERROR(INDEX(Categories!$B$5:$B$44,MATCH(B747,Categories!$A$5:$A$44,0)),"?"))</f>
        <v/>
      </c>
      <c r="G747">
        <f>IF(A747="","",MONTH(A747))</f>
        <v/>
      </c>
    </row>
    <row r="748">
      <c r="A748" s="25" t="n"/>
      <c r="B748" s="11" t="n"/>
      <c r="C748" s="24" t="n"/>
      <c r="D748" s="11" t="n"/>
      <c r="E748" s="11" t="n"/>
      <c r="F748">
        <f>IF(B748="","",IFERROR(INDEX(Categories!$B$5:$B$44,MATCH(B748,Categories!$A$5:$A$44,0)),"?"))</f>
        <v/>
      </c>
      <c r="G748">
        <f>IF(A748="","",MONTH(A748))</f>
        <v/>
      </c>
    </row>
    <row r="749">
      <c r="A749" s="25" t="n"/>
      <c r="B749" s="11" t="n"/>
      <c r="C749" s="24" t="n"/>
      <c r="D749" s="11" t="n"/>
      <c r="E749" s="11" t="n"/>
      <c r="F749">
        <f>IF(B749="","",IFERROR(INDEX(Categories!$B$5:$B$44,MATCH(B749,Categories!$A$5:$A$44,0)),"?"))</f>
        <v/>
      </c>
      <c r="G749">
        <f>IF(A749="","",MONTH(A749))</f>
        <v/>
      </c>
    </row>
    <row r="750">
      <c r="A750" s="25" t="n"/>
      <c r="B750" s="11" t="n"/>
      <c r="C750" s="24" t="n"/>
      <c r="D750" s="11" t="n"/>
      <c r="E750" s="11" t="n"/>
      <c r="F750">
        <f>IF(B750="","",IFERROR(INDEX(Categories!$B$5:$B$44,MATCH(B750,Categories!$A$5:$A$44,0)),"?"))</f>
        <v/>
      </c>
      <c r="G750">
        <f>IF(A750="","",MONTH(A750))</f>
        <v/>
      </c>
    </row>
    <row r="751">
      <c r="A751" s="25" t="n"/>
      <c r="B751" s="11" t="n"/>
      <c r="C751" s="24" t="n"/>
      <c r="D751" s="11" t="n"/>
      <c r="E751" s="11" t="n"/>
      <c r="F751">
        <f>IF(B751="","",IFERROR(INDEX(Categories!$B$5:$B$44,MATCH(B751,Categories!$A$5:$A$44,0)),"?"))</f>
        <v/>
      </c>
      <c r="G751">
        <f>IF(A751="","",MONTH(A751))</f>
        <v/>
      </c>
    </row>
    <row r="752">
      <c r="A752" s="25" t="n"/>
      <c r="B752" s="11" t="n"/>
      <c r="C752" s="24" t="n"/>
      <c r="D752" s="11" t="n"/>
      <c r="E752" s="11" t="n"/>
      <c r="F752">
        <f>IF(B752="","",IFERROR(INDEX(Categories!$B$5:$B$44,MATCH(B752,Categories!$A$5:$A$44,0)),"?"))</f>
        <v/>
      </c>
      <c r="G752">
        <f>IF(A752="","",MONTH(A752))</f>
        <v/>
      </c>
    </row>
    <row r="753">
      <c r="A753" s="25" t="n"/>
      <c r="B753" s="11" t="n"/>
      <c r="C753" s="24" t="n"/>
      <c r="D753" s="11" t="n"/>
      <c r="E753" s="11" t="n"/>
      <c r="F753">
        <f>IF(B753="","",IFERROR(INDEX(Categories!$B$5:$B$44,MATCH(B753,Categories!$A$5:$A$44,0)),"?"))</f>
        <v/>
      </c>
      <c r="G753">
        <f>IF(A753="","",MONTH(A753))</f>
        <v/>
      </c>
    </row>
    <row r="754">
      <c r="A754" s="25" t="n"/>
      <c r="B754" s="11" t="n"/>
      <c r="C754" s="24" t="n"/>
      <c r="D754" s="11" t="n"/>
      <c r="E754" s="11" t="n"/>
      <c r="F754">
        <f>IF(B754="","",IFERROR(INDEX(Categories!$B$5:$B$44,MATCH(B754,Categories!$A$5:$A$44,0)),"?"))</f>
        <v/>
      </c>
      <c r="G754">
        <f>IF(A754="","",MONTH(A754))</f>
        <v/>
      </c>
    </row>
    <row r="755">
      <c r="A755" s="25" t="n"/>
      <c r="B755" s="11" t="n"/>
      <c r="C755" s="24" t="n"/>
      <c r="D755" s="11" t="n"/>
      <c r="E755" s="11" t="n"/>
      <c r="F755">
        <f>IF(B755="","",IFERROR(INDEX(Categories!$B$5:$B$44,MATCH(B755,Categories!$A$5:$A$44,0)),"?"))</f>
        <v/>
      </c>
      <c r="G755">
        <f>IF(A755="","",MONTH(A755))</f>
        <v/>
      </c>
    </row>
    <row r="756">
      <c r="A756" s="25" t="n"/>
      <c r="B756" s="11" t="n"/>
      <c r="C756" s="24" t="n"/>
      <c r="D756" s="11" t="n"/>
      <c r="E756" s="11" t="n"/>
      <c r="F756">
        <f>IF(B756="","",IFERROR(INDEX(Categories!$B$5:$B$44,MATCH(B756,Categories!$A$5:$A$44,0)),"?"))</f>
        <v/>
      </c>
      <c r="G756">
        <f>IF(A756="","",MONTH(A756))</f>
        <v/>
      </c>
    </row>
    <row r="757">
      <c r="A757" s="25" t="n"/>
      <c r="B757" s="11" t="n"/>
      <c r="C757" s="24" t="n"/>
      <c r="D757" s="11" t="n"/>
      <c r="E757" s="11" t="n"/>
      <c r="F757">
        <f>IF(B757="","",IFERROR(INDEX(Categories!$B$5:$B$44,MATCH(B757,Categories!$A$5:$A$44,0)),"?"))</f>
        <v/>
      </c>
      <c r="G757">
        <f>IF(A757="","",MONTH(A757))</f>
        <v/>
      </c>
    </row>
    <row r="758">
      <c r="A758" s="25" t="n"/>
      <c r="B758" s="11" t="n"/>
      <c r="C758" s="24" t="n"/>
      <c r="D758" s="11" t="n"/>
      <c r="E758" s="11" t="n"/>
      <c r="F758">
        <f>IF(B758="","",IFERROR(INDEX(Categories!$B$5:$B$44,MATCH(B758,Categories!$A$5:$A$44,0)),"?"))</f>
        <v/>
      </c>
      <c r="G758">
        <f>IF(A758="","",MONTH(A758))</f>
        <v/>
      </c>
    </row>
    <row r="759">
      <c r="A759" s="25" t="n"/>
      <c r="B759" s="11" t="n"/>
      <c r="C759" s="24" t="n"/>
      <c r="D759" s="11" t="n"/>
      <c r="E759" s="11" t="n"/>
      <c r="F759">
        <f>IF(B759="","",IFERROR(INDEX(Categories!$B$5:$B$44,MATCH(B759,Categories!$A$5:$A$44,0)),"?"))</f>
        <v/>
      </c>
      <c r="G759">
        <f>IF(A759="","",MONTH(A759))</f>
        <v/>
      </c>
    </row>
    <row r="760">
      <c r="A760" s="25" t="n"/>
      <c r="B760" s="11" t="n"/>
      <c r="C760" s="24" t="n"/>
      <c r="D760" s="11" t="n"/>
      <c r="E760" s="11" t="n"/>
      <c r="F760">
        <f>IF(B760="","",IFERROR(INDEX(Categories!$B$5:$B$44,MATCH(B760,Categories!$A$5:$A$44,0)),"?"))</f>
        <v/>
      </c>
      <c r="G760">
        <f>IF(A760="","",MONTH(A760))</f>
        <v/>
      </c>
    </row>
    <row r="761">
      <c r="A761" s="25" t="n"/>
      <c r="B761" s="11" t="n"/>
      <c r="C761" s="24" t="n"/>
      <c r="D761" s="11" t="n"/>
      <c r="E761" s="11" t="n"/>
      <c r="F761">
        <f>IF(B761="","",IFERROR(INDEX(Categories!$B$5:$B$44,MATCH(B761,Categories!$A$5:$A$44,0)),"?"))</f>
        <v/>
      </c>
      <c r="G761">
        <f>IF(A761="","",MONTH(A761))</f>
        <v/>
      </c>
    </row>
    <row r="762">
      <c r="A762" s="25" t="n"/>
      <c r="B762" s="11" t="n"/>
      <c r="C762" s="24" t="n"/>
      <c r="D762" s="11" t="n"/>
      <c r="E762" s="11" t="n"/>
      <c r="F762">
        <f>IF(B762="","",IFERROR(INDEX(Categories!$B$5:$B$44,MATCH(B762,Categories!$A$5:$A$44,0)),"?"))</f>
        <v/>
      </c>
      <c r="G762">
        <f>IF(A762="","",MONTH(A762))</f>
        <v/>
      </c>
    </row>
    <row r="763">
      <c r="A763" s="25" t="n"/>
      <c r="B763" s="11" t="n"/>
      <c r="C763" s="24" t="n"/>
      <c r="D763" s="11" t="n"/>
      <c r="E763" s="11" t="n"/>
      <c r="F763">
        <f>IF(B763="","",IFERROR(INDEX(Categories!$B$5:$B$44,MATCH(B763,Categories!$A$5:$A$44,0)),"?"))</f>
        <v/>
      </c>
      <c r="G763">
        <f>IF(A763="","",MONTH(A763))</f>
        <v/>
      </c>
    </row>
    <row r="764">
      <c r="A764" s="25" t="n"/>
      <c r="B764" s="11" t="n"/>
      <c r="C764" s="24" t="n"/>
      <c r="D764" s="11" t="n"/>
      <c r="E764" s="11" t="n"/>
      <c r="F764">
        <f>IF(B764="","",IFERROR(INDEX(Categories!$B$5:$B$44,MATCH(B764,Categories!$A$5:$A$44,0)),"?"))</f>
        <v/>
      </c>
      <c r="G764">
        <f>IF(A764="","",MONTH(A764))</f>
        <v/>
      </c>
    </row>
    <row r="765">
      <c r="A765" s="25" t="n"/>
      <c r="B765" s="11" t="n"/>
      <c r="C765" s="24" t="n"/>
      <c r="D765" s="11" t="n"/>
      <c r="E765" s="11" t="n"/>
      <c r="F765">
        <f>IF(B765="","",IFERROR(INDEX(Categories!$B$5:$B$44,MATCH(B765,Categories!$A$5:$A$44,0)),"?"))</f>
        <v/>
      </c>
      <c r="G765">
        <f>IF(A765="","",MONTH(A765))</f>
        <v/>
      </c>
    </row>
    <row r="766">
      <c r="A766" s="25" t="n"/>
      <c r="B766" s="11" t="n"/>
      <c r="C766" s="24" t="n"/>
      <c r="D766" s="11" t="n"/>
      <c r="E766" s="11" t="n"/>
      <c r="F766">
        <f>IF(B766="","",IFERROR(INDEX(Categories!$B$5:$B$44,MATCH(B766,Categories!$A$5:$A$44,0)),"?"))</f>
        <v/>
      </c>
      <c r="G766">
        <f>IF(A766="","",MONTH(A766))</f>
        <v/>
      </c>
    </row>
    <row r="767">
      <c r="A767" s="25" t="n"/>
      <c r="B767" s="11" t="n"/>
      <c r="C767" s="24" t="n"/>
      <c r="D767" s="11" t="n"/>
      <c r="E767" s="11" t="n"/>
      <c r="F767">
        <f>IF(B767="","",IFERROR(INDEX(Categories!$B$5:$B$44,MATCH(B767,Categories!$A$5:$A$44,0)),"?"))</f>
        <v/>
      </c>
      <c r="G767">
        <f>IF(A767="","",MONTH(A767))</f>
        <v/>
      </c>
    </row>
    <row r="768">
      <c r="A768" s="25" t="n"/>
      <c r="B768" s="11" t="n"/>
      <c r="C768" s="24" t="n"/>
      <c r="D768" s="11" t="n"/>
      <c r="E768" s="11" t="n"/>
      <c r="F768">
        <f>IF(B768="","",IFERROR(INDEX(Categories!$B$5:$B$44,MATCH(B768,Categories!$A$5:$A$44,0)),"?"))</f>
        <v/>
      </c>
      <c r="G768">
        <f>IF(A768="","",MONTH(A768))</f>
        <v/>
      </c>
    </row>
    <row r="769">
      <c r="A769" s="25" t="n"/>
      <c r="B769" s="11" t="n"/>
      <c r="C769" s="24" t="n"/>
      <c r="D769" s="11" t="n"/>
      <c r="E769" s="11" t="n"/>
      <c r="F769">
        <f>IF(B769="","",IFERROR(INDEX(Categories!$B$5:$B$44,MATCH(B769,Categories!$A$5:$A$44,0)),"?"))</f>
        <v/>
      </c>
      <c r="G769">
        <f>IF(A769="","",MONTH(A769))</f>
        <v/>
      </c>
    </row>
    <row r="770">
      <c r="A770" s="25" t="n"/>
      <c r="B770" s="11" t="n"/>
      <c r="C770" s="24" t="n"/>
      <c r="D770" s="11" t="n"/>
      <c r="E770" s="11" t="n"/>
      <c r="F770">
        <f>IF(B770="","",IFERROR(INDEX(Categories!$B$5:$B$44,MATCH(B770,Categories!$A$5:$A$44,0)),"?"))</f>
        <v/>
      </c>
      <c r="G770">
        <f>IF(A770="","",MONTH(A770))</f>
        <v/>
      </c>
    </row>
    <row r="771">
      <c r="A771" s="25" t="n"/>
      <c r="B771" s="11" t="n"/>
      <c r="C771" s="24" t="n"/>
      <c r="D771" s="11" t="n"/>
      <c r="E771" s="11" t="n"/>
      <c r="F771">
        <f>IF(B771="","",IFERROR(INDEX(Categories!$B$5:$B$44,MATCH(B771,Categories!$A$5:$A$44,0)),"?"))</f>
        <v/>
      </c>
      <c r="G771">
        <f>IF(A771="","",MONTH(A771))</f>
        <v/>
      </c>
    </row>
    <row r="772">
      <c r="A772" s="25" t="n"/>
      <c r="B772" s="11" t="n"/>
      <c r="C772" s="24" t="n"/>
      <c r="D772" s="11" t="n"/>
      <c r="E772" s="11" t="n"/>
      <c r="F772">
        <f>IF(B772="","",IFERROR(INDEX(Categories!$B$5:$B$44,MATCH(B772,Categories!$A$5:$A$44,0)),"?"))</f>
        <v/>
      </c>
      <c r="G772">
        <f>IF(A772="","",MONTH(A772))</f>
        <v/>
      </c>
    </row>
    <row r="773">
      <c r="A773" s="25" t="n"/>
      <c r="B773" s="11" t="n"/>
      <c r="C773" s="24" t="n"/>
      <c r="D773" s="11" t="n"/>
      <c r="E773" s="11" t="n"/>
      <c r="F773">
        <f>IF(B773="","",IFERROR(INDEX(Categories!$B$5:$B$44,MATCH(B773,Categories!$A$5:$A$44,0)),"?"))</f>
        <v/>
      </c>
      <c r="G773">
        <f>IF(A773="","",MONTH(A773))</f>
        <v/>
      </c>
    </row>
    <row r="774">
      <c r="A774" s="25" t="n"/>
      <c r="B774" s="11" t="n"/>
      <c r="C774" s="24" t="n"/>
      <c r="D774" s="11" t="n"/>
      <c r="E774" s="11" t="n"/>
      <c r="F774">
        <f>IF(B774="","",IFERROR(INDEX(Categories!$B$5:$B$44,MATCH(B774,Categories!$A$5:$A$44,0)),"?"))</f>
        <v/>
      </c>
      <c r="G774">
        <f>IF(A774="","",MONTH(A774))</f>
        <v/>
      </c>
    </row>
    <row r="775">
      <c r="A775" s="25" t="n"/>
      <c r="B775" s="11" t="n"/>
      <c r="C775" s="24" t="n"/>
      <c r="D775" s="11" t="n"/>
      <c r="E775" s="11" t="n"/>
      <c r="F775">
        <f>IF(B775="","",IFERROR(INDEX(Categories!$B$5:$B$44,MATCH(B775,Categories!$A$5:$A$44,0)),"?"))</f>
        <v/>
      </c>
      <c r="G775">
        <f>IF(A775="","",MONTH(A775))</f>
        <v/>
      </c>
    </row>
    <row r="776">
      <c r="A776" s="25" t="n"/>
      <c r="B776" s="11" t="n"/>
      <c r="C776" s="24" t="n"/>
      <c r="D776" s="11" t="n"/>
      <c r="E776" s="11" t="n"/>
      <c r="F776">
        <f>IF(B776="","",IFERROR(INDEX(Categories!$B$5:$B$44,MATCH(B776,Categories!$A$5:$A$44,0)),"?"))</f>
        <v/>
      </c>
      <c r="G776">
        <f>IF(A776="","",MONTH(A776))</f>
        <v/>
      </c>
    </row>
    <row r="777">
      <c r="A777" s="25" t="n"/>
      <c r="B777" s="11" t="n"/>
      <c r="C777" s="24" t="n"/>
      <c r="D777" s="11" t="n"/>
      <c r="E777" s="11" t="n"/>
      <c r="F777">
        <f>IF(B777="","",IFERROR(INDEX(Categories!$B$5:$B$44,MATCH(B777,Categories!$A$5:$A$44,0)),"?"))</f>
        <v/>
      </c>
      <c r="G777">
        <f>IF(A777="","",MONTH(A777))</f>
        <v/>
      </c>
    </row>
    <row r="778">
      <c r="A778" s="25" t="n"/>
      <c r="B778" s="11" t="n"/>
      <c r="C778" s="24" t="n"/>
      <c r="D778" s="11" t="n"/>
      <c r="E778" s="11" t="n"/>
      <c r="F778">
        <f>IF(B778="","",IFERROR(INDEX(Categories!$B$5:$B$44,MATCH(B778,Categories!$A$5:$A$44,0)),"?"))</f>
        <v/>
      </c>
      <c r="G778">
        <f>IF(A778="","",MONTH(A778))</f>
        <v/>
      </c>
    </row>
    <row r="779">
      <c r="A779" s="25" t="n"/>
      <c r="B779" s="11" t="n"/>
      <c r="C779" s="24" t="n"/>
      <c r="D779" s="11" t="n"/>
      <c r="E779" s="11" t="n"/>
      <c r="F779">
        <f>IF(B779="","",IFERROR(INDEX(Categories!$B$5:$B$44,MATCH(B779,Categories!$A$5:$A$44,0)),"?"))</f>
        <v/>
      </c>
      <c r="G779">
        <f>IF(A779="","",MONTH(A779))</f>
        <v/>
      </c>
    </row>
    <row r="780">
      <c r="A780" s="25" t="n"/>
      <c r="B780" s="11" t="n"/>
      <c r="C780" s="24" t="n"/>
      <c r="D780" s="11" t="n"/>
      <c r="E780" s="11" t="n"/>
      <c r="F780">
        <f>IF(B780="","",IFERROR(INDEX(Categories!$B$5:$B$44,MATCH(B780,Categories!$A$5:$A$44,0)),"?"))</f>
        <v/>
      </c>
      <c r="G780">
        <f>IF(A780="","",MONTH(A780))</f>
        <v/>
      </c>
    </row>
    <row r="781">
      <c r="A781" s="25" t="n"/>
      <c r="B781" s="11" t="n"/>
      <c r="C781" s="24" t="n"/>
      <c r="D781" s="11" t="n"/>
      <c r="E781" s="11" t="n"/>
      <c r="F781">
        <f>IF(B781="","",IFERROR(INDEX(Categories!$B$5:$B$44,MATCH(B781,Categories!$A$5:$A$44,0)),"?"))</f>
        <v/>
      </c>
      <c r="G781">
        <f>IF(A781="","",MONTH(A781))</f>
        <v/>
      </c>
    </row>
    <row r="782">
      <c r="A782" s="25" t="n"/>
      <c r="B782" s="11" t="n"/>
      <c r="C782" s="24" t="n"/>
      <c r="D782" s="11" t="n"/>
      <c r="E782" s="11" t="n"/>
      <c r="F782">
        <f>IF(B782="","",IFERROR(INDEX(Categories!$B$5:$B$44,MATCH(B782,Categories!$A$5:$A$44,0)),"?"))</f>
        <v/>
      </c>
      <c r="G782">
        <f>IF(A782="","",MONTH(A782))</f>
        <v/>
      </c>
    </row>
    <row r="783">
      <c r="A783" s="25" t="n"/>
      <c r="B783" s="11" t="n"/>
      <c r="C783" s="24" t="n"/>
      <c r="D783" s="11" t="n"/>
      <c r="E783" s="11" t="n"/>
      <c r="F783">
        <f>IF(B783="","",IFERROR(INDEX(Categories!$B$5:$B$44,MATCH(B783,Categories!$A$5:$A$44,0)),"?"))</f>
        <v/>
      </c>
      <c r="G783">
        <f>IF(A783="","",MONTH(A783))</f>
        <v/>
      </c>
    </row>
    <row r="784">
      <c r="A784" s="25" t="n"/>
      <c r="B784" s="11" t="n"/>
      <c r="C784" s="24" t="n"/>
      <c r="D784" s="11" t="n"/>
      <c r="E784" s="11" t="n"/>
      <c r="F784">
        <f>IF(B784="","",IFERROR(INDEX(Categories!$B$5:$B$44,MATCH(B784,Categories!$A$5:$A$44,0)),"?"))</f>
        <v/>
      </c>
      <c r="G784">
        <f>IF(A784="","",MONTH(A784))</f>
        <v/>
      </c>
    </row>
    <row r="785">
      <c r="A785" s="25" t="n"/>
      <c r="B785" s="11" t="n"/>
      <c r="C785" s="24" t="n"/>
      <c r="D785" s="11" t="n"/>
      <c r="E785" s="11" t="n"/>
      <c r="F785">
        <f>IF(B785="","",IFERROR(INDEX(Categories!$B$5:$B$44,MATCH(B785,Categories!$A$5:$A$44,0)),"?"))</f>
        <v/>
      </c>
      <c r="G785">
        <f>IF(A785="","",MONTH(A785))</f>
        <v/>
      </c>
    </row>
    <row r="786">
      <c r="A786" s="25" t="n"/>
      <c r="B786" s="11" t="n"/>
      <c r="C786" s="24" t="n"/>
      <c r="D786" s="11" t="n"/>
      <c r="E786" s="11" t="n"/>
      <c r="F786">
        <f>IF(B786="","",IFERROR(INDEX(Categories!$B$5:$B$44,MATCH(B786,Categories!$A$5:$A$44,0)),"?"))</f>
        <v/>
      </c>
      <c r="G786">
        <f>IF(A786="","",MONTH(A786))</f>
        <v/>
      </c>
    </row>
    <row r="787">
      <c r="A787" s="25" t="n"/>
      <c r="B787" s="11" t="n"/>
      <c r="C787" s="24" t="n"/>
      <c r="D787" s="11" t="n"/>
      <c r="E787" s="11" t="n"/>
      <c r="F787">
        <f>IF(B787="","",IFERROR(INDEX(Categories!$B$5:$B$44,MATCH(B787,Categories!$A$5:$A$44,0)),"?"))</f>
        <v/>
      </c>
      <c r="G787">
        <f>IF(A787="","",MONTH(A787))</f>
        <v/>
      </c>
    </row>
    <row r="788">
      <c r="A788" s="25" t="n"/>
      <c r="B788" s="11" t="n"/>
      <c r="C788" s="24" t="n"/>
      <c r="D788" s="11" t="n"/>
      <c r="E788" s="11" t="n"/>
      <c r="F788">
        <f>IF(B788="","",IFERROR(INDEX(Categories!$B$5:$B$44,MATCH(B788,Categories!$A$5:$A$44,0)),"?"))</f>
        <v/>
      </c>
      <c r="G788">
        <f>IF(A788="","",MONTH(A788))</f>
        <v/>
      </c>
    </row>
    <row r="789">
      <c r="A789" s="25" t="n"/>
      <c r="B789" s="11" t="n"/>
      <c r="C789" s="24" t="n"/>
      <c r="D789" s="11" t="n"/>
      <c r="E789" s="11" t="n"/>
      <c r="F789">
        <f>IF(B789="","",IFERROR(INDEX(Categories!$B$5:$B$44,MATCH(B789,Categories!$A$5:$A$44,0)),"?"))</f>
        <v/>
      </c>
      <c r="G789">
        <f>IF(A789="","",MONTH(A789))</f>
        <v/>
      </c>
    </row>
    <row r="790">
      <c r="A790" s="25" t="n"/>
      <c r="B790" s="11" t="n"/>
      <c r="C790" s="24" t="n"/>
      <c r="D790" s="11" t="n"/>
      <c r="E790" s="11" t="n"/>
      <c r="F790">
        <f>IF(B790="","",IFERROR(INDEX(Categories!$B$5:$B$44,MATCH(B790,Categories!$A$5:$A$44,0)),"?"))</f>
        <v/>
      </c>
      <c r="G790">
        <f>IF(A790="","",MONTH(A790))</f>
        <v/>
      </c>
    </row>
    <row r="791">
      <c r="A791" s="25" t="n"/>
      <c r="B791" s="11" t="n"/>
      <c r="C791" s="24" t="n"/>
      <c r="D791" s="11" t="n"/>
      <c r="E791" s="11" t="n"/>
      <c r="F791">
        <f>IF(B791="","",IFERROR(INDEX(Categories!$B$5:$B$44,MATCH(B791,Categories!$A$5:$A$44,0)),"?"))</f>
        <v/>
      </c>
      <c r="G791">
        <f>IF(A791="","",MONTH(A791))</f>
        <v/>
      </c>
    </row>
    <row r="792">
      <c r="A792" s="25" t="n"/>
      <c r="B792" s="11" t="n"/>
      <c r="C792" s="24" t="n"/>
      <c r="D792" s="11" t="n"/>
      <c r="E792" s="11" t="n"/>
      <c r="F792">
        <f>IF(B792="","",IFERROR(INDEX(Categories!$B$5:$B$44,MATCH(B792,Categories!$A$5:$A$44,0)),"?"))</f>
        <v/>
      </c>
      <c r="G792">
        <f>IF(A792="","",MONTH(A792))</f>
        <v/>
      </c>
    </row>
    <row r="793">
      <c r="A793" s="25" t="n"/>
      <c r="B793" s="11" t="n"/>
      <c r="C793" s="24" t="n"/>
      <c r="D793" s="11" t="n"/>
      <c r="E793" s="11" t="n"/>
      <c r="F793">
        <f>IF(B793="","",IFERROR(INDEX(Categories!$B$5:$B$44,MATCH(B793,Categories!$A$5:$A$44,0)),"?"))</f>
        <v/>
      </c>
      <c r="G793">
        <f>IF(A793="","",MONTH(A793))</f>
        <v/>
      </c>
    </row>
    <row r="794">
      <c r="A794" s="25" t="n"/>
      <c r="B794" s="11" t="n"/>
      <c r="C794" s="24" t="n"/>
      <c r="D794" s="11" t="n"/>
      <c r="E794" s="11" t="n"/>
      <c r="F794">
        <f>IF(B794="","",IFERROR(INDEX(Categories!$B$5:$B$44,MATCH(B794,Categories!$A$5:$A$44,0)),"?"))</f>
        <v/>
      </c>
      <c r="G794">
        <f>IF(A794="","",MONTH(A794))</f>
        <v/>
      </c>
    </row>
    <row r="795">
      <c r="A795" s="25" t="n"/>
      <c r="B795" s="11" t="n"/>
      <c r="C795" s="24" t="n"/>
      <c r="D795" s="11" t="n"/>
      <c r="E795" s="11" t="n"/>
      <c r="F795">
        <f>IF(B795="","",IFERROR(INDEX(Categories!$B$5:$B$44,MATCH(B795,Categories!$A$5:$A$44,0)),"?"))</f>
        <v/>
      </c>
      <c r="G795">
        <f>IF(A795="","",MONTH(A795))</f>
        <v/>
      </c>
    </row>
    <row r="796">
      <c r="A796" s="25" t="n"/>
      <c r="B796" s="11" t="n"/>
      <c r="C796" s="24" t="n"/>
      <c r="D796" s="11" t="n"/>
      <c r="E796" s="11" t="n"/>
      <c r="F796">
        <f>IF(B796="","",IFERROR(INDEX(Categories!$B$5:$B$44,MATCH(B796,Categories!$A$5:$A$44,0)),"?"))</f>
        <v/>
      </c>
      <c r="G796">
        <f>IF(A796="","",MONTH(A796))</f>
        <v/>
      </c>
    </row>
    <row r="797">
      <c r="A797" s="25" t="n"/>
      <c r="B797" s="11" t="n"/>
      <c r="C797" s="24" t="n"/>
      <c r="D797" s="11" t="n"/>
      <c r="E797" s="11" t="n"/>
      <c r="F797">
        <f>IF(B797="","",IFERROR(INDEX(Categories!$B$5:$B$44,MATCH(B797,Categories!$A$5:$A$44,0)),"?"))</f>
        <v/>
      </c>
      <c r="G797">
        <f>IF(A797="","",MONTH(A797))</f>
        <v/>
      </c>
    </row>
    <row r="798">
      <c r="A798" s="25" t="n"/>
      <c r="B798" s="11" t="n"/>
      <c r="C798" s="24" t="n"/>
      <c r="D798" s="11" t="n"/>
      <c r="E798" s="11" t="n"/>
      <c r="F798">
        <f>IF(B798="","",IFERROR(INDEX(Categories!$B$5:$B$44,MATCH(B798,Categories!$A$5:$A$44,0)),"?"))</f>
        <v/>
      </c>
      <c r="G798">
        <f>IF(A798="","",MONTH(A798))</f>
        <v/>
      </c>
    </row>
    <row r="799">
      <c r="A799" s="25" t="n"/>
      <c r="B799" s="11" t="n"/>
      <c r="C799" s="24" t="n"/>
      <c r="D799" s="11" t="n"/>
      <c r="E799" s="11" t="n"/>
      <c r="F799">
        <f>IF(B799="","",IFERROR(INDEX(Categories!$B$5:$B$44,MATCH(B799,Categories!$A$5:$A$44,0)),"?"))</f>
        <v/>
      </c>
      <c r="G799">
        <f>IF(A799="","",MONTH(A799))</f>
        <v/>
      </c>
    </row>
    <row r="800">
      <c r="A800" s="25" t="n"/>
      <c r="B800" s="11" t="n"/>
      <c r="C800" s="24" t="n"/>
      <c r="D800" s="11" t="n"/>
      <c r="E800" s="11" t="n"/>
      <c r="F800">
        <f>IF(B800="","",IFERROR(INDEX(Categories!$B$5:$B$44,MATCH(B800,Categories!$A$5:$A$44,0)),"?"))</f>
        <v/>
      </c>
      <c r="G800">
        <f>IF(A800="","",MONTH(A800))</f>
        <v/>
      </c>
    </row>
    <row r="801">
      <c r="A801" s="25" t="n"/>
      <c r="B801" s="11" t="n"/>
      <c r="C801" s="24" t="n"/>
      <c r="D801" s="11" t="n"/>
      <c r="E801" s="11" t="n"/>
      <c r="F801">
        <f>IF(B801="","",IFERROR(INDEX(Categories!$B$5:$B$44,MATCH(B801,Categories!$A$5:$A$44,0)),"?"))</f>
        <v/>
      </c>
      <c r="G801">
        <f>IF(A801="","",MONTH(A801))</f>
        <v/>
      </c>
    </row>
    <row r="802">
      <c r="A802" s="25" t="n"/>
      <c r="B802" s="11" t="n"/>
      <c r="C802" s="24" t="n"/>
      <c r="D802" s="11" t="n"/>
      <c r="E802" s="11" t="n"/>
      <c r="F802">
        <f>IF(B802="","",IFERROR(INDEX(Categories!$B$5:$B$44,MATCH(B802,Categories!$A$5:$A$44,0)),"?"))</f>
        <v/>
      </c>
      <c r="G802">
        <f>IF(A802="","",MONTH(A802))</f>
        <v/>
      </c>
    </row>
    <row r="803">
      <c r="A803" s="25" t="n"/>
      <c r="B803" s="11" t="n"/>
      <c r="C803" s="24" t="n"/>
      <c r="D803" s="11" t="n"/>
      <c r="E803" s="11" t="n"/>
      <c r="F803">
        <f>IF(B803="","",IFERROR(INDEX(Categories!$B$5:$B$44,MATCH(B803,Categories!$A$5:$A$44,0)),"?"))</f>
        <v/>
      </c>
      <c r="G803">
        <f>IF(A803="","",MONTH(A803))</f>
        <v/>
      </c>
    </row>
    <row r="804">
      <c r="A804" s="25" t="n"/>
      <c r="B804" s="11" t="n"/>
      <c r="C804" s="24" t="n"/>
      <c r="D804" s="11" t="n"/>
      <c r="E804" s="11" t="n"/>
      <c r="F804">
        <f>IF(B804="","",IFERROR(INDEX(Categories!$B$5:$B$44,MATCH(B804,Categories!$A$5:$A$44,0)),"?"))</f>
        <v/>
      </c>
      <c r="G804">
        <f>IF(A804="","",MONTH(A804))</f>
        <v/>
      </c>
    </row>
    <row r="805">
      <c r="A805" s="25" t="n"/>
      <c r="B805" s="11" t="n"/>
      <c r="C805" s="24" t="n"/>
      <c r="D805" s="11" t="n"/>
      <c r="E805" s="11" t="n"/>
      <c r="F805">
        <f>IF(B805="","",IFERROR(INDEX(Categories!$B$5:$B$44,MATCH(B805,Categories!$A$5:$A$44,0)),"?"))</f>
        <v/>
      </c>
      <c r="G805">
        <f>IF(A805="","",MONTH(A805))</f>
        <v/>
      </c>
    </row>
    <row r="806">
      <c r="A806" s="25" t="n"/>
      <c r="B806" s="11" t="n"/>
      <c r="C806" s="24" t="n"/>
      <c r="D806" s="11" t="n"/>
      <c r="E806" s="11" t="n"/>
      <c r="F806">
        <f>IF(B806="","",IFERROR(INDEX(Categories!$B$5:$B$44,MATCH(B806,Categories!$A$5:$A$44,0)),"?"))</f>
        <v/>
      </c>
      <c r="G806">
        <f>IF(A806="","",MONTH(A806))</f>
        <v/>
      </c>
    </row>
    <row r="807">
      <c r="A807" s="25" t="n"/>
      <c r="B807" s="11" t="n"/>
      <c r="C807" s="24" t="n"/>
      <c r="D807" s="11" t="n"/>
      <c r="E807" s="11" t="n"/>
      <c r="F807">
        <f>IF(B807="","",IFERROR(INDEX(Categories!$B$5:$B$44,MATCH(B807,Categories!$A$5:$A$44,0)),"?"))</f>
        <v/>
      </c>
      <c r="G807">
        <f>IF(A807="","",MONTH(A807))</f>
        <v/>
      </c>
    </row>
    <row r="808">
      <c r="A808" s="25" t="n"/>
      <c r="B808" s="11" t="n"/>
      <c r="C808" s="24" t="n"/>
      <c r="D808" s="11" t="n"/>
      <c r="E808" s="11" t="n"/>
      <c r="F808">
        <f>IF(B808="","",IFERROR(INDEX(Categories!$B$5:$B$44,MATCH(B808,Categories!$A$5:$A$44,0)),"?"))</f>
        <v/>
      </c>
      <c r="G808">
        <f>IF(A808="","",MONTH(A808))</f>
        <v/>
      </c>
    </row>
    <row r="809">
      <c r="A809" s="25" t="n"/>
      <c r="B809" s="11" t="n"/>
      <c r="C809" s="24" t="n"/>
      <c r="D809" s="11" t="n"/>
      <c r="E809" s="11" t="n"/>
      <c r="F809">
        <f>IF(B809="","",IFERROR(INDEX(Categories!$B$5:$B$44,MATCH(B809,Categories!$A$5:$A$44,0)),"?"))</f>
        <v/>
      </c>
      <c r="G809">
        <f>IF(A809="","",MONTH(A809))</f>
        <v/>
      </c>
    </row>
    <row r="810">
      <c r="A810" s="25" t="n"/>
      <c r="B810" s="11" t="n"/>
      <c r="C810" s="24" t="n"/>
      <c r="D810" s="11" t="n"/>
      <c r="E810" s="11" t="n"/>
      <c r="F810">
        <f>IF(B810="","",IFERROR(INDEX(Categories!$B$5:$B$44,MATCH(B810,Categories!$A$5:$A$44,0)),"?"))</f>
        <v/>
      </c>
      <c r="G810">
        <f>IF(A810="","",MONTH(A810))</f>
        <v/>
      </c>
    </row>
    <row r="811">
      <c r="A811" s="25" t="n"/>
      <c r="B811" s="11" t="n"/>
      <c r="C811" s="24" t="n"/>
      <c r="D811" s="11" t="n"/>
      <c r="E811" s="11" t="n"/>
      <c r="F811">
        <f>IF(B811="","",IFERROR(INDEX(Categories!$B$5:$B$44,MATCH(B811,Categories!$A$5:$A$44,0)),"?"))</f>
        <v/>
      </c>
      <c r="G811">
        <f>IF(A811="","",MONTH(A811))</f>
        <v/>
      </c>
    </row>
    <row r="812">
      <c r="A812" s="25" t="n"/>
      <c r="B812" s="11" t="n"/>
      <c r="C812" s="24" t="n"/>
      <c r="D812" s="11" t="n"/>
      <c r="E812" s="11" t="n"/>
      <c r="F812">
        <f>IF(B812="","",IFERROR(INDEX(Categories!$B$5:$B$44,MATCH(B812,Categories!$A$5:$A$44,0)),"?"))</f>
        <v/>
      </c>
      <c r="G812">
        <f>IF(A812="","",MONTH(A812))</f>
        <v/>
      </c>
    </row>
    <row r="813">
      <c r="A813" s="25" t="n"/>
      <c r="B813" s="11" t="n"/>
      <c r="C813" s="24" t="n"/>
      <c r="D813" s="11" t="n"/>
      <c r="E813" s="11" t="n"/>
      <c r="F813">
        <f>IF(B813="","",IFERROR(INDEX(Categories!$B$5:$B$44,MATCH(B813,Categories!$A$5:$A$44,0)),"?"))</f>
        <v/>
      </c>
      <c r="G813">
        <f>IF(A813="","",MONTH(A813))</f>
        <v/>
      </c>
    </row>
    <row r="814">
      <c r="A814" s="25" t="n"/>
      <c r="B814" s="11" t="n"/>
      <c r="C814" s="24" t="n"/>
      <c r="D814" s="11" t="n"/>
      <c r="E814" s="11" t="n"/>
      <c r="F814">
        <f>IF(B814="","",IFERROR(INDEX(Categories!$B$5:$B$44,MATCH(B814,Categories!$A$5:$A$44,0)),"?"))</f>
        <v/>
      </c>
      <c r="G814">
        <f>IF(A814="","",MONTH(A814))</f>
        <v/>
      </c>
    </row>
    <row r="815">
      <c r="A815" s="25" t="n"/>
      <c r="B815" s="11" t="n"/>
      <c r="C815" s="24" t="n"/>
      <c r="D815" s="11" t="n"/>
      <c r="E815" s="11" t="n"/>
      <c r="F815">
        <f>IF(B815="","",IFERROR(INDEX(Categories!$B$5:$B$44,MATCH(B815,Categories!$A$5:$A$44,0)),"?"))</f>
        <v/>
      </c>
      <c r="G815">
        <f>IF(A815="","",MONTH(A815))</f>
        <v/>
      </c>
    </row>
    <row r="816">
      <c r="A816" s="25" t="n"/>
      <c r="B816" s="11" t="n"/>
      <c r="C816" s="24" t="n"/>
      <c r="D816" s="11" t="n"/>
      <c r="E816" s="11" t="n"/>
      <c r="F816">
        <f>IF(B816="","",IFERROR(INDEX(Categories!$B$5:$B$44,MATCH(B816,Categories!$A$5:$A$44,0)),"?"))</f>
        <v/>
      </c>
      <c r="G816">
        <f>IF(A816="","",MONTH(A816))</f>
        <v/>
      </c>
    </row>
    <row r="817">
      <c r="A817" s="25" t="n"/>
      <c r="B817" s="11" t="n"/>
      <c r="C817" s="24" t="n"/>
      <c r="D817" s="11" t="n"/>
      <c r="E817" s="11" t="n"/>
      <c r="F817">
        <f>IF(B817="","",IFERROR(INDEX(Categories!$B$5:$B$44,MATCH(B817,Categories!$A$5:$A$44,0)),"?"))</f>
        <v/>
      </c>
      <c r="G817">
        <f>IF(A817="","",MONTH(A817))</f>
        <v/>
      </c>
    </row>
    <row r="818">
      <c r="A818" s="25" t="n"/>
      <c r="B818" s="11" t="n"/>
      <c r="C818" s="24" t="n"/>
      <c r="D818" s="11" t="n"/>
      <c r="E818" s="11" t="n"/>
      <c r="F818">
        <f>IF(B818="","",IFERROR(INDEX(Categories!$B$5:$B$44,MATCH(B818,Categories!$A$5:$A$44,0)),"?"))</f>
        <v/>
      </c>
      <c r="G818">
        <f>IF(A818="","",MONTH(A818))</f>
        <v/>
      </c>
    </row>
    <row r="819">
      <c r="A819" s="25" t="n"/>
      <c r="B819" s="11" t="n"/>
      <c r="C819" s="24" t="n"/>
      <c r="D819" s="11" t="n"/>
      <c r="E819" s="11" t="n"/>
      <c r="F819">
        <f>IF(B819="","",IFERROR(INDEX(Categories!$B$5:$B$44,MATCH(B819,Categories!$A$5:$A$44,0)),"?"))</f>
        <v/>
      </c>
      <c r="G819">
        <f>IF(A819="","",MONTH(A819))</f>
        <v/>
      </c>
    </row>
    <row r="820">
      <c r="A820" s="25" t="n"/>
      <c r="B820" s="11" t="n"/>
      <c r="C820" s="24" t="n"/>
      <c r="D820" s="11" t="n"/>
      <c r="E820" s="11" t="n"/>
      <c r="F820">
        <f>IF(B820="","",IFERROR(INDEX(Categories!$B$5:$B$44,MATCH(B820,Categories!$A$5:$A$44,0)),"?"))</f>
        <v/>
      </c>
      <c r="G820">
        <f>IF(A820="","",MONTH(A820))</f>
        <v/>
      </c>
    </row>
    <row r="821">
      <c r="A821" s="25" t="n"/>
      <c r="B821" s="11" t="n"/>
      <c r="C821" s="24" t="n"/>
      <c r="D821" s="11" t="n"/>
      <c r="E821" s="11" t="n"/>
      <c r="F821">
        <f>IF(B821="","",IFERROR(INDEX(Categories!$B$5:$B$44,MATCH(B821,Categories!$A$5:$A$44,0)),"?"))</f>
        <v/>
      </c>
      <c r="G821">
        <f>IF(A821="","",MONTH(A821))</f>
        <v/>
      </c>
    </row>
    <row r="822">
      <c r="A822" s="25" t="n"/>
      <c r="B822" s="11" t="n"/>
      <c r="C822" s="24" t="n"/>
      <c r="D822" s="11" t="n"/>
      <c r="E822" s="11" t="n"/>
      <c r="F822">
        <f>IF(B822="","",IFERROR(INDEX(Categories!$B$5:$B$44,MATCH(B822,Categories!$A$5:$A$44,0)),"?"))</f>
        <v/>
      </c>
      <c r="G822">
        <f>IF(A822="","",MONTH(A822))</f>
        <v/>
      </c>
    </row>
    <row r="823">
      <c r="A823" s="25" t="n"/>
      <c r="B823" s="11" t="n"/>
      <c r="C823" s="24" t="n"/>
      <c r="D823" s="11" t="n"/>
      <c r="E823" s="11" t="n"/>
      <c r="F823">
        <f>IF(B823="","",IFERROR(INDEX(Categories!$B$5:$B$44,MATCH(B823,Categories!$A$5:$A$44,0)),"?"))</f>
        <v/>
      </c>
      <c r="G823">
        <f>IF(A823="","",MONTH(A823))</f>
        <v/>
      </c>
    </row>
    <row r="824">
      <c r="A824" s="25" t="n"/>
      <c r="B824" s="11" t="n"/>
      <c r="C824" s="24" t="n"/>
      <c r="D824" s="11" t="n"/>
      <c r="E824" s="11" t="n"/>
      <c r="F824">
        <f>IF(B824="","",IFERROR(INDEX(Categories!$B$5:$B$44,MATCH(B824,Categories!$A$5:$A$44,0)),"?"))</f>
        <v/>
      </c>
      <c r="G824">
        <f>IF(A824="","",MONTH(A824))</f>
        <v/>
      </c>
    </row>
    <row r="825">
      <c r="A825" s="25" t="n"/>
      <c r="B825" s="11" t="n"/>
      <c r="C825" s="24" t="n"/>
      <c r="D825" s="11" t="n"/>
      <c r="E825" s="11" t="n"/>
      <c r="F825">
        <f>IF(B825="","",IFERROR(INDEX(Categories!$B$5:$B$44,MATCH(B825,Categories!$A$5:$A$44,0)),"?"))</f>
        <v/>
      </c>
      <c r="G825">
        <f>IF(A825="","",MONTH(A825))</f>
        <v/>
      </c>
    </row>
    <row r="826">
      <c r="A826" s="25" t="n"/>
      <c r="B826" s="11" t="n"/>
      <c r="C826" s="24" t="n"/>
      <c r="D826" s="11" t="n"/>
      <c r="E826" s="11" t="n"/>
      <c r="F826">
        <f>IF(B826="","",IFERROR(INDEX(Categories!$B$5:$B$44,MATCH(B826,Categories!$A$5:$A$44,0)),"?"))</f>
        <v/>
      </c>
      <c r="G826">
        <f>IF(A826="","",MONTH(A826))</f>
        <v/>
      </c>
    </row>
    <row r="827">
      <c r="A827" s="25" t="n"/>
      <c r="B827" s="11" t="n"/>
      <c r="C827" s="24" t="n"/>
      <c r="D827" s="11" t="n"/>
      <c r="E827" s="11" t="n"/>
      <c r="F827">
        <f>IF(B827="","",IFERROR(INDEX(Categories!$B$5:$B$44,MATCH(B827,Categories!$A$5:$A$44,0)),"?"))</f>
        <v/>
      </c>
      <c r="G827">
        <f>IF(A827="","",MONTH(A827))</f>
        <v/>
      </c>
    </row>
    <row r="828">
      <c r="A828" s="25" t="n"/>
      <c r="B828" s="11" t="n"/>
      <c r="C828" s="24" t="n"/>
      <c r="D828" s="11" t="n"/>
      <c r="E828" s="11" t="n"/>
      <c r="F828">
        <f>IF(B828="","",IFERROR(INDEX(Categories!$B$5:$B$44,MATCH(B828,Categories!$A$5:$A$44,0)),"?"))</f>
        <v/>
      </c>
      <c r="G828">
        <f>IF(A828="","",MONTH(A828))</f>
        <v/>
      </c>
    </row>
    <row r="829">
      <c r="A829" s="25" t="n"/>
      <c r="B829" s="11" t="n"/>
      <c r="C829" s="24" t="n"/>
      <c r="D829" s="11" t="n"/>
      <c r="E829" s="11" t="n"/>
      <c r="F829">
        <f>IF(B829="","",IFERROR(INDEX(Categories!$B$5:$B$44,MATCH(B829,Categories!$A$5:$A$44,0)),"?"))</f>
        <v/>
      </c>
      <c r="G829">
        <f>IF(A829="","",MONTH(A829))</f>
        <v/>
      </c>
    </row>
    <row r="830">
      <c r="A830" s="25" t="n"/>
      <c r="B830" s="11" t="n"/>
      <c r="C830" s="24" t="n"/>
      <c r="D830" s="11" t="n"/>
      <c r="E830" s="11" t="n"/>
      <c r="F830">
        <f>IF(B830="","",IFERROR(INDEX(Categories!$B$5:$B$44,MATCH(B830,Categories!$A$5:$A$44,0)),"?"))</f>
        <v/>
      </c>
      <c r="G830">
        <f>IF(A830="","",MONTH(A830))</f>
        <v/>
      </c>
    </row>
    <row r="831">
      <c r="A831" s="25" t="n"/>
      <c r="B831" s="11" t="n"/>
      <c r="C831" s="24" t="n"/>
      <c r="D831" s="11" t="n"/>
      <c r="E831" s="11" t="n"/>
      <c r="F831">
        <f>IF(B831="","",IFERROR(INDEX(Categories!$B$5:$B$44,MATCH(B831,Categories!$A$5:$A$44,0)),"?"))</f>
        <v/>
      </c>
      <c r="G831">
        <f>IF(A831="","",MONTH(A831))</f>
        <v/>
      </c>
    </row>
    <row r="832">
      <c r="A832" s="25" t="n"/>
      <c r="B832" s="11" t="n"/>
      <c r="C832" s="24" t="n"/>
      <c r="D832" s="11" t="n"/>
      <c r="E832" s="11" t="n"/>
      <c r="F832">
        <f>IF(B832="","",IFERROR(INDEX(Categories!$B$5:$B$44,MATCH(B832,Categories!$A$5:$A$44,0)),"?"))</f>
        <v/>
      </c>
      <c r="G832">
        <f>IF(A832="","",MONTH(A832))</f>
        <v/>
      </c>
    </row>
    <row r="833">
      <c r="A833" s="25" t="n"/>
      <c r="B833" s="11" t="n"/>
      <c r="C833" s="24" t="n"/>
      <c r="D833" s="11" t="n"/>
      <c r="E833" s="11" t="n"/>
      <c r="F833">
        <f>IF(B833="","",IFERROR(INDEX(Categories!$B$5:$B$44,MATCH(B833,Categories!$A$5:$A$44,0)),"?"))</f>
        <v/>
      </c>
      <c r="G833">
        <f>IF(A833="","",MONTH(A833))</f>
        <v/>
      </c>
    </row>
    <row r="834">
      <c r="A834" s="25" t="n"/>
      <c r="B834" s="11" t="n"/>
      <c r="C834" s="24" t="n"/>
      <c r="D834" s="11" t="n"/>
      <c r="E834" s="11" t="n"/>
      <c r="F834">
        <f>IF(B834="","",IFERROR(INDEX(Categories!$B$5:$B$44,MATCH(B834,Categories!$A$5:$A$44,0)),"?"))</f>
        <v/>
      </c>
      <c r="G834">
        <f>IF(A834="","",MONTH(A834))</f>
        <v/>
      </c>
    </row>
    <row r="835">
      <c r="A835" s="25" t="n"/>
      <c r="B835" s="11" t="n"/>
      <c r="C835" s="24" t="n"/>
      <c r="D835" s="11" t="n"/>
      <c r="E835" s="11" t="n"/>
      <c r="F835">
        <f>IF(B835="","",IFERROR(INDEX(Categories!$B$5:$B$44,MATCH(B835,Categories!$A$5:$A$44,0)),"?"))</f>
        <v/>
      </c>
      <c r="G835">
        <f>IF(A835="","",MONTH(A835))</f>
        <v/>
      </c>
    </row>
    <row r="836">
      <c r="A836" s="25" t="n"/>
      <c r="B836" s="11" t="n"/>
      <c r="C836" s="24" t="n"/>
      <c r="D836" s="11" t="n"/>
      <c r="E836" s="11" t="n"/>
      <c r="F836">
        <f>IF(B836="","",IFERROR(INDEX(Categories!$B$5:$B$44,MATCH(B836,Categories!$A$5:$A$44,0)),"?"))</f>
        <v/>
      </c>
      <c r="G836">
        <f>IF(A836="","",MONTH(A836))</f>
        <v/>
      </c>
    </row>
    <row r="837">
      <c r="A837" s="25" t="n"/>
      <c r="B837" s="11" t="n"/>
      <c r="C837" s="24" t="n"/>
      <c r="D837" s="11" t="n"/>
      <c r="E837" s="11" t="n"/>
      <c r="F837">
        <f>IF(B837="","",IFERROR(INDEX(Categories!$B$5:$B$44,MATCH(B837,Categories!$A$5:$A$44,0)),"?"))</f>
        <v/>
      </c>
      <c r="G837">
        <f>IF(A837="","",MONTH(A837))</f>
        <v/>
      </c>
    </row>
    <row r="838">
      <c r="A838" s="25" t="n"/>
      <c r="B838" s="11" t="n"/>
      <c r="C838" s="24" t="n"/>
      <c r="D838" s="11" t="n"/>
      <c r="E838" s="11" t="n"/>
      <c r="F838">
        <f>IF(B838="","",IFERROR(INDEX(Categories!$B$5:$B$44,MATCH(B838,Categories!$A$5:$A$44,0)),"?"))</f>
        <v/>
      </c>
      <c r="G838">
        <f>IF(A838="","",MONTH(A838))</f>
        <v/>
      </c>
    </row>
    <row r="839">
      <c r="A839" s="25" t="n"/>
      <c r="B839" s="11" t="n"/>
      <c r="C839" s="24" t="n"/>
      <c r="D839" s="11" t="n"/>
      <c r="E839" s="11" t="n"/>
      <c r="F839">
        <f>IF(B839="","",IFERROR(INDEX(Categories!$B$5:$B$44,MATCH(B839,Categories!$A$5:$A$44,0)),"?"))</f>
        <v/>
      </c>
      <c r="G839">
        <f>IF(A839="","",MONTH(A839))</f>
        <v/>
      </c>
    </row>
    <row r="840">
      <c r="A840" s="25" t="n"/>
      <c r="B840" s="11" t="n"/>
      <c r="C840" s="24" t="n"/>
      <c r="D840" s="11" t="n"/>
      <c r="E840" s="11" t="n"/>
      <c r="F840">
        <f>IF(B840="","",IFERROR(INDEX(Categories!$B$5:$B$44,MATCH(B840,Categories!$A$5:$A$44,0)),"?"))</f>
        <v/>
      </c>
      <c r="G840">
        <f>IF(A840="","",MONTH(A840))</f>
        <v/>
      </c>
    </row>
    <row r="841">
      <c r="A841" s="25" t="n"/>
      <c r="B841" s="11" t="n"/>
      <c r="C841" s="24" t="n"/>
      <c r="D841" s="11" t="n"/>
      <c r="E841" s="11" t="n"/>
      <c r="F841">
        <f>IF(B841="","",IFERROR(INDEX(Categories!$B$5:$B$44,MATCH(B841,Categories!$A$5:$A$44,0)),"?"))</f>
        <v/>
      </c>
      <c r="G841">
        <f>IF(A841="","",MONTH(A841))</f>
        <v/>
      </c>
    </row>
    <row r="842">
      <c r="A842" s="25" t="n"/>
      <c r="B842" s="11" t="n"/>
      <c r="C842" s="24" t="n"/>
      <c r="D842" s="11" t="n"/>
      <c r="E842" s="11" t="n"/>
      <c r="F842">
        <f>IF(B842="","",IFERROR(INDEX(Categories!$B$5:$B$44,MATCH(B842,Categories!$A$5:$A$44,0)),"?"))</f>
        <v/>
      </c>
      <c r="G842">
        <f>IF(A842="","",MONTH(A842))</f>
        <v/>
      </c>
    </row>
    <row r="843">
      <c r="A843" s="25" t="n"/>
      <c r="B843" s="11" t="n"/>
      <c r="C843" s="24" t="n"/>
      <c r="D843" s="11" t="n"/>
      <c r="E843" s="11" t="n"/>
      <c r="F843">
        <f>IF(B843="","",IFERROR(INDEX(Categories!$B$5:$B$44,MATCH(B843,Categories!$A$5:$A$44,0)),"?"))</f>
        <v/>
      </c>
      <c r="G843">
        <f>IF(A843="","",MONTH(A843))</f>
        <v/>
      </c>
    </row>
    <row r="844">
      <c r="A844" s="25" t="n"/>
      <c r="B844" s="11" t="n"/>
      <c r="C844" s="24" t="n"/>
      <c r="D844" s="11" t="n"/>
      <c r="E844" s="11" t="n"/>
      <c r="F844">
        <f>IF(B844="","",IFERROR(INDEX(Categories!$B$5:$B$44,MATCH(B844,Categories!$A$5:$A$44,0)),"?"))</f>
        <v/>
      </c>
      <c r="G844">
        <f>IF(A844="","",MONTH(A844))</f>
        <v/>
      </c>
    </row>
    <row r="845">
      <c r="A845" s="25" t="n"/>
      <c r="B845" s="11" t="n"/>
      <c r="C845" s="24" t="n"/>
      <c r="D845" s="11" t="n"/>
      <c r="E845" s="11" t="n"/>
      <c r="F845">
        <f>IF(B845="","",IFERROR(INDEX(Categories!$B$5:$B$44,MATCH(B845,Categories!$A$5:$A$44,0)),"?"))</f>
        <v/>
      </c>
      <c r="G845">
        <f>IF(A845="","",MONTH(A845))</f>
        <v/>
      </c>
    </row>
    <row r="846">
      <c r="A846" s="25" t="n"/>
      <c r="B846" s="11" t="n"/>
      <c r="C846" s="24" t="n"/>
      <c r="D846" s="11" t="n"/>
      <c r="E846" s="11" t="n"/>
      <c r="F846">
        <f>IF(B846="","",IFERROR(INDEX(Categories!$B$5:$B$44,MATCH(B846,Categories!$A$5:$A$44,0)),"?"))</f>
        <v/>
      </c>
      <c r="G846">
        <f>IF(A846="","",MONTH(A846))</f>
        <v/>
      </c>
    </row>
    <row r="847">
      <c r="A847" s="25" t="n"/>
      <c r="B847" s="11" t="n"/>
      <c r="C847" s="24" t="n"/>
      <c r="D847" s="11" t="n"/>
      <c r="E847" s="11" t="n"/>
      <c r="F847">
        <f>IF(B847="","",IFERROR(INDEX(Categories!$B$5:$B$44,MATCH(B847,Categories!$A$5:$A$44,0)),"?"))</f>
        <v/>
      </c>
      <c r="G847">
        <f>IF(A847="","",MONTH(A847))</f>
        <v/>
      </c>
    </row>
    <row r="848">
      <c r="A848" s="25" t="n"/>
      <c r="B848" s="11" t="n"/>
      <c r="C848" s="24" t="n"/>
      <c r="D848" s="11" t="n"/>
      <c r="E848" s="11" t="n"/>
      <c r="F848">
        <f>IF(B848="","",IFERROR(INDEX(Categories!$B$5:$B$44,MATCH(B848,Categories!$A$5:$A$44,0)),"?"))</f>
        <v/>
      </c>
      <c r="G848">
        <f>IF(A848="","",MONTH(A848))</f>
        <v/>
      </c>
    </row>
    <row r="849">
      <c r="A849" s="25" t="n"/>
      <c r="B849" s="11" t="n"/>
      <c r="C849" s="24" t="n"/>
      <c r="D849" s="11" t="n"/>
      <c r="E849" s="11" t="n"/>
      <c r="F849">
        <f>IF(B849="","",IFERROR(INDEX(Categories!$B$5:$B$44,MATCH(B849,Categories!$A$5:$A$44,0)),"?"))</f>
        <v/>
      </c>
      <c r="G849">
        <f>IF(A849="","",MONTH(A849))</f>
        <v/>
      </c>
    </row>
    <row r="850">
      <c r="A850" s="25" t="n"/>
      <c r="B850" s="11" t="n"/>
      <c r="C850" s="24" t="n"/>
      <c r="D850" s="11" t="n"/>
      <c r="E850" s="11" t="n"/>
      <c r="F850">
        <f>IF(B850="","",IFERROR(INDEX(Categories!$B$5:$B$44,MATCH(B850,Categories!$A$5:$A$44,0)),"?"))</f>
        <v/>
      </c>
      <c r="G850">
        <f>IF(A850="","",MONTH(A850))</f>
        <v/>
      </c>
    </row>
    <row r="851">
      <c r="A851" s="25" t="n"/>
      <c r="B851" s="11" t="n"/>
      <c r="C851" s="24" t="n"/>
      <c r="D851" s="11" t="n"/>
      <c r="E851" s="11" t="n"/>
      <c r="F851">
        <f>IF(B851="","",IFERROR(INDEX(Categories!$B$5:$B$44,MATCH(B851,Categories!$A$5:$A$44,0)),"?"))</f>
        <v/>
      </c>
      <c r="G851">
        <f>IF(A851="","",MONTH(A851))</f>
        <v/>
      </c>
    </row>
    <row r="852">
      <c r="A852" s="25" t="n"/>
      <c r="B852" s="11" t="n"/>
      <c r="C852" s="24" t="n"/>
      <c r="D852" s="11" t="n"/>
      <c r="E852" s="11" t="n"/>
      <c r="F852">
        <f>IF(B852="","",IFERROR(INDEX(Categories!$B$5:$B$44,MATCH(B852,Categories!$A$5:$A$44,0)),"?"))</f>
        <v/>
      </c>
      <c r="G852">
        <f>IF(A852="","",MONTH(A852))</f>
        <v/>
      </c>
    </row>
    <row r="853">
      <c r="A853" s="25" t="n"/>
      <c r="B853" s="11" t="n"/>
      <c r="C853" s="24" t="n"/>
      <c r="D853" s="11" t="n"/>
      <c r="E853" s="11" t="n"/>
      <c r="F853">
        <f>IF(B853="","",IFERROR(INDEX(Categories!$B$5:$B$44,MATCH(B853,Categories!$A$5:$A$44,0)),"?"))</f>
        <v/>
      </c>
      <c r="G853">
        <f>IF(A853="","",MONTH(A853))</f>
        <v/>
      </c>
    </row>
    <row r="854">
      <c r="A854" s="25" t="n"/>
      <c r="B854" s="11" t="n"/>
      <c r="C854" s="24" t="n"/>
      <c r="D854" s="11" t="n"/>
      <c r="E854" s="11" t="n"/>
      <c r="F854">
        <f>IF(B854="","",IFERROR(INDEX(Categories!$B$5:$B$44,MATCH(B854,Categories!$A$5:$A$44,0)),"?"))</f>
        <v/>
      </c>
      <c r="G854">
        <f>IF(A854="","",MONTH(A854))</f>
        <v/>
      </c>
    </row>
    <row r="855">
      <c r="A855" s="25" t="n"/>
      <c r="B855" s="11" t="n"/>
      <c r="C855" s="24" t="n"/>
      <c r="D855" s="11" t="n"/>
      <c r="E855" s="11" t="n"/>
      <c r="F855">
        <f>IF(B855="","",IFERROR(INDEX(Categories!$B$5:$B$44,MATCH(B855,Categories!$A$5:$A$44,0)),"?"))</f>
        <v/>
      </c>
      <c r="G855">
        <f>IF(A855="","",MONTH(A855))</f>
        <v/>
      </c>
    </row>
    <row r="856">
      <c r="A856" s="25" t="n"/>
      <c r="B856" s="11" t="n"/>
      <c r="C856" s="24" t="n"/>
      <c r="D856" s="11" t="n"/>
      <c r="E856" s="11" t="n"/>
      <c r="F856">
        <f>IF(B856="","",IFERROR(INDEX(Categories!$B$5:$B$44,MATCH(B856,Categories!$A$5:$A$44,0)),"?"))</f>
        <v/>
      </c>
      <c r="G856">
        <f>IF(A856="","",MONTH(A856))</f>
        <v/>
      </c>
    </row>
    <row r="857">
      <c r="A857" s="25" t="n"/>
      <c r="B857" s="11" t="n"/>
      <c r="C857" s="24" t="n"/>
      <c r="D857" s="11" t="n"/>
      <c r="E857" s="11" t="n"/>
      <c r="F857">
        <f>IF(B857="","",IFERROR(INDEX(Categories!$B$5:$B$44,MATCH(B857,Categories!$A$5:$A$44,0)),"?"))</f>
        <v/>
      </c>
      <c r="G857">
        <f>IF(A857="","",MONTH(A857))</f>
        <v/>
      </c>
    </row>
    <row r="858">
      <c r="A858" s="25" t="n"/>
      <c r="B858" s="11" t="n"/>
      <c r="C858" s="24" t="n"/>
      <c r="D858" s="11" t="n"/>
      <c r="E858" s="11" t="n"/>
      <c r="F858">
        <f>IF(B858="","",IFERROR(INDEX(Categories!$B$5:$B$44,MATCH(B858,Categories!$A$5:$A$44,0)),"?"))</f>
        <v/>
      </c>
      <c r="G858">
        <f>IF(A858="","",MONTH(A858))</f>
        <v/>
      </c>
    </row>
    <row r="859">
      <c r="A859" s="25" t="n"/>
      <c r="B859" s="11" t="n"/>
      <c r="C859" s="24" t="n"/>
      <c r="D859" s="11" t="n"/>
      <c r="E859" s="11" t="n"/>
      <c r="F859">
        <f>IF(B859="","",IFERROR(INDEX(Categories!$B$5:$B$44,MATCH(B859,Categories!$A$5:$A$44,0)),"?"))</f>
        <v/>
      </c>
      <c r="G859">
        <f>IF(A859="","",MONTH(A859))</f>
        <v/>
      </c>
    </row>
    <row r="860">
      <c r="A860" s="25" t="n"/>
      <c r="B860" s="11" t="n"/>
      <c r="C860" s="24" t="n"/>
      <c r="D860" s="11" t="n"/>
      <c r="E860" s="11" t="n"/>
      <c r="F860">
        <f>IF(B860="","",IFERROR(INDEX(Categories!$B$5:$B$44,MATCH(B860,Categories!$A$5:$A$44,0)),"?"))</f>
        <v/>
      </c>
      <c r="G860">
        <f>IF(A860="","",MONTH(A860))</f>
        <v/>
      </c>
    </row>
    <row r="861">
      <c r="A861" s="25" t="n"/>
      <c r="B861" s="11" t="n"/>
      <c r="C861" s="24" t="n"/>
      <c r="D861" s="11" t="n"/>
      <c r="E861" s="11" t="n"/>
      <c r="F861">
        <f>IF(B861="","",IFERROR(INDEX(Categories!$B$5:$B$44,MATCH(B861,Categories!$A$5:$A$44,0)),"?"))</f>
        <v/>
      </c>
      <c r="G861">
        <f>IF(A861="","",MONTH(A861))</f>
        <v/>
      </c>
    </row>
    <row r="862">
      <c r="A862" s="25" t="n"/>
      <c r="B862" s="11" t="n"/>
      <c r="C862" s="24" t="n"/>
      <c r="D862" s="11" t="n"/>
      <c r="E862" s="11" t="n"/>
      <c r="F862">
        <f>IF(B862="","",IFERROR(INDEX(Categories!$B$5:$B$44,MATCH(B862,Categories!$A$5:$A$44,0)),"?"))</f>
        <v/>
      </c>
      <c r="G862">
        <f>IF(A862="","",MONTH(A862))</f>
        <v/>
      </c>
    </row>
    <row r="863">
      <c r="A863" s="25" t="n"/>
      <c r="B863" s="11" t="n"/>
      <c r="C863" s="24" t="n"/>
      <c r="D863" s="11" t="n"/>
      <c r="E863" s="11" t="n"/>
      <c r="F863">
        <f>IF(B863="","",IFERROR(INDEX(Categories!$B$5:$B$44,MATCH(B863,Categories!$A$5:$A$44,0)),"?"))</f>
        <v/>
      </c>
      <c r="G863">
        <f>IF(A863="","",MONTH(A863))</f>
        <v/>
      </c>
    </row>
    <row r="864">
      <c r="A864" s="25" t="n"/>
      <c r="B864" s="11" t="n"/>
      <c r="C864" s="24" t="n"/>
      <c r="D864" s="11" t="n"/>
      <c r="E864" s="11" t="n"/>
      <c r="F864">
        <f>IF(B864="","",IFERROR(INDEX(Categories!$B$5:$B$44,MATCH(B864,Categories!$A$5:$A$44,0)),"?"))</f>
        <v/>
      </c>
      <c r="G864">
        <f>IF(A864="","",MONTH(A864))</f>
        <v/>
      </c>
    </row>
    <row r="865">
      <c r="A865" s="25" t="n"/>
      <c r="B865" s="11" t="n"/>
      <c r="C865" s="24" t="n"/>
      <c r="D865" s="11" t="n"/>
      <c r="E865" s="11" t="n"/>
      <c r="F865">
        <f>IF(B865="","",IFERROR(INDEX(Categories!$B$5:$B$44,MATCH(B865,Categories!$A$5:$A$44,0)),"?"))</f>
        <v/>
      </c>
      <c r="G865">
        <f>IF(A865="","",MONTH(A865))</f>
        <v/>
      </c>
    </row>
    <row r="866">
      <c r="A866" s="25" t="n"/>
      <c r="B866" s="11" t="n"/>
      <c r="C866" s="24" t="n"/>
      <c r="D866" s="11" t="n"/>
      <c r="E866" s="11" t="n"/>
      <c r="F866">
        <f>IF(B866="","",IFERROR(INDEX(Categories!$B$5:$B$44,MATCH(B866,Categories!$A$5:$A$44,0)),"?"))</f>
        <v/>
      </c>
      <c r="G866">
        <f>IF(A866="","",MONTH(A866))</f>
        <v/>
      </c>
    </row>
    <row r="867">
      <c r="A867" s="25" t="n"/>
      <c r="B867" s="11" t="n"/>
      <c r="C867" s="24" t="n"/>
      <c r="D867" s="11" t="n"/>
      <c r="E867" s="11" t="n"/>
      <c r="F867">
        <f>IF(B867="","",IFERROR(INDEX(Categories!$B$5:$B$44,MATCH(B867,Categories!$A$5:$A$44,0)),"?"))</f>
        <v/>
      </c>
      <c r="G867">
        <f>IF(A867="","",MONTH(A867))</f>
        <v/>
      </c>
    </row>
    <row r="868">
      <c r="A868" s="25" t="n"/>
      <c r="B868" s="11" t="n"/>
      <c r="C868" s="24" t="n"/>
      <c r="D868" s="11" t="n"/>
      <c r="E868" s="11" t="n"/>
      <c r="F868">
        <f>IF(B868="","",IFERROR(INDEX(Categories!$B$5:$B$44,MATCH(B868,Categories!$A$5:$A$44,0)),"?"))</f>
        <v/>
      </c>
      <c r="G868">
        <f>IF(A868="","",MONTH(A868))</f>
        <v/>
      </c>
    </row>
    <row r="869">
      <c r="A869" s="25" t="n"/>
      <c r="B869" s="11" t="n"/>
      <c r="C869" s="24" t="n"/>
      <c r="D869" s="11" t="n"/>
      <c r="E869" s="11" t="n"/>
      <c r="F869">
        <f>IF(B869="","",IFERROR(INDEX(Categories!$B$5:$B$44,MATCH(B869,Categories!$A$5:$A$44,0)),"?"))</f>
        <v/>
      </c>
      <c r="G869">
        <f>IF(A869="","",MONTH(A869))</f>
        <v/>
      </c>
    </row>
    <row r="870">
      <c r="A870" s="25" t="n"/>
      <c r="B870" s="11" t="n"/>
      <c r="C870" s="24" t="n"/>
      <c r="D870" s="11" t="n"/>
      <c r="E870" s="11" t="n"/>
      <c r="F870">
        <f>IF(B870="","",IFERROR(INDEX(Categories!$B$5:$B$44,MATCH(B870,Categories!$A$5:$A$44,0)),"?"))</f>
        <v/>
      </c>
      <c r="G870">
        <f>IF(A870="","",MONTH(A870))</f>
        <v/>
      </c>
    </row>
    <row r="871">
      <c r="A871" s="25" t="n"/>
      <c r="B871" s="11" t="n"/>
      <c r="C871" s="24" t="n"/>
      <c r="D871" s="11" t="n"/>
      <c r="E871" s="11" t="n"/>
      <c r="F871">
        <f>IF(B871="","",IFERROR(INDEX(Categories!$B$5:$B$44,MATCH(B871,Categories!$A$5:$A$44,0)),"?"))</f>
        <v/>
      </c>
      <c r="G871">
        <f>IF(A871="","",MONTH(A871))</f>
        <v/>
      </c>
    </row>
    <row r="872">
      <c r="A872" s="25" t="n"/>
      <c r="B872" s="11" t="n"/>
      <c r="C872" s="24" t="n"/>
      <c r="D872" s="11" t="n"/>
      <c r="E872" s="11" t="n"/>
      <c r="F872">
        <f>IF(B872="","",IFERROR(INDEX(Categories!$B$5:$B$44,MATCH(B872,Categories!$A$5:$A$44,0)),"?"))</f>
        <v/>
      </c>
      <c r="G872">
        <f>IF(A872="","",MONTH(A872))</f>
        <v/>
      </c>
    </row>
    <row r="873">
      <c r="A873" s="25" t="n"/>
      <c r="B873" s="11" t="n"/>
      <c r="C873" s="24" t="n"/>
      <c r="D873" s="11" t="n"/>
      <c r="E873" s="11" t="n"/>
      <c r="F873">
        <f>IF(B873="","",IFERROR(INDEX(Categories!$B$5:$B$44,MATCH(B873,Categories!$A$5:$A$44,0)),"?"))</f>
        <v/>
      </c>
      <c r="G873">
        <f>IF(A873="","",MONTH(A873))</f>
        <v/>
      </c>
    </row>
    <row r="874">
      <c r="A874" s="25" t="n"/>
      <c r="B874" s="11" t="n"/>
      <c r="C874" s="24" t="n"/>
      <c r="D874" s="11" t="n"/>
      <c r="E874" s="11" t="n"/>
      <c r="F874">
        <f>IF(B874="","",IFERROR(INDEX(Categories!$B$5:$B$44,MATCH(B874,Categories!$A$5:$A$44,0)),"?"))</f>
        <v/>
      </c>
      <c r="G874">
        <f>IF(A874="","",MONTH(A874))</f>
        <v/>
      </c>
    </row>
    <row r="875">
      <c r="A875" s="25" t="n"/>
      <c r="B875" s="11" t="n"/>
      <c r="C875" s="24" t="n"/>
      <c r="D875" s="11" t="n"/>
      <c r="E875" s="11" t="n"/>
      <c r="F875">
        <f>IF(B875="","",IFERROR(INDEX(Categories!$B$5:$B$44,MATCH(B875,Categories!$A$5:$A$44,0)),"?"))</f>
        <v/>
      </c>
      <c r="G875">
        <f>IF(A875="","",MONTH(A875))</f>
        <v/>
      </c>
    </row>
    <row r="876">
      <c r="A876" s="25" t="n"/>
      <c r="B876" s="11" t="n"/>
      <c r="C876" s="24" t="n"/>
      <c r="D876" s="11" t="n"/>
      <c r="E876" s="11" t="n"/>
      <c r="F876">
        <f>IF(B876="","",IFERROR(INDEX(Categories!$B$5:$B$44,MATCH(B876,Categories!$A$5:$A$44,0)),"?"))</f>
        <v/>
      </c>
      <c r="G876">
        <f>IF(A876="","",MONTH(A876))</f>
        <v/>
      </c>
    </row>
    <row r="877">
      <c r="A877" s="25" t="n"/>
      <c r="B877" s="11" t="n"/>
      <c r="C877" s="24" t="n"/>
      <c r="D877" s="11" t="n"/>
      <c r="E877" s="11" t="n"/>
      <c r="F877">
        <f>IF(B877="","",IFERROR(INDEX(Categories!$B$5:$B$44,MATCH(B877,Categories!$A$5:$A$44,0)),"?"))</f>
        <v/>
      </c>
      <c r="G877">
        <f>IF(A877="","",MONTH(A877))</f>
        <v/>
      </c>
    </row>
    <row r="878">
      <c r="A878" s="25" t="n"/>
      <c r="B878" s="11" t="n"/>
      <c r="C878" s="24" t="n"/>
      <c r="D878" s="11" t="n"/>
      <c r="E878" s="11" t="n"/>
      <c r="F878">
        <f>IF(B878="","",IFERROR(INDEX(Categories!$B$5:$B$44,MATCH(B878,Categories!$A$5:$A$44,0)),"?"))</f>
        <v/>
      </c>
      <c r="G878">
        <f>IF(A878="","",MONTH(A878))</f>
        <v/>
      </c>
    </row>
    <row r="879">
      <c r="A879" s="25" t="n"/>
      <c r="B879" s="11" t="n"/>
      <c r="C879" s="24" t="n"/>
      <c r="D879" s="11" t="n"/>
      <c r="E879" s="11" t="n"/>
      <c r="F879">
        <f>IF(B879="","",IFERROR(INDEX(Categories!$B$5:$B$44,MATCH(B879,Categories!$A$5:$A$44,0)),"?"))</f>
        <v/>
      </c>
      <c r="G879">
        <f>IF(A879="","",MONTH(A879))</f>
        <v/>
      </c>
    </row>
    <row r="880">
      <c r="A880" s="25" t="n"/>
      <c r="B880" s="11" t="n"/>
      <c r="C880" s="24" t="n"/>
      <c r="D880" s="11" t="n"/>
      <c r="E880" s="11" t="n"/>
      <c r="F880">
        <f>IF(B880="","",IFERROR(INDEX(Categories!$B$5:$B$44,MATCH(B880,Categories!$A$5:$A$44,0)),"?"))</f>
        <v/>
      </c>
      <c r="G880">
        <f>IF(A880="","",MONTH(A880))</f>
        <v/>
      </c>
    </row>
    <row r="881">
      <c r="A881" s="25" t="n"/>
      <c r="B881" s="11" t="n"/>
      <c r="C881" s="24" t="n"/>
      <c r="D881" s="11" t="n"/>
      <c r="E881" s="11" t="n"/>
      <c r="F881">
        <f>IF(B881="","",IFERROR(INDEX(Categories!$B$5:$B$44,MATCH(B881,Categories!$A$5:$A$44,0)),"?"))</f>
        <v/>
      </c>
      <c r="G881">
        <f>IF(A881="","",MONTH(A881))</f>
        <v/>
      </c>
    </row>
    <row r="882">
      <c r="A882" s="25" t="n"/>
      <c r="B882" s="11" t="n"/>
      <c r="C882" s="24" t="n"/>
      <c r="D882" s="11" t="n"/>
      <c r="E882" s="11" t="n"/>
      <c r="F882">
        <f>IF(B882="","",IFERROR(INDEX(Categories!$B$5:$B$44,MATCH(B882,Categories!$A$5:$A$44,0)),"?"))</f>
        <v/>
      </c>
      <c r="G882">
        <f>IF(A882="","",MONTH(A882))</f>
        <v/>
      </c>
    </row>
    <row r="883">
      <c r="A883" s="25" t="n"/>
      <c r="B883" s="11" t="n"/>
      <c r="C883" s="24" t="n"/>
      <c r="D883" s="11" t="n"/>
      <c r="E883" s="11" t="n"/>
      <c r="F883">
        <f>IF(B883="","",IFERROR(INDEX(Categories!$B$5:$B$44,MATCH(B883,Categories!$A$5:$A$44,0)),"?"))</f>
        <v/>
      </c>
      <c r="G883">
        <f>IF(A883="","",MONTH(A883))</f>
        <v/>
      </c>
    </row>
    <row r="884">
      <c r="A884" s="25" t="n"/>
      <c r="B884" s="11" t="n"/>
      <c r="C884" s="24" t="n"/>
      <c r="D884" s="11" t="n"/>
      <c r="E884" s="11" t="n"/>
      <c r="F884">
        <f>IF(B884="","",IFERROR(INDEX(Categories!$B$5:$B$44,MATCH(B884,Categories!$A$5:$A$44,0)),"?"))</f>
        <v/>
      </c>
      <c r="G884">
        <f>IF(A884="","",MONTH(A884))</f>
        <v/>
      </c>
    </row>
    <row r="885">
      <c r="A885" s="25" t="n"/>
      <c r="B885" s="11" t="n"/>
      <c r="C885" s="24" t="n"/>
      <c r="D885" s="11" t="n"/>
      <c r="E885" s="11" t="n"/>
      <c r="F885">
        <f>IF(B885="","",IFERROR(INDEX(Categories!$B$5:$B$44,MATCH(B885,Categories!$A$5:$A$44,0)),"?"))</f>
        <v/>
      </c>
      <c r="G885">
        <f>IF(A885="","",MONTH(A885))</f>
        <v/>
      </c>
    </row>
    <row r="886">
      <c r="A886" s="25" t="n"/>
      <c r="B886" s="11" t="n"/>
      <c r="C886" s="24" t="n"/>
      <c r="D886" s="11" t="n"/>
      <c r="E886" s="11" t="n"/>
      <c r="F886">
        <f>IF(B886="","",IFERROR(INDEX(Categories!$B$5:$B$44,MATCH(B886,Categories!$A$5:$A$44,0)),"?"))</f>
        <v/>
      </c>
      <c r="G886">
        <f>IF(A886="","",MONTH(A886))</f>
        <v/>
      </c>
    </row>
    <row r="887">
      <c r="A887" s="25" t="n"/>
      <c r="B887" s="11" t="n"/>
      <c r="C887" s="24" t="n"/>
      <c r="D887" s="11" t="n"/>
      <c r="E887" s="11" t="n"/>
      <c r="F887">
        <f>IF(B887="","",IFERROR(INDEX(Categories!$B$5:$B$44,MATCH(B887,Categories!$A$5:$A$44,0)),"?"))</f>
        <v/>
      </c>
      <c r="G887">
        <f>IF(A887="","",MONTH(A887))</f>
        <v/>
      </c>
    </row>
    <row r="888">
      <c r="A888" s="25" t="n"/>
      <c r="B888" s="11" t="n"/>
      <c r="C888" s="24" t="n"/>
      <c r="D888" s="11" t="n"/>
      <c r="E888" s="11" t="n"/>
      <c r="F888">
        <f>IF(B888="","",IFERROR(INDEX(Categories!$B$5:$B$44,MATCH(B888,Categories!$A$5:$A$44,0)),"?"))</f>
        <v/>
      </c>
      <c r="G888">
        <f>IF(A888="","",MONTH(A888))</f>
        <v/>
      </c>
    </row>
    <row r="889">
      <c r="A889" s="25" t="n"/>
      <c r="B889" s="11" t="n"/>
      <c r="C889" s="24" t="n"/>
      <c r="D889" s="11" t="n"/>
      <c r="E889" s="11" t="n"/>
      <c r="F889">
        <f>IF(B889="","",IFERROR(INDEX(Categories!$B$5:$B$44,MATCH(B889,Categories!$A$5:$A$44,0)),"?"))</f>
        <v/>
      </c>
      <c r="G889">
        <f>IF(A889="","",MONTH(A889))</f>
        <v/>
      </c>
    </row>
    <row r="890">
      <c r="A890" s="25" t="n"/>
      <c r="B890" s="11" t="n"/>
      <c r="C890" s="24" t="n"/>
      <c r="D890" s="11" t="n"/>
      <c r="E890" s="11" t="n"/>
      <c r="F890">
        <f>IF(B890="","",IFERROR(INDEX(Categories!$B$5:$B$44,MATCH(B890,Categories!$A$5:$A$44,0)),"?"))</f>
        <v/>
      </c>
      <c r="G890">
        <f>IF(A890="","",MONTH(A890))</f>
        <v/>
      </c>
    </row>
    <row r="891">
      <c r="A891" s="25" t="n"/>
      <c r="B891" s="11" t="n"/>
      <c r="C891" s="24" t="n"/>
      <c r="D891" s="11" t="n"/>
      <c r="E891" s="11" t="n"/>
      <c r="F891">
        <f>IF(B891="","",IFERROR(INDEX(Categories!$B$5:$B$44,MATCH(B891,Categories!$A$5:$A$44,0)),"?"))</f>
        <v/>
      </c>
      <c r="G891">
        <f>IF(A891="","",MONTH(A891))</f>
        <v/>
      </c>
    </row>
    <row r="892">
      <c r="A892" s="25" t="n"/>
      <c r="B892" s="11" t="n"/>
      <c r="C892" s="24" t="n"/>
      <c r="D892" s="11" t="n"/>
      <c r="E892" s="11" t="n"/>
      <c r="F892">
        <f>IF(B892="","",IFERROR(INDEX(Categories!$B$5:$B$44,MATCH(B892,Categories!$A$5:$A$44,0)),"?"))</f>
        <v/>
      </c>
      <c r="G892">
        <f>IF(A892="","",MONTH(A892))</f>
        <v/>
      </c>
    </row>
    <row r="893">
      <c r="A893" s="25" t="n"/>
      <c r="B893" s="11" t="n"/>
      <c r="C893" s="24" t="n"/>
      <c r="D893" s="11" t="n"/>
      <c r="E893" s="11" t="n"/>
      <c r="F893">
        <f>IF(B893="","",IFERROR(INDEX(Categories!$B$5:$B$44,MATCH(B893,Categories!$A$5:$A$44,0)),"?"))</f>
        <v/>
      </c>
      <c r="G893">
        <f>IF(A893="","",MONTH(A893))</f>
        <v/>
      </c>
    </row>
    <row r="894">
      <c r="A894" s="25" t="n"/>
      <c r="B894" s="11" t="n"/>
      <c r="C894" s="24" t="n"/>
      <c r="D894" s="11" t="n"/>
      <c r="E894" s="11" t="n"/>
      <c r="F894">
        <f>IF(B894="","",IFERROR(INDEX(Categories!$B$5:$B$44,MATCH(B894,Categories!$A$5:$A$44,0)),"?"))</f>
        <v/>
      </c>
      <c r="G894">
        <f>IF(A894="","",MONTH(A894))</f>
        <v/>
      </c>
    </row>
    <row r="895">
      <c r="A895" s="25" t="n"/>
      <c r="B895" s="11" t="n"/>
      <c r="C895" s="24" t="n"/>
      <c r="D895" s="11" t="n"/>
      <c r="E895" s="11" t="n"/>
      <c r="F895">
        <f>IF(B895="","",IFERROR(INDEX(Categories!$B$5:$B$44,MATCH(B895,Categories!$A$5:$A$44,0)),"?"))</f>
        <v/>
      </c>
      <c r="G895">
        <f>IF(A895="","",MONTH(A895))</f>
        <v/>
      </c>
    </row>
    <row r="896">
      <c r="A896" s="25" t="n"/>
      <c r="B896" s="11" t="n"/>
      <c r="C896" s="24" t="n"/>
      <c r="D896" s="11" t="n"/>
      <c r="E896" s="11" t="n"/>
      <c r="F896">
        <f>IF(B896="","",IFERROR(INDEX(Categories!$B$5:$B$44,MATCH(B896,Categories!$A$5:$A$44,0)),"?"))</f>
        <v/>
      </c>
      <c r="G896">
        <f>IF(A896="","",MONTH(A896))</f>
        <v/>
      </c>
    </row>
    <row r="897">
      <c r="A897" s="25" t="n"/>
      <c r="B897" s="11" t="n"/>
      <c r="C897" s="24" t="n"/>
      <c r="D897" s="11" t="n"/>
      <c r="E897" s="11" t="n"/>
      <c r="F897">
        <f>IF(B897="","",IFERROR(INDEX(Categories!$B$5:$B$44,MATCH(B897,Categories!$A$5:$A$44,0)),"?"))</f>
        <v/>
      </c>
      <c r="G897">
        <f>IF(A897="","",MONTH(A897))</f>
        <v/>
      </c>
    </row>
    <row r="898">
      <c r="A898" s="25" t="n"/>
      <c r="B898" s="11" t="n"/>
      <c r="C898" s="24" t="n"/>
      <c r="D898" s="11" t="n"/>
      <c r="E898" s="11" t="n"/>
      <c r="F898">
        <f>IF(B898="","",IFERROR(INDEX(Categories!$B$5:$B$44,MATCH(B898,Categories!$A$5:$A$44,0)),"?"))</f>
        <v/>
      </c>
      <c r="G898">
        <f>IF(A898="","",MONTH(A898))</f>
        <v/>
      </c>
    </row>
    <row r="899">
      <c r="A899" s="25" t="n"/>
      <c r="B899" s="11" t="n"/>
      <c r="C899" s="24" t="n"/>
      <c r="D899" s="11" t="n"/>
      <c r="E899" s="11" t="n"/>
      <c r="F899">
        <f>IF(B899="","",IFERROR(INDEX(Categories!$B$5:$B$44,MATCH(B899,Categories!$A$5:$A$44,0)),"?"))</f>
        <v/>
      </c>
      <c r="G899">
        <f>IF(A899="","",MONTH(A899))</f>
        <v/>
      </c>
    </row>
    <row r="900">
      <c r="A900" s="25" t="n"/>
      <c r="B900" s="11" t="n"/>
      <c r="C900" s="24" t="n"/>
      <c r="D900" s="11" t="n"/>
      <c r="E900" s="11" t="n"/>
      <c r="F900">
        <f>IF(B900="","",IFERROR(INDEX(Categories!$B$5:$B$44,MATCH(B900,Categories!$A$5:$A$44,0)),"?"))</f>
        <v/>
      </c>
      <c r="G900">
        <f>IF(A900="","",MONTH(A900))</f>
        <v/>
      </c>
    </row>
    <row r="901">
      <c r="A901" s="25" t="n"/>
      <c r="B901" s="11" t="n"/>
      <c r="C901" s="24" t="n"/>
      <c r="D901" s="11" t="n"/>
      <c r="E901" s="11" t="n"/>
      <c r="F901">
        <f>IF(B901="","",IFERROR(INDEX(Categories!$B$5:$B$44,MATCH(B901,Categories!$A$5:$A$44,0)),"?"))</f>
        <v/>
      </c>
      <c r="G901">
        <f>IF(A901="","",MONTH(A901))</f>
        <v/>
      </c>
    </row>
    <row r="902">
      <c r="A902" s="25" t="n"/>
      <c r="B902" s="11" t="n"/>
      <c r="C902" s="24" t="n"/>
      <c r="D902" s="11" t="n"/>
      <c r="E902" s="11" t="n"/>
      <c r="F902">
        <f>IF(B902="","",IFERROR(INDEX(Categories!$B$5:$B$44,MATCH(B902,Categories!$A$5:$A$44,0)),"?"))</f>
        <v/>
      </c>
      <c r="G902">
        <f>IF(A902="","",MONTH(A902))</f>
        <v/>
      </c>
    </row>
    <row r="903">
      <c r="A903" s="25" t="n"/>
      <c r="B903" s="11" t="n"/>
      <c r="C903" s="24" t="n"/>
      <c r="D903" s="11" t="n"/>
      <c r="E903" s="11" t="n"/>
      <c r="F903">
        <f>IF(B903="","",IFERROR(INDEX(Categories!$B$5:$B$44,MATCH(B903,Categories!$A$5:$A$44,0)),"?"))</f>
        <v/>
      </c>
      <c r="G903">
        <f>IF(A903="","",MONTH(A903))</f>
        <v/>
      </c>
    </row>
    <row r="904">
      <c r="A904" s="25" t="n"/>
      <c r="B904" s="11" t="n"/>
      <c r="C904" s="24" t="n"/>
      <c r="D904" s="11" t="n"/>
      <c r="E904" s="11" t="n"/>
      <c r="F904">
        <f>IF(B904="","",IFERROR(INDEX(Categories!$B$5:$B$44,MATCH(B904,Categories!$A$5:$A$44,0)),"?"))</f>
        <v/>
      </c>
      <c r="G904">
        <f>IF(A904="","",MONTH(A904))</f>
        <v/>
      </c>
    </row>
    <row r="905">
      <c r="A905" s="25" t="n"/>
      <c r="B905" s="11" t="n"/>
      <c r="C905" s="24" t="n"/>
      <c r="D905" s="11" t="n"/>
      <c r="E905" s="11" t="n"/>
      <c r="F905">
        <f>IF(B905="","",IFERROR(INDEX(Categories!$B$5:$B$44,MATCH(B905,Categories!$A$5:$A$44,0)),"?"))</f>
        <v/>
      </c>
      <c r="G905">
        <f>IF(A905="","",MONTH(A905))</f>
        <v/>
      </c>
    </row>
    <row r="906">
      <c r="A906" s="25" t="n"/>
      <c r="B906" s="11" t="n"/>
      <c r="C906" s="24" t="n"/>
      <c r="D906" s="11" t="n"/>
      <c r="E906" s="11" t="n"/>
      <c r="F906">
        <f>IF(B906="","",IFERROR(INDEX(Categories!$B$5:$B$44,MATCH(B906,Categories!$A$5:$A$44,0)),"?"))</f>
        <v/>
      </c>
      <c r="G906">
        <f>IF(A906="","",MONTH(A906))</f>
        <v/>
      </c>
    </row>
    <row r="907">
      <c r="A907" s="25" t="n"/>
      <c r="B907" s="11" t="n"/>
      <c r="C907" s="24" t="n"/>
      <c r="D907" s="11" t="n"/>
      <c r="E907" s="11" t="n"/>
      <c r="F907">
        <f>IF(B907="","",IFERROR(INDEX(Categories!$B$5:$B$44,MATCH(B907,Categories!$A$5:$A$44,0)),"?"))</f>
        <v/>
      </c>
      <c r="G907">
        <f>IF(A907="","",MONTH(A907))</f>
        <v/>
      </c>
    </row>
    <row r="908">
      <c r="A908" s="25" t="n"/>
      <c r="B908" s="11" t="n"/>
      <c r="C908" s="24" t="n"/>
      <c r="D908" s="11" t="n"/>
      <c r="E908" s="11" t="n"/>
      <c r="F908">
        <f>IF(B908="","",IFERROR(INDEX(Categories!$B$5:$B$44,MATCH(B908,Categories!$A$5:$A$44,0)),"?"))</f>
        <v/>
      </c>
      <c r="G908">
        <f>IF(A908="","",MONTH(A908))</f>
        <v/>
      </c>
    </row>
    <row r="909">
      <c r="A909" s="25" t="n"/>
      <c r="B909" s="11" t="n"/>
      <c r="C909" s="24" t="n"/>
      <c r="D909" s="11" t="n"/>
      <c r="E909" s="11" t="n"/>
      <c r="F909">
        <f>IF(B909="","",IFERROR(INDEX(Categories!$B$5:$B$44,MATCH(B909,Categories!$A$5:$A$44,0)),"?"))</f>
        <v/>
      </c>
      <c r="G909">
        <f>IF(A909="","",MONTH(A909))</f>
        <v/>
      </c>
    </row>
    <row r="910">
      <c r="A910" s="25" t="n"/>
      <c r="B910" s="11" t="n"/>
      <c r="C910" s="24" t="n"/>
      <c r="D910" s="11" t="n"/>
      <c r="E910" s="11" t="n"/>
      <c r="F910">
        <f>IF(B910="","",IFERROR(INDEX(Categories!$B$5:$B$44,MATCH(B910,Categories!$A$5:$A$44,0)),"?"))</f>
        <v/>
      </c>
      <c r="G910">
        <f>IF(A910="","",MONTH(A910))</f>
        <v/>
      </c>
    </row>
    <row r="911">
      <c r="A911" s="25" t="n"/>
      <c r="B911" s="11" t="n"/>
      <c r="C911" s="24" t="n"/>
      <c r="D911" s="11" t="n"/>
      <c r="E911" s="11" t="n"/>
      <c r="F911">
        <f>IF(B911="","",IFERROR(INDEX(Categories!$B$5:$B$44,MATCH(B911,Categories!$A$5:$A$44,0)),"?"))</f>
        <v/>
      </c>
      <c r="G911">
        <f>IF(A911="","",MONTH(A911))</f>
        <v/>
      </c>
    </row>
    <row r="912">
      <c r="A912" s="25" t="n"/>
      <c r="B912" s="11" t="n"/>
      <c r="C912" s="24" t="n"/>
      <c r="D912" s="11" t="n"/>
      <c r="E912" s="11" t="n"/>
      <c r="F912">
        <f>IF(B912="","",IFERROR(INDEX(Categories!$B$5:$B$44,MATCH(B912,Categories!$A$5:$A$44,0)),"?"))</f>
        <v/>
      </c>
      <c r="G912">
        <f>IF(A912="","",MONTH(A912))</f>
        <v/>
      </c>
    </row>
    <row r="913">
      <c r="A913" s="25" t="n"/>
      <c r="B913" s="11" t="n"/>
      <c r="C913" s="24" t="n"/>
      <c r="D913" s="11" t="n"/>
      <c r="E913" s="11" t="n"/>
      <c r="F913">
        <f>IF(B913="","",IFERROR(INDEX(Categories!$B$5:$B$44,MATCH(B913,Categories!$A$5:$A$44,0)),"?"))</f>
        <v/>
      </c>
      <c r="G913">
        <f>IF(A913="","",MONTH(A913))</f>
        <v/>
      </c>
    </row>
    <row r="914">
      <c r="A914" s="25" t="n"/>
      <c r="B914" s="11" t="n"/>
      <c r="C914" s="24" t="n"/>
      <c r="D914" s="11" t="n"/>
      <c r="E914" s="11" t="n"/>
      <c r="F914">
        <f>IF(B914="","",IFERROR(INDEX(Categories!$B$5:$B$44,MATCH(B914,Categories!$A$5:$A$44,0)),"?"))</f>
        <v/>
      </c>
      <c r="G914">
        <f>IF(A914="","",MONTH(A914))</f>
        <v/>
      </c>
    </row>
    <row r="915">
      <c r="A915" s="25" t="n"/>
      <c r="B915" s="11" t="n"/>
      <c r="C915" s="24" t="n"/>
      <c r="D915" s="11" t="n"/>
      <c r="E915" s="11" t="n"/>
      <c r="F915">
        <f>IF(B915="","",IFERROR(INDEX(Categories!$B$5:$B$44,MATCH(B915,Categories!$A$5:$A$44,0)),"?"))</f>
        <v/>
      </c>
      <c r="G915">
        <f>IF(A915="","",MONTH(A915))</f>
        <v/>
      </c>
    </row>
    <row r="916">
      <c r="A916" s="25" t="n"/>
      <c r="B916" s="11" t="n"/>
      <c r="C916" s="24" t="n"/>
      <c r="D916" s="11" t="n"/>
      <c r="E916" s="11" t="n"/>
      <c r="F916">
        <f>IF(B916="","",IFERROR(INDEX(Categories!$B$5:$B$44,MATCH(B916,Categories!$A$5:$A$44,0)),"?"))</f>
        <v/>
      </c>
      <c r="G916">
        <f>IF(A916="","",MONTH(A916))</f>
        <v/>
      </c>
    </row>
    <row r="917">
      <c r="A917" s="25" t="n"/>
      <c r="B917" s="11" t="n"/>
      <c r="C917" s="24" t="n"/>
      <c r="D917" s="11" t="n"/>
      <c r="E917" s="11" t="n"/>
      <c r="F917">
        <f>IF(B917="","",IFERROR(INDEX(Categories!$B$5:$B$44,MATCH(B917,Categories!$A$5:$A$44,0)),"?"))</f>
        <v/>
      </c>
      <c r="G917">
        <f>IF(A917="","",MONTH(A917))</f>
        <v/>
      </c>
    </row>
    <row r="918">
      <c r="A918" s="25" t="n"/>
      <c r="B918" s="11" t="n"/>
      <c r="C918" s="24" t="n"/>
      <c r="D918" s="11" t="n"/>
      <c r="E918" s="11" t="n"/>
      <c r="F918">
        <f>IF(B918="","",IFERROR(INDEX(Categories!$B$5:$B$44,MATCH(B918,Categories!$A$5:$A$44,0)),"?"))</f>
        <v/>
      </c>
      <c r="G918">
        <f>IF(A918="","",MONTH(A918))</f>
        <v/>
      </c>
    </row>
    <row r="919">
      <c r="A919" s="25" t="n"/>
      <c r="B919" s="11" t="n"/>
      <c r="C919" s="24" t="n"/>
      <c r="D919" s="11" t="n"/>
      <c r="E919" s="11" t="n"/>
      <c r="F919">
        <f>IF(B919="","",IFERROR(INDEX(Categories!$B$5:$B$44,MATCH(B919,Categories!$A$5:$A$44,0)),"?"))</f>
        <v/>
      </c>
      <c r="G919">
        <f>IF(A919="","",MONTH(A919))</f>
        <v/>
      </c>
    </row>
    <row r="920">
      <c r="A920" s="25" t="n"/>
      <c r="B920" s="11" t="n"/>
      <c r="C920" s="24" t="n"/>
      <c r="D920" s="11" t="n"/>
      <c r="E920" s="11" t="n"/>
      <c r="F920">
        <f>IF(B920="","",IFERROR(INDEX(Categories!$B$5:$B$44,MATCH(B920,Categories!$A$5:$A$44,0)),"?"))</f>
        <v/>
      </c>
      <c r="G920">
        <f>IF(A920="","",MONTH(A920))</f>
        <v/>
      </c>
    </row>
    <row r="921">
      <c r="A921" s="25" t="n"/>
      <c r="B921" s="11" t="n"/>
      <c r="C921" s="24" t="n"/>
      <c r="D921" s="11" t="n"/>
      <c r="E921" s="11" t="n"/>
      <c r="F921">
        <f>IF(B921="","",IFERROR(INDEX(Categories!$B$5:$B$44,MATCH(B921,Categories!$A$5:$A$44,0)),"?"))</f>
        <v/>
      </c>
      <c r="G921">
        <f>IF(A921="","",MONTH(A921))</f>
        <v/>
      </c>
    </row>
    <row r="922">
      <c r="A922" s="25" t="n"/>
      <c r="B922" s="11" t="n"/>
      <c r="C922" s="24" t="n"/>
      <c r="D922" s="11" t="n"/>
      <c r="E922" s="11" t="n"/>
      <c r="F922">
        <f>IF(B922="","",IFERROR(INDEX(Categories!$B$5:$B$44,MATCH(B922,Categories!$A$5:$A$44,0)),"?"))</f>
        <v/>
      </c>
      <c r="G922">
        <f>IF(A922="","",MONTH(A922))</f>
        <v/>
      </c>
    </row>
    <row r="923">
      <c r="A923" s="25" t="n"/>
      <c r="B923" s="11" t="n"/>
      <c r="C923" s="24" t="n"/>
      <c r="D923" s="11" t="n"/>
      <c r="E923" s="11" t="n"/>
      <c r="F923">
        <f>IF(B923="","",IFERROR(INDEX(Categories!$B$5:$B$44,MATCH(B923,Categories!$A$5:$A$44,0)),"?"))</f>
        <v/>
      </c>
      <c r="G923">
        <f>IF(A923="","",MONTH(A923))</f>
        <v/>
      </c>
    </row>
    <row r="924">
      <c r="A924" s="25" t="n"/>
      <c r="B924" s="11" t="n"/>
      <c r="C924" s="24" t="n"/>
      <c r="D924" s="11" t="n"/>
      <c r="E924" s="11" t="n"/>
      <c r="F924">
        <f>IF(B924="","",IFERROR(INDEX(Categories!$B$5:$B$44,MATCH(B924,Categories!$A$5:$A$44,0)),"?"))</f>
        <v/>
      </c>
      <c r="G924">
        <f>IF(A924="","",MONTH(A924))</f>
        <v/>
      </c>
    </row>
    <row r="925">
      <c r="A925" s="25" t="n"/>
      <c r="B925" s="11" t="n"/>
      <c r="C925" s="24" t="n"/>
      <c r="D925" s="11" t="n"/>
      <c r="E925" s="11" t="n"/>
      <c r="F925">
        <f>IF(B925="","",IFERROR(INDEX(Categories!$B$5:$B$44,MATCH(B925,Categories!$A$5:$A$44,0)),"?"))</f>
        <v/>
      </c>
      <c r="G925">
        <f>IF(A925="","",MONTH(A925))</f>
        <v/>
      </c>
    </row>
    <row r="926">
      <c r="A926" s="25" t="n"/>
      <c r="B926" s="11" t="n"/>
      <c r="C926" s="24" t="n"/>
      <c r="D926" s="11" t="n"/>
      <c r="E926" s="11" t="n"/>
      <c r="F926">
        <f>IF(B926="","",IFERROR(INDEX(Categories!$B$5:$B$44,MATCH(B926,Categories!$A$5:$A$44,0)),"?"))</f>
        <v/>
      </c>
      <c r="G926">
        <f>IF(A926="","",MONTH(A926))</f>
        <v/>
      </c>
    </row>
    <row r="927">
      <c r="A927" s="25" t="n"/>
      <c r="B927" s="11" t="n"/>
      <c r="C927" s="24" t="n"/>
      <c r="D927" s="11" t="n"/>
      <c r="E927" s="11" t="n"/>
      <c r="F927">
        <f>IF(B927="","",IFERROR(INDEX(Categories!$B$5:$B$44,MATCH(B927,Categories!$A$5:$A$44,0)),"?"))</f>
        <v/>
      </c>
      <c r="G927">
        <f>IF(A927="","",MONTH(A927))</f>
        <v/>
      </c>
    </row>
    <row r="928">
      <c r="A928" s="25" t="n"/>
      <c r="B928" s="11" t="n"/>
      <c r="C928" s="24" t="n"/>
      <c r="D928" s="11" t="n"/>
      <c r="E928" s="11" t="n"/>
      <c r="F928">
        <f>IF(B928="","",IFERROR(INDEX(Categories!$B$5:$B$44,MATCH(B928,Categories!$A$5:$A$44,0)),"?"))</f>
        <v/>
      </c>
      <c r="G928">
        <f>IF(A928="","",MONTH(A928))</f>
        <v/>
      </c>
    </row>
    <row r="929">
      <c r="A929" s="25" t="n"/>
      <c r="B929" s="11" t="n"/>
      <c r="C929" s="24" t="n"/>
      <c r="D929" s="11" t="n"/>
      <c r="E929" s="11" t="n"/>
      <c r="F929">
        <f>IF(B929="","",IFERROR(INDEX(Categories!$B$5:$B$44,MATCH(B929,Categories!$A$5:$A$44,0)),"?"))</f>
        <v/>
      </c>
      <c r="G929">
        <f>IF(A929="","",MONTH(A929))</f>
        <v/>
      </c>
    </row>
    <row r="930">
      <c r="A930" s="25" t="n"/>
      <c r="B930" s="11" t="n"/>
      <c r="C930" s="24" t="n"/>
      <c r="D930" s="11" t="n"/>
      <c r="E930" s="11" t="n"/>
      <c r="F930">
        <f>IF(B930="","",IFERROR(INDEX(Categories!$B$5:$B$44,MATCH(B930,Categories!$A$5:$A$44,0)),"?"))</f>
        <v/>
      </c>
      <c r="G930">
        <f>IF(A930="","",MONTH(A930))</f>
        <v/>
      </c>
    </row>
    <row r="931">
      <c r="A931" s="25" t="n"/>
      <c r="B931" s="11" t="n"/>
      <c r="C931" s="24" t="n"/>
      <c r="D931" s="11" t="n"/>
      <c r="E931" s="11" t="n"/>
      <c r="F931">
        <f>IF(B931="","",IFERROR(INDEX(Categories!$B$5:$B$44,MATCH(B931,Categories!$A$5:$A$44,0)),"?"))</f>
        <v/>
      </c>
      <c r="G931">
        <f>IF(A931="","",MONTH(A931))</f>
        <v/>
      </c>
    </row>
    <row r="932">
      <c r="A932" s="25" t="n"/>
      <c r="B932" s="11" t="n"/>
      <c r="C932" s="24" t="n"/>
      <c r="D932" s="11" t="n"/>
      <c r="E932" s="11" t="n"/>
      <c r="F932">
        <f>IF(B932="","",IFERROR(INDEX(Categories!$B$5:$B$44,MATCH(B932,Categories!$A$5:$A$44,0)),"?"))</f>
        <v/>
      </c>
      <c r="G932">
        <f>IF(A932="","",MONTH(A932))</f>
        <v/>
      </c>
    </row>
    <row r="933">
      <c r="A933" s="25" t="n"/>
      <c r="B933" s="11" t="n"/>
      <c r="C933" s="24" t="n"/>
      <c r="D933" s="11" t="n"/>
      <c r="E933" s="11" t="n"/>
      <c r="F933">
        <f>IF(B933="","",IFERROR(INDEX(Categories!$B$5:$B$44,MATCH(B933,Categories!$A$5:$A$44,0)),"?"))</f>
        <v/>
      </c>
      <c r="G933">
        <f>IF(A933="","",MONTH(A933))</f>
        <v/>
      </c>
    </row>
    <row r="934">
      <c r="A934" s="25" t="n"/>
      <c r="B934" s="11" t="n"/>
      <c r="C934" s="24" t="n"/>
      <c r="D934" s="11" t="n"/>
      <c r="E934" s="11" t="n"/>
      <c r="F934">
        <f>IF(B934="","",IFERROR(INDEX(Categories!$B$5:$B$44,MATCH(B934,Categories!$A$5:$A$44,0)),"?"))</f>
        <v/>
      </c>
      <c r="G934">
        <f>IF(A934="","",MONTH(A934))</f>
        <v/>
      </c>
    </row>
    <row r="935">
      <c r="A935" s="25" t="n"/>
      <c r="B935" s="11" t="n"/>
      <c r="C935" s="24" t="n"/>
      <c r="D935" s="11" t="n"/>
      <c r="E935" s="11" t="n"/>
      <c r="F935">
        <f>IF(B935="","",IFERROR(INDEX(Categories!$B$5:$B$44,MATCH(B935,Categories!$A$5:$A$44,0)),"?"))</f>
        <v/>
      </c>
      <c r="G935">
        <f>IF(A935="","",MONTH(A935))</f>
        <v/>
      </c>
    </row>
    <row r="936">
      <c r="A936" s="25" t="n"/>
      <c r="B936" s="11" t="n"/>
      <c r="C936" s="24" t="n"/>
      <c r="D936" s="11" t="n"/>
      <c r="E936" s="11" t="n"/>
      <c r="F936">
        <f>IF(B936="","",IFERROR(INDEX(Categories!$B$5:$B$44,MATCH(B936,Categories!$A$5:$A$44,0)),"?"))</f>
        <v/>
      </c>
      <c r="G936">
        <f>IF(A936="","",MONTH(A936))</f>
        <v/>
      </c>
    </row>
    <row r="937">
      <c r="A937" s="25" t="n"/>
      <c r="B937" s="11" t="n"/>
      <c r="C937" s="24" t="n"/>
      <c r="D937" s="11" t="n"/>
      <c r="E937" s="11" t="n"/>
      <c r="F937">
        <f>IF(B937="","",IFERROR(INDEX(Categories!$B$5:$B$44,MATCH(B937,Categories!$A$5:$A$44,0)),"?"))</f>
        <v/>
      </c>
      <c r="G937">
        <f>IF(A937="","",MONTH(A937))</f>
        <v/>
      </c>
    </row>
    <row r="938">
      <c r="A938" s="25" t="n"/>
      <c r="B938" s="11" t="n"/>
      <c r="C938" s="24" t="n"/>
      <c r="D938" s="11" t="n"/>
      <c r="E938" s="11" t="n"/>
      <c r="F938">
        <f>IF(B938="","",IFERROR(INDEX(Categories!$B$5:$B$44,MATCH(B938,Categories!$A$5:$A$44,0)),"?"))</f>
        <v/>
      </c>
      <c r="G938">
        <f>IF(A938="","",MONTH(A938))</f>
        <v/>
      </c>
    </row>
    <row r="939">
      <c r="A939" s="25" t="n"/>
      <c r="B939" s="11" t="n"/>
      <c r="C939" s="24" t="n"/>
      <c r="D939" s="11" t="n"/>
      <c r="E939" s="11" t="n"/>
      <c r="F939">
        <f>IF(B939="","",IFERROR(INDEX(Categories!$B$5:$B$44,MATCH(B939,Categories!$A$5:$A$44,0)),"?"))</f>
        <v/>
      </c>
      <c r="G939">
        <f>IF(A939="","",MONTH(A939))</f>
        <v/>
      </c>
    </row>
    <row r="940">
      <c r="A940" s="25" t="n"/>
      <c r="B940" s="11" t="n"/>
      <c r="C940" s="24" t="n"/>
      <c r="D940" s="11" t="n"/>
      <c r="E940" s="11" t="n"/>
      <c r="F940">
        <f>IF(B940="","",IFERROR(INDEX(Categories!$B$5:$B$44,MATCH(B940,Categories!$A$5:$A$44,0)),"?"))</f>
        <v/>
      </c>
      <c r="G940">
        <f>IF(A940="","",MONTH(A940))</f>
        <v/>
      </c>
    </row>
    <row r="941">
      <c r="A941" s="25" t="n"/>
      <c r="B941" s="11" t="n"/>
      <c r="C941" s="24" t="n"/>
      <c r="D941" s="11" t="n"/>
      <c r="E941" s="11" t="n"/>
      <c r="F941">
        <f>IF(B941="","",IFERROR(INDEX(Categories!$B$5:$B$44,MATCH(B941,Categories!$A$5:$A$44,0)),"?"))</f>
        <v/>
      </c>
      <c r="G941">
        <f>IF(A941="","",MONTH(A941))</f>
        <v/>
      </c>
    </row>
    <row r="942">
      <c r="A942" s="25" t="n"/>
      <c r="B942" s="11" t="n"/>
      <c r="C942" s="24" t="n"/>
      <c r="D942" s="11" t="n"/>
      <c r="E942" s="11" t="n"/>
      <c r="F942">
        <f>IF(B942="","",IFERROR(INDEX(Categories!$B$5:$B$44,MATCH(B942,Categories!$A$5:$A$44,0)),"?"))</f>
        <v/>
      </c>
      <c r="G942">
        <f>IF(A942="","",MONTH(A942))</f>
        <v/>
      </c>
    </row>
    <row r="943">
      <c r="A943" s="25" t="n"/>
      <c r="B943" s="11" t="n"/>
      <c r="C943" s="24" t="n"/>
      <c r="D943" s="11" t="n"/>
      <c r="E943" s="11" t="n"/>
      <c r="F943">
        <f>IF(B943="","",IFERROR(INDEX(Categories!$B$5:$B$44,MATCH(B943,Categories!$A$5:$A$44,0)),"?"))</f>
        <v/>
      </c>
      <c r="G943">
        <f>IF(A943="","",MONTH(A943))</f>
        <v/>
      </c>
    </row>
    <row r="944">
      <c r="A944" s="25" t="n"/>
      <c r="B944" s="11" t="n"/>
      <c r="C944" s="24" t="n"/>
      <c r="D944" s="11" t="n"/>
      <c r="E944" s="11" t="n"/>
      <c r="F944">
        <f>IF(B944="","",IFERROR(INDEX(Categories!$B$5:$B$44,MATCH(B944,Categories!$A$5:$A$44,0)),"?"))</f>
        <v/>
      </c>
      <c r="G944">
        <f>IF(A944="","",MONTH(A944))</f>
        <v/>
      </c>
    </row>
    <row r="945">
      <c r="A945" s="25" t="n"/>
      <c r="B945" s="11" t="n"/>
      <c r="C945" s="24" t="n"/>
      <c r="D945" s="11" t="n"/>
      <c r="E945" s="11" t="n"/>
      <c r="F945">
        <f>IF(B945="","",IFERROR(INDEX(Categories!$B$5:$B$44,MATCH(B945,Categories!$A$5:$A$44,0)),"?"))</f>
        <v/>
      </c>
      <c r="G945">
        <f>IF(A945="","",MONTH(A945))</f>
        <v/>
      </c>
    </row>
    <row r="946">
      <c r="A946" s="25" t="n"/>
      <c r="B946" s="11" t="n"/>
      <c r="C946" s="24" t="n"/>
      <c r="D946" s="11" t="n"/>
      <c r="E946" s="11" t="n"/>
      <c r="F946">
        <f>IF(B946="","",IFERROR(INDEX(Categories!$B$5:$B$44,MATCH(B946,Categories!$A$5:$A$44,0)),"?"))</f>
        <v/>
      </c>
      <c r="G946">
        <f>IF(A946="","",MONTH(A946))</f>
        <v/>
      </c>
    </row>
    <row r="947">
      <c r="A947" s="25" t="n"/>
      <c r="B947" s="11" t="n"/>
      <c r="C947" s="24" t="n"/>
      <c r="D947" s="11" t="n"/>
      <c r="E947" s="11" t="n"/>
      <c r="F947">
        <f>IF(B947="","",IFERROR(INDEX(Categories!$B$5:$B$44,MATCH(B947,Categories!$A$5:$A$44,0)),"?"))</f>
        <v/>
      </c>
      <c r="G947">
        <f>IF(A947="","",MONTH(A947))</f>
        <v/>
      </c>
    </row>
    <row r="948">
      <c r="A948" s="25" t="n"/>
      <c r="B948" s="11" t="n"/>
      <c r="C948" s="24" t="n"/>
      <c r="D948" s="11" t="n"/>
      <c r="E948" s="11" t="n"/>
      <c r="F948">
        <f>IF(B948="","",IFERROR(INDEX(Categories!$B$5:$B$44,MATCH(B948,Categories!$A$5:$A$44,0)),"?"))</f>
        <v/>
      </c>
      <c r="G948">
        <f>IF(A948="","",MONTH(A948))</f>
        <v/>
      </c>
    </row>
    <row r="949">
      <c r="A949" s="25" t="n"/>
      <c r="B949" s="11" t="n"/>
      <c r="C949" s="24" t="n"/>
      <c r="D949" s="11" t="n"/>
      <c r="E949" s="11" t="n"/>
      <c r="F949">
        <f>IF(B949="","",IFERROR(INDEX(Categories!$B$5:$B$44,MATCH(B949,Categories!$A$5:$A$44,0)),"?"))</f>
        <v/>
      </c>
      <c r="G949">
        <f>IF(A949="","",MONTH(A949))</f>
        <v/>
      </c>
    </row>
    <row r="950">
      <c r="A950" s="25" t="n"/>
      <c r="B950" s="11" t="n"/>
      <c r="C950" s="24" t="n"/>
      <c r="D950" s="11" t="n"/>
      <c r="E950" s="11" t="n"/>
      <c r="F950">
        <f>IF(B950="","",IFERROR(INDEX(Categories!$B$5:$B$44,MATCH(B950,Categories!$A$5:$A$44,0)),"?"))</f>
        <v/>
      </c>
      <c r="G950">
        <f>IF(A950="","",MONTH(A950))</f>
        <v/>
      </c>
    </row>
    <row r="951">
      <c r="A951" s="25" t="n"/>
      <c r="B951" s="11" t="n"/>
      <c r="C951" s="24" t="n"/>
      <c r="D951" s="11" t="n"/>
      <c r="E951" s="11" t="n"/>
      <c r="F951">
        <f>IF(B951="","",IFERROR(INDEX(Categories!$B$5:$B$44,MATCH(B951,Categories!$A$5:$A$44,0)),"?"))</f>
        <v/>
      </c>
      <c r="G951">
        <f>IF(A951="","",MONTH(A951))</f>
        <v/>
      </c>
    </row>
    <row r="952">
      <c r="A952" s="25" t="n"/>
      <c r="B952" s="11" t="n"/>
      <c r="C952" s="24" t="n"/>
      <c r="D952" s="11" t="n"/>
      <c r="E952" s="11" t="n"/>
      <c r="F952">
        <f>IF(B952="","",IFERROR(INDEX(Categories!$B$5:$B$44,MATCH(B952,Categories!$A$5:$A$44,0)),"?"))</f>
        <v/>
      </c>
      <c r="G952">
        <f>IF(A952="","",MONTH(A952))</f>
        <v/>
      </c>
    </row>
    <row r="953">
      <c r="A953" s="25" t="n"/>
      <c r="B953" s="11" t="n"/>
      <c r="C953" s="24" t="n"/>
      <c r="D953" s="11" t="n"/>
      <c r="E953" s="11" t="n"/>
      <c r="F953">
        <f>IF(B953="","",IFERROR(INDEX(Categories!$B$5:$B$44,MATCH(B953,Categories!$A$5:$A$44,0)),"?"))</f>
        <v/>
      </c>
      <c r="G953">
        <f>IF(A953="","",MONTH(A953))</f>
        <v/>
      </c>
    </row>
    <row r="954">
      <c r="A954" s="25" t="n"/>
      <c r="B954" s="11" t="n"/>
      <c r="C954" s="24" t="n"/>
      <c r="D954" s="11" t="n"/>
      <c r="E954" s="11" t="n"/>
      <c r="F954">
        <f>IF(B954="","",IFERROR(INDEX(Categories!$B$5:$B$44,MATCH(B954,Categories!$A$5:$A$44,0)),"?"))</f>
        <v/>
      </c>
      <c r="G954">
        <f>IF(A954="","",MONTH(A954))</f>
        <v/>
      </c>
    </row>
    <row r="955">
      <c r="A955" s="25" t="n"/>
      <c r="B955" s="11" t="n"/>
      <c r="C955" s="24" t="n"/>
      <c r="D955" s="11" t="n"/>
      <c r="E955" s="11" t="n"/>
      <c r="F955">
        <f>IF(B955="","",IFERROR(INDEX(Categories!$B$5:$B$44,MATCH(B955,Categories!$A$5:$A$44,0)),"?"))</f>
        <v/>
      </c>
      <c r="G955">
        <f>IF(A955="","",MONTH(A955))</f>
        <v/>
      </c>
    </row>
    <row r="956">
      <c r="A956" s="25" t="n"/>
      <c r="B956" s="11" t="n"/>
      <c r="C956" s="24" t="n"/>
      <c r="D956" s="11" t="n"/>
      <c r="E956" s="11" t="n"/>
      <c r="F956">
        <f>IF(B956="","",IFERROR(INDEX(Categories!$B$5:$B$44,MATCH(B956,Categories!$A$5:$A$44,0)),"?"))</f>
        <v/>
      </c>
      <c r="G956">
        <f>IF(A956="","",MONTH(A956))</f>
        <v/>
      </c>
    </row>
    <row r="957">
      <c r="A957" s="25" t="n"/>
      <c r="B957" s="11" t="n"/>
      <c r="C957" s="24" t="n"/>
      <c r="D957" s="11" t="n"/>
      <c r="E957" s="11" t="n"/>
      <c r="F957">
        <f>IF(B957="","",IFERROR(INDEX(Categories!$B$5:$B$44,MATCH(B957,Categories!$A$5:$A$44,0)),"?"))</f>
        <v/>
      </c>
      <c r="G957">
        <f>IF(A957="","",MONTH(A957))</f>
        <v/>
      </c>
    </row>
    <row r="958">
      <c r="A958" s="25" t="n"/>
      <c r="B958" s="11" t="n"/>
      <c r="C958" s="24" t="n"/>
      <c r="D958" s="11" t="n"/>
      <c r="E958" s="11" t="n"/>
      <c r="F958">
        <f>IF(B958="","",IFERROR(INDEX(Categories!$B$5:$B$44,MATCH(B958,Categories!$A$5:$A$44,0)),"?"))</f>
        <v/>
      </c>
      <c r="G958">
        <f>IF(A958="","",MONTH(A958))</f>
        <v/>
      </c>
    </row>
    <row r="959">
      <c r="A959" s="25" t="n"/>
      <c r="B959" s="11" t="n"/>
      <c r="C959" s="24" t="n"/>
      <c r="D959" s="11" t="n"/>
      <c r="E959" s="11" t="n"/>
      <c r="F959">
        <f>IF(B959="","",IFERROR(INDEX(Categories!$B$5:$B$44,MATCH(B959,Categories!$A$5:$A$44,0)),"?"))</f>
        <v/>
      </c>
      <c r="G959">
        <f>IF(A959="","",MONTH(A959))</f>
        <v/>
      </c>
    </row>
    <row r="960">
      <c r="A960" s="25" t="n"/>
      <c r="B960" s="11" t="n"/>
      <c r="C960" s="24" t="n"/>
      <c r="D960" s="11" t="n"/>
      <c r="E960" s="11" t="n"/>
      <c r="F960">
        <f>IF(B960="","",IFERROR(INDEX(Categories!$B$5:$B$44,MATCH(B960,Categories!$A$5:$A$44,0)),"?"))</f>
        <v/>
      </c>
      <c r="G960">
        <f>IF(A960="","",MONTH(A960))</f>
        <v/>
      </c>
    </row>
    <row r="961">
      <c r="A961" s="25" t="n"/>
      <c r="B961" s="11" t="n"/>
      <c r="C961" s="24" t="n"/>
      <c r="D961" s="11" t="n"/>
      <c r="E961" s="11" t="n"/>
      <c r="F961">
        <f>IF(B961="","",IFERROR(INDEX(Categories!$B$5:$B$44,MATCH(B961,Categories!$A$5:$A$44,0)),"?"))</f>
        <v/>
      </c>
      <c r="G961">
        <f>IF(A961="","",MONTH(A961))</f>
        <v/>
      </c>
    </row>
    <row r="962">
      <c r="A962" s="25" t="n"/>
      <c r="B962" s="11" t="n"/>
      <c r="C962" s="24" t="n"/>
      <c r="D962" s="11" t="n"/>
      <c r="E962" s="11" t="n"/>
      <c r="F962">
        <f>IF(B962="","",IFERROR(INDEX(Categories!$B$5:$B$44,MATCH(B962,Categories!$A$5:$A$44,0)),"?"))</f>
        <v/>
      </c>
      <c r="G962">
        <f>IF(A962="","",MONTH(A962))</f>
        <v/>
      </c>
    </row>
    <row r="963">
      <c r="A963" s="25" t="n"/>
      <c r="B963" s="11" t="n"/>
      <c r="C963" s="24" t="n"/>
      <c r="D963" s="11" t="n"/>
      <c r="E963" s="11" t="n"/>
      <c r="F963">
        <f>IF(B963="","",IFERROR(INDEX(Categories!$B$5:$B$44,MATCH(B963,Categories!$A$5:$A$44,0)),"?"))</f>
        <v/>
      </c>
      <c r="G963">
        <f>IF(A963="","",MONTH(A963))</f>
        <v/>
      </c>
    </row>
    <row r="964">
      <c r="A964" s="25" t="n"/>
      <c r="B964" s="11" t="n"/>
      <c r="C964" s="24" t="n"/>
      <c r="D964" s="11" t="n"/>
      <c r="E964" s="11" t="n"/>
      <c r="F964">
        <f>IF(B964="","",IFERROR(INDEX(Categories!$B$5:$B$44,MATCH(B964,Categories!$A$5:$A$44,0)),"?"))</f>
        <v/>
      </c>
      <c r="G964">
        <f>IF(A964="","",MONTH(A964))</f>
        <v/>
      </c>
    </row>
    <row r="965">
      <c r="A965" s="25" t="n"/>
      <c r="B965" s="11" t="n"/>
      <c r="C965" s="24" t="n"/>
      <c r="D965" s="11" t="n"/>
      <c r="E965" s="11" t="n"/>
      <c r="F965">
        <f>IF(B965="","",IFERROR(INDEX(Categories!$B$5:$B$44,MATCH(B965,Categories!$A$5:$A$44,0)),"?"))</f>
        <v/>
      </c>
      <c r="G965">
        <f>IF(A965="","",MONTH(A965))</f>
        <v/>
      </c>
    </row>
    <row r="966">
      <c r="A966" s="25" t="n"/>
      <c r="B966" s="11" t="n"/>
      <c r="C966" s="24" t="n"/>
      <c r="D966" s="11" t="n"/>
      <c r="E966" s="11" t="n"/>
      <c r="F966">
        <f>IF(B966="","",IFERROR(INDEX(Categories!$B$5:$B$44,MATCH(B966,Categories!$A$5:$A$44,0)),"?"))</f>
        <v/>
      </c>
      <c r="G966">
        <f>IF(A966="","",MONTH(A966))</f>
        <v/>
      </c>
    </row>
    <row r="967">
      <c r="A967" s="25" t="n"/>
      <c r="B967" s="11" t="n"/>
      <c r="C967" s="24" t="n"/>
      <c r="D967" s="11" t="n"/>
      <c r="E967" s="11" t="n"/>
      <c r="F967">
        <f>IF(B967="","",IFERROR(INDEX(Categories!$B$5:$B$44,MATCH(B967,Categories!$A$5:$A$44,0)),"?"))</f>
        <v/>
      </c>
      <c r="G967">
        <f>IF(A967="","",MONTH(A967))</f>
        <v/>
      </c>
    </row>
    <row r="968">
      <c r="A968" s="25" t="n"/>
      <c r="B968" s="11" t="n"/>
      <c r="C968" s="24" t="n"/>
      <c r="D968" s="11" t="n"/>
      <c r="E968" s="11" t="n"/>
      <c r="F968">
        <f>IF(B968="","",IFERROR(INDEX(Categories!$B$5:$B$44,MATCH(B968,Categories!$A$5:$A$44,0)),"?"))</f>
        <v/>
      </c>
      <c r="G968">
        <f>IF(A968="","",MONTH(A968))</f>
        <v/>
      </c>
    </row>
    <row r="969">
      <c r="A969" s="25" t="n"/>
      <c r="B969" s="11" t="n"/>
      <c r="C969" s="24" t="n"/>
      <c r="D969" s="11" t="n"/>
      <c r="E969" s="11" t="n"/>
      <c r="F969">
        <f>IF(B969="","",IFERROR(INDEX(Categories!$B$5:$B$44,MATCH(B969,Categories!$A$5:$A$44,0)),"?"))</f>
        <v/>
      </c>
      <c r="G969">
        <f>IF(A969="","",MONTH(A969))</f>
        <v/>
      </c>
    </row>
    <row r="970">
      <c r="A970" s="25" t="n"/>
      <c r="B970" s="11" t="n"/>
      <c r="C970" s="24" t="n"/>
      <c r="D970" s="11" t="n"/>
      <c r="E970" s="11" t="n"/>
      <c r="F970">
        <f>IF(B970="","",IFERROR(INDEX(Categories!$B$5:$B$44,MATCH(B970,Categories!$A$5:$A$44,0)),"?"))</f>
        <v/>
      </c>
      <c r="G970">
        <f>IF(A970="","",MONTH(A970))</f>
        <v/>
      </c>
    </row>
    <row r="971">
      <c r="A971" s="25" t="n"/>
      <c r="B971" s="11" t="n"/>
      <c r="C971" s="24" t="n"/>
      <c r="D971" s="11" t="n"/>
      <c r="E971" s="11" t="n"/>
      <c r="F971">
        <f>IF(B971="","",IFERROR(INDEX(Categories!$B$5:$B$44,MATCH(B971,Categories!$A$5:$A$44,0)),"?"))</f>
        <v/>
      </c>
      <c r="G971">
        <f>IF(A971="","",MONTH(A971))</f>
        <v/>
      </c>
    </row>
    <row r="972">
      <c r="A972" s="25" t="n"/>
      <c r="B972" s="11" t="n"/>
      <c r="C972" s="24" t="n"/>
      <c r="D972" s="11" t="n"/>
      <c r="E972" s="11" t="n"/>
      <c r="F972">
        <f>IF(B972="","",IFERROR(INDEX(Categories!$B$5:$B$44,MATCH(B972,Categories!$A$5:$A$44,0)),"?"))</f>
        <v/>
      </c>
      <c r="G972">
        <f>IF(A972="","",MONTH(A972))</f>
        <v/>
      </c>
    </row>
    <row r="973">
      <c r="A973" s="25" t="n"/>
      <c r="B973" s="11" t="n"/>
      <c r="C973" s="24" t="n"/>
      <c r="D973" s="11" t="n"/>
      <c r="E973" s="11" t="n"/>
      <c r="F973">
        <f>IF(B973="","",IFERROR(INDEX(Categories!$B$5:$B$44,MATCH(B973,Categories!$A$5:$A$44,0)),"?"))</f>
        <v/>
      </c>
      <c r="G973">
        <f>IF(A973="","",MONTH(A973))</f>
        <v/>
      </c>
    </row>
    <row r="974">
      <c r="A974" s="25" t="n"/>
      <c r="B974" s="11" t="n"/>
      <c r="C974" s="24" t="n"/>
      <c r="D974" s="11" t="n"/>
      <c r="E974" s="11" t="n"/>
      <c r="F974">
        <f>IF(B974="","",IFERROR(INDEX(Categories!$B$5:$B$44,MATCH(B974,Categories!$A$5:$A$44,0)),"?"))</f>
        <v/>
      </c>
      <c r="G974">
        <f>IF(A974="","",MONTH(A974))</f>
        <v/>
      </c>
    </row>
    <row r="975">
      <c r="A975" s="25" t="n"/>
      <c r="B975" s="11" t="n"/>
      <c r="C975" s="24" t="n"/>
      <c r="D975" s="11" t="n"/>
      <c r="E975" s="11" t="n"/>
      <c r="F975">
        <f>IF(B975="","",IFERROR(INDEX(Categories!$B$5:$B$44,MATCH(B975,Categories!$A$5:$A$44,0)),"?"))</f>
        <v/>
      </c>
      <c r="G975">
        <f>IF(A975="","",MONTH(A975))</f>
        <v/>
      </c>
    </row>
    <row r="976">
      <c r="A976" s="25" t="n"/>
      <c r="B976" s="11" t="n"/>
      <c r="C976" s="24" t="n"/>
      <c r="D976" s="11" t="n"/>
      <c r="E976" s="11" t="n"/>
      <c r="F976">
        <f>IF(B976="","",IFERROR(INDEX(Categories!$B$5:$B$44,MATCH(B976,Categories!$A$5:$A$44,0)),"?"))</f>
        <v/>
      </c>
      <c r="G976">
        <f>IF(A976="","",MONTH(A976))</f>
        <v/>
      </c>
    </row>
    <row r="977">
      <c r="A977" s="25" t="n"/>
      <c r="B977" s="11" t="n"/>
      <c r="C977" s="24" t="n"/>
      <c r="D977" s="11" t="n"/>
      <c r="E977" s="11" t="n"/>
      <c r="F977">
        <f>IF(B977="","",IFERROR(INDEX(Categories!$B$5:$B$44,MATCH(B977,Categories!$A$5:$A$44,0)),"?"))</f>
        <v/>
      </c>
      <c r="G977">
        <f>IF(A977="","",MONTH(A977))</f>
        <v/>
      </c>
    </row>
    <row r="978">
      <c r="A978" s="25" t="n"/>
      <c r="B978" s="11" t="n"/>
      <c r="C978" s="24" t="n"/>
      <c r="D978" s="11" t="n"/>
      <c r="E978" s="11" t="n"/>
      <c r="F978">
        <f>IF(B978="","",IFERROR(INDEX(Categories!$B$5:$B$44,MATCH(B978,Categories!$A$5:$A$44,0)),"?"))</f>
        <v/>
      </c>
      <c r="G978">
        <f>IF(A978="","",MONTH(A978))</f>
        <v/>
      </c>
    </row>
    <row r="979">
      <c r="A979" s="25" t="n"/>
      <c r="B979" s="11" t="n"/>
      <c r="C979" s="24" t="n"/>
      <c r="D979" s="11" t="n"/>
      <c r="E979" s="11" t="n"/>
      <c r="F979">
        <f>IF(B979="","",IFERROR(INDEX(Categories!$B$5:$B$44,MATCH(B979,Categories!$A$5:$A$44,0)),"?"))</f>
        <v/>
      </c>
      <c r="G979">
        <f>IF(A979="","",MONTH(A979))</f>
        <v/>
      </c>
    </row>
    <row r="980">
      <c r="A980" s="25" t="n"/>
      <c r="B980" s="11" t="n"/>
      <c r="C980" s="24" t="n"/>
      <c r="D980" s="11" t="n"/>
      <c r="E980" s="11" t="n"/>
      <c r="F980">
        <f>IF(B980="","",IFERROR(INDEX(Categories!$B$5:$B$44,MATCH(B980,Categories!$A$5:$A$44,0)),"?"))</f>
        <v/>
      </c>
      <c r="G980">
        <f>IF(A980="","",MONTH(A980))</f>
        <v/>
      </c>
    </row>
    <row r="981">
      <c r="A981" s="25" t="n"/>
      <c r="B981" s="11" t="n"/>
      <c r="C981" s="24" t="n"/>
      <c r="D981" s="11" t="n"/>
      <c r="E981" s="11" t="n"/>
      <c r="F981">
        <f>IF(B981="","",IFERROR(INDEX(Categories!$B$5:$B$44,MATCH(B981,Categories!$A$5:$A$44,0)),"?"))</f>
        <v/>
      </c>
      <c r="G981">
        <f>IF(A981="","",MONTH(A981))</f>
        <v/>
      </c>
    </row>
    <row r="982">
      <c r="A982" s="25" t="n"/>
      <c r="B982" s="11" t="n"/>
      <c r="C982" s="24" t="n"/>
      <c r="D982" s="11" t="n"/>
      <c r="E982" s="11" t="n"/>
      <c r="F982">
        <f>IF(B982="","",IFERROR(INDEX(Categories!$B$5:$B$44,MATCH(B982,Categories!$A$5:$A$44,0)),"?"))</f>
        <v/>
      </c>
      <c r="G982">
        <f>IF(A982="","",MONTH(A982))</f>
        <v/>
      </c>
    </row>
    <row r="983">
      <c r="A983" s="25" t="n"/>
      <c r="B983" s="11" t="n"/>
      <c r="C983" s="24" t="n"/>
      <c r="D983" s="11" t="n"/>
      <c r="E983" s="11" t="n"/>
      <c r="F983">
        <f>IF(B983="","",IFERROR(INDEX(Categories!$B$5:$B$44,MATCH(B983,Categories!$A$5:$A$44,0)),"?"))</f>
        <v/>
      </c>
      <c r="G983">
        <f>IF(A983="","",MONTH(A983))</f>
        <v/>
      </c>
    </row>
    <row r="984">
      <c r="A984" s="25" t="n"/>
      <c r="B984" s="11" t="n"/>
      <c r="C984" s="24" t="n"/>
      <c r="D984" s="11" t="n"/>
      <c r="E984" s="11" t="n"/>
      <c r="F984">
        <f>IF(B984="","",IFERROR(INDEX(Categories!$B$5:$B$44,MATCH(B984,Categories!$A$5:$A$44,0)),"?"))</f>
        <v/>
      </c>
      <c r="G984">
        <f>IF(A984="","",MONTH(A984))</f>
        <v/>
      </c>
    </row>
    <row r="985">
      <c r="A985" s="25" t="n"/>
      <c r="B985" s="11" t="n"/>
      <c r="C985" s="24" t="n"/>
      <c r="D985" s="11" t="n"/>
      <c r="E985" s="11" t="n"/>
      <c r="F985">
        <f>IF(B985="","",IFERROR(INDEX(Categories!$B$5:$B$44,MATCH(B985,Categories!$A$5:$A$44,0)),"?"))</f>
        <v/>
      </c>
      <c r="G985">
        <f>IF(A985="","",MONTH(A985))</f>
        <v/>
      </c>
    </row>
    <row r="986">
      <c r="A986" s="25" t="n"/>
      <c r="B986" s="11" t="n"/>
      <c r="C986" s="24" t="n"/>
      <c r="D986" s="11" t="n"/>
      <c r="E986" s="11" t="n"/>
      <c r="F986">
        <f>IF(B986="","",IFERROR(INDEX(Categories!$B$5:$B$44,MATCH(B986,Categories!$A$5:$A$44,0)),"?"))</f>
        <v/>
      </c>
      <c r="G986">
        <f>IF(A986="","",MONTH(A986))</f>
        <v/>
      </c>
    </row>
    <row r="987">
      <c r="A987" s="25" t="n"/>
      <c r="B987" s="11" t="n"/>
      <c r="C987" s="24" t="n"/>
      <c r="D987" s="11" t="n"/>
      <c r="E987" s="11" t="n"/>
      <c r="F987">
        <f>IF(B987="","",IFERROR(INDEX(Categories!$B$5:$B$44,MATCH(B987,Categories!$A$5:$A$44,0)),"?"))</f>
        <v/>
      </c>
      <c r="G987">
        <f>IF(A987="","",MONTH(A987))</f>
        <v/>
      </c>
    </row>
    <row r="988">
      <c r="A988" s="25" t="n"/>
      <c r="B988" s="11" t="n"/>
      <c r="C988" s="24" t="n"/>
      <c r="D988" s="11" t="n"/>
      <c r="E988" s="11" t="n"/>
      <c r="F988">
        <f>IF(B988="","",IFERROR(INDEX(Categories!$B$5:$B$44,MATCH(B988,Categories!$A$5:$A$44,0)),"?"))</f>
        <v/>
      </c>
      <c r="G988">
        <f>IF(A988="","",MONTH(A988))</f>
        <v/>
      </c>
    </row>
    <row r="989">
      <c r="A989" s="25" t="n"/>
      <c r="B989" s="11" t="n"/>
      <c r="C989" s="24" t="n"/>
      <c r="D989" s="11" t="n"/>
      <c r="E989" s="11" t="n"/>
      <c r="F989">
        <f>IF(B989="","",IFERROR(INDEX(Categories!$B$5:$B$44,MATCH(B989,Categories!$A$5:$A$44,0)),"?"))</f>
        <v/>
      </c>
      <c r="G989">
        <f>IF(A989="","",MONTH(A989))</f>
        <v/>
      </c>
    </row>
    <row r="990">
      <c r="A990" s="25" t="n"/>
      <c r="B990" s="11" t="n"/>
      <c r="C990" s="24" t="n"/>
      <c r="D990" s="11" t="n"/>
      <c r="E990" s="11" t="n"/>
      <c r="F990">
        <f>IF(B990="","",IFERROR(INDEX(Categories!$B$5:$B$44,MATCH(B990,Categories!$A$5:$A$44,0)),"?"))</f>
        <v/>
      </c>
      <c r="G990">
        <f>IF(A990="","",MONTH(A990))</f>
        <v/>
      </c>
    </row>
    <row r="991">
      <c r="A991" s="25" t="n"/>
      <c r="B991" s="11" t="n"/>
      <c r="C991" s="24" t="n"/>
      <c r="D991" s="11" t="n"/>
      <c r="E991" s="11" t="n"/>
      <c r="F991">
        <f>IF(B991="","",IFERROR(INDEX(Categories!$B$5:$B$44,MATCH(B991,Categories!$A$5:$A$44,0)),"?"))</f>
        <v/>
      </c>
      <c r="G991">
        <f>IF(A991="","",MONTH(A991))</f>
        <v/>
      </c>
    </row>
    <row r="992">
      <c r="A992" s="25" t="n"/>
      <c r="B992" s="11" t="n"/>
      <c r="C992" s="24" t="n"/>
      <c r="D992" s="11" t="n"/>
      <c r="E992" s="11" t="n"/>
      <c r="F992">
        <f>IF(B992="","",IFERROR(INDEX(Categories!$B$5:$B$44,MATCH(B992,Categories!$A$5:$A$44,0)),"?"))</f>
        <v/>
      </c>
      <c r="G992">
        <f>IF(A992="","",MONTH(A992))</f>
        <v/>
      </c>
    </row>
    <row r="993">
      <c r="A993" s="25" t="n"/>
      <c r="B993" s="11" t="n"/>
      <c r="C993" s="24" t="n"/>
      <c r="D993" s="11" t="n"/>
      <c r="E993" s="11" t="n"/>
      <c r="F993">
        <f>IF(B993="","",IFERROR(INDEX(Categories!$B$5:$B$44,MATCH(B993,Categories!$A$5:$A$44,0)),"?"))</f>
        <v/>
      </c>
      <c r="G993">
        <f>IF(A993="","",MONTH(A993))</f>
        <v/>
      </c>
    </row>
    <row r="994">
      <c r="A994" s="25" t="n"/>
      <c r="B994" s="11" t="n"/>
      <c r="C994" s="24" t="n"/>
      <c r="D994" s="11" t="n"/>
      <c r="E994" s="11" t="n"/>
      <c r="F994">
        <f>IF(B994="","",IFERROR(INDEX(Categories!$B$5:$B$44,MATCH(B994,Categories!$A$5:$A$44,0)),"?"))</f>
        <v/>
      </c>
      <c r="G994">
        <f>IF(A994="","",MONTH(A994))</f>
        <v/>
      </c>
    </row>
    <row r="995">
      <c r="A995" s="25" t="n"/>
      <c r="B995" s="11" t="n"/>
      <c r="C995" s="24" t="n"/>
      <c r="D995" s="11" t="n"/>
      <c r="E995" s="11" t="n"/>
      <c r="F995">
        <f>IF(B995="","",IFERROR(INDEX(Categories!$B$5:$B$44,MATCH(B995,Categories!$A$5:$A$44,0)),"?"))</f>
        <v/>
      </c>
      <c r="G995">
        <f>IF(A995="","",MONTH(A995))</f>
        <v/>
      </c>
    </row>
    <row r="996">
      <c r="A996" s="25" t="n"/>
      <c r="B996" s="11" t="n"/>
      <c r="C996" s="24" t="n"/>
      <c r="D996" s="11" t="n"/>
      <c r="E996" s="11" t="n"/>
      <c r="F996">
        <f>IF(B996="","",IFERROR(INDEX(Categories!$B$5:$B$44,MATCH(B996,Categories!$A$5:$A$44,0)),"?"))</f>
        <v/>
      </c>
      <c r="G996">
        <f>IF(A996="","",MONTH(A996))</f>
        <v/>
      </c>
    </row>
    <row r="997">
      <c r="A997" s="25" t="n"/>
      <c r="B997" s="11" t="n"/>
      <c r="C997" s="24" t="n"/>
      <c r="D997" s="11" t="n"/>
      <c r="E997" s="11" t="n"/>
      <c r="F997">
        <f>IF(B997="","",IFERROR(INDEX(Categories!$B$5:$B$44,MATCH(B997,Categories!$A$5:$A$44,0)),"?"))</f>
        <v/>
      </c>
      <c r="G997">
        <f>IF(A997="","",MONTH(A997))</f>
        <v/>
      </c>
    </row>
    <row r="998">
      <c r="A998" s="25" t="n"/>
      <c r="B998" s="11" t="n"/>
      <c r="C998" s="24" t="n"/>
      <c r="D998" s="11" t="n"/>
      <c r="E998" s="11" t="n"/>
      <c r="F998">
        <f>IF(B998="","",IFERROR(INDEX(Categories!$B$5:$B$44,MATCH(B998,Categories!$A$5:$A$44,0)),"?"))</f>
        <v/>
      </c>
      <c r="G998">
        <f>IF(A998="","",MONTH(A998))</f>
        <v/>
      </c>
    </row>
    <row r="999">
      <c r="A999" s="25" t="n"/>
      <c r="B999" s="11" t="n"/>
      <c r="C999" s="24" t="n"/>
      <c r="D999" s="11" t="n"/>
      <c r="E999" s="11" t="n"/>
      <c r="F999">
        <f>IF(B999="","",IFERROR(INDEX(Categories!$B$5:$B$44,MATCH(B999,Categories!$A$5:$A$44,0)),"?"))</f>
        <v/>
      </c>
      <c r="G999">
        <f>IF(A999="","",MONTH(A999))</f>
        <v/>
      </c>
    </row>
    <row r="1000">
      <c r="A1000" s="25" t="n"/>
      <c r="B1000" s="11" t="n"/>
      <c r="C1000" s="24" t="n"/>
      <c r="D1000" s="11" t="n"/>
      <c r="E1000" s="11" t="n"/>
      <c r="F1000">
        <f>IF(B1000="","",IFERROR(INDEX(Categories!$B$5:$B$44,MATCH(B1000,Categories!$A$5:$A$44,0)),"?"))</f>
        <v/>
      </c>
      <c r="G1000">
        <f>IF(A1000="","",MONTH(A1000))</f>
        <v/>
      </c>
    </row>
    <row r="1001">
      <c r="A1001" s="25" t="n"/>
      <c r="B1001" s="11" t="n"/>
      <c r="C1001" s="24" t="n"/>
      <c r="D1001" s="11" t="n"/>
      <c r="E1001" s="11" t="n"/>
      <c r="F1001">
        <f>IF(B1001="","",IFERROR(INDEX(Categories!$B$5:$B$44,MATCH(B1001,Categories!$A$5:$A$44,0)),"?"))</f>
        <v/>
      </c>
      <c r="G1001">
        <f>IF(A1001="","",MONTH(A1001))</f>
        <v/>
      </c>
    </row>
    <row r="1002">
      <c r="A1002" s="25" t="n"/>
      <c r="B1002" s="11" t="n"/>
      <c r="C1002" s="24" t="n"/>
      <c r="D1002" s="11" t="n"/>
      <c r="E1002" s="11" t="n"/>
      <c r="F1002">
        <f>IF(B1002="","",IFERROR(INDEX(Categories!$B$5:$B$44,MATCH(B1002,Categories!$A$5:$A$44,0)),"?"))</f>
        <v/>
      </c>
      <c r="G1002">
        <f>IF(A1002="","",MONTH(A1002))</f>
        <v/>
      </c>
    </row>
    <row r="1003">
      <c r="A1003" s="25" t="n"/>
      <c r="B1003" s="11" t="n"/>
      <c r="C1003" s="24" t="n"/>
      <c r="D1003" s="11" t="n"/>
      <c r="E1003" s="11" t="n"/>
      <c r="F1003">
        <f>IF(B1003="","",IFERROR(INDEX(Categories!$B$5:$B$44,MATCH(B1003,Categories!$A$5:$A$44,0)),"?"))</f>
        <v/>
      </c>
      <c r="G1003">
        <f>IF(A1003="","",MONTH(A1003))</f>
        <v/>
      </c>
    </row>
    <row r="1004">
      <c r="A1004" s="25" t="n"/>
      <c r="B1004" s="11" t="n"/>
      <c r="C1004" s="24" t="n"/>
      <c r="D1004" s="11" t="n"/>
      <c r="E1004" s="11" t="n"/>
      <c r="F1004">
        <f>IF(B1004="","",IFERROR(INDEX(Categories!$B$5:$B$44,MATCH(B1004,Categories!$A$5:$A$44,0)),"?"))</f>
        <v/>
      </c>
      <c r="G1004">
        <f>IF(A1004="","",MONTH(A1004))</f>
        <v/>
      </c>
    </row>
    <row r="1005">
      <c r="A1005" s="25" t="n"/>
      <c r="B1005" s="11" t="n"/>
      <c r="C1005" s="24" t="n"/>
      <c r="D1005" s="11" t="n"/>
      <c r="E1005" s="11" t="n"/>
      <c r="F1005">
        <f>IF(B1005="","",IFERROR(INDEX(Categories!$B$5:$B$44,MATCH(B1005,Categories!$A$5:$A$44,0)),"?"))</f>
        <v/>
      </c>
      <c r="G1005">
        <f>IF(A1005="","",MONTH(A1005))</f>
        <v/>
      </c>
    </row>
    <row r="1006">
      <c r="A1006" s="25" t="n"/>
      <c r="B1006" s="11" t="n"/>
      <c r="C1006" s="24" t="n"/>
      <c r="D1006" s="11" t="n"/>
      <c r="E1006" s="11" t="n"/>
      <c r="F1006">
        <f>IF(B1006="","",IFERROR(INDEX(Categories!$B$5:$B$44,MATCH(B1006,Categories!$A$5:$A$44,0)),"?"))</f>
        <v/>
      </c>
      <c r="G1006">
        <f>IF(A1006="","",MONTH(A1006))</f>
        <v/>
      </c>
    </row>
    <row r="1007">
      <c r="A1007" s="25" t="n"/>
      <c r="B1007" s="11" t="n"/>
      <c r="C1007" s="24" t="n"/>
      <c r="D1007" s="11" t="n"/>
      <c r="E1007" s="11" t="n"/>
      <c r="F1007">
        <f>IF(B1007="","",IFERROR(INDEX(Categories!$B$5:$B$44,MATCH(B1007,Categories!$A$5:$A$44,0)),"?"))</f>
        <v/>
      </c>
      <c r="G1007">
        <f>IF(A1007="","",MONTH(A1007))</f>
        <v/>
      </c>
    </row>
    <row r="1008">
      <c r="A1008" s="25" t="n"/>
      <c r="B1008" s="11" t="n"/>
      <c r="C1008" s="24" t="n"/>
      <c r="D1008" s="11" t="n"/>
      <c r="E1008" s="11" t="n"/>
      <c r="F1008">
        <f>IF(B1008="","",IFERROR(INDEX(Categories!$B$5:$B$44,MATCH(B1008,Categories!$A$5:$A$44,0)),"?"))</f>
        <v/>
      </c>
      <c r="G1008">
        <f>IF(A1008="","",MONTH(A1008))</f>
        <v/>
      </c>
    </row>
    <row r="1009">
      <c r="A1009" s="25" t="n"/>
      <c r="B1009" s="11" t="n"/>
      <c r="C1009" s="24" t="n"/>
      <c r="D1009" s="11" t="n"/>
      <c r="E1009" s="11" t="n"/>
      <c r="F1009">
        <f>IF(B1009="","",IFERROR(INDEX(Categories!$B$5:$B$44,MATCH(B1009,Categories!$A$5:$A$44,0)),"?"))</f>
        <v/>
      </c>
      <c r="G1009">
        <f>IF(A1009="","",MONTH(A1009))</f>
        <v/>
      </c>
    </row>
    <row r="1010">
      <c r="A1010" s="25" t="n"/>
      <c r="B1010" s="11" t="n"/>
      <c r="C1010" s="24" t="n"/>
      <c r="D1010" s="11" t="n"/>
      <c r="E1010" s="11" t="n"/>
      <c r="F1010">
        <f>IF(B1010="","",IFERROR(INDEX(Categories!$B$5:$B$44,MATCH(B1010,Categories!$A$5:$A$44,0)),"?"))</f>
        <v/>
      </c>
      <c r="G1010">
        <f>IF(A1010="","",MONTH(A1010))</f>
        <v/>
      </c>
    </row>
    <row r="1011">
      <c r="A1011" s="25" t="n"/>
      <c r="B1011" s="11" t="n"/>
      <c r="C1011" s="24" t="n"/>
      <c r="D1011" s="11" t="n"/>
      <c r="E1011" s="11" t="n"/>
      <c r="F1011">
        <f>IF(B1011="","",IFERROR(INDEX(Categories!$B$5:$B$44,MATCH(B1011,Categories!$A$5:$A$44,0)),"?"))</f>
        <v/>
      </c>
      <c r="G1011">
        <f>IF(A1011="","",MONTH(A1011))</f>
        <v/>
      </c>
    </row>
    <row r="1012">
      <c r="A1012" s="25" t="n"/>
      <c r="B1012" s="11" t="n"/>
      <c r="C1012" s="24" t="n"/>
      <c r="D1012" s="11" t="n"/>
      <c r="E1012" s="11" t="n"/>
      <c r="F1012">
        <f>IF(B1012="","",IFERROR(INDEX(Categories!$B$5:$B$44,MATCH(B1012,Categories!$A$5:$A$44,0)),"?"))</f>
        <v/>
      </c>
      <c r="G1012">
        <f>IF(A1012="","",MONTH(A1012))</f>
        <v/>
      </c>
    </row>
    <row r="1013">
      <c r="A1013" s="25" t="n"/>
      <c r="B1013" s="11" t="n"/>
      <c r="C1013" s="24" t="n"/>
      <c r="D1013" s="11" t="n"/>
      <c r="E1013" s="11" t="n"/>
      <c r="F1013">
        <f>IF(B1013="","",IFERROR(INDEX(Categories!$B$5:$B$44,MATCH(B1013,Categories!$A$5:$A$44,0)),"?"))</f>
        <v/>
      </c>
      <c r="G1013">
        <f>IF(A1013="","",MONTH(A1013))</f>
        <v/>
      </c>
    </row>
    <row r="1014">
      <c r="A1014" s="25" t="n"/>
      <c r="B1014" s="11" t="n"/>
      <c r="C1014" s="24" t="n"/>
      <c r="D1014" s="11" t="n"/>
      <c r="E1014" s="11" t="n"/>
      <c r="F1014">
        <f>IF(B1014="","",IFERROR(INDEX(Categories!$B$5:$B$44,MATCH(B1014,Categories!$A$5:$A$44,0)),"?"))</f>
        <v/>
      </c>
      <c r="G1014">
        <f>IF(A1014="","",MONTH(A1014))</f>
        <v/>
      </c>
    </row>
    <row r="1015">
      <c r="A1015" s="25" t="n"/>
      <c r="B1015" s="11" t="n"/>
      <c r="C1015" s="24" t="n"/>
      <c r="D1015" s="11" t="n"/>
      <c r="E1015" s="11" t="n"/>
      <c r="F1015">
        <f>IF(B1015="","",IFERROR(INDEX(Categories!$B$5:$B$44,MATCH(B1015,Categories!$A$5:$A$44,0)),"?"))</f>
        <v/>
      </c>
      <c r="G1015">
        <f>IF(A1015="","",MONTH(A1015))</f>
        <v/>
      </c>
    </row>
    <row r="1016">
      <c r="A1016" s="25" t="n"/>
      <c r="B1016" s="11" t="n"/>
      <c r="C1016" s="24" t="n"/>
      <c r="D1016" s="11" t="n"/>
      <c r="E1016" s="11" t="n"/>
      <c r="F1016">
        <f>IF(B1016="","",IFERROR(INDEX(Categories!$B$5:$B$44,MATCH(B1016,Categories!$A$5:$A$44,0)),"?"))</f>
        <v/>
      </c>
      <c r="G1016">
        <f>IF(A1016="","",MONTH(A1016))</f>
        <v/>
      </c>
    </row>
    <row r="1017">
      <c r="A1017" s="25" t="n"/>
      <c r="B1017" s="11" t="n"/>
      <c r="C1017" s="24" t="n"/>
      <c r="D1017" s="11" t="n"/>
      <c r="E1017" s="11" t="n"/>
      <c r="F1017">
        <f>IF(B1017="","",IFERROR(INDEX(Categories!$B$5:$B$44,MATCH(B1017,Categories!$A$5:$A$44,0)),"?"))</f>
        <v/>
      </c>
      <c r="G1017">
        <f>IF(A1017="","",MONTH(A1017))</f>
        <v/>
      </c>
    </row>
    <row r="1018">
      <c r="A1018" s="25" t="n"/>
      <c r="B1018" s="11" t="n"/>
      <c r="C1018" s="24" t="n"/>
      <c r="D1018" s="11" t="n"/>
      <c r="E1018" s="11" t="n"/>
      <c r="F1018">
        <f>IF(B1018="","",IFERROR(INDEX(Categories!$B$5:$B$44,MATCH(B1018,Categories!$A$5:$A$44,0)),"?"))</f>
        <v/>
      </c>
      <c r="G1018">
        <f>IF(A1018="","",MONTH(A1018))</f>
        <v/>
      </c>
    </row>
    <row r="1019">
      <c r="A1019" s="25" t="n"/>
      <c r="B1019" s="11" t="n"/>
      <c r="C1019" s="24" t="n"/>
      <c r="D1019" s="11" t="n"/>
      <c r="E1019" s="11" t="n"/>
      <c r="F1019">
        <f>IF(B1019="","",IFERROR(INDEX(Categories!$B$5:$B$44,MATCH(B1019,Categories!$A$5:$A$44,0)),"?"))</f>
        <v/>
      </c>
      <c r="G1019">
        <f>IF(A1019="","",MONTH(A1019))</f>
        <v/>
      </c>
    </row>
    <row r="1020">
      <c r="A1020" s="25" t="n"/>
      <c r="B1020" s="11" t="n"/>
      <c r="C1020" s="24" t="n"/>
      <c r="D1020" s="11" t="n"/>
      <c r="E1020" s="11" t="n"/>
      <c r="F1020">
        <f>IF(B1020="","",IFERROR(INDEX(Categories!$B$5:$B$44,MATCH(B1020,Categories!$A$5:$A$44,0)),"?"))</f>
        <v/>
      </c>
      <c r="G1020">
        <f>IF(A1020="","",MONTH(A1020))</f>
        <v/>
      </c>
    </row>
    <row r="1021">
      <c r="A1021" s="25" t="n"/>
      <c r="B1021" s="11" t="n"/>
      <c r="C1021" s="24" t="n"/>
      <c r="D1021" s="11" t="n"/>
      <c r="E1021" s="11" t="n"/>
      <c r="F1021">
        <f>IF(B1021="","",IFERROR(INDEX(Categories!$B$5:$B$44,MATCH(B1021,Categories!$A$5:$A$44,0)),"?"))</f>
        <v/>
      </c>
      <c r="G1021">
        <f>IF(A1021="","",MONTH(A1021))</f>
        <v/>
      </c>
    </row>
    <row r="1022">
      <c r="A1022" s="25" t="n"/>
      <c r="B1022" s="11" t="n"/>
      <c r="C1022" s="24" t="n"/>
      <c r="D1022" s="11" t="n"/>
      <c r="E1022" s="11" t="n"/>
      <c r="F1022">
        <f>IF(B1022="","",IFERROR(INDEX(Categories!$B$5:$B$44,MATCH(B1022,Categories!$A$5:$A$44,0)),"?"))</f>
        <v/>
      </c>
      <c r="G1022">
        <f>IF(A1022="","",MONTH(A1022))</f>
        <v/>
      </c>
    </row>
    <row r="1023">
      <c r="A1023" s="25" t="n"/>
      <c r="B1023" s="11" t="n"/>
      <c r="C1023" s="24" t="n"/>
      <c r="D1023" s="11" t="n"/>
      <c r="E1023" s="11" t="n"/>
      <c r="F1023">
        <f>IF(B1023="","",IFERROR(INDEX(Categories!$B$5:$B$44,MATCH(B1023,Categories!$A$5:$A$44,0)),"?"))</f>
        <v/>
      </c>
      <c r="G1023">
        <f>IF(A1023="","",MONTH(A1023))</f>
        <v/>
      </c>
    </row>
    <row r="1024">
      <c r="A1024" s="25" t="n"/>
      <c r="B1024" s="11" t="n"/>
      <c r="C1024" s="24" t="n"/>
      <c r="D1024" s="11" t="n"/>
      <c r="E1024" s="11" t="n"/>
      <c r="F1024">
        <f>IF(B1024="","",IFERROR(INDEX(Categories!$B$5:$B$44,MATCH(B1024,Categories!$A$5:$A$44,0)),"?"))</f>
        <v/>
      </c>
      <c r="G1024">
        <f>IF(A1024="","",MONTH(A1024))</f>
        <v/>
      </c>
    </row>
    <row r="1025">
      <c r="A1025" s="25" t="n"/>
      <c r="B1025" s="11" t="n"/>
      <c r="C1025" s="24" t="n"/>
      <c r="D1025" s="11" t="n"/>
      <c r="E1025" s="11" t="n"/>
      <c r="F1025">
        <f>IF(B1025="","",IFERROR(INDEX(Categories!$B$5:$B$44,MATCH(B1025,Categories!$A$5:$A$44,0)),"?"))</f>
        <v/>
      </c>
      <c r="G1025">
        <f>IF(A1025="","",MONTH(A1025))</f>
        <v/>
      </c>
    </row>
    <row r="1026">
      <c r="A1026" s="25" t="n"/>
      <c r="B1026" s="11" t="n"/>
      <c r="C1026" s="24" t="n"/>
      <c r="D1026" s="11" t="n"/>
      <c r="E1026" s="11" t="n"/>
      <c r="F1026">
        <f>IF(B1026="","",IFERROR(INDEX(Categories!$B$5:$B$44,MATCH(B1026,Categories!$A$5:$A$44,0)),"?"))</f>
        <v/>
      </c>
      <c r="G1026">
        <f>IF(A1026="","",MONTH(A1026))</f>
        <v/>
      </c>
    </row>
    <row r="1027">
      <c r="A1027" s="25" t="n"/>
      <c r="B1027" s="11" t="n"/>
      <c r="C1027" s="24" t="n"/>
      <c r="D1027" s="11" t="n"/>
      <c r="E1027" s="11" t="n"/>
      <c r="F1027">
        <f>IF(B1027="","",IFERROR(INDEX(Categories!$B$5:$B$44,MATCH(B1027,Categories!$A$5:$A$44,0)),"?"))</f>
        <v/>
      </c>
      <c r="G1027">
        <f>IF(A1027="","",MONTH(A1027))</f>
        <v/>
      </c>
    </row>
    <row r="1028">
      <c r="A1028" s="25" t="n"/>
      <c r="B1028" s="11" t="n"/>
      <c r="C1028" s="24" t="n"/>
      <c r="D1028" s="11" t="n"/>
      <c r="E1028" s="11" t="n"/>
      <c r="F1028">
        <f>IF(B1028="","",IFERROR(INDEX(Categories!$B$5:$B$44,MATCH(B1028,Categories!$A$5:$A$44,0)),"?"))</f>
        <v/>
      </c>
      <c r="G1028">
        <f>IF(A1028="","",MONTH(A1028))</f>
        <v/>
      </c>
    </row>
    <row r="1029">
      <c r="A1029" s="25" t="n"/>
      <c r="B1029" s="11" t="n"/>
      <c r="C1029" s="24" t="n"/>
      <c r="D1029" s="11" t="n"/>
      <c r="E1029" s="11" t="n"/>
      <c r="F1029">
        <f>IF(B1029="","",IFERROR(INDEX(Categories!$B$5:$B$44,MATCH(B1029,Categories!$A$5:$A$44,0)),"?"))</f>
        <v/>
      </c>
      <c r="G1029">
        <f>IF(A1029="","",MONTH(A1029))</f>
        <v/>
      </c>
    </row>
    <row r="1030">
      <c r="A1030" s="25" t="n"/>
      <c r="B1030" s="11" t="n"/>
      <c r="C1030" s="24" t="n"/>
      <c r="D1030" s="11" t="n"/>
      <c r="E1030" s="11" t="n"/>
      <c r="F1030">
        <f>IF(B1030="","",IFERROR(INDEX(Categories!$B$5:$B$44,MATCH(B1030,Categories!$A$5:$A$44,0)),"?"))</f>
        <v/>
      </c>
      <c r="G1030">
        <f>IF(A1030="","",MONTH(A1030))</f>
        <v/>
      </c>
    </row>
    <row r="1031">
      <c r="A1031" s="25" t="n"/>
      <c r="B1031" s="11" t="n"/>
      <c r="C1031" s="24" t="n"/>
      <c r="D1031" s="11" t="n"/>
      <c r="E1031" s="11" t="n"/>
      <c r="F1031">
        <f>IF(B1031="","",IFERROR(INDEX(Categories!$B$5:$B$44,MATCH(B1031,Categories!$A$5:$A$44,0)),"?"))</f>
        <v/>
      </c>
      <c r="G1031">
        <f>IF(A1031="","",MONTH(A1031))</f>
        <v/>
      </c>
    </row>
    <row r="1032">
      <c r="A1032" s="25" t="n"/>
      <c r="B1032" s="11" t="n"/>
      <c r="C1032" s="24" t="n"/>
      <c r="D1032" s="11" t="n"/>
      <c r="E1032" s="11" t="n"/>
      <c r="F1032">
        <f>IF(B1032="","",IFERROR(INDEX(Categories!$B$5:$B$44,MATCH(B1032,Categories!$A$5:$A$44,0)),"?"))</f>
        <v/>
      </c>
      <c r="G1032">
        <f>IF(A1032="","",MONTH(A1032))</f>
        <v/>
      </c>
    </row>
    <row r="1033">
      <c r="A1033" s="25" t="n"/>
      <c r="B1033" s="11" t="n"/>
      <c r="C1033" s="24" t="n"/>
      <c r="D1033" s="11" t="n"/>
      <c r="E1033" s="11" t="n"/>
      <c r="F1033">
        <f>IF(B1033="","",IFERROR(INDEX(Categories!$B$5:$B$44,MATCH(B1033,Categories!$A$5:$A$44,0)),"?"))</f>
        <v/>
      </c>
      <c r="G1033">
        <f>IF(A1033="","",MONTH(A1033))</f>
        <v/>
      </c>
    </row>
    <row r="1034">
      <c r="A1034" s="25" t="n"/>
      <c r="B1034" s="11" t="n"/>
      <c r="C1034" s="24" t="n"/>
      <c r="D1034" s="11" t="n"/>
      <c r="E1034" s="11" t="n"/>
      <c r="F1034">
        <f>IF(B1034="","",IFERROR(INDEX(Categories!$B$5:$B$44,MATCH(B1034,Categories!$A$5:$A$44,0)),"?"))</f>
        <v/>
      </c>
      <c r="G1034">
        <f>IF(A1034="","",MONTH(A1034))</f>
        <v/>
      </c>
    </row>
    <row r="1035">
      <c r="A1035" s="25" t="n"/>
      <c r="B1035" s="11" t="n"/>
      <c r="C1035" s="24" t="n"/>
      <c r="D1035" s="11" t="n"/>
      <c r="E1035" s="11" t="n"/>
      <c r="F1035">
        <f>IF(B1035="","",IFERROR(INDEX(Categories!$B$5:$B$44,MATCH(B1035,Categories!$A$5:$A$44,0)),"?"))</f>
        <v/>
      </c>
      <c r="G1035">
        <f>IF(A1035="","",MONTH(A1035))</f>
        <v/>
      </c>
    </row>
    <row r="1036">
      <c r="A1036" s="25" t="n"/>
      <c r="B1036" s="11" t="n"/>
      <c r="C1036" s="24" t="n"/>
      <c r="D1036" s="11" t="n"/>
      <c r="E1036" s="11" t="n"/>
      <c r="F1036">
        <f>IF(B1036="","",IFERROR(INDEX(Categories!$B$5:$B$44,MATCH(B1036,Categories!$A$5:$A$44,0)),"?"))</f>
        <v/>
      </c>
      <c r="G1036">
        <f>IF(A1036="","",MONTH(A1036))</f>
        <v/>
      </c>
    </row>
    <row r="1037">
      <c r="A1037" s="25" t="n"/>
      <c r="B1037" s="11" t="n"/>
      <c r="C1037" s="24" t="n"/>
      <c r="D1037" s="11" t="n"/>
      <c r="E1037" s="11" t="n"/>
      <c r="F1037">
        <f>IF(B1037="","",IFERROR(INDEX(Categories!$B$5:$B$44,MATCH(B1037,Categories!$A$5:$A$44,0)),"?"))</f>
        <v/>
      </c>
      <c r="G1037">
        <f>IF(A1037="","",MONTH(A1037))</f>
        <v/>
      </c>
    </row>
    <row r="1038">
      <c r="A1038" s="25" t="n"/>
      <c r="B1038" s="11" t="n"/>
      <c r="C1038" s="24" t="n"/>
      <c r="D1038" s="11" t="n"/>
      <c r="E1038" s="11" t="n"/>
      <c r="F1038">
        <f>IF(B1038="","",IFERROR(INDEX(Categories!$B$5:$B$44,MATCH(B1038,Categories!$A$5:$A$44,0)),"?"))</f>
        <v/>
      </c>
      <c r="G1038">
        <f>IF(A1038="","",MONTH(A1038))</f>
        <v/>
      </c>
    </row>
    <row r="1039">
      <c r="A1039" s="25" t="n"/>
      <c r="B1039" s="11" t="n"/>
      <c r="C1039" s="24" t="n"/>
      <c r="D1039" s="11" t="n"/>
      <c r="E1039" s="11" t="n"/>
      <c r="F1039">
        <f>IF(B1039="","",IFERROR(INDEX(Categories!$B$5:$B$44,MATCH(B1039,Categories!$A$5:$A$44,0)),"?"))</f>
        <v/>
      </c>
      <c r="G1039">
        <f>IF(A1039="","",MONTH(A1039))</f>
        <v/>
      </c>
    </row>
    <row r="1040">
      <c r="A1040" s="25" t="n"/>
      <c r="B1040" s="11" t="n"/>
      <c r="C1040" s="24" t="n"/>
      <c r="D1040" s="11" t="n"/>
      <c r="E1040" s="11" t="n"/>
      <c r="F1040">
        <f>IF(B1040="","",IFERROR(INDEX(Categories!$B$5:$B$44,MATCH(B1040,Categories!$A$5:$A$44,0)),"?"))</f>
        <v/>
      </c>
      <c r="G1040">
        <f>IF(A1040="","",MONTH(A1040))</f>
        <v/>
      </c>
    </row>
    <row r="1041">
      <c r="A1041" s="25" t="n"/>
      <c r="B1041" s="11" t="n"/>
      <c r="C1041" s="24" t="n"/>
      <c r="D1041" s="11" t="n"/>
      <c r="E1041" s="11" t="n"/>
      <c r="F1041">
        <f>IF(B1041="","",IFERROR(INDEX(Categories!$B$5:$B$44,MATCH(B1041,Categories!$A$5:$A$44,0)),"?"))</f>
        <v/>
      </c>
      <c r="G1041">
        <f>IF(A1041="","",MONTH(A1041))</f>
        <v/>
      </c>
    </row>
    <row r="1042">
      <c r="A1042" s="25" t="n"/>
      <c r="B1042" s="11" t="n"/>
      <c r="C1042" s="24" t="n"/>
      <c r="D1042" s="11" t="n"/>
      <c r="E1042" s="11" t="n"/>
      <c r="F1042">
        <f>IF(B1042="","",IFERROR(INDEX(Categories!$B$5:$B$44,MATCH(B1042,Categories!$A$5:$A$44,0)),"?"))</f>
        <v/>
      </c>
      <c r="G1042">
        <f>IF(A1042="","",MONTH(A1042))</f>
        <v/>
      </c>
    </row>
    <row r="1043">
      <c r="A1043" s="25" t="n"/>
      <c r="B1043" s="11" t="n"/>
      <c r="C1043" s="24" t="n"/>
      <c r="D1043" s="11" t="n"/>
      <c r="E1043" s="11" t="n"/>
      <c r="F1043">
        <f>IF(B1043="","",IFERROR(INDEX(Categories!$B$5:$B$44,MATCH(B1043,Categories!$A$5:$A$44,0)),"?"))</f>
        <v/>
      </c>
      <c r="G1043">
        <f>IF(A1043="","",MONTH(A1043))</f>
        <v/>
      </c>
    </row>
    <row r="1044">
      <c r="A1044" s="25" t="n"/>
      <c r="B1044" s="11" t="n"/>
      <c r="C1044" s="24" t="n"/>
      <c r="D1044" s="11" t="n"/>
      <c r="E1044" s="11" t="n"/>
      <c r="F1044">
        <f>IF(B1044="","",IFERROR(INDEX(Categories!$B$5:$B$44,MATCH(B1044,Categories!$A$5:$A$44,0)),"?"))</f>
        <v/>
      </c>
      <c r="G1044">
        <f>IF(A1044="","",MONTH(A1044))</f>
        <v/>
      </c>
    </row>
    <row r="1045">
      <c r="A1045" s="25" t="n"/>
      <c r="B1045" s="11" t="n"/>
      <c r="C1045" s="24" t="n"/>
      <c r="D1045" s="11" t="n"/>
      <c r="E1045" s="11" t="n"/>
      <c r="F1045">
        <f>IF(B1045="","",IFERROR(INDEX(Categories!$B$5:$B$44,MATCH(B1045,Categories!$A$5:$A$44,0)),"?"))</f>
        <v/>
      </c>
      <c r="G1045">
        <f>IF(A1045="","",MONTH(A1045))</f>
        <v/>
      </c>
    </row>
    <row r="1046">
      <c r="A1046" s="25" t="n"/>
      <c r="B1046" s="11" t="n"/>
      <c r="C1046" s="24" t="n"/>
      <c r="D1046" s="11" t="n"/>
      <c r="E1046" s="11" t="n"/>
      <c r="F1046">
        <f>IF(B1046="","",IFERROR(INDEX(Categories!$B$5:$B$44,MATCH(B1046,Categories!$A$5:$A$44,0)),"?"))</f>
        <v/>
      </c>
      <c r="G1046">
        <f>IF(A1046="","",MONTH(A1046))</f>
        <v/>
      </c>
    </row>
    <row r="1047">
      <c r="A1047" s="25" t="n"/>
      <c r="B1047" s="11" t="n"/>
      <c r="C1047" s="24" t="n"/>
      <c r="D1047" s="11" t="n"/>
      <c r="E1047" s="11" t="n"/>
      <c r="F1047">
        <f>IF(B1047="","",IFERROR(INDEX(Categories!$B$5:$B$44,MATCH(B1047,Categories!$A$5:$A$44,0)),"?"))</f>
        <v/>
      </c>
      <c r="G1047">
        <f>IF(A1047="","",MONTH(A1047))</f>
        <v/>
      </c>
    </row>
    <row r="1048">
      <c r="A1048" s="25" t="n"/>
      <c r="B1048" s="11" t="n"/>
      <c r="C1048" s="24" t="n"/>
      <c r="D1048" s="11" t="n"/>
      <c r="E1048" s="11" t="n"/>
      <c r="F1048">
        <f>IF(B1048="","",IFERROR(INDEX(Categories!$B$5:$B$44,MATCH(B1048,Categories!$A$5:$A$44,0)),"?"))</f>
        <v/>
      </c>
      <c r="G1048">
        <f>IF(A1048="","",MONTH(A1048))</f>
        <v/>
      </c>
    </row>
    <row r="1049">
      <c r="A1049" s="25" t="n"/>
      <c r="B1049" s="11" t="n"/>
      <c r="C1049" s="24" t="n"/>
      <c r="D1049" s="11" t="n"/>
      <c r="E1049" s="11" t="n"/>
      <c r="F1049">
        <f>IF(B1049="","",IFERROR(INDEX(Categories!$B$5:$B$44,MATCH(B1049,Categories!$A$5:$A$44,0)),"?"))</f>
        <v/>
      </c>
      <c r="G1049">
        <f>IF(A1049="","",MONTH(A1049))</f>
        <v/>
      </c>
    </row>
    <row r="1050">
      <c r="A1050" s="25" t="n"/>
      <c r="B1050" s="11" t="n"/>
      <c r="C1050" s="24" t="n"/>
      <c r="D1050" s="11" t="n"/>
      <c r="E1050" s="11" t="n"/>
      <c r="F1050">
        <f>IF(B1050="","",IFERROR(INDEX(Categories!$B$5:$B$44,MATCH(B1050,Categories!$A$5:$A$44,0)),"?"))</f>
        <v/>
      </c>
      <c r="G1050">
        <f>IF(A1050="","",MONTH(A1050))</f>
        <v/>
      </c>
    </row>
    <row r="1051">
      <c r="A1051" s="25" t="n"/>
      <c r="B1051" s="11" t="n"/>
      <c r="C1051" s="24" t="n"/>
      <c r="D1051" s="11" t="n"/>
      <c r="E1051" s="11" t="n"/>
      <c r="F1051">
        <f>IF(B1051="","",IFERROR(INDEX(Categories!$B$5:$B$44,MATCH(B1051,Categories!$A$5:$A$44,0)),"?"))</f>
        <v/>
      </c>
      <c r="G1051">
        <f>IF(A1051="","",MONTH(A1051))</f>
        <v/>
      </c>
    </row>
    <row r="1052">
      <c r="A1052" s="25" t="n"/>
      <c r="B1052" s="11" t="n"/>
      <c r="C1052" s="24" t="n"/>
      <c r="D1052" s="11" t="n"/>
      <c r="E1052" s="11" t="n"/>
      <c r="F1052">
        <f>IF(B1052="","",IFERROR(INDEX(Categories!$B$5:$B$44,MATCH(B1052,Categories!$A$5:$A$44,0)),"?"))</f>
        <v/>
      </c>
      <c r="G1052">
        <f>IF(A1052="","",MONTH(A1052))</f>
        <v/>
      </c>
    </row>
    <row r="1053">
      <c r="A1053" s="25" t="n"/>
      <c r="B1053" s="11" t="n"/>
      <c r="C1053" s="24" t="n"/>
      <c r="D1053" s="11" t="n"/>
      <c r="E1053" s="11" t="n"/>
      <c r="F1053">
        <f>IF(B1053="","",IFERROR(INDEX(Categories!$B$5:$B$44,MATCH(B1053,Categories!$A$5:$A$44,0)),"?"))</f>
        <v/>
      </c>
      <c r="G1053">
        <f>IF(A1053="","",MONTH(A1053))</f>
        <v/>
      </c>
    </row>
    <row r="1054">
      <c r="A1054" s="25" t="n"/>
      <c r="B1054" s="11" t="n"/>
      <c r="C1054" s="24" t="n"/>
      <c r="D1054" s="11" t="n"/>
      <c r="E1054" s="11" t="n"/>
      <c r="F1054">
        <f>IF(B1054="","",IFERROR(INDEX(Categories!$B$5:$B$44,MATCH(B1054,Categories!$A$5:$A$44,0)),"?"))</f>
        <v/>
      </c>
      <c r="G1054">
        <f>IF(A1054="","",MONTH(A1054))</f>
        <v/>
      </c>
    </row>
    <row r="1055">
      <c r="A1055" s="25" t="n"/>
      <c r="B1055" s="11" t="n"/>
      <c r="C1055" s="24" t="n"/>
      <c r="D1055" s="11" t="n"/>
      <c r="E1055" s="11" t="n"/>
      <c r="F1055">
        <f>IF(B1055="","",IFERROR(INDEX(Categories!$B$5:$B$44,MATCH(B1055,Categories!$A$5:$A$44,0)),"?"))</f>
        <v/>
      </c>
      <c r="G1055">
        <f>IF(A1055="","",MONTH(A1055))</f>
        <v/>
      </c>
    </row>
    <row r="1056">
      <c r="A1056" s="25" t="n"/>
      <c r="B1056" s="11" t="n"/>
      <c r="C1056" s="24" t="n"/>
      <c r="D1056" s="11" t="n"/>
      <c r="E1056" s="11" t="n"/>
      <c r="F1056">
        <f>IF(B1056="","",IFERROR(INDEX(Categories!$B$5:$B$44,MATCH(B1056,Categories!$A$5:$A$44,0)),"?"))</f>
        <v/>
      </c>
      <c r="G1056">
        <f>IF(A1056="","",MONTH(A1056))</f>
        <v/>
      </c>
    </row>
    <row r="1057">
      <c r="A1057" s="25" t="n"/>
      <c r="B1057" s="11" t="n"/>
      <c r="C1057" s="24" t="n"/>
      <c r="D1057" s="11" t="n"/>
      <c r="E1057" s="11" t="n"/>
      <c r="F1057">
        <f>IF(B1057="","",IFERROR(INDEX(Categories!$B$5:$B$44,MATCH(B1057,Categories!$A$5:$A$44,0)),"?"))</f>
        <v/>
      </c>
      <c r="G1057">
        <f>IF(A1057="","",MONTH(A1057))</f>
        <v/>
      </c>
    </row>
    <row r="1058">
      <c r="A1058" s="25" t="n"/>
      <c r="B1058" s="11" t="n"/>
      <c r="C1058" s="24" t="n"/>
      <c r="D1058" s="11" t="n"/>
      <c r="E1058" s="11" t="n"/>
      <c r="F1058">
        <f>IF(B1058="","",IFERROR(INDEX(Categories!$B$5:$B$44,MATCH(B1058,Categories!$A$5:$A$44,0)),"?"))</f>
        <v/>
      </c>
      <c r="G1058">
        <f>IF(A1058="","",MONTH(A1058))</f>
        <v/>
      </c>
    </row>
    <row r="1059">
      <c r="A1059" s="25" t="n"/>
      <c r="B1059" s="11" t="n"/>
      <c r="C1059" s="24" t="n"/>
      <c r="D1059" s="11" t="n"/>
      <c r="E1059" s="11" t="n"/>
      <c r="F1059">
        <f>IF(B1059="","",IFERROR(INDEX(Categories!$B$5:$B$44,MATCH(B1059,Categories!$A$5:$A$44,0)),"?"))</f>
        <v/>
      </c>
      <c r="G1059">
        <f>IF(A1059="","",MONTH(A1059))</f>
        <v/>
      </c>
    </row>
    <row r="1060">
      <c r="A1060" s="25" t="n"/>
      <c r="B1060" s="11" t="n"/>
      <c r="C1060" s="24" t="n"/>
      <c r="D1060" s="11" t="n"/>
      <c r="E1060" s="11" t="n"/>
      <c r="F1060">
        <f>IF(B1060="","",IFERROR(INDEX(Categories!$B$5:$B$44,MATCH(B1060,Categories!$A$5:$A$44,0)),"?"))</f>
        <v/>
      </c>
      <c r="G1060">
        <f>IF(A1060="","",MONTH(A1060))</f>
        <v/>
      </c>
    </row>
    <row r="1061">
      <c r="A1061" s="25" t="n"/>
      <c r="B1061" s="11" t="n"/>
      <c r="C1061" s="24" t="n"/>
      <c r="D1061" s="11" t="n"/>
      <c r="E1061" s="11" t="n"/>
      <c r="F1061">
        <f>IF(B1061="","",IFERROR(INDEX(Categories!$B$5:$B$44,MATCH(B1061,Categories!$A$5:$A$44,0)),"?"))</f>
        <v/>
      </c>
      <c r="G1061">
        <f>IF(A1061="","",MONTH(A1061))</f>
        <v/>
      </c>
    </row>
    <row r="1062">
      <c r="A1062" s="25" t="n"/>
      <c r="B1062" s="11" t="n"/>
      <c r="C1062" s="24" t="n"/>
      <c r="D1062" s="11" t="n"/>
      <c r="E1062" s="11" t="n"/>
      <c r="F1062">
        <f>IF(B1062="","",IFERROR(INDEX(Categories!$B$5:$B$44,MATCH(B1062,Categories!$A$5:$A$44,0)),"?"))</f>
        <v/>
      </c>
      <c r="G1062">
        <f>IF(A1062="","",MONTH(A1062))</f>
        <v/>
      </c>
    </row>
    <row r="1063">
      <c r="A1063" s="25" t="n"/>
      <c r="B1063" s="11" t="n"/>
      <c r="C1063" s="24" t="n"/>
      <c r="D1063" s="11" t="n"/>
      <c r="E1063" s="11" t="n"/>
      <c r="F1063">
        <f>IF(B1063="","",IFERROR(INDEX(Categories!$B$5:$B$44,MATCH(B1063,Categories!$A$5:$A$44,0)),"?"))</f>
        <v/>
      </c>
      <c r="G1063">
        <f>IF(A1063="","",MONTH(A1063))</f>
        <v/>
      </c>
    </row>
    <row r="1064">
      <c r="A1064" s="25" t="n"/>
      <c r="B1064" s="11" t="n"/>
      <c r="C1064" s="24" t="n"/>
      <c r="D1064" s="11" t="n"/>
      <c r="E1064" s="11" t="n"/>
      <c r="F1064">
        <f>IF(B1064="","",IFERROR(INDEX(Categories!$B$5:$B$44,MATCH(B1064,Categories!$A$5:$A$44,0)),"?"))</f>
        <v/>
      </c>
      <c r="G1064">
        <f>IF(A1064="","",MONTH(A1064))</f>
        <v/>
      </c>
    </row>
    <row r="1065">
      <c r="A1065" s="25" t="n"/>
      <c r="B1065" s="11" t="n"/>
      <c r="C1065" s="24" t="n"/>
      <c r="D1065" s="11" t="n"/>
      <c r="E1065" s="11" t="n"/>
      <c r="F1065">
        <f>IF(B1065="","",IFERROR(INDEX(Categories!$B$5:$B$44,MATCH(B1065,Categories!$A$5:$A$44,0)),"?"))</f>
        <v/>
      </c>
      <c r="G1065">
        <f>IF(A1065="","",MONTH(A1065))</f>
        <v/>
      </c>
    </row>
    <row r="1066">
      <c r="A1066" s="25" t="n"/>
      <c r="B1066" s="11" t="n"/>
      <c r="C1066" s="24" t="n"/>
      <c r="D1066" s="11" t="n"/>
      <c r="E1066" s="11" t="n"/>
      <c r="F1066">
        <f>IF(B1066="","",IFERROR(INDEX(Categories!$B$5:$B$44,MATCH(B1066,Categories!$A$5:$A$44,0)),"?"))</f>
        <v/>
      </c>
      <c r="G1066">
        <f>IF(A1066="","",MONTH(A1066))</f>
        <v/>
      </c>
    </row>
    <row r="1067">
      <c r="A1067" s="25" t="n"/>
      <c r="B1067" s="11" t="n"/>
      <c r="C1067" s="24" t="n"/>
      <c r="D1067" s="11" t="n"/>
      <c r="E1067" s="11" t="n"/>
      <c r="F1067">
        <f>IF(B1067="","",IFERROR(INDEX(Categories!$B$5:$B$44,MATCH(B1067,Categories!$A$5:$A$44,0)),"?"))</f>
        <v/>
      </c>
      <c r="G1067">
        <f>IF(A1067="","",MONTH(A1067))</f>
        <v/>
      </c>
    </row>
    <row r="1068">
      <c r="A1068" s="25" t="n"/>
      <c r="B1068" s="11" t="n"/>
      <c r="C1068" s="24" t="n"/>
      <c r="D1068" s="11" t="n"/>
      <c r="E1068" s="11" t="n"/>
      <c r="F1068">
        <f>IF(B1068="","",IFERROR(INDEX(Categories!$B$5:$B$44,MATCH(B1068,Categories!$A$5:$A$44,0)),"?"))</f>
        <v/>
      </c>
      <c r="G1068">
        <f>IF(A1068="","",MONTH(A1068))</f>
        <v/>
      </c>
    </row>
    <row r="1069">
      <c r="A1069" s="25" t="n"/>
      <c r="B1069" s="11" t="n"/>
      <c r="C1069" s="24" t="n"/>
      <c r="D1069" s="11" t="n"/>
      <c r="E1069" s="11" t="n"/>
      <c r="F1069">
        <f>IF(B1069="","",IFERROR(INDEX(Categories!$B$5:$B$44,MATCH(B1069,Categories!$A$5:$A$44,0)),"?"))</f>
        <v/>
      </c>
      <c r="G1069">
        <f>IF(A1069="","",MONTH(A1069))</f>
        <v/>
      </c>
    </row>
    <row r="1070">
      <c r="A1070" s="25" t="n"/>
      <c r="B1070" s="11" t="n"/>
      <c r="C1070" s="24" t="n"/>
      <c r="D1070" s="11" t="n"/>
      <c r="E1070" s="11" t="n"/>
      <c r="F1070">
        <f>IF(B1070="","",IFERROR(INDEX(Categories!$B$5:$B$44,MATCH(B1070,Categories!$A$5:$A$44,0)),"?"))</f>
        <v/>
      </c>
      <c r="G1070">
        <f>IF(A1070="","",MONTH(A1070))</f>
        <v/>
      </c>
    </row>
    <row r="1071">
      <c r="A1071" s="25" t="n"/>
      <c r="B1071" s="11" t="n"/>
      <c r="C1071" s="24" t="n"/>
      <c r="D1071" s="11" t="n"/>
      <c r="E1071" s="11" t="n"/>
      <c r="F1071">
        <f>IF(B1071="","",IFERROR(INDEX(Categories!$B$5:$B$44,MATCH(B1071,Categories!$A$5:$A$44,0)),"?"))</f>
        <v/>
      </c>
      <c r="G1071">
        <f>IF(A1071="","",MONTH(A1071))</f>
        <v/>
      </c>
    </row>
    <row r="1072">
      <c r="A1072" s="25" t="n"/>
      <c r="B1072" s="11" t="n"/>
      <c r="C1072" s="24" t="n"/>
      <c r="D1072" s="11" t="n"/>
      <c r="E1072" s="11" t="n"/>
      <c r="F1072">
        <f>IF(B1072="","",IFERROR(INDEX(Categories!$B$5:$B$44,MATCH(B1072,Categories!$A$5:$A$44,0)),"?"))</f>
        <v/>
      </c>
      <c r="G1072">
        <f>IF(A1072="","",MONTH(A1072))</f>
        <v/>
      </c>
    </row>
    <row r="1073">
      <c r="A1073" s="25" t="n"/>
      <c r="B1073" s="11" t="n"/>
      <c r="C1073" s="24" t="n"/>
      <c r="D1073" s="11" t="n"/>
      <c r="E1073" s="11" t="n"/>
      <c r="F1073">
        <f>IF(B1073="","",IFERROR(INDEX(Categories!$B$5:$B$44,MATCH(B1073,Categories!$A$5:$A$44,0)),"?"))</f>
        <v/>
      </c>
      <c r="G1073">
        <f>IF(A1073="","",MONTH(A1073))</f>
        <v/>
      </c>
    </row>
    <row r="1074">
      <c r="A1074" s="25" t="n"/>
      <c r="B1074" s="11" t="n"/>
      <c r="C1074" s="24" t="n"/>
      <c r="D1074" s="11" t="n"/>
      <c r="E1074" s="11" t="n"/>
      <c r="F1074">
        <f>IF(B1074="","",IFERROR(INDEX(Categories!$B$5:$B$44,MATCH(B1074,Categories!$A$5:$A$44,0)),"?"))</f>
        <v/>
      </c>
      <c r="G1074">
        <f>IF(A1074="","",MONTH(A1074))</f>
        <v/>
      </c>
    </row>
    <row r="1075">
      <c r="A1075" s="25" t="n"/>
      <c r="B1075" s="11" t="n"/>
      <c r="C1075" s="24" t="n"/>
      <c r="D1075" s="11" t="n"/>
      <c r="E1075" s="11" t="n"/>
      <c r="F1075">
        <f>IF(B1075="","",IFERROR(INDEX(Categories!$B$5:$B$44,MATCH(B1075,Categories!$A$5:$A$44,0)),"?"))</f>
        <v/>
      </c>
      <c r="G1075">
        <f>IF(A1075="","",MONTH(A1075))</f>
        <v/>
      </c>
    </row>
    <row r="1076">
      <c r="A1076" s="25" t="n"/>
      <c r="B1076" s="11" t="n"/>
      <c r="C1076" s="24" t="n"/>
      <c r="D1076" s="11" t="n"/>
      <c r="E1076" s="11" t="n"/>
      <c r="F1076">
        <f>IF(B1076="","",IFERROR(INDEX(Categories!$B$5:$B$44,MATCH(B1076,Categories!$A$5:$A$44,0)),"?"))</f>
        <v/>
      </c>
      <c r="G1076">
        <f>IF(A1076="","",MONTH(A1076))</f>
        <v/>
      </c>
    </row>
    <row r="1077">
      <c r="A1077" s="25" t="n"/>
      <c r="B1077" s="11" t="n"/>
      <c r="C1077" s="24" t="n"/>
      <c r="D1077" s="11" t="n"/>
      <c r="E1077" s="11" t="n"/>
      <c r="F1077">
        <f>IF(B1077="","",IFERROR(INDEX(Categories!$B$5:$B$44,MATCH(B1077,Categories!$A$5:$A$44,0)),"?"))</f>
        <v/>
      </c>
      <c r="G1077">
        <f>IF(A1077="","",MONTH(A1077))</f>
        <v/>
      </c>
    </row>
    <row r="1078">
      <c r="A1078" s="25" t="n"/>
      <c r="B1078" s="11" t="n"/>
      <c r="C1078" s="24" t="n"/>
      <c r="D1078" s="11" t="n"/>
      <c r="E1078" s="11" t="n"/>
      <c r="F1078">
        <f>IF(B1078="","",IFERROR(INDEX(Categories!$B$5:$B$44,MATCH(B1078,Categories!$A$5:$A$44,0)),"?"))</f>
        <v/>
      </c>
      <c r="G1078">
        <f>IF(A1078="","",MONTH(A1078))</f>
        <v/>
      </c>
    </row>
    <row r="1079">
      <c r="A1079" s="25" t="n"/>
      <c r="B1079" s="11" t="n"/>
      <c r="C1079" s="24" t="n"/>
      <c r="D1079" s="11" t="n"/>
      <c r="E1079" s="11" t="n"/>
      <c r="F1079">
        <f>IF(B1079="","",IFERROR(INDEX(Categories!$B$5:$B$44,MATCH(B1079,Categories!$A$5:$A$44,0)),"?"))</f>
        <v/>
      </c>
      <c r="G1079">
        <f>IF(A1079="","",MONTH(A1079))</f>
        <v/>
      </c>
    </row>
    <row r="1080">
      <c r="A1080" s="25" t="n"/>
      <c r="B1080" s="11" t="n"/>
      <c r="C1080" s="24" t="n"/>
      <c r="D1080" s="11" t="n"/>
      <c r="E1080" s="11" t="n"/>
      <c r="F1080">
        <f>IF(B1080="","",IFERROR(INDEX(Categories!$B$5:$B$44,MATCH(B1080,Categories!$A$5:$A$44,0)),"?"))</f>
        <v/>
      </c>
      <c r="G1080">
        <f>IF(A1080="","",MONTH(A1080))</f>
        <v/>
      </c>
    </row>
    <row r="1081">
      <c r="A1081" s="25" t="n"/>
      <c r="B1081" s="11" t="n"/>
      <c r="C1081" s="24" t="n"/>
      <c r="D1081" s="11" t="n"/>
      <c r="E1081" s="11" t="n"/>
      <c r="F1081">
        <f>IF(B1081="","",IFERROR(INDEX(Categories!$B$5:$B$44,MATCH(B1081,Categories!$A$5:$A$44,0)),"?"))</f>
        <v/>
      </c>
      <c r="G1081">
        <f>IF(A1081="","",MONTH(A1081))</f>
        <v/>
      </c>
    </row>
    <row r="1082">
      <c r="A1082" s="25" t="n"/>
      <c r="B1082" s="11" t="n"/>
      <c r="C1082" s="24" t="n"/>
      <c r="D1082" s="11" t="n"/>
      <c r="E1082" s="11" t="n"/>
      <c r="F1082">
        <f>IF(B1082="","",IFERROR(INDEX(Categories!$B$5:$B$44,MATCH(B1082,Categories!$A$5:$A$44,0)),"?"))</f>
        <v/>
      </c>
      <c r="G1082">
        <f>IF(A1082="","",MONTH(A1082))</f>
        <v/>
      </c>
    </row>
    <row r="1083">
      <c r="A1083" s="25" t="n"/>
      <c r="B1083" s="11" t="n"/>
      <c r="C1083" s="24" t="n"/>
      <c r="D1083" s="11" t="n"/>
      <c r="E1083" s="11" t="n"/>
      <c r="F1083">
        <f>IF(B1083="","",IFERROR(INDEX(Categories!$B$5:$B$44,MATCH(B1083,Categories!$A$5:$A$44,0)),"?"))</f>
        <v/>
      </c>
      <c r="G1083">
        <f>IF(A1083="","",MONTH(A1083))</f>
        <v/>
      </c>
    </row>
    <row r="1084">
      <c r="A1084" s="25" t="n"/>
      <c r="B1084" s="11" t="n"/>
      <c r="C1084" s="24" t="n"/>
      <c r="D1084" s="11" t="n"/>
      <c r="E1084" s="11" t="n"/>
      <c r="F1084">
        <f>IF(B1084="","",IFERROR(INDEX(Categories!$B$5:$B$44,MATCH(B1084,Categories!$A$5:$A$44,0)),"?"))</f>
        <v/>
      </c>
      <c r="G1084">
        <f>IF(A1084="","",MONTH(A1084))</f>
        <v/>
      </c>
    </row>
    <row r="1085">
      <c r="A1085" s="25" t="n"/>
      <c r="B1085" s="11" t="n"/>
      <c r="C1085" s="24" t="n"/>
      <c r="D1085" s="11" t="n"/>
      <c r="E1085" s="11" t="n"/>
      <c r="F1085">
        <f>IF(B1085="","",IFERROR(INDEX(Categories!$B$5:$B$44,MATCH(B1085,Categories!$A$5:$A$44,0)),"?"))</f>
        <v/>
      </c>
      <c r="G1085">
        <f>IF(A1085="","",MONTH(A1085))</f>
        <v/>
      </c>
    </row>
    <row r="1086">
      <c r="A1086" s="25" t="n"/>
      <c r="B1086" s="11" t="n"/>
      <c r="C1086" s="24" t="n"/>
      <c r="D1086" s="11" t="n"/>
      <c r="E1086" s="11" t="n"/>
      <c r="F1086">
        <f>IF(B1086="","",IFERROR(INDEX(Categories!$B$5:$B$44,MATCH(B1086,Categories!$A$5:$A$44,0)),"?"))</f>
        <v/>
      </c>
      <c r="G1086">
        <f>IF(A1086="","",MONTH(A1086))</f>
        <v/>
      </c>
    </row>
    <row r="1087">
      <c r="A1087" s="25" t="n"/>
      <c r="B1087" s="11" t="n"/>
      <c r="C1087" s="24" t="n"/>
      <c r="D1087" s="11" t="n"/>
      <c r="E1087" s="11" t="n"/>
      <c r="F1087">
        <f>IF(B1087="","",IFERROR(INDEX(Categories!$B$5:$B$44,MATCH(B1087,Categories!$A$5:$A$44,0)),"?"))</f>
        <v/>
      </c>
      <c r="G1087">
        <f>IF(A1087="","",MONTH(A1087))</f>
        <v/>
      </c>
    </row>
    <row r="1088">
      <c r="A1088" s="25" t="n"/>
      <c r="B1088" s="11" t="n"/>
      <c r="C1088" s="24" t="n"/>
      <c r="D1088" s="11" t="n"/>
      <c r="E1088" s="11" t="n"/>
      <c r="F1088">
        <f>IF(B1088="","",IFERROR(INDEX(Categories!$B$5:$B$44,MATCH(B1088,Categories!$A$5:$A$44,0)),"?"))</f>
        <v/>
      </c>
      <c r="G1088">
        <f>IF(A1088="","",MONTH(A1088))</f>
        <v/>
      </c>
    </row>
    <row r="1089">
      <c r="A1089" s="25" t="n"/>
      <c r="B1089" s="11" t="n"/>
      <c r="C1089" s="24" t="n"/>
      <c r="D1089" s="11" t="n"/>
      <c r="E1089" s="11" t="n"/>
      <c r="F1089">
        <f>IF(B1089="","",IFERROR(INDEX(Categories!$B$5:$B$44,MATCH(B1089,Categories!$A$5:$A$44,0)),"?"))</f>
        <v/>
      </c>
      <c r="G1089">
        <f>IF(A1089="","",MONTH(A1089))</f>
        <v/>
      </c>
    </row>
    <row r="1090">
      <c r="A1090" s="25" t="n"/>
      <c r="B1090" s="11" t="n"/>
      <c r="C1090" s="24" t="n"/>
      <c r="D1090" s="11" t="n"/>
      <c r="E1090" s="11" t="n"/>
      <c r="F1090">
        <f>IF(B1090="","",IFERROR(INDEX(Categories!$B$5:$B$44,MATCH(B1090,Categories!$A$5:$A$44,0)),"?"))</f>
        <v/>
      </c>
      <c r="G1090">
        <f>IF(A1090="","",MONTH(A1090))</f>
        <v/>
      </c>
    </row>
    <row r="1091">
      <c r="A1091" s="25" t="n"/>
      <c r="B1091" s="11" t="n"/>
      <c r="C1091" s="24" t="n"/>
      <c r="D1091" s="11" t="n"/>
      <c r="E1091" s="11" t="n"/>
      <c r="F1091">
        <f>IF(B1091="","",IFERROR(INDEX(Categories!$B$5:$B$44,MATCH(B1091,Categories!$A$5:$A$44,0)),"?"))</f>
        <v/>
      </c>
      <c r="G1091">
        <f>IF(A1091="","",MONTH(A1091))</f>
        <v/>
      </c>
    </row>
    <row r="1092">
      <c r="A1092" s="25" t="n"/>
      <c r="B1092" s="11" t="n"/>
      <c r="C1092" s="24" t="n"/>
      <c r="D1092" s="11" t="n"/>
      <c r="E1092" s="11" t="n"/>
      <c r="F1092">
        <f>IF(B1092="","",IFERROR(INDEX(Categories!$B$5:$B$44,MATCH(B1092,Categories!$A$5:$A$44,0)),"?"))</f>
        <v/>
      </c>
      <c r="G1092">
        <f>IF(A1092="","",MONTH(A1092))</f>
        <v/>
      </c>
    </row>
    <row r="1093">
      <c r="A1093" s="25" t="n"/>
      <c r="B1093" s="11" t="n"/>
      <c r="C1093" s="24" t="n"/>
      <c r="D1093" s="11" t="n"/>
      <c r="E1093" s="11" t="n"/>
      <c r="F1093">
        <f>IF(B1093="","",IFERROR(INDEX(Categories!$B$5:$B$44,MATCH(B1093,Categories!$A$5:$A$44,0)),"?"))</f>
        <v/>
      </c>
      <c r="G1093">
        <f>IF(A1093="","",MONTH(A1093))</f>
        <v/>
      </c>
    </row>
    <row r="1094">
      <c r="A1094" s="25" t="n"/>
      <c r="B1094" s="11" t="n"/>
      <c r="C1094" s="24" t="n"/>
      <c r="D1094" s="11" t="n"/>
      <c r="E1094" s="11" t="n"/>
      <c r="F1094">
        <f>IF(B1094="","",IFERROR(INDEX(Categories!$B$5:$B$44,MATCH(B1094,Categories!$A$5:$A$44,0)),"?"))</f>
        <v/>
      </c>
      <c r="G1094">
        <f>IF(A1094="","",MONTH(A1094))</f>
        <v/>
      </c>
    </row>
    <row r="1095">
      <c r="A1095" s="25" t="n"/>
      <c r="B1095" s="11" t="n"/>
      <c r="C1095" s="24" t="n"/>
      <c r="D1095" s="11" t="n"/>
      <c r="E1095" s="11" t="n"/>
      <c r="F1095">
        <f>IF(B1095="","",IFERROR(INDEX(Categories!$B$5:$B$44,MATCH(B1095,Categories!$A$5:$A$44,0)),"?"))</f>
        <v/>
      </c>
      <c r="G1095">
        <f>IF(A1095="","",MONTH(A1095))</f>
        <v/>
      </c>
    </row>
    <row r="1096">
      <c r="A1096" s="25" t="n"/>
      <c r="B1096" s="11" t="n"/>
      <c r="C1096" s="24" t="n"/>
      <c r="D1096" s="11" t="n"/>
      <c r="E1096" s="11" t="n"/>
      <c r="F1096">
        <f>IF(B1096="","",IFERROR(INDEX(Categories!$B$5:$B$44,MATCH(B1096,Categories!$A$5:$A$44,0)),"?"))</f>
        <v/>
      </c>
      <c r="G1096">
        <f>IF(A1096="","",MONTH(A1096))</f>
        <v/>
      </c>
    </row>
    <row r="1097">
      <c r="A1097" s="25" t="n"/>
      <c r="B1097" s="11" t="n"/>
      <c r="C1097" s="24" t="n"/>
      <c r="D1097" s="11" t="n"/>
      <c r="E1097" s="11" t="n"/>
      <c r="F1097">
        <f>IF(B1097="","",IFERROR(INDEX(Categories!$B$5:$B$44,MATCH(B1097,Categories!$A$5:$A$44,0)),"?"))</f>
        <v/>
      </c>
      <c r="G1097">
        <f>IF(A1097="","",MONTH(A1097))</f>
        <v/>
      </c>
    </row>
    <row r="1098">
      <c r="A1098" s="25" t="n"/>
      <c r="B1098" s="11" t="n"/>
      <c r="C1098" s="24" t="n"/>
      <c r="D1098" s="11" t="n"/>
      <c r="E1098" s="11" t="n"/>
      <c r="F1098">
        <f>IF(B1098="","",IFERROR(INDEX(Categories!$B$5:$B$44,MATCH(B1098,Categories!$A$5:$A$44,0)),"?"))</f>
        <v/>
      </c>
      <c r="G1098">
        <f>IF(A1098="","",MONTH(A1098))</f>
        <v/>
      </c>
    </row>
    <row r="1099">
      <c r="A1099" s="25" t="n"/>
      <c r="B1099" s="11" t="n"/>
      <c r="C1099" s="24" t="n"/>
      <c r="D1099" s="11" t="n"/>
      <c r="E1099" s="11" t="n"/>
      <c r="F1099">
        <f>IF(B1099="","",IFERROR(INDEX(Categories!$B$5:$B$44,MATCH(B1099,Categories!$A$5:$A$44,0)),"?"))</f>
        <v/>
      </c>
      <c r="G1099">
        <f>IF(A1099="","",MONTH(A1099))</f>
        <v/>
      </c>
    </row>
    <row r="1100">
      <c r="A1100" s="25" t="n"/>
      <c r="B1100" s="11" t="n"/>
      <c r="C1100" s="24" t="n"/>
      <c r="D1100" s="11" t="n"/>
      <c r="E1100" s="11" t="n"/>
      <c r="F1100">
        <f>IF(B1100="","",IFERROR(INDEX(Categories!$B$5:$B$44,MATCH(B1100,Categories!$A$5:$A$44,0)),"?"))</f>
        <v/>
      </c>
      <c r="G1100">
        <f>IF(A1100="","",MONTH(A1100))</f>
        <v/>
      </c>
    </row>
    <row r="1101">
      <c r="A1101" s="25" t="n"/>
      <c r="B1101" s="11" t="n"/>
      <c r="C1101" s="24" t="n"/>
      <c r="D1101" s="11" t="n"/>
      <c r="E1101" s="11" t="n"/>
      <c r="F1101">
        <f>IF(B1101="","",IFERROR(INDEX(Categories!$B$5:$B$44,MATCH(B1101,Categories!$A$5:$A$44,0)),"?"))</f>
        <v/>
      </c>
      <c r="G1101">
        <f>IF(A1101="","",MONTH(A1101))</f>
        <v/>
      </c>
    </row>
    <row r="1102">
      <c r="A1102" s="25" t="n"/>
      <c r="B1102" s="11" t="n"/>
      <c r="C1102" s="24" t="n"/>
      <c r="D1102" s="11" t="n"/>
      <c r="E1102" s="11" t="n"/>
      <c r="F1102">
        <f>IF(B1102="","",IFERROR(INDEX(Categories!$B$5:$B$44,MATCH(B1102,Categories!$A$5:$A$44,0)),"?"))</f>
        <v/>
      </c>
      <c r="G1102">
        <f>IF(A1102="","",MONTH(A1102))</f>
        <v/>
      </c>
    </row>
    <row r="1103">
      <c r="A1103" s="25" t="n"/>
      <c r="B1103" s="11" t="n"/>
      <c r="C1103" s="24" t="n"/>
      <c r="D1103" s="11" t="n"/>
      <c r="E1103" s="11" t="n"/>
      <c r="F1103">
        <f>IF(B1103="","",IFERROR(INDEX(Categories!$B$5:$B$44,MATCH(B1103,Categories!$A$5:$A$44,0)),"?"))</f>
        <v/>
      </c>
      <c r="G1103">
        <f>IF(A1103="","",MONTH(A1103))</f>
        <v/>
      </c>
    </row>
    <row r="1104">
      <c r="A1104" s="25" t="n"/>
      <c r="B1104" s="11" t="n"/>
      <c r="C1104" s="24" t="n"/>
      <c r="D1104" s="11" t="n"/>
      <c r="E1104" s="11" t="n"/>
      <c r="F1104">
        <f>IF(B1104="","",IFERROR(INDEX(Categories!$B$5:$B$44,MATCH(B1104,Categories!$A$5:$A$44,0)),"?"))</f>
        <v/>
      </c>
      <c r="G1104">
        <f>IF(A1104="","",MONTH(A1104))</f>
        <v/>
      </c>
    </row>
    <row r="1105">
      <c r="A1105" s="25" t="n"/>
      <c r="B1105" s="11" t="n"/>
      <c r="C1105" s="24" t="n"/>
      <c r="D1105" s="11" t="n"/>
      <c r="E1105" s="11" t="n"/>
      <c r="F1105">
        <f>IF(B1105="","",IFERROR(INDEX(Categories!$B$5:$B$44,MATCH(B1105,Categories!$A$5:$A$44,0)),"?"))</f>
        <v/>
      </c>
      <c r="G1105">
        <f>IF(A1105="","",MONTH(A1105))</f>
        <v/>
      </c>
    </row>
    <row r="1106">
      <c r="A1106" s="25" t="n"/>
      <c r="B1106" s="11" t="n"/>
      <c r="C1106" s="24" t="n"/>
      <c r="D1106" s="11" t="n"/>
      <c r="E1106" s="11" t="n"/>
      <c r="F1106">
        <f>IF(B1106="","",IFERROR(INDEX(Categories!$B$5:$B$44,MATCH(B1106,Categories!$A$5:$A$44,0)),"?"))</f>
        <v/>
      </c>
      <c r="G1106">
        <f>IF(A1106="","",MONTH(A1106))</f>
        <v/>
      </c>
    </row>
    <row r="1107">
      <c r="A1107" s="25" t="n"/>
      <c r="B1107" s="11" t="n"/>
      <c r="C1107" s="24" t="n"/>
      <c r="D1107" s="11" t="n"/>
      <c r="E1107" s="11" t="n"/>
      <c r="F1107">
        <f>IF(B1107="","",IFERROR(INDEX(Categories!$B$5:$B$44,MATCH(B1107,Categories!$A$5:$A$44,0)),"?"))</f>
        <v/>
      </c>
      <c r="G1107">
        <f>IF(A1107="","",MONTH(A1107))</f>
        <v/>
      </c>
    </row>
    <row r="1108">
      <c r="A1108" s="25" t="n"/>
      <c r="B1108" s="11" t="n"/>
      <c r="C1108" s="24" t="n"/>
      <c r="D1108" s="11" t="n"/>
      <c r="E1108" s="11" t="n"/>
      <c r="F1108">
        <f>IF(B1108="","",IFERROR(INDEX(Categories!$B$5:$B$44,MATCH(B1108,Categories!$A$5:$A$44,0)),"?"))</f>
        <v/>
      </c>
      <c r="G1108">
        <f>IF(A1108="","",MONTH(A1108))</f>
        <v/>
      </c>
    </row>
    <row r="1109">
      <c r="A1109" s="25" t="n"/>
      <c r="B1109" s="11" t="n"/>
      <c r="C1109" s="24" t="n"/>
      <c r="D1109" s="11" t="n"/>
      <c r="E1109" s="11" t="n"/>
      <c r="F1109">
        <f>IF(B1109="","",IFERROR(INDEX(Categories!$B$5:$B$44,MATCH(B1109,Categories!$A$5:$A$44,0)),"?"))</f>
        <v/>
      </c>
      <c r="G1109">
        <f>IF(A1109="","",MONTH(A1109))</f>
        <v/>
      </c>
    </row>
    <row r="1110">
      <c r="A1110" s="25" t="n"/>
      <c r="B1110" s="11" t="n"/>
      <c r="C1110" s="24" t="n"/>
      <c r="D1110" s="11" t="n"/>
      <c r="E1110" s="11" t="n"/>
      <c r="F1110">
        <f>IF(B1110="","",IFERROR(INDEX(Categories!$B$5:$B$44,MATCH(B1110,Categories!$A$5:$A$44,0)),"?"))</f>
        <v/>
      </c>
      <c r="G1110">
        <f>IF(A1110="","",MONTH(A1110))</f>
        <v/>
      </c>
    </row>
    <row r="1111">
      <c r="A1111" s="25" t="n"/>
      <c r="B1111" s="11" t="n"/>
      <c r="C1111" s="24" t="n"/>
      <c r="D1111" s="11" t="n"/>
      <c r="E1111" s="11" t="n"/>
      <c r="F1111">
        <f>IF(B1111="","",IFERROR(INDEX(Categories!$B$5:$B$44,MATCH(B1111,Categories!$A$5:$A$44,0)),"?"))</f>
        <v/>
      </c>
      <c r="G1111">
        <f>IF(A1111="","",MONTH(A1111))</f>
        <v/>
      </c>
    </row>
    <row r="1112">
      <c r="A1112" s="25" t="n"/>
      <c r="B1112" s="11" t="n"/>
      <c r="C1112" s="24" t="n"/>
      <c r="D1112" s="11" t="n"/>
      <c r="E1112" s="11" t="n"/>
      <c r="F1112">
        <f>IF(B1112="","",IFERROR(INDEX(Categories!$B$5:$B$44,MATCH(B1112,Categories!$A$5:$A$44,0)),"?"))</f>
        <v/>
      </c>
      <c r="G1112">
        <f>IF(A1112="","",MONTH(A1112))</f>
        <v/>
      </c>
    </row>
    <row r="1113">
      <c r="A1113" s="25" t="n"/>
      <c r="B1113" s="11" t="n"/>
      <c r="C1113" s="24" t="n"/>
      <c r="D1113" s="11" t="n"/>
      <c r="E1113" s="11" t="n"/>
      <c r="F1113">
        <f>IF(B1113="","",IFERROR(INDEX(Categories!$B$5:$B$44,MATCH(B1113,Categories!$A$5:$A$44,0)),"?"))</f>
        <v/>
      </c>
      <c r="G1113">
        <f>IF(A1113="","",MONTH(A1113))</f>
        <v/>
      </c>
    </row>
    <row r="1114">
      <c r="A1114" s="25" t="n"/>
      <c r="B1114" s="11" t="n"/>
      <c r="C1114" s="24" t="n"/>
      <c r="D1114" s="11" t="n"/>
      <c r="E1114" s="11" t="n"/>
      <c r="F1114">
        <f>IF(B1114="","",IFERROR(INDEX(Categories!$B$5:$B$44,MATCH(B1114,Categories!$A$5:$A$44,0)),"?"))</f>
        <v/>
      </c>
      <c r="G1114">
        <f>IF(A1114="","",MONTH(A1114))</f>
        <v/>
      </c>
    </row>
    <row r="1115">
      <c r="A1115" s="25" t="n"/>
      <c r="B1115" s="11" t="n"/>
      <c r="C1115" s="24" t="n"/>
      <c r="D1115" s="11" t="n"/>
      <c r="E1115" s="11" t="n"/>
      <c r="F1115">
        <f>IF(B1115="","",IFERROR(INDEX(Categories!$B$5:$B$44,MATCH(B1115,Categories!$A$5:$A$44,0)),"?"))</f>
        <v/>
      </c>
      <c r="G1115">
        <f>IF(A1115="","",MONTH(A1115))</f>
        <v/>
      </c>
    </row>
    <row r="1116">
      <c r="A1116" s="25" t="n"/>
      <c r="B1116" s="11" t="n"/>
      <c r="C1116" s="24" t="n"/>
      <c r="D1116" s="11" t="n"/>
      <c r="E1116" s="11" t="n"/>
      <c r="F1116">
        <f>IF(B1116="","",IFERROR(INDEX(Categories!$B$5:$B$44,MATCH(B1116,Categories!$A$5:$A$44,0)),"?"))</f>
        <v/>
      </c>
      <c r="G1116">
        <f>IF(A1116="","",MONTH(A1116))</f>
        <v/>
      </c>
    </row>
    <row r="1117">
      <c r="A1117" s="25" t="n"/>
      <c r="B1117" s="11" t="n"/>
      <c r="C1117" s="24" t="n"/>
      <c r="D1117" s="11" t="n"/>
      <c r="E1117" s="11" t="n"/>
      <c r="F1117">
        <f>IF(B1117="","",IFERROR(INDEX(Categories!$B$5:$B$44,MATCH(B1117,Categories!$A$5:$A$44,0)),"?"))</f>
        <v/>
      </c>
      <c r="G1117">
        <f>IF(A1117="","",MONTH(A1117))</f>
        <v/>
      </c>
    </row>
    <row r="1118">
      <c r="A1118" s="25" t="n"/>
      <c r="B1118" s="11" t="n"/>
      <c r="C1118" s="24" t="n"/>
      <c r="D1118" s="11" t="n"/>
      <c r="E1118" s="11" t="n"/>
      <c r="F1118">
        <f>IF(B1118="","",IFERROR(INDEX(Categories!$B$5:$B$44,MATCH(B1118,Categories!$A$5:$A$44,0)),"?"))</f>
        <v/>
      </c>
      <c r="G1118">
        <f>IF(A1118="","",MONTH(A1118))</f>
        <v/>
      </c>
    </row>
    <row r="1119">
      <c r="A1119" s="25" t="n"/>
      <c r="B1119" s="11" t="n"/>
      <c r="C1119" s="24" t="n"/>
      <c r="D1119" s="11" t="n"/>
      <c r="E1119" s="11" t="n"/>
      <c r="F1119">
        <f>IF(B1119="","",IFERROR(INDEX(Categories!$B$5:$B$44,MATCH(B1119,Categories!$A$5:$A$44,0)),"?"))</f>
        <v/>
      </c>
      <c r="G1119">
        <f>IF(A1119="","",MONTH(A1119))</f>
        <v/>
      </c>
    </row>
    <row r="1120">
      <c r="A1120" s="25" t="n"/>
      <c r="B1120" s="11" t="n"/>
      <c r="C1120" s="24" t="n"/>
      <c r="D1120" s="11" t="n"/>
      <c r="E1120" s="11" t="n"/>
      <c r="F1120">
        <f>IF(B1120="","",IFERROR(INDEX(Categories!$B$5:$B$44,MATCH(B1120,Categories!$A$5:$A$44,0)),"?"))</f>
        <v/>
      </c>
      <c r="G1120">
        <f>IF(A1120="","",MONTH(A1120))</f>
        <v/>
      </c>
    </row>
    <row r="1121">
      <c r="A1121" s="25" t="n"/>
      <c r="B1121" s="11" t="n"/>
      <c r="C1121" s="24" t="n"/>
      <c r="D1121" s="11" t="n"/>
      <c r="E1121" s="11" t="n"/>
      <c r="F1121">
        <f>IF(B1121="","",IFERROR(INDEX(Categories!$B$5:$B$44,MATCH(B1121,Categories!$A$5:$A$44,0)),"?"))</f>
        <v/>
      </c>
      <c r="G1121">
        <f>IF(A1121="","",MONTH(A1121))</f>
        <v/>
      </c>
    </row>
    <row r="1122">
      <c r="A1122" s="25" t="n"/>
      <c r="B1122" s="11" t="n"/>
      <c r="C1122" s="24" t="n"/>
      <c r="D1122" s="11" t="n"/>
      <c r="E1122" s="11" t="n"/>
      <c r="F1122">
        <f>IF(B1122="","",IFERROR(INDEX(Categories!$B$5:$B$44,MATCH(B1122,Categories!$A$5:$A$44,0)),"?"))</f>
        <v/>
      </c>
      <c r="G1122">
        <f>IF(A1122="","",MONTH(A1122))</f>
        <v/>
      </c>
    </row>
    <row r="1123">
      <c r="A1123" s="25" t="n"/>
      <c r="B1123" s="11" t="n"/>
      <c r="C1123" s="24" t="n"/>
      <c r="D1123" s="11" t="n"/>
      <c r="E1123" s="11" t="n"/>
      <c r="F1123">
        <f>IF(B1123="","",IFERROR(INDEX(Categories!$B$5:$B$44,MATCH(B1123,Categories!$A$5:$A$44,0)),"?"))</f>
        <v/>
      </c>
      <c r="G1123">
        <f>IF(A1123="","",MONTH(A1123))</f>
        <v/>
      </c>
    </row>
    <row r="1124">
      <c r="A1124" s="25" t="n"/>
      <c r="B1124" s="11" t="n"/>
      <c r="C1124" s="24" t="n"/>
      <c r="D1124" s="11" t="n"/>
      <c r="E1124" s="11" t="n"/>
      <c r="F1124">
        <f>IF(B1124="","",IFERROR(INDEX(Categories!$B$5:$B$44,MATCH(B1124,Categories!$A$5:$A$44,0)),"?"))</f>
        <v/>
      </c>
      <c r="G1124">
        <f>IF(A1124="","",MONTH(A1124))</f>
        <v/>
      </c>
    </row>
    <row r="1125">
      <c r="A1125" s="25" t="n"/>
      <c r="B1125" s="11" t="n"/>
      <c r="C1125" s="24" t="n"/>
      <c r="D1125" s="11" t="n"/>
      <c r="E1125" s="11" t="n"/>
      <c r="F1125">
        <f>IF(B1125="","",IFERROR(INDEX(Categories!$B$5:$B$44,MATCH(B1125,Categories!$A$5:$A$44,0)),"?"))</f>
        <v/>
      </c>
      <c r="G1125">
        <f>IF(A1125="","",MONTH(A1125))</f>
        <v/>
      </c>
    </row>
    <row r="1126">
      <c r="A1126" s="25" t="n"/>
      <c r="B1126" s="11" t="n"/>
      <c r="C1126" s="24" t="n"/>
      <c r="D1126" s="11" t="n"/>
      <c r="E1126" s="11" t="n"/>
      <c r="F1126">
        <f>IF(B1126="","",IFERROR(INDEX(Categories!$B$5:$B$44,MATCH(B1126,Categories!$A$5:$A$44,0)),"?"))</f>
        <v/>
      </c>
      <c r="G1126">
        <f>IF(A1126="","",MONTH(A1126))</f>
        <v/>
      </c>
    </row>
    <row r="1127">
      <c r="A1127" s="25" t="n"/>
      <c r="B1127" s="11" t="n"/>
      <c r="C1127" s="24" t="n"/>
      <c r="D1127" s="11" t="n"/>
      <c r="E1127" s="11" t="n"/>
      <c r="F1127">
        <f>IF(B1127="","",IFERROR(INDEX(Categories!$B$5:$B$44,MATCH(B1127,Categories!$A$5:$A$44,0)),"?"))</f>
        <v/>
      </c>
      <c r="G1127">
        <f>IF(A1127="","",MONTH(A1127))</f>
        <v/>
      </c>
    </row>
    <row r="1128">
      <c r="A1128" s="25" t="n"/>
      <c r="B1128" s="11" t="n"/>
      <c r="C1128" s="24" t="n"/>
      <c r="D1128" s="11" t="n"/>
      <c r="E1128" s="11" t="n"/>
      <c r="F1128">
        <f>IF(B1128="","",IFERROR(INDEX(Categories!$B$5:$B$44,MATCH(B1128,Categories!$A$5:$A$44,0)),"?"))</f>
        <v/>
      </c>
      <c r="G1128">
        <f>IF(A1128="","",MONTH(A1128))</f>
        <v/>
      </c>
    </row>
    <row r="1129">
      <c r="A1129" s="25" t="n"/>
      <c r="B1129" s="11" t="n"/>
      <c r="C1129" s="24" t="n"/>
      <c r="D1129" s="11" t="n"/>
      <c r="E1129" s="11" t="n"/>
      <c r="F1129">
        <f>IF(B1129="","",IFERROR(INDEX(Categories!$B$5:$B$44,MATCH(B1129,Categories!$A$5:$A$44,0)),"?"))</f>
        <v/>
      </c>
      <c r="G1129">
        <f>IF(A1129="","",MONTH(A1129))</f>
        <v/>
      </c>
    </row>
    <row r="1130">
      <c r="A1130" s="25" t="n"/>
      <c r="B1130" s="11" t="n"/>
      <c r="C1130" s="24" t="n"/>
      <c r="D1130" s="11" t="n"/>
      <c r="E1130" s="11" t="n"/>
      <c r="F1130">
        <f>IF(B1130="","",IFERROR(INDEX(Categories!$B$5:$B$44,MATCH(B1130,Categories!$A$5:$A$44,0)),"?"))</f>
        <v/>
      </c>
      <c r="G1130">
        <f>IF(A1130="","",MONTH(A1130))</f>
        <v/>
      </c>
    </row>
    <row r="1131">
      <c r="A1131" s="25" t="n"/>
      <c r="B1131" s="11" t="n"/>
      <c r="C1131" s="24" t="n"/>
      <c r="D1131" s="11" t="n"/>
      <c r="E1131" s="11" t="n"/>
      <c r="F1131">
        <f>IF(B1131="","",IFERROR(INDEX(Categories!$B$5:$B$44,MATCH(B1131,Categories!$A$5:$A$44,0)),"?"))</f>
        <v/>
      </c>
      <c r="G1131">
        <f>IF(A1131="","",MONTH(A1131))</f>
        <v/>
      </c>
    </row>
    <row r="1132">
      <c r="A1132" s="25" t="n"/>
      <c r="B1132" s="11" t="n"/>
      <c r="C1132" s="24" t="n"/>
      <c r="D1132" s="11" t="n"/>
      <c r="E1132" s="11" t="n"/>
      <c r="F1132">
        <f>IF(B1132="","",IFERROR(INDEX(Categories!$B$5:$B$44,MATCH(B1132,Categories!$A$5:$A$44,0)),"?"))</f>
        <v/>
      </c>
      <c r="G1132">
        <f>IF(A1132="","",MONTH(A1132))</f>
        <v/>
      </c>
    </row>
    <row r="1133">
      <c r="A1133" s="25" t="n"/>
      <c r="B1133" s="11" t="n"/>
      <c r="C1133" s="24" t="n"/>
      <c r="D1133" s="11" t="n"/>
      <c r="E1133" s="11" t="n"/>
      <c r="F1133">
        <f>IF(B1133="","",IFERROR(INDEX(Categories!$B$5:$B$44,MATCH(B1133,Categories!$A$5:$A$44,0)),"?"))</f>
        <v/>
      </c>
      <c r="G1133">
        <f>IF(A1133="","",MONTH(A1133))</f>
        <v/>
      </c>
    </row>
    <row r="1134">
      <c r="A1134" s="25" t="n"/>
      <c r="B1134" s="11" t="n"/>
      <c r="C1134" s="24" t="n"/>
      <c r="D1134" s="11" t="n"/>
      <c r="E1134" s="11" t="n"/>
      <c r="F1134">
        <f>IF(B1134="","",IFERROR(INDEX(Categories!$B$5:$B$44,MATCH(B1134,Categories!$A$5:$A$44,0)),"?"))</f>
        <v/>
      </c>
      <c r="G1134">
        <f>IF(A1134="","",MONTH(A1134))</f>
        <v/>
      </c>
    </row>
    <row r="1135">
      <c r="A1135" s="25" t="n"/>
      <c r="B1135" s="11" t="n"/>
      <c r="C1135" s="24" t="n"/>
      <c r="D1135" s="11" t="n"/>
      <c r="E1135" s="11" t="n"/>
      <c r="F1135">
        <f>IF(B1135="","",IFERROR(INDEX(Categories!$B$5:$B$44,MATCH(B1135,Categories!$A$5:$A$44,0)),"?"))</f>
        <v/>
      </c>
      <c r="G1135">
        <f>IF(A1135="","",MONTH(A1135))</f>
        <v/>
      </c>
    </row>
    <row r="1136">
      <c r="A1136" s="25" t="n"/>
      <c r="B1136" s="11" t="n"/>
      <c r="C1136" s="24" t="n"/>
      <c r="D1136" s="11" t="n"/>
      <c r="E1136" s="11" t="n"/>
      <c r="F1136">
        <f>IF(B1136="","",IFERROR(INDEX(Categories!$B$5:$B$44,MATCH(B1136,Categories!$A$5:$A$44,0)),"?"))</f>
        <v/>
      </c>
      <c r="G1136">
        <f>IF(A1136="","",MONTH(A1136))</f>
        <v/>
      </c>
    </row>
    <row r="1137">
      <c r="A1137" s="25" t="n"/>
      <c r="B1137" s="11" t="n"/>
      <c r="C1137" s="24" t="n"/>
      <c r="D1137" s="11" t="n"/>
      <c r="E1137" s="11" t="n"/>
      <c r="F1137">
        <f>IF(B1137="","",IFERROR(INDEX(Categories!$B$5:$B$44,MATCH(B1137,Categories!$A$5:$A$44,0)),"?"))</f>
        <v/>
      </c>
      <c r="G1137">
        <f>IF(A1137="","",MONTH(A1137))</f>
        <v/>
      </c>
    </row>
    <row r="1138">
      <c r="A1138" s="25" t="n"/>
      <c r="B1138" s="11" t="n"/>
      <c r="C1138" s="24" t="n"/>
      <c r="D1138" s="11" t="n"/>
      <c r="E1138" s="11" t="n"/>
      <c r="F1138">
        <f>IF(B1138="","",IFERROR(INDEX(Categories!$B$5:$B$44,MATCH(B1138,Categories!$A$5:$A$44,0)),"?"))</f>
        <v/>
      </c>
      <c r="G1138">
        <f>IF(A1138="","",MONTH(A1138))</f>
        <v/>
      </c>
    </row>
    <row r="1139">
      <c r="A1139" s="25" t="n"/>
      <c r="B1139" s="11" t="n"/>
      <c r="C1139" s="24" t="n"/>
      <c r="D1139" s="11" t="n"/>
      <c r="E1139" s="11" t="n"/>
      <c r="F1139">
        <f>IF(B1139="","",IFERROR(INDEX(Categories!$B$5:$B$44,MATCH(B1139,Categories!$A$5:$A$44,0)),"?"))</f>
        <v/>
      </c>
      <c r="G1139">
        <f>IF(A1139="","",MONTH(A1139))</f>
        <v/>
      </c>
    </row>
    <row r="1140">
      <c r="A1140" s="25" t="n"/>
      <c r="B1140" s="11" t="n"/>
      <c r="C1140" s="24" t="n"/>
      <c r="D1140" s="11" t="n"/>
      <c r="E1140" s="11" t="n"/>
      <c r="F1140">
        <f>IF(B1140="","",IFERROR(INDEX(Categories!$B$5:$B$44,MATCH(B1140,Categories!$A$5:$A$44,0)),"?"))</f>
        <v/>
      </c>
      <c r="G1140">
        <f>IF(A1140="","",MONTH(A1140))</f>
        <v/>
      </c>
    </row>
    <row r="1141">
      <c r="A1141" s="25" t="n"/>
      <c r="B1141" s="11" t="n"/>
      <c r="C1141" s="24" t="n"/>
      <c r="D1141" s="11" t="n"/>
      <c r="E1141" s="11" t="n"/>
      <c r="F1141">
        <f>IF(B1141="","",IFERROR(INDEX(Categories!$B$5:$B$44,MATCH(B1141,Categories!$A$5:$A$44,0)),"?"))</f>
        <v/>
      </c>
      <c r="G1141">
        <f>IF(A1141="","",MONTH(A1141))</f>
        <v/>
      </c>
    </row>
    <row r="1142">
      <c r="A1142" s="25" t="n"/>
      <c r="B1142" s="11" t="n"/>
      <c r="C1142" s="24" t="n"/>
      <c r="D1142" s="11" t="n"/>
      <c r="E1142" s="11" t="n"/>
      <c r="F1142">
        <f>IF(B1142="","",IFERROR(INDEX(Categories!$B$5:$B$44,MATCH(B1142,Categories!$A$5:$A$44,0)),"?"))</f>
        <v/>
      </c>
      <c r="G1142">
        <f>IF(A1142="","",MONTH(A1142))</f>
        <v/>
      </c>
    </row>
    <row r="1143">
      <c r="A1143" s="25" t="n"/>
      <c r="B1143" s="11" t="n"/>
      <c r="C1143" s="24" t="n"/>
      <c r="D1143" s="11" t="n"/>
      <c r="E1143" s="11" t="n"/>
      <c r="F1143">
        <f>IF(B1143="","",IFERROR(INDEX(Categories!$B$5:$B$44,MATCH(B1143,Categories!$A$5:$A$44,0)),"?"))</f>
        <v/>
      </c>
      <c r="G1143">
        <f>IF(A1143="","",MONTH(A1143))</f>
        <v/>
      </c>
    </row>
    <row r="1144">
      <c r="A1144" s="25" t="n"/>
      <c r="B1144" s="11" t="n"/>
      <c r="C1144" s="24" t="n"/>
      <c r="D1144" s="11" t="n"/>
      <c r="E1144" s="11" t="n"/>
      <c r="F1144">
        <f>IF(B1144="","",IFERROR(INDEX(Categories!$B$5:$B$44,MATCH(B1144,Categories!$A$5:$A$44,0)),"?"))</f>
        <v/>
      </c>
      <c r="G1144">
        <f>IF(A1144="","",MONTH(A1144))</f>
        <v/>
      </c>
    </row>
    <row r="1145">
      <c r="A1145" s="25" t="n"/>
      <c r="B1145" s="11" t="n"/>
      <c r="C1145" s="24" t="n"/>
      <c r="D1145" s="11" t="n"/>
      <c r="E1145" s="11" t="n"/>
      <c r="F1145">
        <f>IF(B1145="","",IFERROR(INDEX(Categories!$B$5:$B$44,MATCH(B1145,Categories!$A$5:$A$44,0)),"?"))</f>
        <v/>
      </c>
      <c r="G1145">
        <f>IF(A1145="","",MONTH(A1145))</f>
        <v/>
      </c>
    </row>
    <row r="1146">
      <c r="A1146" s="25" t="n"/>
      <c r="B1146" s="11" t="n"/>
      <c r="C1146" s="24" t="n"/>
      <c r="D1146" s="11" t="n"/>
      <c r="E1146" s="11" t="n"/>
      <c r="F1146">
        <f>IF(B1146="","",IFERROR(INDEX(Categories!$B$5:$B$44,MATCH(B1146,Categories!$A$5:$A$44,0)),"?"))</f>
        <v/>
      </c>
      <c r="G1146">
        <f>IF(A1146="","",MONTH(A1146))</f>
        <v/>
      </c>
    </row>
    <row r="1147">
      <c r="A1147" s="25" t="n"/>
      <c r="B1147" s="11" t="n"/>
      <c r="C1147" s="24" t="n"/>
      <c r="D1147" s="11" t="n"/>
      <c r="E1147" s="11" t="n"/>
      <c r="F1147">
        <f>IF(B1147="","",IFERROR(INDEX(Categories!$B$5:$B$44,MATCH(B1147,Categories!$A$5:$A$44,0)),"?"))</f>
        <v/>
      </c>
      <c r="G1147">
        <f>IF(A1147="","",MONTH(A1147))</f>
        <v/>
      </c>
    </row>
    <row r="1148">
      <c r="A1148" s="25" t="n"/>
      <c r="B1148" s="11" t="n"/>
      <c r="C1148" s="24" t="n"/>
      <c r="D1148" s="11" t="n"/>
      <c r="E1148" s="11" t="n"/>
      <c r="F1148">
        <f>IF(B1148="","",IFERROR(INDEX(Categories!$B$5:$B$44,MATCH(B1148,Categories!$A$5:$A$44,0)),"?"))</f>
        <v/>
      </c>
      <c r="G1148">
        <f>IF(A1148="","",MONTH(A1148))</f>
        <v/>
      </c>
    </row>
    <row r="1149">
      <c r="A1149" s="25" t="n"/>
      <c r="B1149" s="11" t="n"/>
      <c r="C1149" s="24" t="n"/>
      <c r="D1149" s="11" t="n"/>
      <c r="E1149" s="11" t="n"/>
      <c r="F1149">
        <f>IF(B1149="","",IFERROR(INDEX(Categories!$B$5:$B$44,MATCH(B1149,Categories!$A$5:$A$44,0)),"?"))</f>
        <v/>
      </c>
      <c r="G1149">
        <f>IF(A1149="","",MONTH(A1149))</f>
        <v/>
      </c>
    </row>
    <row r="1150">
      <c r="A1150" s="25" t="n"/>
      <c r="B1150" s="11" t="n"/>
      <c r="C1150" s="24" t="n"/>
      <c r="D1150" s="11" t="n"/>
      <c r="E1150" s="11" t="n"/>
      <c r="F1150">
        <f>IF(B1150="","",IFERROR(INDEX(Categories!$B$5:$B$44,MATCH(B1150,Categories!$A$5:$A$44,0)),"?"))</f>
        <v/>
      </c>
      <c r="G1150">
        <f>IF(A1150="","",MONTH(A1150))</f>
        <v/>
      </c>
    </row>
    <row r="1151">
      <c r="A1151" s="25" t="n"/>
      <c r="B1151" s="11" t="n"/>
      <c r="C1151" s="24" t="n"/>
      <c r="D1151" s="11" t="n"/>
      <c r="E1151" s="11" t="n"/>
      <c r="F1151">
        <f>IF(B1151="","",IFERROR(INDEX(Categories!$B$5:$B$44,MATCH(B1151,Categories!$A$5:$A$44,0)),"?"))</f>
        <v/>
      </c>
      <c r="G1151">
        <f>IF(A1151="","",MONTH(A1151))</f>
        <v/>
      </c>
    </row>
    <row r="1152">
      <c r="A1152" s="25" t="n"/>
      <c r="B1152" s="11" t="n"/>
      <c r="C1152" s="24" t="n"/>
      <c r="D1152" s="11" t="n"/>
      <c r="E1152" s="11" t="n"/>
      <c r="F1152">
        <f>IF(B1152="","",IFERROR(INDEX(Categories!$B$5:$B$44,MATCH(B1152,Categories!$A$5:$A$44,0)),"?"))</f>
        <v/>
      </c>
      <c r="G1152">
        <f>IF(A1152="","",MONTH(A1152))</f>
        <v/>
      </c>
    </row>
    <row r="1153">
      <c r="A1153" s="25" t="n"/>
      <c r="B1153" s="11" t="n"/>
      <c r="C1153" s="24" t="n"/>
      <c r="D1153" s="11" t="n"/>
      <c r="E1153" s="11" t="n"/>
      <c r="F1153">
        <f>IF(B1153="","",IFERROR(INDEX(Categories!$B$5:$B$44,MATCH(B1153,Categories!$A$5:$A$44,0)),"?"))</f>
        <v/>
      </c>
      <c r="G1153">
        <f>IF(A1153="","",MONTH(A1153))</f>
        <v/>
      </c>
    </row>
    <row r="1154">
      <c r="A1154" s="25" t="n"/>
      <c r="B1154" s="11" t="n"/>
      <c r="C1154" s="24" t="n"/>
      <c r="D1154" s="11" t="n"/>
      <c r="E1154" s="11" t="n"/>
      <c r="F1154">
        <f>IF(B1154="","",IFERROR(INDEX(Categories!$B$5:$B$44,MATCH(B1154,Categories!$A$5:$A$44,0)),"?"))</f>
        <v/>
      </c>
      <c r="G1154">
        <f>IF(A1154="","",MONTH(A1154))</f>
        <v/>
      </c>
    </row>
    <row r="1155">
      <c r="A1155" s="25" t="n"/>
      <c r="B1155" s="11" t="n"/>
      <c r="C1155" s="24" t="n"/>
      <c r="D1155" s="11" t="n"/>
      <c r="E1155" s="11" t="n"/>
      <c r="F1155">
        <f>IF(B1155="","",IFERROR(INDEX(Categories!$B$5:$B$44,MATCH(B1155,Categories!$A$5:$A$44,0)),"?"))</f>
        <v/>
      </c>
      <c r="G1155">
        <f>IF(A1155="","",MONTH(A1155))</f>
        <v/>
      </c>
    </row>
    <row r="1156">
      <c r="A1156" s="25" t="n"/>
      <c r="B1156" s="11" t="n"/>
      <c r="C1156" s="24" t="n"/>
      <c r="D1156" s="11" t="n"/>
      <c r="E1156" s="11" t="n"/>
      <c r="F1156">
        <f>IF(B1156="","",IFERROR(INDEX(Categories!$B$5:$B$44,MATCH(B1156,Categories!$A$5:$A$44,0)),"?"))</f>
        <v/>
      </c>
      <c r="G1156">
        <f>IF(A1156="","",MONTH(A1156))</f>
        <v/>
      </c>
    </row>
    <row r="1157">
      <c r="A1157" s="25" t="n"/>
      <c r="B1157" s="11" t="n"/>
      <c r="C1157" s="24" t="n"/>
      <c r="D1157" s="11" t="n"/>
      <c r="E1157" s="11" t="n"/>
      <c r="F1157">
        <f>IF(B1157="","",IFERROR(INDEX(Categories!$B$5:$B$44,MATCH(B1157,Categories!$A$5:$A$44,0)),"?"))</f>
        <v/>
      </c>
      <c r="G1157">
        <f>IF(A1157="","",MONTH(A1157))</f>
        <v/>
      </c>
    </row>
    <row r="1158">
      <c r="A1158" s="25" t="n"/>
      <c r="B1158" s="11" t="n"/>
      <c r="C1158" s="24" t="n"/>
      <c r="D1158" s="11" t="n"/>
      <c r="E1158" s="11" t="n"/>
      <c r="F1158">
        <f>IF(B1158="","",IFERROR(INDEX(Categories!$B$5:$B$44,MATCH(B1158,Categories!$A$5:$A$44,0)),"?"))</f>
        <v/>
      </c>
      <c r="G1158">
        <f>IF(A1158="","",MONTH(A1158))</f>
        <v/>
      </c>
    </row>
    <row r="1159">
      <c r="A1159" s="25" t="n"/>
      <c r="B1159" s="11" t="n"/>
      <c r="C1159" s="24" t="n"/>
      <c r="D1159" s="11" t="n"/>
      <c r="E1159" s="11" t="n"/>
      <c r="F1159">
        <f>IF(B1159="","",IFERROR(INDEX(Categories!$B$5:$B$44,MATCH(B1159,Categories!$A$5:$A$44,0)),"?"))</f>
        <v/>
      </c>
      <c r="G1159">
        <f>IF(A1159="","",MONTH(A1159))</f>
        <v/>
      </c>
    </row>
    <row r="1160">
      <c r="A1160" s="25" t="n"/>
      <c r="B1160" s="11" t="n"/>
      <c r="C1160" s="24" t="n"/>
      <c r="D1160" s="11" t="n"/>
      <c r="E1160" s="11" t="n"/>
      <c r="F1160">
        <f>IF(B1160="","",IFERROR(INDEX(Categories!$B$5:$B$44,MATCH(B1160,Categories!$A$5:$A$44,0)),"?"))</f>
        <v/>
      </c>
      <c r="G1160">
        <f>IF(A1160="","",MONTH(A1160))</f>
        <v/>
      </c>
    </row>
    <row r="1161">
      <c r="A1161" s="25" t="n"/>
      <c r="B1161" s="11" t="n"/>
      <c r="C1161" s="24" t="n"/>
      <c r="D1161" s="11" t="n"/>
      <c r="E1161" s="11" t="n"/>
      <c r="F1161">
        <f>IF(B1161="","",IFERROR(INDEX(Categories!$B$5:$B$44,MATCH(B1161,Categories!$A$5:$A$44,0)),"?"))</f>
        <v/>
      </c>
      <c r="G1161">
        <f>IF(A1161="","",MONTH(A1161))</f>
        <v/>
      </c>
    </row>
    <row r="1162">
      <c r="A1162" s="25" t="n"/>
      <c r="B1162" s="11" t="n"/>
      <c r="C1162" s="24" t="n"/>
      <c r="D1162" s="11" t="n"/>
      <c r="E1162" s="11" t="n"/>
      <c r="F1162">
        <f>IF(B1162="","",IFERROR(INDEX(Categories!$B$5:$B$44,MATCH(B1162,Categories!$A$5:$A$44,0)),"?"))</f>
        <v/>
      </c>
      <c r="G1162">
        <f>IF(A1162="","",MONTH(A1162))</f>
        <v/>
      </c>
    </row>
    <row r="1163">
      <c r="A1163" s="25" t="n"/>
      <c r="B1163" s="11" t="n"/>
      <c r="C1163" s="24" t="n"/>
      <c r="D1163" s="11" t="n"/>
      <c r="E1163" s="11" t="n"/>
      <c r="F1163">
        <f>IF(B1163="","",IFERROR(INDEX(Categories!$B$5:$B$44,MATCH(B1163,Categories!$A$5:$A$44,0)),"?"))</f>
        <v/>
      </c>
      <c r="G1163">
        <f>IF(A1163="","",MONTH(A1163))</f>
        <v/>
      </c>
    </row>
    <row r="1164">
      <c r="A1164" s="25" t="n"/>
      <c r="B1164" s="11" t="n"/>
      <c r="C1164" s="24" t="n"/>
      <c r="D1164" s="11" t="n"/>
      <c r="E1164" s="11" t="n"/>
      <c r="F1164">
        <f>IF(B1164="","",IFERROR(INDEX(Categories!$B$5:$B$44,MATCH(B1164,Categories!$A$5:$A$44,0)),"?"))</f>
        <v/>
      </c>
      <c r="G1164">
        <f>IF(A1164="","",MONTH(A1164))</f>
        <v/>
      </c>
    </row>
    <row r="1165">
      <c r="A1165" s="25" t="n"/>
      <c r="B1165" s="11" t="n"/>
      <c r="C1165" s="24" t="n"/>
      <c r="D1165" s="11" t="n"/>
      <c r="E1165" s="11" t="n"/>
      <c r="F1165">
        <f>IF(B1165="","",IFERROR(INDEX(Categories!$B$5:$B$44,MATCH(B1165,Categories!$A$5:$A$44,0)),"?"))</f>
        <v/>
      </c>
      <c r="G1165">
        <f>IF(A1165="","",MONTH(A1165))</f>
        <v/>
      </c>
    </row>
    <row r="1166">
      <c r="A1166" s="25" t="n"/>
      <c r="B1166" s="11" t="n"/>
      <c r="C1166" s="24" t="n"/>
      <c r="D1166" s="11" t="n"/>
      <c r="E1166" s="11" t="n"/>
      <c r="F1166">
        <f>IF(B1166="","",IFERROR(INDEX(Categories!$B$5:$B$44,MATCH(B1166,Categories!$A$5:$A$44,0)),"?"))</f>
        <v/>
      </c>
      <c r="G1166">
        <f>IF(A1166="","",MONTH(A1166))</f>
        <v/>
      </c>
    </row>
    <row r="1167">
      <c r="A1167" s="25" t="n"/>
      <c r="B1167" s="11" t="n"/>
      <c r="C1167" s="24" t="n"/>
      <c r="D1167" s="11" t="n"/>
      <c r="E1167" s="11" t="n"/>
      <c r="F1167">
        <f>IF(B1167="","",IFERROR(INDEX(Categories!$B$5:$B$44,MATCH(B1167,Categories!$A$5:$A$44,0)),"?"))</f>
        <v/>
      </c>
      <c r="G1167">
        <f>IF(A1167="","",MONTH(A1167))</f>
        <v/>
      </c>
    </row>
    <row r="1168">
      <c r="A1168" s="25" t="n"/>
      <c r="B1168" s="11" t="n"/>
      <c r="C1168" s="24" t="n"/>
      <c r="D1168" s="11" t="n"/>
      <c r="E1168" s="11" t="n"/>
      <c r="F1168">
        <f>IF(B1168="","",IFERROR(INDEX(Categories!$B$5:$B$44,MATCH(B1168,Categories!$A$5:$A$44,0)),"?"))</f>
        <v/>
      </c>
      <c r="G1168">
        <f>IF(A1168="","",MONTH(A1168))</f>
        <v/>
      </c>
    </row>
    <row r="1169">
      <c r="A1169" s="25" t="n"/>
      <c r="B1169" s="11" t="n"/>
      <c r="C1169" s="24" t="n"/>
      <c r="D1169" s="11" t="n"/>
      <c r="E1169" s="11" t="n"/>
      <c r="F1169">
        <f>IF(B1169="","",IFERROR(INDEX(Categories!$B$5:$B$44,MATCH(B1169,Categories!$A$5:$A$44,0)),"?"))</f>
        <v/>
      </c>
      <c r="G1169">
        <f>IF(A1169="","",MONTH(A1169))</f>
        <v/>
      </c>
    </row>
    <row r="1170">
      <c r="A1170" s="25" t="n"/>
      <c r="B1170" s="11" t="n"/>
      <c r="C1170" s="24" t="n"/>
      <c r="D1170" s="11" t="n"/>
      <c r="E1170" s="11" t="n"/>
      <c r="F1170">
        <f>IF(B1170="","",IFERROR(INDEX(Categories!$B$5:$B$44,MATCH(B1170,Categories!$A$5:$A$44,0)),"?"))</f>
        <v/>
      </c>
      <c r="G1170">
        <f>IF(A1170="","",MONTH(A1170))</f>
        <v/>
      </c>
    </row>
    <row r="1171">
      <c r="A1171" s="25" t="n"/>
      <c r="B1171" s="11" t="n"/>
      <c r="C1171" s="24" t="n"/>
      <c r="D1171" s="11" t="n"/>
      <c r="E1171" s="11" t="n"/>
      <c r="F1171">
        <f>IF(B1171="","",IFERROR(INDEX(Categories!$B$5:$B$44,MATCH(B1171,Categories!$A$5:$A$44,0)),"?"))</f>
        <v/>
      </c>
      <c r="G1171">
        <f>IF(A1171="","",MONTH(A1171))</f>
        <v/>
      </c>
    </row>
    <row r="1172">
      <c r="A1172" s="25" t="n"/>
      <c r="B1172" s="11" t="n"/>
      <c r="C1172" s="24" t="n"/>
      <c r="D1172" s="11" t="n"/>
      <c r="E1172" s="11" t="n"/>
      <c r="F1172">
        <f>IF(B1172="","",IFERROR(INDEX(Categories!$B$5:$B$44,MATCH(B1172,Categories!$A$5:$A$44,0)),"?"))</f>
        <v/>
      </c>
      <c r="G1172">
        <f>IF(A1172="","",MONTH(A1172))</f>
        <v/>
      </c>
    </row>
    <row r="1173">
      <c r="A1173" s="25" t="n"/>
      <c r="B1173" s="11" t="n"/>
      <c r="C1173" s="24" t="n"/>
      <c r="D1173" s="11" t="n"/>
      <c r="E1173" s="11" t="n"/>
      <c r="F1173">
        <f>IF(B1173="","",IFERROR(INDEX(Categories!$B$5:$B$44,MATCH(B1173,Categories!$A$5:$A$44,0)),"?"))</f>
        <v/>
      </c>
      <c r="G1173">
        <f>IF(A1173="","",MONTH(A1173))</f>
        <v/>
      </c>
    </row>
    <row r="1174">
      <c r="A1174" s="25" t="n"/>
      <c r="B1174" s="11" t="n"/>
      <c r="C1174" s="24" t="n"/>
      <c r="D1174" s="11" t="n"/>
      <c r="E1174" s="11" t="n"/>
      <c r="F1174">
        <f>IF(B1174="","",IFERROR(INDEX(Categories!$B$5:$B$44,MATCH(B1174,Categories!$A$5:$A$44,0)),"?"))</f>
        <v/>
      </c>
      <c r="G1174">
        <f>IF(A1174="","",MONTH(A1174))</f>
        <v/>
      </c>
    </row>
    <row r="1175">
      <c r="A1175" s="25" t="n"/>
      <c r="B1175" s="11" t="n"/>
      <c r="C1175" s="24" t="n"/>
      <c r="D1175" s="11" t="n"/>
      <c r="E1175" s="11" t="n"/>
      <c r="F1175">
        <f>IF(B1175="","",IFERROR(INDEX(Categories!$B$5:$B$44,MATCH(B1175,Categories!$A$5:$A$44,0)),"?"))</f>
        <v/>
      </c>
      <c r="G1175">
        <f>IF(A1175="","",MONTH(A1175))</f>
        <v/>
      </c>
    </row>
    <row r="1176">
      <c r="A1176" s="25" t="n"/>
      <c r="B1176" s="11" t="n"/>
      <c r="C1176" s="24" t="n"/>
      <c r="D1176" s="11" t="n"/>
      <c r="E1176" s="11" t="n"/>
      <c r="F1176">
        <f>IF(B1176="","",IFERROR(INDEX(Categories!$B$5:$B$44,MATCH(B1176,Categories!$A$5:$A$44,0)),"?"))</f>
        <v/>
      </c>
      <c r="G1176">
        <f>IF(A1176="","",MONTH(A1176))</f>
        <v/>
      </c>
    </row>
    <row r="1177">
      <c r="A1177" s="25" t="n"/>
      <c r="B1177" s="11" t="n"/>
      <c r="C1177" s="24" t="n"/>
      <c r="D1177" s="11" t="n"/>
      <c r="E1177" s="11" t="n"/>
      <c r="F1177">
        <f>IF(B1177="","",IFERROR(INDEX(Categories!$B$5:$B$44,MATCH(B1177,Categories!$A$5:$A$44,0)),"?"))</f>
        <v/>
      </c>
      <c r="G1177">
        <f>IF(A1177="","",MONTH(A1177))</f>
        <v/>
      </c>
    </row>
    <row r="1178">
      <c r="A1178" s="25" t="n"/>
      <c r="B1178" s="11" t="n"/>
      <c r="C1178" s="24" t="n"/>
      <c r="D1178" s="11" t="n"/>
      <c r="E1178" s="11" t="n"/>
      <c r="F1178">
        <f>IF(B1178="","",IFERROR(INDEX(Categories!$B$5:$B$44,MATCH(B1178,Categories!$A$5:$A$44,0)),"?"))</f>
        <v/>
      </c>
      <c r="G1178">
        <f>IF(A1178="","",MONTH(A1178))</f>
        <v/>
      </c>
    </row>
    <row r="1179">
      <c r="A1179" s="25" t="n"/>
      <c r="B1179" s="11" t="n"/>
      <c r="C1179" s="24" t="n"/>
      <c r="D1179" s="11" t="n"/>
      <c r="E1179" s="11" t="n"/>
      <c r="F1179">
        <f>IF(B1179="","",IFERROR(INDEX(Categories!$B$5:$B$44,MATCH(B1179,Categories!$A$5:$A$44,0)),"?"))</f>
        <v/>
      </c>
      <c r="G1179">
        <f>IF(A1179="","",MONTH(A1179))</f>
        <v/>
      </c>
    </row>
    <row r="1180">
      <c r="A1180" s="25" t="n"/>
      <c r="B1180" s="11" t="n"/>
      <c r="C1180" s="24" t="n"/>
      <c r="D1180" s="11" t="n"/>
      <c r="E1180" s="11" t="n"/>
      <c r="F1180">
        <f>IF(B1180="","",IFERROR(INDEX(Categories!$B$5:$B$44,MATCH(B1180,Categories!$A$5:$A$44,0)),"?"))</f>
        <v/>
      </c>
      <c r="G1180">
        <f>IF(A1180="","",MONTH(A1180))</f>
        <v/>
      </c>
    </row>
    <row r="1181">
      <c r="A1181" s="25" t="n"/>
      <c r="B1181" s="11" t="n"/>
      <c r="C1181" s="24" t="n"/>
      <c r="D1181" s="11" t="n"/>
      <c r="E1181" s="11" t="n"/>
      <c r="F1181">
        <f>IF(B1181="","",IFERROR(INDEX(Categories!$B$5:$B$44,MATCH(B1181,Categories!$A$5:$A$44,0)),"?"))</f>
        <v/>
      </c>
      <c r="G1181">
        <f>IF(A1181="","",MONTH(A1181))</f>
        <v/>
      </c>
    </row>
    <row r="1182">
      <c r="A1182" s="25" t="n"/>
      <c r="B1182" s="11" t="n"/>
      <c r="C1182" s="24" t="n"/>
      <c r="D1182" s="11" t="n"/>
      <c r="E1182" s="11" t="n"/>
      <c r="F1182">
        <f>IF(B1182="","",IFERROR(INDEX(Categories!$B$5:$B$44,MATCH(B1182,Categories!$A$5:$A$44,0)),"?"))</f>
        <v/>
      </c>
      <c r="G1182">
        <f>IF(A1182="","",MONTH(A1182))</f>
        <v/>
      </c>
    </row>
    <row r="1183">
      <c r="A1183" s="25" t="n"/>
      <c r="B1183" s="11" t="n"/>
      <c r="C1183" s="24" t="n"/>
      <c r="D1183" s="11" t="n"/>
      <c r="E1183" s="11" t="n"/>
      <c r="F1183">
        <f>IF(B1183="","",IFERROR(INDEX(Categories!$B$5:$B$44,MATCH(B1183,Categories!$A$5:$A$44,0)),"?"))</f>
        <v/>
      </c>
      <c r="G1183">
        <f>IF(A1183="","",MONTH(A1183))</f>
        <v/>
      </c>
    </row>
    <row r="1184">
      <c r="A1184" s="25" t="n"/>
      <c r="B1184" s="11" t="n"/>
      <c r="C1184" s="24" t="n"/>
      <c r="D1184" s="11" t="n"/>
      <c r="E1184" s="11" t="n"/>
      <c r="F1184">
        <f>IF(B1184="","",IFERROR(INDEX(Categories!$B$5:$B$44,MATCH(B1184,Categories!$A$5:$A$44,0)),"?"))</f>
        <v/>
      </c>
      <c r="G1184">
        <f>IF(A1184="","",MONTH(A1184))</f>
        <v/>
      </c>
    </row>
    <row r="1185">
      <c r="A1185" s="25" t="n"/>
      <c r="B1185" s="11" t="n"/>
      <c r="C1185" s="24" t="n"/>
      <c r="D1185" s="11" t="n"/>
      <c r="E1185" s="11" t="n"/>
      <c r="F1185">
        <f>IF(B1185="","",IFERROR(INDEX(Categories!$B$5:$B$44,MATCH(B1185,Categories!$A$5:$A$44,0)),"?"))</f>
        <v/>
      </c>
      <c r="G1185">
        <f>IF(A1185="","",MONTH(A1185))</f>
        <v/>
      </c>
    </row>
    <row r="1186">
      <c r="A1186" s="25" t="n"/>
      <c r="B1186" s="11" t="n"/>
      <c r="C1186" s="24" t="n"/>
      <c r="D1186" s="11" t="n"/>
      <c r="E1186" s="11" t="n"/>
      <c r="F1186">
        <f>IF(B1186="","",IFERROR(INDEX(Categories!$B$5:$B$44,MATCH(B1186,Categories!$A$5:$A$44,0)),"?"))</f>
        <v/>
      </c>
      <c r="G1186">
        <f>IF(A1186="","",MONTH(A1186))</f>
        <v/>
      </c>
    </row>
    <row r="1187">
      <c r="A1187" s="25" t="n"/>
      <c r="B1187" s="11" t="n"/>
      <c r="C1187" s="24" t="n"/>
      <c r="D1187" s="11" t="n"/>
      <c r="E1187" s="11" t="n"/>
      <c r="F1187">
        <f>IF(B1187="","",IFERROR(INDEX(Categories!$B$5:$B$44,MATCH(B1187,Categories!$A$5:$A$44,0)),"?"))</f>
        <v/>
      </c>
      <c r="G1187">
        <f>IF(A1187="","",MONTH(A1187))</f>
        <v/>
      </c>
    </row>
    <row r="1188">
      <c r="A1188" s="25" t="n"/>
      <c r="B1188" s="11" t="n"/>
      <c r="C1188" s="24" t="n"/>
      <c r="D1188" s="11" t="n"/>
      <c r="E1188" s="11" t="n"/>
      <c r="F1188">
        <f>IF(B1188="","",IFERROR(INDEX(Categories!$B$5:$B$44,MATCH(B1188,Categories!$A$5:$A$44,0)),"?"))</f>
        <v/>
      </c>
      <c r="G1188">
        <f>IF(A1188="","",MONTH(A1188))</f>
        <v/>
      </c>
    </row>
    <row r="1189">
      <c r="A1189" s="25" t="n"/>
      <c r="B1189" s="11" t="n"/>
      <c r="C1189" s="24" t="n"/>
      <c r="D1189" s="11" t="n"/>
      <c r="E1189" s="11" t="n"/>
      <c r="F1189">
        <f>IF(B1189="","",IFERROR(INDEX(Categories!$B$5:$B$44,MATCH(B1189,Categories!$A$5:$A$44,0)),"?"))</f>
        <v/>
      </c>
      <c r="G1189">
        <f>IF(A1189="","",MONTH(A1189))</f>
        <v/>
      </c>
    </row>
    <row r="1190">
      <c r="A1190" s="25" t="n"/>
      <c r="B1190" s="11" t="n"/>
      <c r="C1190" s="24" t="n"/>
      <c r="D1190" s="11" t="n"/>
      <c r="E1190" s="11" t="n"/>
      <c r="F1190">
        <f>IF(B1190="","",IFERROR(INDEX(Categories!$B$5:$B$44,MATCH(B1190,Categories!$A$5:$A$44,0)),"?"))</f>
        <v/>
      </c>
      <c r="G1190">
        <f>IF(A1190="","",MONTH(A1190))</f>
        <v/>
      </c>
    </row>
    <row r="1191">
      <c r="A1191" s="25" t="n"/>
      <c r="B1191" s="11" t="n"/>
      <c r="C1191" s="24" t="n"/>
      <c r="D1191" s="11" t="n"/>
      <c r="E1191" s="11" t="n"/>
      <c r="F1191">
        <f>IF(B1191="","",IFERROR(INDEX(Categories!$B$5:$B$44,MATCH(B1191,Categories!$A$5:$A$44,0)),"?"))</f>
        <v/>
      </c>
      <c r="G1191">
        <f>IF(A1191="","",MONTH(A1191))</f>
        <v/>
      </c>
    </row>
    <row r="1192">
      <c r="A1192" s="25" t="n"/>
      <c r="B1192" s="11" t="n"/>
      <c r="C1192" s="24" t="n"/>
      <c r="D1192" s="11" t="n"/>
      <c r="E1192" s="11" t="n"/>
      <c r="F1192">
        <f>IF(B1192="","",IFERROR(INDEX(Categories!$B$5:$B$44,MATCH(B1192,Categories!$A$5:$A$44,0)),"?"))</f>
        <v/>
      </c>
      <c r="G1192">
        <f>IF(A1192="","",MONTH(A1192))</f>
        <v/>
      </c>
    </row>
    <row r="1193">
      <c r="A1193" s="25" t="n"/>
      <c r="B1193" s="11" t="n"/>
      <c r="C1193" s="24" t="n"/>
      <c r="D1193" s="11" t="n"/>
      <c r="E1193" s="11" t="n"/>
      <c r="F1193">
        <f>IF(B1193="","",IFERROR(INDEX(Categories!$B$5:$B$44,MATCH(B1193,Categories!$A$5:$A$44,0)),"?"))</f>
        <v/>
      </c>
      <c r="G1193">
        <f>IF(A1193="","",MONTH(A1193))</f>
        <v/>
      </c>
    </row>
    <row r="1194">
      <c r="A1194" s="25" t="n"/>
      <c r="B1194" s="11" t="n"/>
      <c r="C1194" s="24" t="n"/>
      <c r="D1194" s="11" t="n"/>
      <c r="E1194" s="11" t="n"/>
      <c r="F1194">
        <f>IF(B1194="","",IFERROR(INDEX(Categories!$B$5:$B$44,MATCH(B1194,Categories!$A$5:$A$44,0)),"?"))</f>
        <v/>
      </c>
      <c r="G1194">
        <f>IF(A1194="","",MONTH(A1194))</f>
        <v/>
      </c>
    </row>
    <row r="1195">
      <c r="A1195" s="25" t="n"/>
      <c r="B1195" s="11" t="n"/>
      <c r="C1195" s="24" t="n"/>
      <c r="D1195" s="11" t="n"/>
      <c r="E1195" s="11" t="n"/>
      <c r="F1195">
        <f>IF(B1195="","",IFERROR(INDEX(Categories!$B$5:$B$44,MATCH(B1195,Categories!$A$5:$A$44,0)),"?"))</f>
        <v/>
      </c>
      <c r="G1195">
        <f>IF(A1195="","",MONTH(A1195))</f>
        <v/>
      </c>
    </row>
    <row r="1196">
      <c r="A1196" s="25" t="n"/>
      <c r="B1196" s="11" t="n"/>
      <c r="C1196" s="24" t="n"/>
      <c r="D1196" s="11" t="n"/>
      <c r="E1196" s="11" t="n"/>
      <c r="F1196">
        <f>IF(B1196="","",IFERROR(INDEX(Categories!$B$5:$B$44,MATCH(B1196,Categories!$A$5:$A$44,0)),"?"))</f>
        <v/>
      </c>
      <c r="G1196">
        <f>IF(A1196="","",MONTH(A1196))</f>
        <v/>
      </c>
    </row>
    <row r="1197">
      <c r="A1197" s="25" t="n"/>
      <c r="B1197" s="11" t="n"/>
      <c r="C1197" s="24" t="n"/>
      <c r="D1197" s="11" t="n"/>
      <c r="E1197" s="11" t="n"/>
      <c r="F1197">
        <f>IF(B1197="","",IFERROR(INDEX(Categories!$B$5:$B$44,MATCH(B1197,Categories!$A$5:$A$44,0)),"?"))</f>
        <v/>
      </c>
      <c r="G1197">
        <f>IF(A1197="","",MONTH(A1197))</f>
        <v/>
      </c>
    </row>
    <row r="1198">
      <c r="A1198" s="25" t="n"/>
      <c r="B1198" s="11" t="n"/>
      <c r="C1198" s="24" t="n"/>
      <c r="D1198" s="11" t="n"/>
      <c r="E1198" s="11" t="n"/>
      <c r="F1198">
        <f>IF(B1198="","",IFERROR(INDEX(Categories!$B$5:$B$44,MATCH(B1198,Categories!$A$5:$A$44,0)),"?"))</f>
        <v/>
      </c>
      <c r="G1198">
        <f>IF(A1198="","",MONTH(A1198))</f>
        <v/>
      </c>
    </row>
    <row r="1199">
      <c r="A1199" s="25" t="n"/>
      <c r="B1199" s="11" t="n"/>
      <c r="C1199" s="24" t="n"/>
      <c r="D1199" s="11" t="n"/>
      <c r="E1199" s="11" t="n"/>
      <c r="F1199">
        <f>IF(B1199="","",IFERROR(INDEX(Categories!$B$5:$B$44,MATCH(B1199,Categories!$A$5:$A$44,0)),"?"))</f>
        <v/>
      </c>
      <c r="G1199">
        <f>IF(A1199="","",MONTH(A1199))</f>
        <v/>
      </c>
    </row>
    <row r="1200">
      <c r="A1200" s="25" t="n"/>
      <c r="B1200" s="11" t="n"/>
      <c r="C1200" s="24" t="n"/>
      <c r="D1200" s="11" t="n"/>
      <c r="E1200" s="11" t="n"/>
      <c r="F1200">
        <f>IF(B1200="","",IFERROR(INDEX(Categories!$B$5:$B$44,MATCH(B1200,Categories!$A$5:$A$44,0)),"?"))</f>
        <v/>
      </c>
      <c r="G1200">
        <f>IF(A1200="","",MONTH(A1200))</f>
        <v/>
      </c>
    </row>
    <row r="1201">
      <c r="A1201" s="25" t="n"/>
      <c r="B1201" s="11" t="n"/>
      <c r="C1201" s="24" t="n"/>
      <c r="D1201" s="11" t="n"/>
      <c r="E1201" s="11" t="n"/>
      <c r="F1201">
        <f>IF(B1201="","",IFERROR(INDEX(Categories!$B$5:$B$44,MATCH(B1201,Categories!$A$5:$A$44,0)),"?"))</f>
        <v/>
      </c>
      <c r="G1201">
        <f>IF(A1201="","",MONTH(A1201))</f>
        <v/>
      </c>
    </row>
    <row r="1202">
      <c r="A1202" s="25" t="n"/>
      <c r="B1202" s="11" t="n"/>
      <c r="C1202" s="24" t="n"/>
      <c r="D1202" s="11" t="n"/>
      <c r="E1202" s="11" t="n"/>
      <c r="F1202">
        <f>IF(B1202="","",IFERROR(INDEX(Categories!$B$5:$B$44,MATCH(B1202,Categories!$A$5:$A$44,0)),"?"))</f>
        <v/>
      </c>
      <c r="G1202">
        <f>IF(A1202="","",MONTH(A1202))</f>
        <v/>
      </c>
    </row>
    <row r="1203">
      <c r="A1203" s="25" t="n"/>
      <c r="B1203" s="11" t="n"/>
      <c r="C1203" s="24" t="n"/>
      <c r="D1203" s="11" t="n"/>
      <c r="E1203" s="11" t="n"/>
      <c r="F1203">
        <f>IF(B1203="","",IFERROR(INDEX(Categories!$B$5:$B$44,MATCH(B1203,Categories!$A$5:$A$44,0)),"?"))</f>
        <v/>
      </c>
      <c r="G1203">
        <f>IF(A1203="","",MONTH(A1203))</f>
        <v/>
      </c>
    </row>
    <row r="1204">
      <c r="A1204" s="25" t="n"/>
      <c r="B1204" s="11" t="n"/>
      <c r="C1204" s="24" t="n"/>
      <c r="D1204" s="11" t="n"/>
      <c r="E1204" s="11" t="n"/>
      <c r="F1204">
        <f>IF(B1204="","",IFERROR(INDEX(Categories!$B$5:$B$44,MATCH(B1204,Categories!$A$5:$A$44,0)),"?"))</f>
        <v/>
      </c>
      <c r="G1204">
        <f>IF(A1204="","",MONTH(A1204))</f>
        <v/>
      </c>
    </row>
    <row r="1205">
      <c r="A1205" s="25" t="n"/>
      <c r="B1205" s="11" t="n"/>
      <c r="C1205" s="24" t="n"/>
      <c r="D1205" s="11" t="n"/>
      <c r="E1205" s="11" t="n"/>
      <c r="F1205">
        <f>IF(B1205="","",IFERROR(INDEX(Categories!$B$5:$B$44,MATCH(B1205,Categories!$A$5:$A$44,0)),"?"))</f>
        <v/>
      </c>
      <c r="G1205">
        <f>IF(A1205="","",MONTH(A1205))</f>
        <v/>
      </c>
    </row>
    <row r="1206">
      <c r="A1206" s="25" t="n"/>
      <c r="B1206" s="11" t="n"/>
      <c r="C1206" s="24" t="n"/>
      <c r="D1206" s="11" t="n"/>
      <c r="E1206" s="11" t="n"/>
      <c r="F1206">
        <f>IF(B1206="","",IFERROR(INDEX(Categories!$B$5:$B$44,MATCH(B1206,Categories!$A$5:$A$44,0)),"?"))</f>
        <v/>
      </c>
      <c r="G1206">
        <f>IF(A1206="","",MONTH(A1206))</f>
        <v/>
      </c>
    </row>
    <row r="1207">
      <c r="A1207" s="25" t="n"/>
      <c r="B1207" s="11" t="n"/>
      <c r="C1207" s="24" t="n"/>
      <c r="D1207" s="11" t="n"/>
      <c r="E1207" s="11" t="n"/>
      <c r="F1207">
        <f>IF(B1207="","",IFERROR(INDEX(Categories!$B$5:$B$44,MATCH(B1207,Categories!$A$5:$A$44,0)),"?"))</f>
        <v/>
      </c>
      <c r="G1207">
        <f>IF(A1207="","",MONTH(A1207))</f>
        <v/>
      </c>
    </row>
    <row r="1208">
      <c r="A1208" s="25" t="n"/>
      <c r="B1208" s="11" t="n"/>
      <c r="C1208" s="24" t="n"/>
      <c r="D1208" s="11" t="n"/>
      <c r="E1208" s="11" t="n"/>
      <c r="F1208">
        <f>IF(B1208="","",IFERROR(INDEX(Categories!$B$5:$B$44,MATCH(B1208,Categories!$A$5:$A$44,0)),"?"))</f>
        <v/>
      </c>
      <c r="G1208">
        <f>IF(A1208="","",MONTH(A1208))</f>
        <v/>
      </c>
    </row>
    <row r="1209">
      <c r="A1209" s="25" t="n"/>
      <c r="B1209" s="11" t="n"/>
      <c r="C1209" s="24" t="n"/>
      <c r="D1209" s="11" t="n"/>
      <c r="E1209" s="11" t="n"/>
      <c r="F1209">
        <f>IF(B1209="","",IFERROR(INDEX(Categories!$B$5:$B$44,MATCH(B1209,Categories!$A$5:$A$44,0)),"?"))</f>
        <v/>
      </c>
      <c r="G1209">
        <f>IF(A1209="","",MONTH(A1209))</f>
        <v/>
      </c>
    </row>
    <row r="1210">
      <c r="A1210" s="25" t="n"/>
      <c r="B1210" s="11" t="n"/>
      <c r="C1210" s="24" t="n"/>
      <c r="D1210" s="11" t="n"/>
      <c r="E1210" s="11" t="n"/>
      <c r="F1210">
        <f>IF(B1210="","",IFERROR(INDEX(Categories!$B$5:$B$44,MATCH(B1210,Categories!$A$5:$A$44,0)),"?"))</f>
        <v/>
      </c>
      <c r="G1210">
        <f>IF(A1210="","",MONTH(A1210))</f>
        <v/>
      </c>
    </row>
    <row r="1211">
      <c r="A1211" s="25" t="n"/>
      <c r="B1211" s="11" t="n"/>
      <c r="C1211" s="24" t="n"/>
      <c r="D1211" s="11" t="n"/>
      <c r="E1211" s="11" t="n"/>
      <c r="F1211">
        <f>IF(B1211="","",IFERROR(INDEX(Categories!$B$5:$B$44,MATCH(B1211,Categories!$A$5:$A$44,0)),"?"))</f>
        <v/>
      </c>
      <c r="G1211">
        <f>IF(A1211="","",MONTH(A1211))</f>
        <v/>
      </c>
    </row>
    <row r="1212">
      <c r="A1212" s="25" t="n"/>
      <c r="B1212" s="11" t="n"/>
      <c r="C1212" s="24" t="n"/>
      <c r="D1212" s="11" t="n"/>
      <c r="E1212" s="11" t="n"/>
      <c r="F1212">
        <f>IF(B1212="","",IFERROR(INDEX(Categories!$B$5:$B$44,MATCH(B1212,Categories!$A$5:$A$44,0)),"?"))</f>
        <v/>
      </c>
      <c r="G1212">
        <f>IF(A1212="","",MONTH(A1212))</f>
        <v/>
      </c>
    </row>
    <row r="1213">
      <c r="A1213" s="25" t="n"/>
      <c r="B1213" s="11" t="n"/>
      <c r="C1213" s="24" t="n"/>
      <c r="D1213" s="11" t="n"/>
      <c r="E1213" s="11" t="n"/>
      <c r="F1213">
        <f>IF(B1213="","",IFERROR(INDEX(Categories!$B$5:$B$44,MATCH(B1213,Categories!$A$5:$A$44,0)),"?"))</f>
        <v/>
      </c>
      <c r="G1213">
        <f>IF(A1213="","",MONTH(A1213))</f>
        <v/>
      </c>
    </row>
    <row r="1214">
      <c r="A1214" s="25" t="n"/>
      <c r="B1214" s="11" t="n"/>
      <c r="C1214" s="24" t="n"/>
      <c r="D1214" s="11" t="n"/>
      <c r="E1214" s="11" t="n"/>
      <c r="F1214">
        <f>IF(B1214="","",IFERROR(INDEX(Categories!$B$5:$B$44,MATCH(B1214,Categories!$A$5:$A$44,0)),"?"))</f>
        <v/>
      </c>
      <c r="G1214">
        <f>IF(A1214="","",MONTH(A1214))</f>
        <v/>
      </c>
    </row>
    <row r="1215">
      <c r="A1215" s="25" t="n"/>
      <c r="B1215" s="11" t="n"/>
      <c r="C1215" s="24" t="n"/>
      <c r="D1215" s="11" t="n"/>
      <c r="E1215" s="11" t="n"/>
      <c r="F1215">
        <f>IF(B1215="","",IFERROR(INDEX(Categories!$B$5:$B$44,MATCH(B1215,Categories!$A$5:$A$44,0)),"?"))</f>
        <v/>
      </c>
      <c r="G1215">
        <f>IF(A1215="","",MONTH(A1215))</f>
        <v/>
      </c>
    </row>
    <row r="1216">
      <c r="A1216" s="25" t="n"/>
      <c r="B1216" s="11" t="n"/>
      <c r="C1216" s="24" t="n"/>
      <c r="D1216" s="11" t="n"/>
      <c r="E1216" s="11" t="n"/>
      <c r="F1216">
        <f>IF(B1216="","",IFERROR(INDEX(Categories!$B$5:$B$44,MATCH(B1216,Categories!$A$5:$A$44,0)),"?"))</f>
        <v/>
      </c>
      <c r="G1216">
        <f>IF(A1216="","",MONTH(A1216))</f>
        <v/>
      </c>
    </row>
    <row r="1217">
      <c r="A1217" s="25" t="n"/>
      <c r="B1217" s="11" t="n"/>
      <c r="C1217" s="24" t="n"/>
      <c r="D1217" s="11" t="n"/>
      <c r="E1217" s="11" t="n"/>
      <c r="F1217">
        <f>IF(B1217="","",IFERROR(INDEX(Categories!$B$5:$B$44,MATCH(B1217,Categories!$A$5:$A$44,0)),"?"))</f>
        <v/>
      </c>
      <c r="G1217">
        <f>IF(A1217="","",MONTH(A1217))</f>
        <v/>
      </c>
    </row>
    <row r="1218">
      <c r="A1218" s="25" t="n"/>
      <c r="B1218" s="11" t="n"/>
      <c r="C1218" s="24" t="n"/>
      <c r="D1218" s="11" t="n"/>
      <c r="E1218" s="11" t="n"/>
      <c r="F1218">
        <f>IF(B1218="","",IFERROR(INDEX(Categories!$B$5:$B$44,MATCH(B1218,Categories!$A$5:$A$44,0)),"?"))</f>
        <v/>
      </c>
      <c r="G1218">
        <f>IF(A1218="","",MONTH(A1218))</f>
        <v/>
      </c>
    </row>
    <row r="1219">
      <c r="A1219" s="25" t="n"/>
      <c r="B1219" s="11" t="n"/>
      <c r="C1219" s="24" t="n"/>
      <c r="D1219" s="11" t="n"/>
      <c r="E1219" s="11" t="n"/>
      <c r="F1219">
        <f>IF(B1219="","",IFERROR(INDEX(Categories!$B$5:$B$44,MATCH(B1219,Categories!$A$5:$A$44,0)),"?"))</f>
        <v/>
      </c>
      <c r="G1219">
        <f>IF(A1219="","",MONTH(A1219))</f>
        <v/>
      </c>
    </row>
    <row r="1220">
      <c r="A1220" s="25" t="n"/>
      <c r="B1220" s="11" t="n"/>
      <c r="C1220" s="24" t="n"/>
      <c r="D1220" s="11" t="n"/>
      <c r="E1220" s="11" t="n"/>
      <c r="F1220">
        <f>IF(B1220="","",IFERROR(INDEX(Categories!$B$5:$B$44,MATCH(B1220,Categories!$A$5:$A$44,0)),"?"))</f>
        <v/>
      </c>
      <c r="G1220">
        <f>IF(A1220="","",MONTH(A1220))</f>
        <v/>
      </c>
    </row>
    <row r="1221">
      <c r="A1221" s="25" t="n"/>
      <c r="B1221" s="11" t="n"/>
      <c r="C1221" s="24" t="n"/>
      <c r="D1221" s="11" t="n"/>
      <c r="E1221" s="11" t="n"/>
      <c r="F1221">
        <f>IF(B1221="","",IFERROR(INDEX(Categories!$B$5:$B$44,MATCH(B1221,Categories!$A$5:$A$44,0)),"?"))</f>
        <v/>
      </c>
      <c r="G1221">
        <f>IF(A1221="","",MONTH(A1221))</f>
        <v/>
      </c>
    </row>
    <row r="1222">
      <c r="A1222" s="25" t="n"/>
      <c r="B1222" s="11" t="n"/>
      <c r="C1222" s="24" t="n"/>
      <c r="D1222" s="11" t="n"/>
      <c r="E1222" s="11" t="n"/>
      <c r="F1222">
        <f>IF(B1222="","",IFERROR(INDEX(Categories!$B$5:$B$44,MATCH(B1222,Categories!$A$5:$A$44,0)),"?"))</f>
        <v/>
      </c>
      <c r="G1222">
        <f>IF(A1222="","",MONTH(A1222))</f>
        <v/>
      </c>
    </row>
    <row r="1223">
      <c r="A1223" s="25" t="n"/>
      <c r="B1223" s="11" t="n"/>
      <c r="C1223" s="24" t="n"/>
      <c r="D1223" s="11" t="n"/>
      <c r="E1223" s="11" t="n"/>
      <c r="F1223">
        <f>IF(B1223="","",IFERROR(INDEX(Categories!$B$5:$B$44,MATCH(B1223,Categories!$A$5:$A$44,0)),"?"))</f>
        <v/>
      </c>
      <c r="G1223">
        <f>IF(A1223="","",MONTH(A1223))</f>
        <v/>
      </c>
    </row>
    <row r="1224">
      <c r="A1224" s="25" t="n"/>
      <c r="B1224" s="11" t="n"/>
      <c r="C1224" s="24" t="n"/>
      <c r="D1224" s="11" t="n"/>
      <c r="E1224" s="11" t="n"/>
      <c r="F1224">
        <f>IF(B1224="","",IFERROR(INDEX(Categories!$B$5:$B$44,MATCH(B1224,Categories!$A$5:$A$44,0)),"?"))</f>
        <v/>
      </c>
      <c r="G1224">
        <f>IF(A1224="","",MONTH(A1224))</f>
        <v/>
      </c>
    </row>
    <row r="1225">
      <c r="A1225" s="25" t="n"/>
      <c r="B1225" s="11" t="n"/>
      <c r="C1225" s="24" t="n"/>
      <c r="D1225" s="11" t="n"/>
      <c r="E1225" s="11" t="n"/>
      <c r="F1225">
        <f>IF(B1225="","",IFERROR(INDEX(Categories!$B$5:$B$44,MATCH(B1225,Categories!$A$5:$A$44,0)),"?"))</f>
        <v/>
      </c>
      <c r="G1225">
        <f>IF(A1225="","",MONTH(A1225))</f>
        <v/>
      </c>
    </row>
    <row r="1226">
      <c r="A1226" s="25" t="n"/>
      <c r="B1226" s="11" t="n"/>
      <c r="C1226" s="24" t="n"/>
      <c r="D1226" s="11" t="n"/>
      <c r="E1226" s="11" t="n"/>
      <c r="F1226">
        <f>IF(B1226="","",IFERROR(INDEX(Categories!$B$5:$B$44,MATCH(B1226,Categories!$A$5:$A$44,0)),"?"))</f>
        <v/>
      </c>
      <c r="G1226">
        <f>IF(A1226="","",MONTH(A1226))</f>
        <v/>
      </c>
    </row>
    <row r="1227">
      <c r="A1227" s="25" t="n"/>
      <c r="B1227" s="11" t="n"/>
      <c r="C1227" s="24" t="n"/>
      <c r="D1227" s="11" t="n"/>
      <c r="E1227" s="11" t="n"/>
      <c r="F1227">
        <f>IF(B1227="","",IFERROR(INDEX(Categories!$B$5:$B$44,MATCH(B1227,Categories!$A$5:$A$44,0)),"?"))</f>
        <v/>
      </c>
      <c r="G1227">
        <f>IF(A1227="","",MONTH(A1227))</f>
        <v/>
      </c>
    </row>
    <row r="1228">
      <c r="A1228" s="25" t="n"/>
      <c r="B1228" s="11" t="n"/>
      <c r="C1228" s="24" t="n"/>
      <c r="D1228" s="11" t="n"/>
      <c r="E1228" s="11" t="n"/>
      <c r="F1228">
        <f>IF(B1228="","",IFERROR(INDEX(Categories!$B$5:$B$44,MATCH(B1228,Categories!$A$5:$A$44,0)),"?"))</f>
        <v/>
      </c>
      <c r="G1228">
        <f>IF(A1228="","",MONTH(A1228))</f>
        <v/>
      </c>
    </row>
    <row r="1229">
      <c r="A1229" s="25" t="n"/>
      <c r="B1229" s="11" t="n"/>
      <c r="C1229" s="24" t="n"/>
      <c r="D1229" s="11" t="n"/>
      <c r="E1229" s="11" t="n"/>
      <c r="F1229">
        <f>IF(B1229="","",IFERROR(INDEX(Categories!$B$5:$B$44,MATCH(B1229,Categories!$A$5:$A$44,0)),"?"))</f>
        <v/>
      </c>
      <c r="G1229">
        <f>IF(A1229="","",MONTH(A1229))</f>
        <v/>
      </c>
    </row>
    <row r="1230">
      <c r="A1230" s="25" t="n"/>
      <c r="B1230" s="11" t="n"/>
      <c r="C1230" s="24" t="n"/>
      <c r="D1230" s="11" t="n"/>
      <c r="E1230" s="11" t="n"/>
      <c r="F1230">
        <f>IF(B1230="","",IFERROR(INDEX(Categories!$B$5:$B$44,MATCH(B1230,Categories!$A$5:$A$44,0)),"?"))</f>
        <v/>
      </c>
      <c r="G1230">
        <f>IF(A1230="","",MONTH(A1230))</f>
        <v/>
      </c>
    </row>
    <row r="1231">
      <c r="A1231" s="25" t="n"/>
      <c r="B1231" s="11" t="n"/>
      <c r="C1231" s="24" t="n"/>
      <c r="D1231" s="11" t="n"/>
      <c r="E1231" s="11" t="n"/>
      <c r="F1231">
        <f>IF(B1231="","",IFERROR(INDEX(Categories!$B$5:$B$44,MATCH(B1231,Categories!$A$5:$A$44,0)),"?"))</f>
        <v/>
      </c>
      <c r="G1231">
        <f>IF(A1231="","",MONTH(A1231))</f>
        <v/>
      </c>
    </row>
    <row r="1232">
      <c r="A1232" s="25" t="n"/>
      <c r="B1232" s="11" t="n"/>
      <c r="C1232" s="24" t="n"/>
      <c r="D1232" s="11" t="n"/>
      <c r="E1232" s="11" t="n"/>
      <c r="F1232">
        <f>IF(B1232="","",IFERROR(INDEX(Categories!$B$5:$B$44,MATCH(B1232,Categories!$A$5:$A$44,0)),"?"))</f>
        <v/>
      </c>
      <c r="G1232">
        <f>IF(A1232="","",MONTH(A1232))</f>
        <v/>
      </c>
    </row>
    <row r="1233">
      <c r="A1233" s="25" t="n"/>
      <c r="B1233" s="11" t="n"/>
      <c r="C1233" s="24" t="n"/>
      <c r="D1233" s="11" t="n"/>
      <c r="E1233" s="11" t="n"/>
      <c r="F1233">
        <f>IF(B1233="","",IFERROR(INDEX(Categories!$B$5:$B$44,MATCH(B1233,Categories!$A$5:$A$44,0)),"?"))</f>
        <v/>
      </c>
      <c r="G1233">
        <f>IF(A1233="","",MONTH(A1233))</f>
        <v/>
      </c>
    </row>
    <row r="1234">
      <c r="A1234" s="25" t="n"/>
      <c r="B1234" s="11" t="n"/>
      <c r="C1234" s="24" t="n"/>
      <c r="D1234" s="11" t="n"/>
      <c r="E1234" s="11" t="n"/>
      <c r="F1234">
        <f>IF(B1234="","",IFERROR(INDEX(Categories!$B$5:$B$44,MATCH(B1234,Categories!$A$5:$A$44,0)),"?"))</f>
        <v/>
      </c>
      <c r="G1234">
        <f>IF(A1234="","",MONTH(A1234))</f>
        <v/>
      </c>
    </row>
    <row r="1235">
      <c r="A1235" s="25" t="n"/>
      <c r="B1235" s="11" t="n"/>
      <c r="C1235" s="24" t="n"/>
      <c r="D1235" s="11" t="n"/>
      <c r="E1235" s="11" t="n"/>
      <c r="F1235">
        <f>IF(B1235="","",IFERROR(INDEX(Categories!$B$5:$B$44,MATCH(B1235,Categories!$A$5:$A$44,0)),"?"))</f>
        <v/>
      </c>
      <c r="G1235">
        <f>IF(A1235="","",MONTH(A1235))</f>
        <v/>
      </c>
    </row>
    <row r="1236">
      <c r="A1236" s="25" t="n"/>
      <c r="B1236" s="11" t="n"/>
      <c r="C1236" s="24" t="n"/>
      <c r="D1236" s="11" t="n"/>
      <c r="E1236" s="11" t="n"/>
      <c r="F1236">
        <f>IF(B1236="","",IFERROR(INDEX(Categories!$B$5:$B$44,MATCH(B1236,Categories!$A$5:$A$44,0)),"?"))</f>
        <v/>
      </c>
      <c r="G1236">
        <f>IF(A1236="","",MONTH(A1236))</f>
        <v/>
      </c>
    </row>
    <row r="1237">
      <c r="A1237" s="25" t="n"/>
      <c r="B1237" s="11" t="n"/>
      <c r="C1237" s="24" t="n"/>
      <c r="D1237" s="11" t="n"/>
      <c r="E1237" s="11" t="n"/>
      <c r="F1237">
        <f>IF(B1237="","",IFERROR(INDEX(Categories!$B$5:$B$44,MATCH(B1237,Categories!$A$5:$A$44,0)),"?"))</f>
        <v/>
      </c>
      <c r="G1237">
        <f>IF(A1237="","",MONTH(A1237))</f>
        <v/>
      </c>
    </row>
    <row r="1238">
      <c r="A1238" s="25" t="n"/>
      <c r="B1238" s="11" t="n"/>
      <c r="C1238" s="24" t="n"/>
      <c r="D1238" s="11" t="n"/>
      <c r="E1238" s="11" t="n"/>
      <c r="F1238">
        <f>IF(B1238="","",IFERROR(INDEX(Categories!$B$5:$B$44,MATCH(B1238,Categories!$A$5:$A$44,0)),"?"))</f>
        <v/>
      </c>
      <c r="G1238">
        <f>IF(A1238="","",MONTH(A1238))</f>
        <v/>
      </c>
    </row>
    <row r="1239">
      <c r="A1239" s="25" t="n"/>
      <c r="B1239" s="11" t="n"/>
      <c r="C1239" s="24" t="n"/>
      <c r="D1239" s="11" t="n"/>
      <c r="E1239" s="11" t="n"/>
      <c r="F1239">
        <f>IF(B1239="","",IFERROR(INDEX(Categories!$B$5:$B$44,MATCH(B1239,Categories!$A$5:$A$44,0)),"?"))</f>
        <v/>
      </c>
      <c r="G1239">
        <f>IF(A1239="","",MONTH(A1239))</f>
        <v/>
      </c>
    </row>
    <row r="1240">
      <c r="A1240" s="25" t="n"/>
      <c r="B1240" s="11" t="n"/>
      <c r="C1240" s="24" t="n"/>
      <c r="D1240" s="11" t="n"/>
      <c r="E1240" s="11" t="n"/>
      <c r="F1240">
        <f>IF(B1240="","",IFERROR(INDEX(Categories!$B$5:$B$44,MATCH(B1240,Categories!$A$5:$A$44,0)),"?"))</f>
        <v/>
      </c>
      <c r="G1240">
        <f>IF(A1240="","",MONTH(A1240))</f>
        <v/>
      </c>
    </row>
    <row r="1241">
      <c r="A1241" s="25" t="n"/>
      <c r="B1241" s="11" t="n"/>
      <c r="C1241" s="24" t="n"/>
      <c r="D1241" s="11" t="n"/>
      <c r="E1241" s="11" t="n"/>
      <c r="F1241">
        <f>IF(B1241="","",IFERROR(INDEX(Categories!$B$5:$B$44,MATCH(B1241,Categories!$A$5:$A$44,0)),"?"))</f>
        <v/>
      </c>
      <c r="G1241">
        <f>IF(A1241="","",MONTH(A1241))</f>
        <v/>
      </c>
    </row>
    <row r="1242">
      <c r="A1242" s="25" t="n"/>
      <c r="B1242" s="11" t="n"/>
      <c r="C1242" s="24" t="n"/>
      <c r="D1242" s="11" t="n"/>
      <c r="E1242" s="11" t="n"/>
      <c r="F1242">
        <f>IF(B1242="","",IFERROR(INDEX(Categories!$B$5:$B$44,MATCH(B1242,Categories!$A$5:$A$44,0)),"?"))</f>
        <v/>
      </c>
      <c r="G1242">
        <f>IF(A1242="","",MONTH(A1242))</f>
        <v/>
      </c>
    </row>
    <row r="1243">
      <c r="A1243" s="25" t="n"/>
      <c r="B1243" s="11" t="n"/>
      <c r="C1243" s="24" t="n"/>
      <c r="D1243" s="11" t="n"/>
      <c r="E1243" s="11" t="n"/>
      <c r="F1243">
        <f>IF(B1243="","",IFERROR(INDEX(Categories!$B$5:$B$44,MATCH(B1243,Categories!$A$5:$A$44,0)),"?"))</f>
        <v/>
      </c>
      <c r="G1243">
        <f>IF(A1243="","",MONTH(A1243))</f>
        <v/>
      </c>
    </row>
    <row r="1244">
      <c r="A1244" s="25" t="n"/>
      <c r="B1244" s="11" t="n"/>
      <c r="C1244" s="24" t="n"/>
      <c r="D1244" s="11" t="n"/>
      <c r="E1244" s="11" t="n"/>
      <c r="F1244">
        <f>IF(B1244="","",IFERROR(INDEX(Categories!$B$5:$B$44,MATCH(B1244,Categories!$A$5:$A$44,0)),"?"))</f>
        <v/>
      </c>
      <c r="G1244">
        <f>IF(A1244="","",MONTH(A1244))</f>
        <v/>
      </c>
    </row>
    <row r="1245">
      <c r="A1245" s="25" t="n"/>
      <c r="B1245" s="11" t="n"/>
      <c r="C1245" s="24" t="n"/>
      <c r="D1245" s="11" t="n"/>
      <c r="E1245" s="11" t="n"/>
      <c r="F1245">
        <f>IF(B1245="","",IFERROR(INDEX(Categories!$B$5:$B$44,MATCH(B1245,Categories!$A$5:$A$44,0)),"?"))</f>
        <v/>
      </c>
      <c r="G1245">
        <f>IF(A1245="","",MONTH(A1245))</f>
        <v/>
      </c>
    </row>
    <row r="1246">
      <c r="A1246" s="25" t="n"/>
      <c r="B1246" s="11" t="n"/>
      <c r="C1246" s="24" t="n"/>
      <c r="D1246" s="11" t="n"/>
      <c r="E1246" s="11" t="n"/>
      <c r="F1246">
        <f>IF(B1246="","",IFERROR(INDEX(Categories!$B$5:$B$44,MATCH(B1246,Categories!$A$5:$A$44,0)),"?"))</f>
        <v/>
      </c>
      <c r="G1246">
        <f>IF(A1246="","",MONTH(A1246))</f>
        <v/>
      </c>
    </row>
    <row r="1247">
      <c r="A1247" s="25" t="n"/>
      <c r="B1247" s="11" t="n"/>
      <c r="C1247" s="24" t="n"/>
      <c r="D1247" s="11" t="n"/>
      <c r="E1247" s="11" t="n"/>
      <c r="F1247">
        <f>IF(B1247="","",IFERROR(INDEX(Categories!$B$5:$B$44,MATCH(B1247,Categories!$A$5:$A$44,0)),"?"))</f>
        <v/>
      </c>
      <c r="G1247">
        <f>IF(A1247="","",MONTH(A1247))</f>
        <v/>
      </c>
    </row>
    <row r="1248">
      <c r="A1248" s="25" t="n"/>
      <c r="B1248" s="11" t="n"/>
      <c r="C1248" s="24" t="n"/>
      <c r="D1248" s="11" t="n"/>
      <c r="E1248" s="11" t="n"/>
      <c r="F1248">
        <f>IF(B1248="","",IFERROR(INDEX(Categories!$B$5:$B$44,MATCH(B1248,Categories!$A$5:$A$44,0)),"?"))</f>
        <v/>
      </c>
      <c r="G1248">
        <f>IF(A1248="","",MONTH(A1248))</f>
        <v/>
      </c>
    </row>
    <row r="1249">
      <c r="A1249" s="25" t="n"/>
      <c r="B1249" s="11" t="n"/>
      <c r="C1249" s="24" t="n"/>
      <c r="D1249" s="11" t="n"/>
      <c r="E1249" s="11" t="n"/>
      <c r="F1249">
        <f>IF(B1249="","",IFERROR(INDEX(Categories!$B$5:$B$44,MATCH(B1249,Categories!$A$5:$A$44,0)),"?"))</f>
        <v/>
      </c>
      <c r="G1249">
        <f>IF(A1249="","",MONTH(A1249))</f>
        <v/>
      </c>
    </row>
    <row r="1250">
      <c r="A1250" s="25" t="n"/>
      <c r="B1250" s="11" t="n"/>
      <c r="C1250" s="24" t="n"/>
      <c r="D1250" s="11" t="n"/>
      <c r="E1250" s="11" t="n"/>
      <c r="F1250">
        <f>IF(B1250="","",IFERROR(INDEX(Categories!$B$5:$B$44,MATCH(B1250,Categories!$A$5:$A$44,0)),"?"))</f>
        <v/>
      </c>
      <c r="G1250">
        <f>IF(A1250="","",MONTH(A1250))</f>
        <v/>
      </c>
    </row>
    <row r="1251">
      <c r="A1251" s="25" t="n"/>
      <c r="B1251" s="11" t="n"/>
      <c r="C1251" s="24" t="n"/>
      <c r="D1251" s="11" t="n"/>
      <c r="E1251" s="11" t="n"/>
      <c r="F1251">
        <f>IF(B1251="","",IFERROR(INDEX(Categories!$B$5:$B$44,MATCH(B1251,Categories!$A$5:$A$44,0)),"?"))</f>
        <v/>
      </c>
      <c r="G1251">
        <f>IF(A1251="","",MONTH(A1251))</f>
        <v/>
      </c>
    </row>
    <row r="1252">
      <c r="A1252" s="25" t="n"/>
      <c r="B1252" s="11" t="n"/>
      <c r="C1252" s="24" t="n"/>
      <c r="D1252" s="11" t="n"/>
      <c r="E1252" s="11" t="n"/>
      <c r="F1252">
        <f>IF(B1252="","",IFERROR(INDEX(Categories!$B$5:$B$44,MATCH(B1252,Categories!$A$5:$A$44,0)),"?"))</f>
        <v/>
      </c>
      <c r="G1252">
        <f>IF(A1252="","",MONTH(A1252))</f>
        <v/>
      </c>
    </row>
    <row r="1253">
      <c r="A1253" s="25" t="n"/>
      <c r="B1253" s="11" t="n"/>
      <c r="C1253" s="24" t="n"/>
      <c r="D1253" s="11" t="n"/>
      <c r="E1253" s="11" t="n"/>
      <c r="F1253">
        <f>IF(B1253="","",IFERROR(INDEX(Categories!$B$5:$B$44,MATCH(B1253,Categories!$A$5:$A$44,0)),"?"))</f>
        <v/>
      </c>
      <c r="G1253">
        <f>IF(A1253="","",MONTH(A1253))</f>
        <v/>
      </c>
    </row>
    <row r="1254">
      <c r="A1254" s="25" t="n"/>
      <c r="B1254" s="11" t="n"/>
      <c r="C1254" s="24" t="n"/>
      <c r="D1254" s="11" t="n"/>
      <c r="E1254" s="11" t="n"/>
      <c r="F1254">
        <f>IF(B1254="","",IFERROR(INDEX(Categories!$B$5:$B$44,MATCH(B1254,Categories!$A$5:$A$44,0)),"?"))</f>
        <v/>
      </c>
      <c r="G1254">
        <f>IF(A1254="","",MONTH(A1254))</f>
        <v/>
      </c>
    </row>
    <row r="1255">
      <c r="A1255" s="25" t="n"/>
      <c r="B1255" s="11" t="n"/>
      <c r="C1255" s="24" t="n"/>
      <c r="D1255" s="11" t="n"/>
      <c r="E1255" s="11" t="n"/>
      <c r="F1255">
        <f>IF(B1255="","",IFERROR(INDEX(Categories!$B$5:$B$44,MATCH(B1255,Categories!$A$5:$A$44,0)),"?"))</f>
        <v/>
      </c>
      <c r="G1255">
        <f>IF(A1255="","",MONTH(A1255))</f>
        <v/>
      </c>
    </row>
    <row r="1256">
      <c r="A1256" s="25" t="n"/>
      <c r="B1256" s="11" t="n"/>
      <c r="C1256" s="24" t="n"/>
      <c r="D1256" s="11" t="n"/>
      <c r="E1256" s="11" t="n"/>
      <c r="F1256">
        <f>IF(B1256="","",IFERROR(INDEX(Categories!$B$5:$B$44,MATCH(B1256,Categories!$A$5:$A$44,0)),"?"))</f>
        <v/>
      </c>
      <c r="G1256">
        <f>IF(A1256="","",MONTH(A1256))</f>
        <v/>
      </c>
    </row>
    <row r="1257">
      <c r="A1257" s="25" t="n"/>
      <c r="B1257" s="11" t="n"/>
      <c r="C1257" s="24" t="n"/>
      <c r="D1257" s="11" t="n"/>
      <c r="E1257" s="11" t="n"/>
      <c r="F1257">
        <f>IF(B1257="","",IFERROR(INDEX(Categories!$B$5:$B$44,MATCH(B1257,Categories!$A$5:$A$44,0)),"?"))</f>
        <v/>
      </c>
      <c r="G1257">
        <f>IF(A1257="","",MONTH(A1257))</f>
        <v/>
      </c>
    </row>
    <row r="1258">
      <c r="A1258" s="25" t="n"/>
      <c r="B1258" s="11" t="n"/>
      <c r="C1258" s="24" t="n"/>
      <c r="D1258" s="11" t="n"/>
      <c r="E1258" s="11" t="n"/>
      <c r="F1258">
        <f>IF(B1258="","",IFERROR(INDEX(Categories!$B$5:$B$44,MATCH(B1258,Categories!$A$5:$A$44,0)),"?"))</f>
        <v/>
      </c>
      <c r="G1258">
        <f>IF(A1258="","",MONTH(A1258))</f>
        <v/>
      </c>
    </row>
    <row r="1259">
      <c r="A1259" s="25" t="n"/>
      <c r="B1259" s="11" t="n"/>
      <c r="C1259" s="24" t="n"/>
      <c r="D1259" s="11" t="n"/>
      <c r="E1259" s="11" t="n"/>
      <c r="F1259">
        <f>IF(B1259="","",IFERROR(INDEX(Categories!$B$5:$B$44,MATCH(B1259,Categories!$A$5:$A$44,0)),"?"))</f>
        <v/>
      </c>
      <c r="G1259">
        <f>IF(A1259="","",MONTH(A1259))</f>
        <v/>
      </c>
    </row>
    <row r="1260">
      <c r="A1260" s="25" t="n"/>
      <c r="B1260" s="11" t="n"/>
      <c r="C1260" s="24" t="n"/>
      <c r="D1260" s="11" t="n"/>
      <c r="E1260" s="11" t="n"/>
      <c r="F1260">
        <f>IF(B1260="","",IFERROR(INDEX(Categories!$B$5:$B$44,MATCH(B1260,Categories!$A$5:$A$44,0)),"?"))</f>
        <v/>
      </c>
      <c r="G1260">
        <f>IF(A1260="","",MONTH(A1260))</f>
        <v/>
      </c>
    </row>
    <row r="1261">
      <c r="A1261" s="25" t="n"/>
      <c r="B1261" s="11" t="n"/>
      <c r="C1261" s="24" t="n"/>
      <c r="D1261" s="11" t="n"/>
      <c r="E1261" s="11" t="n"/>
      <c r="F1261">
        <f>IF(B1261="","",IFERROR(INDEX(Categories!$B$5:$B$44,MATCH(B1261,Categories!$A$5:$A$44,0)),"?"))</f>
        <v/>
      </c>
      <c r="G1261">
        <f>IF(A1261="","",MONTH(A1261))</f>
        <v/>
      </c>
    </row>
    <row r="1262">
      <c r="A1262" s="25" t="n"/>
      <c r="B1262" s="11" t="n"/>
      <c r="C1262" s="24" t="n"/>
      <c r="D1262" s="11" t="n"/>
      <c r="E1262" s="11" t="n"/>
      <c r="F1262">
        <f>IF(B1262="","",IFERROR(INDEX(Categories!$B$5:$B$44,MATCH(B1262,Categories!$A$5:$A$44,0)),"?"))</f>
        <v/>
      </c>
      <c r="G1262">
        <f>IF(A1262="","",MONTH(A1262))</f>
        <v/>
      </c>
    </row>
    <row r="1263">
      <c r="A1263" s="25" t="n"/>
      <c r="B1263" s="11" t="n"/>
      <c r="C1263" s="24" t="n"/>
      <c r="D1263" s="11" t="n"/>
      <c r="E1263" s="11" t="n"/>
      <c r="F1263">
        <f>IF(B1263="","",IFERROR(INDEX(Categories!$B$5:$B$44,MATCH(B1263,Categories!$A$5:$A$44,0)),"?"))</f>
        <v/>
      </c>
      <c r="G1263">
        <f>IF(A1263="","",MONTH(A1263))</f>
        <v/>
      </c>
    </row>
    <row r="1264">
      <c r="A1264" s="25" t="n"/>
      <c r="B1264" s="11" t="n"/>
      <c r="C1264" s="24" t="n"/>
      <c r="D1264" s="11" t="n"/>
      <c r="E1264" s="11" t="n"/>
      <c r="F1264">
        <f>IF(B1264="","",IFERROR(INDEX(Categories!$B$5:$B$44,MATCH(B1264,Categories!$A$5:$A$44,0)),"?"))</f>
        <v/>
      </c>
      <c r="G1264">
        <f>IF(A1264="","",MONTH(A1264))</f>
        <v/>
      </c>
    </row>
    <row r="1265">
      <c r="A1265" s="25" t="n"/>
      <c r="B1265" s="11" t="n"/>
      <c r="C1265" s="24" t="n"/>
      <c r="D1265" s="11" t="n"/>
      <c r="E1265" s="11" t="n"/>
      <c r="F1265">
        <f>IF(B1265="","",IFERROR(INDEX(Categories!$B$5:$B$44,MATCH(B1265,Categories!$A$5:$A$44,0)),"?"))</f>
        <v/>
      </c>
      <c r="G1265">
        <f>IF(A1265="","",MONTH(A1265))</f>
        <v/>
      </c>
    </row>
    <row r="1266">
      <c r="A1266" s="25" t="n"/>
      <c r="B1266" s="11" t="n"/>
      <c r="C1266" s="24" t="n"/>
      <c r="D1266" s="11" t="n"/>
      <c r="E1266" s="11" t="n"/>
      <c r="F1266">
        <f>IF(B1266="","",IFERROR(INDEX(Categories!$B$5:$B$44,MATCH(B1266,Categories!$A$5:$A$44,0)),"?"))</f>
        <v/>
      </c>
      <c r="G1266">
        <f>IF(A1266="","",MONTH(A1266))</f>
        <v/>
      </c>
    </row>
    <row r="1267">
      <c r="A1267" s="25" t="n"/>
      <c r="B1267" s="11" t="n"/>
      <c r="C1267" s="24" t="n"/>
      <c r="D1267" s="11" t="n"/>
      <c r="E1267" s="11" t="n"/>
      <c r="F1267">
        <f>IF(B1267="","",IFERROR(INDEX(Categories!$B$5:$B$44,MATCH(B1267,Categories!$A$5:$A$44,0)),"?"))</f>
        <v/>
      </c>
      <c r="G1267">
        <f>IF(A1267="","",MONTH(A1267))</f>
        <v/>
      </c>
    </row>
    <row r="1268">
      <c r="A1268" s="25" t="n"/>
      <c r="B1268" s="11" t="n"/>
      <c r="C1268" s="24" t="n"/>
      <c r="D1268" s="11" t="n"/>
      <c r="E1268" s="11" t="n"/>
      <c r="F1268">
        <f>IF(B1268="","",IFERROR(INDEX(Categories!$B$5:$B$44,MATCH(B1268,Categories!$A$5:$A$44,0)),"?"))</f>
        <v/>
      </c>
      <c r="G1268">
        <f>IF(A1268="","",MONTH(A1268))</f>
        <v/>
      </c>
    </row>
    <row r="1269">
      <c r="A1269" s="25" t="n"/>
      <c r="B1269" s="11" t="n"/>
      <c r="C1269" s="24" t="n"/>
      <c r="D1269" s="11" t="n"/>
      <c r="E1269" s="11" t="n"/>
      <c r="F1269">
        <f>IF(B1269="","",IFERROR(INDEX(Categories!$B$5:$B$44,MATCH(B1269,Categories!$A$5:$A$44,0)),"?"))</f>
        <v/>
      </c>
      <c r="G1269">
        <f>IF(A1269="","",MONTH(A1269))</f>
        <v/>
      </c>
    </row>
    <row r="1270">
      <c r="A1270" s="25" t="n"/>
      <c r="B1270" s="11" t="n"/>
      <c r="C1270" s="24" t="n"/>
      <c r="D1270" s="11" t="n"/>
      <c r="E1270" s="11" t="n"/>
      <c r="F1270">
        <f>IF(B1270="","",IFERROR(INDEX(Categories!$B$5:$B$44,MATCH(B1270,Categories!$A$5:$A$44,0)),"?"))</f>
        <v/>
      </c>
      <c r="G1270">
        <f>IF(A1270="","",MONTH(A1270))</f>
        <v/>
      </c>
    </row>
    <row r="1271">
      <c r="A1271" s="25" t="n"/>
      <c r="B1271" s="11" t="n"/>
      <c r="C1271" s="24" t="n"/>
      <c r="D1271" s="11" t="n"/>
      <c r="E1271" s="11" t="n"/>
      <c r="F1271">
        <f>IF(B1271="","",IFERROR(INDEX(Categories!$B$5:$B$44,MATCH(B1271,Categories!$A$5:$A$44,0)),"?"))</f>
        <v/>
      </c>
      <c r="G1271">
        <f>IF(A1271="","",MONTH(A1271))</f>
        <v/>
      </c>
    </row>
    <row r="1272">
      <c r="A1272" s="25" t="n"/>
      <c r="B1272" s="11" t="n"/>
      <c r="C1272" s="24" t="n"/>
      <c r="D1272" s="11" t="n"/>
      <c r="E1272" s="11" t="n"/>
      <c r="F1272">
        <f>IF(B1272="","",IFERROR(INDEX(Categories!$B$5:$B$44,MATCH(B1272,Categories!$A$5:$A$44,0)),"?"))</f>
        <v/>
      </c>
      <c r="G1272">
        <f>IF(A1272="","",MONTH(A1272))</f>
        <v/>
      </c>
    </row>
    <row r="1273">
      <c r="A1273" s="25" t="n"/>
      <c r="B1273" s="11" t="n"/>
      <c r="C1273" s="24" t="n"/>
      <c r="D1273" s="11" t="n"/>
      <c r="E1273" s="11" t="n"/>
      <c r="F1273">
        <f>IF(B1273="","",IFERROR(INDEX(Categories!$B$5:$B$44,MATCH(B1273,Categories!$A$5:$A$44,0)),"?"))</f>
        <v/>
      </c>
      <c r="G1273">
        <f>IF(A1273="","",MONTH(A1273))</f>
        <v/>
      </c>
    </row>
    <row r="1274">
      <c r="A1274" s="25" t="n"/>
      <c r="B1274" s="11" t="n"/>
      <c r="C1274" s="24" t="n"/>
      <c r="D1274" s="11" t="n"/>
      <c r="E1274" s="11" t="n"/>
      <c r="F1274">
        <f>IF(B1274="","",IFERROR(INDEX(Categories!$B$5:$B$44,MATCH(B1274,Categories!$A$5:$A$44,0)),"?"))</f>
        <v/>
      </c>
      <c r="G1274">
        <f>IF(A1274="","",MONTH(A1274))</f>
        <v/>
      </c>
    </row>
    <row r="1275">
      <c r="A1275" s="25" t="n"/>
      <c r="B1275" s="11" t="n"/>
      <c r="C1275" s="24" t="n"/>
      <c r="D1275" s="11" t="n"/>
      <c r="E1275" s="11" t="n"/>
      <c r="F1275">
        <f>IF(B1275="","",IFERROR(INDEX(Categories!$B$5:$B$44,MATCH(B1275,Categories!$A$5:$A$44,0)),"?"))</f>
        <v/>
      </c>
      <c r="G1275">
        <f>IF(A1275="","",MONTH(A1275))</f>
        <v/>
      </c>
    </row>
    <row r="1276">
      <c r="A1276" s="25" t="n"/>
      <c r="B1276" s="11" t="n"/>
      <c r="C1276" s="24" t="n"/>
      <c r="D1276" s="11" t="n"/>
      <c r="E1276" s="11" t="n"/>
      <c r="F1276">
        <f>IF(B1276="","",IFERROR(INDEX(Categories!$B$5:$B$44,MATCH(B1276,Categories!$A$5:$A$44,0)),"?"))</f>
        <v/>
      </c>
      <c r="G1276">
        <f>IF(A1276="","",MONTH(A1276))</f>
        <v/>
      </c>
    </row>
    <row r="1277">
      <c r="A1277" s="25" t="n"/>
      <c r="B1277" s="11" t="n"/>
      <c r="C1277" s="24" t="n"/>
      <c r="D1277" s="11" t="n"/>
      <c r="E1277" s="11" t="n"/>
      <c r="F1277">
        <f>IF(B1277="","",IFERROR(INDEX(Categories!$B$5:$B$44,MATCH(B1277,Categories!$A$5:$A$44,0)),"?"))</f>
        <v/>
      </c>
      <c r="G1277">
        <f>IF(A1277="","",MONTH(A1277))</f>
        <v/>
      </c>
    </row>
    <row r="1278">
      <c r="A1278" s="25" t="n"/>
      <c r="B1278" s="11" t="n"/>
      <c r="C1278" s="24" t="n"/>
      <c r="D1278" s="11" t="n"/>
      <c r="E1278" s="11" t="n"/>
      <c r="F1278">
        <f>IF(B1278="","",IFERROR(INDEX(Categories!$B$5:$B$44,MATCH(B1278,Categories!$A$5:$A$44,0)),"?"))</f>
        <v/>
      </c>
      <c r="G1278">
        <f>IF(A1278="","",MONTH(A1278))</f>
        <v/>
      </c>
    </row>
    <row r="1279">
      <c r="A1279" s="25" t="n"/>
      <c r="B1279" s="11" t="n"/>
      <c r="C1279" s="24" t="n"/>
      <c r="D1279" s="11" t="n"/>
      <c r="E1279" s="11" t="n"/>
      <c r="F1279">
        <f>IF(B1279="","",IFERROR(INDEX(Categories!$B$5:$B$44,MATCH(B1279,Categories!$A$5:$A$44,0)),"?"))</f>
        <v/>
      </c>
      <c r="G1279">
        <f>IF(A1279="","",MONTH(A1279))</f>
        <v/>
      </c>
    </row>
    <row r="1280">
      <c r="A1280" s="25" t="n"/>
      <c r="B1280" s="11" t="n"/>
      <c r="C1280" s="24" t="n"/>
      <c r="D1280" s="11" t="n"/>
      <c r="E1280" s="11" t="n"/>
      <c r="F1280">
        <f>IF(B1280="","",IFERROR(INDEX(Categories!$B$5:$B$44,MATCH(B1280,Categories!$A$5:$A$44,0)),"?"))</f>
        <v/>
      </c>
      <c r="G1280">
        <f>IF(A1280="","",MONTH(A1280))</f>
        <v/>
      </c>
    </row>
    <row r="1281">
      <c r="A1281" s="25" t="n"/>
      <c r="B1281" s="11" t="n"/>
      <c r="C1281" s="24" t="n"/>
      <c r="D1281" s="11" t="n"/>
      <c r="E1281" s="11" t="n"/>
      <c r="F1281">
        <f>IF(B1281="","",IFERROR(INDEX(Categories!$B$5:$B$44,MATCH(B1281,Categories!$A$5:$A$44,0)),"?"))</f>
        <v/>
      </c>
      <c r="G1281">
        <f>IF(A1281="","",MONTH(A1281))</f>
        <v/>
      </c>
    </row>
    <row r="1282">
      <c r="A1282" s="25" t="n"/>
      <c r="B1282" s="11" t="n"/>
      <c r="C1282" s="24" t="n"/>
      <c r="D1282" s="11" t="n"/>
      <c r="E1282" s="11" t="n"/>
      <c r="F1282">
        <f>IF(B1282="","",IFERROR(INDEX(Categories!$B$5:$B$44,MATCH(B1282,Categories!$A$5:$A$44,0)),"?"))</f>
        <v/>
      </c>
      <c r="G1282">
        <f>IF(A1282="","",MONTH(A1282))</f>
        <v/>
      </c>
    </row>
    <row r="1283">
      <c r="A1283" s="25" t="n"/>
      <c r="B1283" s="11" t="n"/>
      <c r="C1283" s="24" t="n"/>
      <c r="D1283" s="11" t="n"/>
      <c r="E1283" s="11" t="n"/>
      <c r="F1283">
        <f>IF(B1283="","",IFERROR(INDEX(Categories!$B$5:$B$44,MATCH(B1283,Categories!$A$5:$A$44,0)),"?"))</f>
        <v/>
      </c>
      <c r="G1283">
        <f>IF(A1283="","",MONTH(A1283))</f>
        <v/>
      </c>
    </row>
    <row r="1284">
      <c r="A1284" s="25" t="n"/>
      <c r="B1284" s="11" t="n"/>
      <c r="C1284" s="24" t="n"/>
      <c r="D1284" s="11" t="n"/>
      <c r="E1284" s="11" t="n"/>
      <c r="F1284">
        <f>IF(B1284="","",IFERROR(INDEX(Categories!$B$5:$B$44,MATCH(B1284,Categories!$A$5:$A$44,0)),"?"))</f>
        <v/>
      </c>
      <c r="G1284">
        <f>IF(A1284="","",MONTH(A1284))</f>
        <v/>
      </c>
    </row>
    <row r="1285">
      <c r="A1285" s="25" t="n"/>
      <c r="B1285" s="11" t="n"/>
      <c r="C1285" s="24" t="n"/>
      <c r="D1285" s="11" t="n"/>
      <c r="E1285" s="11" t="n"/>
      <c r="F1285">
        <f>IF(B1285="","",IFERROR(INDEX(Categories!$B$5:$B$44,MATCH(B1285,Categories!$A$5:$A$44,0)),"?"))</f>
        <v/>
      </c>
      <c r="G1285">
        <f>IF(A1285="","",MONTH(A1285))</f>
        <v/>
      </c>
    </row>
    <row r="1286">
      <c r="A1286" s="25" t="n"/>
      <c r="B1286" s="11" t="n"/>
      <c r="C1286" s="24" t="n"/>
      <c r="D1286" s="11" t="n"/>
      <c r="E1286" s="11" t="n"/>
      <c r="F1286">
        <f>IF(B1286="","",IFERROR(INDEX(Categories!$B$5:$B$44,MATCH(B1286,Categories!$A$5:$A$44,0)),"?"))</f>
        <v/>
      </c>
      <c r="G1286">
        <f>IF(A1286="","",MONTH(A1286))</f>
        <v/>
      </c>
    </row>
    <row r="1287">
      <c r="A1287" s="25" t="n"/>
      <c r="B1287" s="11" t="n"/>
      <c r="C1287" s="24" t="n"/>
      <c r="D1287" s="11" t="n"/>
      <c r="E1287" s="11" t="n"/>
      <c r="F1287">
        <f>IF(B1287="","",IFERROR(INDEX(Categories!$B$5:$B$44,MATCH(B1287,Categories!$A$5:$A$44,0)),"?"))</f>
        <v/>
      </c>
      <c r="G1287">
        <f>IF(A1287="","",MONTH(A1287))</f>
        <v/>
      </c>
    </row>
    <row r="1288">
      <c r="A1288" s="25" t="n"/>
      <c r="B1288" s="11" t="n"/>
      <c r="C1288" s="24" t="n"/>
      <c r="D1288" s="11" t="n"/>
      <c r="E1288" s="11" t="n"/>
      <c r="F1288">
        <f>IF(B1288="","",IFERROR(INDEX(Categories!$B$5:$B$44,MATCH(B1288,Categories!$A$5:$A$44,0)),"?"))</f>
        <v/>
      </c>
      <c r="G1288">
        <f>IF(A1288="","",MONTH(A1288))</f>
        <v/>
      </c>
    </row>
    <row r="1289">
      <c r="A1289" s="25" t="n"/>
      <c r="B1289" s="11" t="n"/>
      <c r="C1289" s="24" t="n"/>
      <c r="D1289" s="11" t="n"/>
      <c r="E1289" s="11" t="n"/>
      <c r="F1289">
        <f>IF(B1289="","",IFERROR(INDEX(Categories!$B$5:$B$44,MATCH(B1289,Categories!$A$5:$A$44,0)),"?"))</f>
        <v/>
      </c>
      <c r="G1289">
        <f>IF(A1289="","",MONTH(A1289))</f>
        <v/>
      </c>
    </row>
    <row r="1290">
      <c r="A1290" s="25" t="n"/>
      <c r="B1290" s="11" t="n"/>
      <c r="C1290" s="24" t="n"/>
      <c r="D1290" s="11" t="n"/>
      <c r="E1290" s="11" t="n"/>
      <c r="F1290">
        <f>IF(B1290="","",IFERROR(INDEX(Categories!$B$5:$B$44,MATCH(B1290,Categories!$A$5:$A$44,0)),"?"))</f>
        <v/>
      </c>
      <c r="G1290">
        <f>IF(A1290="","",MONTH(A1290))</f>
        <v/>
      </c>
    </row>
    <row r="1291">
      <c r="A1291" s="25" t="n"/>
      <c r="B1291" s="11" t="n"/>
      <c r="C1291" s="24" t="n"/>
      <c r="D1291" s="11" t="n"/>
      <c r="E1291" s="11" t="n"/>
      <c r="F1291">
        <f>IF(B1291="","",IFERROR(INDEX(Categories!$B$5:$B$44,MATCH(B1291,Categories!$A$5:$A$44,0)),"?"))</f>
        <v/>
      </c>
      <c r="G1291">
        <f>IF(A1291="","",MONTH(A1291))</f>
        <v/>
      </c>
    </row>
    <row r="1292">
      <c r="A1292" s="25" t="n"/>
      <c r="B1292" s="11" t="n"/>
      <c r="C1292" s="24" t="n"/>
      <c r="D1292" s="11" t="n"/>
      <c r="E1292" s="11" t="n"/>
      <c r="F1292">
        <f>IF(B1292="","",IFERROR(INDEX(Categories!$B$5:$B$44,MATCH(B1292,Categories!$A$5:$A$44,0)),"?"))</f>
        <v/>
      </c>
      <c r="G1292">
        <f>IF(A1292="","",MONTH(A1292))</f>
        <v/>
      </c>
    </row>
    <row r="1293">
      <c r="A1293" s="25" t="n"/>
      <c r="B1293" s="11" t="n"/>
      <c r="C1293" s="24" t="n"/>
      <c r="D1293" s="11" t="n"/>
      <c r="E1293" s="11" t="n"/>
      <c r="F1293">
        <f>IF(B1293="","",IFERROR(INDEX(Categories!$B$5:$B$44,MATCH(B1293,Categories!$A$5:$A$44,0)),"?"))</f>
        <v/>
      </c>
      <c r="G1293">
        <f>IF(A1293="","",MONTH(A1293))</f>
        <v/>
      </c>
    </row>
    <row r="1294">
      <c r="A1294" s="25" t="n"/>
      <c r="B1294" s="11" t="n"/>
      <c r="C1294" s="24" t="n"/>
      <c r="D1294" s="11" t="n"/>
      <c r="E1294" s="11" t="n"/>
      <c r="F1294">
        <f>IF(B1294="","",IFERROR(INDEX(Categories!$B$5:$B$44,MATCH(B1294,Categories!$A$5:$A$44,0)),"?"))</f>
        <v/>
      </c>
      <c r="G1294">
        <f>IF(A1294="","",MONTH(A1294))</f>
        <v/>
      </c>
    </row>
    <row r="1295">
      <c r="A1295" s="25" t="n"/>
      <c r="B1295" s="11" t="n"/>
      <c r="C1295" s="24" t="n"/>
      <c r="D1295" s="11" t="n"/>
      <c r="E1295" s="11" t="n"/>
      <c r="F1295">
        <f>IF(B1295="","",IFERROR(INDEX(Categories!$B$5:$B$44,MATCH(B1295,Categories!$A$5:$A$44,0)),"?"))</f>
        <v/>
      </c>
      <c r="G1295">
        <f>IF(A1295="","",MONTH(A1295))</f>
        <v/>
      </c>
    </row>
    <row r="1296">
      <c r="A1296" s="25" t="n"/>
      <c r="B1296" s="11" t="n"/>
      <c r="C1296" s="24" t="n"/>
      <c r="D1296" s="11" t="n"/>
      <c r="E1296" s="11" t="n"/>
      <c r="F1296">
        <f>IF(B1296="","",IFERROR(INDEX(Categories!$B$5:$B$44,MATCH(B1296,Categories!$A$5:$A$44,0)),"?"))</f>
        <v/>
      </c>
      <c r="G1296">
        <f>IF(A1296="","",MONTH(A1296))</f>
        <v/>
      </c>
    </row>
    <row r="1297">
      <c r="A1297" s="25" t="n"/>
      <c r="B1297" s="11" t="n"/>
      <c r="C1297" s="24" t="n"/>
      <c r="D1297" s="11" t="n"/>
      <c r="E1297" s="11" t="n"/>
      <c r="F1297">
        <f>IF(B1297="","",IFERROR(INDEX(Categories!$B$5:$B$44,MATCH(B1297,Categories!$A$5:$A$44,0)),"?"))</f>
        <v/>
      </c>
      <c r="G1297">
        <f>IF(A1297="","",MONTH(A1297))</f>
        <v/>
      </c>
    </row>
    <row r="1298">
      <c r="A1298" s="25" t="n"/>
      <c r="B1298" s="11" t="n"/>
      <c r="C1298" s="24" t="n"/>
      <c r="D1298" s="11" t="n"/>
      <c r="E1298" s="11" t="n"/>
      <c r="F1298">
        <f>IF(B1298="","",IFERROR(INDEX(Categories!$B$5:$B$44,MATCH(B1298,Categories!$A$5:$A$44,0)),"?"))</f>
        <v/>
      </c>
      <c r="G1298">
        <f>IF(A1298="","",MONTH(A1298))</f>
        <v/>
      </c>
    </row>
    <row r="1299">
      <c r="A1299" s="25" t="n"/>
      <c r="B1299" s="11" t="n"/>
      <c r="C1299" s="24" t="n"/>
      <c r="D1299" s="11" t="n"/>
      <c r="E1299" s="11" t="n"/>
      <c r="F1299">
        <f>IF(B1299="","",IFERROR(INDEX(Categories!$B$5:$B$44,MATCH(B1299,Categories!$A$5:$A$44,0)),"?"))</f>
        <v/>
      </c>
      <c r="G1299">
        <f>IF(A1299="","",MONTH(A1299))</f>
        <v/>
      </c>
    </row>
    <row r="1300">
      <c r="A1300" s="25" t="n"/>
      <c r="B1300" s="11" t="n"/>
      <c r="C1300" s="24" t="n"/>
      <c r="D1300" s="11" t="n"/>
      <c r="E1300" s="11" t="n"/>
      <c r="F1300">
        <f>IF(B1300="","",IFERROR(INDEX(Categories!$B$5:$B$44,MATCH(B1300,Categories!$A$5:$A$44,0)),"?"))</f>
        <v/>
      </c>
      <c r="G1300">
        <f>IF(A1300="","",MONTH(A1300))</f>
        <v/>
      </c>
    </row>
    <row r="1301">
      <c r="A1301" s="25" t="n"/>
      <c r="B1301" s="11" t="n"/>
      <c r="C1301" s="24" t="n"/>
      <c r="D1301" s="11" t="n"/>
      <c r="E1301" s="11" t="n"/>
      <c r="F1301">
        <f>IF(B1301="","",IFERROR(INDEX(Categories!$B$5:$B$44,MATCH(B1301,Categories!$A$5:$A$44,0)),"?"))</f>
        <v/>
      </c>
      <c r="G1301">
        <f>IF(A1301="","",MONTH(A1301))</f>
        <v/>
      </c>
    </row>
    <row r="1302">
      <c r="A1302" s="25" t="n"/>
      <c r="B1302" s="11" t="n"/>
      <c r="C1302" s="24" t="n"/>
      <c r="D1302" s="11" t="n"/>
      <c r="E1302" s="11" t="n"/>
      <c r="F1302">
        <f>IF(B1302="","",IFERROR(INDEX(Categories!$B$5:$B$44,MATCH(B1302,Categories!$A$5:$A$44,0)),"?"))</f>
        <v/>
      </c>
      <c r="G1302">
        <f>IF(A1302="","",MONTH(A1302))</f>
        <v/>
      </c>
    </row>
    <row r="1303">
      <c r="A1303" s="25" t="n"/>
      <c r="B1303" s="11" t="n"/>
      <c r="C1303" s="24" t="n"/>
      <c r="D1303" s="11" t="n"/>
      <c r="E1303" s="11" t="n"/>
      <c r="F1303">
        <f>IF(B1303="","",IFERROR(INDEX(Categories!$B$5:$B$44,MATCH(B1303,Categories!$A$5:$A$44,0)),"?"))</f>
        <v/>
      </c>
      <c r="G1303">
        <f>IF(A1303="","",MONTH(A1303))</f>
        <v/>
      </c>
    </row>
    <row r="1304">
      <c r="A1304" s="25" t="n"/>
      <c r="B1304" s="11" t="n"/>
      <c r="C1304" s="24" t="n"/>
      <c r="D1304" s="11" t="n"/>
      <c r="E1304" s="11" t="n"/>
      <c r="F1304">
        <f>IF(B1304="","",IFERROR(INDEX(Categories!$B$5:$B$44,MATCH(B1304,Categories!$A$5:$A$44,0)),"?"))</f>
        <v/>
      </c>
      <c r="G1304">
        <f>IF(A1304="","",MONTH(A1304))</f>
        <v/>
      </c>
    </row>
    <row r="1305">
      <c r="A1305" s="25" t="n"/>
      <c r="B1305" s="11" t="n"/>
      <c r="C1305" s="24" t="n"/>
      <c r="D1305" s="11" t="n"/>
      <c r="E1305" s="11" t="n"/>
      <c r="F1305">
        <f>IF(B1305="","",IFERROR(INDEX(Categories!$B$5:$B$44,MATCH(B1305,Categories!$A$5:$A$44,0)),"?"))</f>
        <v/>
      </c>
      <c r="G1305">
        <f>IF(A1305="","",MONTH(A1305))</f>
        <v/>
      </c>
    </row>
    <row r="1306">
      <c r="A1306" s="25" t="n"/>
      <c r="B1306" s="11" t="n"/>
      <c r="C1306" s="24" t="n"/>
      <c r="D1306" s="11" t="n"/>
      <c r="E1306" s="11" t="n"/>
      <c r="F1306">
        <f>IF(B1306="","",IFERROR(INDEX(Categories!$B$5:$B$44,MATCH(B1306,Categories!$A$5:$A$44,0)),"?"))</f>
        <v/>
      </c>
      <c r="G1306">
        <f>IF(A1306="","",MONTH(A1306))</f>
        <v/>
      </c>
    </row>
    <row r="1307">
      <c r="A1307" s="25" t="n"/>
      <c r="B1307" s="11" t="n"/>
      <c r="C1307" s="24" t="n"/>
      <c r="D1307" s="11" t="n"/>
      <c r="E1307" s="11" t="n"/>
      <c r="F1307">
        <f>IF(B1307="","",IFERROR(INDEX(Categories!$B$5:$B$44,MATCH(B1307,Categories!$A$5:$A$44,0)),"?"))</f>
        <v/>
      </c>
      <c r="G1307">
        <f>IF(A1307="","",MONTH(A1307))</f>
        <v/>
      </c>
    </row>
    <row r="1308">
      <c r="A1308" s="25" t="n"/>
      <c r="B1308" s="11" t="n"/>
      <c r="C1308" s="24" t="n"/>
      <c r="D1308" s="11" t="n"/>
      <c r="E1308" s="11" t="n"/>
      <c r="F1308">
        <f>IF(B1308="","",IFERROR(INDEX(Categories!$B$5:$B$44,MATCH(B1308,Categories!$A$5:$A$44,0)),"?"))</f>
        <v/>
      </c>
      <c r="G1308">
        <f>IF(A1308="","",MONTH(A1308))</f>
        <v/>
      </c>
    </row>
    <row r="1309">
      <c r="A1309" s="25" t="n"/>
      <c r="B1309" s="11" t="n"/>
      <c r="C1309" s="24" t="n"/>
      <c r="D1309" s="11" t="n"/>
      <c r="E1309" s="11" t="n"/>
      <c r="F1309">
        <f>IF(B1309="","",IFERROR(INDEX(Categories!$B$5:$B$44,MATCH(B1309,Categories!$A$5:$A$44,0)),"?"))</f>
        <v/>
      </c>
      <c r="G1309">
        <f>IF(A1309="","",MONTH(A1309))</f>
        <v/>
      </c>
    </row>
    <row r="1310">
      <c r="A1310" s="25" t="n"/>
      <c r="B1310" s="11" t="n"/>
      <c r="C1310" s="24" t="n"/>
      <c r="D1310" s="11" t="n"/>
      <c r="E1310" s="11" t="n"/>
      <c r="F1310">
        <f>IF(B1310="","",IFERROR(INDEX(Categories!$B$5:$B$44,MATCH(B1310,Categories!$A$5:$A$44,0)),"?"))</f>
        <v/>
      </c>
      <c r="G1310">
        <f>IF(A1310="","",MONTH(A1310))</f>
        <v/>
      </c>
    </row>
    <row r="1311">
      <c r="A1311" s="25" t="n"/>
      <c r="B1311" s="11" t="n"/>
      <c r="C1311" s="24" t="n"/>
      <c r="D1311" s="11" t="n"/>
      <c r="E1311" s="11" t="n"/>
      <c r="F1311">
        <f>IF(B1311="","",IFERROR(INDEX(Categories!$B$5:$B$44,MATCH(B1311,Categories!$A$5:$A$44,0)),"?"))</f>
        <v/>
      </c>
      <c r="G1311">
        <f>IF(A1311="","",MONTH(A1311))</f>
        <v/>
      </c>
    </row>
    <row r="1312">
      <c r="A1312" s="25" t="n"/>
      <c r="B1312" s="11" t="n"/>
      <c r="C1312" s="24" t="n"/>
      <c r="D1312" s="11" t="n"/>
      <c r="E1312" s="11" t="n"/>
      <c r="F1312">
        <f>IF(B1312="","",IFERROR(INDEX(Categories!$B$5:$B$44,MATCH(B1312,Categories!$A$5:$A$44,0)),"?"))</f>
        <v/>
      </c>
      <c r="G1312">
        <f>IF(A1312="","",MONTH(A1312))</f>
        <v/>
      </c>
    </row>
    <row r="1313">
      <c r="A1313" s="25" t="n"/>
      <c r="B1313" s="11" t="n"/>
      <c r="C1313" s="24" t="n"/>
      <c r="D1313" s="11" t="n"/>
      <c r="E1313" s="11" t="n"/>
      <c r="F1313">
        <f>IF(B1313="","",IFERROR(INDEX(Categories!$B$5:$B$44,MATCH(B1313,Categories!$A$5:$A$44,0)),"?"))</f>
        <v/>
      </c>
      <c r="G1313">
        <f>IF(A1313="","",MONTH(A1313))</f>
        <v/>
      </c>
    </row>
    <row r="1314">
      <c r="A1314" s="25" t="n"/>
      <c r="B1314" s="11" t="n"/>
      <c r="C1314" s="24" t="n"/>
      <c r="D1314" s="11" t="n"/>
      <c r="E1314" s="11" t="n"/>
      <c r="F1314">
        <f>IF(B1314="","",IFERROR(INDEX(Categories!$B$5:$B$44,MATCH(B1314,Categories!$A$5:$A$44,0)),"?"))</f>
        <v/>
      </c>
      <c r="G1314">
        <f>IF(A1314="","",MONTH(A1314))</f>
        <v/>
      </c>
    </row>
    <row r="1315">
      <c r="A1315" s="25" t="n"/>
      <c r="B1315" s="11" t="n"/>
      <c r="C1315" s="24" t="n"/>
      <c r="D1315" s="11" t="n"/>
      <c r="E1315" s="11" t="n"/>
      <c r="F1315">
        <f>IF(B1315="","",IFERROR(INDEX(Categories!$B$5:$B$44,MATCH(B1315,Categories!$A$5:$A$44,0)),"?"))</f>
        <v/>
      </c>
      <c r="G1315">
        <f>IF(A1315="","",MONTH(A1315))</f>
        <v/>
      </c>
    </row>
    <row r="1316">
      <c r="A1316" s="25" t="n"/>
      <c r="B1316" s="11" t="n"/>
      <c r="C1316" s="24" t="n"/>
      <c r="D1316" s="11" t="n"/>
      <c r="E1316" s="11" t="n"/>
      <c r="F1316">
        <f>IF(B1316="","",IFERROR(INDEX(Categories!$B$5:$B$44,MATCH(B1316,Categories!$A$5:$A$44,0)),"?"))</f>
        <v/>
      </c>
      <c r="G1316">
        <f>IF(A1316="","",MONTH(A1316))</f>
        <v/>
      </c>
    </row>
    <row r="1317">
      <c r="A1317" s="25" t="n"/>
      <c r="B1317" s="11" t="n"/>
      <c r="C1317" s="24" t="n"/>
      <c r="D1317" s="11" t="n"/>
      <c r="E1317" s="11" t="n"/>
      <c r="F1317">
        <f>IF(B1317="","",IFERROR(INDEX(Categories!$B$5:$B$44,MATCH(B1317,Categories!$A$5:$A$44,0)),"?"))</f>
        <v/>
      </c>
      <c r="G1317">
        <f>IF(A1317="","",MONTH(A1317))</f>
        <v/>
      </c>
    </row>
    <row r="1318">
      <c r="A1318" s="25" t="n"/>
      <c r="B1318" s="11" t="n"/>
      <c r="C1318" s="24" t="n"/>
      <c r="D1318" s="11" t="n"/>
      <c r="E1318" s="11" t="n"/>
      <c r="F1318">
        <f>IF(B1318="","",IFERROR(INDEX(Categories!$B$5:$B$44,MATCH(B1318,Categories!$A$5:$A$44,0)),"?"))</f>
        <v/>
      </c>
      <c r="G1318">
        <f>IF(A1318="","",MONTH(A1318))</f>
        <v/>
      </c>
    </row>
    <row r="1319">
      <c r="A1319" s="25" t="n"/>
      <c r="B1319" s="11" t="n"/>
      <c r="C1319" s="24" t="n"/>
      <c r="D1319" s="11" t="n"/>
      <c r="E1319" s="11" t="n"/>
      <c r="F1319">
        <f>IF(B1319="","",IFERROR(INDEX(Categories!$B$5:$B$44,MATCH(B1319,Categories!$A$5:$A$44,0)),"?"))</f>
        <v/>
      </c>
      <c r="G1319">
        <f>IF(A1319="","",MONTH(A1319))</f>
        <v/>
      </c>
    </row>
    <row r="1320">
      <c r="A1320" s="25" t="n"/>
      <c r="B1320" s="11" t="n"/>
      <c r="C1320" s="24" t="n"/>
      <c r="D1320" s="11" t="n"/>
      <c r="E1320" s="11" t="n"/>
      <c r="F1320">
        <f>IF(B1320="","",IFERROR(INDEX(Categories!$B$5:$B$44,MATCH(B1320,Categories!$A$5:$A$44,0)),"?"))</f>
        <v/>
      </c>
      <c r="G1320">
        <f>IF(A1320="","",MONTH(A1320))</f>
        <v/>
      </c>
    </row>
    <row r="1321">
      <c r="A1321" s="25" t="n"/>
      <c r="B1321" s="11" t="n"/>
      <c r="C1321" s="24" t="n"/>
      <c r="D1321" s="11" t="n"/>
      <c r="E1321" s="11" t="n"/>
      <c r="F1321">
        <f>IF(B1321="","",IFERROR(INDEX(Categories!$B$5:$B$44,MATCH(B1321,Categories!$A$5:$A$44,0)),"?"))</f>
        <v/>
      </c>
      <c r="G1321">
        <f>IF(A1321="","",MONTH(A1321))</f>
        <v/>
      </c>
    </row>
    <row r="1322">
      <c r="A1322" s="25" t="n"/>
      <c r="B1322" s="11" t="n"/>
      <c r="C1322" s="24" t="n"/>
      <c r="D1322" s="11" t="n"/>
      <c r="E1322" s="11" t="n"/>
      <c r="F1322">
        <f>IF(B1322="","",IFERROR(INDEX(Categories!$B$5:$B$44,MATCH(B1322,Categories!$A$5:$A$44,0)),"?"))</f>
        <v/>
      </c>
      <c r="G1322">
        <f>IF(A1322="","",MONTH(A1322))</f>
        <v/>
      </c>
    </row>
    <row r="1323">
      <c r="A1323" s="25" t="n"/>
      <c r="B1323" s="11" t="n"/>
      <c r="C1323" s="24" t="n"/>
      <c r="D1323" s="11" t="n"/>
      <c r="E1323" s="11" t="n"/>
      <c r="F1323">
        <f>IF(B1323="","",IFERROR(INDEX(Categories!$B$5:$B$44,MATCH(B1323,Categories!$A$5:$A$44,0)),"?"))</f>
        <v/>
      </c>
      <c r="G1323">
        <f>IF(A1323="","",MONTH(A1323))</f>
        <v/>
      </c>
    </row>
    <row r="1324">
      <c r="A1324" s="25" t="n"/>
      <c r="B1324" s="11" t="n"/>
      <c r="C1324" s="24" t="n"/>
      <c r="D1324" s="11" t="n"/>
      <c r="E1324" s="11" t="n"/>
      <c r="F1324">
        <f>IF(B1324="","",IFERROR(INDEX(Categories!$B$5:$B$44,MATCH(B1324,Categories!$A$5:$A$44,0)),"?"))</f>
        <v/>
      </c>
      <c r="G1324">
        <f>IF(A1324="","",MONTH(A1324))</f>
        <v/>
      </c>
    </row>
    <row r="1325">
      <c r="A1325" s="25" t="n"/>
      <c r="B1325" s="11" t="n"/>
      <c r="C1325" s="24" t="n"/>
      <c r="D1325" s="11" t="n"/>
      <c r="E1325" s="11" t="n"/>
      <c r="F1325">
        <f>IF(B1325="","",IFERROR(INDEX(Categories!$B$5:$B$44,MATCH(B1325,Categories!$A$5:$A$44,0)),"?"))</f>
        <v/>
      </c>
      <c r="G1325">
        <f>IF(A1325="","",MONTH(A1325))</f>
        <v/>
      </c>
    </row>
    <row r="1326">
      <c r="A1326" s="25" t="n"/>
      <c r="B1326" s="11" t="n"/>
      <c r="C1326" s="24" t="n"/>
      <c r="D1326" s="11" t="n"/>
      <c r="E1326" s="11" t="n"/>
      <c r="F1326">
        <f>IF(B1326="","",IFERROR(INDEX(Categories!$B$5:$B$44,MATCH(B1326,Categories!$A$5:$A$44,0)),"?"))</f>
        <v/>
      </c>
      <c r="G1326">
        <f>IF(A1326="","",MONTH(A1326))</f>
        <v/>
      </c>
    </row>
    <row r="1327">
      <c r="A1327" s="25" t="n"/>
      <c r="B1327" s="11" t="n"/>
      <c r="C1327" s="24" t="n"/>
      <c r="D1327" s="11" t="n"/>
      <c r="E1327" s="11" t="n"/>
      <c r="F1327">
        <f>IF(B1327="","",IFERROR(INDEX(Categories!$B$5:$B$44,MATCH(B1327,Categories!$A$5:$A$44,0)),"?"))</f>
        <v/>
      </c>
      <c r="G1327">
        <f>IF(A1327="","",MONTH(A1327))</f>
        <v/>
      </c>
    </row>
    <row r="1328">
      <c r="A1328" s="25" t="n"/>
      <c r="B1328" s="11" t="n"/>
      <c r="C1328" s="24" t="n"/>
      <c r="D1328" s="11" t="n"/>
      <c r="E1328" s="11" t="n"/>
      <c r="F1328">
        <f>IF(B1328="","",IFERROR(INDEX(Categories!$B$5:$B$44,MATCH(B1328,Categories!$A$5:$A$44,0)),"?"))</f>
        <v/>
      </c>
      <c r="G1328">
        <f>IF(A1328="","",MONTH(A1328))</f>
        <v/>
      </c>
    </row>
    <row r="1329">
      <c r="A1329" s="25" t="n"/>
      <c r="B1329" s="11" t="n"/>
      <c r="C1329" s="24" t="n"/>
      <c r="D1329" s="11" t="n"/>
      <c r="E1329" s="11" t="n"/>
      <c r="F1329">
        <f>IF(B1329="","",IFERROR(INDEX(Categories!$B$5:$B$44,MATCH(B1329,Categories!$A$5:$A$44,0)),"?"))</f>
        <v/>
      </c>
      <c r="G1329">
        <f>IF(A1329="","",MONTH(A1329))</f>
        <v/>
      </c>
    </row>
    <row r="1330">
      <c r="A1330" s="25" t="n"/>
      <c r="B1330" s="11" t="n"/>
      <c r="C1330" s="24" t="n"/>
      <c r="D1330" s="11" t="n"/>
      <c r="E1330" s="11" t="n"/>
      <c r="F1330">
        <f>IF(B1330="","",IFERROR(INDEX(Categories!$B$5:$B$44,MATCH(B1330,Categories!$A$5:$A$44,0)),"?"))</f>
        <v/>
      </c>
      <c r="G1330">
        <f>IF(A1330="","",MONTH(A1330))</f>
        <v/>
      </c>
    </row>
    <row r="1331">
      <c r="A1331" s="25" t="n"/>
      <c r="B1331" s="11" t="n"/>
      <c r="C1331" s="24" t="n"/>
      <c r="D1331" s="11" t="n"/>
      <c r="E1331" s="11" t="n"/>
      <c r="F1331">
        <f>IF(B1331="","",IFERROR(INDEX(Categories!$B$5:$B$44,MATCH(B1331,Categories!$A$5:$A$44,0)),"?"))</f>
        <v/>
      </c>
      <c r="G1331">
        <f>IF(A1331="","",MONTH(A1331))</f>
        <v/>
      </c>
    </row>
    <row r="1332">
      <c r="A1332" s="25" t="n"/>
      <c r="B1332" s="11" t="n"/>
      <c r="C1332" s="24" t="n"/>
      <c r="D1332" s="11" t="n"/>
      <c r="E1332" s="11" t="n"/>
      <c r="F1332">
        <f>IF(B1332="","",IFERROR(INDEX(Categories!$B$5:$B$44,MATCH(B1332,Categories!$A$5:$A$44,0)),"?"))</f>
        <v/>
      </c>
      <c r="G1332">
        <f>IF(A1332="","",MONTH(A1332))</f>
        <v/>
      </c>
    </row>
    <row r="1333">
      <c r="A1333" s="25" t="n"/>
      <c r="B1333" s="11" t="n"/>
      <c r="C1333" s="24" t="n"/>
      <c r="D1333" s="11" t="n"/>
      <c r="E1333" s="11" t="n"/>
      <c r="F1333">
        <f>IF(B1333="","",IFERROR(INDEX(Categories!$B$5:$B$44,MATCH(B1333,Categories!$A$5:$A$44,0)),"?"))</f>
        <v/>
      </c>
      <c r="G1333">
        <f>IF(A1333="","",MONTH(A1333))</f>
        <v/>
      </c>
    </row>
    <row r="1334">
      <c r="A1334" s="25" t="n"/>
      <c r="B1334" s="11" t="n"/>
      <c r="C1334" s="24" t="n"/>
      <c r="D1334" s="11" t="n"/>
      <c r="E1334" s="11" t="n"/>
      <c r="F1334">
        <f>IF(B1334="","",IFERROR(INDEX(Categories!$B$5:$B$44,MATCH(B1334,Categories!$A$5:$A$44,0)),"?"))</f>
        <v/>
      </c>
      <c r="G1334">
        <f>IF(A1334="","",MONTH(A1334))</f>
        <v/>
      </c>
    </row>
    <row r="1335">
      <c r="A1335" s="25" t="n"/>
      <c r="B1335" s="11" t="n"/>
      <c r="C1335" s="24" t="n"/>
      <c r="D1335" s="11" t="n"/>
      <c r="E1335" s="11" t="n"/>
      <c r="F1335">
        <f>IF(B1335="","",IFERROR(INDEX(Categories!$B$5:$B$44,MATCH(B1335,Categories!$A$5:$A$44,0)),"?"))</f>
        <v/>
      </c>
      <c r="G1335">
        <f>IF(A1335="","",MONTH(A1335))</f>
        <v/>
      </c>
    </row>
    <row r="1336">
      <c r="A1336" s="25" t="n"/>
      <c r="B1336" s="11" t="n"/>
      <c r="C1336" s="24" t="n"/>
      <c r="D1336" s="11" t="n"/>
      <c r="E1336" s="11" t="n"/>
      <c r="F1336">
        <f>IF(B1336="","",IFERROR(INDEX(Categories!$B$5:$B$44,MATCH(B1336,Categories!$A$5:$A$44,0)),"?"))</f>
        <v/>
      </c>
      <c r="G1336">
        <f>IF(A1336="","",MONTH(A1336))</f>
        <v/>
      </c>
    </row>
    <row r="1337">
      <c r="A1337" s="25" t="n"/>
      <c r="B1337" s="11" t="n"/>
      <c r="C1337" s="24" t="n"/>
      <c r="D1337" s="11" t="n"/>
      <c r="E1337" s="11" t="n"/>
      <c r="F1337">
        <f>IF(B1337="","",IFERROR(INDEX(Categories!$B$5:$B$44,MATCH(B1337,Categories!$A$5:$A$44,0)),"?"))</f>
        <v/>
      </c>
      <c r="G1337">
        <f>IF(A1337="","",MONTH(A1337))</f>
        <v/>
      </c>
    </row>
    <row r="1338">
      <c r="A1338" s="25" t="n"/>
      <c r="B1338" s="11" t="n"/>
      <c r="C1338" s="24" t="n"/>
      <c r="D1338" s="11" t="n"/>
      <c r="E1338" s="11" t="n"/>
      <c r="F1338">
        <f>IF(B1338="","",IFERROR(INDEX(Categories!$B$5:$B$44,MATCH(B1338,Categories!$A$5:$A$44,0)),"?"))</f>
        <v/>
      </c>
      <c r="G1338">
        <f>IF(A1338="","",MONTH(A1338))</f>
        <v/>
      </c>
    </row>
    <row r="1339">
      <c r="A1339" s="25" t="n"/>
      <c r="B1339" s="11" t="n"/>
      <c r="C1339" s="24" t="n"/>
      <c r="D1339" s="11" t="n"/>
      <c r="E1339" s="11" t="n"/>
      <c r="F1339">
        <f>IF(B1339="","",IFERROR(INDEX(Categories!$B$5:$B$44,MATCH(B1339,Categories!$A$5:$A$44,0)),"?"))</f>
        <v/>
      </c>
      <c r="G1339">
        <f>IF(A1339="","",MONTH(A1339))</f>
        <v/>
      </c>
    </row>
    <row r="1340">
      <c r="A1340" s="25" t="n"/>
      <c r="B1340" s="11" t="n"/>
      <c r="C1340" s="24" t="n"/>
      <c r="D1340" s="11" t="n"/>
      <c r="E1340" s="11" t="n"/>
      <c r="F1340">
        <f>IF(B1340="","",IFERROR(INDEX(Categories!$B$5:$B$44,MATCH(B1340,Categories!$A$5:$A$44,0)),"?"))</f>
        <v/>
      </c>
      <c r="G1340">
        <f>IF(A1340="","",MONTH(A1340))</f>
        <v/>
      </c>
    </row>
    <row r="1341">
      <c r="A1341" s="25" t="n"/>
      <c r="B1341" s="11" t="n"/>
      <c r="C1341" s="24" t="n"/>
      <c r="D1341" s="11" t="n"/>
      <c r="E1341" s="11" t="n"/>
      <c r="F1341">
        <f>IF(B1341="","",IFERROR(INDEX(Categories!$B$5:$B$44,MATCH(B1341,Categories!$A$5:$A$44,0)),"?"))</f>
        <v/>
      </c>
      <c r="G1341">
        <f>IF(A1341="","",MONTH(A1341))</f>
        <v/>
      </c>
    </row>
    <row r="1342">
      <c r="A1342" s="25" t="n"/>
      <c r="B1342" s="11" t="n"/>
      <c r="C1342" s="24" t="n"/>
      <c r="D1342" s="11" t="n"/>
      <c r="E1342" s="11" t="n"/>
      <c r="F1342">
        <f>IF(B1342="","",IFERROR(INDEX(Categories!$B$5:$B$44,MATCH(B1342,Categories!$A$5:$A$44,0)),"?"))</f>
        <v/>
      </c>
      <c r="G1342">
        <f>IF(A1342="","",MONTH(A1342))</f>
        <v/>
      </c>
    </row>
    <row r="1343">
      <c r="A1343" s="25" t="n"/>
      <c r="B1343" s="11" t="n"/>
      <c r="C1343" s="24" t="n"/>
      <c r="D1343" s="11" t="n"/>
      <c r="E1343" s="11" t="n"/>
      <c r="F1343">
        <f>IF(B1343="","",IFERROR(INDEX(Categories!$B$5:$B$44,MATCH(B1343,Categories!$A$5:$A$44,0)),"?"))</f>
        <v/>
      </c>
      <c r="G1343">
        <f>IF(A1343="","",MONTH(A1343))</f>
        <v/>
      </c>
    </row>
    <row r="1344">
      <c r="A1344" s="25" t="n"/>
      <c r="B1344" s="11" t="n"/>
      <c r="C1344" s="24" t="n"/>
      <c r="D1344" s="11" t="n"/>
      <c r="E1344" s="11" t="n"/>
      <c r="F1344">
        <f>IF(B1344="","",IFERROR(INDEX(Categories!$B$5:$B$44,MATCH(B1344,Categories!$A$5:$A$44,0)),"?"))</f>
        <v/>
      </c>
      <c r="G1344">
        <f>IF(A1344="","",MONTH(A1344))</f>
        <v/>
      </c>
    </row>
    <row r="1345">
      <c r="A1345" s="25" t="n"/>
      <c r="B1345" s="11" t="n"/>
      <c r="C1345" s="24" t="n"/>
      <c r="D1345" s="11" t="n"/>
      <c r="E1345" s="11" t="n"/>
      <c r="F1345">
        <f>IF(B1345="","",IFERROR(INDEX(Categories!$B$5:$B$44,MATCH(B1345,Categories!$A$5:$A$44,0)),"?"))</f>
        <v/>
      </c>
      <c r="G1345">
        <f>IF(A1345="","",MONTH(A1345))</f>
        <v/>
      </c>
    </row>
    <row r="1346">
      <c r="A1346" s="25" t="n"/>
      <c r="B1346" s="11" t="n"/>
      <c r="C1346" s="24" t="n"/>
      <c r="D1346" s="11" t="n"/>
      <c r="E1346" s="11" t="n"/>
      <c r="F1346">
        <f>IF(B1346="","",IFERROR(INDEX(Categories!$B$5:$B$44,MATCH(B1346,Categories!$A$5:$A$44,0)),"?"))</f>
        <v/>
      </c>
      <c r="G1346">
        <f>IF(A1346="","",MONTH(A1346))</f>
        <v/>
      </c>
    </row>
    <row r="1347">
      <c r="A1347" s="25" t="n"/>
      <c r="B1347" s="11" t="n"/>
      <c r="C1347" s="24" t="n"/>
      <c r="D1347" s="11" t="n"/>
      <c r="E1347" s="11" t="n"/>
      <c r="F1347">
        <f>IF(B1347="","",IFERROR(INDEX(Categories!$B$5:$B$44,MATCH(B1347,Categories!$A$5:$A$44,0)),"?"))</f>
        <v/>
      </c>
      <c r="G1347">
        <f>IF(A1347="","",MONTH(A1347))</f>
        <v/>
      </c>
    </row>
    <row r="1348">
      <c r="A1348" s="25" t="n"/>
      <c r="B1348" s="11" t="n"/>
      <c r="C1348" s="24" t="n"/>
      <c r="D1348" s="11" t="n"/>
      <c r="E1348" s="11" t="n"/>
      <c r="F1348">
        <f>IF(B1348="","",IFERROR(INDEX(Categories!$B$5:$B$44,MATCH(B1348,Categories!$A$5:$A$44,0)),"?"))</f>
        <v/>
      </c>
      <c r="G1348">
        <f>IF(A1348="","",MONTH(A1348))</f>
        <v/>
      </c>
    </row>
    <row r="1349">
      <c r="A1349" s="25" t="n"/>
      <c r="B1349" s="11" t="n"/>
      <c r="C1349" s="24" t="n"/>
      <c r="D1349" s="11" t="n"/>
      <c r="E1349" s="11" t="n"/>
      <c r="F1349">
        <f>IF(B1349="","",IFERROR(INDEX(Categories!$B$5:$B$44,MATCH(B1349,Categories!$A$5:$A$44,0)),"?"))</f>
        <v/>
      </c>
      <c r="G1349">
        <f>IF(A1349="","",MONTH(A1349))</f>
        <v/>
      </c>
    </row>
    <row r="1350">
      <c r="A1350" s="25" t="n"/>
      <c r="B1350" s="11" t="n"/>
      <c r="C1350" s="24" t="n"/>
      <c r="D1350" s="11" t="n"/>
      <c r="E1350" s="11" t="n"/>
      <c r="F1350">
        <f>IF(B1350="","",IFERROR(INDEX(Categories!$B$5:$B$44,MATCH(B1350,Categories!$A$5:$A$44,0)),"?"))</f>
        <v/>
      </c>
      <c r="G1350">
        <f>IF(A1350="","",MONTH(A1350))</f>
        <v/>
      </c>
    </row>
    <row r="1351">
      <c r="A1351" s="25" t="n"/>
      <c r="B1351" s="11" t="n"/>
      <c r="C1351" s="24" t="n"/>
      <c r="D1351" s="11" t="n"/>
      <c r="E1351" s="11" t="n"/>
      <c r="F1351">
        <f>IF(B1351="","",IFERROR(INDEX(Categories!$B$5:$B$44,MATCH(B1351,Categories!$A$5:$A$44,0)),"?"))</f>
        <v/>
      </c>
      <c r="G1351">
        <f>IF(A1351="","",MONTH(A1351))</f>
        <v/>
      </c>
    </row>
    <row r="1352">
      <c r="A1352" s="25" t="n"/>
      <c r="B1352" s="11" t="n"/>
      <c r="C1352" s="24" t="n"/>
      <c r="D1352" s="11" t="n"/>
      <c r="E1352" s="11" t="n"/>
      <c r="F1352">
        <f>IF(B1352="","",IFERROR(INDEX(Categories!$B$5:$B$44,MATCH(B1352,Categories!$A$5:$A$44,0)),"?"))</f>
        <v/>
      </c>
      <c r="G1352">
        <f>IF(A1352="","",MONTH(A1352))</f>
        <v/>
      </c>
    </row>
    <row r="1353">
      <c r="A1353" s="25" t="n"/>
      <c r="B1353" s="11" t="n"/>
      <c r="C1353" s="24" t="n"/>
      <c r="D1353" s="11" t="n"/>
      <c r="E1353" s="11" t="n"/>
      <c r="F1353">
        <f>IF(B1353="","",IFERROR(INDEX(Categories!$B$5:$B$44,MATCH(B1353,Categories!$A$5:$A$44,0)),"?"))</f>
        <v/>
      </c>
      <c r="G1353">
        <f>IF(A1353="","",MONTH(A1353))</f>
        <v/>
      </c>
    </row>
    <row r="1354">
      <c r="A1354" s="25" t="n"/>
      <c r="B1354" s="11" t="n"/>
      <c r="C1354" s="24" t="n"/>
      <c r="D1354" s="11" t="n"/>
      <c r="E1354" s="11" t="n"/>
      <c r="F1354">
        <f>IF(B1354="","",IFERROR(INDEX(Categories!$B$5:$B$44,MATCH(B1354,Categories!$A$5:$A$44,0)),"?"))</f>
        <v/>
      </c>
      <c r="G1354">
        <f>IF(A1354="","",MONTH(A1354))</f>
        <v/>
      </c>
    </row>
    <row r="1355">
      <c r="A1355" s="25" t="n"/>
      <c r="B1355" s="11" t="n"/>
      <c r="C1355" s="24" t="n"/>
      <c r="D1355" s="11" t="n"/>
      <c r="E1355" s="11" t="n"/>
      <c r="F1355">
        <f>IF(B1355="","",IFERROR(INDEX(Categories!$B$5:$B$44,MATCH(B1355,Categories!$A$5:$A$44,0)),"?"))</f>
        <v/>
      </c>
      <c r="G1355">
        <f>IF(A1355="","",MONTH(A1355))</f>
        <v/>
      </c>
    </row>
    <row r="1356">
      <c r="A1356" s="25" t="n"/>
      <c r="B1356" s="11" t="n"/>
      <c r="C1356" s="24" t="n"/>
      <c r="D1356" s="11" t="n"/>
      <c r="E1356" s="11" t="n"/>
      <c r="F1356">
        <f>IF(B1356="","",IFERROR(INDEX(Categories!$B$5:$B$44,MATCH(B1356,Categories!$A$5:$A$44,0)),"?"))</f>
        <v/>
      </c>
      <c r="G1356">
        <f>IF(A1356="","",MONTH(A1356))</f>
        <v/>
      </c>
    </row>
    <row r="1357">
      <c r="A1357" s="25" t="n"/>
      <c r="B1357" s="11" t="n"/>
      <c r="C1357" s="24" t="n"/>
      <c r="D1357" s="11" t="n"/>
      <c r="E1357" s="11" t="n"/>
      <c r="F1357">
        <f>IF(B1357="","",IFERROR(INDEX(Categories!$B$5:$B$44,MATCH(B1357,Categories!$A$5:$A$44,0)),"?"))</f>
        <v/>
      </c>
      <c r="G1357">
        <f>IF(A1357="","",MONTH(A1357))</f>
        <v/>
      </c>
    </row>
    <row r="1358">
      <c r="A1358" s="25" t="n"/>
      <c r="B1358" s="11" t="n"/>
      <c r="C1358" s="24" t="n"/>
      <c r="D1358" s="11" t="n"/>
      <c r="E1358" s="11" t="n"/>
      <c r="F1358">
        <f>IF(B1358="","",IFERROR(INDEX(Categories!$B$5:$B$44,MATCH(B1358,Categories!$A$5:$A$44,0)),"?"))</f>
        <v/>
      </c>
      <c r="G1358">
        <f>IF(A1358="","",MONTH(A1358))</f>
        <v/>
      </c>
    </row>
    <row r="1359">
      <c r="A1359" s="25" t="n"/>
      <c r="B1359" s="11" t="n"/>
      <c r="C1359" s="24" t="n"/>
      <c r="D1359" s="11" t="n"/>
      <c r="E1359" s="11" t="n"/>
      <c r="F1359">
        <f>IF(B1359="","",IFERROR(INDEX(Categories!$B$5:$B$44,MATCH(B1359,Categories!$A$5:$A$44,0)),"?"))</f>
        <v/>
      </c>
      <c r="G1359">
        <f>IF(A1359="","",MONTH(A1359))</f>
        <v/>
      </c>
    </row>
    <row r="1360">
      <c r="A1360" s="25" t="n"/>
      <c r="B1360" s="11" t="n"/>
      <c r="C1360" s="24" t="n"/>
      <c r="D1360" s="11" t="n"/>
      <c r="E1360" s="11" t="n"/>
      <c r="F1360">
        <f>IF(B1360="","",IFERROR(INDEX(Categories!$B$5:$B$44,MATCH(B1360,Categories!$A$5:$A$44,0)),"?"))</f>
        <v/>
      </c>
      <c r="G1360">
        <f>IF(A1360="","",MONTH(A1360))</f>
        <v/>
      </c>
    </row>
    <row r="1361">
      <c r="A1361" s="25" t="n"/>
      <c r="B1361" s="11" t="n"/>
      <c r="C1361" s="24" t="n"/>
      <c r="D1361" s="11" t="n"/>
      <c r="E1361" s="11" t="n"/>
      <c r="F1361">
        <f>IF(B1361="","",IFERROR(INDEX(Categories!$B$5:$B$44,MATCH(B1361,Categories!$A$5:$A$44,0)),"?"))</f>
        <v/>
      </c>
      <c r="G1361">
        <f>IF(A1361="","",MONTH(A1361))</f>
        <v/>
      </c>
    </row>
    <row r="1362">
      <c r="A1362" s="25" t="n"/>
      <c r="B1362" s="11" t="n"/>
      <c r="C1362" s="24" t="n"/>
      <c r="D1362" s="11" t="n"/>
      <c r="E1362" s="11" t="n"/>
      <c r="F1362">
        <f>IF(B1362="","",IFERROR(INDEX(Categories!$B$5:$B$44,MATCH(B1362,Categories!$A$5:$A$44,0)),"?"))</f>
        <v/>
      </c>
      <c r="G1362">
        <f>IF(A1362="","",MONTH(A1362))</f>
        <v/>
      </c>
    </row>
    <row r="1363">
      <c r="A1363" s="25" t="n"/>
      <c r="B1363" s="11" t="n"/>
      <c r="C1363" s="24" t="n"/>
      <c r="D1363" s="11" t="n"/>
      <c r="E1363" s="11" t="n"/>
      <c r="F1363">
        <f>IF(B1363="","",IFERROR(INDEX(Categories!$B$5:$B$44,MATCH(B1363,Categories!$A$5:$A$44,0)),"?"))</f>
        <v/>
      </c>
      <c r="G1363">
        <f>IF(A1363="","",MONTH(A1363))</f>
        <v/>
      </c>
    </row>
    <row r="1364">
      <c r="A1364" s="25" t="n"/>
      <c r="B1364" s="11" t="n"/>
      <c r="C1364" s="24" t="n"/>
      <c r="D1364" s="11" t="n"/>
      <c r="E1364" s="11" t="n"/>
      <c r="F1364">
        <f>IF(B1364="","",IFERROR(INDEX(Categories!$B$5:$B$44,MATCH(B1364,Categories!$A$5:$A$44,0)),"?"))</f>
        <v/>
      </c>
      <c r="G1364">
        <f>IF(A1364="","",MONTH(A1364))</f>
        <v/>
      </c>
    </row>
    <row r="1365">
      <c r="A1365" s="25" t="n"/>
      <c r="B1365" s="11" t="n"/>
      <c r="C1365" s="24" t="n"/>
      <c r="D1365" s="11" t="n"/>
      <c r="E1365" s="11" t="n"/>
      <c r="F1365">
        <f>IF(B1365="","",IFERROR(INDEX(Categories!$B$5:$B$44,MATCH(B1365,Categories!$A$5:$A$44,0)),"?"))</f>
        <v/>
      </c>
      <c r="G1365">
        <f>IF(A1365="","",MONTH(A1365))</f>
        <v/>
      </c>
    </row>
    <row r="1366">
      <c r="A1366" s="25" t="n"/>
      <c r="B1366" s="11" t="n"/>
      <c r="C1366" s="24" t="n"/>
      <c r="D1366" s="11" t="n"/>
      <c r="E1366" s="11" t="n"/>
      <c r="F1366">
        <f>IF(B1366="","",IFERROR(INDEX(Categories!$B$5:$B$44,MATCH(B1366,Categories!$A$5:$A$44,0)),"?"))</f>
        <v/>
      </c>
      <c r="G1366">
        <f>IF(A1366="","",MONTH(A1366))</f>
        <v/>
      </c>
    </row>
    <row r="1367">
      <c r="A1367" s="25" t="n"/>
      <c r="B1367" s="11" t="n"/>
      <c r="C1367" s="24" t="n"/>
      <c r="D1367" s="11" t="n"/>
      <c r="E1367" s="11" t="n"/>
      <c r="F1367">
        <f>IF(B1367="","",IFERROR(INDEX(Categories!$B$5:$B$44,MATCH(B1367,Categories!$A$5:$A$44,0)),"?"))</f>
        <v/>
      </c>
      <c r="G1367">
        <f>IF(A1367="","",MONTH(A1367))</f>
        <v/>
      </c>
    </row>
    <row r="1368">
      <c r="A1368" s="25" t="n"/>
      <c r="B1368" s="11" t="n"/>
      <c r="C1368" s="24" t="n"/>
      <c r="D1368" s="11" t="n"/>
      <c r="E1368" s="11" t="n"/>
      <c r="F1368">
        <f>IF(B1368="","",IFERROR(INDEX(Categories!$B$5:$B$44,MATCH(B1368,Categories!$A$5:$A$44,0)),"?"))</f>
        <v/>
      </c>
      <c r="G1368">
        <f>IF(A1368="","",MONTH(A1368))</f>
        <v/>
      </c>
    </row>
    <row r="1369">
      <c r="A1369" s="25" t="n"/>
      <c r="B1369" s="11" t="n"/>
      <c r="C1369" s="24" t="n"/>
      <c r="D1369" s="11" t="n"/>
      <c r="E1369" s="11" t="n"/>
      <c r="F1369">
        <f>IF(B1369="","",IFERROR(INDEX(Categories!$B$5:$B$44,MATCH(B1369,Categories!$A$5:$A$44,0)),"?"))</f>
        <v/>
      </c>
      <c r="G1369">
        <f>IF(A1369="","",MONTH(A1369))</f>
        <v/>
      </c>
    </row>
    <row r="1370">
      <c r="A1370" s="25" t="n"/>
      <c r="B1370" s="11" t="n"/>
      <c r="C1370" s="24" t="n"/>
      <c r="D1370" s="11" t="n"/>
      <c r="E1370" s="11" t="n"/>
      <c r="F1370">
        <f>IF(B1370="","",IFERROR(INDEX(Categories!$B$5:$B$44,MATCH(B1370,Categories!$A$5:$A$44,0)),"?"))</f>
        <v/>
      </c>
      <c r="G1370">
        <f>IF(A1370="","",MONTH(A1370))</f>
        <v/>
      </c>
    </row>
    <row r="1371">
      <c r="A1371" s="25" t="n"/>
      <c r="B1371" s="11" t="n"/>
      <c r="C1371" s="24" t="n"/>
      <c r="D1371" s="11" t="n"/>
      <c r="E1371" s="11" t="n"/>
      <c r="F1371">
        <f>IF(B1371="","",IFERROR(INDEX(Categories!$B$5:$B$44,MATCH(B1371,Categories!$A$5:$A$44,0)),"?"))</f>
        <v/>
      </c>
      <c r="G1371">
        <f>IF(A1371="","",MONTH(A1371))</f>
        <v/>
      </c>
    </row>
    <row r="1372">
      <c r="A1372" s="25" t="n"/>
      <c r="B1372" s="11" t="n"/>
      <c r="C1372" s="24" t="n"/>
      <c r="D1372" s="11" t="n"/>
      <c r="E1372" s="11" t="n"/>
      <c r="F1372">
        <f>IF(B1372="","",IFERROR(INDEX(Categories!$B$5:$B$44,MATCH(B1372,Categories!$A$5:$A$44,0)),"?"))</f>
        <v/>
      </c>
      <c r="G1372">
        <f>IF(A1372="","",MONTH(A1372))</f>
        <v/>
      </c>
    </row>
    <row r="1373">
      <c r="A1373" s="25" t="n"/>
      <c r="B1373" s="11" t="n"/>
      <c r="C1373" s="24" t="n"/>
      <c r="D1373" s="11" t="n"/>
      <c r="E1373" s="11" t="n"/>
      <c r="F1373">
        <f>IF(B1373="","",IFERROR(INDEX(Categories!$B$5:$B$44,MATCH(B1373,Categories!$A$5:$A$44,0)),"?"))</f>
        <v/>
      </c>
      <c r="G1373">
        <f>IF(A1373="","",MONTH(A1373))</f>
        <v/>
      </c>
    </row>
    <row r="1374">
      <c r="A1374" s="25" t="n"/>
      <c r="B1374" s="11" t="n"/>
      <c r="C1374" s="24" t="n"/>
      <c r="D1374" s="11" t="n"/>
      <c r="E1374" s="11" t="n"/>
      <c r="F1374">
        <f>IF(B1374="","",IFERROR(INDEX(Categories!$B$5:$B$44,MATCH(B1374,Categories!$A$5:$A$44,0)),"?"))</f>
        <v/>
      </c>
      <c r="G1374">
        <f>IF(A1374="","",MONTH(A1374))</f>
        <v/>
      </c>
    </row>
    <row r="1375">
      <c r="A1375" s="25" t="n"/>
      <c r="B1375" s="11" t="n"/>
      <c r="C1375" s="24" t="n"/>
      <c r="D1375" s="11" t="n"/>
      <c r="E1375" s="11" t="n"/>
      <c r="F1375">
        <f>IF(B1375="","",IFERROR(INDEX(Categories!$B$5:$B$44,MATCH(B1375,Categories!$A$5:$A$44,0)),"?"))</f>
        <v/>
      </c>
      <c r="G1375">
        <f>IF(A1375="","",MONTH(A1375))</f>
        <v/>
      </c>
    </row>
    <row r="1376">
      <c r="A1376" s="25" t="n"/>
      <c r="B1376" s="11" t="n"/>
      <c r="C1376" s="24" t="n"/>
      <c r="D1376" s="11" t="n"/>
      <c r="E1376" s="11" t="n"/>
      <c r="F1376">
        <f>IF(B1376="","",IFERROR(INDEX(Categories!$B$5:$B$44,MATCH(B1376,Categories!$A$5:$A$44,0)),"?"))</f>
        <v/>
      </c>
      <c r="G1376">
        <f>IF(A1376="","",MONTH(A1376))</f>
        <v/>
      </c>
    </row>
    <row r="1377">
      <c r="A1377" s="25" t="n"/>
      <c r="B1377" s="11" t="n"/>
      <c r="C1377" s="24" t="n"/>
      <c r="D1377" s="11" t="n"/>
      <c r="E1377" s="11" t="n"/>
      <c r="F1377">
        <f>IF(B1377="","",IFERROR(INDEX(Categories!$B$5:$B$44,MATCH(B1377,Categories!$A$5:$A$44,0)),"?"))</f>
        <v/>
      </c>
      <c r="G1377">
        <f>IF(A1377="","",MONTH(A1377))</f>
        <v/>
      </c>
    </row>
    <row r="1378">
      <c r="A1378" s="25" t="n"/>
      <c r="B1378" s="11" t="n"/>
      <c r="C1378" s="24" t="n"/>
      <c r="D1378" s="11" t="n"/>
      <c r="E1378" s="11" t="n"/>
      <c r="F1378">
        <f>IF(B1378="","",IFERROR(INDEX(Categories!$B$5:$B$44,MATCH(B1378,Categories!$A$5:$A$44,0)),"?"))</f>
        <v/>
      </c>
      <c r="G1378">
        <f>IF(A1378="","",MONTH(A1378))</f>
        <v/>
      </c>
    </row>
    <row r="1379">
      <c r="A1379" s="25" t="n"/>
      <c r="B1379" s="11" t="n"/>
      <c r="C1379" s="24" t="n"/>
      <c r="D1379" s="11" t="n"/>
      <c r="E1379" s="11" t="n"/>
      <c r="F1379">
        <f>IF(B1379="","",IFERROR(INDEX(Categories!$B$5:$B$44,MATCH(B1379,Categories!$A$5:$A$44,0)),"?"))</f>
        <v/>
      </c>
      <c r="G1379">
        <f>IF(A1379="","",MONTH(A1379))</f>
        <v/>
      </c>
    </row>
    <row r="1380">
      <c r="A1380" s="25" t="n"/>
      <c r="B1380" s="11" t="n"/>
      <c r="C1380" s="24" t="n"/>
      <c r="D1380" s="11" t="n"/>
      <c r="E1380" s="11" t="n"/>
      <c r="F1380">
        <f>IF(B1380="","",IFERROR(INDEX(Categories!$B$5:$B$44,MATCH(B1380,Categories!$A$5:$A$44,0)),"?"))</f>
        <v/>
      </c>
      <c r="G1380">
        <f>IF(A1380="","",MONTH(A1380))</f>
        <v/>
      </c>
    </row>
    <row r="1381">
      <c r="A1381" s="25" t="n"/>
      <c r="B1381" s="11" t="n"/>
      <c r="C1381" s="24" t="n"/>
      <c r="D1381" s="11" t="n"/>
      <c r="E1381" s="11" t="n"/>
      <c r="F1381">
        <f>IF(B1381="","",IFERROR(INDEX(Categories!$B$5:$B$44,MATCH(B1381,Categories!$A$5:$A$44,0)),"?"))</f>
        <v/>
      </c>
      <c r="G1381">
        <f>IF(A1381="","",MONTH(A1381))</f>
        <v/>
      </c>
    </row>
    <row r="1382">
      <c r="A1382" s="25" t="n"/>
      <c r="B1382" s="11" t="n"/>
      <c r="C1382" s="24" t="n"/>
      <c r="D1382" s="11" t="n"/>
      <c r="E1382" s="11" t="n"/>
      <c r="F1382">
        <f>IF(B1382="","",IFERROR(INDEX(Categories!$B$5:$B$44,MATCH(B1382,Categories!$A$5:$A$44,0)),"?"))</f>
        <v/>
      </c>
      <c r="G1382">
        <f>IF(A1382="","",MONTH(A1382))</f>
        <v/>
      </c>
    </row>
    <row r="1383">
      <c r="A1383" s="25" t="n"/>
      <c r="B1383" s="11" t="n"/>
      <c r="C1383" s="24" t="n"/>
      <c r="D1383" s="11" t="n"/>
      <c r="E1383" s="11" t="n"/>
      <c r="F1383">
        <f>IF(B1383="","",IFERROR(INDEX(Categories!$B$5:$B$44,MATCH(B1383,Categories!$A$5:$A$44,0)),"?"))</f>
        <v/>
      </c>
      <c r="G1383">
        <f>IF(A1383="","",MONTH(A1383))</f>
        <v/>
      </c>
    </row>
    <row r="1384">
      <c r="A1384" s="25" t="n"/>
      <c r="B1384" s="11" t="n"/>
      <c r="C1384" s="24" t="n"/>
      <c r="D1384" s="11" t="n"/>
      <c r="E1384" s="11" t="n"/>
      <c r="F1384">
        <f>IF(B1384="","",IFERROR(INDEX(Categories!$B$5:$B$44,MATCH(B1384,Categories!$A$5:$A$44,0)),"?"))</f>
        <v/>
      </c>
      <c r="G1384">
        <f>IF(A1384="","",MONTH(A1384))</f>
        <v/>
      </c>
    </row>
    <row r="1385">
      <c r="A1385" s="25" t="n"/>
      <c r="B1385" s="11" t="n"/>
      <c r="C1385" s="24" t="n"/>
      <c r="D1385" s="11" t="n"/>
      <c r="E1385" s="11" t="n"/>
      <c r="F1385">
        <f>IF(B1385="","",IFERROR(INDEX(Categories!$B$5:$B$44,MATCH(B1385,Categories!$A$5:$A$44,0)),"?"))</f>
        <v/>
      </c>
      <c r="G1385">
        <f>IF(A1385="","",MONTH(A1385))</f>
        <v/>
      </c>
    </row>
    <row r="1386">
      <c r="A1386" s="25" t="n"/>
      <c r="B1386" s="11" t="n"/>
      <c r="C1386" s="24" t="n"/>
      <c r="D1386" s="11" t="n"/>
      <c r="E1386" s="11" t="n"/>
      <c r="F1386">
        <f>IF(B1386="","",IFERROR(INDEX(Categories!$B$5:$B$44,MATCH(B1386,Categories!$A$5:$A$44,0)),"?"))</f>
        <v/>
      </c>
      <c r="G1386">
        <f>IF(A1386="","",MONTH(A1386))</f>
        <v/>
      </c>
    </row>
    <row r="1387">
      <c r="A1387" s="25" t="n"/>
      <c r="B1387" s="11" t="n"/>
      <c r="C1387" s="24" t="n"/>
      <c r="D1387" s="11" t="n"/>
      <c r="E1387" s="11" t="n"/>
      <c r="F1387">
        <f>IF(B1387="","",IFERROR(INDEX(Categories!$B$5:$B$44,MATCH(B1387,Categories!$A$5:$A$44,0)),"?"))</f>
        <v/>
      </c>
      <c r="G1387">
        <f>IF(A1387="","",MONTH(A1387))</f>
        <v/>
      </c>
    </row>
    <row r="1388">
      <c r="A1388" s="25" t="n"/>
      <c r="B1388" s="11" t="n"/>
      <c r="C1388" s="24" t="n"/>
      <c r="D1388" s="11" t="n"/>
      <c r="E1388" s="11" t="n"/>
      <c r="F1388">
        <f>IF(B1388="","",IFERROR(INDEX(Categories!$B$5:$B$44,MATCH(B1388,Categories!$A$5:$A$44,0)),"?"))</f>
        <v/>
      </c>
      <c r="G1388">
        <f>IF(A1388="","",MONTH(A1388))</f>
        <v/>
      </c>
    </row>
    <row r="1389">
      <c r="A1389" s="25" t="n"/>
      <c r="B1389" s="11" t="n"/>
      <c r="C1389" s="24" t="n"/>
      <c r="D1389" s="11" t="n"/>
      <c r="E1389" s="11" t="n"/>
      <c r="F1389">
        <f>IF(B1389="","",IFERROR(INDEX(Categories!$B$5:$B$44,MATCH(B1389,Categories!$A$5:$A$44,0)),"?"))</f>
        <v/>
      </c>
      <c r="G1389">
        <f>IF(A1389="","",MONTH(A1389))</f>
        <v/>
      </c>
    </row>
    <row r="1390">
      <c r="A1390" s="25" t="n"/>
      <c r="B1390" s="11" t="n"/>
      <c r="C1390" s="24" t="n"/>
      <c r="D1390" s="11" t="n"/>
      <c r="E1390" s="11" t="n"/>
      <c r="F1390">
        <f>IF(B1390="","",IFERROR(INDEX(Categories!$B$5:$B$44,MATCH(B1390,Categories!$A$5:$A$44,0)),"?"))</f>
        <v/>
      </c>
      <c r="G1390">
        <f>IF(A1390="","",MONTH(A1390))</f>
        <v/>
      </c>
    </row>
    <row r="1391">
      <c r="A1391" s="25" t="n"/>
      <c r="B1391" s="11" t="n"/>
      <c r="C1391" s="24" t="n"/>
      <c r="D1391" s="11" t="n"/>
      <c r="E1391" s="11" t="n"/>
      <c r="F1391">
        <f>IF(B1391="","",IFERROR(INDEX(Categories!$B$5:$B$44,MATCH(B1391,Categories!$A$5:$A$44,0)),"?"))</f>
        <v/>
      </c>
      <c r="G1391">
        <f>IF(A1391="","",MONTH(A1391))</f>
        <v/>
      </c>
    </row>
    <row r="1392">
      <c r="A1392" s="25" t="n"/>
      <c r="B1392" s="11" t="n"/>
      <c r="C1392" s="24" t="n"/>
      <c r="D1392" s="11" t="n"/>
      <c r="E1392" s="11" t="n"/>
      <c r="F1392">
        <f>IF(B1392="","",IFERROR(INDEX(Categories!$B$5:$B$44,MATCH(B1392,Categories!$A$5:$A$44,0)),"?"))</f>
        <v/>
      </c>
      <c r="G1392">
        <f>IF(A1392="","",MONTH(A1392))</f>
        <v/>
      </c>
    </row>
    <row r="1393">
      <c r="A1393" s="25" t="n"/>
      <c r="B1393" s="11" t="n"/>
      <c r="C1393" s="24" t="n"/>
      <c r="D1393" s="11" t="n"/>
      <c r="E1393" s="11" t="n"/>
      <c r="F1393">
        <f>IF(B1393="","",IFERROR(INDEX(Categories!$B$5:$B$44,MATCH(B1393,Categories!$A$5:$A$44,0)),"?"))</f>
        <v/>
      </c>
      <c r="G1393">
        <f>IF(A1393="","",MONTH(A1393))</f>
        <v/>
      </c>
    </row>
    <row r="1394">
      <c r="A1394" s="25" t="n"/>
      <c r="B1394" s="11" t="n"/>
      <c r="C1394" s="24" t="n"/>
      <c r="D1394" s="11" t="n"/>
      <c r="E1394" s="11" t="n"/>
      <c r="F1394">
        <f>IF(B1394="","",IFERROR(INDEX(Categories!$B$5:$B$44,MATCH(B1394,Categories!$A$5:$A$44,0)),"?"))</f>
        <v/>
      </c>
      <c r="G1394">
        <f>IF(A1394="","",MONTH(A1394))</f>
        <v/>
      </c>
    </row>
    <row r="1395">
      <c r="A1395" s="25" t="n"/>
      <c r="B1395" s="11" t="n"/>
      <c r="C1395" s="24" t="n"/>
      <c r="D1395" s="11" t="n"/>
      <c r="E1395" s="11" t="n"/>
      <c r="F1395">
        <f>IF(B1395="","",IFERROR(INDEX(Categories!$B$5:$B$44,MATCH(B1395,Categories!$A$5:$A$44,0)),"?"))</f>
        <v/>
      </c>
      <c r="G1395">
        <f>IF(A1395="","",MONTH(A1395))</f>
        <v/>
      </c>
    </row>
    <row r="1396">
      <c r="A1396" s="25" t="n"/>
      <c r="B1396" s="11" t="n"/>
      <c r="C1396" s="24" t="n"/>
      <c r="D1396" s="11" t="n"/>
      <c r="E1396" s="11" t="n"/>
      <c r="F1396">
        <f>IF(B1396="","",IFERROR(INDEX(Categories!$B$5:$B$44,MATCH(B1396,Categories!$A$5:$A$44,0)),"?"))</f>
        <v/>
      </c>
      <c r="G1396">
        <f>IF(A1396="","",MONTH(A1396))</f>
        <v/>
      </c>
    </row>
    <row r="1397">
      <c r="A1397" s="25" t="n"/>
      <c r="B1397" s="11" t="n"/>
      <c r="C1397" s="24" t="n"/>
      <c r="D1397" s="11" t="n"/>
      <c r="E1397" s="11" t="n"/>
      <c r="F1397">
        <f>IF(B1397="","",IFERROR(INDEX(Categories!$B$5:$B$44,MATCH(B1397,Categories!$A$5:$A$44,0)),"?"))</f>
        <v/>
      </c>
      <c r="G1397">
        <f>IF(A1397="","",MONTH(A1397))</f>
        <v/>
      </c>
    </row>
    <row r="1398">
      <c r="A1398" s="25" t="n"/>
      <c r="B1398" s="11" t="n"/>
      <c r="C1398" s="24" t="n"/>
      <c r="D1398" s="11" t="n"/>
      <c r="E1398" s="11" t="n"/>
      <c r="F1398">
        <f>IF(B1398="","",IFERROR(INDEX(Categories!$B$5:$B$44,MATCH(B1398,Categories!$A$5:$A$44,0)),"?"))</f>
        <v/>
      </c>
      <c r="G1398">
        <f>IF(A1398="","",MONTH(A1398))</f>
        <v/>
      </c>
    </row>
    <row r="1399">
      <c r="A1399" s="25" t="n"/>
      <c r="B1399" s="11" t="n"/>
      <c r="C1399" s="24" t="n"/>
      <c r="D1399" s="11" t="n"/>
      <c r="E1399" s="11" t="n"/>
      <c r="F1399">
        <f>IF(B1399="","",IFERROR(INDEX(Categories!$B$5:$B$44,MATCH(B1399,Categories!$A$5:$A$44,0)),"?"))</f>
        <v/>
      </c>
      <c r="G1399">
        <f>IF(A1399="","",MONTH(A1399))</f>
        <v/>
      </c>
    </row>
    <row r="1400">
      <c r="A1400" s="25" t="n"/>
      <c r="B1400" s="11" t="n"/>
      <c r="C1400" s="24" t="n"/>
      <c r="D1400" s="11" t="n"/>
      <c r="E1400" s="11" t="n"/>
      <c r="F1400">
        <f>IF(B1400="","",IFERROR(INDEX(Categories!$B$5:$B$44,MATCH(B1400,Categories!$A$5:$A$44,0)),"?"))</f>
        <v/>
      </c>
      <c r="G1400">
        <f>IF(A1400="","",MONTH(A1400))</f>
        <v/>
      </c>
    </row>
    <row r="1401">
      <c r="A1401" s="25" t="n"/>
      <c r="B1401" s="11" t="n"/>
      <c r="C1401" s="24" t="n"/>
      <c r="D1401" s="11" t="n"/>
      <c r="E1401" s="11" t="n"/>
      <c r="F1401">
        <f>IF(B1401="","",IFERROR(INDEX(Categories!$B$5:$B$44,MATCH(B1401,Categories!$A$5:$A$44,0)),"?"))</f>
        <v/>
      </c>
      <c r="G1401">
        <f>IF(A1401="","",MONTH(A1401))</f>
        <v/>
      </c>
    </row>
    <row r="1402">
      <c r="A1402" s="25" t="n"/>
      <c r="B1402" s="11" t="n"/>
      <c r="C1402" s="24" t="n"/>
      <c r="D1402" s="11" t="n"/>
      <c r="E1402" s="11" t="n"/>
      <c r="F1402">
        <f>IF(B1402="","",IFERROR(INDEX(Categories!$B$5:$B$44,MATCH(B1402,Categories!$A$5:$A$44,0)),"?"))</f>
        <v/>
      </c>
      <c r="G1402">
        <f>IF(A1402="","",MONTH(A1402))</f>
        <v/>
      </c>
    </row>
    <row r="1403">
      <c r="A1403" s="25" t="n"/>
      <c r="B1403" s="11" t="n"/>
      <c r="C1403" s="24" t="n"/>
      <c r="D1403" s="11" t="n"/>
      <c r="E1403" s="11" t="n"/>
      <c r="F1403">
        <f>IF(B1403="","",IFERROR(INDEX(Categories!$B$5:$B$44,MATCH(B1403,Categories!$A$5:$A$44,0)),"?"))</f>
        <v/>
      </c>
      <c r="G1403">
        <f>IF(A1403="","",MONTH(A1403))</f>
        <v/>
      </c>
    </row>
    <row r="1404">
      <c r="A1404" s="25" t="n"/>
      <c r="B1404" s="11" t="n"/>
      <c r="C1404" s="24" t="n"/>
      <c r="D1404" s="11" t="n"/>
      <c r="E1404" s="11" t="n"/>
      <c r="F1404">
        <f>IF(B1404="","",IFERROR(INDEX(Categories!$B$5:$B$44,MATCH(B1404,Categories!$A$5:$A$44,0)),"?"))</f>
        <v/>
      </c>
      <c r="G1404">
        <f>IF(A1404="","",MONTH(A1404))</f>
        <v/>
      </c>
    </row>
    <row r="1405">
      <c r="A1405" s="25" t="n"/>
      <c r="B1405" s="11" t="n"/>
      <c r="C1405" s="24" t="n"/>
      <c r="D1405" s="11" t="n"/>
      <c r="E1405" s="11" t="n"/>
      <c r="F1405">
        <f>IF(B1405="","",IFERROR(INDEX(Categories!$B$5:$B$44,MATCH(B1405,Categories!$A$5:$A$44,0)),"?"))</f>
        <v/>
      </c>
      <c r="G1405">
        <f>IF(A1405="","",MONTH(A1405))</f>
        <v/>
      </c>
    </row>
    <row r="1406">
      <c r="A1406" s="25" t="n"/>
      <c r="B1406" s="11" t="n"/>
      <c r="C1406" s="24" t="n"/>
      <c r="D1406" s="11" t="n"/>
      <c r="E1406" s="11" t="n"/>
      <c r="F1406">
        <f>IF(B1406="","",IFERROR(INDEX(Categories!$B$5:$B$44,MATCH(B1406,Categories!$A$5:$A$44,0)),"?"))</f>
        <v/>
      </c>
      <c r="G1406">
        <f>IF(A1406="","",MONTH(A1406))</f>
        <v/>
      </c>
    </row>
    <row r="1407">
      <c r="A1407" s="25" t="n"/>
      <c r="B1407" s="11" t="n"/>
      <c r="C1407" s="24" t="n"/>
      <c r="D1407" s="11" t="n"/>
      <c r="E1407" s="11" t="n"/>
      <c r="F1407">
        <f>IF(B1407="","",IFERROR(INDEX(Categories!$B$5:$B$44,MATCH(B1407,Categories!$A$5:$A$44,0)),"?"))</f>
        <v/>
      </c>
      <c r="G1407">
        <f>IF(A1407="","",MONTH(A1407))</f>
        <v/>
      </c>
    </row>
    <row r="1408">
      <c r="A1408" s="25" t="n"/>
      <c r="B1408" s="11" t="n"/>
      <c r="C1408" s="24" t="n"/>
      <c r="D1408" s="11" t="n"/>
      <c r="E1408" s="11" t="n"/>
      <c r="F1408">
        <f>IF(B1408="","",IFERROR(INDEX(Categories!$B$5:$B$44,MATCH(B1408,Categories!$A$5:$A$44,0)),"?"))</f>
        <v/>
      </c>
      <c r="G1408">
        <f>IF(A1408="","",MONTH(A1408))</f>
        <v/>
      </c>
    </row>
    <row r="1409">
      <c r="A1409" s="25" t="n"/>
      <c r="B1409" s="11" t="n"/>
      <c r="C1409" s="24" t="n"/>
      <c r="D1409" s="11" t="n"/>
      <c r="E1409" s="11" t="n"/>
      <c r="F1409">
        <f>IF(B1409="","",IFERROR(INDEX(Categories!$B$5:$B$44,MATCH(B1409,Categories!$A$5:$A$44,0)),"?"))</f>
        <v/>
      </c>
      <c r="G1409">
        <f>IF(A1409="","",MONTH(A1409))</f>
        <v/>
      </c>
    </row>
    <row r="1410">
      <c r="A1410" s="25" t="n"/>
      <c r="B1410" s="11" t="n"/>
      <c r="C1410" s="24" t="n"/>
      <c r="D1410" s="11" t="n"/>
      <c r="E1410" s="11" t="n"/>
      <c r="F1410">
        <f>IF(B1410="","",IFERROR(INDEX(Categories!$B$5:$B$44,MATCH(B1410,Categories!$A$5:$A$44,0)),"?"))</f>
        <v/>
      </c>
      <c r="G1410">
        <f>IF(A1410="","",MONTH(A1410))</f>
        <v/>
      </c>
    </row>
    <row r="1411">
      <c r="A1411" s="25" t="n"/>
      <c r="B1411" s="11" t="n"/>
      <c r="C1411" s="24" t="n"/>
      <c r="D1411" s="11" t="n"/>
      <c r="E1411" s="11" t="n"/>
      <c r="F1411">
        <f>IF(B1411="","",IFERROR(INDEX(Categories!$B$5:$B$44,MATCH(B1411,Categories!$A$5:$A$44,0)),"?"))</f>
        <v/>
      </c>
      <c r="G1411">
        <f>IF(A1411="","",MONTH(A1411))</f>
        <v/>
      </c>
    </row>
    <row r="1412">
      <c r="A1412" s="25" t="n"/>
      <c r="B1412" s="11" t="n"/>
      <c r="C1412" s="24" t="n"/>
      <c r="D1412" s="11" t="n"/>
      <c r="E1412" s="11" t="n"/>
      <c r="F1412">
        <f>IF(B1412="","",IFERROR(INDEX(Categories!$B$5:$B$44,MATCH(B1412,Categories!$A$5:$A$44,0)),"?"))</f>
        <v/>
      </c>
      <c r="G1412">
        <f>IF(A1412="","",MONTH(A1412))</f>
        <v/>
      </c>
    </row>
    <row r="1413">
      <c r="A1413" s="25" t="n"/>
      <c r="B1413" s="11" t="n"/>
      <c r="C1413" s="24" t="n"/>
      <c r="D1413" s="11" t="n"/>
      <c r="E1413" s="11" t="n"/>
      <c r="F1413">
        <f>IF(B1413="","",IFERROR(INDEX(Categories!$B$5:$B$44,MATCH(B1413,Categories!$A$5:$A$44,0)),"?"))</f>
        <v/>
      </c>
      <c r="G1413">
        <f>IF(A1413="","",MONTH(A1413))</f>
        <v/>
      </c>
    </row>
    <row r="1414">
      <c r="A1414" s="25" t="n"/>
      <c r="B1414" s="11" t="n"/>
      <c r="C1414" s="24" t="n"/>
      <c r="D1414" s="11" t="n"/>
      <c r="E1414" s="11" t="n"/>
      <c r="F1414">
        <f>IF(B1414="","",IFERROR(INDEX(Categories!$B$5:$B$44,MATCH(B1414,Categories!$A$5:$A$44,0)),"?"))</f>
        <v/>
      </c>
      <c r="G1414">
        <f>IF(A1414="","",MONTH(A1414))</f>
        <v/>
      </c>
    </row>
    <row r="1415">
      <c r="A1415" s="25" t="n"/>
      <c r="B1415" s="11" t="n"/>
      <c r="C1415" s="24" t="n"/>
      <c r="D1415" s="11" t="n"/>
      <c r="E1415" s="11" t="n"/>
      <c r="F1415">
        <f>IF(B1415="","",IFERROR(INDEX(Categories!$B$5:$B$44,MATCH(B1415,Categories!$A$5:$A$44,0)),"?"))</f>
        <v/>
      </c>
      <c r="G1415">
        <f>IF(A1415="","",MONTH(A1415))</f>
        <v/>
      </c>
    </row>
    <row r="1416">
      <c r="A1416" s="25" t="n"/>
      <c r="B1416" s="11" t="n"/>
      <c r="C1416" s="24" t="n"/>
      <c r="D1416" s="11" t="n"/>
      <c r="E1416" s="11" t="n"/>
      <c r="F1416">
        <f>IF(B1416="","",IFERROR(INDEX(Categories!$B$5:$B$44,MATCH(B1416,Categories!$A$5:$A$44,0)),"?"))</f>
        <v/>
      </c>
      <c r="G1416">
        <f>IF(A1416="","",MONTH(A1416))</f>
        <v/>
      </c>
    </row>
    <row r="1417">
      <c r="A1417" s="25" t="n"/>
      <c r="B1417" s="11" t="n"/>
      <c r="C1417" s="24" t="n"/>
      <c r="D1417" s="11" t="n"/>
      <c r="E1417" s="11" t="n"/>
      <c r="F1417">
        <f>IF(B1417="","",IFERROR(INDEX(Categories!$B$5:$B$44,MATCH(B1417,Categories!$A$5:$A$44,0)),"?"))</f>
        <v/>
      </c>
      <c r="G1417">
        <f>IF(A1417="","",MONTH(A1417))</f>
        <v/>
      </c>
    </row>
    <row r="1418">
      <c r="A1418" s="25" t="n"/>
      <c r="B1418" s="11" t="n"/>
      <c r="C1418" s="24" t="n"/>
      <c r="D1418" s="11" t="n"/>
      <c r="E1418" s="11" t="n"/>
      <c r="F1418">
        <f>IF(B1418="","",IFERROR(INDEX(Categories!$B$5:$B$44,MATCH(B1418,Categories!$A$5:$A$44,0)),"?"))</f>
        <v/>
      </c>
      <c r="G1418">
        <f>IF(A1418="","",MONTH(A1418))</f>
        <v/>
      </c>
    </row>
    <row r="1419">
      <c r="A1419" s="25" t="n"/>
      <c r="B1419" s="11" t="n"/>
      <c r="C1419" s="24" t="n"/>
      <c r="D1419" s="11" t="n"/>
      <c r="E1419" s="11" t="n"/>
      <c r="F1419">
        <f>IF(B1419="","",IFERROR(INDEX(Categories!$B$5:$B$44,MATCH(B1419,Categories!$A$5:$A$44,0)),"?"))</f>
        <v/>
      </c>
      <c r="G1419">
        <f>IF(A1419="","",MONTH(A1419))</f>
        <v/>
      </c>
    </row>
    <row r="1420">
      <c r="A1420" s="25" t="n"/>
      <c r="B1420" s="11" t="n"/>
      <c r="C1420" s="24" t="n"/>
      <c r="D1420" s="11" t="n"/>
      <c r="E1420" s="11" t="n"/>
      <c r="F1420">
        <f>IF(B1420="","",IFERROR(INDEX(Categories!$B$5:$B$44,MATCH(B1420,Categories!$A$5:$A$44,0)),"?"))</f>
        <v/>
      </c>
      <c r="G1420">
        <f>IF(A1420="","",MONTH(A1420))</f>
        <v/>
      </c>
    </row>
    <row r="1421">
      <c r="A1421" s="25" t="n"/>
      <c r="B1421" s="11" t="n"/>
      <c r="C1421" s="24" t="n"/>
      <c r="D1421" s="11" t="n"/>
      <c r="E1421" s="11" t="n"/>
      <c r="F1421">
        <f>IF(B1421="","",IFERROR(INDEX(Categories!$B$5:$B$44,MATCH(B1421,Categories!$A$5:$A$44,0)),"?"))</f>
        <v/>
      </c>
      <c r="G1421">
        <f>IF(A1421="","",MONTH(A1421))</f>
        <v/>
      </c>
    </row>
    <row r="1422">
      <c r="A1422" s="25" t="n"/>
      <c r="B1422" s="11" t="n"/>
      <c r="C1422" s="24" t="n"/>
      <c r="D1422" s="11" t="n"/>
      <c r="E1422" s="11" t="n"/>
      <c r="F1422">
        <f>IF(B1422="","",IFERROR(INDEX(Categories!$B$5:$B$44,MATCH(B1422,Categories!$A$5:$A$44,0)),"?"))</f>
        <v/>
      </c>
      <c r="G1422">
        <f>IF(A1422="","",MONTH(A1422))</f>
        <v/>
      </c>
    </row>
    <row r="1423">
      <c r="A1423" s="25" t="n"/>
      <c r="B1423" s="11" t="n"/>
      <c r="C1423" s="24" t="n"/>
      <c r="D1423" s="11" t="n"/>
      <c r="E1423" s="11" t="n"/>
      <c r="F1423">
        <f>IF(B1423="","",IFERROR(INDEX(Categories!$B$5:$B$44,MATCH(B1423,Categories!$A$5:$A$44,0)),"?"))</f>
        <v/>
      </c>
      <c r="G1423">
        <f>IF(A1423="","",MONTH(A1423))</f>
        <v/>
      </c>
    </row>
    <row r="1424">
      <c r="A1424" s="25" t="n"/>
      <c r="B1424" s="11" t="n"/>
      <c r="C1424" s="24" t="n"/>
      <c r="D1424" s="11" t="n"/>
      <c r="E1424" s="11" t="n"/>
      <c r="F1424">
        <f>IF(B1424="","",IFERROR(INDEX(Categories!$B$5:$B$44,MATCH(B1424,Categories!$A$5:$A$44,0)),"?"))</f>
        <v/>
      </c>
      <c r="G1424">
        <f>IF(A1424="","",MONTH(A1424))</f>
        <v/>
      </c>
    </row>
    <row r="1425">
      <c r="A1425" s="25" t="n"/>
      <c r="B1425" s="11" t="n"/>
      <c r="C1425" s="24" t="n"/>
      <c r="D1425" s="11" t="n"/>
      <c r="E1425" s="11" t="n"/>
      <c r="F1425">
        <f>IF(B1425="","",IFERROR(INDEX(Categories!$B$5:$B$44,MATCH(B1425,Categories!$A$5:$A$44,0)),"?"))</f>
        <v/>
      </c>
      <c r="G1425">
        <f>IF(A1425="","",MONTH(A1425))</f>
        <v/>
      </c>
    </row>
    <row r="1426">
      <c r="A1426" s="25" t="n"/>
      <c r="B1426" s="11" t="n"/>
      <c r="C1426" s="24" t="n"/>
      <c r="D1426" s="11" t="n"/>
      <c r="E1426" s="11" t="n"/>
      <c r="F1426">
        <f>IF(B1426="","",IFERROR(INDEX(Categories!$B$5:$B$44,MATCH(B1426,Categories!$A$5:$A$44,0)),"?"))</f>
        <v/>
      </c>
      <c r="G1426">
        <f>IF(A1426="","",MONTH(A1426))</f>
        <v/>
      </c>
    </row>
    <row r="1427">
      <c r="A1427" s="25" t="n"/>
      <c r="B1427" s="11" t="n"/>
      <c r="C1427" s="24" t="n"/>
      <c r="D1427" s="11" t="n"/>
      <c r="E1427" s="11" t="n"/>
      <c r="F1427">
        <f>IF(B1427="","",IFERROR(INDEX(Categories!$B$5:$B$44,MATCH(B1427,Categories!$A$5:$A$44,0)),"?"))</f>
        <v/>
      </c>
      <c r="G1427">
        <f>IF(A1427="","",MONTH(A1427))</f>
        <v/>
      </c>
    </row>
    <row r="1428">
      <c r="A1428" s="25" t="n"/>
      <c r="B1428" s="11" t="n"/>
      <c r="C1428" s="24" t="n"/>
      <c r="D1428" s="11" t="n"/>
      <c r="E1428" s="11" t="n"/>
      <c r="F1428">
        <f>IF(B1428="","",IFERROR(INDEX(Categories!$B$5:$B$44,MATCH(B1428,Categories!$A$5:$A$44,0)),"?"))</f>
        <v/>
      </c>
      <c r="G1428">
        <f>IF(A1428="","",MONTH(A1428))</f>
        <v/>
      </c>
    </row>
    <row r="1429">
      <c r="A1429" s="25" t="n"/>
      <c r="B1429" s="11" t="n"/>
      <c r="C1429" s="24" t="n"/>
      <c r="D1429" s="11" t="n"/>
      <c r="E1429" s="11" t="n"/>
      <c r="F1429">
        <f>IF(B1429="","",IFERROR(INDEX(Categories!$B$5:$B$44,MATCH(B1429,Categories!$A$5:$A$44,0)),"?"))</f>
        <v/>
      </c>
      <c r="G1429">
        <f>IF(A1429="","",MONTH(A1429))</f>
        <v/>
      </c>
    </row>
    <row r="1430">
      <c r="A1430" s="25" t="n"/>
      <c r="B1430" s="11" t="n"/>
      <c r="C1430" s="24" t="n"/>
      <c r="D1430" s="11" t="n"/>
      <c r="E1430" s="11" t="n"/>
      <c r="F1430">
        <f>IF(B1430="","",IFERROR(INDEX(Categories!$B$5:$B$44,MATCH(B1430,Categories!$A$5:$A$44,0)),"?"))</f>
        <v/>
      </c>
      <c r="G1430">
        <f>IF(A1430="","",MONTH(A1430))</f>
        <v/>
      </c>
    </row>
    <row r="1431">
      <c r="A1431" s="25" t="n"/>
      <c r="B1431" s="11" t="n"/>
      <c r="C1431" s="24" t="n"/>
      <c r="D1431" s="11" t="n"/>
      <c r="E1431" s="11" t="n"/>
      <c r="F1431">
        <f>IF(B1431="","",IFERROR(INDEX(Categories!$B$5:$B$44,MATCH(B1431,Categories!$A$5:$A$44,0)),"?"))</f>
        <v/>
      </c>
      <c r="G1431">
        <f>IF(A1431="","",MONTH(A1431))</f>
        <v/>
      </c>
    </row>
    <row r="1432">
      <c r="A1432" s="25" t="n"/>
      <c r="B1432" s="11" t="n"/>
      <c r="C1432" s="24" t="n"/>
      <c r="D1432" s="11" t="n"/>
      <c r="E1432" s="11" t="n"/>
      <c r="F1432">
        <f>IF(B1432="","",IFERROR(INDEX(Categories!$B$5:$B$44,MATCH(B1432,Categories!$A$5:$A$44,0)),"?"))</f>
        <v/>
      </c>
      <c r="G1432">
        <f>IF(A1432="","",MONTH(A1432))</f>
        <v/>
      </c>
    </row>
    <row r="1433">
      <c r="A1433" s="25" t="n"/>
      <c r="B1433" s="11" t="n"/>
      <c r="C1433" s="24" t="n"/>
      <c r="D1433" s="11" t="n"/>
      <c r="E1433" s="11" t="n"/>
      <c r="F1433">
        <f>IF(B1433="","",IFERROR(INDEX(Categories!$B$5:$B$44,MATCH(B1433,Categories!$A$5:$A$44,0)),"?"))</f>
        <v/>
      </c>
      <c r="G1433">
        <f>IF(A1433="","",MONTH(A1433))</f>
        <v/>
      </c>
    </row>
    <row r="1434">
      <c r="A1434" s="25" t="n"/>
      <c r="B1434" s="11" t="n"/>
      <c r="C1434" s="24" t="n"/>
      <c r="D1434" s="11" t="n"/>
      <c r="E1434" s="11" t="n"/>
      <c r="F1434">
        <f>IF(B1434="","",IFERROR(INDEX(Categories!$B$5:$B$44,MATCH(B1434,Categories!$A$5:$A$44,0)),"?"))</f>
        <v/>
      </c>
      <c r="G1434">
        <f>IF(A1434="","",MONTH(A1434))</f>
        <v/>
      </c>
    </row>
    <row r="1435">
      <c r="A1435" s="25" t="n"/>
      <c r="B1435" s="11" t="n"/>
      <c r="C1435" s="24" t="n"/>
      <c r="D1435" s="11" t="n"/>
      <c r="E1435" s="11" t="n"/>
      <c r="F1435">
        <f>IF(B1435="","",IFERROR(INDEX(Categories!$B$5:$B$44,MATCH(B1435,Categories!$A$5:$A$44,0)),"?"))</f>
        <v/>
      </c>
      <c r="G1435">
        <f>IF(A1435="","",MONTH(A1435))</f>
        <v/>
      </c>
    </row>
    <row r="1436">
      <c r="A1436" s="25" t="n"/>
      <c r="B1436" s="11" t="n"/>
      <c r="C1436" s="24" t="n"/>
      <c r="D1436" s="11" t="n"/>
      <c r="E1436" s="11" t="n"/>
      <c r="F1436">
        <f>IF(B1436="","",IFERROR(INDEX(Categories!$B$5:$B$44,MATCH(B1436,Categories!$A$5:$A$44,0)),"?"))</f>
        <v/>
      </c>
      <c r="G1436">
        <f>IF(A1436="","",MONTH(A1436))</f>
        <v/>
      </c>
    </row>
    <row r="1437">
      <c r="A1437" s="25" t="n"/>
      <c r="B1437" s="11" t="n"/>
      <c r="C1437" s="24" t="n"/>
      <c r="D1437" s="11" t="n"/>
      <c r="E1437" s="11" t="n"/>
      <c r="F1437">
        <f>IF(B1437="","",IFERROR(INDEX(Categories!$B$5:$B$44,MATCH(B1437,Categories!$A$5:$A$44,0)),"?"))</f>
        <v/>
      </c>
      <c r="G1437">
        <f>IF(A1437="","",MONTH(A1437))</f>
        <v/>
      </c>
    </row>
    <row r="1438">
      <c r="A1438" s="25" t="n"/>
      <c r="B1438" s="11" t="n"/>
      <c r="C1438" s="24" t="n"/>
      <c r="D1438" s="11" t="n"/>
      <c r="E1438" s="11" t="n"/>
      <c r="F1438">
        <f>IF(B1438="","",IFERROR(INDEX(Categories!$B$5:$B$44,MATCH(B1438,Categories!$A$5:$A$44,0)),"?"))</f>
        <v/>
      </c>
      <c r="G1438">
        <f>IF(A1438="","",MONTH(A1438))</f>
        <v/>
      </c>
    </row>
    <row r="1439">
      <c r="A1439" s="25" t="n"/>
      <c r="B1439" s="11" t="n"/>
      <c r="C1439" s="24" t="n"/>
      <c r="D1439" s="11" t="n"/>
      <c r="E1439" s="11" t="n"/>
      <c r="F1439">
        <f>IF(B1439="","",IFERROR(INDEX(Categories!$B$5:$B$44,MATCH(B1439,Categories!$A$5:$A$44,0)),"?"))</f>
        <v/>
      </c>
      <c r="G1439">
        <f>IF(A1439="","",MONTH(A1439))</f>
        <v/>
      </c>
    </row>
    <row r="1440">
      <c r="A1440" s="25" t="n"/>
      <c r="B1440" s="11" t="n"/>
      <c r="C1440" s="24" t="n"/>
      <c r="D1440" s="11" t="n"/>
      <c r="E1440" s="11" t="n"/>
      <c r="F1440">
        <f>IF(B1440="","",IFERROR(INDEX(Categories!$B$5:$B$44,MATCH(B1440,Categories!$A$5:$A$44,0)),"?"))</f>
        <v/>
      </c>
      <c r="G1440">
        <f>IF(A1440="","",MONTH(A1440))</f>
        <v/>
      </c>
    </row>
    <row r="1441">
      <c r="A1441" s="25" t="n"/>
      <c r="B1441" s="11" t="n"/>
      <c r="C1441" s="24" t="n"/>
      <c r="D1441" s="11" t="n"/>
      <c r="E1441" s="11" t="n"/>
      <c r="F1441">
        <f>IF(B1441="","",IFERROR(INDEX(Categories!$B$5:$B$44,MATCH(B1441,Categories!$A$5:$A$44,0)),"?"))</f>
        <v/>
      </c>
      <c r="G1441">
        <f>IF(A1441="","",MONTH(A1441))</f>
        <v/>
      </c>
    </row>
    <row r="1442">
      <c r="A1442" s="25" t="n"/>
      <c r="B1442" s="11" t="n"/>
      <c r="C1442" s="24" t="n"/>
      <c r="D1442" s="11" t="n"/>
      <c r="E1442" s="11" t="n"/>
      <c r="F1442">
        <f>IF(B1442="","",IFERROR(INDEX(Categories!$B$5:$B$44,MATCH(B1442,Categories!$A$5:$A$44,0)),"?"))</f>
        <v/>
      </c>
      <c r="G1442">
        <f>IF(A1442="","",MONTH(A1442))</f>
        <v/>
      </c>
    </row>
    <row r="1443">
      <c r="A1443" s="25" t="n"/>
      <c r="B1443" s="11" t="n"/>
      <c r="C1443" s="24" t="n"/>
      <c r="D1443" s="11" t="n"/>
      <c r="E1443" s="11" t="n"/>
      <c r="F1443">
        <f>IF(B1443="","",IFERROR(INDEX(Categories!$B$5:$B$44,MATCH(B1443,Categories!$A$5:$A$44,0)),"?"))</f>
        <v/>
      </c>
      <c r="G1443">
        <f>IF(A1443="","",MONTH(A1443))</f>
        <v/>
      </c>
    </row>
    <row r="1444">
      <c r="A1444" s="25" t="n"/>
      <c r="B1444" s="11" t="n"/>
      <c r="C1444" s="24" t="n"/>
      <c r="D1444" s="11" t="n"/>
      <c r="E1444" s="11" t="n"/>
      <c r="F1444">
        <f>IF(B1444="","",IFERROR(INDEX(Categories!$B$5:$B$44,MATCH(B1444,Categories!$A$5:$A$44,0)),"?"))</f>
        <v/>
      </c>
      <c r="G1444">
        <f>IF(A1444="","",MONTH(A1444))</f>
        <v/>
      </c>
    </row>
    <row r="1445">
      <c r="A1445" s="25" t="n"/>
      <c r="B1445" s="11" t="n"/>
      <c r="C1445" s="24" t="n"/>
      <c r="D1445" s="11" t="n"/>
      <c r="E1445" s="11" t="n"/>
      <c r="F1445">
        <f>IF(B1445="","",IFERROR(INDEX(Categories!$B$5:$B$44,MATCH(B1445,Categories!$A$5:$A$44,0)),"?"))</f>
        <v/>
      </c>
      <c r="G1445">
        <f>IF(A1445="","",MONTH(A1445))</f>
        <v/>
      </c>
    </row>
    <row r="1446">
      <c r="A1446" s="25" t="n"/>
      <c r="B1446" s="11" t="n"/>
      <c r="C1446" s="24" t="n"/>
      <c r="D1446" s="11" t="n"/>
      <c r="E1446" s="11" t="n"/>
      <c r="F1446">
        <f>IF(B1446="","",IFERROR(INDEX(Categories!$B$5:$B$44,MATCH(B1446,Categories!$A$5:$A$44,0)),"?"))</f>
        <v/>
      </c>
      <c r="G1446">
        <f>IF(A1446="","",MONTH(A1446))</f>
        <v/>
      </c>
    </row>
    <row r="1447">
      <c r="A1447" s="25" t="n"/>
      <c r="B1447" s="11" t="n"/>
      <c r="C1447" s="24" t="n"/>
      <c r="D1447" s="11" t="n"/>
      <c r="E1447" s="11" t="n"/>
      <c r="F1447">
        <f>IF(B1447="","",IFERROR(INDEX(Categories!$B$5:$B$44,MATCH(B1447,Categories!$A$5:$A$44,0)),"?"))</f>
        <v/>
      </c>
      <c r="G1447">
        <f>IF(A1447="","",MONTH(A1447))</f>
        <v/>
      </c>
    </row>
    <row r="1448">
      <c r="A1448" s="25" t="n"/>
      <c r="B1448" s="11" t="n"/>
      <c r="C1448" s="24" t="n"/>
      <c r="D1448" s="11" t="n"/>
      <c r="E1448" s="11" t="n"/>
      <c r="F1448">
        <f>IF(B1448="","",IFERROR(INDEX(Categories!$B$5:$B$44,MATCH(B1448,Categories!$A$5:$A$44,0)),"?"))</f>
        <v/>
      </c>
      <c r="G1448">
        <f>IF(A1448="","",MONTH(A1448))</f>
        <v/>
      </c>
    </row>
    <row r="1449">
      <c r="A1449" s="25" t="n"/>
      <c r="B1449" s="11" t="n"/>
      <c r="C1449" s="24" t="n"/>
      <c r="D1449" s="11" t="n"/>
      <c r="E1449" s="11" t="n"/>
      <c r="F1449">
        <f>IF(B1449="","",IFERROR(INDEX(Categories!$B$5:$B$44,MATCH(B1449,Categories!$A$5:$A$44,0)),"?"))</f>
        <v/>
      </c>
      <c r="G1449">
        <f>IF(A1449="","",MONTH(A1449))</f>
        <v/>
      </c>
    </row>
    <row r="1450">
      <c r="A1450" s="25" t="n"/>
      <c r="B1450" s="11" t="n"/>
      <c r="C1450" s="24" t="n"/>
      <c r="D1450" s="11" t="n"/>
      <c r="E1450" s="11" t="n"/>
      <c r="F1450">
        <f>IF(B1450="","",IFERROR(INDEX(Categories!$B$5:$B$44,MATCH(B1450,Categories!$A$5:$A$44,0)),"?"))</f>
        <v/>
      </c>
      <c r="G1450">
        <f>IF(A1450="","",MONTH(A1450))</f>
        <v/>
      </c>
    </row>
    <row r="1451">
      <c r="A1451" s="25" t="n"/>
      <c r="B1451" s="11" t="n"/>
      <c r="C1451" s="24" t="n"/>
      <c r="D1451" s="11" t="n"/>
      <c r="E1451" s="11" t="n"/>
      <c r="F1451">
        <f>IF(B1451="","",IFERROR(INDEX(Categories!$B$5:$B$44,MATCH(B1451,Categories!$A$5:$A$44,0)),"?"))</f>
        <v/>
      </c>
      <c r="G1451">
        <f>IF(A1451="","",MONTH(A1451))</f>
        <v/>
      </c>
    </row>
    <row r="1452">
      <c r="A1452" s="25" t="n"/>
      <c r="B1452" s="11" t="n"/>
      <c r="C1452" s="24" t="n"/>
      <c r="D1452" s="11" t="n"/>
      <c r="E1452" s="11" t="n"/>
      <c r="F1452">
        <f>IF(B1452="","",IFERROR(INDEX(Categories!$B$5:$B$44,MATCH(B1452,Categories!$A$5:$A$44,0)),"?"))</f>
        <v/>
      </c>
      <c r="G1452">
        <f>IF(A1452="","",MONTH(A1452))</f>
        <v/>
      </c>
    </row>
    <row r="1453">
      <c r="A1453" s="25" t="n"/>
      <c r="B1453" s="11" t="n"/>
      <c r="C1453" s="24" t="n"/>
      <c r="D1453" s="11" t="n"/>
      <c r="E1453" s="11" t="n"/>
      <c r="F1453">
        <f>IF(B1453="","",IFERROR(INDEX(Categories!$B$5:$B$44,MATCH(B1453,Categories!$A$5:$A$44,0)),"?"))</f>
        <v/>
      </c>
      <c r="G1453">
        <f>IF(A1453="","",MONTH(A1453))</f>
        <v/>
      </c>
    </row>
    <row r="1454">
      <c r="A1454" s="25" t="n"/>
      <c r="B1454" s="11" t="n"/>
      <c r="C1454" s="24" t="n"/>
      <c r="D1454" s="11" t="n"/>
      <c r="E1454" s="11" t="n"/>
      <c r="F1454">
        <f>IF(B1454="","",IFERROR(INDEX(Categories!$B$5:$B$44,MATCH(B1454,Categories!$A$5:$A$44,0)),"?"))</f>
        <v/>
      </c>
      <c r="G1454">
        <f>IF(A1454="","",MONTH(A1454))</f>
        <v/>
      </c>
    </row>
    <row r="1455">
      <c r="A1455" s="25" t="n"/>
      <c r="B1455" s="11" t="n"/>
      <c r="C1455" s="24" t="n"/>
      <c r="D1455" s="11" t="n"/>
      <c r="E1455" s="11" t="n"/>
      <c r="F1455">
        <f>IF(B1455="","",IFERROR(INDEX(Categories!$B$5:$B$44,MATCH(B1455,Categories!$A$5:$A$44,0)),"?"))</f>
        <v/>
      </c>
      <c r="G1455">
        <f>IF(A1455="","",MONTH(A1455))</f>
        <v/>
      </c>
    </row>
    <row r="1456">
      <c r="A1456" s="25" t="n"/>
      <c r="B1456" s="11" t="n"/>
      <c r="C1456" s="24" t="n"/>
      <c r="D1456" s="11" t="n"/>
      <c r="E1456" s="11" t="n"/>
      <c r="F1456">
        <f>IF(B1456="","",IFERROR(INDEX(Categories!$B$5:$B$44,MATCH(B1456,Categories!$A$5:$A$44,0)),"?"))</f>
        <v/>
      </c>
      <c r="G1456">
        <f>IF(A1456="","",MONTH(A1456))</f>
        <v/>
      </c>
    </row>
    <row r="1457">
      <c r="A1457" s="25" t="n"/>
      <c r="B1457" s="11" t="n"/>
      <c r="C1457" s="24" t="n"/>
      <c r="D1457" s="11" t="n"/>
      <c r="E1457" s="11" t="n"/>
      <c r="F1457">
        <f>IF(B1457="","",IFERROR(INDEX(Categories!$B$5:$B$44,MATCH(B1457,Categories!$A$5:$A$44,0)),"?"))</f>
        <v/>
      </c>
      <c r="G1457">
        <f>IF(A1457="","",MONTH(A1457))</f>
        <v/>
      </c>
    </row>
    <row r="1458">
      <c r="A1458" s="25" t="n"/>
      <c r="B1458" s="11" t="n"/>
      <c r="C1458" s="24" t="n"/>
      <c r="D1458" s="11" t="n"/>
      <c r="E1458" s="11" t="n"/>
      <c r="F1458">
        <f>IF(B1458="","",IFERROR(INDEX(Categories!$B$5:$B$44,MATCH(B1458,Categories!$A$5:$A$44,0)),"?"))</f>
        <v/>
      </c>
      <c r="G1458">
        <f>IF(A1458="","",MONTH(A1458))</f>
        <v/>
      </c>
    </row>
    <row r="1459">
      <c r="A1459" s="25" t="n"/>
      <c r="B1459" s="11" t="n"/>
      <c r="C1459" s="24" t="n"/>
      <c r="D1459" s="11" t="n"/>
      <c r="E1459" s="11" t="n"/>
      <c r="F1459">
        <f>IF(B1459="","",IFERROR(INDEX(Categories!$B$5:$B$44,MATCH(B1459,Categories!$A$5:$A$44,0)),"?"))</f>
        <v/>
      </c>
      <c r="G1459">
        <f>IF(A1459="","",MONTH(A1459))</f>
        <v/>
      </c>
    </row>
    <row r="1460">
      <c r="A1460" s="25" t="n"/>
      <c r="B1460" s="11" t="n"/>
      <c r="C1460" s="24" t="n"/>
      <c r="D1460" s="11" t="n"/>
      <c r="E1460" s="11" t="n"/>
      <c r="F1460">
        <f>IF(B1460="","",IFERROR(INDEX(Categories!$B$5:$B$44,MATCH(B1460,Categories!$A$5:$A$44,0)),"?"))</f>
        <v/>
      </c>
      <c r="G1460">
        <f>IF(A1460="","",MONTH(A1460))</f>
        <v/>
      </c>
    </row>
    <row r="1461">
      <c r="A1461" s="25" t="n"/>
      <c r="B1461" s="11" t="n"/>
      <c r="C1461" s="24" t="n"/>
      <c r="D1461" s="11" t="n"/>
      <c r="E1461" s="11" t="n"/>
      <c r="F1461">
        <f>IF(B1461="","",IFERROR(INDEX(Categories!$B$5:$B$44,MATCH(B1461,Categories!$A$5:$A$44,0)),"?"))</f>
        <v/>
      </c>
      <c r="G1461">
        <f>IF(A1461="","",MONTH(A1461))</f>
        <v/>
      </c>
    </row>
    <row r="1462">
      <c r="A1462" s="25" t="n"/>
      <c r="B1462" s="11" t="n"/>
      <c r="C1462" s="24" t="n"/>
      <c r="D1462" s="11" t="n"/>
      <c r="E1462" s="11" t="n"/>
      <c r="F1462">
        <f>IF(B1462="","",IFERROR(INDEX(Categories!$B$5:$B$44,MATCH(B1462,Categories!$A$5:$A$44,0)),"?"))</f>
        <v/>
      </c>
      <c r="G1462">
        <f>IF(A1462="","",MONTH(A1462))</f>
        <v/>
      </c>
    </row>
    <row r="1463">
      <c r="A1463" s="25" t="n"/>
      <c r="B1463" s="11" t="n"/>
      <c r="C1463" s="24" t="n"/>
      <c r="D1463" s="11" t="n"/>
      <c r="E1463" s="11" t="n"/>
      <c r="F1463">
        <f>IF(B1463="","",IFERROR(INDEX(Categories!$B$5:$B$44,MATCH(B1463,Categories!$A$5:$A$44,0)),"?"))</f>
        <v/>
      </c>
      <c r="G1463">
        <f>IF(A1463="","",MONTH(A1463))</f>
        <v/>
      </c>
    </row>
    <row r="1464">
      <c r="A1464" s="25" t="n"/>
      <c r="B1464" s="11" t="n"/>
      <c r="C1464" s="24" t="n"/>
      <c r="D1464" s="11" t="n"/>
      <c r="E1464" s="11" t="n"/>
      <c r="F1464">
        <f>IF(B1464="","",IFERROR(INDEX(Categories!$B$5:$B$44,MATCH(B1464,Categories!$A$5:$A$44,0)),"?"))</f>
        <v/>
      </c>
      <c r="G1464">
        <f>IF(A1464="","",MONTH(A1464))</f>
        <v/>
      </c>
    </row>
    <row r="1465">
      <c r="A1465" s="25" t="n"/>
      <c r="B1465" s="11" t="n"/>
      <c r="C1465" s="24" t="n"/>
      <c r="D1465" s="11" t="n"/>
      <c r="E1465" s="11" t="n"/>
      <c r="F1465">
        <f>IF(B1465="","",IFERROR(INDEX(Categories!$B$5:$B$44,MATCH(B1465,Categories!$A$5:$A$44,0)),"?"))</f>
        <v/>
      </c>
      <c r="G1465">
        <f>IF(A1465="","",MONTH(A1465))</f>
        <v/>
      </c>
    </row>
    <row r="1466">
      <c r="A1466" s="25" t="n"/>
      <c r="B1466" s="11" t="n"/>
      <c r="C1466" s="24" t="n"/>
      <c r="D1466" s="11" t="n"/>
      <c r="E1466" s="11" t="n"/>
      <c r="F1466">
        <f>IF(B1466="","",IFERROR(INDEX(Categories!$B$5:$B$44,MATCH(B1466,Categories!$A$5:$A$44,0)),"?"))</f>
        <v/>
      </c>
      <c r="G1466">
        <f>IF(A1466="","",MONTH(A1466))</f>
        <v/>
      </c>
    </row>
    <row r="1467">
      <c r="A1467" s="25" t="n"/>
      <c r="B1467" s="11" t="n"/>
      <c r="C1467" s="24" t="n"/>
      <c r="D1467" s="11" t="n"/>
      <c r="E1467" s="11" t="n"/>
      <c r="F1467">
        <f>IF(B1467="","",IFERROR(INDEX(Categories!$B$5:$B$44,MATCH(B1467,Categories!$A$5:$A$44,0)),"?"))</f>
        <v/>
      </c>
      <c r="G1467">
        <f>IF(A1467="","",MONTH(A1467))</f>
        <v/>
      </c>
    </row>
    <row r="1468">
      <c r="A1468" s="25" t="n"/>
      <c r="B1468" s="11" t="n"/>
      <c r="C1468" s="24" t="n"/>
      <c r="D1468" s="11" t="n"/>
      <c r="E1468" s="11" t="n"/>
      <c r="F1468">
        <f>IF(B1468="","",IFERROR(INDEX(Categories!$B$5:$B$44,MATCH(B1468,Categories!$A$5:$A$44,0)),"?"))</f>
        <v/>
      </c>
      <c r="G1468">
        <f>IF(A1468="","",MONTH(A1468))</f>
        <v/>
      </c>
    </row>
    <row r="1469">
      <c r="A1469" s="25" t="n"/>
      <c r="B1469" s="11" t="n"/>
      <c r="C1469" s="24" t="n"/>
      <c r="D1469" s="11" t="n"/>
      <c r="E1469" s="11" t="n"/>
      <c r="F1469">
        <f>IF(B1469="","",IFERROR(INDEX(Categories!$B$5:$B$44,MATCH(B1469,Categories!$A$5:$A$44,0)),"?"))</f>
        <v/>
      </c>
      <c r="G1469">
        <f>IF(A1469="","",MONTH(A1469))</f>
        <v/>
      </c>
    </row>
    <row r="1470">
      <c r="A1470" s="25" t="n"/>
      <c r="B1470" s="11" t="n"/>
      <c r="C1470" s="24" t="n"/>
      <c r="D1470" s="11" t="n"/>
      <c r="E1470" s="11" t="n"/>
      <c r="F1470">
        <f>IF(B1470="","",IFERROR(INDEX(Categories!$B$5:$B$44,MATCH(B1470,Categories!$A$5:$A$44,0)),"?"))</f>
        <v/>
      </c>
      <c r="G1470">
        <f>IF(A1470="","",MONTH(A1470))</f>
        <v/>
      </c>
    </row>
    <row r="1471">
      <c r="A1471" s="25" t="n"/>
      <c r="B1471" s="11" t="n"/>
      <c r="C1471" s="24" t="n"/>
      <c r="D1471" s="11" t="n"/>
      <c r="E1471" s="11" t="n"/>
      <c r="F1471">
        <f>IF(B1471="","",IFERROR(INDEX(Categories!$B$5:$B$44,MATCH(B1471,Categories!$A$5:$A$44,0)),"?"))</f>
        <v/>
      </c>
      <c r="G1471">
        <f>IF(A1471="","",MONTH(A1471))</f>
        <v/>
      </c>
    </row>
    <row r="1472">
      <c r="A1472" s="25" t="n"/>
      <c r="B1472" s="11" t="n"/>
      <c r="C1472" s="24" t="n"/>
      <c r="D1472" s="11" t="n"/>
      <c r="E1472" s="11" t="n"/>
      <c r="F1472">
        <f>IF(B1472="","",IFERROR(INDEX(Categories!$B$5:$B$44,MATCH(B1472,Categories!$A$5:$A$44,0)),"?"))</f>
        <v/>
      </c>
      <c r="G1472">
        <f>IF(A1472="","",MONTH(A1472))</f>
        <v/>
      </c>
    </row>
    <row r="1473">
      <c r="A1473" s="25" t="n"/>
      <c r="B1473" s="11" t="n"/>
      <c r="C1473" s="24" t="n"/>
      <c r="D1473" s="11" t="n"/>
      <c r="E1473" s="11" t="n"/>
      <c r="F1473">
        <f>IF(B1473="","",IFERROR(INDEX(Categories!$B$5:$B$44,MATCH(B1473,Categories!$A$5:$A$44,0)),"?"))</f>
        <v/>
      </c>
      <c r="G1473">
        <f>IF(A1473="","",MONTH(A1473))</f>
        <v/>
      </c>
    </row>
    <row r="1474">
      <c r="A1474" s="25" t="n"/>
      <c r="B1474" s="11" t="n"/>
      <c r="C1474" s="24" t="n"/>
      <c r="D1474" s="11" t="n"/>
      <c r="E1474" s="11" t="n"/>
      <c r="F1474">
        <f>IF(B1474="","",IFERROR(INDEX(Categories!$B$5:$B$44,MATCH(B1474,Categories!$A$5:$A$44,0)),"?"))</f>
        <v/>
      </c>
      <c r="G1474">
        <f>IF(A1474="","",MONTH(A1474))</f>
        <v/>
      </c>
    </row>
    <row r="1475">
      <c r="A1475" s="25" t="n"/>
      <c r="B1475" s="11" t="n"/>
      <c r="C1475" s="24" t="n"/>
      <c r="D1475" s="11" t="n"/>
      <c r="E1475" s="11" t="n"/>
      <c r="F1475">
        <f>IF(B1475="","",IFERROR(INDEX(Categories!$B$5:$B$44,MATCH(B1475,Categories!$A$5:$A$44,0)),"?"))</f>
        <v/>
      </c>
      <c r="G1475">
        <f>IF(A1475="","",MONTH(A1475))</f>
        <v/>
      </c>
    </row>
    <row r="1476">
      <c r="A1476" s="25" t="n"/>
      <c r="B1476" s="11" t="n"/>
      <c r="C1476" s="24" t="n"/>
      <c r="D1476" s="11" t="n"/>
      <c r="E1476" s="11" t="n"/>
      <c r="F1476">
        <f>IF(B1476="","",IFERROR(INDEX(Categories!$B$5:$B$44,MATCH(B1476,Categories!$A$5:$A$44,0)),"?"))</f>
        <v/>
      </c>
      <c r="G1476">
        <f>IF(A1476="","",MONTH(A1476))</f>
        <v/>
      </c>
    </row>
    <row r="1477">
      <c r="A1477" s="25" t="n"/>
      <c r="B1477" s="11" t="n"/>
      <c r="C1477" s="24" t="n"/>
      <c r="D1477" s="11" t="n"/>
      <c r="E1477" s="11" t="n"/>
      <c r="F1477">
        <f>IF(B1477="","",IFERROR(INDEX(Categories!$B$5:$B$44,MATCH(B1477,Categories!$A$5:$A$44,0)),"?"))</f>
        <v/>
      </c>
      <c r="G1477">
        <f>IF(A1477="","",MONTH(A1477))</f>
        <v/>
      </c>
    </row>
    <row r="1478">
      <c r="A1478" s="25" t="n"/>
      <c r="B1478" s="11" t="n"/>
      <c r="C1478" s="24" t="n"/>
      <c r="D1478" s="11" t="n"/>
      <c r="E1478" s="11" t="n"/>
      <c r="F1478">
        <f>IF(B1478="","",IFERROR(INDEX(Categories!$B$5:$B$44,MATCH(B1478,Categories!$A$5:$A$44,0)),"?"))</f>
        <v/>
      </c>
      <c r="G1478">
        <f>IF(A1478="","",MONTH(A1478))</f>
        <v/>
      </c>
    </row>
    <row r="1479">
      <c r="A1479" s="25" t="n"/>
      <c r="B1479" s="11" t="n"/>
      <c r="C1479" s="24" t="n"/>
      <c r="D1479" s="11" t="n"/>
      <c r="E1479" s="11" t="n"/>
      <c r="F1479">
        <f>IF(B1479="","",IFERROR(INDEX(Categories!$B$5:$B$44,MATCH(B1479,Categories!$A$5:$A$44,0)),"?"))</f>
        <v/>
      </c>
      <c r="G1479">
        <f>IF(A1479="","",MONTH(A1479))</f>
        <v/>
      </c>
    </row>
    <row r="1480">
      <c r="A1480" s="25" t="n"/>
      <c r="B1480" s="11" t="n"/>
      <c r="C1480" s="24" t="n"/>
      <c r="D1480" s="11" t="n"/>
      <c r="E1480" s="11" t="n"/>
      <c r="F1480">
        <f>IF(B1480="","",IFERROR(INDEX(Categories!$B$5:$B$44,MATCH(B1480,Categories!$A$5:$A$44,0)),"?"))</f>
        <v/>
      </c>
      <c r="G1480">
        <f>IF(A1480="","",MONTH(A1480))</f>
        <v/>
      </c>
    </row>
    <row r="1481">
      <c r="A1481" s="25" t="n"/>
      <c r="B1481" s="11" t="n"/>
      <c r="C1481" s="24" t="n"/>
      <c r="D1481" s="11" t="n"/>
      <c r="E1481" s="11" t="n"/>
      <c r="F1481">
        <f>IF(B1481="","",IFERROR(INDEX(Categories!$B$5:$B$44,MATCH(B1481,Categories!$A$5:$A$44,0)),"?"))</f>
        <v/>
      </c>
      <c r="G1481">
        <f>IF(A1481="","",MONTH(A1481))</f>
        <v/>
      </c>
    </row>
    <row r="1482">
      <c r="A1482" s="25" t="n"/>
      <c r="B1482" s="11" t="n"/>
      <c r="C1482" s="24" t="n"/>
      <c r="D1482" s="11" t="n"/>
      <c r="E1482" s="11" t="n"/>
      <c r="F1482">
        <f>IF(B1482="","",IFERROR(INDEX(Categories!$B$5:$B$44,MATCH(B1482,Categories!$A$5:$A$44,0)),"?"))</f>
        <v/>
      </c>
      <c r="G1482">
        <f>IF(A1482="","",MONTH(A1482))</f>
        <v/>
      </c>
    </row>
    <row r="1483">
      <c r="A1483" s="25" t="n"/>
      <c r="B1483" s="11" t="n"/>
      <c r="C1483" s="24" t="n"/>
      <c r="D1483" s="11" t="n"/>
      <c r="E1483" s="11" t="n"/>
      <c r="F1483">
        <f>IF(B1483="","",IFERROR(INDEX(Categories!$B$5:$B$44,MATCH(B1483,Categories!$A$5:$A$44,0)),"?"))</f>
        <v/>
      </c>
      <c r="G1483">
        <f>IF(A1483="","",MONTH(A1483))</f>
        <v/>
      </c>
    </row>
    <row r="1484">
      <c r="A1484" s="25" t="n"/>
      <c r="B1484" s="11" t="n"/>
      <c r="C1484" s="24" t="n"/>
      <c r="D1484" s="11" t="n"/>
      <c r="E1484" s="11" t="n"/>
      <c r="F1484">
        <f>IF(B1484="","",IFERROR(INDEX(Categories!$B$5:$B$44,MATCH(B1484,Categories!$A$5:$A$44,0)),"?"))</f>
        <v/>
      </c>
      <c r="G1484">
        <f>IF(A1484="","",MONTH(A1484))</f>
        <v/>
      </c>
    </row>
    <row r="1485">
      <c r="A1485" s="25" t="n"/>
      <c r="B1485" s="11" t="n"/>
      <c r="C1485" s="24" t="n"/>
      <c r="D1485" s="11" t="n"/>
      <c r="E1485" s="11" t="n"/>
      <c r="F1485">
        <f>IF(B1485="","",IFERROR(INDEX(Categories!$B$5:$B$44,MATCH(B1485,Categories!$A$5:$A$44,0)),"?"))</f>
        <v/>
      </c>
      <c r="G1485">
        <f>IF(A1485="","",MONTH(A1485))</f>
        <v/>
      </c>
    </row>
    <row r="1486">
      <c r="A1486" s="25" t="n"/>
      <c r="B1486" s="11" t="n"/>
      <c r="C1486" s="24" t="n"/>
      <c r="D1486" s="11" t="n"/>
      <c r="E1486" s="11" t="n"/>
      <c r="F1486">
        <f>IF(B1486="","",IFERROR(INDEX(Categories!$B$5:$B$44,MATCH(B1486,Categories!$A$5:$A$44,0)),"?"))</f>
        <v/>
      </c>
      <c r="G1486">
        <f>IF(A1486="","",MONTH(A1486))</f>
        <v/>
      </c>
    </row>
    <row r="1487">
      <c r="A1487" s="25" t="n"/>
      <c r="B1487" s="11" t="n"/>
      <c r="C1487" s="24" t="n"/>
      <c r="D1487" s="11" t="n"/>
      <c r="E1487" s="11" t="n"/>
      <c r="F1487">
        <f>IF(B1487="","",IFERROR(INDEX(Categories!$B$5:$B$44,MATCH(B1487,Categories!$A$5:$A$44,0)),"?"))</f>
        <v/>
      </c>
      <c r="G1487">
        <f>IF(A1487="","",MONTH(A1487))</f>
        <v/>
      </c>
    </row>
    <row r="1488">
      <c r="A1488" s="25" t="n"/>
      <c r="B1488" s="11" t="n"/>
      <c r="C1488" s="24" t="n"/>
      <c r="D1488" s="11" t="n"/>
      <c r="E1488" s="11" t="n"/>
      <c r="F1488">
        <f>IF(B1488="","",IFERROR(INDEX(Categories!$B$5:$B$44,MATCH(B1488,Categories!$A$5:$A$44,0)),"?"))</f>
        <v/>
      </c>
      <c r="G1488">
        <f>IF(A1488="","",MONTH(A1488))</f>
        <v/>
      </c>
    </row>
    <row r="1489">
      <c r="A1489" s="25" t="n"/>
      <c r="B1489" s="11" t="n"/>
      <c r="C1489" s="24" t="n"/>
      <c r="D1489" s="11" t="n"/>
      <c r="E1489" s="11" t="n"/>
      <c r="F1489">
        <f>IF(B1489="","",IFERROR(INDEX(Categories!$B$5:$B$44,MATCH(B1489,Categories!$A$5:$A$44,0)),"?"))</f>
        <v/>
      </c>
      <c r="G1489">
        <f>IF(A1489="","",MONTH(A1489))</f>
        <v/>
      </c>
    </row>
    <row r="1490">
      <c r="A1490" s="25" t="n"/>
      <c r="B1490" s="11" t="n"/>
      <c r="C1490" s="24" t="n"/>
      <c r="D1490" s="11" t="n"/>
      <c r="E1490" s="11" t="n"/>
      <c r="F1490">
        <f>IF(B1490="","",IFERROR(INDEX(Categories!$B$5:$B$44,MATCH(B1490,Categories!$A$5:$A$44,0)),"?"))</f>
        <v/>
      </c>
      <c r="G1490">
        <f>IF(A1490="","",MONTH(A1490))</f>
        <v/>
      </c>
    </row>
    <row r="1491">
      <c r="A1491" s="25" t="n"/>
      <c r="B1491" s="11" t="n"/>
      <c r="C1491" s="24" t="n"/>
      <c r="D1491" s="11" t="n"/>
      <c r="E1491" s="11" t="n"/>
      <c r="F1491">
        <f>IF(B1491="","",IFERROR(INDEX(Categories!$B$5:$B$44,MATCH(B1491,Categories!$A$5:$A$44,0)),"?"))</f>
        <v/>
      </c>
      <c r="G1491">
        <f>IF(A1491="","",MONTH(A1491))</f>
        <v/>
      </c>
    </row>
    <row r="1492">
      <c r="A1492" s="25" t="n"/>
      <c r="B1492" s="11" t="n"/>
      <c r="C1492" s="24" t="n"/>
      <c r="D1492" s="11" t="n"/>
      <c r="E1492" s="11" t="n"/>
      <c r="F1492">
        <f>IF(B1492="","",IFERROR(INDEX(Categories!$B$5:$B$44,MATCH(B1492,Categories!$A$5:$A$44,0)),"?"))</f>
        <v/>
      </c>
      <c r="G1492">
        <f>IF(A1492="","",MONTH(A1492))</f>
        <v/>
      </c>
    </row>
    <row r="1493">
      <c r="A1493" s="25" t="n"/>
      <c r="B1493" s="11" t="n"/>
      <c r="C1493" s="24" t="n"/>
      <c r="D1493" s="11" t="n"/>
      <c r="E1493" s="11" t="n"/>
      <c r="F1493">
        <f>IF(B1493="","",IFERROR(INDEX(Categories!$B$5:$B$44,MATCH(B1493,Categories!$A$5:$A$44,0)),"?"))</f>
        <v/>
      </c>
      <c r="G1493">
        <f>IF(A1493="","",MONTH(A1493))</f>
        <v/>
      </c>
    </row>
    <row r="1494">
      <c r="A1494" s="25" t="n"/>
      <c r="B1494" s="11" t="n"/>
      <c r="C1494" s="24" t="n"/>
      <c r="D1494" s="11" t="n"/>
      <c r="E1494" s="11" t="n"/>
      <c r="F1494">
        <f>IF(B1494="","",IFERROR(INDEX(Categories!$B$5:$B$44,MATCH(B1494,Categories!$A$5:$A$44,0)),"?"))</f>
        <v/>
      </c>
      <c r="G1494">
        <f>IF(A1494="","",MONTH(A1494))</f>
        <v/>
      </c>
    </row>
    <row r="1495">
      <c r="A1495" s="25" t="n"/>
      <c r="B1495" s="11" t="n"/>
      <c r="C1495" s="24" t="n"/>
      <c r="D1495" s="11" t="n"/>
      <c r="E1495" s="11" t="n"/>
      <c r="F1495">
        <f>IF(B1495="","",IFERROR(INDEX(Categories!$B$5:$B$44,MATCH(B1495,Categories!$A$5:$A$44,0)),"?"))</f>
        <v/>
      </c>
      <c r="G1495">
        <f>IF(A1495="","",MONTH(A1495))</f>
        <v/>
      </c>
    </row>
    <row r="1496">
      <c r="A1496" s="25" t="n"/>
      <c r="B1496" s="11" t="n"/>
      <c r="C1496" s="24" t="n"/>
      <c r="D1496" s="11" t="n"/>
      <c r="E1496" s="11" t="n"/>
      <c r="F1496">
        <f>IF(B1496="","",IFERROR(INDEX(Categories!$B$5:$B$44,MATCH(B1496,Categories!$A$5:$A$44,0)),"?"))</f>
        <v/>
      </c>
      <c r="G1496">
        <f>IF(A1496="","",MONTH(A1496))</f>
        <v/>
      </c>
    </row>
    <row r="1497">
      <c r="A1497" s="25" t="n"/>
      <c r="B1497" s="11" t="n"/>
      <c r="C1497" s="24" t="n"/>
      <c r="D1497" s="11" t="n"/>
      <c r="E1497" s="11" t="n"/>
      <c r="F1497">
        <f>IF(B1497="","",IFERROR(INDEX(Categories!$B$5:$B$44,MATCH(B1497,Categories!$A$5:$A$44,0)),"?"))</f>
        <v/>
      </c>
      <c r="G1497">
        <f>IF(A1497="","",MONTH(A1497))</f>
        <v/>
      </c>
    </row>
    <row r="1498">
      <c r="A1498" s="25" t="n"/>
      <c r="B1498" s="11" t="n"/>
      <c r="C1498" s="24" t="n"/>
      <c r="D1498" s="11" t="n"/>
      <c r="E1498" s="11" t="n"/>
      <c r="F1498">
        <f>IF(B1498="","",IFERROR(INDEX(Categories!$B$5:$B$44,MATCH(B1498,Categories!$A$5:$A$44,0)),"?"))</f>
        <v/>
      </c>
      <c r="G1498">
        <f>IF(A1498="","",MONTH(A1498))</f>
        <v/>
      </c>
    </row>
    <row r="1499">
      <c r="A1499" s="25" t="n"/>
      <c r="B1499" s="11" t="n"/>
      <c r="C1499" s="24" t="n"/>
      <c r="D1499" s="11" t="n"/>
      <c r="E1499" s="11" t="n"/>
      <c r="F1499">
        <f>IF(B1499="","",IFERROR(INDEX(Categories!$B$5:$B$44,MATCH(B1499,Categories!$A$5:$A$44,0)),"?"))</f>
        <v/>
      </c>
      <c r="G1499">
        <f>IF(A1499="","",MONTH(A1499))</f>
        <v/>
      </c>
    </row>
    <row r="1500">
      <c r="A1500" s="25" t="n"/>
      <c r="B1500" s="11" t="n"/>
      <c r="C1500" s="24" t="n"/>
      <c r="D1500" s="11" t="n"/>
      <c r="E1500" s="11" t="n"/>
      <c r="F1500">
        <f>IF(B1500="","",IFERROR(INDEX(Categories!$B$5:$B$44,MATCH(B1500,Categories!$A$5:$A$44,0)),"?"))</f>
        <v/>
      </c>
      <c r="G1500">
        <f>IF(A1500="","",MONTH(A1500))</f>
        <v/>
      </c>
    </row>
    <row r="1501">
      <c r="A1501" s="25" t="n"/>
      <c r="B1501" s="11" t="n"/>
      <c r="C1501" s="24" t="n"/>
      <c r="D1501" s="11" t="n"/>
      <c r="E1501" s="11" t="n"/>
      <c r="F1501">
        <f>IF(B1501="","",IFERROR(INDEX(Categories!$B$5:$B$44,MATCH(B1501,Categories!$A$5:$A$44,0)),"?"))</f>
        <v/>
      </c>
      <c r="G1501">
        <f>IF(A1501="","",MONTH(A1501))</f>
        <v/>
      </c>
    </row>
    <row r="1502">
      <c r="A1502" s="25" t="n"/>
      <c r="B1502" s="11" t="n"/>
      <c r="C1502" s="24" t="n"/>
      <c r="D1502" s="11" t="n"/>
      <c r="E1502" s="11" t="n"/>
      <c r="F1502">
        <f>IF(B1502="","",IFERROR(INDEX(Categories!$B$5:$B$44,MATCH(B1502,Categories!$A$5:$A$44,0)),"?"))</f>
        <v/>
      </c>
      <c r="G1502">
        <f>IF(A1502="","",MONTH(A1502))</f>
        <v/>
      </c>
    </row>
    <row r="1503">
      <c r="A1503" s="25" t="n"/>
      <c r="B1503" s="11" t="n"/>
      <c r="C1503" s="24" t="n"/>
      <c r="D1503" s="11" t="n"/>
      <c r="E1503" s="11" t="n"/>
      <c r="F1503">
        <f>IF(B1503="","",IFERROR(INDEX(Categories!$B$5:$B$44,MATCH(B1503,Categories!$A$5:$A$44,0)),"?"))</f>
        <v/>
      </c>
      <c r="G1503">
        <f>IF(A1503="","",MONTH(A1503))</f>
        <v/>
      </c>
    </row>
    <row r="1504">
      <c r="A1504" s="25" t="n"/>
      <c r="B1504" s="11" t="n"/>
      <c r="C1504" s="24" t="n"/>
      <c r="D1504" s="11" t="n"/>
      <c r="E1504" s="11" t="n"/>
      <c r="F1504">
        <f>IF(B1504="","",IFERROR(INDEX(Categories!$B$5:$B$44,MATCH(B1504,Categories!$A$5:$A$44,0)),"?"))</f>
        <v/>
      </c>
      <c r="G1504">
        <f>IF(A1504="","",MONTH(A1504))</f>
        <v/>
      </c>
    </row>
    <row r="1505">
      <c r="A1505" s="25" t="n"/>
      <c r="B1505" s="11" t="n"/>
      <c r="C1505" s="24" t="n"/>
      <c r="D1505" s="11" t="n"/>
      <c r="E1505" s="11" t="n"/>
      <c r="F1505">
        <f>IF(B1505="","",IFERROR(INDEX(Categories!$B$5:$B$44,MATCH(B1505,Categories!$A$5:$A$44,0)),"?"))</f>
        <v/>
      </c>
      <c r="G1505">
        <f>IF(A1505="","",MONTH(A1505))</f>
        <v/>
      </c>
    </row>
    <row r="1506">
      <c r="A1506" s="25" t="n"/>
      <c r="B1506" s="11" t="n"/>
      <c r="C1506" s="24" t="n"/>
      <c r="D1506" s="11" t="n"/>
      <c r="E1506" s="11" t="n"/>
      <c r="F1506">
        <f>IF(B1506="","",IFERROR(INDEX(Categories!$B$5:$B$44,MATCH(B1506,Categories!$A$5:$A$44,0)),"?"))</f>
        <v/>
      </c>
      <c r="G1506">
        <f>IF(A1506="","",MONTH(A1506))</f>
        <v/>
      </c>
    </row>
    <row r="1507">
      <c r="A1507" s="25" t="n"/>
      <c r="B1507" s="11" t="n"/>
      <c r="C1507" s="24" t="n"/>
      <c r="D1507" s="11" t="n"/>
      <c r="E1507" s="11" t="n"/>
      <c r="F1507">
        <f>IF(B1507="","",IFERROR(INDEX(Categories!$B$5:$B$44,MATCH(B1507,Categories!$A$5:$A$44,0)),"?"))</f>
        <v/>
      </c>
      <c r="G1507">
        <f>IF(A1507="","",MONTH(A1507))</f>
        <v/>
      </c>
    </row>
    <row r="1508">
      <c r="A1508" s="25" t="n"/>
      <c r="B1508" s="11" t="n"/>
      <c r="C1508" s="24" t="n"/>
      <c r="D1508" s="11" t="n"/>
      <c r="E1508" s="11" t="n"/>
      <c r="F1508">
        <f>IF(B1508="","",IFERROR(INDEX(Categories!$B$5:$B$44,MATCH(B1508,Categories!$A$5:$A$44,0)),"?"))</f>
        <v/>
      </c>
      <c r="G1508">
        <f>IF(A1508="","",MONTH(A1508))</f>
        <v/>
      </c>
    </row>
    <row r="1509">
      <c r="A1509" s="25" t="n"/>
      <c r="B1509" s="11" t="n"/>
      <c r="C1509" s="24" t="n"/>
      <c r="D1509" s="11" t="n"/>
      <c r="E1509" s="11" t="n"/>
      <c r="F1509">
        <f>IF(B1509="","",IFERROR(INDEX(Categories!$B$5:$B$44,MATCH(B1509,Categories!$A$5:$A$44,0)),"?"))</f>
        <v/>
      </c>
      <c r="G1509">
        <f>IF(A1509="","",MONTH(A1509))</f>
        <v/>
      </c>
    </row>
    <row r="1510">
      <c r="A1510" s="25" t="n"/>
      <c r="B1510" s="11" t="n"/>
      <c r="C1510" s="24" t="n"/>
      <c r="D1510" s="11" t="n"/>
      <c r="E1510" s="11" t="n"/>
      <c r="F1510">
        <f>IF(B1510="","",IFERROR(INDEX(Categories!$B$5:$B$44,MATCH(B1510,Categories!$A$5:$A$44,0)),"?"))</f>
        <v/>
      </c>
      <c r="G1510">
        <f>IF(A1510="","",MONTH(A1510))</f>
        <v/>
      </c>
    </row>
    <row r="1511">
      <c r="A1511" s="25" t="n"/>
      <c r="B1511" s="11" t="n"/>
      <c r="C1511" s="24" t="n"/>
      <c r="D1511" s="11" t="n"/>
      <c r="E1511" s="11" t="n"/>
      <c r="F1511">
        <f>IF(B1511="","",IFERROR(INDEX(Categories!$B$5:$B$44,MATCH(B1511,Categories!$A$5:$A$44,0)),"?"))</f>
        <v/>
      </c>
      <c r="G1511">
        <f>IF(A1511="","",MONTH(A1511))</f>
        <v/>
      </c>
    </row>
    <row r="1512">
      <c r="A1512" s="25" t="n"/>
      <c r="B1512" s="11" t="n"/>
      <c r="C1512" s="24" t="n"/>
      <c r="D1512" s="11" t="n"/>
      <c r="E1512" s="11" t="n"/>
      <c r="F1512">
        <f>IF(B1512="","",IFERROR(INDEX(Categories!$B$5:$B$44,MATCH(B1512,Categories!$A$5:$A$44,0)),"?"))</f>
        <v/>
      </c>
      <c r="G1512">
        <f>IF(A1512="","",MONTH(A1512))</f>
        <v/>
      </c>
    </row>
    <row r="1513">
      <c r="A1513" s="25" t="n"/>
      <c r="B1513" s="11" t="n"/>
      <c r="C1513" s="24" t="n"/>
      <c r="D1513" s="11" t="n"/>
      <c r="E1513" s="11" t="n"/>
      <c r="F1513">
        <f>IF(B1513="","",IFERROR(INDEX(Categories!$B$5:$B$44,MATCH(B1513,Categories!$A$5:$A$44,0)),"?"))</f>
        <v/>
      </c>
      <c r="G1513">
        <f>IF(A1513="","",MONTH(A1513))</f>
        <v/>
      </c>
    </row>
    <row r="1514">
      <c r="A1514" s="25" t="n"/>
      <c r="B1514" s="11" t="n"/>
      <c r="C1514" s="24" t="n"/>
      <c r="D1514" s="11" t="n"/>
      <c r="E1514" s="11" t="n"/>
      <c r="F1514">
        <f>IF(B1514="","",IFERROR(INDEX(Categories!$B$5:$B$44,MATCH(B1514,Categories!$A$5:$A$44,0)),"?"))</f>
        <v/>
      </c>
      <c r="G1514">
        <f>IF(A1514="","",MONTH(A1514))</f>
        <v/>
      </c>
    </row>
    <row r="1515">
      <c r="A1515" s="25" t="n"/>
      <c r="B1515" s="11" t="n"/>
      <c r="C1515" s="24" t="n"/>
      <c r="D1515" s="11" t="n"/>
      <c r="E1515" s="11" t="n"/>
      <c r="F1515">
        <f>IF(B1515="","",IFERROR(INDEX(Categories!$B$5:$B$44,MATCH(B1515,Categories!$A$5:$A$44,0)),"?"))</f>
        <v/>
      </c>
      <c r="G1515">
        <f>IF(A1515="","",MONTH(A1515))</f>
        <v/>
      </c>
    </row>
    <row r="1516">
      <c r="A1516" s="25" t="n"/>
      <c r="B1516" s="11" t="n"/>
      <c r="C1516" s="24" t="n"/>
      <c r="D1516" s="11" t="n"/>
      <c r="E1516" s="11" t="n"/>
      <c r="F1516">
        <f>IF(B1516="","",IFERROR(INDEX(Categories!$B$5:$B$44,MATCH(B1516,Categories!$A$5:$A$44,0)),"?"))</f>
        <v/>
      </c>
      <c r="G1516">
        <f>IF(A1516="","",MONTH(A1516))</f>
        <v/>
      </c>
    </row>
    <row r="1517">
      <c r="A1517" s="25" t="n"/>
      <c r="B1517" s="11" t="n"/>
      <c r="C1517" s="24" t="n"/>
      <c r="D1517" s="11" t="n"/>
      <c r="E1517" s="11" t="n"/>
      <c r="F1517">
        <f>IF(B1517="","",IFERROR(INDEX(Categories!$B$5:$B$44,MATCH(B1517,Categories!$A$5:$A$44,0)),"?"))</f>
        <v/>
      </c>
      <c r="G1517">
        <f>IF(A1517="","",MONTH(A1517))</f>
        <v/>
      </c>
    </row>
    <row r="1518">
      <c r="A1518" s="25" t="n"/>
      <c r="B1518" s="11" t="n"/>
      <c r="C1518" s="24" t="n"/>
      <c r="D1518" s="11" t="n"/>
      <c r="E1518" s="11" t="n"/>
      <c r="F1518">
        <f>IF(B1518="","",IFERROR(INDEX(Categories!$B$5:$B$44,MATCH(B1518,Categories!$A$5:$A$44,0)),"?"))</f>
        <v/>
      </c>
      <c r="G1518">
        <f>IF(A1518="","",MONTH(A1518))</f>
        <v/>
      </c>
    </row>
    <row r="1519">
      <c r="A1519" s="25" t="n"/>
      <c r="B1519" s="11" t="n"/>
      <c r="C1519" s="24" t="n"/>
      <c r="D1519" s="11" t="n"/>
      <c r="E1519" s="11" t="n"/>
      <c r="F1519">
        <f>IF(B1519="","",IFERROR(INDEX(Categories!$B$5:$B$44,MATCH(B1519,Categories!$A$5:$A$44,0)),"?"))</f>
        <v/>
      </c>
      <c r="G1519">
        <f>IF(A1519="","",MONTH(A1519))</f>
        <v/>
      </c>
    </row>
    <row r="1520">
      <c r="A1520" s="25" t="n"/>
      <c r="B1520" s="11" t="n"/>
      <c r="C1520" s="24" t="n"/>
      <c r="D1520" s="11" t="n"/>
      <c r="E1520" s="11" t="n"/>
      <c r="F1520">
        <f>IF(B1520="","",IFERROR(INDEX(Categories!$B$5:$B$44,MATCH(B1520,Categories!$A$5:$A$44,0)),"?"))</f>
        <v/>
      </c>
      <c r="G1520">
        <f>IF(A1520="","",MONTH(A1520))</f>
        <v/>
      </c>
    </row>
    <row r="1521">
      <c r="A1521" s="25" t="n"/>
      <c r="B1521" s="11" t="n"/>
      <c r="C1521" s="24" t="n"/>
      <c r="D1521" s="11" t="n"/>
      <c r="E1521" s="11" t="n"/>
      <c r="F1521">
        <f>IF(B1521="","",IFERROR(INDEX(Categories!$B$5:$B$44,MATCH(B1521,Categories!$A$5:$A$44,0)),"?"))</f>
        <v/>
      </c>
      <c r="G1521">
        <f>IF(A1521="","",MONTH(A1521))</f>
        <v/>
      </c>
    </row>
    <row r="1522">
      <c r="A1522" s="25" t="n"/>
      <c r="B1522" s="11" t="n"/>
      <c r="C1522" s="24" t="n"/>
      <c r="D1522" s="11" t="n"/>
      <c r="E1522" s="11" t="n"/>
      <c r="F1522">
        <f>IF(B1522="","",IFERROR(INDEX(Categories!$B$5:$B$44,MATCH(B1522,Categories!$A$5:$A$44,0)),"?"))</f>
        <v/>
      </c>
      <c r="G1522">
        <f>IF(A1522="","",MONTH(A1522))</f>
        <v/>
      </c>
    </row>
    <row r="1523">
      <c r="A1523" s="25" t="n"/>
      <c r="B1523" s="11" t="n"/>
      <c r="C1523" s="24" t="n"/>
      <c r="D1523" s="11" t="n"/>
      <c r="E1523" s="11" t="n"/>
      <c r="F1523">
        <f>IF(B1523="","",IFERROR(INDEX(Categories!$B$5:$B$44,MATCH(B1523,Categories!$A$5:$A$44,0)),"?"))</f>
        <v/>
      </c>
      <c r="G1523">
        <f>IF(A1523="","",MONTH(A1523))</f>
        <v/>
      </c>
    </row>
    <row r="1524">
      <c r="A1524" s="25" t="n"/>
      <c r="B1524" s="11" t="n"/>
      <c r="C1524" s="24" t="n"/>
      <c r="D1524" s="11" t="n"/>
      <c r="E1524" s="11" t="n"/>
      <c r="F1524">
        <f>IF(B1524="","",IFERROR(INDEX(Categories!$B$5:$B$44,MATCH(B1524,Categories!$A$5:$A$44,0)),"?"))</f>
        <v/>
      </c>
      <c r="G1524">
        <f>IF(A1524="","",MONTH(A1524))</f>
        <v/>
      </c>
    </row>
    <row r="1525">
      <c r="A1525" s="25" t="n"/>
      <c r="B1525" s="11" t="n"/>
      <c r="C1525" s="24" t="n"/>
      <c r="D1525" s="11" t="n"/>
      <c r="E1525" s="11" t="n"/>
      <c r="F1525">
        <f>IF(B1525="","",IFERROR(INDEX(Categories!$B$5:$B$44,MATCH(B1525,Categories!$A$5:$A$44,0)),"?"))</f>
        <v/>
      </c>
      <c r="G1525">
        <f>IF(A1525="","",MONTH(A1525))</f>
        <v/>
      </c>
    </row>
    <row r="1526">
      <c r="A1526" s="25" t="n"/>
      <c r="B1526" s="11" t="n"/>
      <c r="C1526" s="24" t="n"/>
      <c r="D1526" s="11" t="n"/>
      <c r="E1526" s="11" t="n"/>
      <c r="F1526">
        <f>IF(B1526="","",IFERROR(INDEX(Categories!$B$5:$B$44,MATCH(B1526,Categories!$A$5:$A$44,0)),"?"))</f>
        <v/>
      </c>
      <c r="G1526">
        <f>IF(A1526="","",MONTH(A1526))</f>
        <v/>
      </c>
    </row>
    <row r="1527">
      <c r="A1527" s="25" t="n"/>
      <c r="B1527" s="11" t="n"/>
      <c r="C1527" s="24" t="n"/>
      <c r="D1527" s="11" t="n"/>
      <c r="E1527" s="11" t="n"/>
      <c r="F1527">
        <f>IF(B1527="","",IFERROR(INDEX(Categories!$B$5:$B$44,MATCH(B1527,Categories!$A$5:$A$44,0)),"?"))</f>
        <v/>
      </c>
      <c r="G1527">
        <f>IF(A1527="","",MONTH(A1527))</f>
        <v/>
      </c>
    </row>
    <row r="1528">
      <c r="A1528" s="25" t="n"/>
      <c r="B1528" s="11" t="n"/>
      <c r="C1528" s="24" t="n"/>
      <c r="D1528" s="11" t="n"/>
      <c r="E1528" s="11" t="n"/>
      <c r="F1528">
        <f>IF(B1528="","",IFERROR(INDEX(Categories!$B$5:$B$44,MATCH(B1528,Categories!$A$5:$A$44,0)),"?"))</f>
        <v/>
      </c>
      <c r="G1528">
        <f>IF(A1528="","",MONTH(A1528))</f>
        <v/>
      </c>
    </row>
    <row r="1529">
      <c r="A1529" s="25" t="n"/>
      <c r="B1529" s="11" t="n"/>
      <c r="C1529" s="24" t="n"/>
      <c r="D1529" s="11" t="n"/>
      <c r="E1529" s="11" t="n"/>
      <c r="F1529">
        <f>IF(B1529="","",IFERROR(INDEX(Categories!$B$5:$B$44,MATCH(B1529,Categories!$A$5:$A$44,0)),"?"))</f>
        <v/>
      </c>
      <c r="G1529">
        <f>IF(A1529="","",MONTH(A1529))</f>
        <v/>
      </c>
    </row>
    <row r="1530">
      <c r="A1530" s="25" t="n"/>
      <c r="B1530" s="11" t="n"/>
      <c r="C1530" s="24" t="n"/>
      <c r="D1530" s="11" t="n"/>
      <c r="E1530" s="11" t="n"/>
      <c r="F1530">
        <f>IF(B1530="","",IFERROR(INDEX(Categories!$B$5:$B$44,MATCH(B1530,Categories!$A$5:$A$44,0)),"?"))</f>
        <v/>
      </c>
      <c r="G1530">
        <f>IF(A1530="","",MONTH(A1530))</f>
        <v/>
      </c>
    </row>
    <row r="1531">
      <c r="A1531" s="25" t="n"/>
      <c r="B1531" s="11" t="n"/>
      <c r="C1531" s="24" t="n"/>
      <c r="D1531" s="11" t="n"/>
      <c r="E1531" s="11" t="n"/>
      <c r="F1531">
        <f>IF(B1531="","",IFERROR(INDEX(Categories!$B$5:$B$44,MATCH(B1531,Categories!$A$5:$A$44,0)),"?"))</f>
        <v/>
      </c>
      <c r="G1531">
        <f>IF(A1531="","",MONTH(A1531))</f>
        <v/>
      </c>
    </row>
    <row r="1532">
      <c r="A1532" s="25" t="n"/>
      <c r="B1532" s="11" t="n"/>
      <c r="C1532" s="24" t="n"/>
      <c r="D1532" s="11" t="n"/>
      <c r="E1532" s="11" t="n"/>
      <c r="F1532">
        <f>IF(B1532="","",IFERROR(INDEX(Categories!$B$5:$B$44,MATCH(B1532,Categories!$A$5:$A$44,0)),"?"))</f>
        <v/>
      </c>
      <c r="G1532">
        <f>IF(A1532="","",MONTH(A1532))</f>
        <v/>
      </c>
    </row>
    <row r="1533">
      <c r="A1533" s="25" t="n"/>
      <c r="B1533" s="11" t="n"/>
      <c r="C1533" s="24" t="n"/>
      <c r="D1533" s="11" t="n"/>
      <c r="E1533" s="11" t="n"/>
      <c r="F1533">
        <f>IF(B1533="","",IFERROR(INDEX(Categories!$B$5:$B$44,MATCH(B1533,Categories!$A$5:$A$44,0)),"?"))</f>
        <v/>
      </c>
      <c r="G1533">
        <f>IF(A1533="","",MONTH(A1533))</f>
        <v/>
      </c>
    </row>
    <row r="1534">
      <c r="A1534" s="25" t="n"/>
      <c r="B1534" s="11" t="n"/>
      <c r="C1534" s="24" t="n"/>
      <c r="D1534" s="11" t="n"/>
      <c r="E1534" s="11" t="n"/>
      <c r="F1534">
        <f>IF(B1534="","",IFERROR(INDEX(Categories!$B$5:$B$44,MATCH(B1534,Categories!$A$5:$A$44,0)),"?"))</f>
        <v/>
      </c>
      <c r="G1534">
        <f>IF(A1534="","",MONTH(A1534))</f>
        <v/>
      </c>
    </row>
    <row r="1535">
      <c r="A1535" s="25" t="n"/>
      <c r="B1535" s="11" t="n"/>
      <c r="C1535" s="24" t="n"/>
      <c r="D1535" s="11" t="n"/>
      <c r="E1535" s="11" t="n"/>
      <c r="F1535">
        <f>IF(B1535="","",IFERROR(INDEX(Categories!$B$5:$B$44,MATCH(B1535,Categories!$A$5:$A$44,0)),"?"))</f>
        <v/>
      </c>
      <c r="G1535">
        <f>IF(A1535="","",MONTH(A1535))</f>
        <v/>
      </c>
    </row>
    <row r="1536">
      <c r="A1536" s="25" t="n"/>
      <c r="B1536" s="11" t="n"/>
      <c r="C1536" s="24" t="n"/>
      <c r="D1536" s="11" t="n"/>
      <c r="E1536" s="11" t="n"/>
      <c r="F1536">
        <f>IF(B1536="","",IFERROR(INDEX(Categories!$B$5:$B$44,MATCH(B1536,Categories!$A$5:$A$44,0)),"?"))</f>
        <v/>
      </c>
      <c r="G1536">
        <f>IF(A1536="","",MONTH(A1536))</f>
        <v/>
      </c>
    </row>
    <row r="1537">
      <c r="A1537" s="25" t="n"/>
      <c r="B1537" s="11" t="n"/>
      <c r="C1537" s="24" t="n"/>
      <c r="D1537" s="11" t="n"/>
      <c r="E1537" s="11" t="n"/>
      <c r="F1537">
        <f>IF(B1537="","",IFERROR(INDEX(Categories!$B$5:$B$44,MATCH(B1537,Categories!$A$5:$A$44,0)),"?"))</f>
        <v/>
      </c>
      <c r="G1537">
        <f>IF(A1537="","",MONTH(A1537))</f>
        <v/>
      </c>
    </row>
    <row r="1538">
      <c r="A1538" s="25" t="n"/>
      <c r="B1538" s="11" t="n"/>
      <c r="C1538" s="24" t="n"/>
      <c r="D1538" s="11" t="n"/>
      <c r="E1538" s="11" t="n"/>
      <c r="F1538">
        <f>IF(B1538="","",IFERROR(INDEX(Categories!$B$5:$B$44,MATCH(B1538,Categories!$A$5:$A$44,0)),"?"))</f>
        <v/>
      </c>
      <c r="G1538">
        <f>IF(A1538="","",MONTH(A1538))</f>
        <v/>
      </c>
    </row>
    <row r="1539">
      <c r="A1539" s="25" t="n"/>
      <c r="B1539" s="11" t="n"/>
      <c r="C1539" s="24" t="n"/>
      <c r="D1539" s="11" t="n"/>
      <c r="E1539" s="11" t="n"/>
      <c r="F1539">
        <f>IF(B1539="","",IFERROR(INDEX(Categories!$B$5:$B$44,MATCH(B1539,Categories!$A$5:$A$44,0)),"?"))</f>
        <v/>
      </c>
      <c r="G1539">
        <f>IF(A1539="","",MONTH(A1539))</f>
        <v/>
      </c>
    </row>
    <row r="1540">
      <c r="A1540" s="25" t="n"/>
      <c r="B1540" s="11" t="n"/>
      <c r="C1540" s="24" t="n"/>
      <c r="D1540" s="11" t="n"/>
      <c r="E1540" s="11" t="n"/>
      <c r="F1540">
        <f>IF(B1540="","",IFERROR(INDEX(Categories!$B$5:$B$44,MATCH(B1540,Categories!$A$5:$A$44,0)),"?"))</f>
        <v/>
      </c>
      <c r="G1540">
        <f>IF(A1540="","",MONTH(A1540))</f>
        <v/>
      </c>
    </row>
    <row r="1541">
      <c r="A1541" s="25" t="n"/>
      <c r="B1541" s="11" t="n"/>
      <c r="C1541" s="24" t="n"/>
      <c r="D1541" s="11" t="n"/>
      <c r="E1541" s="11" t="n"/>
      <c r="F1541">
        <f>IF(B1541="","",IFERROR(INDEX(Categories!$B$5:$B$44,MATCH(B1541,Categories!$A$5:$A$44,0)),"?"))</f>
        <v/>
      </c>
      <c r="G1541">
        <f>IF(A1541="","",MONTH(A1541))</f>
        <v/>
      </c>
    </row>
    <row r="1542">
      <c r="A1542" s="25" t="n"/>
      <c r="B1542" s="11" t="n"/>
      <c r="C1542" s="24" t="n"/>
      <c r="D1542" s="11" t="n"/>
      <c r="E1542" s="11" t="n"/>
      <c r="F1542">
        <f>IF(B1542="","",IFERROR(INDEX(Categories!$B$5:$B$44,MATCH(B1542,Categories!$A$5:$A$44,0)),"?"))</f>
        <v/>
      </c>
      <c r="G1542">
        <f>IF(A1542="","",MONTH(A1542))</f>
        <v/>
      </c>
    </row>
    <row r="1543">
      <c r="A1543" s="25" t="n"/>
      <c r="B1543" s="11" t="n"/>
      <c r="C1543" s="24" t="n"/>
      <c r="D1543" s="11" t="n"/>
      <c r="E1543" s="11" t="n"/>
      <c r="F1543">
        <f>IF(B1543="","",IFERROR(INDEX(Categories!$B$5:$B$44,MATCH(B1543,Categories!$A$5:$A$44,0)),"?"))</f>
        <v/>
      </c>
      <c r="G1543">
        <f>IF(A1543="","",MONTH(A1543))</f>
        <v/>
      </c>
    </row>
    <row r="1544">
      <c r="A1544" s="25" t="n"/>
      <c r="B1544" s="11" t="n"/>
      <c r="C1544" s="24" t="n"/>
      <c r="D1544" s="11" t="n"/>
      <c r="E1544" s="11" t="n"/>
      <c r="F1544">
        <f>IF(B1544="","",IFERROR(INDEX(Categories!$B$5:$B$44,MATCH(B1544,Categories!$A$5:$A$44,0)),"?"))</f>
        <v/>
      </c>
      <c r="G1544">
        <f>IF(A1544="","",MONTH(A1544))</f>
        <v/>
      </c>
    </row>
    <row r="1545">
      <c r="A1545" s="25" t="n"/>
      <c r="B1545" s="11" t="n"/>
      <c r="C1545" s="24" t="n"/>
      <c r="D1545" s="11" t="n"/>
      <c r="E1545" s="11" t="n"/>
      <c r="F1545">
        <f>IF(B1545="","",IFERROR(INDEX(Categories!$B$5:$B$44,MATCH(B1545,Categories!$A$5:$A$44,0)),"?"))</f>
        <v/>
      </c>
      <c r="G1545">
        <f>IF(A1545="","",MONTH(A1545))</f>
        <v/>
      </c>
    </row>
    <row r="1546">
      <c r="A1546" s="25" t="n"/>
      <c r="B1546" s="11" t="n"/>
      <c r="C1546" s="24" t="n"/>
      <c r="D1546" s="11" t="n"/>
      <c r="E1546" s="11" t="n"/>
      <c r="F1546">
        <f>IF(B1546="","",IFERROR(INDEX(Categories!$B$5:$B$44,MATCH(B1546,Categories!$A$5:$A$44,0)),"?"))</f>
        <v/>
      </c>
      <c r="G1546">
        <f>IF(A1546="","",MONTH(A1546))</f>
        <v/>
      </c>
    </row>
    <row r="1547">
      <c r="A1547" s="25" t="n"/>
      <c r="B1547" s="11" t="n"/>
      <c r="C1547" s="24" t="n"/>
      <c r="D1547" s="11" t="n"/>
      <c r="E1547" s="11" t="n"/>
      <c r="F1547">
        <f>IF(B1547="","",IFERROR(INDEX(Categories!$B$5:$B$44,MATCH(B1547,Categories!$A$5:$A$44,0)),"?"))</f>
        <v/>
      </c>
      <c r="G1547">
        <f>IF(A1547="","",MONTH(A1547))</f>
        <v/>
      </c>
    </row>
    <row r="1548">
      <c r="A1548" s="25" t="n"/>
      <c r="B1548" s="11" t="n"/>
      <c r="C1548" s="24" t="n"/>
      <c r="D1548" s="11" t="n"/>
      <c r="E1548" s="11" t="n"/>
      <c r="F1548">
        <f>IF(B1548="","",IFERROR(INDEX(Categories!$B$5:$B$44,MATCH(B1548,Categories!$A$5:$A$44,0)),"?"))</f>
        <v/>
      </c>
      <c r="G1548">
        <f>IF(A1548="","",MONTH(A1548))</f>
        <v/>
      </c>
    </row>
    <row r="1549">
      <c r="A1549" s="25" t="n"/>
      <c r="B1549" s="11" t="n"/>
      <c r="C1549" s="24" t="n"/>
      <c r="D1549" s="11" t="n"/>
      <c r="E1549" s="11" t="n"/>
      <c r="F1549">
        <f>IF(B1549="","",IFERROR(INDEX(Categories!$B$5:$B$44,MATCH(B1549,Categories!$A$5:$A$44,0)),"?"))</f>
        <v/>
      </c>
      <c r="G1549">
        <f>IF(A1549="","",MONTH(A1549))</f>
        <v/>
      </c>
    </row>
    <row r="1550">
      <c r="A1550" s="25" t="n"/>
      <c r="B1550" s="11" t="n"/>
      <c r="C1550" s="24" t="n"/>
      <c r="D1550" s="11" t="n"/>
      <c r="E1550" s="11" t="n"/>
      <c r="F1550">
        <f>IF(B1550="","",IFERROR(INDEX(Categories!$B$5:$B$44,MATCH(B1550,Categories!$A$5:$A$44,0)),"?"))</f>
        <v/>
      </c>
      <c r="G1550">
        <f>IF(A1550="","",MONTH(A1550))</f>
        <v/>
      </c>
    </row>
    <row r="1551">
      <c r="A1551" s="25" t="n"/>
      <c r="B1551" s="11" t="n"/>
      <c r="C1551" s="24" t="n"/>
      <c r="D1551" s="11" t="n"/>
      <c r="E1551" s="11" t="n"/>
      <c r="F1551">
        <f>IF(B1551="","",IFERROR(INDEX(Categories!$B$5:$B$44,MATCH(B1551,Categories!$A$5:$A$44,0)),"?"))</f>
        <v/>
      </c>
      <c r="G1551">
        <f>IF(A1551="","",MONTH(A1551))</f>
        <v/>
      </c>
    </row>
    <row r="1552">
      <c r="A1552" s="25" t="n"/>
      <c r="B1552" s="11" t="n"/>
      <c r="C1552" s="24" t="n"/>
      <c r="D1552" s="11" t="n"/>
      <c r="E1552" s="11" t="n"/>
      <c r="F1552">
        <f>IF(B1552="","",IFERROR(INDEX(Categories!$B$5:$B$44,MATCH(B1552,Categories!$A$5:$A$44,0)),"?"))</f>
        <v/>
      </c>
      <c r="G1552">
        <f>IF(A1552="","",MONTH(A1552))</f>
        <v/>
      </c>
    </row>
    <row r="1553">
      <c r="A1553" s="25" t="n"/>
      <c r="B1553" s="11" t="n"/>
      <c r="C1553" s="24" t="n"/>
      <c r="D1553" s="11" t="n"/>
      <c r="E1553" s="11" t="n"/>
      <c r="F1553">
        <f>IF(B1553="","",IFERROR(INDEX(Categories!$B$5:$B$44,MATCH(B1553,Categories!$A$5:$A$44,0)),"?"))</f>
        <v/>
      </c>
      <c r="G1553">
        <f>IF(A1553="","",MONTH(A1553))</f>
        <v/>
      </c>
    </row>
    <row r="1554">
      <c r="A1554" s="25" t="n"/>
      <c r="B1554" s="11" t="n"/>
      <c r="C1554" s="24" t="n"/>
      <c r="D1554" s="11" t="n"/>
      <c r="E1554" s="11" t="n"/>
      <c r="F1554">
        <f>IF(B1554="","",IFERROR(INDEX(Categories!$B$5:$B$44,MATCH(B1554,Categories!$A$5:$A$44,0)),"?"))</f>
        <v/>
      </c>
      <c r="G1554">
        <f>IF(A1554="","",MONTH(A1554))</f>
        <v/>
      </c>
    </row>
    <row r="1555">
      <c r="A1555" s="25" t="n"/>
      <c r="B1555" s="11" t="n"/>
      <c r="C1555" s="24" t="n"/>
      <c r="D1555" s="11" t="n"/>
      <c r="E1555" s="11" t="n"/>
      <c r="F1555">
        <f>IF(B1555="","",IFERROR(INDEX(Categories!$B$5:$B$44,MATCH(B1555,Categories!$A$5:$A$44,0)),"?"))</f>
        <v/>
      </c>
      <c r="G1555">
        <f>IF(A1555="","",MONTH(A1555))</f>
        <v/>
      </c>
    </row>
    <row r="1556">
      <c r="A1556" s="25" t="n"/>
      <c r="B1556" s="11" t="n"/>
      <c r="C1556" s="24" t="n"/>
      <c r="D1556" s="11" t="n"/>
      <c r="E1556" s="11" t="n"/>
      <c r="F1556">
        <f>IF(B1556="","",IFERROR(INDEX(Categories!$B$5:$B$44,MATCH(B1556,Categories!$A$5:$A$44,0)),"?"))</f>
        <v/>
      </c>
      <c r="G1556">
        <f>IF(A1556="","",MONTH(A1556))</f>
        <v/>
      </c>
    </row>
    <row r="1557">
      <c r="A1557" s="25" t="n"/>
      <c r="B1557" s="11" t="n"/>
      <c r="C1557" s="24" t="n"/>
      <c r="D1557" s="11" t="n"/>
      <c r="E1557" s="11" t="n"/>
      <c r="F1557">
        <f>IF(B1557="","",IFERROR(INDEX(Categories!$B$5:$B$44,MATCH(B1557,Categories!$A$5:$A$44,0)),"?"))</f>
        <v/>
      </c>
      <c r="G1557">
        <f>IF(A1557="","",MONTH(A1557))</f>
        <v/>
      </c>
    </row>
    <row r="1558">
      <c r="A1558" s="25" t="n"/>
      <c r="B1558" s="11" t="n"/>
      <c r="C1558" s="24" t="n"/>
      <c r="D1558" s="11" t="n"/>
      <c r="E1558" s="11" t="n"/>
      <c r="F1558">
        <f>IF(B1558="","",IFERROR(INDEX(Categories!$B$5:$B$44,MATCH(B1558,Categories!$A$5:$A$44,0)),"?"))</f>
        <v/>
      </c>
      <c r="G1558">
        <f>IF(A1558="","",MONTH(A1558))</f>
        <v/>
      </c>
    </row>
    <row r="1559">
      <c r="A1559" s="25" t="n"/>
      <c r="B1559" s="11" t="n"/>
      <c r="C1559" s="24" t="n"/>
      <c r="D1559" s="11" t="n"/>
      <c r="E1559" s="11" t="n"/>
      <c r="F1559">
        <f>IF(B1559="","",IFERROR(INDEX(Categories!$B$5:$B$44,MATCH(B1559,Categories!$A$5:$A$44,0)),"?"))</f>
        <v/>
      </c>
      <c r="G1559">
        <f>IF(A1559="","",MONTH(A1559))</f>
        <v/>
      </c>
    </row>
    <row r="1560">
      <c r="A1560" s="25" t="n"/>
      <c r="B1560" s="11" t="n"/>
      <c r="C1560" s="24" t="n"/>
      <c r="D1560" s="11" t="n"/>
      <c r="E1560" s="11" t="n"/>
      <c r="F1560">
        <f>IF(B1560="","",IFERROR(INDEX(Categories!$B$5:$B$44,MATCH(B1560,Categories!$A$5:$A$44,0)),"?"))</f>
        <v/>
      </c>
      <c r="G1560">
        <f>IF(A1560="","",MONTH(A1560))</f>
        <v/>
      </c>
    </row>
    <row r="1561">
      <c r="A1561" s="25" t="n"/>
      <c r="B1561" s="11" t="n"/>
      <c r="C1561" s="24" t="n"/>
      <c r="D1561" s="11" t="n"/>
      <c r="E1561" s="11" t="n"/>
      <c r="F1561">
        <f>IF(B1561="","",IFERROR(INDEX(Categories!$B$5:$B$44,MATCH(B1561,Categories!$A$5:$A$44,0)),"?"))</f>
        <v/>
      </c>
      <c r="G1561">
        <f>IF(A1561="","",MONTH(A1561))</f>
        <v/>
      </c>
    </row>
    <row r="1562">
      <c r="A1562" s="25" t="n"/>
      <c r="B1562" s="11" t="n"/>
      <c r="C1562" s="24" t="n"/>
      <c r="D1562" s="11" t="n"/>
      <c r="E1562" s="11" t="n"/>
      <c r="F1562">
        <f>IF(B1562="","",IFERROR(INDEX(Categories!$B$5:$B$44,MATCH(B1562,Categories!$A$5:$A$44,0)),"?"))</f>
        <v/>
      </c>
      <c r="G1562">
        <f>IF(A1562="","",MONTH(A1562))</f>
        <v/>
      </c>
    </row>
    <row r="1563">
      <c r="A1563" s="25" t="n"/>
      <c r="B1563" s="11" t="n"/>
      <c r="C1563" s="24" t="n"/>
      <c r="D1563" s="11" t="n"/>
      <c r="E1563" s="11" t="n"/>
      <c r="F1563">
        <f>IF(B1563="","",IFERROR(INDEX(Categories!$B$5:$B$44,MATCH(B1563,Categories!$A$5:$A$44,0)),"?"))</f>
        <v/>
      </c>
      <c r="G1563">
        <f>IF(A1563="","",MONTH(A1563))</f>
        <v/>
      </c>
    </row>
    <row r="1564">
      <c r="A1564" s="25" t="n"/>
      <c r="B1564" s="11" t="n"/>
      <c r="C1564" s="24" t="n"/>
      <c r="D1564" s="11" t="n"/>
      <c r="E1564" s="11" t="n"/>
      <c r="F1564">
        <f>IF(B1564="","",IFERROR(INDEX(Categories!$B$5:$B$44,MATCH(B1564,Categories!$A$5:$A$44,0)),"?"))</f>
        <v/>
      </c>
      <c r="G1564">
        <f>IF(A1564="","",MONTH(A1564))</f>
        <v/>
      </c>
    </row>
    <row r="1565">
      <c r="A1565" s="25" t="n"/>
      <c r="B1565" s="11" t="n"/>
      <c r="C1565" s="24" t="n"/>
      <c r="D1565" s="11" t="n"/>
      <c r="E1565" s="11" t="n"/>
      <c r="F1565">
        <f>IF(B1565="","",IFERROR(INDEX(Categories!$B$5:$B$44,MATCH(B1565,Categories!$A$5:$A$44,0)),"?"))</f>
        <v/>
      </c>
      <c r="G1565">
        <f>IF(A1565="","",MONTH(A1565))</f>
        <v/>
      </c>
    </row>
    <row r="1566">
      <c r="A1566" s="25" t="n"/>
      <c r="B1566" s="11" t="n"/>
      <c r="C1566" s="24" t="n"/>
      <c r="D1566" s="11" t="n"/>
      <c r="E1566" s="11" t="n"/>
      <c r="F1566">
        <f>IF(B1566="","",IFERROR(INDEX(Categories!$B$5:$B$44,MATCH(B1566,Categories!$A$5:$A$44,0)),"?"))</f>
        <v/>
      </c>
      <c r="G1566">
        <f>IF(A1566="","",MONTH(A1566))</f>
        <v/>
      </c>
    </row>
    <row r="1567">
      <c r="A1567" s="25" t="n"/>
      <c r="B1567" s="11" t="n"/>
      <c r="C1567" s="24" t="n"/>
      <c r="D1567" s="11" t="n"/>
      <c r="E1567" s="11" t="n"/>
      <c r="F1567">
        <f>IF(B1567="","",IFERROR(INDEX(Categories!$B$5:$B$44,MATCH(B1567,Categories!$A$5:$A$44,0)),"?"))</f>
        <v/>
      </c>
      <c r="G1567">
        <f>IF(A1567="","",MONTH(A1567))</f>
        <v/>
      </c>
    </row>
    <row r="1568">
      <c r="A1568" s="25" t="n"/>
      <c r="B1568" s="11" t="n"/>
      <c r="C1568" s="24" t="n"/>
      <c r="D1568" s="11" t="n"/>
      <c r="E1568" s="11" t="n"/>
      <c r="F1568">
        <f>IF(B1568="","",IFERROR(INDEX(Categories!$B$5:$B$44,MATCH(B1568,Categories!$A$5:$A$44,0)),"?"))</f>
        <v/>
      </c>
      <c r="G1568">
        <f>IF(A1568="","",MONTH(A1568))</f>
        <v/>
      </c>
    </row>
    <row r="1569">
      <c r="A1569" s="25" t="n"/>
      <c r="B1569" s="11" t="n"/>
      <c r="C1569" s="24" t="n"/>
      <c r="D1569" s="11" t="n"/>
      <c r="E1569" s="11" t="n"/>
      <c r="F1569">
        <f>IF(B1569="","",IFERROR(INDEX(Categories!$B$5:$B$44,MATCH(B1569,Categories!$A$5:$A$44,0)),"?"))</f>
        <v/>
      </c>
      <c r="G1569">
        <f>IF(A1569="","",MONTH(A1569))</f>
        <v/>
      </c>
    </row>
    <row r="1570">
      <c r="A1570" s="25" t="n"/>
      <c r="B1570" s="11" t="n"/>
      <c r="C1570" s="24" t="n"/>
      <c r="D1570" s="11" t="n"/>
      <c r="E1570" s="11" t="n"/>
      <c r="F1570">
        <f>IF(B1570="","",IFERROR(INDEX(Categories!$B$5:$B$44,MATCH(B1570,Categories!$A$5:$A$44,0)),"?"))</f>
        <v/>
      </c>
      <c r="G1570">
        <f>IF(A1570="","",MONTH(A1570))</f>
        <v/>
      </c>
    </row>
    <row r="1571">
      <c r="A1571" s="25" t="n"/>
      <c r="B1571" s="11" t="n"/>
      <c r="C1571" s="24" t="n"/>
      <c r="D1571" s="11" t="n"/>
      <c r="E1571" s="11" t="n"/>
      <c r="F1571">
        <f>IF(B1571="","",IFERROR(INDEX(Categories!$B$5:$B$44,MATCH(B1571,Categories!$A$5:$A$44,0)),"?"))</f>
        <v/>
      </c>
      <c r="G1571">
        <f>IF(A1571="","",MONTH(A1571))</f>
        <v/>
      </c>
    </row>
    <row r="1572">
      <c r="A1572" s="25" t="n"/>
      <c r="B1572" s="11" t="n"/>
      <c r="C1572" s="24" t="n"/>
      <c r="D1572" s="11" t="n"/>
      <c r="E1572" s="11" t="n"/>
      <c r="F1572">
        <f>IF(B1572="","",IFERROR(INDEX(Categories!$B$5:$B$44,MATCH(B1572,Categories!$A$5:$A$44,0)),"?"))</f>
        <v/>
      </c>
      <c r="G1572">
        <f>IF(A1572="","",MONTH(A1572))</f>
        <v/>
      </c>
    </row>
    <row r="1573">
      <c r="A1573" s="25" t="n"/>
      <c r="B1573" s="11" t="n"/>
      <c r="C1573" s="24" t="n"/>
      <c r="D1573" s="11" t="n"/>
      <c r="E1573" s="11" t="n"/>
      <c r="F1573">
        <f>IF(B1573="","",IFERROR(INDEX(Categories!$B$5:$B$44,MATCH(B1573,Categories!$A$5:$A$44,0)),"?"))</f>
        <v/>
      </c>
      <c r="G1573">
        <f>IF(A1573="","",MONTH(A1573))</f>
        <v/>
      </c>
    </row>
    <row r="1574">
      <c r="A1574" s="25" t="n"/>
      <c r="B1574" s="11" t="n"/>
      <c r="C1574" s="24" t="n"/>
      <c r="D1574" s="11" t="n"/>
      <c r="E1574" s="11" t="n"/>
      <c r="F1574">
        <f>IF(B1574="","",IFERROR(INDEX(Categories!$B$5:$B$44,MATCH(B1574,Categories!$A$5:$A$44,0)),"?"))</f>
        <v/>
      </c>
      <c r="G1574">
        <f>IF(A1574="","",MONTH(A1574))</f>
        <v/>
      </c>
    </row>
    <row r="1575">
      <c r="A1575" s="25" t="n"/>
      <c r="B1575" s="11" t="n"/>
      <c r="C1575" s="24" t="n"/>
      <c r="D1575" s="11" t="n"/>
      <c r="E1575" s="11" t="n"/>
      <c r="F1575">
        <f>IF(B1575="","",IFERROR(INDEX(Categories!$B$5:$B$44,MATCH(B1575,Categories!$A$5:$A$44,0)),"?"))</f>
        <v/>
      </c>
      <c r="G1575">
        <f>IF(A1575="","",MONTH(A1575))</f>
        <v/>
      </c>
    </row>
    <row r="1576">
      <c r="A1576" s="25" t="n"/>
      <c r="B1576" s="11" t="n"/>
      <c r="C1576" s="24" t="n"/>
      <c r="D1576" s="11" t="n"/>
      <c r="E1576" s="11" t="n"/>
      <c r="F1576">
        <f>IF(B1576="","",IFERROR(INDEX(Categories!$B$5:$B$44,MATCH(B1576,Categories!$A$5:$A$44,0)),"?"))</f>
        <v/>
      </c>
      <c r="G1576">
        <f>IF(A1576="","",MONTH(A1576))</f>
        <v/>
      </c>
    </row>
    <row r="1577">
      <c r="A1577" s="25" t="n"/>
      <c r="B1577" s="11" t="n"/>
      <c r="C1577" s="24" t="n"/>
      <c r="D1577" s="11" t="n"/>
      <c r="E1577" s="11" t="n"/>
      <c r="F1577">
        <f>IF(B1577="","",IFERROR(INDEX(Categories!$B$5:$B$44,MATCH(B1577,Categories!$A$5:$A$44,0)),"?"))</f>
        <v/>
      </c>
      <c r="G1577">
        <f>IF(A1577="","",MONTH(A1577))</f>
        <v/>
      </c>
    </row>
    <row r="1578">
      <c r="A1578" s="25" t="n"/>
      <c r="B1578" s="11" t="n"/>
      <c r="C1578" s="24" t="n"/>
      <c r="D1578" s="11" t="n"/>
      <c r="E1578" s="11" t="n"/>
      <c r="F1578">
        <f>IF(B1578="","",IFERROR(INDEX(Categories!$B$5:$B$44,MATCH(B1578,Categories!$A$5:$A$44,0)),"?"))</f>
        <v/>
      </c>
      <c r="G1578">
        <f>IF(A1578="","",MONTH(A1578))</f>
        <v/>
      </c>
    </row>
    <row r="1579">
      <c r="A1579" s="25" t="n"/>
      <c r="B1579" s="11" t="n"/>
      <c r="C1579" s="24" t="n"/>
      <c r="D1579" s="11" t="n"/>
      <c r="E1579" s="11" t="n"/>
      <c r="F1579">
        <f>IF(B1579="","",IFERROR(INDEX(Categories!$B$5:$B$44,MATCH(B1579,Categories!$A$5:$A$44,0)),"?"))</f>
        <v/>
      </c>
      <c r="G1579">
        <f>IF(A1579="","",MONTH(A1579))</f>
        <v/>
      </c>
    </row>
    <row r="1580">
      <c r="A1580" s="25" t="n"/>
      <c r="B1580" s="11" t="n"/>
      <c r="C1580" s="24" t="n"/>
      <c r="D1580" s="11" t="n"/>
      <c r="E1580" s="11" t="n"/>
      <c r="F1580">
        <f>IF(B1580="","",IFERROR(INDEX(Categories!$B$5:$B$44,MATCH(B1580,Categories!$A$5:$A$44,0)),"?"))</f>
        <v/>
      </c>
      <c r="G1580">
        <f>IF(A1580="","",MONTH(A1580))</f>
        <v/>
      </c>
    </row>
    <row r="1581">
      <c r="A1581" s="25" t="n"/>
      <c r="B1581" s="11" t="n"/>
      <c r="C1581" s="24" t="n"/>
      <c r="D1581" s="11" t="n"/>
      <c r="E1581" s="11" t="n"/>
      <c r="F1581">
        <f>IF(B1581="","",IFERROR(INDEX(Categories!$B$5:$B$44,MATCH(B1581,Categories!$A$5:$A$44,0)),"?"))</f>
        <v/>
      </c>
      <c r="G1581">
        <f>IF(A1581="","",MONTH(A1581))</f>
        <v/>
      </c>
    </row>
    <row r="1582">
      <c r="A1582" s="25" t="n"/>
      <c r="B1582" s="11" t="n"/>
      <c r="C1582" s="24" t="n"/>
      <c r="D1582" s="11" t="n"/>
      <c r="E1582" s="11" t="n"/>
      <c r="F1582">
        <f>IF(B1582="","",IFERROR(INDEX(Categories!$B$5:$B$44,MATCH(B1582,Categories!$A$5:$A$44,0)),"?"))</f>
        <v/>
      </c>
      <c r="G1582">
        <f>IF(A1582="","",MONTH(A1582))</f>
        <v/>
      </c>
    </row>
    <row r="1583">
      <c r="A1583" s="25" t="n"/>
      <c r="B1583" s="11" t="n"/>
      <c r="C1583" s="24" t="n"/>
      <c r="D1583" s="11" t="n"/>
      <c r="E1583" s="11" t="n"/>
      <c r="F1583">
        <f>IF(B1583="","",IFERROR(INDEX(Categories!$B$5:$B$44,MATCH(B1583,Categories!$A$5:$A$44,0)),"?"))</f>
        <v/>
      </c>
      <c r="G1583">
        <f>IF(A1583="","",MONTH(A1583))</f>
        <v/>
      </c>
    </row>
    <row r="1584">
      <c r="A1584" s="25" t="n"/>
      <c r="B1584" s="11" t="n"/>
      <c r="C1584" s="24" t="n"/>
      <c r="D1584" s="11" t="n"/>
      <c r="E1584" s="11" t="n"/>
      <c r="F1584">
        <f>IF(B1584="","",IFERROR(INDEX(Categories!$B$5:$B$44,MATCH(B1584,Categories!$A$5:$A$44,0)),"?"))</f>
        <v/>
      </c>
      <c r="G1584">
        <f>IF(A1584="","",MONTH(A1584))</f>
        <v/>
      </c>
    </row>
    <row r="1585">
      <c r="A1585" s="25" t="n"/>
      <c r="B1585" s="11" t="n"/>
      <c r="C1585" s="24" t="n"/>
      <c r="D1585" s="11" t="n"/>
      <c r="E1585" s="11" t="n"/>
      <c r="F1585">
        <f>IF(B1585="","",IFERROR(INDEX(Categories!$B$5:$B$44,MATCH(B1585,Categories!$A$5:$A$44,0)),"?"))</f>
        <v/>
      </c>
      <c r="G1585">
        <f>IF(A1585="","",MONTH(A1585))</f>
        <v/>
      </c>
    </row>
    <row r="1586">
      <c r="A1586" s="25" t="n"/>
      <c r="B1586" s="11" t="n"/>
      <c r="C1586" s="24" t="n"/>
      <c r="D1586" s="11" t="n"/>
      <c r="E1586" s="11" t="n"/>
      <c r="F1586">
        <f>IF(B1586="","",IFERROR(INDEX(Categories!$B$5:$B$44,MATCH(B1586,Categories!$A$5:$A$44,0)),"?"))</f>
        <v/>
      </c>
      <c r="G1586">
        <f>IF(A1586="","",MONTH(A1586))</f>
        <v/>
      </c>
    </row>
    <row r="1587">
      <c r="A1587" s="25" t="n"/>
      <c r="B1587" s="11" t="n"/>
      <c r="C1587" s="24" t="n"/>
      <c r="D1587" s="11" t="n"/>
      <c r="E1587" s="11" t="n"/>
      <c r="F1587">
        <f>IF(B1587="","",IFERROR(INDEX(Categories!$B$5:$B$44,MATCH(B1587,Categories!$A$5:$A$44,0)),"?"))</f>
        <v/>
      </c>
      <c r="G1587">
        <f>IF(A1587="","",MONTH(A1587))</f>
        <v/>
      </c>
    </row>
    <row r="1588">
      <c r="A1588" s="25" t="n"/>
      <c r="B1588" s="11" t="n"/>
      <c r="C1588" s="24" t="n"/>
      <c r="D1588" s="11" t="n"/>
      <c r="E1588" s="11" t="n"/>
      <c r="F1588">
        <f>IF(B1588="","",IFERROR(INDEX(Categories!$B$5:$B$44,MATCH(B1588,Categories!$A$5:$A$44,0)),"?"))</f>
        <v/>
      </c>
      <c r="G1588">
        <f>IF(A1588="","",MONTH(A1588))</f>
        <v/>
      </c>
    </row>
    <row r="1589">
      <c r="A1589" s="25" t="n"/>
      <c r="B1589" s="11" t="n"/>
      <c r="C1589" s="24" t="n"/>
      <c r="D1589" s="11" t="n"/>
      <c r="E1589" s="11" t="n"/>
      <c r="F1589">
        <f>IF(B1589="","",IFERROR(INDEX(Categories!$B$5:$B$44,MATCH(B1589,Categories!$A$5:$A$44,0)),"?"))</f>
        <v/>
      </c>
      <c r="G1589">
        <f>IF(A1589="","",MONTH(A1589))</f>
        <v/>
      </c>
    </row>
    <row r="1590">
      <c r="A1590" s="25" t="n"/>
      <c r="B1590" s="11" t="n"/>
      <c r="C1590" s="24" t="n"/>
      <c r="D1590" s="11" t="n"/>
      <c r="E1590" s="11" t="n"/>
      <c r="F1590">
        <f>IF(B1590="","",IFERROR(INDEX(Categories!$B$5:$B$44,MATCH(B1590,Categories!$A$5:$A$44,0)),"?"))</f>
        <v/>
      </c>
      <c r="G1590">
        <f>IF(A1590="","",MONTH(A1590))</f>
        <v/>
      </c>
    </row>
    <row r="1591">
      <c r="A1591" s="25" t="n"/>
      <c r="B1591" s="11" t="n"/>
      <c r="C1591" s="24" t="n"/>
      <c r="D1591" s="11" t="n"/>
      <c r="E1591" s="11" t="n"/>
      <c r="F1591">
        <f>IF(B1591="","",IFERROR(INDEX(Categories!$B$5:$B$44,MATCH(B1591,Categories!$A$5:$A$44,0)),"?"))</f>
        <v/>
      </c>
      <c r="G1591">
        <f>IF(A1591="","",MONTH(A1591))</f>
        <v/>
      </c>
    </row>
    <row r="1592">
      <c r="A1592" s="25" t="n"/>
      <c r="B1592" s="11" t="n"/>
      <c r="C1592" s="24" t="n"/>
      <c r="D1592" s="11" t="n"/>
      <c r="E1592" s="11" t="n"/>
      <c r="F1592">
        <f>IF(B1592="","",IFERROR(INDEX(Categories!$B$5:$B$44,MATCH(B1592,Categories!$A$5:$A$44,0)),"?"))</f>
        <v/>
      </c>
      <c r="G1592">
        <f>IF(A1592="","",MONTH(A1592))</f>
        <v/>
      </c>
    </row>
    <row r="1593">
      <c r="A1593" s="25" t="n"/>
      <c r="B1593" s="11" t="n"/>
      <c r="C1593" s="24" t="n"/>
      <c r="D1593" s="11" t="n"/>
      <c r="E1593" s="11" t="n"/>
      <c r="F1593">
        <f>IF(B1593="","",IFERROR(INDEX(Categories!$B$5:$B$44,MATCH(B1593,Categories!$A$5:$A$44,0)),"?"))</f>
        <v/>
      </c>
      <c r="G1593">
        <f>IF(A1593="","",MONTH(A1593))</f>
        <v/>
      </c>
    </row>
    <row r="1594">
      <c r="A1594" s="25" t="n"/>
      <c r="B1594" s="11" t="n"/>
      <c r="C1594" s="24" t="n"/>
      <c r="D1594" s="11" t="n"/>
      <c r="E1594" s="11" t="n"/>
      <c r="F1594">
        <f>IF(B1594="","",IFERROR(INDEX(Categories!$B$5:$B$44,MATCH(B1594,Categories!$A$5:$A$44,0)),"?"))</f>
        <v/>
      </c>
      <c r="G1594">
        <f>IF(A1594="","",MONTH(A1594))</f>
        <v/>
      </c>
    </row>
    <row r="1595">
      <c r="A1595" s="25" t="n"/>
      <c r="B1595" s="11" t="n"/>
      <c r="C1595" s="24" t="n"/>
      <c r="D1595" s="11" t="n"/>
      <c r="E1595" s="11" t="n"/>
      <c r="F1595">
        <f>IF(B1595="","",IFERROR(INDEX(Categories!$B$5:$B$44,MATCH(B1595,Categories!$A$5:$A$44,0)),"?"))</f>
        <v/>
      </c>
      <c r="G1595">
        <f>IF(A1595="","",MONTH(A1595))</f>
        <v/>
      </c>
    </row>
    <row r="1596">
      <c r="A1596" s="25" t="n"/>
      <c r="B1596" s="11" t="n"/>
      <c r="C1596" s="24" t="n"/>
      <c r="D1596" s="11" t="n"/>
      <c r="E1596" s="11" t="n"/>
      <c r="F1596">
        <f>IF(B1596="","",IFERROR(INDEX(Categories!$B$5:$B$44,MATCH(B1596,Categories!$A$5:$A$44,0)),"?"))</f>
        <v/>
      </c>
      <c r="G1596">
        <f>IF(A1596="","",MONTH(A1596))</f>
        <v/>
      </c>
    </row>
    <row r="1597">
      <c r="A1597" s="25" t="n"/>
      <c r="B1597" s="11" t="n"/>
      <c r="C1597" s="24" t="n"/>
      <c r="D1597" s="11" t="n"/>
      <c r="E1597" s="11" t="n"/>
      <c r="F1597">
        <f>IF(B1597="","",IFERROR(INDEX(Categories!$B$5:$B$44,MATCH(B1597,Categories!$A$5:$A$44,0)),"?"))</f>
        <v/>
      </c>
      <c r="G1597">
        <f>IF(A1597="","",MONTH(A1597))</f>
        <v/>
      </c>
    </row>
    <row r="1598">
      <c r="A1598" s="25" t="n"/>
      <c r="B1598" s="11" t="n"/>
      <c r="C1598" s="24" t="n"/>
      <c r="D1598" s="11" t="n"/>
      <c r="E1598" s="11" t="n"/>
      <c r="F1598">
        <f>IF(B1598="","",IFERROR(INDEX(Categories!$B$5:$B$44,MATCH(B1598,Categories!$A$5:$A$44,0)),"?"))</f>
        <v/>
      </c>
      <c r="G1598">
        <f>IF(A1598="","",MONTH(A1598))</f>
        <v/>
      </c>
    </row>
    <row r="1599">
      <c r="A1599" s="25" t="n"/>
      <c r="B1599" s="11" t="n"/>
      <c r="C1599" s="24" t="n"/>
      <c r="D1599" s="11" t="n"/>
      <c r="E1599" s="11" t="n"/>
      <c r="F1599">
        <f>IF(B1599="","",IFERROR(INDEX(Categories!$B$5:$B$44,MATCH(B1599,Categories!$A$5:$A$44,0)),"?"))</f>
        <v/>
      </c>
      <c r="G1599">
        <f>IF(A1599="","",MONTH(A1599))</f>
        <v/>
      </c>
    </row>
    <row r="1600">
      <c r="A1600" s="25" t="n"/>
      <c r="B1600" s="11" t="n"/>
      <c r="C1600" s="24" t="n"/>
      <c r="D1600" s="11" t="n"/>
      <c r="E1600" s="11" t="n"/>
      <c r="F1600">
        <f>IF(B1600="","",IFERROR(INDEX(Categories!$B$5:$B$44,MATCH(B1600,Categories!$A$5:$A$44,0)),"?"))</f>
        <v/>
      </c>
      <c r="G1600">
        <f>IF(A1600="","",MONTH(A1600))</f>
        <v/>
      </c>
    </row>
    <row r="1601">
      <c r="A1601" s="25" t="n"/>
      <c r="B1601" s="11" t="n"/>
      <c r="C1601" s="24" t="n"/>
      <c r="D1601" s="11" t="n"/>
      <c r="E1601" s="11" t="n"/>
      <c r="F1601">
        <f>IF(B1601="","",IFERROR(INDEX(Categories!$B$5:$B$44,MATCH(B1601,Categories!$A$5:$A$44,0)),"?"))</f>
        <v/>
      </c>
      <c r="G1601">
        <f>IF(A1601="","",MONTH(A1601))</f>
        <v/>
      </c>
    </row>
    <row r="1602">
      <c r="A1602" s="25" t="n"/>
      <c r="B1602" s="11" t="n"/>
      <c r="C1602" s="24" t="n"/>
      <c r="D1602" s="11" t="n"/>
      <c r="E1602" s="11" t="n"/>
      <c r="F1602">
        <f>IF(B1602="","",IFERROR(INDEX(Categories!$B$5:$B$44,MATCH(B1602,Categories!$A$5:$A$44,0)),"?"))</f>
        <v/>
      </c>
      <c r="G1602">
        <f>IF(A1602="","",MONTH(A1602))</f>
        <v/>
      </c>
    </row>
    <row r="1603">
      <c r="A1603" s="25" t="n"/>
      <c r="B1603" s="11" t="n"/>
      <c r="C1603" s="24" t="n"/>
      <c r="D1603" s="11" t="n"/>
      <c r="E1603" s="11" t="n"/>
      <c r="F1603">
        <f>IF(B1603="","",IFERROR(INDEX(Categories!$B$5:$B$44,MATCH(B1603,Categories!$A$5:$A$44,0)),"?"))</f>
        <v/>
      </c>
      <c r="G1603">
        <f>IF(A1603="","",MONTH(A1603))</f>
        <v/>
      </c>
    </row>
    <row r="1604">
      <c r="A1604" s="25" t="n"/>
      <c r="B1604" s="11" t="n"/>
      <c r="C1604" s="24" t="n"/>
      <c r="D1604" s="11" t="n"/>
      <c r="E1604" s="11" t="n"/>
      <c r="F1604">
        <f>IF(B1604="","",IFERROR(INDEX(Categories!$B$5:$B$44,MATCH(B1604,Categories!$A$5:$A$44,0)),"?"))</f>
        <v/>
      </c>
      <c r="G1604">
        <f>IF(A1604="","",MONTH(A1604))</f>
        <v/>
      </c>
    </row>
    <row r="1605">
      <c r="A1605" s="25" t="n"/>
      <c r="B1605" s="11" t="n"/>
      <c r="C1605" s="24" t="n"/>
      <c r="D1605" s="11" t="n"/>
      <c r="E1605" s="11" t="n"/>
      <c r="F1605">
        <f>IF(B1605="","",IFERROR(INDEX(Categories!$B$5:$B$44,MATCH(B1605,Categories!$A$5:$A$44,0)),"?"))</f>
        <v/>
      </c>
      <c r="G1605">
        <f>IF(A1605="","",MONTH(A1605))</f>
        <v/>
      </c>
    </row>
    <row r="1606">
      <c r="A1606" s="25" t="n"/>
      <c r="B1606" s="11" t="n"/>
      <c r="C1606" s="24" t="n"/>
      <c r="D1606" s="11" t="n"/>
      <c r="E1606" s="11" t="n"/>
      <c r="F1606">
        <f>IF(B1606="","",IFERROR(INDEX(Categories!$B$5:$B$44,MATCH(B1606,Categories!$A$5:$A$44,0)),"?"))</f>
        <v/>
      </c>
      <c r="G1606">
        <f>IF(A1606="","",MONTH(A1606))</f>
        <v/>
      </c>
    </row>
    <row r="1607">
      <c r="A1607" s="25" t="n"/>
      <c r="B1607" s="11" t="n"/>
      <c r="C1607" s="24" t="n"/>
      <c r="D1607" s="11" t="n"/>
      <c r="E1607" s="11" t="n"/>
      <c r="F1607">
        <f>IF(B1607="","",IFERROR(INDEX(Categories!$B$5:$B$44,MATCH(B1607,Categories!$A$5:$A$44,0)),"?"))</f>
        <v/>
      </c>
      <c r="G1607">
        <f>IF(A1607="","",MONTH(A1607))</f>
        <v/>
      </c>
    </row>
    <row r="1608">
      <c r="A1608" s="25" t="n"/>
      <c r="B1608" s="11" t="n"/>
      <c r="C1608" s="24" t="n"/>
      <c r="D1608" s="11" t="n"/>
      <c r="E1608" s="11" t="n"/>
      <c r="F1608">
        <f>IF(B1608="","",IFERROR(INDEX(Categories!$B$5:$B$44,MATCH(B1608,Categories!$A$5:$A$44,0)),"?"))</f>
        <v/>
      </c>
      <c r="G1608">
        <f>IF(A1608="","",MONTH(A1608))</f>
        <v/>
      </c>
    </row>
    <row r="1609">
      <c r="A1609" s="25" t="n"/>
      <c r="B1609" s="11" t="n"/>
      <c r="C1609" s="24" t="n"/>
      <c r="D1609" s="11" t="n"/>
      <c r="E1609" s="11" t="n"/>
      <c r="F1609">
        <f>IF(B1609="","",IFERROR(INDEX(Categories!$B$5:$B$44,MATCH(B1609,Categories!$A$5:$A$44,0)),"?"))</f>
        <v/>
      </c>
      <c r="G1609">
        <f>IF(A1609="","",MONTH(A1609))</f>
        <v/>
      </c>
    </row>
    <row r="1610">
      <c r="A1610" s="25" t="n"/>
      <c r="B1610" s="11" t="n"/>
      <c r="C1610" s="24" t="n"/>
      <c r="D1610" s="11" t="n"/>
      <c r="E1610" s="11" t="n"/>
      <c r="F1610">
        <f>IF(B1610="","",IFERROR(INDEX(Categories!$B$5:$B$44,MATCH(B1610,Categories!$A$5:$A$44,0)),"?"))</f>
        <v/>
      </c>
      <c r="G1610">
        <f>IF(A1610="","",MONTH(A1610))</f>
        <v/>
      </c>
    </row>
    <row r="1611">
      <c r="A1611" s="25" t="n"/>
      <c r="B1611" s="11" t="n"/>
      <c r="C1611" s="24" t="n"/>
      <c r="D1611" s="11" t="n"/>
      <c r="E1611" s="11" t="n"/>
      <c r="F1611">
        <f>IF(B1611="","",IFERROR(INDEX(Categories!$B$5:$B$44,MATCH(B1611,Categories!$A$5:$A$44,0)),"?"))</f>
        <v/>
      </c>
      <c r="G1611">
        <f>IF(A1611="","",MONTH(A1611))</f>
        <v/>
      </c>
    </row>
    <row r="1612">
      <c r="A1612" s="25" t="n"/>
      <c r="B1612" s="11" t="n"/>
      <c r="C1612" s="24" t="n"/>
      <c r="D1612" s="11" t="n"/>
      <c r="E1612" s="11" t="n"/>
      <c r="F1612">
        <f>IF(B1612="","",IFERROR(INDEX(Categories!$B$5:$B$44,MATCH(B1612,Categories!$A$5:$A$44,0)),"?"))</f>
        <v/>
      </c>
      <c r="G1612">
        <f>IF(A1612="","",MONTH(A1612))</f>
        <v/>
      </c>
    </row>
    <row r="1613">
      <c r="A1613" s="25" t="n"/>
      <c r="B1613" s="11" t="n"/>
      <c r="C1613" s="24" t="n"/>
      <c r="D1613" s="11" t="n"/>
      <c r="E1613" s="11" t="n"/>
      <c r="F1613">
        <f>IF(B1613="","",IFERROR(INDEX(Categories!$B$5:$B$44,MATCH(B1613,Categories!$A$5:$A$44,0)),"?"))</f>
        <v/>
      </c>
      <c r="G1613">
        <f>IF(A1613="","",MONTH(A1613))</f>
        <v/>
      </c>
    </row>
    <row r="1614">
      <c r="A1614" s="25" t="n"/>
      <c r="B1614" s="11" t="n"/>
      <c r="C1614" s="24" t="n"/>
      <c r="D1614" s="11" t="n"/>
      <c r="E1614" s="11" t="n"/>
      <c r="F1614">
        <f>IF(B1614="","",IFERROR(INDEX(Categories!$B$5:$B$44,MATCH(B1614,Categories!$A$5:$A$44,0)),"?"))</f>
        <v/>
      </c>
      <c r="G1614">
        <f>IF(A1614="","",MONTH(A1614))</f>
        <v/>
      </c>
    </row>
    <row r="1615">
      <c r="A1615" s="25" t="n"/>
      <c r="B1615" s="11" t="n"/>
      <c r="C1615" s="24" t="n"/>
      <c r="D1615" s="11" t="n"/>
      <c r="E1615" s="11" t="n"/>
      <c r="F1615">
        <f>IF(B1615="","",IFERROR(INDEX(Categories!$B$5:$B$44,MATCH(B1615,Categories!$A$5:$A$44,0)),"?"))</f>
        <v/>
      </c>
      <c r="G1615">
        <f>IF(A1615="","",MONTH(A1615))</f>
        <v/>
      </c>
    </row>
    <row r="1616">
      <c r="A1616" s="25" t="n"/>
      <c r="B1616" s="11" t="n"/>
      <c r="C1616" s="24" t="n"/>
      <c r="D1616" s="11" t="n"/>
      <c r="E1616" s="11" t="n"/>
      <c r="F1616">
        <f>IF(B1616="","",IFERROR(INDEX(Categories!$B$5:$B$44,MATCH(B1616,Categories!$A$5:$A$44,0)),"?"))</f>
        <v/>
      </c>
      <c r="G1616">
        <f>IF(A1616="","",MONTH(A1616))</f>
        <v/>
      </c>
    </row>
    <row r="1617">
      <c r="A1617" s="25" t="n"/>
      <c r="B1617" s="11" t="n"/>
      <c r="C1617" s="24" t="n"/>
      <c r="D1617" s="11" t="n"/>
      <c r="E1617" s="11" t="n"/>
      <c r="F1617">
        <f>IF(B1617="","",IFERROR(INDEX(Categories!$B$5:$B$44,MATCH(B1617,Categories!$A$5:$A$44,0)),"?"))</f>
        <v/>
      </c>
      <c r="G1617">
        <f>IF(A1617="","",MONTH(A1617))</f>
        <v/>
      </c>
    </row>
    <row r="1618">
      <c r="A1618" s="25" t="n"/>
      <c r="B1618" s="11" t="n"/>
      <c r="C1618" s="24" t="n"/>
      <c r="D1618" s="11" t="n"/>
      <c r="E1618" s="11" t="n"/>
      <c r="F1618">
        <f>IF(B1618="","",IFERROR(INDEX(Categories!$B$5:$B$44,MATCH(B1618,Categories!$A$5:$A$44,0)),"?"))</f>
        <v/>
      </c>
      <c r="G1618">
        <f>IF(A1618="","",MONTH(A1618))</f>
        <v/>
      </c>
    </row>
    <row r="1619">
      <c r="A1619" s="25" t="n"/>
      <c r="B1619" s="11" t="n"/>
      <c r="C1619" s="24" t="n"/>
      <c r="D1619" s="11" t="n"/>
      <c r="E1619" s="11" t="n"/>
      <c r="F1619">
        <f>IF(B1619="","",IFERROR(INDEX(Categories!$B$5:$B$44,MATCH(B1619,Categories!$A$5:$A$44,0)),"?"))</f>
        <v/>
      </c>
      <c r="G1619">
        <f>IF(A1619="","",MONTH(A1619))</f>
        <v/>
      </c>
    </row>
    <row r="1620">
      <c r="A1620" s="25" t="n"/>
      <c r="B1620" s="11" t="n"/>
      <c r="C1620" s="24" t="n"/>
      <c r="D1620" s="11" t="n"/>
      <c r="E1620" s="11" t="n"/>
      <c r="F1620">
        <f>IF(B1620="","",IFERROR(INDEX(Categories!$B$5:$B$44,MATCH(B1620,Categories!$A$5:$A$44,0)),"?"))</f>
        <v/>
      </c>
      <c r="G1620">
        <f>IF(A1620="","",MONTH(A1620))</f>
        <v/>
      </c>
    </row>
    <row r="1621">
      <c r="A1621" s="25" t="n"/>
      <c r="B1621" s="11" t="n"/>
      <c r="C1621" s="24" t="n"/>
      <c r="D1621" s="11" t="n"/>
      <c r="E1621" s="11" t="n"/>
      <c r="F1621">
        <f>IF(B1621="","",IFERROR(INDEX(Categories!$B$5:$B$44,MATCH(B1621,Categories!$A$5:$A$44,0)),"?"))</f>
        <v/>
      </c>
      <c r="G1621">
        <f>IF(A1621="","",MONTH(A1621))</f>
        <v/>
      </c>
    </row>
    <row r="1622">
      <c r="A1622" s="25" t="n"/>
      <c r="B1622" s="11" t="n"/>
      <c r="C1622" s="24" t="n"/>
      <c r="D1622" s="11" t="n"/>
      <c r="E1622" s="11" t="n"/>
      <c r="F1622">
        <f>IF(B1622="","",IFERROR(INDEX(Categories!$B$5:$B$44,MATCH(B1622,Categories!$A$5:$A$44,0)),"?"))</f>
        <v/>
      </c>
      <c r="G1622">
        <f>IF(A1622="","",MONTH(A1622))</f>
        <v/>
      </c>
    </row>
    <row r="1623">
      <c r="A1623" s="25" t="n"/>
      <c r="B1623" s="11" t="n"/>
      <c r="C1623" s="24" t="n"/>
      <c r="D1623" s="11" t="n"/>
      <c r="E1623" s="11" t="n"/>
      <c r="F1623">
        <f>IF(B1623="","",IFERROR(INDEX(Categories!$B$5:$B$44,MATCH(B1623,Categories!$A$5:$A$44,0)),"?"))</f>
        <v/>
      </c>
      <c r="G1623">
        <f>IF(A1623="","",MONTH(A1623))</f>
        <v/>
      </c>
    </row>
    <row r="1624">
      <c r="A1624" s="25" t="n"/>
      <c r="B1624" s="11" t="n"/>
      <c r="C1624" s="24" t="n"/>
      <c r="D1624" s="11" t="n"/>
      <c r="E1624" s="11" t="n"/>
      <c r="F1624">
        <f>IF(B1624="","",IFERROR(INDEX(Categories!$B$5:$B$44,MATCH(B1624,Categories!$A$5:$A$44,0)),"?"))</f>
        <v/>
      </c>
      <c r="G1624">
        <f>IF(A1624="","",MONTH(A1624))</f>
        <v/>
      </c>
    </row>
    <row r="1625">
      <c r="A1625" s="25" t="n"/>
      <c r="B1625" s="11" t="n"/>
      <c r="C1625" s="24" t="n"/>
      <c r="D1625" s="11" t="n"/>
      <c r="E1625" s="11" t="n"/>
      <c r="F1625">
        <f>IF(B1625="","",IFERROR(INDEX(Categories!$B$5:$B$44,MATCH(B1625,Categories!$A$5:$A$44,0)),"?"))</f>
        <v/>
      </c>
      <c r="G1625">
        <f>IF(A1625="","",MONTH(A1625))</f>
        <v/>
      </c>
    </row>
    <row r="1626">
      <c r="A1626" s="25" t="n"/>
      <c r="B1626" s="11" t="n"/>
      <c r="C1626" s="24" t="n"/>
      <c r="D1626" s="11" t="n"/>
      <c r="E1626" s="11" t="n"/>
      <c r="F1626">
        <f>IF(B1626="","",IFERROR(INDEX(Categories!$B$5:$B$44,MATCH(B1626,Categories!$A$5:$A$44,0)),"?"))</f>
        <v/>
      </c>
      <c r="G1626">
        <f>IF(A1626="","",MONTH(A1626))</f>
        <v/>
      </c>
    </row>
    <row r="1627">
      <c r="A1627" s="25" t="n"/>
      <c r="B1627" s="11" t="n"/>
      <c r="C1627" s="24" t="n"/>
      <c r="D1627" s="11" t="n"/>
      <c r="E1627" s="11" t="n"/>
      <c r="F1627">
        <f>IF(B1627="","",IFERROR(INDEX(Categories!$B$5:$B$44,MATCH(B1627,Categories!$A$5:$A$44,0)),"?"))</f>
        <v/>
      </c>
      <c r="G1627">
        <f>IF(A1627="","",MONTH(A1627))</f>
        <v/>
      </c>
    </row>
    <row r="1628">
      <c r="A1628" s="25" t="n"/>
      <c r="B1628" s="11" t="n"/>
      <c r="C1628" s="24" t="n"/>
      <c r="D1628" s="11" t="n"/>
      <c r="E1628" s="11" t="n"/>
      <c r="F1628">
        <f>IF(B1628="","",IFERROR(INDEX(Categories!$B$5:$B$44,MATCH(B1628,Categories!$A$5:$A$44,0)),"?"))</f>
        <v/>
      </c>
      <c r="G1628">
        <f>IF(A1628="","",MONTH(A1628))</f>
        <v/>
      </c>
    </row>
    <row r="1629">
      <c r="A1629" s="25" t="n"/>
      <c r="B1629" s="11" t="n"/>
      <c r="C1629" s="24" t="n"/>
      <c r="D1629" s="11" t="n"/>
      <c r="E1629" s="11" t="n"/>
      <c r="F1629">
        <f>IF(B1629="","",IFERROR(INDEX(Categories!$B$5:$B$44,MATCH(B1629,Categories!$A$5:$A$44,0)),"?"))</f>
        <v/>
      </c>
      <c r="G1629">
        <f>IF(A1629="","",MONTH(A1629))</f>
        <v/>
      </c>
    </row>
    <row r="1630">
      <c r="A1630" s="25" t="n"/>
      <c r="B1630" s="11" t="n"/>
      <c r="C1630" s="24" t="n"/>
      <c r="D1630" s="11" t="n"/>
      <c r="E1630" s="11" t="n"/>
      <c r="F1630">
        <f>IF(B1630="","",IFERROR(INDEX(Categories!$B$5:$B$44,MATCH(B1630,Categories!$A$5:$A$44,0)),"?"))</f>
        <v/>
      </c>
      <c r="G1630">
        <f>IF(A1630="","",MONTH(A1630))</f>
        <v/>
      </c>
    </row>
    <row r="1631">
      <c r="A1631" s="25" t="n"/>
      <c r="B1631" s="11" t="n"/>
      <c r="C1631" s="24" t="n"/>
      <c r="D1631" s="11" t="n"/>
      <c r="E1631" s="11" t="n"/>
      <c r="F1631">
        <f>IF(B1631="","",IFERROR(INDEX(Categories!$B$5:$B$44,MATCH(B1631,Categories!$A$5:$A$44,0)),"?"))</f>
        <v/>
      </c>
      <c r="G1631">
        <f>IF(A1631="","",MONTH(A1631))</f>
        <v/>
      </c>
    </row>
    <row r="1632">
      <c r="A1632" s="25" t="n"/>
      <c r="B1632" s="11" t="n"/>
      <c r="C1632" s="24" t="n"/>
      <c r="D1632" s="11" t="n"/>
      <c r="E1632" s="11" t="n"/>
      <c r="F1632">
        <f>IF(B1632="","",IFERROR(INDEX(Categories!$B$5:$B$44,MATCH(B1632,Categories!$A$5:$A$44,0)),"?"))</f>
        <v/>
      </c>
      <c r="G1632">
        <f>IF(A1632="","",MONTH(A1632))</f>
        <v/>
      </c>
    </row>
    <row r="1633">
      <c r="A1633" s="25" t="n"/>
      <c r="B1633" s="11" t="n"/>
      <c r="C1633" s="24" t="n"/>
      <c r="D1633" s="11" t="n"/>
      <c r="E1633" s="11" t="n"/>
      <c r="F1633">
        <f>IF(B1633="","",IFERROR(INDEX(Categories!$B$5:$B$44,MATCH(B1633,Categories!$A$5:$A$44,0)),"?"))</f>
        <v/>
      </c>
      <c r="G1633">
        <f>IF(A1633="","",MONTH(A1633))</f>
        <v/>
      </c>
    </row>
    <row r="1634">
      <c r="A1634" s="25" t="n"/>
      <c r="B1634" s="11" t="n"/>
      <c r="C1634" s="24" t="n"/>
      <c r="D1634" s="11" t="n"/>
      <c r="E1634" s="11" t="n"/>
      <c r="F1634">
        <f>IF(B1634="","",IFERROR(INDEX(Categories!$B$5:$B$44,MATCH(B1634,Categories!$A$5:$A$44,0)),"?"))</f>
        <v/>
      </c>
      <c r="G1634">
        <f>IF(A1634="","",MONTH(A1634))</f>
        <v/>
      </c>
    </row>
    <row r="1635">
      <c r="A1635" s="25" t="n"/>
      <c r="B1635" s="11" t="n"/>
      <c r="C1635" s="24" t="n"/>
      <c r="D1635" s="11" t="n"/>
      <c r="E1635" s="11" t="n"/>
      <c r="F1635">
        <f>IF(B1635="","",IFERROR(INDEX(Categories!$B$5:$B$44,MATCH(B1635,Categories!$A$5:$A$44,0)),"?"))</f>
        <v/>
      </c>
      <c r="G1635">
        <f>IF(A1635="","",MONTH(A1635))</f>
        <v/>
      </c>
    </row>
    <row r="1636">
      <c r="A1636" s="25" t="n"/>
      <c r="B1636" s="11" t="n"/>
      <c r="C1636" s="24" t="n"/>
      <c r="D1636" s="11" t="n"/>
      <c r="E1636" s="11" t="n"/>
      <c r="F1636">
        <f>IF(B1636="","",IFERROR(INDEX(Categories!$B$5:$B$44,MATCH(B1636,Categories!$A$5:$A$44,0)),"?"))</f>
        <v/>
      </c>
      <c r="G1636">
        <f>IF(A1636="","",MONTH(A1636))</f>
        <v/>
      </c>
    </row>
    <row r="1637">
      <c r="A1637" s="25" t="n"/>
      <c r="B1637" s="11" t="n"/>
      <c r="C1637" s="24" t="n"/>
      <c r="D1637" s="11" t="n"/>
      <c r="E1637" s="11" t="n"/>
      <c r="F1637">
        <f>IF(B1637="","",IFERROR(INDEX(Categories!$B$5:$B$44,MATCH(B1637,Categories!$A$5:$A$44,0)),"?"))</f>
        <v/>
      </c>
      <c r="G1637">
        <f>IF(A1637="","",MONTH(A1637))</f>
        <v/>
      </c>
    </row>
    <row r="1638">
      <c r="A1638" s="25" t="n"/>
      <c r="B1638" s="11" t="n"/>
      <c r="C1638" s="24" t="n"/>
      <c r="D1638" s="11" t="n"/>
      <c r="E1638" s="11" t="n"/>
      <c r="F1638">
        <f>IF(B1638="","",IFERROR(INDEX(Categories!$B$5:$B$44,MATCH(B1638,Categories!$A$5:$A$44,0)),"?"))</f>
        <v/>
      </c>
      <c r="G1638">
        <f>IF(A1638="","",MONTH(A1638))</f>
        <v/>
      </c>
    </row>
    <row r="1639">
      <c r="A1639" s="25" t="n"/>
      <c r="B1639" s="11" t="n"/>
      <c r="C1639" s="24" t="n"/>
      <c r="D1639" s="11" t="n"/>
      <c r="E1639" s="11" t="n"/>
      <c r="F1639">
        <f>IF(B1639="","",IFERROR(INDEX(Categories!$B$5:$B$44,MATCH(B1639,Categories!$A$5:$A$44,0)),"?"))</f>
        <v/>
      </c>
      <c r="G1639">
        <f>IF(A1639="","",MONTH(A1639))</f>
        <v/>
      </c>
    </row>
    <row r="1640">
      <c r="A1640" s="25" t="n"/>
      <c r="B1640" s="11" t="n"/>
      <c r="C1640" s="24" t="n"/>
      <c r="D1640" s="11" t="n"/>
      <c r="E1640" s="11" t="n"/>
      <c r="F1640">
        <f>IF(B1640="","",IFERROR(INDEX(Categories!$B$5:$B$44,MATCH(B1640,Categories!$A$5:$A$44,0)),"?"))</f>
        <v/>
      </c>
      <c r="G1640">
        <f>IF(A1640="","",MONTH(A1640))</f>
        <v/>
      </c>
    </row>
    <row r="1641">
      <c r="A1641" s="25" t="n"/>
      <c r="B1641" s="11" t="n"/>
      <c r="C1641" s="24" t="n"/>
      <c r="D1641" s="11" t="n"/>
      <c r="E1641" s="11" t="n"/>
      <c r="F1641">
        <f>IF(B1641="","",IFERROR(INDEX(Categories!$B$5:$B$44,MATCH(B1641,Categories!$A$5:$A$44,0)),"?"))</f>
        <v/>
      </c>
      <c r="G1641">
        <f>IF(A1641="","",MONTH(A1641))</f>
        <v/>
      </c>
    </row>
    <row r="1642">
      <c r="A1642" s="25" t="n"/>
      <c r="B1642" s="11" t="n"/>
      <c r="C1642" s="24" t="n"/>
      <c r="D1642" s="11" t="n"/>
      <c r="E1642" s="11" t="n"/>
      <c r="F1642">
        <f>IF(B1642="","",IFERROR(INDEX(Categories!$B$5:$B$44,MATCH(B1642,Categories!$A$5:$A$44,0)),"?"))</f>
        <v/>
      </c>
      <c r="G1642">
        <f>IF(A1642="","",MONTH(A1642))</f>
        <v/>
      </c>
    </row>
    <row r="1643">
      <c r="A1643" s="25" t="n"/>
      <c r="B1643" s="11" t="n"/>
      <c r="C1643" s="24" t="n"/>
      <c r="D1643" s="11" t="n"/>
      <c r="E1643" s="11" t="n"/>
      <c r="F1643">
        <f>IF(B1643="","",IFERROR(INDEX(Categories!$B$5:$B$44,MATCH(B1643,Categories!$A$5:$A$44,0)),"?"))</f>
        <v/>
      </c>
      <c r="G1643">
        <f>IF(A1643="","",MONTH(A1643))</f>
        <v/>
      </c>
    </row>
    <row r="1644">
      <c r="A1644" s="25" t="n"/>
      <c r="B1644" s="11" t="n"/>
      <c r="C1644" s="24" t="n"/>
      <c r="D1644" s="11" t="n"/>
      <c r="E1644" s="11" t="n"/>
      <c r="F1644">
        <f>IF(B1644="","",IFERROR(INDEX(Categories!$B$5:$B$44,MATCH(B1644,Categories!$A$5:$A$44,0)),"?"))</f>
        <v/>
      </c>
      <c r="G1644">
        <f>IF(A1644="","",MONTH(A1644))</f>
        <v/>
      </c>
    </row>
    <row r="1645">
      <c r="A1645" s="25" t="n"/>
      <c r="B1645" s="11" t="n"/>
      <c r="C1645" s="24" t="n"/>
      <c r="D1645" s="11" t="n"/>
      <c r="E1645" s="11" t="n"/>
      <c r="F1645">
        <f>IF(B1645="","",IFERROR(INDEX(Categories!$B$5:$B$44,MATCH(B1645,Categories!$A$5:$A$44,0)),"?"))</f>
        <v/>
      </c>
      <c r="G1645">
        <f>IF(A1645="","",MONTH(A1645))</f>
        <v/>
      </c>
    </row>
    <row r="1646">
      <c r="A1646" s="25" t="n"/>
      <c r="B1646" s="11" t="n"/>
      <c r="C1646" s="24" t="n"/>
      <c r="D1646" s="11" t="n"/>
      <c r="E1646" s="11" t="n"/>
      <c r="F1646">
        <f>IF(B1646="","",IFERROR(INDEX(Categories!$B$5:$B$44,MATCH(B1646,Categories!$A$5:$A$44,0)),"?"))</f>
        <v/>
      </c>
      <c r="G1646">
        <f>IF(A1646="","",MONTH(A1646))</f>
        <v/>
      </c>
    </row>
    <row r="1647">
      <c r="A1647" s="25" t="n"/>
      <c r="B1647" s="11" t="n"/>
      <c r="C1647" s="24" t="n"/>
      <c r="D1647" s="11" t="n"/>
      <c r="E1647" s="11" t="n"/>
      <c r="F1647">
        <f>IF(B1647="","",IFERROR(INDEX(Categories!$B$5:$B$44,MATCH(B1647,Categories!$A$5:$A$44,0)),"?"))</f>
        <v/>
      </c>
      <c r="G1647">
        <f>IF(A1647="","",MONTH(A1647))</f>
        <v/>
      </c>
    </row>
    <row r="1648">
      <c r="A1648" s="25" t="n"/>
      <c r="B1648" s="11" t="n"/>
      <c r="C1648" s="24" t="n"/>
      <c r="D1648" s="11" t="n"/>
      <c r="E1648" s="11" t="n"/>
      <c r="F1648">
        <f>IF(B1648="","",IFERROR(INDEX(Categories!$B$5:$B$44,MATCH(B1648,Categories!$A$5:$A$44,0)),"?"))</f>
        <v/>
      </c>
      <c r="G1648">
        <f>IF(A1648="","",MONTH(A1648))</f>
        <v/>
      </c>
    </row>
    <row r="1649">
      <c r="A1649" s="25" t="n"/>
      <c r="B1649" s="11" t="n"/>
      <c r="C1649" s="24" t="n"/>
      <c r="D1649" s="11" t="n"/>
      <c r="E1649" s="11" t="n"/>
      <c r="F1649">
        <f>IF(B1649="","",IFERROR(INDEX(Categories!$B$5:$B$44,MATCH(B1649,Categories!$A$5:$A$44,0)),"?"))</f>
        <v/>
      </c>
      <c r="G1649">
        <f>IF(A1649="","",MONTH(A1649))</f>
        <v/>
      </c>
    </row>
    <row r="1650">
      <c r="A1650" s="25" t="n"/>
      <c r="B1650" s="11" t="n"/>
      <c r="C1650" s="24" t="n"/>
      <c r="D1650" s="11" t="n"/>
      <c r="E1650" s="11" t="n"/>
      <c r="F1650">
        <f>IF(B1650="","",IFERROR(INDEX(Categories!$B$5:$B$44,MATCH(B1650,Categories!$A$5:$A$44,0)),"?"))</f>
        <v/>
      </c>
      <c r="G1650">
        <f>IF(A1650="","",MONTH(A1650))</f>
        <v/>
      </c>
    </row>
    <row r="1651">
      <c r="A1651" s="25" t="n"/>
      <c r="B1651" s="11" t="n"/>
      <c r="C1651" s="24" t="n"/>
      <c r="D1651" s="11" t="n"/>
      <c r="E1651" s="11" t="n"/>
      <c r="F1651">
        <f>IF(B1651="","",IFERROR(INDEX(Categories!$B$5:$B$44,MATCH(B1651,Categories!$A$5:$A$44,0)),"?"))</f>
        <v/>
      </c>
      <c r="G1651">
        <f>IF(A1651="","",MONTH(A1651))</f>
        <v/>
      </c>
    </row>
    <row r="1652">
      <c r="A1652" s="25" t="n"/>
      <c r="B1652" s="11" t="n"/>
      <c r="C1652" s="24" t="n"/>
      <c r="D1652" s="11" t="n"/>
      <c r="E1652" s="11" t="n"/>
      <c r="F1652">
        <f>IF(B1652="","",IFERROR(INDEX(Categories!$B$5:$B$44,MATCH(B1652,Categories!$A$5:$A$44,0)),"?"))</f>
        <v/>
      </c>
      <c r="G1652">
        <f>IF(A1652="","",MONTH(A1652))</f>
        <v/>
      </c>
    </row>
    <row r="1653">
      <c r="A1653" s="25" t="n"/>
      <c r="B1653" s="11" t="n"/>
      <c r="C1653" s="24" t="n"/>
      <c r="D1653" s="11" t="n"/>
      <c r="E1653" s="11" t="n"/>
      <c r="F1653">
        <f>IF(B1653="","",IFERROR(INDEX(Categories!$B$5:$B$44,MATCH(B1653,Categories!$A$5:$A$44,0)),"?"))</f>
        <v/>
      </c>
      <c r="G1653">
        <f>IF(A1653="","",MONTH(A1653))</f>
        <v/>
      </c>
    </row>
    <row r="1654">
      <c r="A1654" s="25" t="n"/>
      <c r="B1654" s="11" t="n"/>
      <c r="C1654" s="24" t="n"/>
      <c r="D1654" s="11" t="n"/>
      <c r="E1654" s="11" t="n"/>
      <c r="F1654">
        <f>IF(B1654="","",IFERROR(INDEX(Categories!$B$5:$B$44,MATCH(B1654,Categories!$A$5:$A$44,0)),"?"))</f>
        <v/>
      </c>
      <c r="G1654">
        <f>IF(A1654="","",MONTH(A1654))</f>
        <v/>
      </c>
    </row>
    <row r="1655">
      <c r="A1655" s="25" t="n"/>
      <c r="B1655" s="11" t="n"/>
      <c r="C1655" s="24" t="n"/>
      <c r="D1655" s="11" t="n"/>
      <c r="E1655" s="11" t="n"/>
      <c r="F1655">
        <f>IF(B1655="","",IFERROR(INDEX(Categories!$B$5:$B$44,MATCH(B1655,Categories!$A$5:$A$44,0)),"?"))</f>
        <v/>
      </c>
      <c r="G1655">
        <f>IF(A1655="","",MONTH(A1655))</f>
        <v/>
      </c>
    </row>
    <row r="1656">
      <c r="A1656" s="25" t="n"/>
      <c r="B1656" s="11" t="n"/>
      <c r="C1656" s="24" t="n"/>
      <c r="D1656" s="11" t="n"/>
      <c r="E1656" s="11" t="n"/>
      <c r="F1656">
        <f>IF(B1656="","",IFERROR(INDEX(Categories!$B$5:$B$44,MATCH(B1656,Categories!$A$5:$A$44,0)),"?"))</f>
        <v/>
      </c>
      <c r="G1656">
        <f>IF(A1656="","",MONTH(A1656))</f>
        <v/>
      </c>
    </row>
    <row r="1657">
      <c r="A1657" s="25" t="n"/>
      <c r="B1657" s="11" t="n"/>
      <c r="C1657" s="24" t="n"/>
      <c r="D1657" s="11" t="n"/>
      <c r="E1657" s="11" t="n"/>
      <c r="F1657">
        <f>IF(B1657="","",IFERROR(INDEX(Categories!$B$5:$B$44,MATCH(B1657,Categories!$A$5:$A$44,0)),"?"))</f>
        <v/>
      </c>
      <c r="G1657">
        <f>IF(A1657="","",MONTH(A1657))</f>
        <v/>
      </c>
    </row>
    <row r="1658">
      <c r="A1658" s="25" t="n"/>
      <c r="B1658" s="11" t="n"/>
      <c r="C1658" s="24" t="n"/>
      <c r="D1658" s="11" t="n"/>
      <c r="E1658" s="11" t="n"/>
      <c r="F1658">
        <f>IF(B1658="","",IFERROR(INDEX(Categories!$B$5:$B$44,MATCH(B1658,Categories!$A$5:$A$44,0)),"?"))</f>
        <v/>
      </c>
      <c r="G1658">
        <f>IF(A1658="","",MONTH(A1658))</f>
        <v/>
      </c>
    </row>
    <row r="1659">
      <c r="A1659" s="25" t="n"/>
      <c r="B1659" s="11" t="n"/>
      <c r="C1659" s="24" t="n"/>
      <c r="D1659" s="11" t="n"/>
      <c r="E1659" s="11" t="n"/>
      <c r="F1659">
        <f>IF(B1659="","",IFERROR(INDEX(Categories!$B$5:$B$44,MATCH(B1659,Categories!$A$5:$A$44,0)),"?"))</f>
        <v/>
      </c>
      <c r="G1659">
        <f>IF(A1659="","",MONTH(A1659))</f>
        <v/>
      </c>
    </row>
    <row r="1660">
      <c r="A1660" s="25" t="n"/>
      <c r="B1660" s="11" t="n"/>
      <c r="C1660" s="24" t="n"/>
      <c r="D1660" s="11" t="n"/>
      <c r="E1660" s="11" t="n"/>
      <c r="F1660">
        <f>IF(B1660="","",IFERROR(INDEX(Categories!$B$5:$B$44,MATCH(B1660,Categories!$A$5:$A$44,0)),"?"))</f>
        <v/>
      </c>
      <c r="G1660">
        <f>IF(A1660="","",MONTH(A1660))</f>
        <v/>
      </c>
    </row>
    <row r="1661">
      <c r="A1661" s="25" t="n"/>
      <c r="B1661" s="11" t="n"/>
      <c r="C1661" s="24" t="n"/>
      <c r="D1661" s="11" t="n"/>
      <c r="E1661" s="11" t="n"/>
      <c r="F1661">
        <f>IF(B1661="","",IFERROR(INDEX(Categories!$B$5:$B$44,MATCH(B1661,Categories!$A$5:$A$44,0)),"?"))</f>
        <v/>
      </c>
      <c r="G1661">
        <f>IF(A1661="","",MONTH(A1661))</f>
        <v/>
      </c>
    </row>
    <row r="1662">
      <c r="A1662" s="25" t="n"/>
      <c r="B1662" s="11" t="n"/>
      <c r="C1662" s="24" t="n"/>
      <c r="D1662" s="11" t="n"/>
      <c r="E1662" s="11" t="n"/>
      <c r="F1662">
        <f>IF(B1662="","",IFERROR(INDEX(Categories!$B$5:$B$44,MATCH(B1662,Categories!$A$5:$A$44,0)),"?"))</f>
        <v/>
      </c>
      <c r="G1662">
        <f>IF(A1662="","",MONTH(A1662))</f>
        <v/>
      </c>
    </row>
    <row r="1663">
      <c r="A1663" s="25" t="n"/>
      <c r="B1663" s="11" t="n"/>
      <c r="C1663" s="24" t="n"/>
      <c r="D1663" s="11" t="n"/>
      <c r="E1663" s="11" t="n"/>
      <c r="F1663">
        <f>IF(B1663="","",IFERROR(INDEX(Categories!$B$5:$B$44,MATCH(B1663,Categories!$A$5:$A$44,0)),"?"))</f>
        <v/>
      </c>
      <c r="G1663">
        <f>IF(A1663="","",MONTH(A1663))</f>
        <v/>
      </c>
    </row>
    <row r="1664">
      <c r="A1664" s="25" t="n"/>
      <c r="B1664" s="11" t="n"/>
      <c r="C1664" s="24" t="n"/>
      <c r="D1664" s="11" t="n"/>
      <c r="E1664" s="11" t="n"/>
      <c r="F1664">
        <f>IF(B1664="","",IFERROR(INDEX(Categories!$B$5:$B$44,MATCH(B1664,Categories!$A$5:$A$44,0)),"?"))</f>
        <v/>
      </c>
      <c r="G1664">
        <f>IF(A1664="","",MONTH(A1664))</f>
        <v/>
      </c>
    </row>
    <row r="1665">
      <c r="A1665" s="25" t="n"/>
      <c r="B1665" s="11" t="n"/>
      <c r="C1665" s="24" t="n"/>
      <c r="D1665" s="11" t="n"/>
      <c r="E1665" s="11" t="n"/>
      <c r="F1665">
        <f>IF(B1665="","",IFERROR(INDEX(Categories!$B$5:$B$44,MATCH(B1665,Categories!$A$5:$A$44,0)),"?"))</f>
        <v/>
      </c>
      <c r="G1665">
        <f>IF(A1665="","",MONTH(A1665))</f>
        <v/>
      </c>
    </row>
    <row r="1666">
      <c r="A1666" s="25" t="n"/>
      <c r="B1666" s="11" t="n"/>
      <c r="C1666" s="24" t="n"/>
      <c r="D1666" s="11" t="n"/>
      <c r="E1666" s="11" t="n"/>
      <c r="F1666">
        <f>IF(B1666="","",IFERROR(INDEX(Categories!$B$5:$B$44,MATCH(B1666,Categories!$A$5:$A$44,0)),"?"))</f>
        <v/>
      </c>
      <c r="G1666">
        <f>IF(A1666="","",MONTH(A1666))</f>
        <v/>
      </c>
    </row>
    <row r="1667">
      <c r="A1667" s="25" t="n"/>
      <c r="B1667" s="11" t="n"/>
      <c r="C1667" s="24" t="n"/>
      <c r="D1667" s="11" t="n"/>
      <c r="E1667" s="11" t="n"/>
      <c r="F1667">
        <f>IF(B1667="","",IFERROR(INDEX(Categories!$B$5:$B$44,MATCH(B1667,Categories!$A$5:$A$44,0)),"?"))</f>
        <v/>
      </c>
      <c r="G1667">
        <f>IF(A1667="","",MONTH(A1667))</f>
        <v/>
      </c>
    </row>
    <row r="1668">
      <c r="A1668" s="25" t="n"/>
      <c r="B1668" s="11" t="n"/>
      <c r="C1668" s="24" t="n"/>
      <c r="D1668" s="11" t="n"/>
      <c r="E1668" s="11" t="n"/>
      <c r="F1668">
        <f>IF(B1668="","",IFERROR(INDEX(Categories!$B$5:$B$44,MATCH(B1668,Categories!$A$5:$A$44,0)),"?"))</f>
        <v/>
      </c>
      <c r="G1668">
        <f>IF(A1668="","",MONTH(A1668))</f>
        <v/>
      </c>
    </row>
    <row r="1669">
      <c r="A1669" s="25" t="n"/>
      <c r="B1669" s="11" t="n"/>
      <c r="C1669" s="24" t="n"/>
      <c r="D1669" s="11" t="n"/>
      <c r="E1669" s="11" t="n"/>
      <c r="F1669">
        <f>IF(B1669="","",IFERROR(INDEX(Categories!$B$5:$B$44,MATCH(B1669,Categories!$A$5:$A$44,0)),"?"))</f>
        <v/>
      </c>
      <c r="G1669">
        <f>IF(A1669="","",MONTH(A1669))</f>
        <v/>
      </c>
    </row>
    <row r="1670">
      <c r="A1670" s="25" t="n"/>
      <c r="B1670" s="11" t="n"/>
      <c r="C1670" s="24" t="n"/>
      <c r="D1670" s="11" t="n"/>
      <c r="E1670" s="11" t="n"/>
      <c r="F1670">
        <f>IF(B1670="","",IFERROR(INDEX(Categories!$B$5:$B$44,MATCH(B1670,Categories!$A$5:$A$44,0)),"?"))</f>
        <v/>
      </c>
      <c r="G1670">
        <f>IF(A1670="","",MONTH(A1670))</f>
        <v/>
      </c>
    </row>
    <row r="1671">
      <c r="A1671" s="25" t="n"/>
      <c r="B1671" s="11" t="n"/>
      <c r="C1671" s="24" t="n"/>
      <c r="D1671" s="11" t="n"/>
      <c r="E1671" s="11" t="n"/>
      <c r="F1671">
        <f>IF(B1671="","",IFERROR(INDEX(Categories!$B$5:$B$44,MATCH(B1671,Categories!$A$5:$A$44,0)),"?"))</f>
        <v/>
      </c>
      <c r="G1671">
        <f>IF(A1671="","",MONTH(A1671))</f>
        <v/>
      </c>
    </row>
    <row r="1672">
      <c r="A1672" s="25" t="n"/>
      <c r="B1672" s="11" t="n"/>
      <c r="C1672" s="24" t="n"/>
      <c r="D1672" s="11" t="n"/>
      <c r="E1672" s="11" t="n"/>
      <c r="F1672">
        <f>IF(B1672="","",IFERROR(INDEX(Categories!$B$5:$B$44,MATCH(B1672,Categories!$A$5:$A$44,0)),"?"))</f>
        <v/>
      </c>
      <c r="G1672">
        <f>IF(A1672="","",MONTH(A1672))</f>
        <v/>
      </c>
    </row>
    <row r="1673">
      <c r="A1673" s="25" t="n"/>
      <c r="B1673" s="11" t="n"/>
      <c r="C1673" s="24" t="n"/>
      <c r="D1673" s="11" t="n"/>
      <c r="E1673" s="11" t="n"/>
      <c r="F1673">
        <f>IF(B1673="","",IFERROR(INDEX(Categories!$B$5:$B$44,MATCH(B1673,Categories!$A$5:$A$44,0)),"?"))</f>
        <v/>
      </c>
      <c r="G1673">
        <f>IF(A1673="","",MONTH(A1673))</f>
        <v/>
      </c>
    </row>
    <row r="1674">
      <c r="A1674" s="25" t="n"/>
      <c r="B1674" s="11" t="n"/>
      <c r="C1674" s="24" t="n"/>
      <c r="D1674" s="11" t="n"/>
      <c r="E1674" s="11" t="n"/>
      <c r="F1674">
        <f>IF(B1674="","",IFERROR(INDEX(Categories!$B$5:$B$44,MATCH(B1674,Categories!$A$5:$A$44,0)),"?"))</f>
        <v/>
      </c>
      <c r="G1674">
        <f>IF(A1674="","",MONTH(A1674))</f>
        <v/>
      </c>
    </row>
    <row r="1675">
      <c r="A1675" s="25" t="n"/>
      <c r="B1675" s="11" t="n"/>
      <c r="C1675" s="24" t="n"/>
      <c r="D1675" s="11" t="n"/>
      <c r="E1675" s="11" t="n"/>
      <c r="F1675">
        <f>IF(B1675="","",IFERROR(INDEX(Categories!$B$5:$B$44,MATCH(B1675,Categories!$A$5:$A$44,0)),"?"))</f>
        <v/>
      </c>
      <c r="G1675">
        <f>IF(A1675="","",MONTH(A1675))</f>
        <v/>
      </c>
    </row>
    <row r="1676">
      <c r="A1676" s="25" t="n"/>
      <c r="B1676" s="11" t="n"/>
      <c r="C1676" s="24" t="n"/>
      <c r="D1676" s="11" t="n"/>
      <c r="E1676" s="11" t="n"/>
      <c r="F1676">
        <f>IF(B1676="","",IFERROR(INDEX(Categories!$B$5:$B$44,MATCH(B1676,Categories!$A$5:$A$44,0)),"?"))</f>
        <v/>
      </c>
      <c r="G1676">
        <f>IF(A1676="","",MONTH(A1676))</f>
        <v/>
      </c>
    </row>
    <row r="1677">
      <c r="A1677" s="25" t="n"/>
      <c r="B1677" s="11" t="n"/>
      <c r="C1677" s="24" t="n"/>
      <c r="D1677" s="11" t="n"/>
      <c r="E1677" s="11" t="n"/>
      <c r="F1677">
        <f>IF(B1677="","",IFERROR(INDEX(Categories!$B$5:$B$44,MATCH(B1677,Categories!$A$5:$A$44,0)),"?"))</f>
        <v/>
      </c>
      <c r="G1677">
        <f>IF(A1677="","",MONTH(A1677))</f>
        <v/>
      </c>
    </row>
    <row r="1678">
      <c r="A1678" s="25" t="n"/>
      <c r="B1678" s="11" t="n"/>
      <c r="C1678" s="24" t="n"/>
      <c r="D1678" s="11" t="n"/>
      <c r="E1678" s="11" t="n"/>
      <c r="F1678">
        <f>IF(B1678="","",IFERROR(INDEX(Categories!$B$5:$B$44,MATCH(B1678,Categories!$A$5:$A$44,0)),"?"))</f>
        <v/>
      </c>
      <c r="G1678">
        <f>IF(A1678="","",MONTH(A1678))</f>
        <v/>
      </c>
    </row>
    <row r="1679">
      <c r="A1679" s="25" t="n"/>
      <c r="B1679" s="11" t="n"/>
      <c r="C1679" s="24" t="n"/>
      <c r="D1679" s="11" t="n"/>
      <c r="E1679" s="11" t="n"/>
      <c r="F1679">
        <f>IF(B1679="","",IFERROR(INDEX(Categories!$B$5:$B$44,MATCH(B1679,Categories!$A$5:$A$44,0)),"?"))</f>
        <v/>
      </c>
      <c r="G1679">
        <f>IF(A1679="","",MONTH(A1679))</f>
        <v/>
      </c>
    </row>
    <row r="1680">
      <c r="A1680" s="25" t="n"/>
      <c r="B1680" s="11" t="n"/>
      <c r="C1680" s="24" t="n"/>
      <c r="D1680" s="11" t="n"/>
      <c r="E1680" s="11" t="n"/>
      <c r="F1680">
        <f>IF(B1680="","",IFERROR(INDEX(Categories!$B$5:$B$44,MATCH(B1680,Categories!$A$5:$A$44,0)),"?"))</f>
        <v/>
      </c>
      <c r="G1680">
        <f>IF(A1680="","",MONTH(A1680))</f>
        <v/>
      </c>
    </row>
    <row r="1681">
      <c r="A1681" s="25" t="n"/>
      <c r="B1681" s="11" t="n"/>
      <c r="C1681" s="24" t="n"/>
      <c r="D1681" s="11" t="n"/>
      <c r="E1681" s="11" t="n"/>
      <c r="F1681">
        <f>IF(B1681="","",IFERROR(INDEX(Categories!$B$5:$B$44,MATCH(B1681,Categories!$A$5:$A$44,0)),"?"))</f>
        <v/>
      </c>
      <c r="G1681">
        <f>IF(A1681="","",MONTH(A1681))</f>
        <v/>
      </c>
    </row>
    <row r="1682">
      <c r="A1682" s="25" t="n"/>
      <c r="B1682" s="11" t="n"/>
      <c r="C1682" s="24" t="n"/>
      <c r="D1682" s="11" t="n"/>
      <c r="E1682" s="11" t="n"/>
      <c r="F1682">
        <f>IF(B1682="","",IFERROR(INDEX(Categories!$B$5:$B$44,MATCH(B1682,Categories!$A$5:$A$44,0)),"?"))</f>
        <v/>
      </c>
      <c r="G1682">
        <f>IF(A1682="","",MONTH(A1682))</f>
        <v/>
      </c>
    </row>
    <row r="1683">
      <c r="A1683" s="25" t="n"/>
      <c r="B1683" s="11" t="n"/>
      <c r="C1683" s="24" t="n"/>
      <c r="D1683" s="11" t="n"/>
      <c r="E1683" s="11" t="n"/>
      <c r="F1683">
        <f>IF(B1683="","",IFERROR(INDEX(Categories!$B$5:$B$44,MATCH(B1683,Categories!$A$5:$A$44,0)),"?"))</f>
        <v/>
      </c>
      <c r="G1683">
        <f>IF(A1683="","",MONTH(A1683))</f>
        <v/>
      </c>
    </row>
    <row r="1684">
      <c r="A1684" s="25" t="n"/>
      <c r="B1684" s="11" t="n"/>
      <c r="C1684" s="24" t="n"/>
      <c r="D1684" s="11" t="n"/>
      <c r="E1684" s="11" t="n"/>
      <c r="F1684">
        <f>IF(B1684="","",IFERROR(INDEX(Categories!$B$5:$B$44,MATCH(B1684,Categories!$A$5:$A$44,0)),"?"))</f>
        <v/>
      </c>
      <c r="G1684">
        <f>IF(A1684="","",MONTH(A1684))</f>
        <v/>
      </c>
    </row>
    <row r="1685">
      <c r="A1685" s="25" t="n"/>
      <c r="B1685" s="11" t="n"/>
      <c r="C1685" s="24" t="n"/>
      <c r="D1685" s="11" t="n"/>
      <c r="E1685" s="11" t="n"/>
      <c r="F1685">
        <f>IF(B1685="","",IFERROR(INDEX(Categories!$B$5:$B$44,MATCH(B1685,Categories!$A$5:$A$44,0)),"?"))</f>
        <v/>
      </c>
      <c r="G1685">
        <f>IF(A1685="","",MONTH(A1685))</f>
        <v/>
      </c>
    </row>
    <row r="1686">
      <c r="A1686" s="25" t="n"/>
      <c r="B1686" s="11" t="n"/>
      <c r="C1686" s="24" t="n"/>
      <c r="D1686" s="11" t="n"/>
      <c r="E1686" s="11" t="n"/>
      <c r="F1686">
        <f>IF(B1686="","",IFERROR(INDEX(Categories!$B$5:$B$44,MATCH(B1686,Categories!$A$5:$A$44,0)),"?"))</f>
        <v/>
      </c>
      <c r="G1686">
        <f>IF(A1686="","",MONTH(A1686))</f>
        <v/>
      </c>
    </row>
    <row r="1687">
      <c r="A1687" s="25" t="n"/>
      <c r="B1687" s="11" t="n"/>
      <c r="C1687" s="24" t="n"/>
      <c r="D1687" s="11" t="n"/>
      <c r="E1687" s="11" t="n"/>
      <c r="F1687">
        <f>IF(B1687="","",IFERROR(INDEX(Categories!$B$5:$B$44,MATCH(B1687,Categories!$A$5:$A$44,0)),"?"))</f>
        <v/>
      </c>
      <c r="G1687">
        <f>IF(A1687="","",MONTH(A1687))</f>
        <v/>
      </c>
    </row>
    <row r="1688">
      <c r="A1688" s="25" t="n"/>
      <c r="B1688" s="11" t="n"/>
      <c r="C1688" s="24" t="n"/>
      <c r="D1688" s="11" t="n"/>
      <c r="E1688" s="11" t="n"/>
      <c r="F1688">
        <f>IF(B1688="","",IFERROR(INDEX(Categories!$B$5:$B$44,MATCH(B1688,Categories!$A$5:$A$44,0)),"?"))</f>
        <v/>
      </c>
      <c r="G1688">
        <f>IF(A1688="","",MONTH(A1688))</f>
        <v/>
      </c>
    </row>
    <row r="1689">
      <c r="A1689" s="25" t="n"/>
      <c r="B1689" s="11" t="n"/>
      <c r="C1689" s="24" t="n"/>
      <c r="D1689" s="11" t="n"/>
      <c r="E1689" s="11" t="n"/>
      <c r="F1689">
        <f>IF(B1689="","",IFERROR(INDEX(Categories!$B$5:$B$44,MATCH(B1689,Categories!$A$5:$A$44,0)),"?"))</f>
        <v/>
      </c>
      <c r="G1689">
        <f>IF(A1689="","",MONTH(A1689))</f>
        <v/>
      </c>
    </row>
    <row r="1690">
      <c r="A1690" s="25" t="n"/>
      <c r="B1690" s="11" t="n"/>
      <c r="C1690" s="24" t="n"/>
      <c r="D1690" s="11" t="n"/>
      <c r="E1690" s="11" t="n"/>
      <c r="F1690">
        <f>IF(B1690="","",IFERROR(INDEX(Categories!$B$5:$B$44,MATCH(B1690,Categories!$A$5:$A$44,0)),"?"))</f>
        <v/>
      </c>
      <c r="G1690">
        <f>IF(A1690="","",MONTH(A1690))</f>
        <v/>
      </c>
    </row>
    <row r="1691">
      <c r="A1691" s="25" t="n"/>
      <c r="B1691" s="11" t="n"/>
      <c r="C1691" s="24" t="n"/>
      <c r="D1691" s="11" t="n"/>
      <c r="E1691" s="11" t="n"/>
      <c r="F1691">
        <f>IF(B1691="","",IFERROR(INDEX(Categories!$B$5:$B$44,MATCH(B1691,Categories!$A$5:$A$44,0)),"?"))</f>
        <v/>
      </c>
      <c r="G1691">
        <f>IF(A1691="","",MONTH(A1691))</f>
        <v/>
      </c>
    </row>
    <row r="1692">
      <c r="A1692" s="25" t="n"/>
      <c r="B1692" s="11" t="n"/>
      <c r="C1692" s="24" t="n"/>
      <c r="D1692" s="11" t="n"/>
      <c r="E1692" s="11" t="n"/>
      <c r="F1692">
        <f>IF(B1692="","",IFERROR(INDEX(Categories!$B$5:$B$44,MATCH(B1692,Categories!$A$5:$A$44,0)),"?"))</f>
        <v/>
      </c>
      <c r="G1692">
        <f>IF(A1692="","",MONTH(A1692))</f>
        <v/>
      </c>
    </row>
    <row r="1693">
      <c r="A1693" s="25" t="n"/>
      <c r="B1693" s="11" t="n"/>
      <c r="C1693" s="24" t="n"/>
      <c r="D1693" s="11" t="n"/>
      <c r="E1693" s="11" t="n"/>
      <c r="F1693">
        <f>IF(B1693="","",IFERROR(INDEX(Categories!$B$5:$B$44,MATCH(B1693,Categories!$A$5:$A$44,0)),"?"))</f>
        <v/>
      </c>
      <c r="G1693">
        <f>IF(A1693="","",MONTH(A1693))</f>
        <v/>
      </c>
    </row>
    <row r="1694">
      <c r="A1694" s="25" t="n"/>
      <c r="B1694" s="11" t="n"/>
      <c r="C1694" s="24" t="n"/>
      <c r="D1694" s="11" t="n"/>
      <c r="E1694" s="11" t="n"/>
      <c r="F1694">
        <f>IF(B1694="","",IFERROR(INDEX(Categories!$B$5:$B$44,MATCH(B1694,Categories!$A$5:$A$44,0)),"?"))</f>
        <v/>
      </c>
      <c r="G1694">
        <f>IF(A1694="","",MONTH(A1694))</f>
        <v/>
      </c>
    </row>
    <row r="1695">
      <c r="A1695" s="25" t="n"/>
      <c r="B1695" s="11" t="n"/>
      <c r="C1695" s="24" t="n"/>
      <c r="D1695" s="11" t="n"/>
      <c r="E1695" s="11" t="n"/>
      <c r="F1695">
        <f>IF(B1695="","",IFERROR(INDEX(Categories!$B$5:$B$44,MATCH(B1695,Categories!$A$5:$A$44,0)),"?"))</f>
        <v/>
      </c>
      <c r="G1695">
        <f>IF(A1695="","",MONTH(A1695))</f>
        <v/>
      </c>
    </row>
    <row r="1696">
      <c r="A1696" s="25" t="n"/>
      <c r="B1696" s="11" t="n"/>
      <c r="C1696" s="24" t="n"/>
      <c r="D1696" s="11" t="n"/>
      <c r="E1696" s="11" t="n"/>
      <c r="F1696">
        <f>IF(B1696="","",IFERROR(INDEX(Categories!$B$5:$B$44,MATCH(B1696,Categories!$A$5:$A$44,0)),"?"))</f>
        <v/>
      </c>
      <c r="G1696">
        <f>IF(A1696="","",MONTH(A1696))</f>
        <v/>
      </c>
    </row>
    <row r="1697">
      <c r="A1697" s="25" t="n"/>
      <c r="B1697" s="11" t="n"/>
      <c r="C1697" s="24" t="n"/>
      <c r="D1697" s="11" t="n"/>
      <c r="E1697" s="11" t="n"/>
      <c r="F1697">
        <f>IF(B1697="","",IFERROR(INDEX(Categories!$B$5:$B$44,MATCH(B1697,Categories!$A$5:$A$44,0)),"?"))</f>
        <v/>
      </c>
      <c r="G1697">
        <f>IF(A1697="","",MONTH(A1697))</f>
        <v/>
      </c>
    </row>
    <row r="1698">
      <c r="A1698" s="25" t="n"/>
      <c r="B1698" s="11" t="n"/>
      <c r="C1698" s="24" t="n"/>
      <c r="D1698" s="11" t="n"/>
      <c r="E1698" s="11" t="n"/>
      <c r="F1698">
        <f>IF(B1698="","",IFERROR(INDEX(Categories!$B$5:$B$44,MATCH(B1698,Categories!$A$5:$A$44,0)),"?"))</f>
        <v/>
      </c>
      <c r="G1698">
        <f>IF(A1698="","",MONTH(A1698))</f>
        <v/>
      </c>
    </row>
    <row r="1699">
      <c r="A1699" s="25" t="n"/>
      <c r="B1699" s="11" t="n"/>
      <c r="C1699" s="24" t="n"/>
      <c r="D1699" s="11" t="n"/>
      <c r="E1699" s="11" t="n"/>
      <c r="F1699">
        <f>IF(B1699="","",IFERROR(INDEX(Categories!$B$5:$B$44,MATCH(B1699,Categories!$A$5:$A$44,0)),"?"))</f>
        <v/>
      </c>
      <c r="G1699">
        <f>IF(A1699="","",MONTH(A1699))</f>
        <v/>
      </c>
    </row>
    <row r="1700">
      <c r="A1700" s="25" t="n"/>
      <c r="B1700" s="11" t="n"/>
      <c r="C1700" s="24" t="n"/>
      <c r="D1700" s="11" t="n"/>
      <c r="E1700" s="11" t="n"/>
      <c r="F1700">
        <f>IF(B1700="","",IFERROR(INDEX(Categories!$B$5:$B$44,MATCH(B1700,Categories!$A$5:$A$44,0)),"?"))</f>
        <v/>
      </c>
      <c r="G1700">
        <f>IF(A1700="","",MONTH(A1700))</f>
        <v/>
      </c>
    </row>
    <row r="1701">
      <c r="A1701" s="25" t="n"/>
      <c r="B1701" s="11" t="n"/>
      <c r="C1701" s="24" t="n"/>
      <c r="D1701" s="11" t="n"/>
      <c r="E1701" s="11" t="n"/>
      <c r="F1701">
        <f>IF(B1701="","",IFERROR(INDEX(Categories!$B$5:$B$44,MATCH(B1701,Categories!$A$5:$A$44,0)),"?"))</f>
        <v/>
      </c>
      <c r="G1701">
        <f>IF(A1701="","",MONTH(A1701))</f>
        <v/>
      </c>
    </row>
    <row r="1702">
      <c r="A1702" s="25" t="n"/>
      <c r="B1702" s="11" t="n"/>
      <c r="C1702" s="24" t="n"/>
      <c r="D1702" s="11" t="n"/>
      <c r="E1702" s="11" t="n"/>
      <c r="F1702">
        <f>IF(B1702="","",IFERROR(INDEX(Categories!$B$5:$B$44,MATCH(B1702,Categories!$A$5:$A$44,0)),"?"))</f>
        <v/>
      </c>
      <c r="G1702">
        <f>IF(A1702="","",MONTH(A1702))</f>
        <v/>
      </c>
    </row>
    <row r="1703">
      <c r="A1703" s="25" t="n"/>
      <c r="B1703" s="11" t="n"/>
      <c r="C1703" s="24" t="n"/>
      <c r="D1703" s="11" t="n"/>
      <c r="E1703" s="11" t="n"/>
      <c r="F1703">
        <f>IF(B1703="","",IFERROR(INDEX(Categories!$B$5:$B$44,MATCH(B1703,Categories!$A$5:$A$44,0)),"?"))</f>
        <v/>
      </c>
      <c r="G1703">
        <f>IF(A1703="","",MONTH(A1703))</f>
        <v/>
      </c>
    </row>
    <row r="1704">
      <c r="A1704" s="25" t="n"/>
      <c r="B1704" s="11" t="n"/>
      <c r="C1704" s="24" t="n"/>
      <c r="D1704" s="11" t="n"/>
      <c r="E1704" s="11" t="n"/>
      <c r="F1704">
        <f>IF(B1704="","",IFERROR(INDEX(Categories!$B$5:$B$44,MATCH(B1704,Categories!$A$5:$A$44,0)),"?"))</f>
        <v/>
      </c>
      <c r="G1704">
        <f>IF(A1704="","",MONTH(A1704))</f>
        <v/>
      </c>
    </row>
    <row r="1705">
      <c r="A1705" s="25" t="n"/>
      <c r="B1705" s="11" t="n"/>
      <c r="C1705" s="24" t="n"/>
      <c r="D1705" s="11" t="n"/>
      <c r="E1705" s="11" t="n"/>
      <c r="F1705">
        <f>IF(B1705="","",IFERROR(INDEX(Categories!$B$5:$B$44,MATCH(B1705,Categories!$A$5:$A$44,0)),"?"))</f>
        <v/>
      </c>
      <c r="G1705">
        <f>IF(A1705="","",MONTH(A1705))</f>
        <v/>
      </c>
    </row>
    <row r="1706">
      <c r="A1706" s="25" t="n"/>
      <c r="B1706" s="11" t="n"/>
      <c r="C1706" s="24" t="n"/>
      <c r="D1706" s="11" t="n"/>
      <c r="E1706" s="11" t="n"/>
      <c r="F1706">
        <f>IF(B1706="","",IFERROR(INDEX(Categories!$B$5:$B$44,MATCH(B1706,Categories!$A$5:$A$44,0)),"?"))</f>
        <v/>
      </c>
      <c r="G1706">
        <f>IF(A1706="","",MONTH(A1706))</f>
        <v/>
      </c>
    </row>
    <row r="1707">
      <c r="A1707" s="25" t="n"/>
      <c r="B1707" s="11" t="n"/>
      <c r="C1707" s="24" t="n"/>
      <c r="D1707" s="11" t="n"/>
      <c r="E1707" s="11" t="n"/>
      <c r="F1707">
        <f>IF(B1707="","",IFERROR(INDEX(Categories!$B$5:$B$44,MATCH(B1707,Categories!$A$5:$A$44,0)),"?"))</f>
        <v/>
      </c>
      <c r="G1707">
        <f>IF(A1707="","",MONTH(A1707))</f>
        <v/>
      </c>
    </row>
    <row r="1708">
      <c r="A1708" s="25" t="n"/>
      <c r="B1708" s="11" t="n"/>
      <c r="C1708" s="24" t="n"/>
      <c r="D1708" s="11" t="n"/>
      <c r="E1708" s="11" t="n"/>
      <c r="F1708">
        <f>IF(B1708="","",IFERROR(INDEX(Categories!$B$5:$B$44,MATCH(B1708,Categories!$A$5:$A$44,0)),"?"))</f>
        <v/>
      </c>
      <c r="G1708">
        <f>IF(A1708="","",MONTH(A1708))</f>
        <v/>
      </c>
    </row>
    <row r="1709">
      <c r="A1709" s="25" t="n"/>
      <c r="B1709" s="11" t="n"/>
      <c r="C1709" s="24" t="n"/>
      <c r="D1709" s="11" t="n"/>
      <c r="E1709" s="11" t="n"/>
      <c r="F1709">
        <f>IF(B1709="","",IFERROR(INDEX(Categories!$B$5:$B$44,MATCH(B1709,Categories!$A$5:$A$44,0)),"?"))</f>
        <v/>
      </c>
      <c r="G1709">
        <f>IF(A1709="","",MONTH(A1709))</f>
        <v/>
      </c>
    </row>
    <row r="1710">
      <c r="A1710" s="25" t="n"/>
      <c r="B1710" s="11" t="n"/>
      <c r="C1710" s="24" t="n"/>
      <c r="D1710" s="11" t="n"/>
      <c r="E1710" s="11" t="n"/>
      <c r="F1710">
        <f>IF(B1710="","",IFERROR(INDEX(Categories!$B$5:$B$44,MATCH(B1710,Categories!$A$5:$A$44,0)),"?"))</f>
        <v/>
      </c>
      <c r="G1710">
        <f>IF(A1710="","",MONTH(A1710))</f>
        <v/>
      </c>
    </row>
    <row r="1711">
      <c r="A1711" s="25" t="n"/>
      <c r="B1711" s="11" t="n"/>
      <c r="C1711" s="24" t="n"/>
      <c r="D1711" s="11" t="n"/>
      <c r="E1711" s="11" t="n"/>
      <c r="F1711">
        <f>IF(B1711="","",IFERROR(INDEX(Categories!$B$5:$B$44,MATCH(B1711,Categories!$A$5:$A$44,0)),"?"))</f>
        <v/>
      </c>
      <c r="G1711">
        <f>IF(A1711="","",MONTH(A1711))</f>
        <v/>
      </c>
    </row>
    <row r="1712">
      <c r="A1712" s="25" t="n"/>
      <c r="B1712" s="11" t="n"/>
      <c r="C1712" s="24" t="n"/>
      <c r="D1712" s="11" t="n"/>
      <c r="E1712" s="11" t="n"/>
      <c r="F1712">
        <f>IF(B1712="","",IFERROR(INDEX(Categories!$B$5:$B$44,MATCH(B1712,Categories!$A$5:$A$44,0)),"?"))</f>
        <v/>
      </c>
      <c r="G1712">
        <f>IF(A1712="","",MONTH(A1712))</f>
        <v/>
      </c>
    </row>
    <row r="1713">
      <c r="A1713" s="25" t="n"/>
      <c r="B1713" s="11" t="n"/>
      <c r="C1713" s="24" t="n"/>
      <c r="D1713" s="11" t="n"/>
      <c r="E1713" s="11" t="n"/>
      <c r="F1713">
        <f>IF(B1713="","",IFERROR(INDEX(Categories!$B$5:$B$44,MATCH(B1713,Categories!$A$5:$A$44,0)),"?"))</f>
        <v/>
      </c>
      <c r="G1713">
        <f>IF(A1713="","",MONTH(A1713))</f>
        <v/>
      </c>
    </row>
    <row r="1714">
      <c r="A1714" s="25" t="n"/>
      <c r="B1714" s="11" t="n"/>
      <c r="C1714" s="24" t="n"/>
      <c r="D1714" s="11" t="n"/>
      <c r="E1714" s="11" t="n"/>
      <c r="F1714">
        <f>IF(B1714="","",IFERROR(INDEX(Categories!$B$5:$B$44,MATCH(B1714,Categories!$A$5:$A$44,0)),"?"))</f>
        <v/>
      </c>
      <c r="G1714">
        <f>IF(A1714="","",MONTH(A1714))</f>
        <v/>
      </c>
    </row>
    <row r="1715">
      <c r="A1715" s="25" t="n"/>
      <c r="B1715" s="11" t="n"/>
      <c r="C1715" s="24" t="n"/>
      <c r="D1715" s="11" t="n"/>
      <c r="E1715" s="11" t="n"/>
      <c r="F1715">
        <f>IF(B1715="","",IFERROR(INDEX(Categories!$B$5:$B$44,MATCH(B1715,Categories!$A$5:$A$44,0)),"?"))</f>
        <v/>
      </c>
      <c r="G1715">
        <f>IF(A1715="","",MONTH(A1715))</f>
        <v/>
      </c>
    </row>
    <row r="1716">
      <c r="A1716" s="25" t="n"/>
      <c r="B1716" s="11" t="n"/>
      <c r="C1716" s="24" t="n"/>
      <c r="D1716" s="11" t="n"/>
      <c r="E1716" s="11" t="n"/>
      <c r="F1716">
        <f>IF(B1716="","",IFERROR(INDEX(Categories!$B$5:$B$44,MATCH(B1716,Categories!$A$5:$A$44,0)),"?"))</f>
        <v/>
      </c>
      <c r="G1716">
        <f>IF(A1716="","",MONTH(A1716))</f>
        <v/>
      </c>
    </row>
    <row r="1717">
      <c r="A1717" s="25" t="n"/>
      <c r="B1717" s="11" t="n"/>
      <c r="C1717" s="24" t="n"/>
      <c r="D1717" s="11" t="n"/>
      <c r="E1717" s="11" t="n"/>
      <c r="F1717">
        <f>IF(B1717="","",IFERROR(INDEX(Categories!$B$5:$B$44,MATCH(B1717,Categories!$A$5:$A$44,0)),"?"))</f>
        <v/>
      </c>
      <c r="G1717">
        <f>IF(A1717="","",MONTH(A1717))</f>
        <v/>
      </c>
    </row>
    <row r="1718">
      <c r="A1718" s="25" t="n"/>
      <c r="B1718" s="11" t="n"/>
      <c r="C1718" s="24" t="n"/>
      <c r="D1718" s="11" t="n"/>
      <c r="E1718" s="11" t="n"/>
      <c r="F1718">
        <f>IF(B1718="","",IFERROR(INDEX(Categories!$B$5:$B$44,MATCH(B1718,Categories!$A$5:$A$44,0)),"?"))</f>
        <v/>
      </c>
      <c r="G1718">
        <f>IF(A1718="","",MONTH(A1718))</f>
        <v/>
      </c>
    </row>
    <row r="1719">
      <c r="A1719" s="25" t="n"/>
      <c r="B1719" s="11" t="n"/>
      <c r="C1719" s="24" t="n"/>
      <c r="D1719" s="11" t="n"/>
      <c r="E1719" s="11" t="n"/>
      <c r="F1719">
        <f>IF(B1719="","",IFERROR(INDEX(Categories!$B$5:$B$44,MATCH(B1719,Categories!$A$5:$A$44,0)),"?"))</f>
        <v/>
      </c>
      <c r="G1719">
        <f>IF(A1719="","",MONTH(A1719))</f>
        <v/>
      </c>
    </row>
    <row r="1720">
      <c r="A1720" s="25" t="n"/>
      <c r="B1720" s="11" t="n"/>
      <c r="C1720" s="24" t="n"/>
      <c r="D1720" s="11" t="n"/>
      <c r="E1720" s="11" t="n"/>
      <c r="F1720">
        <f>IF(B1720="","",IFERROR(INDEX(Categories!$B$5:$B$44,MATCH(B1720,Categories!$A$5:$A$44,0)),"?"))</f>
        <v/>
      </c>
      <c r="G1720">
        <f>IF(A1720="","",MONTH(A1720))</f>
        <v/>
      </c>
    </row>
    <row r="1721">
      <c r="A1721" s="25" t="n"/>
      <c r="B1721" s="11" t="n"/>
      <c r="C1721" s="24" t="n"/>
      <c r="D1721" s="11" t="n"/>
      <c r="E1721" s="11" t="n"/>
      <c r="F1721">
        <f>IF(B1721="","",IFERROR(INDEX(Categories!$B$5:$B$44,MATCH(B1721,Categories!$A$5:$A$44,0)),"?"))</f>
        <v/>
      </c>
      <c r="G1721">
        <f>IF(A1721="","",MONTH(A1721))</f>
        <v/>
      </c>
    </row>
    <row r="1722">
      <c r="A1722" s="25" t="n"/>
      <c r="B1722" s="11" t="n"/>
      <c r="C1722" s="24" t="n"/>
      <c r="D1722" s="11" t="n"/>
      <c r="E1722" s="11" t="n"/>
      <c r="F1722">
        <f>IF(B1722="","",IFERROR(INDEX(Categories!$B$5:$B$44,MATCH(B1722,Categories!$A$5:$A$44,0)),"?"))</f>
        <v/>
      </c>
      <c r="G1722">
        <f>IF(A1722="","",MONTH(A1722))</f>
        <v/>
      </c>
    </row>
    <row r="1723">
      <c r="A1723" s="25" t="n"/>
      <c r="B1723" s="11" t="n"/>
      <c r="C1723" s="24" t="n"/>
      <c r="D1723" s="11" t="n"/>
      <c r="E1723" s="11" t="n"/>
      <c r="F1723">
        <f>IF(B1723="","",IFERROR(INDEX(Categories!$B$5:$B$44,MATCH(B1723,Categories!$A$5:$A$44,0)),"?"))</f>
        <v/>
      </c>
      <c r="G1723">
        <f>IF(A1723="","",MONTH(A1723))</f>
        <v/>
      </c>
    </row>
    <row r="1724">
      <c r="A1724" s="25" t="n"/>
      <c r="B1724" s="11" t="n"/>
      <c r="C1724" s="24" t="n"/>
      <c r="D1724" s="11" t="n"/>
      <c r="E1724" s="11" t="n"/>
      <c r="F1724">
        <f>IF(B1724="","",IFERROR(INDEX(Categories!$B$5:$B$44,MATCH(B1724,Categories!$A$5:$A$44,0)),"?"))</f>
        <v/>
      </c>
      <c r="G1724">
        <f>IF(A1724="","",MONTH(A1724))</f>
        <v/>
      </c>
    </row>
    <row r="1725">
      <c r="A1725" s="25" t="n"/>
      <c r="B1725" s="11" t="n"/>
      <c r="C1725" s="24" t="n"/>
      <c r="D1725" s="11" t="n"/>
      <c r="E1725" s="11" t="n"/>
      <c r="F1725">
        <f>IF(B1725="","",IFERROR(INDEX(Categories!$B$5:$B$44,MATCH(B1725,Categories!$A$5:$A$44,0)),"?"))</f>
        <v/>
      </c>
      <c r="G1725">
        <f>IF(A1725="","",MONTH(A1725))</f>
        <v/>
      </c>
    </row>
    <row r="1726">
      <c r="A1726" s="25" t="n"/>
      <c r="B1726" s="11" t="n"/>
      <c r="C1726" s="24" t="n"/>
      <c r="D1726" s="11" t="n"/>
      <c r="E1726" s="11" t="n"/>
      <c r="F1726">
        <f>IF(B1726="","",IFERROR(INDEX(Categories!$B$5:$B$44,MATCH(B1726,Categories!$A$5:$A$44,0)),"?"))</f>
        <v/>
      </c>
      <c r="G1726">
        <f>IF(A1726="","",MONTH(A1726))</f>
        <v/>
      </c>
    </row>
    <row r="1727">
      <c r="A1727" s="25" t="n"/>
      <c r="B1727" s="11" t="n"/>
      <c r="C1727" s="24" t="n"/>
      <c r="D1727" s="11" t="n"/>
      <c r="E1727" s="11" t="n"/>
      <c r="F1727">
        <f>IF(B1727="","",IFERROR(INDEX(Categories!$B$5:$B$44,MATCH(B1727,Categories!$A$5:$A$44,0)),"?"))</f>
        <v/>
      </c>
      <c r="G1727">
        <f>IF(A1727="","",MONTH(A1727))</f>
        <v/>
      </c>
    </row>
    <row r="1728">
      <c r="A1728" s="25" t="n"/>
      <c r="B1728" s="11" t="n"/>
      <c r="C1728" s="24" t="n"/>
      <c r="D1728" s="11" t="n"/>
      <c r="E1728" s="11" t="n"/>
      <c r="F1728">
        <f>IF(B1728="","",IFERROR(INDEX(Categories!$B$5:$B$44,MATCH(B1728,Categories!$A$5:$A$44,0)),"?"))</f>
        <v/>
      </c>
      <c r="G1728">
        <f>IF(A1728="","",MONTH(A1728))</f>
        <v/>
      </c>
    </row>
    <row r="1729">
      <c r="A1729" s="25" t="n"/>
      <c r="B1729" s="11" t="n"/>
      <c r="C1729" s="24" t="n"/>
      <c r="D1729" s="11" t="n"/>
      <c r="E1729" s="11" t="n"/>
      <c r="F1729">
        <f>IF(B1729="","",IFERROR(INDEX(Categories!$B$5:$B$44,MATCH(B1729,Categories!$A$5:$A$44,0)),"?"))</f>
        <v/>
      </c>
      <c r="G1729">
        <f>IF(A1729="","",MONTH(A1729))</f>
        <v/>
      </c>
    </row>
    <row r="1730">
      <c r="A1730" s="25" t="n"/>
      <c r="B1730" s="11" t="n"/>
      <c r="C1730" s="24" t="n"/>
      <c r="D1730" s="11" t="n"/>
      <c r="E1730" s="11" t="n"/>
      <c r="F1730">
        <f>IF(B1730="","",IFERROR(INDEX(Categories!$B$5:$B$44,MATCH(B1730,Categories!$A$5:$A$44,0)),"?"))</f>
        <v/>
      </c>
      <c r="G1730">
        <f>IF(A1730="","",MONTH(A1730))</f>
        <v/>
      </c>
    </row>
    <row r="1731">
      <c r="A1731" s="25" t="n"/>
      <c r="B1731" s="11" t="n"/>
      <c r="C1731" s="24" t="n"/>
      <c r="D1731" s="11" t="n"/>
      <c r="E1731" s="11" t="n"/>
      <c r="F1731">
        <f>IF(B1731="","",IFERROR(INDEX(Categories!$B$5:$B$44,MATCH(B1731,Categories!$A$5:$A$44,0)),"?"))</f>
        <v/>
      </c>
      <c r="G1731">
        <f>IF(A1731="","",MONTH(A1731))</f>
        <v/>
      </c>
    </row>
    <row r="1732">
      <c r="A1732" s="25" t="n"/>
      <c r="B1732" s="11" t="n"/>
      <c r="C1732" s="24" t="n"/>
      <c r="D1732" s="11" t="n"/>
      <c r="E1732" s="11" t="n"/>
      <c r="F1732">
        <f>IF(B1732="","",IFERROR(INDEX(Categories!$B$5:$B$44,MATCH(B1732,Categories!$A$5:$A$44,0)),"?"))</f>
        <v/>
      </c>
      <c r="G1732">
        <f>IF(A1732="","",MONTH(A1732))</f>
        <v/>
      </c>
    </row>
    <row r="1733">
      <c r="A1733" s="25" t="n"/>
      <c r="B1733" s="11" t="n"/>
      <c r="C1733" s="24" t="n"/>
      <c r="D1733" s="11" t="n"/>
      <c r="E1733" s="11" t="n"/>
      <c r="F1733">
        <f>IF(B1733="","",IFERROR(INDEX(Categories!$B$5:$B$44,MATCH(B1733,Categories!$A$5:$A$44,0)),"?"))</f>
        <v/>
      </c>
      <c r="G1733">
        <f>IF(A1733="","",MONTH(A1733))</f>
        <v/>
      </c>
    </row>
    <row r="1734">
      <c r="A1734" s="25" t="n"/>
      <c r="B1734" s="11" t="n"/>
      <c r="C1734" s="24" t="n"/>
      <c r="D1734" s="11" t="n"/>
      <c r="E1734" s="11" t="n"/>
      <c r="F1734">
        <f>IF(B1734="","",IFERROR(INDEX(Categories!$B$5:$B$44,MATCH(B1734,Categories!$A$5:$A$44,0)),"?"))</f>
        <v/>
      </c>
      <c r="G1734">
        <f>IF(A1734="","",MONTH(A1734))</f>
        <v/>
      </c>
    </row>
    <row r="1735">
      <c r="A1735" s="25" t="n"/>
      <c r="B1735" s="11" t="n"/>
      <c r="C1735" s="24" t="n"/>
      <c r="D1735" s="11" t="n"/>
      <c r="E1735" s="11" t="n"/>
      <c r="F1735">
        <f>IF(B1735="","",IFERROR(INDEX(Categories!$B$5:$B$44,MATCH(B1735,Categories!$A$5:$A$44,0)),"?"))</f>
        <v/>
      </c>
      <c r="G1735">
        <f>IF(A1735="","",MONTH(A1735))</f>
        <v/>
      </c>
    </row>
    <row r="1736">
      <c r="A1736" s="25" t="n"/>
      <c r="B1736" s="11" t="n"/>
      <c r="C1736" s="24" t="n"/>
      <c r="D1736" s="11" t="n"/>
      <c r="E1736" s="11" t="n"/>
      <c r="F1736">
        <f>IF(B1736="","",IFERROR(INDEX(Categories!$B$5:$B$44,MATCH(B1736,Categories!$A$5:$A$44,0)),"?"))</f>
        <v/>
      </c>
      <c r="G1736">
        <f>IF(A1736="","",MONTH(A1736))</f>
        <v/>
      </c>
    </row>
    <row r="1737">
      <c r="A1737" s="25" t="n"/>
      <c r="B1737" s="11" t="n"/>
      <c r="C1737" s="24" t="n"/>
      <c r="D1737" s="11" t="n"/>
      <c r="E1737" s="11" t="n"/>
      <c r="F1737">
        <f>IF(B1737="","",IFERROR(INDEX(Categories!$B$5:$B$44,MATCH(B1737,Categories!$A$5:$A$44,0)),"?"))</f>
        <v/>
      </c>
      <c r="G1737">
        <f>IF(A1737="","",MONTH(A1737))</f>
        <v/>
      </c>
    </row>
    <row r="1738">
      <c r="A1738" s="25" t="n"/>
      <c r="B1738" s="11" t="n"/>
      <c r="C1738" s="24" t="n"/>
      <c r="D1738" s="11" t="n"/>
      <c r="E1738" s="11" t="n"/>
      <c r="F1738">
        <f>IF(B1738="","",IFERROR(INDEX(Categories!$B$5:$B$44,MATCH(B1738,Categories!$A$5:$A$44,0)),"?"))</f>
        <v/>
      </c>
      <c r="G1738">
        <f>IF(A1738="","",MONTH(A1738))</f>
        <v/>
      </c>
    </row>
    <row r="1739">
      <c r="A1739" s="25" t="n"/>
      <c r="B1739" s="11" t="n"/>
      <c r="C1739" s="24" t="n"/>
      <c r="D1739" s="11" t="n"/>
      <c r="E1739" s="11" t="n"/>
      <c r="F1739">
        <f>IF(B1739="","",IFERROR(INDEX(Categories!$B$5:$B$44,MATCH(B1739,Categories!$A$5:$A$44,0)),"?"))</f>
        <v/>
      </c>
      <c r="G1739">
        <f>IF(A1739="","",MONTH(A1739))</f>
        <v/>
      </c>
    </row>
    <row r="1740">
      <c r="A1740" s="25" t="n"/>
      <c r="B1740" s="11" t="n"/>
      <c r="C1740" s="24" t="n"/>
      <c r="D1740" s="11" t="n"/>
      <c r="E1740" s="11" t="n"/>
      <c r="F1740">
        <f>IF(B1740="","",IFERROR(INDEX(Categories!$B$5:$B$44,MATCH(B1740,Categories!$A$5:$A$44,0)),"?"))</f>
        <v/>
      </c>
      <c r="G1740">
        <f>IF(A1740="","",MONTH(A1740))</f>
        <v/>
      </c>
    </row>
    <row r="1741">
      <c r="A1741" s="25" t="n"/>
      <c r="B1741" s="11" t="n"/>
      <c r="C1741" s="24" t="n"/>
      <c r="D1741" s="11" t="n"/>
      <c r="E1741" s="11" t="n"/>
      <c r="F1741">
        <f>IF(B1741="","",IFERROR(INDEX(Categories!$B$5:$B$44,MATCH(B1741,Categories!$A$5:$A$44,0)),"?"))</f>
        <v/>
      </c>
      <c r="G1741">
        <f>IF(A1741="","",MONTH(A1741))</f>
        <v/>
      </c>
    </row>
    <row r="1742">
      <c r="A1742" s="25" t="n"/>
      <c r="B1742" s="11" t="n"/>
      <c r="C1742" s="24" t="n"/>
      <c r="D1742" s="11" t="n"/>
      <c r="E1742" s="11" t="n"/>
      <c r="F1742">
        <f>IF(B1742="","",IFERROR(INDEX(Categories!$B$5:$B$44,MATCH(B1742,Categories!$A$5:$A$44,0)),"?"))</f>
        <v/>
      </c>
      <c r="G1742">
        <f>IF(A1742="","",MONTH(A1742))</f>
        <v/>
      </c>
    </row>
    <row r="1743">
      <c r="A1743" s="25" t="n"/>
      <c r="B1743" s="11" t="n"/>
      <c r="C1743" s="24" t="n"/>
      <c r="D1743" s="11" t="n"/>
      <c r="E1743" s="11" t="n"/>
      <c r="F1743">
        <f>IF(B1743="","",IFERROR(INDEX(Categories!$B$5:$B$44,MATCH(B1743,Categories!$A$5:$A$44,0)),"?"))</f>
        <v/>
      </c>
      <c r="G1743">
        <f>IF(A1743="","",MONTH(A1743))</f>
        <v/>
      </c>
    </row>
    <row r="1744">
      <c r="A1744" s="25" t="n"/>
      <c r="B1744" s="11" t="n"/>
      <c r="C1744" s="24" t="n"/>
      <c r="D1744" s="11" t="n"/>
      <c r="E1744" s="11" t="n"/>
      <c r="F1744">
        <f>IF(B1744="","",IFERROR(INDEX(Categories!$B$5:$B$44,MATCH(B1744,Categories!$A$5:$A$44,0)),"?"))</f>
        <v/>
      </c>
      <c r="G1744">
        <f>IF(A1744="","",MONTH(A1744))</f>
        <v/>
      </c>
    </row>
    <row r="1745">
      <c r="A1745" s="25" t="n"/>
      <c r="B1745" s="11" t="n"/>
      <c r="C1745" s="24" t="n"/>
      <c r="D1745" s="11" t="n"/>
      <c r="E1745" s="11" t="n"/>
      <c r="F1745">
        <f>IF(B1745="","",IFERROR(INDEX(Categories!$B$5:$B$44,MATCH(B1745,Categories!$A$5:$A$44,0)),"?"))</f>
        <v/>
      </c>
      <c r="G1745">
        <f>IF(A1745="","",MONTH(A1745))</f>
        <v/>
      </c>
    </row>
    <row r="1746">
      <c r="A1746" s="25" t="n"/>
      <c r="B1746" s="11" t="n"/>
      <c r="C1746" s="24" t="n"/>
      <c r="D1746" s="11" t="n"/>
      <c r="E1746" s="11" t="n"/>
      <c r="F1746">
        <f>IF(B1746="","",IFERROR(INDEX(Categories!$B$5:$B$44,MATCH(B1746,Categories!$A$5:$A$44,0)),"?"))</f>
        <v/>
      </c>
      <c r="G1746">
        <f>IF(A1746="","",MONTH(A1746))</f>
        <v/>
      </c>
    </row>
    <row r="1747">
      <c r="A1747" s="25" t="n"/>
      <c r="B1747" s="11" t="n"/>
      <c r="C1747" s="24" t="n"/>
      <c r="D1747" s="11" t="n"/>
      <c r="E1747" s="11" t="n"/>
      <c r="F1747">
        <f>IF(B1747="","",IFERROR(INDEX(Categories!$B$5:$B$44,MATCH(B1747,Categories!$A$5:$A$44,0)),"?"))</f>
        <v/>
      </c>
      <c r="G1747">
        <f>IF(A1747="","",MONTH(A1747))</f>
        <v/>
      </c>
    </row>
    <row r="1748">
      <c r="A1748" s="25" t="n"/>
      <c r="B1748" s="11" t="n"/>
      <c r="C1748" s="24" t="n"/>
      <c r="D1748" s="11" t="n"/>
      <c r="E1748" s="11" t="n"/>
      <c r="F1748">
        <f>IF(B1748="","",IFERROR(INDEX(Categories!$B$5:$B$44,MATCH(B1748,Categories!$A$5:$A$44,0)),"?"))</f>
        <v/>
      </c>
      <c r="G1748">
        <f>IF(A1748="","",MONTH(A1748))</f>
        <v/>
      </c>
    </row>
    <row r="1749">
      <c r="A1749" s="25" t="n"/>
      <c r="B1749" s="11" t="n"/>
      <c r="C1749" s="24" t="n"/>
      <c r="D1749" s="11" t="n"/>
      <c r="E1749" s="11" t="n"/>
      <c r="F1749">
        <f>IF(B1749="","",IFERROR(INDEX(Categories!$B$5:$B$44,MATCH(B1749,Categories!$A$5:$A$44,0)),"?"))</f>
        <v/>
      </c>
      <c r="G1749">
        <f>IF(A1749="","",MONTH(A1749))</f>
        <v/>
      </c>
    </row>
    <row r="1750">
      <c r="A1750" s="25" t="n"/>
      <c r="B1750" s="11" t="n"/>
      <c r="C1750" s="24" t="n"/>
      <c r="D1750" s="11" t="n"/>
      <c r="E1750" s="11" t="n"/>
      <c r="F1750">
        <f>IF(B1750="","",IFERROR(INDEX(Categories!$B$5:$B$44,MATCH(B1750,Categories!$A$5:$A$44,0)),"?"))</f>
        <v/>
      </c>
      <c r="G1750">
        <f>IF(A1750="","",MONTH(A1750))</f>
        <v/>
      </c>
    </row>
    <row r="1751">
      <c r="A1751" s="25" t="n"/>
      <c r="B1751" s="11" t="n"/>
      <c r="C1751" s="24" t="n"/>
      <c r="D1751" s="11" t="n"/>
      <c r="E1751" s="11" t="n"/>
      <c r="F1751">
        <f>IF(B1751="","",IFERROR(INDEX(Categories!$B$5:$B$44,MATCH(B1751,Categories!$A$5:$A$44,0)),"?"))</f>
        <v/>
      </c>
      <c r="G1751">
        <f>IF(A1751="","",MONTH(A1751))</f>
        <v/>
      </c>
    </row>
    <row r="1752">
      <c r="A1752" s="25" t="n"/>
      <c r="B1752" s="11" t="n"/>
      <c r="C1752" s="24" t="n"/>
      <c r="D1752" s="11" t="n"/>
      <c r="E1752" s="11" t="n"/>
      <c r="F1752">
        <f>IF(B1752="","",IFERROR(INDEX(Categories!$B$5:$B$44,MATCH(B1752,Categories!$A$5:$A$44,0)),"?"))</f>
        <v/>
      </c>
      <c r="G1752">
        <f>IF(A1752="","",MONTH(A1752))</f>
        <v/>
      </c>
    </row>
    <row r="1753">
      <c r="A1753" s="25" t="n"/>
      <c r="B1753" s="11" t="n"/>
      <c r="C1753" s="24" t="n"/>
      <c r="D1753" s="11" t="n"/>
      <c r="E1753" s="11" t="n"/>
      <c r="F1753">
        <f>IF(B1753="","",IFERROR(INDEX(Categories!$B$5:$B$44,MATCH(B1753,Categories!$A$5:$A$44,0)),"?"))</f>
        <v/>
      </c>
      <c r="G1753">
        <f>IF(A1753="","",MONTH(A1753))</f>
        <v/>
      </c>
    </row>
    <row r="1754">
      <c r="A1754" s="25" t="n"/>
      <c r="B1754" s="11" t="n"/>
      <c r="C1754" s="24" t="n"/>
      <c r="D1754" s="11" t="n"/>
      <c r="E1754" s="11" t="n"/>
      <c r="F1754">
        <f>IF(B1754="","",IFERROR(INDEX(Categories!$B$5:$B$44,MATCH(B1754,Categories!$A$5:$A$44,0)),"?"))</f>
        <v/>
      </c>
      <c r="G1754">
        <f>IF(A1754="","",MONTH(A1754))</f>
        <v/>
      </c>
    </row>
    <row r="1755">
      <c r="A1755" s="25" t="n"/>
      <c r="B1755" s="11" t="n"/>
      <c r="C1755" s="24" t="n"/>
      <c r="D1755" s="11" t="n"/>
      <c r="E1755" s="11" t="n"/>
      <c r="F1755">
        <f>IF(B1755="","",IFERROR(INDEX(Categories!$B$5:$B$44,MATCH(B1755,Categories!$A$5:$A$44,0)),"?"))</f>
        <v/>
      </c>
      <c r="G1755">
        <f>IF(A1755="","",MONTH(A1755))</f>
        <v/>
      </c>
    </row>
    <row r="1756">
      <c r="A1756" s="25" t="n"/>
      <c r="B1756" s="11" t="n"/>
      <c r="C1756" s="24" t="n"/>
      <c r="D1756" s="11" t="n"/>
      <c r="E1756" s="11" t="n"/>
      <c r="F1756">
        <f>IF(B1756="","",IFERROR(INDEX(Categories!$B$5:$B$44,MATCH(B1756,Categories!$A$5:$A$44,0)),"?"))</f>
        <v/>
      </c>
      <c r="G1756">
        <f>IF(A1756="","",MONTH(A1756))</f>
        <v/>
      </c>
    </row>
    <row r="1757">
      <c r="A1757" s="25" t="n"/>
      <c r="B1757" s="11" t="n"/>
      <c r="C1757" s="24" t="n"/>
      <c r="D1757" s="11" t="n"/>
      <c r="E1757" s="11" t="n"/>
      <c r="F1757">
        <f>IF(B1757="","",IFERROR(INDEX(Categories!$B$5:$B$44,MATCH(B1757,Categories!$A$5:$A$44,0)),"?"))</f>
        <v/>
      </c>
      <c r="G1757">
        <f>IF(A1757="","",MONTH(A1757))</f>
        <v/>
      </c>
    </row>
    <row r="1758">
      <c r="A1758" s="25" t="n"/>
      <c r="B1758" s="11" t="n"/>
      <c r="C1758" s="24" t="n"/>
      <c r="D1758" s="11" t="n"/>
      <c r="E1758" s="11" t="n"/>
      <c r="F1758">
        <f>IF(B1758="","",IFERROR(INDEX(Categories!$B$5:$B$44,MATCH(B1758,Categories!$A$5:$A$44,0)),"?"))</f>
        <v/>
      </c>
      <c r="G1758">
        <f>IF(A1758="","",MONTH(A1758))</f>
        <v/>
      </c>
    </row>
    <row r="1759">
      <c r="A1759" s="25" t="n"/>
      <c r="B1759" s="11" t="n"/>
      <c r="C1759" s="24" t="n"/>
      <c r="D1759" s="11" t="n"/>
      <c r="E1759" s="11" t="n"/>
      <c r="F1759">
        <f>IF(B1759="","",IFERROR(INDEX(Categories!$B$5:$B$44,MATCH(B1759,Categories!$A$5:$A$44,0)),"?"))</f>
        <v/>
      </c>
      <c r="G1759">
        <f>IF(A1759="","",MONTH(A1759))</f>
        <v/>
      </c>
    </row>
    <row r="1760">
      <c r="A1760" s="25" t="n"/>
      <c r="B1760" s="11" t="n"/>
      <c r="C1760" s="24" t="n"/>
      <c r="D1760" s="11" t="n"/>
      <c r="E1760" s="11" t="n"/>
      <c r="F1760">
        <f>IF(B1760="","",IFERROR(INDEX(Categories!$B$5:$B$44,MATCH(B1760,Categories!$A$5:$A$44,0)),"?"))</f>
        <v/>
      </c>
      <c r="G1760">
        <f>IF(A1760="","",MONTH(A1760))</f>
        <v/>
      </c>
    </row>
    <row r="1761">
      <c r="A1761" s="25" t="n"/>
      <c r="B1761" s="11" t="n"/>
      <c r="C1761" s="24" t="n"/>
      <c r="D1761" s="11" t="n"/>
      <c r="E1761" s="11" t="n"/>
      <c r="F1761">
        <f>IF(B1761="","",IFERROR(INDEX(Categories!$B$5:$B$44,MATCH(B1761,Categories!$A$5:$A$44,0)),"?"))</f>
        <v/>
      </c>
      <c r="G1761">
        <f>IF(A1761="","",MONTH(A1761))</f>
        <v/>
      </c>
    </row>
    <row r="1762">
      <c r="A1762" s="25" t="n"/>
      <c r="B1762" s="11" t="n"/>
      <c r="C1762" s="24" t="n"/>
      <c r="D1762" s="11" t="n"/>
      <c r="E1762" s="11" t="n"/>
      <c r="F1762">
        <f>IF(B1762="","",IFERROR(INDEX(Categories!$B$5:$B$44,MATCH(B1762,Categories!$A$5:$A$44,0)),"?"))</f>
        <v/>
      </c>
      <c r="G1762">
        <f>IF(A1762="","",MONTH(A1762))</f>
        <v/>
      </c>
    </row>
    <row r="1763">
      <c r="A1763" s="25" t="n"/>
      <c r="B1763" s="11" t="n"/>
      <c r="C1763" s="24" t="n"/>
      <c r="D1763" s="11" t="n"/>
      <c r="E1763" s="11" t="n"/>
      <c r="F1763">
        <f>IF(B1763="","",IFERROR(INDEX(Categories!$B$5:$B$44,MATCH(B1763,Categories!$A$5:$A$44,0)),"?"))</f>
        <v/>
      </c>
      <c r="G1763">
        <f>IF(A1763="","",MONTH(A1763))</f>
        <v/>
      </c>
    </row>
    <row r="1764">
      <c r="A1764" s="25" t="n"/>
      <c r="B1764" s="11" t="n"/>
      <c r="C1764" s="24" t="n"/>
      <c r="D1764" s="11" t="n"/>
      <c r="E1764" s="11" t="n"/>
      <c r="F1764">
        <f>IF(B1764="","",IFERROR(INDEX(Categories!$B$5:$B$44,MATCH(B1764,Categories!$A$5:$A$44,0)),"?"))</f>
        <v/>
      </c>
      <c r="G1764">
        <f>IF(A1764="","",MONTH(A1764))</f>
        <v/>
      </c>
    </row>
    <row r="1765">
      <c r="A1765" s="25" t="n"/>
      <c r="B1765" s="11" t="n"/>
      <c r="C1765" s="24" t="n"/>
      <c r="D1765" s="11" t="n"/>
      <c r="E1765" s="11" t="n"/>
      <c r="F1765">
        <f>IF(B1765="","",IFERROR(INDEX(Categories!$B$5:$B$44,MATCH(B1765,Categories!$A$5:$A$44,0)),"?"))</f>
        <v/>
      </c>
      <c r="G1765">
        <f>IF(A1765="","",MONTH(A1765))</f>
        <v/>
      </c>
    </row>
    <row r="1766">
      <c r="A1766" s="25" t="n"/>
      <c r="B1766" s="11" t="n"/>
      <c r="C1766" s="24" t="n"/>
      <c r="D1766" s="11" t="n"/>
      <c r="E1766" s="11" t="n"/>
      <c r="F1766">
        <f>IF(B1766="","",IFERROR(INDEX(Categories!$B$5:$B$44,MATCH(B1766,Categories!$A$5:$A$44,0)),"?"))</f>
        <v/>
      </c>
      <c r="G1766">
        <f>IF(A1766="","",MONTH(A1766))</f>
        <v/>
      </c>
    </row>
    <row r="1767">
      <c r="A1767" s="25" t="n"/>
      <c r="B1767" s="11" t="n"/>
      <c r="C1767" s="24" t="n"/>
      <c r="D1767" s="11" t="n"/>
      <c r="E1767" s="11" t="n"/>
      <c r="F1767">
        <f>IF(B1767="","",IFERROR(INDEX(Categories!$B$5:$B$44,MATCH(B1767,Categories!$A$5:$A$44,0)),"?"))</f>
        <v/>
      </c>
      <c r="G1767">
        <f>IF(A1767="","",MONTH(A1767))</f>
        <v/>
      </c>
    </row>
    <row r="1768">
      <c r="A1768" s="25" t="n"/>
      <c r="B1768" s="11" t="n"/>
      <c r="C1768" s="24" t="n"/>
      <c r="D1768" s="11" t="n"/>
      <c r="E1768" s="11" t="n"/>
      <c r="F1768">
        <f>IF(B1768="","",IFERROR(INDEX(Categories!$B$5:$B$44,MATCH(B1768,Categories!$A$5:$A$44,0)),"?"))</f>
        <v/>
      </c>
      <c r="G1768">
        <f>IF(A1768="","",MONTH(A1768))</f>
        <v/>
      </c>
    </row>
    <row r="1769">
      <c r="A1769" s="25" t="n"/>
      <c r="B1769" s="11" t="n"/>
      <c r="C1769" s="24" t="n"/>
      <c r="D1769" s="11" t="n"/>
      <c r="E1769" s="11" t="n"/>
      <c r="F1769">
        <f>IF(B1769="","",IFERROR(INDEX(Categories!$B$5:$B$44,MATCH(B1769,Categories!$A$5:$A$44,0)),"?"))</f>
        <v/>
      </c>
      <c r="G1769">
        <f>IF(A1769="","",MONTH(A1769))</f>
        <v/>
      </c>
    </row>
    <row r="1770">
      <c r="A1770" s="25" t="n"/>
      <c r="B1770" s="11" t="n"/>
      <c r="C1770" s="24" t="n"/>
      <c r="D1770" s="11" t="n"/>
      <c r="E1770" s="11" t="n"/>
      <c r="F1770">
        <f>IF(B1770="","",IFERROR(INDEX(Categories!$B$5:$B$44,MATCH(B1770,Categories!$A$5:$A$44,0)),"?"))</f>
        <v/>
      </c>
      <c r="G1770">
        <f>IF(A1770="","",MONTH(A1770))</f>
        <v/>
      </c>
    </row>
    <row r="1771">
      <c r="A1771" s="25" t="n"/>
      <c r="B1771" s="11" t="n"/>
      <c r="C1771" s="24" t="n"/>
      <c r="D1771" s="11" t="n"/>
      <c r="E1771" s="11" t="n"/>
      <c r="F1771">
        <f>IF(B1771="","",IFERROR(INDEX(Categories!$B$5:$B$44,MATCH(B1771,Categories!$A$5:$A$44,0)),"?"))</f>
        <v/>
      </c>
      <c r="G1771">
        <f>IF(A1771="","",MONTH(A1771))</f>
        <v/>
      </c>
    </row>
    <row r="1772">
      <c r="A1772" s="25" t="n"/>
      <c r="B1772" s="11" t="n"/>
      <c r="C1772" s="24" t="n"/>
      <c r="D1772" s="11" t="n"/>
      <c r="E1772" s="11" t="n"/>
      <c r="F1772">
        <f>IF(B1772="","",IFERROR(INDEX(Categories!$B$5:$B$44,MATCH(B1772,Categories!$A$5:$A$44,0)),"?"))</f>
        <v/>
      </c>
      <c r="G1772">
        <f>IF(A1772="","",MONTH(A1772))</f>
        <v/>
      </c>
    </row>
    <row r="1773">
      <c r="A1773" s="25" t="n"/>
      <c r="B1773" s="11" t="n"/>
      <c r="C1773" s="24" t="n"/>
      <c r="D1773" s="11" t="n"/>
      <c r="E1773" s="11" t="n"/>
      <c r="F1773">
        <f>IF(B1773="","",IFERROR(INDEX(Categories!$B$5:$B$44,MATCH(B1773,Categories!$A$5:$A$44,0)),"?"))</f>
        <v/>
      </c>
      <c r="G1773">
        <f>IF(A1773="","",MONTH(A1773))</f>
        <v/>
      </c>
    </row>
    <row r="1774">
      <c r="A1774" s="25" t="n"/>
      <c r="B1774" s="11" t="n"/>
      <c r="C1774" s="24" t="n"/>
      <c r="D1774" s="11" t="n"/>
      <c r="E1774" s="11" t="n"/>
      <c r="F1774">
        <f>IF(B1774="","",IFERROR(INDEX(Categories!$B$5:$B$44,MATCH(B1774,Categories!$A$5:$A$44,0)),"?"))</f>
        <v/>
      </c>
      <c r="G1774">
        <f>IF(A1774="","",MONTH(A1774))</f>
        <v/>
      </c>
    </row>
    <row r="1775">
      <c r="A1775" s="25" t="n"/>
      <c r="B1775" s="11" t="n"/>
      <c r="C1775" s="24" t="n"/>
      <c r="D1775" s="11" t="n"/>
      <c r="E1775" s="11" t="n"/>
      <c r="F1775">
        <f>IF(B1775="","",IFERROR(INDEX(Categories!$B$5:$B$44,MATCH(B1775,Categories!$A$5:$A$44,0)),"?"))</f>
        <v/>
      </c>
      <c r="G1775">
        <f>IF(A1775="","",MONTH(A1775))</f>
        <v/>
      </c>
    </row>
    <row r="1776">
      <c r="A1776" s="25" t="n"/>
      <c r="B1776" s="11" t="n"/>
      <c r="C1776" s="24" t="n"/>
      <c r="D1776" s="11" t="n"/>
      <c r="E1776" s="11" t="n"/>
      <c r="F1776">
        <f>IF(B1776="","",IFERROR(INDEX(Categories!$B$5:$B$44,MATCH(B1776,Categories!$A$5:$A$44,0)),"?"))</f>
        <v/>
      </c>
      <c r="G1776">
        <f>IF(A1776="","",MONTH(A1776))</f>
        <v/>
      </c>
    </row>
    <row r="1777">
      <c r="A1777" s="25" t="n"/>
      <c r="B1777" s="11" t="n"/>
      <c r="C1777" s="24" t="n"/>
      <c r="D1777" s="11" t="n"/>
      <c r="E1777" s="11" t="n"/>
      <c r="F1777">
        <f>IF(B1777="","",IFERROR(INDEX(Categories!$B$5:$B$44,MATCH(B1777,Categories!$A$5:$A$44,0)),"?"))</f>
        <v/>
      </c>
      <c r="G1777">
        <f>IF(A1777="","",MONTH(A1777))</f>
        <v/>
      </c>
    </row>
    <row r="1778">
      <c r="A1778" s="25" t="n"/>
      <c r="B1778" s="11" t="n"/>
      <c r="C1778" s="24" t="n"/>
      <c r="D1778" s="11" t="n"/>
      <c r="E1778" s="11" t="n"/>
      <c r="F1778">
        <f>IF(B1778="","",IFERROR(INDEX(Categories!$B$5:$B$44,MATCH(B1778,Categories!$A$5:$A$44,0)),"?"))</f>
        <v/>
      </c>
      <c r="G1778">
        <f>IF(A1778="","",MONTH(A1778))</f>
        <v/>
      </c>
    </row>
    <row r="1779">
      <c r="A1779" s="25" t="n"/>
      <c r="B1779" s="11" t="n"/>
      <c r="C1779" s="24" t="n"/>
      <c r="D1779" s="11" t="n"/>
      <c r="E1779" s="11" t="n"/>
      <c r="F1779">
        <f>IF(B1779="","",IFERROR(INDEX(Categories!$B$5:$B$44,MATCH(B1779,Categories!$A$5:$A$44,0)),"?"))</f>
        <v/>
      </c>
      <c r="G1779">
        <f>IF(A1779="","",MONTH(A1779))</f>
        <v/>
      </c>
    </row>
    <row r="1780">
      <c r="A1780" s="25" t="n"/>
      <c r="B1780" s="11" t="n"/>
      <c r="C1780" s="24" t="n"/>
      <c r="D1780" s="11" t="n"/>
      <c r="E1780" s="11" t="n"/>
      <c r="F1780">
        <f>IF(B1780="","",IFERROR(INDEX(Categories!$B$5:$B$44,MATCH(B1780,Categories!$A$5:$A$44,0)),"?"))</f>
        <v/>
      </c>
      <c r="G1780">
        <f>IF(A1780="","",MONTH(A1780))</f>
        <v/>
      </c>
    </row>
    <row r="1781">
      <c r="A1781" s="25" t="n"/>
      <c r="B1781" s="11" t="n"/>
      <c r="C1781" s="24" t="n"/>
      <c r="D1781" s="11" t="n"/>
      <c r="E1781" s="11" t="n"/>
      <c r="F1781">
        <f>IF(B1781="","",IFERROR(INDEX(Categories!$B$5:$B$44,MATCH(B1781,Categories!$A$5:$A$44,0)),"?"))</f>
        <v/>
      </c>
      <c r="G1781">
        <f>IF(A1781="","",MONTH(A1781))</f>
        <v/>
      </c>
    </row>
    <row r="1782">
      <c r="A1782" s="25" t="n"/>
      <c r="B1782" s="11" t="n"/>
      <c r="C1782" s="24" t="n"/>
      <c r="D1782" s="11" t="n"/>
      <c r="E1782" s="11" t="n"/>
      <c r="F1782">
        <f>IF(B1782="","",IFERROR(INDEX(Categories!$B$5:$B$44,MATCH(B1782,Categories!$A$5:$A$44,0)),"?"))</f>
        <v/>
      </c>
      <c r="G1782">
        <f>IF(A1782="","",MONTH(A1782))</f>
        <v/>
      </c>
    </row>
    <row r="1783">
      <c r="A1783" s="25" t="n"/>
      <c r="B1783" s="11" t="n"/>
      <c r="C1783" s="24" t="n"/>
      <c r="D1783" s="11" t="n"/>
      <c r="E1783" s="11" t="n"/>
      <c r="F1783">
        <f>IF(B1783="","",IFERROR(INDEX(Categories!$B$5:$B$44,MATCH(B1783,Categories!$A$5:$A$44,0)),"?"))</f>
        <v/>
      </c>
      <c r="G1783">
        <f>IF(A1783="","",MONTH(A1783))</f>
        <v/>
      </c>
    </row>
    <row r="1784">
      <c r="A1784" s="25" t="n"/>
      <c r="B1784" s="11" t="n"/>
      <c r="C1784" s="24" t="n"/>
      <c r="D1784" s="11" t="n"/>
      <c r="E1784" s="11" t="n"/>
      <c r="F1784">
        <f>IF(B1784="","",IFERROR(INDEX(Categories!$B$5:$B$44,MATCH(B1784,Categories!$A$5:$A$44,0)),"?"))</f>
        <v/>
      </c>
      <c r="G1784">
        <f>IF(A1784="","",MONTH(A1784))</f>
        <v/>
      </c>
    </row>
    <row r="1785">
      <c r="A1785" s="25" t="n"/>
      <c r="B1785" s="11" t="n"/>
      <c r="C1785" s="24" t="n"/>
      <c r="D1785" s="11" t="n"/>
      <c r="E1785" s="11" t="n"/>
      <c r="F1785">
        <f>IF(B1785="","",IFERROR(INDEX(Categories!$B$5:$B$44,MATCH(B1785,Categories!$A$5:$A$44,0)),"?"))</f>
        <v/>
      </c>
      <c r="G1785">
        <f>IF(A1785="","",MONTH(A1785))</f>
        <v/>
      </c>
    </row>
    <row r="1786">
      <c r="A1786" s="25" t="n"/>
      <c r="B1786" s="11" t="n"/>
      <c r="C1786" s="24" t="n"/>
      <c r="D1786" s="11" t="n"/>
      <c r="E1786" s="11" t="n"/>
      <c r="F1786">
        <f>IF(B1786="","",IFERROR(INDEX(Categories!$B$5:$B$44,MATCH(B1786,Categories!$A$5:$A$44,0)),"?"))</f>
        <v/>
      </c>
      <c r="G1786">
        <f>IF(A1786="","",MONTH(A1786))</f>
        <v/>
      </c>
    </row>
    <row r="1787">
      <c r="A1787" s="25" t="n"/>
      <c r="B1787" s="11" t="n"/>
      <c r="C1787" s="24" t="n"/>
      <c r="D1787" s="11" t="n"/>
      <c r="E1787" s="11" t="n"/>
      <c r="F1787">
        <f>IF(B1787="","",IFERROR(INDEX(Categories!$B$5:$B$44,MATCH(B1787,Categories!$A$5:$A$44,0)),"?"))</f>
        <v/>
      </c>
      <c r="G1787">
        <f>IF(A1787="","",MONTH(A1787))</f>
        <v/>
      </c>
    </row>
    <row r="1788">
      <c r="A1788" s="25" t="n"/>
      <c r="B1788" s="11" t="n"/>
      <c r="C1788" s="24" t="n"/>
      <c r="D1788" s="11" t="n"/>
      <c r="E1788" s="11" t="n"/>
      <c r="F1788">
        <f>IF(B1788="","",IFERROR(INDEX(Categories!$B$5:$B$44,MATCH(B1788,Categories!$A$5:$A$44,0)),"?"))</f>
        <v/>
      </c>
      <c r="G1788">
        <f>IF(A1788="","",MONTH(A1788))</f>
        <v/>
      </c>
    </row>
    <row r="1789">
      <c r="A1789" s="25" t="n"/>
      <c r="B1789" s="11" t="n"/>
      <c r="C1789" s="24" t="n"/>
      <c r="D1789" s="11" t="n"/>
      <c r="E1789" s="11" t="n"/>
      <c r="F1789">
        <f>IF(B1789="","",IFERROR(INDEX(Categories!$B$5:$B$44,MATCH(B1789,Categories!$A$5:$A$44,0)),"?"))</f>
        <v/>
      </c>
      <c r="G1789">
        <f>IF(A1789="","",MONTH(A1789))</f>
        <v/>
      </c>
    </row>
    <row r="1790">
      <c r="A1790" s="25" t="n"/>
      <c r="B1790" s="11" t="n"/>
      <c r="C1790" s="24" t="n"/>
      <c r="D1790" s="11" t="n"/>
      <c r="E1790" s="11" t="n"/>
      <c r="F1790">
        <f>IF(B1790="","",IFERROR(INDEX(Categories!$B$5:$B$44,MATCH(B1790,Categories!$A$5:$A$44,0)),"?"))</f>
        <v/>
      </c>
      <c r="G1790">
        <f>IF(A1790="","",MONTH(A1790))</f>
        <v/>
      </c>
    </row>
    <row r="1791">
      <c r="A1791" s="25" t="n"/>
      <c r="B1791" s="11" t="n"/>
      <c r="C1791" s="24" t="n"/>
      <c r="D1791" s="11" t="n"/>
      <c r="E1791" s="11" t="n"/>
      <c r="F1791">
        <f>IF(B1791="","",IFERROR(INDEX(Categories!$B$5:$B$44,MATCH(B1791,Categories!$A$5:$A$44,0)),"?"))</f>
        <v/>
      </c>
      <c r="G1791">
        <f>IF(A1791="","",MONTH(A1791))</f>
        <v/>
      </c>
    </row>
    <row r="1792">
      <c r="A1792" s="25" t="n"/>
      <c r="B1792" s="11" t="n"/>
      <c r="C1792" s="24" t="n"/>
      <c r="D1792" s="11" t="n"/>
      <c r="E1792" s="11" t="n"/>
      <c r="F1792">
        <f>IF(B1792="","",IFERROR(INDEX(Categories!$B$5:$B$44,MATCH(B1792,Categories!$A$5:$A$44,0)),"?"))</f>
        <v/>
      </c>
      <c r="G1792">
        <f>IF(A1792="","",MONTH(A1792))</f>
        <v/>
      </c>
    </row>
    <row r="1793">
      <c r="A1793" s="25" t="n"/>
      <c r="B1793" s="11" t="n"/>
      <c r="C1793" s="24" t="n"/>
      <c r="D1793" s="11" t="n"/>
      <c r="E1793" s="11" t="n"/>
      <c r="F1793">
        <f>IF(B1793="","",IFERROR(INDEX(Categories!$B$5:$B$44,MATCH(B1793,Categories!$A$5:$A$44,0)),"?"))</f>
        <v/>
      </c>
      <c r="G1793">
        <f>IF(A1793="","",MONTH(A1793))</f>
        <v/>
      </c>
    </row>
    <row r="1794">
      <c r="A1794" s="25" t="n"/>
      <c r="B1794" s="11" t="n"/>
      <c r="C1794" s="24" t="n"/>
      <c r="D1794" s="11" t="n"/>
      <c r="E1794" s="11" t="n"/>
      <c r="F1794">
        <f>IF(B1794="","",IFERROR(INDEX(Categories!$B$5:$B$44,MATCH(B1794,Categories!$A$5:$A$44,0)),"?"))</f>
        <v/>
      </c>
      <c r="G1794">
        <f>IF(A1794="","",MONTH(A1794))</f>
        <v/>
      </c>
    </row>
    <row r="1795">
      <c r="A1795" s="25" t="n"/>
      <c r="B1795" s="11" t="n"/>
      <c r="C1795" s="24" t="n"/>
      <c r="D1795" s="11" t="n"/>
      <c r="E1795" s="11" t="n"/>
      <c r="F1795">
        <f>IF(B1795="","",IFERROR(INDEX(Categories!$B$5:$B$44,MATCH(B1795,Categories!$A$5:$A$44,0)),"?"))</f>
        <v/>
      </c>
      <c r="G1795">
        <f>IF(A1795="","",MONTH(A1795))</f>
        <v/>
      </c>
    </row>
    <row r="1796">
      <c r="A1796" s="25" t="n"/>
      <c r="B1796" s="11" t="n"/>
      <c r="C1796" s="24" t="n"/>
      <c r="D1796" s="11" t="n"/>
      <c r="E1796" s="11" t="n"/>
      <c r="F1796">
        <f>IF(B1796="","",IFERROR(INDEX(Categories!$B$5:$B$44,MATCH(B1796,Categories!$A$5:$A$44,0)),"?"))</f>
        <v/>
      </c>
      <c r="G1796">
        <f>IF(A1796="","",MONTH(A1796))</f>
        <v/>
      </c>
    </row>
    <row r="1797">
      <c r="A1797" s="25" t="n"/>
      <c r="B1797" s="11" t="n"/>
      <c r="C1797" s="24" t="n"/>
      <c r="D1797" s="11" t="n"/>
      <c r="E1797" s="11" t="n"/>
      <c r="F1797">
        <f>IF(B1797="","",IFERROR(INDEX(Categories!$B$5:$B$44,MATCH(B1797,Categories!$A$5:$A$44,0)),"?"))</f>
        <v/>
      </c>
      <c r="G1797">
        <f>IF(A1797="","",MONTH(A1797))</f>
        <v/>
      </c>
    </row>
    <row r="1798">
      <c r="A1798" s="25" t="n"/>
      <c r="B1798" s="11" t="n"/>
      <c r="C1798" s="24" t="n"/>
      <c r="D1798" s="11" t="n"/>
      <c r="E1798" s="11" t="n"/>
      <c r="F1798">
        <f>IF(B1798="","",IFERROR(INDEX(Categories!$B$5:$B$44,MATCH(B1798,Categories!$A$5:$A$44,0)),"?"))</f>
        <v/>
      </c>
      <c r="G1798">
        <f>IF(A1798="","",MONTH(A1798))</f>
        <v/>
      </c>
    </row>
    <row r="1799">
      <c r="A1799" s="25" t="n"/>
      <c r="B1799" s="11" t="n"/>
      <c r="C1799" s="24" t="n"/>
      <c r="D1799" s="11" t="n"/>
      <c r="E1799" s="11" t="n"/>
      <c r="F1799">
        <f>IF(B1799="","",IFERROR(INDEX(Categories!$B$5:$B$44,MATCH(B1799,Categories!$A$5:$A$44,0)),"?"))</f>
        <v/>
      </c>
      <c r="G1799">
        <f>IF(A1799="","",MONTH(A1799))</f>
        <v/>
      </c>
    </row>
    <row r="1800">
      <c r="A1800" s="25" t="n"/>
      <c r="B1800" s="11" t="n"/>
      <c r="C1800" s="24" t="n"/>
      <c r="D1800" s="11" t="n"/>
      <c r="E1800" s="11" t="n"/>
      <c r="F1800">
        <f>IF(B1800="","",IFERROR(INDEX(Categories!$B$5:$B$44,MATCH(B1800,Categories!$A$5:$A$44,0)),"?"))</f>
        <v/>
      </c>
      <c r="G1800">
        <f>IF(A1800="","",MONTH(A1800))</f>
        <v/>
      </c>
    </row>
    <row r="1801">
      <c r="A1801" s="25" t="n"/>
      <c r="B1801" s="11" t="n"/>
      <c r="C1801" s="24" t="n"/>
      <c r="D1801" s="11" t="n"/>
      <c r="E1801" s="11" t="n"/>
      <c r="F1801">
        <f>IF(B1801="","",IFERROR(INDEX(Categories!$B$5:$B$44,MATCH(B1801,Categories!$A$5:$A$44,0)),"?"))</f>
        <v/>
      </c>
      <c r="G1801">
        <f>IF(A1801="","",MONTH(A1801))</f>
        <v/>
      </c>
    </row>
    <row r="1802">
      <c r="A1802" s="25" t="n"/>
      <c r="B1802" s="11" t="n"/>
      <c r="C1802" s="24" t="n"/>
      <c r="D1802" s="11" t="n"/>
      <c r="E1802" s="11" t="n"/>
      <c r="F1802">
        <f>IF(B1802="","",IFERROR(INDEX(Categories!$B$5:$B$44,MATCH(B1802,Categories!$A$5:$A$44,0)),"?"))</f>
        <v/>
      </c>
      <c r="G1802">
        <f>IF(A1802="","",MONTH(A1802))</f>
        <v/>
      </c>
    </row>
    <row r="1803">
      <c r="A1803" s="25" t="n"/>
      <c r="B1803" s="11" t="n"/>
      <c r="C1803" s="24" t="n"/>
      <c r="D1803" s="11" t="n"/>
      <c r="E1803" s="11" t="n"/>
      <c r="F1803">
        <f>IF(B1803="","",IFERROR(INDEX(Categories!$B$5:$B$44,MATCH(B1803,Categories!$A$5:$A$44,0)),"?"))</f>
        <v/>
      </c>
      <c r="G1803">
        <f>IF(A1803="","",MONTH(A1803))</f>
        <v/>
      </c>
    </row>
    <row r="1804">
      <c r="A1804" s="25" t="n"/>
      <c r="B1804" s="11" t="n"/>
      <c r="C1804" s="24" t="n"/>
      <c r="D1804" s="11" t="n"/>
      <c r="E1804" s="11" t="n"/>
      <c r="F1804">
        <f>IF(B1804="","",IFERROR(INDEX(Categories!$B$5:$B$44,MATCH(B1804,Categories!$A$5:$A$44,0)),"?"))</f>
        <v/>
      </c>
      <c r="G1804">
        <f>IF(A1804="","",MONTH(A1804))</f>
        <v/>
      </c>
    </row>
    <row r="1805">
      <c r="A1805" s="25" t="n"/>
      <c r="B1805" s="11" t="n"/>
      <c r="C1805" s="24" t="n"/>
      <c r="D1805" s="11" t="n"/>
      <c r="E1805" s="11" t="n"/>
      <c r="F1805">
        <f>IF(B1805="","",IFERROR(INDEX(Categories!$B$5:$B$44,MATCH(B1805,Categories!$A$5:$A$44,0)),"?"))</f>
        <v/>
      </c>
      <c r="G1805">
        <f>IF(A1805="","",MONTH(A1805))</f>
        <v/>
      </c>
    </row>
    <row r="1806">
      <c r="A1806" s="25" t="n"/>
      <c r="B1806" s="11" t="n"/>
      <c r="C1806" s="24" t="n"/>
      <c r="D1806" s="11" t="n"/>
      <c r="E1806" s="11" t="n"/>
      <c r="F1806">
        <f>IF(B1806="","",IFERROR(INDEX(Categories!$B$5:$B$44,MATCH(B1806,Categories!$A$5:$A$44,0)),"?"))</f>
        <v/>
      </c>
      <c r="G1806">
        <f>IF(A1806="","",MONTH(A1806))</f>
        <v/>
      </c>
    </row>
    <row r="1807">
      <c r="A1807" s="25" t="n"/>
      <c r="B1807" s="11" t="n"/>
      <c r="C1807" s="24" t="n"/>
      <c r="D1807" s="11" t="n"/>
      <c r="E1807" s="11" t="n"/>
      <c r="F1807">
        <f>IF(B1807="","",IFERROR(INDEX(Categories!$B$5:$B$44,MATCH(B1807,Categories!$A$5:$A$44,0)),"?"))</f>
        <v/>
      </c>
      <c r="G1807">
        <f>IF(A1807="","",MONTH(A1807))</f>
        <v/>
      </c>
    </row>
    <row r="1808">
      <c r="A1808" s="25" t="n"/>
      <c r="B1808" s="11" t="n"/>
      <c r="C1808" s="24" t="n"/>
      <c r="D1808" s="11" t="n"/>
      <c r="E1808" s="11" t="n"/>
      <c r="F1808">
        <f>IF(B1808="","",IFERROR(INDEX(Categories!$B$5:$B$44,MATCH(B1808,Categories!$A$5:$A$44,0)),"?"))</f>
        <v/>
      </c>
      <c r="G1808">
        <f>IF(A1808="","",MONTH(A1808))</f>
        <v/>
      </c>
    </row>
    <row r="1809">
      <c r="A1809" s="25" t="n"/>
      <c r="B1809" s="11" t="n"/>
      <c r="C1809" s="24" t="n"/>
      <c r="D1809" s="11" t="n"/>
      <c r="E1809" s="11" t="n"/>
      <c r="F1809">
        <f>IF(B1809="","",IFERROR(INDEX(Categories!$B$5:$B$44,MATCH(B1809,Categories!$A$5:$A$44,0)),"?"))</f>
        <v/>
      </c>
      <c r="G1809">
        <f>IF(A1809="","",MONTH(A1809))</f>
        <v/>
      </c>
    </row>
    <row r="1810">
      <c r="A1810" s="25" t="n"/>
      <c r="B1810" s="11" t="n"/>
      <c r="C1810" s="24" t="n"/>
      <c r="D1810" s="11" t="n"/>
      <c r="E1810" s="11" t="n"/>
      <c r="F1810">
        <f>IF(B1810="","",IFERROR(INDEX(Categories!$B$5:$B$44,MATCH(B1810,Categories!$A$5:$A$44,0)),"?"))</f>
        <v/>
      </c>
      <c r="G1810">
        <f>IF(A1810="","",MONTH(A1810))</f>
        <v/>
      </c>
    </row>
    <row r="1811">
      <c r="A1811" s="25" t="n"/>
      <c r="B1811" s="11" t="n"/>
      <c r="C1811" s="24" t="n"/>
      <c r="D1811" s="11" t="n"/>
      <c r="E1811" s="11" t="n"/>
      <c r="F1811">
        <f>IF(B1811="","",IFERROR(INDEX(Categories!$B$5:$B$44,MATCH(B1811,Categories!$A$5:$A$44,0)),"?"))</f>
        <v/>
      </c>
      <c r="G1811">
        <f>IF(A1811="","",MONTH(A1811))</f>
        <v/>
      </c>
    </row>
    <row r="1812">
      <c r="A1812" s="25" t="n"/>
      <c r="B1812" s="11" t="n"/>
      <c r="C1812" s="24" t="n"/>
      <c r="D1812" s="11" t="n"/>
      <c r="E1812" s="11" t="n"/>
      <c r="F1812">
        <f>IF(B1812="","",IFERROR(INDEX(Categories!$B$5:$B$44,MATCH(B1812,Categories!$A$5:$A$44,0)),"?"))</f>
        <v/>
      </c>
      <c r="G1812">
        <f>IF(A1812="","",MONTH(A1812))</f>
        <v/>
      </c>
    </row>
    <row r="1813">
      <c r="A1813" s="25" t="n"/>
      <c r="B1813" s="11" t="n"/>
      <c r="C1813" s="24" t="n"/>
      <c r="D1813" s="11" t="n"/>
      <c r="E1813" s="11" t="n"/>
      <c r="F1813">
        <f>IF(B1813="","",IFERROR(INDEX(Categories!$B$5:$B$44,MATCH(B1813,Categories!$A$5:$A$44,0)),"?"))</f>
        <v/>
      </c>
      <c r="G1813">
        <f>IF(A1813="","",MONTH(A1813))</f>
        <v/>
      </c>
    </row>
    <row r="1814">
      <c r="A1814" s="25" t="n"/>
      <c r="B1814" s="11" t="n"/>
      <c r="C1814" s="24" t="n"/>
      <c r="D1814" s="11" t="n"/>
      <c r="E1814" s="11" t="n"/>
      <c r="F1814">
        <f>IF(B1814="","",IFERROR(INDEX(Categories!$B$5:$B$44,MATCH(B1814,Categories!$A$5:$A$44,0)),"?"))</f>
        <v/>
      </c>
      <c r="G1814">
        <f>IF(A1814="","",MONTH(A1814))</f>
        <v/>
      </c>
    </row>
    <row r="1815">
      <c r="A1815" s="25" t="n"/>
      <c r="B1815" s="11" t="n"/>
      <c r="C1815" s="24" t="n"/>
      <c r="D1815" s="11" t="n"/>
      <c r="E1815" s="11" t="n"/>
      <c r="F1815">
        <f>IF(B1815="","",IFERROR(INDEX(Categories!$B$5:$B$44,MATCH(B1815,Categories!$A$5:$A$44,0)),"?"))</f>
        <v/>
      </c>
      <c r="G1815">
        <f>IF(A1815="","",MONTH(A1815))</f>
        <v/>
      </c>
    </row>
    <row r="1816">
      <c r="A1816" s="25" t="n"/>
      <c r="B1816" s="11" t="n"/>
      <c r="C1816" s="24" t="n"/>
      <c r="D1816" s="11" t="n"/>
      <c r="E1816" s="11" t="n"/>
      <c r="F1816">
        <f>IF(B1816="","",IFERROR(INDEX(Categories!$B$5:$B$44,MATCH(B1816,Categories!$A$5:$A$44,0)),"?"))</f>
        <v/>
      </c>
      <c r="G1816">
        <f>IF(A1816="","",MONTH(A1816))</f>
        <v/>
      </c>
    </row>
    <row r="1817">
      <c r="A1817" s="25" t="n"/>
      <c r="B1817" s="11" t="n"/>
      <c r="C1817" s="24" t="n"/>
      <c r="D1817" s="11" t="n"/>
      <c r="E1817" s="11" t="n"/>
      <c r="F1817">
        <f>IF(B1817="","",IFERROR(INDEX(Categories!$B$5:$B$44,MATCH(B1817,Categories!$A$5:$A$44,0)),"?"))</f>
        <v/>
      </c>
      <c r="G1817">
        <f>IF(A1817="","",MONTH(A1817))</f>
        <v/>
      </c>
    </row>
    <row r="1818">
      <c r="A1818" s="25" t="n"/>
      <c r="B1818" s="11" t="n"/>
      <c r="C1818" s="24" t="n"/>
      <c r="D1818" s="11" t="n"/>
      <c r="E1818" s="11" t="n"/>
      <c r="F1818">
        <f>IF(B1818="","",IFERROR(INDEX(Categories!$B$5:$B$44,MATCH(B1818,Categories!$A$5:$A$44,0)),"?"))</f>
        <v/>
      </c>
      <c r="G1818">
        <f>IF(A1818="","",MONTH(A1818))</f>
        <v/>
      </c>
    </row>
    <row r="1819">
      <c r="A1819" s="25" t="n"/>
      <c r="B1819" s="11" t="n"/>
      <c r="C1819" s="24" t="n"/>
      <c r="D1819" s="11" t="n"/>
      <c r="E1819" s="11" t="n"/>
      <c r="F1819">
        <f>IF(B1819="","",IFERROR(INDEX(Categories!$B$5:$B$44,MATCH(B1819,Categories!$A$5:$A$44,0)),"?"))</f>
        <v/>
      </c>
      <c r="G1819">
        <f>IF(A1819="","",MONTH(A1819))</f>
        <v/>
      </c>
    </row>
    <row r="1820">
      <c r="A1820" s="25" t="n"/>
      <c r="B1820" s="11" t="n"/>
      <c r="C1820" s="24" t="n"/>
      <c r="D1820" s="11" t="n"/>
      <c r="E1820" s="11" t="n"/>
      <c r="F1820">
        <f>IF(B1820="","",IFERROR(INDEX(Categories!$B$5:$B$44,MATCH(B1820,Categories!$A$5:$A$44,0)),"?"))</f>
        <v/>
      </c>
      <c r="G1820">
        <f>IF(A1820="","",MONTH(A1820))</f>
        <v/>
      </c>
    </row>
    <row r="1821">
      <c r="A1821" s="25" t="n"/>
      <c r="B1821" s="11" t="n"/>
      <c r="C1821" s="24" t="n"/>
      <c r="D1821" s="11" t="n"/>
      <c r="E1821" s="11" t="n"/>
      <c r="F1821">
        <f>IF(B1821="","",IFERROR(INDEX(Categories!$B$5:$B$44,MATCH(B1821,Categories!$A$5:$A$44,0)),"?"))</f>
        <v/>
      </c>
      <c r="G1821">
        <f>IF(A1821="","",MONTH(A1821))</f>
        <v/>
      </c>
    </row>
    <row r="1822">
      <c r="A1822" s="25" t="n"/>
      <c r="B1822" s="11" t="n"/>
      <c r="C1822" s="24" t="n"/>
      <c r="D1822" s="11" t="n"/>
      <c r="E1822" s="11" t="n"/>
      <c r="F1822">
        <f>IF(B1822="","",IFERROR(INDEX(Categories!$B$5:$B$44,MATCH(B1822,Categories!$A$5:$A$44,0)),"?"))</f>
        <v/>
      </c>
      <c r="G1822">
        <f>IF(A1822="","",MONTH(A1822))</f>
        <v/>
      </c>
    </row>
    <row r="1823">
      <c r="A1823" s="25" t="n"/>
      <c r="B1823" s="11" t="n"/>
      <c r="C1823" s="24" t="n"/>
      <c r="D1823" s="11" t="n"/>
      <c r="E1823" s="11" t="n"/>
      <c r="F1823">
        <f>IF(B1823="","",IFERROR(INDEX(Categories!$B$5:$B$44,MATCH(B1823,Categories!$A$5:$A$44,0)),"?"))</f>
        <v/>
      </c>
      <c r="G1823">
        <f>IF(A1823="","",MONTH(A1823))</f>
        <v/>
      </c>
    </row>
    <row r="1824">
      <c r="A1824" s="25" t="n"/>
      <c r="B1824" s="11" t="n"/>
      <c r="C1824" s="24" t="n"/>
      <c r="D1824" s="11" t="n"/>
      <c r="E1824" s="11" t="n"/>
      <c r="F1824">
        <f>IF(B1824="","",IFERROR(INDEX(Categories!$B$5:$B$44,MATCH(B1824,Categories!$A$5:$A$44,0)),"?"))</f>
        <v/>
      </c>
      <c r="G1824">
        <f>IF(A1824="","",MONTH(A1824))</f>
        <v/>
      </c>
    </row>
    <row r="1825">
      <c r="A1825" s="25" t="n"/>
      <c r="B1825" s="11" t="n"/>
      <c r="C1825" s="24" t="n"/>
      <c r="D1825" s="11" t="n"/>
      <c r="E1825" s="11" t="n"/>
      <c r="F1825">
        <f>IF(B1825="","",IFERROR(INDEX(Categories!$B$5:$B$44,MATCH(B1825,Categories!$A$5:$A$44,0)),"?"))</f>
        <v/>
      </c>
      <c r="G1825">
        <f>IF(A1825="","",MONTH(A1825))</f>
        <v/>
      </c>
    </row>
    <row r="1826">
      <c r="A1826" s="25" t="n"/>
      <c r="B1826" s="11" t="n"/>
      <c r="C1826" s="24" t="n"/>
      <c r="D1826" s="11" t="n"/>
      <c r="E1826" s="11" t="n"/>
      <c r="F1826">
        <f>IF(B1826="","",IFERROR(INDEX(Categories!$B$5:$B$44,MATCH(B1826,Categories!$A$5:$A$44,0)),"?"))</f>
        <v/>
      </c>
      <c r="G1826">
        <f>IF(A1826="","",MONTH(A1826))</f>
        <v/>
      </c>
    </row>
    <row r="1827">
      <c r="A1827" s="25" t="n"/>
      <c r="B1827" s="11" t="n"/>
      <c r="C1827" s="24" t="n"/>
      <c r="D1827" s="11" t="n"/>
      <c r="E1827" s="11" t="n"/>
      <c r="F1827">
        <f>IF(B1827="","",IFERROR(INDEX(Categories!$B$5:$B$44,MATCH(B1827,Categories!$A$5:$A$44,0)),"?"))</f>
        <v/>
      </c>
      <c r="G1827">
        <f>IF(A1827="","",MONTH(A1827))</f>
        <v/>
      </c>
    </row>
    <row r="1828">
      <c r="A1828" s="25" t="n"/>
      <c r="B1828" s="11" t="n"/>
      <c r="C1828" s="24" t="n"/>
      <c r="D1828" s="11" t="n"/>
      <c r="E1828" s="11" t="n"/>
      <c r="F1828">
        <f>IF(B1828="","",IFERROR(INDEX(Categories!$B$5:$B$44,MATCH(B1828,Categories!$A$5:$A$44,0)),"?"))</f>
        <v/>
      </c>
      <c r="G1828">
        <f>IF(A1828="","",MONTH(A1828))</f>
        <v/>
      </c>
    </row>
    <row r="1829">
      <c r="A1829" s="25" t="n"/>
      <c r="B1829" s="11" t="n"/>
      <c r="C1829" s="24" t="n"/>
      <c r="D1829" s="11" t="n"/>
      <c r="E1829" s="11" t="n"/>
      <c r="F1829">
        <f>IF(B1829="","",IFERROR(INDEX(Categories!$B$5:$B$44,MATCH(B1829,Categories!$A$5:$A$44,0)),"?"))</f>
        <v/>
      </c>
      <c r="G1829">
        <f>IF(A1829="","",MONTH(A1829))</f>
        <v/>
      </c>
    </row>
    <row r="1830">
      <c r="A1830" s="25" t="n"/>
      <c r="B1830" s="11" t="n"/>
      <c r="C1830" s="24" t="n"/>
      <c r="D1830" s="11" t="n"/>
      <c r="E1830" s="11" t="n"/>
      <c r="F1830">
        <f>IF(B1830="","",IFERROR(INDEX(Categories!$B$5:$B$44,MATCH(B1830,Categories!$A$5:$A$44,0)),"?"))</f>
        <v/>
      </c>
      <c r="G1830">
        <f>IF(A1830="","",MONTH(A1830))</f>
        <v/>
      </c>
    </row>
    <row r="1831">
      <c r="A1831" s="25" t="n"/>
      <c r="B1831" s="11" t="n"/>
      <c r="C1831" s="24" t="n"/>
      <c r="D1831" s="11" t="n"/>
      <c r="E1831" s="11" t="n"/>
      <c r="F1831">
        <f>IF(B1831="","",IFERROR(INDEX(Categories!$B$5:$B$44,MATCH(B1831,Categories!$A$5:$A$44,0)),"?"))</f>
        <v/>
      </c>
      <c r="G1831">
        <f>IF(A1831="","",MONTH(A1831))</f>
        <v/>
      </c>
    </row>
    <row r="1832">
      <c r="A1832" s="25" t="n"/>
      <c r="B1832" s="11" t="n"/>
      <c r="C1832" s="24" t="n"/>
      <c r="D1832" s="11" t="n"/>
      <c r="E1832" s="11" t="n"/>
      <c r="F1832">
        <f>IF(B1832="","",IFERROR(INDEX(Categories!$B$5:$B$44,MATCH(B1832,Categories!$A$5:$A$44,0)),"?"))</f>
        <v/>
      </c>
      <c r="G1832">
        <f>IF(A1832="","",MONTH(A1832))</f>
        <v/>
      </c>
    </row>
    <row r="1833">
      <c r="A1833" s="25" t="n"/>
      <c r="B1833" s="11" t="n"/>
      <c r="C1833" s="24" t="n"/>
      <c r="D1833" s="11" t="n"/>
      <c r="E1833" s="11" t="n"/>
      <c r="F1833">
        <f>IF(B1833="","",IFERROR(INDEX(Categories!$B$5:$B$44,MATCH(B1833,Categories!$A$5:$A$44,0)),"?"))</f>
        <v/>
      </c>
      <c r="G1833">
        <f>IF(A1833="","",MONTH(A1833))</f>
        <v/>
      </c>
    </row>
    <row r="1834">
      <c r="A1834" s="25" t="n"/>
      <c r="B1834" s="11" t="n"/>
      <c r="C1834" s="24" t="n"/>
      <c r="D1834" s="11" t="n"/>
      <c r="E1834" s="11" t="n"/>
      <c r="F1834">
        <f>IF(B1834="","",IFERROR(INDEX(Categories!$B$5:$B$44,MATCH(B1834,Categories!$A$5:$A$44,0)),"?"))</f>
        <v/>
      </c>
      <c r="G1834">
        <f>IF(A1834="","",MONTH(A1834))</f>
        <v/>
      </c>
    </row>
    <row r="1835">
      <c r="A1835" s="25" t="n"/>
      <c r="B1835" s="11" t="n"/>
      <c r="C1835" s="24" t="n"/>
      <c r="D1835" s="11" t="n"/>
      <c r="E1835" s="11" t="n"/>
      <c r="F1835">
        <f>IF(B1835="","",IFERROR(INDEX(Categories!$B$5:$B$44,MATCH(B1835,Categories!$A$5:$A$44,0)),"?"))</f>
        <v/>
      </c>
      <c r="G1835">
        <f>IF(A1835="","",MONTH(A1835))</f>
        <v/>
      </c>
    </row>
    <row r="1836">
      <c r="A1836" s="25" t="n"/>
      <c r="B1836" s="11" t="n"/>
      <c r="C1836" s="24" t="n"/>
      <c r="D1836" s="11" t="n"/>
      <c r="E1836" s="11" t="n"/>
      <c r="F1836">
        <f>IF(B1836="","",IFERROR(INDEX(Categories!$B$5:$B$44,MATCH(B1836,Categories!$A$5:$A$44,0)),"?"))</f>
        <v/>
      </c>
      <c r="G1836">
        <f>IF(A1836="","",MONTH(A1836))</f>
        <v/>
      </c>
    </row>
    <row r="1837">
      <c r="A1837" s="25" t="n"/>
      <c r="B1837" s="11" t="n"/>
      <c r="C1837" s="24" t="n"/>
      <c r="D1837" s="11" t="n"/>
      <c r="E1837" s="11" t="n"/>
      <c r="F1837">
        <f>IF(B1837="","",IFERROR(INDEX(Categories!$B$5:$B$44,MATCH(B1837,Categories!$A$5:$A$44,0)),"?"))</f>
        <v/>
      </c>
      <c r="G1837">
        <f>IF(A1837="","",MONTH(A1837))</f>
        <v/>
      </c>
    </row>
    <row r="1838">
      <c r="A1838" s="25" t="n"/>
      <c r="B1838" s="11" t="n"/>
      <c r="C1838" s="24" t="n"/>
      <c r="D1838" s="11" t="n"/>
      <c r="E1838" s="11" t="n"/>
      <c r="F1838">
        <f>IF(B1838="","",IFERROR(INDEX(Categories!$B$5:$B$44,MATCH(B1838,Categories!$A$5:$A$44,0)),"?"))</f>
        <v/>
      </c>
      <c r="G1838">
        <f>IF(A1838="","",MONTH(A1838))</f>
        <v/>
      </c>
    </row>
    <row r="1839">
      <c r="A1839" s="25" t="n"/>
      <c r="B1839" s="11" t="n"/>
      <c r="C1839" s="24" t="n"/>
      <c r="D1839" s="11" t="n"/>
      <c r="E1839" s="11" t="n"/>
      <c r="F1839">
        <f>IF(B1839="","",IFERROR(INDEX(Categories!$B$5:$B$44,MATCH(B1839,Categories!$A$5:$A$44,0)),"?"))</f>
        <v/>
      </c>
      <c r="G1839">
        <f>IF(A1839="","",MONTH(A1839))</f>
        <v/>
      </c>
    </row>
    <row r="1840">
      <c r="A1840" s="25" t="n"/>
      <c r="B1840" s="11" t="n"/>
      <c r="C1840" s="24" t="n"/>
      <c r="D1840" s="11" t="n"/>
      <c r="E1840" s="11" t="n"/>
      <c r="F1840">
        <f>IF(B1840="","",IFERROR(INDEX(Categories!$B$5:$B$44,MATCH(B1840,Categories!$A$5:$A$44,0)),"?"))</f>
        <v/>
      </c>
      <c r="G1840">
        <f>IF(A1840="","",MONTH(A1840))</f>
        <v/>
      </c>
    </row>
    <row r="1841">
      <c r="A1841" s="25" t="n"/>
      <c r="B1841" s="11" t="n"/>
      <c r="C1841" s="24" t="n"/>
      <c r="D1841" s="11" t="n"/>
      <c r="E1841" s="11" t="n"/>
      <c r="F1841">
        <f>IF(B1841="","",IFERROR(INDEX(Categories!$B$5:$B$44,MATCH(B1841,Categories!$A$5:$A$44,0)),"?"))</f>
        <v/>
      </c>
      <c r="G1841">
        <f>IF(A1841="","",MONTH(A1841))</f>
        <v/>
      </c>
    </row>
    <row r="1842">
      <c r="A1842" s="25" t="n"/>
      <c r="B1842" s="11" t="n"/>
      <c r="C1842" s="24" t="n"/>
      <c r="D1842" s="11" t="n"/>
      <c r="E1842" s="11" t="n"/>
      <c r="F1842">
        <f>IF(B1842="","",IFERROR(INDEX(Categories!$B$5:$B$44,MATCH(B1842,Categories!$A$5:$A$44,0)),"?"))</f>
        <v/>
      </c>
      <c r="G1842">
        <f>IF(A1842="","",MONTH(A1842))</f>
        <v/>
      </c>
    </row>
    <row r="1843">
      <c r="A1843" s="25" t="n"/>
      <c r="B1843" s="11" t="n"/>
      <c r="C1843" s="24" t="n"/>
      <c r="D1843" s="11" t="n"/>
      <c r="E1843" s="11" t="n"/>
      <c r="F1843">
        <f>IF(B1843="","",IFERROR(INDEX(Categories!$B$5:$B$44,MATCH(B1843,Categories!$A$5:$A$44,0)),"?"))</f>
        <v/>
      </c>
      <c r="G1843">
        <f>IF(A1843="","",MONTH(A1843))</f>
        <v/>
      </c>
    </row>
    <row r="1844">
      <c r="A1844" s="25" t="n"/>
      <c r="B1844" s="11" t="n"/>
      <c r="C1844" s="24" t="n"/>
      <c r="D1844" s="11" t="n"/>
      <c r="E1844" s="11" t="n"/>
      <c r="F1844">
        <f>IF(B1844="","",IFERROR(INDEX(Categories!$B$5:$B$44,MATCH(B1844,Categories!$A$5:$A$44,0)),"?"))</f>
        <v/>
      </c>
      <c r="G1844">
        <f>IF(A1844="","",MONTH(A1844))</f>
        <v/>
      </c>
    </row>
    <row r="1845">
      <c r="A1845" s="25" t="n"/>
      <c r="B1845" s="11" t="n"/>
      <c r="C1845" s="24" t="n"/>
      <c r="D1845" s="11" t="n"/>
      <c r="E1845" s="11" t="n"/>
      <c r="F1845">
        <f>IF(B1845="","",IFERROR(INDEX(Categories!$B$5:$B$44,MATCH(B1845,Categories!$A$5:$A$44,0)),"?"))</f>
        <v/>
      </c>
      <c r="G1845">
        <f>IF(A1845="","",MONTH(A1845))</f>
        <v/>
      </c>
    </row>
    <row r="1846">
      <c r="A1846" s="25" t="n"/>
      <c r="B1846" s="11" t="n"/>
      <c r="C1846" s="24" t="n"/>
      <c r="D1846" s="11" t="n"/>
      <c r="E1846" s="11" t="n"/>
      <c r="F1846">
        <f>IF(B1846="","",IFERROR(INDEX(Categories!$B$5:$B$44,MATCH(B1846,Categories!$A$5:$A$44,0)),"?"))</f>
        <v/>
      </c>
      <c r="G1846">
        <f>IF(A1846="","",MONTH(A1846))</f>
        <v/>
      </c>
    </row>
    <row r="1847">
      <c r="A1847" s="25" t="n"/>
      <c r="B1847" s="11" t="n"/>
      <c r="C1847" s="24" t="n"/>
      <c r="D1847" s="11" t="n"/>
      <c r="E1847" s="11" t="n"/>
      <c r="F1847">
        <f>IF(B1847="","",IFERROR(INDEX(Categories!$B$5:$B$44,MATCH(B1847,Categories!$A$5:$A$44,0)),"?"))</f>
        <v/>
      </c>
      <c r="G1847">
        <f>IF(A1847="","",MONTH(A1847))</f>
        <v/>
      </c>
    </row>
    <row r="1848">
      <c r="A1848" s="25" t="n"/>
      <c r="B1848" s="11" t="n"/>
      <c r="C1848" s="24" t="n"/>
      <c r="D1848" s="11" t="n"/>
      <c r="E1848" s="11" t="n"/>
      <c r="F1848">
        <f>IF(B1848="","",IFERROR(INDEX(Categories!$B$5:$B$44,MATCH(B1848,Categories!$A$5:$A$44,0)),"?"))</f>
        <v/>
      </c>
      <c r="G1848">
        <f>IF(A1848="","",MONTH(A1848))</f>
        <v/>
      </c>
    </row>
    <row r="1849">
      <c r="A1849" s="25" t="n"/>
      <c r="B1849" s="11" t="n"/>
      <c r="C1849" s="24" t="n"/>
      <c r="D1849" s="11" t="n"/>
      <c r="E1849" s="11" t="n"/>
      <c r="F1849">
        <f>IF(B1849="","",IFERROR(INDEX(Categories!$B$5:$B$44,MATCH(B1849,Categories!$A$5:$A$44,0)),"?"))</f>
        <v/>
      </c>
      <c r="G1849">
        <f>IF(A1849="","",MONTH(A1849))</f>
        <v/>
      </c>
    </row>
    <row r="1850">
      <c r="A1850" s="25" t="n"/>
      <c r="B1850" s="11" t="n"/>
      <c r="C1850" s="24" t="n"/>
      <c r="D1850" s="11" t="n"/>
      <c r="E1850" s="11" t="n"/>
      <c r="F1850">
        <f>IF(B1850="","",IFERROR(INDEX(Categories!$B$5:$B$44,MATCH(B1850,Categories!$A$5:$A$44,0)),"?"))</f>
        <v/>
      </c>
      <c r="G1850">
        <f>IF(A1850="","",MONTH(A1850))</f>
        <v/>
      </c>
    </row>
    <row r="1851">
      <c r="A1851" s="25" t="n"/>
      <c r="B1851" s="11" t="n"/>
      <c r="C1851" s="24" t="n"/>
      <c r="D1851" s="11" t="n"/>
      <c r="E1851" s="11" t="n"/>
      <c r="F1851">
        <f>IF(B1851="","",IFERROR(INDEX(Categories!$B$5:$B$44,MATCH(B1851,Categories!$A$5:$A$44,0)),"?"))</f>
        <v/>
      </c>
      <c r="G1851">
        <f>IF(A1851="","",MONTH(A1851))</f>
        <v/>
      </c>
    </row>
    <row r="1852">
      <c r="A1852" s="25" t="n"/>
      <c r="B1852" s="11" t="n"/>
      <c r="C1852" s="24" t="n"/>
      <c r="D1852" s="11" t="n"/>
      <c r="E1852" s="11" t="n"/>
      <c r="F1852">
        <f>IF(B1852="","",IFERROR(INDEX(Categories!$B$5:$B$44,MATCH(B1852,Categories!$A$5:$A$44,0)),"?"))</f>
        <v/>
      </c>
      <c r="G1852">
        <f>IF(A1852="","",MONTH(A1852))</f>
        <v/>
      </c>
    </row>
    <row r="1853">
      <c r="A1853" s="25" t="n"/>
      <c r="B1853" s="11" t="n"/>
      <c r="C1853" s="24" t="n"/>
      <c r="D1853" s="11" t="n"/>
      <c r="E1853" s="11" t="n"/>
      <c r="F1853">
        <f>IF(B1853="","",IFERROR(INDEX(Categories!$B$5:$B$44,MATCH(B1853,Categories!$A$5:$A$44,0)),"?"))</f>
        <v/>
      </c>
      <c r="G1853">
        <f>IF(A1853="","",MONTH(A1853))</f>
        <v/>
      </c>
    </row>
    <row r="1854">
      <c r="A1854" s="25" t="n"/>
      <c r="B1854" s="11" t="n"/>
      <c r="C1854" s="24" t="n"/>
      <c r="D1854" s="11" t="n"/>
      <c r="E1854" s="11" t="n"/>
      <c r="F1854">
        <f>IF(B1854="","",IFERROR(INDEX(Categories!$B$5:$B$44,MATCH(B1854,Categories!$A$5:$A$44,0)),"?"))</f>
        <v/>
      </c>
      <c r="G1854">
        <f>IF(A1854="","",MONTH(A1854))</f>
        <v/>
      </c>
    </row>
    <row r="1855">
      <c r="A1855" s="25" t="n"/>
      <c r="B1855" s="11" t="n"/>
      <c r="C1855" s="24" t="n"/>
      <c r="D1855" s="11" t="n"/>
      <c r="E1855" s="11" t="n"/>
      <c r="F1855">
        <f>IF(B1855="","",IFERROR(INDEX(Categories!$B$5:$B$44,MATCH(B1855,Categories!$A$5:$A$44,0)),"?"))</f>
        <v/>
      </c>
      <c r="G1855">
        <f>IF(A1855="","",MONTH(A1855))</f>
        <v/>
      </c>
    </row>
    <row r="1856">
      <c r="A1856" s="25" t="n"/>
      <c r="B1856" s="11" t="n"/>
      <c r="C1856" s="24" t="n"/>
      <c r="D1856" s="11" t="n"/>
      <c r="E1856" s="11" t="n"/>
      <c r="F1856">
        <f>IF(B1856="","",IFERROR(INDEX(Categories!$B$5:$B$44,MATCH(B1856,Categories!$A$5:$A$44,0)),"?"))</f>
        <v/>
      </c>
      <c r="G1856">
        <f>IF(A1856="","",MONTH(A1856))</f>
        <v/>
      </c>
    </row>
    <row r="1857">
      <c r="A1857" s="25" t="n"/>
      <c r="B1857" s="11" t="n"/>
      <c r="C1857" s="24" t="n"/>
      <c r="D1857" s="11" t="n"/>
      <c r="E1857" s="11" t="n"/>
      <c r="F1857">
        <f>IF(B1857="","",IFERROR(INDEX(Categories!$B$5:$B$44,MATCH(B1857,Categories!$A$5:$A$44,0)),"?"))</f>
        <v/>
      </c>
      <c r="G1857">
        <f>IF(A1857="","",MONTH(A1857))</f>
        <v/>
      </c>
    </row>
    <row r="1858">
      <c r="A1858" s="25" t="n"/>
      <c r="B1858" s="11" t="n"/>
      <c r="C1858" s="24" t="n"/>
      <c r="D1858" s="11" t="n"/>
      <c r="E1858" s="11" t="n"/>
      <c r="F1858">
        <f>IF(B1858="","",IFERROR(INDEX(Categories!$B$5:$B$44,MATCH(B1858,Categories!$A$5:$A$44,0)),"?"))</f>
        <v/>
      </c>
      <c r="G1858">
        <f>IF(A1858="","",MONTH(A1858))</f>
        <v/>
      </c>
    </row>
    <row r="1859">
      <c r="A1859" s="25" t="n"/>
      <c r="B1859" s="11" t="n"/>
      <c r="C1859" s="24" t="n"/>
      <c r="D1859" s="11" t="n"/>
      <c r="E1859" s="11" t="n"/>
      <c r="F1859">
        <f>IF(B1859="","",IFERROR(INDEX(Categories!$B$5:$B$44,MATCH(B1859,Categories!$A$5:$A$44,0)),"?"))</f>
        <v/>
      </c>
      <c r="G1859">
        <f>IF(A1859="","",MONTH(A1859))</f>
        <v/>
      </c>
    </row>
    <row r="1860">
      <c r="A1860" s="25" t="n"/>
      <c r="B1860" s="11" t="n"/>
      <c r="C1860" s="24" t="n"/>
      <c r="D1860" s="11" t="n"/>
      <c r="E1860" s="11" t="n"/>
      <c r="F1860">
        <f>IF(B1860="","",IFERROR(INDEX(Categories!$B$5:$B$44,MATCH(B1860,Categories!$A$5:$A$44,0)),"?"))</f>
        <v/>
      </c>
      <c r="G1860">
        <f>IF(A1860="","",MONTH(A1860))</f>
        <v/>
      </c>
    </row>
    <row r="1861">
      <c r="A1861" s="25" t="n"/>
      <c r="B1861" s="11" t="n"/>
      <c r="C1861" s="24" t="n"/>
      <c r="D1861" s="11" t="n"/>
      <c r="E1861" s="11" t="n"/>
      <c r="F1861">
        <f>IF(B1861="","",IFERROR(INDEX(Categories!$B$5:$B$44,MATCH(B1861,Categories!$A$5:$A$44,0)),"?"))</f>
        <v/>
      </c>
      <c r="G1861">
        <f>IF(A1861="","",MONTH(A1861))</f>
        <v/>
      </c>
    </row>
    <row r="1862">
      <c r="A1862" s="25" t="n"/>
      <c r="B1862" s="11" t="n"/>
      <c r="C1862" s="24" t="n"/>
      <c r="D1862" s="11" t="n"/>
      <c r="E1862" s="11" t="n"/>
      <c r="F1862">
        <f>IF(B1862="","",IFERROR(INDEX(Categories!$B$5:$B$44,MATCH(B1862,Categories!$A$5:$A$44,0)),"?"))</f>
        <v/>
      </c>
      <c r="G1862">
        <f>IF(A1862="","",MONTH(A1862))</f>
        <v/>
      </c>
    </row>
    <row r="1863">
      <c r="A1863" s="25" t="n"/>
      <c r="B1863" s="11" t="n"/>
      <c r="C1863" s="24" t="n"/>
      <c r="D1863" s="11" t="n"/>
      <c r="E1863" s="11" t="n"/>
      <c r="F1863">
        <f>IF(B1863="","",IFERROR(INDEX(Categories!$B$5:$B$44,MATCH(B1863,Categories!$A$5:$A$44,0)),"?"))</f>
        <v/>
      </c>
      <c r="G1863">
        <f>IF(A1863="","",MONTH(A1863))</f>
        <v/>
      </c>
    </row>
    <row r="1864">
      <c r="A1864" s="25" t="n"/>
      <c r="B1864" s="11" t="n"/>
      <c r="C1864" s="24" t="n"/>
      <c r="D1864" s="11" t="n"/>
      <c r="E1864" s="11" t="n"/>
      <c r="F1864">
        <f>IF(B1864="","",IFERROR(INDEX(Categories!$B$5:$B$44,MATCH(B1864,Categories!$A$5:$A$44,0)),"?"))</f>
        <v/>
      </c>
      <c r="G1864">
        <f>IF(A1864="","",MONTH(A1864))</f>
        <v/>
      </c>
    </row>
    <row r="1865">
      <c r="A1865" s="25" t="n"/>
      <c r="B1865" s="11" t="n"/>
      <c r="C1865" s="24" t="n"/>
      <c r="D1865" s="11" t="n"/>
      <c r="E1865" s="11" t="n"/>
      <c r="F1865">
        <f>IF(B1865="","",IFERROR(INDEX(Categories!$B$5:$B$44,MATCH(B1865,Categories!$A$5:$A$44,0)),"?"))</f>
        <v/>
      </c>
      <c r="G1865">
        <f>IF(A1865="","",MONTH(A1865))</f>
        <v/>
      </c>
    </row>
    <row r="1866">
      <c r="A1866" s="25" t="n"/>
      <c r="B1866" s="11" t="n"/>
      <c r="C1866" s="24" t="n"/>
      <c r="D1866" s="11" t="n"/>
      <c r="E1866" s="11" t="n"/>
      <c r="F1866">
        <f>IF(B1866="","",IFERROR(INDEX(Categories!$B$5:$B$44,MATCH(B1866,Categories!$A$5:$A$44,0)),"?"))</f>
        <v/>
      </c>
      <c r="G1866">
        <f>IF(A1866="","",MONTH(A1866))</f>
        <v/>
      </c>
    </row>
    <row r="1867">
      <c r="A1867" s="25" t="n"/>
      <c r="B1867" s="11" t="n"/>
      <c r="C1867" s="24" t="n"/>
      <c r="D1867" s="11" t="n"/>
      <c r="E1867" s="11" t="n"/>
      <c r="F1867">
        <f>IF(B1867="","",IFERROR(INDEX(Categories!$B$5:$B$44,MATCH(B1867,Categories!$A$5:$A$44,0)),"?"))</f>
        <v/>
      </c>
      <c r="G1867">
        <f>IF(A1867="","",MONTH(A1867))</f>
        <v/>
      </c>
    </row>
    <row r="1868">
      <c r="A1868" s="25" t="n"/>
      <c r="B1868" s="11" t="n"/>
      <c r="C1868" s="24" t="n"/>
      <c r="D1868" s="11" t="n"/>
      <c r="E1868" s="11" t="n"/>
      <c r="F1868">
        <f>IF(B1868="","",IFERROR(INDEX(Categories!$B$5:$B$44,MATCH(B1868,Categories!$A$5:$A$44,0)),"?"))</f>
        <v/>
      </c>
      <c r="G1868">
        <f>IF(A1868="","",MONTH(A1868))</f>
        <v/>
      </c>
    </row>
    <row r="1869">
      <c r="A1869" s="25" t="n"/>
      <c r="B1869" s="11" t="n"/>
      <c r="C1869" s="24" t="n"/>
      <c r="D1869" s="11" t="n"/>
      <c r="E1869" s="11" t="n"/>
      <c r="F1869">
        <f>IF(B1869="","",IFERROR(INDEX(Categories!$B$5:$B$44,MATCH(B1869,Categories!$A$5:$A$44,0)),"?"))</f>
        <v/>
      </c>
      <c r="G1869">
        <f>IF(A1869="","",MONTH(A1869))</f>
        <v/>
      </c>
    </row>
    <row r="1870">
      <c r="A1870" s="25" t="n"/>
      <c r="B1870" s="11" t="n"/>
      <c r="C1870" s="24" t="n"/>
      <c r="D1870" s="11" t="n"/>
      <c r="E1870" s="11" t="n"/>
      <c r="F1870">
        <f>IF(B1870="","",IFERROR(INDEX(Categories!$B$5:$B$44,MATCH(B1870,Categories!$A$5:$A$44,0)),"?"))</f>
        <v/>
      </c>
      <c r="G1870">
        <f>IF(A1870="","",MONTH(A1870))</f>
        <v/>
      </c>
    </row>
    <row r="1871">
      <c r="A1871" s="25" t="n"/>
      <c r="B1871" s="11" t="n"/>
      <c r="C1871" s="24" t="n"/>
      <c r="D1871" s="11" t="n"/>
      <c r="E1871" s="11" t="n"/>
      <c r="F1871">
        <f>IF(B1871="","",IFERROR(INDEX(Categories!$B$5:$B$44,MATCH(B1871,Categories!$A$5:$A$44,0)),"?"))</f>
        <v/>
      </c>
      <c r="G1871">
        <f>IF(A1871="","",MONTH(A1871))</f>
        <v/>
      </c>
    </row>
    <row r="1872">
      <c r="A1872" s="25" t="n"/>
      <c r="B1872" s="11" t="n"/>
      <c r="C1872" s="24" t="n"/>
      <c r="D1872" s="11" t="n"/>
      <c r="E1872" s="11" t="n"/>
      <c r="F1872">
        <f>IF(B1872="","",IFERROR(INDEX(Categories!$B$5:$B$44,MATCH(B1872,Categories!$A$5:$A$44,0)),"?"))</f>
        <v/>
      </c>
      <c r="G1872">
        <f>IF(A1872="","",MONTH(A1872))</f>
        <v/>
      </c>
    </row>
    <row r="1873">
      <c r="A1873" s="25" t="n"/>
      <c r="B1873" s="11" t="n"/>
      <c r="C1873" s="24" t="n"/>
      <c r="D1873" s="11" t="n"/>
      <c r="E1873" s="11" t="n"/>
      <c r="F1873">
        <f>IF(B1873="","",IFERROR(INDEX(Categories!$B$5:$B$44,MATCH(B1873,Categories!$A$5:$A$44,0)),"?"))</f>
        <v/>
      </c>
      <c r="G1873">
        <f>IF(A1873="","",MONTH(A1873))</f>
        <v/>
      </c>
    </row>
    <row r="1874">
      <c r="A1874" s="25" t="n"/>
      <c r="B1874" s="11" t="n"/>
      <c r="C1874" s="24" t="n"/>
      <c r="D1874" s="11" t="n"/>
      <c r="E1874" s="11" t="n"/>
      <c r="F1874">
        <f>IF(B1874="","",IFERROR(INDEX(Categories!$B$5:$B$44,MATCH(B1874,Categories!$A$5:$A$44,0)),"?"))</f>
        <v/>
      </c>
      <c r="G1874">
        <f>IF(A1874="","",MONTH(A1874))</f>
        <v/>
      </c>
    </row>
    <row r="1875">
      <c r="A1875" s="25" t="n"/>
      <c r="B1875" s="11" t="n"/>
      <c r="C1875" s="24" t="n"/>
      <c r="D1875" s="11" t="n"/>
      <c r="E1875" s="11" t="n"/>
      <c r="F1875">
        <f>IF(B1875="","",IFERROR(INDEX(Categories!$B$5:$B$44,MATCH(B1875,Categories!$A$5:$A$44,0)),"?"))</f>
        <v/>
      </c>
      <c r="G1875">
        <f>IF(A1875="","",MONTH(A1875))</f>
        <v/>
      </c>
    </row>
    <row r="1876">
      <c r="A1876" s="25" t="n"/>
      <c r="B1876" s="11" t="n"/>
      <c r="C1876" s="24" t="n"/>
      <c r="D1876" s="11" t="n"/>
      <c r="E1876" s="11" t="n"/>
      <c r="F1876">
        <f>IF(B1876="","",IFERROR(INDEX(Categories!$B$5:$B$44,MATCH(B1876,Categories!$A$5:$A$44,0)),"?"))</f>
        <v/>
      </c>
      <c r="G1876">
        <f>IF(A1876="","",MONTH(A1876))</f>
        <v/>
      </c>
    </row>
    <row r="1877">
      <c r="A1877" s="25" t="n"/>
      <c r="B1877" s="11" t="n"/>
      <c r="C1877" s="24" t="n"/>
      <c r="D1877" s="11" t="n"/>
      <c r="E1877" s="11" t="n"/>
      <c r="F1877">
        <f>IF(B1877="","",IFERROR(INDEX(Categories!$B$5:$B$44,MATCH(B1877,Categories!$A$5:$A$44,0)),"?"))</f>
        <v/>
      </c>
      <c r="G1877">
        <f>IF(A1877="","",MONTH(A1877))</f>
        <v/>
      </c>
    </row>
    <row r="1878">
      <c r="A1878" s="25" t="n"/>
      <c r="B1878" s="11" t="n"/>
      <c r="C1878" s="24" t="n"/>
      <c r="D1878" s="11" t="n"/>
      <c r="E1878" s="11" t="n"/>
      <c r="F1878">
        <f>IF(B1878="","",IFERROR(INDEX(Categories!$B$5:$B$44,MATCH(B1878,Categories!$A$5:$A$44,0)),"?"))</f>
        <v/>
      </c>
      <c r="G1878">
        <f>IF(A1878="","",MONTH(A1878))</f>
        <v/>
      </c>
    </row>
    <row r="1879">
      <c r="A1879" s="25" t="n"/>
      <c r="B1879" s="11" t="n"/>
      <c r="C1879" s="24" t="n"/>
      <c r="D1879" s="11" t="n"/>
      <c r="E1879" s="11" t="n"/>
      <c r="F1879">
        <f>IF(B1879="","",IFERROR(INDEX(Categories!$B$5:$B$44,MATCH(B1879,Categories!$A$5:$A$44,0)),"?"))</f>
        <v/>
      </c>
      <c r="G1879">
        <f>IF(A1879="","",MONTH(A1879))</f>
        <v/>
      </c>
    </row>
    <row r="1880">
      <c r="A1880" s="25" t="n"/>
      <c r="B1880" s="11" t="n"/>
      <c r="C1880" s="24" t="n"/>
      <c r="D1880" s="11" t="n"/>
      <c r="E1880" s="11" t="n"/>
      <c r="F1880">
        <f>IF(B1880="","",IFERROR(INDEX(Categories!$B$5:$B$44,MATCH(B1880,Categories!$A$5:$A$44,0)),"?"))</f>
        <v/>
      </c>
      <c r="G1880">
        <f>IF(A1880="","",MONTH(A1880))</f>
        <v/>
      </c>
    </row>
    <row r="1881">
      <c r="A1881" s="25" t="n"/>
      <c r="B1881" s="11" t="n"/>
      <c r="C1881" s="24" t="n"/>
      <c r="D1881" s="11" t="n"/>
      <c r="E1881" s="11" t="n"/>
      <c r="F1881">
        <f>IF(B1881="","",IFERROR(INDEX(Categories!$B$5:$B$44,MATCH(B1881,Categories!$A$5:$A$44,0)),"?"))</f>
        <v/>
      </c>
      <c r="G1881">
        <f>IF(A1881="","",MONTH(A1881))</f>
        <v/>
      </c>
    </row>
    <row r="1882">
      <c r="A1882" s="25" t="n"/>
      <c r="B1882" s="11" t="n"/>
      <c r="C1882" s="24" t="n"/>
      <c r="D1882" s="11" t="n"/>
      <c r="E1882" s="11" t="n"/>
      <c r="F1882">
        <f>IF(B1882="","",IFERROR(INDEX(Categories!$B$5:$B$44,MATCH(B1882,Categories!$A$5:$A$44,0)),"?"))</f>
        <v/>
      </c>
      <c r="G1882">
        <f>IF(A1882="","",MONTH(A1882))</f>
        <v/>
      </c>
    </row>
    <row r="1883">
      <c r="A1883" s="25" t="n"/>
      <c r="B1883" s="11" t="n"/>
      <c r="C1883" s="24" t="n"/>
      <c r="D1883" s="11" t="n"/>
      <c r="E1883" s="11" t="n"/>
      <c r="F1883">
        <f>IF(B1883="","",IFERROR(INDEX(Categories!$B$5:$B$44,MATCH(B1883,Categories!$A$5:$A$44,0)),"?"))</f>
        <v/>
      </c>
      <c r="G1883">
        <f>IF(A1883="","",MONTH(A1883))</f>
        <v/>
      </c>
    </row>
    <row r="1884">
      <c r="A1884" s="25" t="n"/>
      <c r="B1884" s="11" t="n"/>
      <c r="C1884" s="24" t="n"/>
      <c r="D1884" s="11" t="n"/>
      <c r="E1884" s="11" t="n"/>
      <c r="F1884">
        <f>IF(B1884="","",IFERROR(INDEX(Categories!$B$5:$B$44,MATCH(B1884,Categories!$A$5:$A$44,0)),"?"))</f>
        <v/>
      </c>
      <c r="G1884">
        <f>IF(A1884="","",MONTH(A1884))</f>
        <v/>
      </c>
    </row>
    <row r="1885">
      <c r="A1885" s="25" t="n"/>
      <c r="B1885" s="11" t="n"/>
      <c r="C1885" s="24" t="n"/>
      <c r="D1885" s="11" t="n"/>
      <c r="E1885" s="11" t="n"/>
      <c r="F1885">
        <f>IF(B1885="","",IFERROR(INDEX(Categories!$B$5:$B$44,MATCH(B1885,Categories!$A$5:$A$44,0)),"?"))</f>
        <v/>
      </c>
      <c r="G1885">
        <f>IF(A1885="","",MONTH(A1885))</f>
        <v/>
      </c>
    </row>
    <row r="1886">
      <c r="A1886" s="25" t="n"/>
      <c r="B1886" s="11" t="n"/>
      <c r="C1886" s="24" t="n"/>
      <c r="D1886" s="11" t="n"/>
      <c r="E1886" s="11" t="n"/>
      <c r="F1886">
        <f>IF(B1886="","",IFERROR(INDEX(Categories!$B$5:$B$44,MATCH(B1886,Categories!$A$5:$A$44,0)),"?"))</f>
        <v/>
      </c>
      <c r="G1886">
        <f>IF(A1886="","",MONTH(A1886))</f>
        <v/>
      </c>
    </row>
    <row r="1887">
      <c r="A1887" s="25" t="n"/>
      <c r="B1887" s="11" t="n"/>
      <c r="C1887" s="24" t="n"/>
      <c r="D1887" s="11" t="n"/>
      <c r="E1887" s="11" t="n"/>
      <c r="F1887">
        <f>IF(B1887="","",IFERROR(INDEX(Categories!$B$5:$B$44,MATCH(B1887,Categories!$A$5:$A$44,0)),"?"))</f>
        <v/>
      </c>
      <c r="G1887">
        <f>IF(A1887="","",MONTH(A1887))</f>
        <v/>
      </c>
    </row>
    <row r="1888">
      <c r="A1888" s="25" t="n"/>
      <c r="B1888" s="11" t="n"/>
      <c r="C1888" s="24" t="n"/>
      <c r="D1888" s="11" t="n"/>
      <c r="E1888" s="11" t="n"/>
      <c r="F1888">
        <f>IF(B1888="","",IFERROR(INDEX(Categories!$B$5:$B$44,MATCH(B1888,Categories!$A$5:$A$44,0)),"?"))</f>
        <v/>
      </c>
      <c r="G1888">
        <f>IF(A1888="","",MONTH(A1888))</f>
        <v/>
      </c>
    </row>
    <row r="1889">
      <c r="A1889" s="25" t="n"/>
      <c r="B1889" s="11" t="n"/>
      <c r="C1889" s="24" t="n"/>
      <c r="D1889" s="11" t="n"/>
      <c r="E1889" s="11" t="n"/>
      <c r="F1889">
        <f>IF(B1889="","",IFERROR(INDEX(Categories!$B$5:$B$44,MATCH(B1889,Categories!$A$5:$A$44,0)),"?"))</f>
        <v/>
      </c>
      <c r="G1889">
        <f>IF(A1889="","",MONTH(A1889))</f>
        <v/>
      </c>
    </row>
    <row r="1890">
      <c r="A1890" s="25" t="n"/>
      <c r="B1890" s="11" t="n"/>
      <c r="C1890" s="24" t="n"/>
      <c r="D1890" s="11" t="n"/>
      <c r="E1890" s="11" t="n"/>
      <c r="F1890">
        <f>IF(B1890="","",IFERROR(INDEX(Categories!$B$5:$B$44,MATCH(B1890,Categories!$A$5:$A$44,0)),"?"))</f>
        <v/>
      </c>
      <c r="G1890">
        <f>IF(A1890="","",MONTH(A1890))</f>
        <v/>
      </c>
    </row>
    <row r="1891">
      <c r="A1891" s="25" t="n"/>
      <c r="B1891" s="11" t="n"/>
      <c r="C1891" s="24" t="n"/>
      <c r="D1891" s="11" t="n"/>
      <c r="E1891" s="11" t="n"/>
      <c r="F1891">
        <f>IF(B1891="","",IFERROR(INDEX(Categories!$B$5:$B$44,MATCH(B1891,Categories!$A$5:$A$44,0)),"?"))</f>
        <v/>
      </c>
      <c r="G1891">
        <f>IF(A1891="","",MONTH(A1891))</f>
        <v/>
      </c>
    </row>
    <row r="1892">
      <c r="A1892" s="25" t="n"/>
      <c r="B1892" s="11" t="n"/>
      <c r="C1892" s="24" t="n"/>
      <c r="D1892" s="11" t="n"/>
      <c r="E1892" s="11" t="n"/>
      <c r="F1892">
        <f>IF(B1892="","",IFERROR(INDEX(Categories!$B$5:$B$44,MATCH(B1892,Categories!$A$5:$A$44,0)),"?"))</f>
        <v/>
      </c>
      <c r="G1892">
        <f>IF(A1892="","",MONTH(A1892))</f>
        <v/>
      </c>
    </row>
    <row r="1893">
      <c r="A1893" s="25" t="n"/>
      <c r="B1893" s="11" t="n"/>
      <c r="C1893" s="24" t="n"/>
      <c r="D1893" s="11" t="n"/>
      <c r="E1893" s="11" t="n"/>
      <c r="F1893">
        <f>IF(B1893="","",IFERROR(INDEX(Categories!$B$5:$B$44,MATCH(B1893,Categories!$A$5:$A$44,0)),"?"))</f>
        <v/>
      </c>
      <c r="G1893">
        <f>IF(A1893="","",MONTH(A1893))</f>
        <v/>
      </c>
    </row>
    <row r="1894">
      <c r="A1894" s="25" t="n"/>
      <c r="B1894" s="11" t="n"/>
      <c r="C1894" s="24" t="n"/>
      <c r="D1894" s="11" t="n"/>
      <c r="E1894" s="11" t="n"/>
      <c r="F1894">
        <f>IF(B1894="","",IFERROR(INDEX(Categories!$B$5:$B$44,MATCH(B1894,Categories!$A$5:$A$44,0)),"?"))</f>
        <v/>
      </c>
      <c r="G1894">
        <f>IF(A1894="","",MONTH(A1894))</f>
        <v/>
      </c>
    </row>
    <row r="1895">
      <c r="A1895" s="25" t="n"/>
      <c r="B1895" s="11" t="n"/>
      <c r="C1895" s="24" t="n"/>
      <c r="D1895" s="11" t="n"/>
      <c r="E1895" s="11" t="n"/>
      <c r="F1895">
        <f>IF(B1895="","",IFERROR(INDEX(Categories!$B$5:$B$44,MATCH(B1895,Categories!$A$5:$A$44,0)),"?"))</f>
        <v/>
      </c>
      <c r="G1895">
        <f>IF(A1895="","",MONTH(A1895))</f>
        <v/>
      </c>
    </row>
    <row r="1896">
      <c r="A1896" s="25" t="n"/>
      <c r="B1896" s="11" t="n"/>
      <c r="C1896" s="24" t="n"/>
      <c r="D1896" s="11" t="n"/>
      <c r="E1896" s="11" t="n"/>
      <c r="F1896">
        <f>IF(B1896="","",IFERROR(INDEX(Categories!$B$5:$B$44,MATCH(B1896,Categories!$A$5:$A$44,0)),"?"))</f>
        <v/>
      </c>
      <c r="G1896">
        <f>IF(A1896="","",MONTH(A1896))</f>
        <v/>
      </c>
    </row>
    <row r="1897">
      <c r="A1897" s="25" t="n"/>
      <c r="B1897" s="11" t="n"/>
      <c r="C1897" s="24" t="n"/>
      <c r="D1897" s="11" t="n"/>
      <c r="E1897" s="11" t="n"/>
      <c r="F1897">
        <f>IF(B1897="","",IFERROR(INDEX(Categories!$B$5:$B$44,MATCH(B1897,Categories!$A$5:$A$44,0)),"?"))</f>
        <v/>
      </c>
      <c r="G1897">
        <f>IF(A1897="","",MONTH(A1897))</f>
        <v/>
      </c>
    </row>
    <row r="1898">
      <c r="A1898" s="25" t="n"/>
      <c r="B1898" s="11" t="n"/>
      <c r="C1898" s="24" t="n"/>
      <c r="D1898" s="11" t="n"/>
      <c r="E1898" s="11" t="n"/>
      <c r="F1898">
        <f>IF(B1898="","",IFERROR(INDEX(Categories!$B$5:$B$44,MATCH(B1898,Categories!$A$5:$A$44,0)),"?"))</f>
        <v/>
      </c>
      <c r="G1898">
        <f>IF(A1898="","",MONTH(A1898))</f>
        <v/>
      </c>
    </row>
    <row r="1899">
      <c r="A1899" s="25" t="n"/>
      <c r="B1899" s="11" t="n"/>
      <c r="C1899" s="24" t="n"/>
      <c r="D1899" s="11" t="n"/>
      <c r="E1899" s="11" t="n"/>
      <c r="F1899">
        <f>IF(B1899="","",IFERROR(INDEX(Categories!$B$5:$B$44,MATCH(B1899,Categories!$A$5:$A$44,0)),"?"))</f>
        <v/>
      </c>
      <c r="G1899">
        <f>IF(A1899="","",MONTH(A1899))</f>
        <v/>
      </c>
    </row>
    <row r="1900">
      <c r="A1900" s="25" t="n"/>
      <c r="B1900" s="11" t="n"/>
      <c r="C1900" s="24" t="n"/>
      <c r="D1900" s="11" t="n"/>
      <c r="E1900" s="11" t="n"/>
      <c r="F1900">
        <f>IF(B1900="","",IFERROR(INDEX(Categories!$B$5:$B$44,MATCH(B1900,Categories!$A$5:$A$44,0)),"?"))</f>
        <v/>
      </c>
      <c r="G1900">
        <f>IF(A1900="","",MONTH(A1900))</f>
        <v/>
      </c>
    </row>
    <row r="1901">
      <c r="A1901" s="25" t="n"/>
      <c r="B1901" s="11" t="n"/>
      <c r="C1901" s="24" t="n"/>
      <c r="D1901" s="11" t="n"/>
      <c r="E1901" s="11" t="n"/>
      <c r="F1901">
        <f>IF(B1901="","",IFERROR(INDEX(Categories!$B$5:$B$44,MATCH(B1901,Categories!$A$5:$A$44,0)),"?"))</f>
        <v/>
      </c>
      <c r="G1901">
        <f>IF(A1901="","",MONTH(A1901))</f>
        <v/>
      </c>
    </row>
    <row r="1902">
      <c r="A1902" s="25" t="n"/>
      <c r="B1902" s="11" t="n"/>
      <c r="C1902" s="24" t="n"/>
      <c r="D1902" s="11" t="n"/>
      <c r="E1902" s="11" t="n"/>
      <c r="F1902">
        <f>IF(B1902="","",IFERROR(INDEX(Categories!$B$5:$B$44,MATCH(B1902,Categories!$A$5:$A$44,0)),"?"))</f>
        <v/>
      </c>
      <c r="G1902">
        <f>IF(A1902="","",MONTH(A1902))</f>
        <v/>
      </c>
    </row>
    <row r="1903">
      <c r="A1903" s="25" t="n"/>
      <c r="B1903" s="11" t="n"/>
      <c r="C1903" s="24" t="n"/>
      <c r="D1903" s="11" t="n"/>
      <c r="E1903" s="11" t="n"/>
      <c r="F1903">
        <f>IF(B1903="","",IFERROR(INDEX(Categories!$B$5:$B$44,MATCH(B1903,Categories!$A$5:$A$44,0)),"?"))</f>
        <v/>
      </c>
      <c r="G1903">
        <f>IF(A1903="","",MONTH(A1903))</f>
        <v/>
      </c>
    </row>
    <row r="1904">
      <c r="A1904" s="25" t="n"/>
      <c r="B1904" s="11" t="n"/>
      <c r="C1904" s="24" t="n"/>
      <c r="D1904" s="11" t="n"/>
      <c r="E1904" s="11" t="n"/>
      <c r="F1904">
        <f>IF(B1904="","",IFERROR(INDEX(Categories!$B$5:$B$44,MATCH(B1904,Categories!$A$5:$A$44,0)),"?"))</f>
        <v/>
      </c>
      <c r="G1904">
        <f>IF(A1904="","",MONTH(A1904))</f>
        <v/>
      </c>
    </row>
    <row r="1905">
      <c r="A1905" s="25" t="n"/>
      <c r="B1905" s="11" t="n"/>
      <c r="C1905" s="24" t="n"/>
      <c r="D1905" s="11" t="n"/>
      <c r="E1905" s="11" t="n"/>
      <c r="F1905">
        <f>IF(B1905="","",IFERROR(INDEX(Categories!$B$5:$B$44,MATCH(B1905,Categories!$A$5:$A$44,0)),"?"))</f>
        <v/>
      </c>
      <c r="G1905">
        <f>IF(A1905="","",MONTH(A1905))</f>
        <v/>
      </c>
    </row>
    <row r="1906">
      <c r="A1906" s="25" t="n"/>
      <c r="B1906" s="11" t="n"/>
      <c r="C1906" s="24" t="n"/>
      <c r="D1906" s="11" t="n"/>
      <c r="E1906" s="11" t="n"/>
      <c r="F1906">
        <f>IF(B1906="","",IFERROR(INDEX(Categories!$B$5:$B$44,MATCH(B1906,Categories!$A$5:$A$44,0)),"?"))</f>
        <v/>
      </c>
      <c r="G1906">
        <f>IF(A1906="","",MONTH(A1906))</f>
        <v/>
      </c>
    </row>
    <row r="1907">
      <c r="A1907" s="25" t="n"/>
      <c r="B1907" s="11" t="n"/>
      <c r="C1907" s="24" t="n"/>
      <c r="D1907" s="11" t="n"/>
      <c r="E1907" s="11" t="n"/>
      <c r="F1907">
        <f>IF(B1907="","",IFERROR(INDEX(Categories!$B$5:$B$44,MATCH(B1907,Categories!$A$5:$A$44,0)),"?"))</f>
        <v/>
      </c>
      <c r="G1907">
        <f>IF(A1907="","",MONTH(A1907))</f>
        <v/>
      </c>
    </row>
    <row r="1908">
      <c r="A1908" s="25" t="n"/>
      <c r="B1908" s="11" t="n"/>
      <c r="C1908" s="24" t="n"/>
      <c r="D1908" s="11" t="n"/>
      <c r="E1908" s="11" t="n"/>
      <c r="F1908">
        <f>IF(B1908="","",IFERROR(INDEX(Categories!$B$5:$B$44,MATCH(B1908,Categories!$A$5:$A$44,0)),"?"))</f>
        <v/>
      </c>
      <c r="G1908">
        <f>IF(A1908="","",MONTH(A1908))</f>
        <v/>
      </c>
    </row>
    <row r="1909">
      <c r="A1909" s="25" t="n"/>
      <c r="B1909" s="11" t="n"/>
      <c r="C1909" s="24" t="n"/>
      <c r="D1909" s="11" t="n"/>
      <c r="E1909" s="11" t="n"/>
      <c r="F1909">
        <f>IF(B1909="","",IFERROR(INDEX(Categories!$B$5:$B$44,MATCH(B1909,Categories!$A$5:$A$44,0)),"?"))</f>
        <v/>
      </c>
      <c r="G1909">
        <f>IF(A1909="","",MONTH(A1909))</f>
        <v/>
      </c>
    </row>
    <row r="1910">
      <c r="A1910" s="25" t="n"/>
      <c r="B1910" s="11" t="n"/>
      <c r="C1910" s="24" t="n"/>
      <c r="D1910" s="11" t="n"/>
      <c r="E1910" s="11" t="n"/>
      <c r="F1910">
        <f>IF(B1910="","",IFERROR(INDEX(Categories!$B$5:$B$44,MATCH(B1910,Categories!$A$5:$A$44,0)),"?"))</f>
        <v/>
      </c>
      <c r="G1910">
        <f>IF(A1910="","",MONTH(A1910))</f>
        <v/>
      </c>
    </row>
    <row r="1911">
      <c r="A1911" s="25" t="n"/>
      <c r="B1911" s="11" t="n"/>
      <c r="C1911" s="24" t="n"/>
      <c r="D1911" s="11" t="n"/>
      <c r="E1911" s="11" t="n"/>
      <c r="F1911">
        <f>IF(B1911="","",IFERROR(INDEX(Categories!$B$5:$B$44,MATCH(B1911,Categories!$A$5:$A$44,0)),"?"))</f>
        <v/>
      </c>
      <c r="G1911">
        <f>IF(A1911="","",MONTH(A1911))</f>
        <v/>
      </c>
    </row>
    <row r="1912">
      <c r="A1912" s="25" t="n"/>
      <c r="B1912" s="11" t="n"/>
      <c r="C1912" s="24" t="n"/>
      <c r="D1912" s="11" t="n"/>
      <c r="E1912" s="11" t="n"/>
      <c r="F1912">
        <f>IF(B1912="","",IFERROR(INDEX(Categories!$B$5:$B$44,MATCH(B1912,Categories!$A$5:$A$44,0)),"?"))</f>
        <v/>
      </c>
      <c r="G1912">
        <f>IF(A1912="","",MONTH(A1912))</f>
        <v/>
      </c>
    </row>
    <row r="1913">
      <c r="A1913" s="25" t="n"/>
      <c r="B1913" s="11" t="n"/>
      <c r="C1913" s="24" t="n"/>
      <c r="D1913" s="11" t="n"/>
      <c r="E1913" s="11" t="n"/>
      <c r="F1913">
        <f>IF(B1913="","",IFERROR(INDEX(Categories!$B$5:$B$44,MATCH(B1913,Categories!$A$5:$A$44,0)),"?"))</f>
        <v/>
      </c>
      <c r="G1913">
        <f>IF(A1913="","",MONTH(A1913))</f>
        <v/>
      </c>
    </row>
    <row r="1914">
      <c r="A1914" s="25" t="n"/>
      <c r="B1914" s="11" t="n"/>
      <c r="C1914" s="24" t="n"/>
      <c r="D1914" s="11" t="n"/>
      <c r="E1914" s="11" t="n"/>
      <c r="F1914">
        <f>IF(B1914="","",IFERROR(INDEX(Categories!$B$5:$B$44,MATCH(B1914,Categories!$A$5:$A$44,0)),"?"))</f>
        <v/>
      </c>
      <c r="G1914">
        <f>IF(A1914="","",MONTH(A1914))</f>
        <v/>
      </c>
    </row>
    <row r="1915">
      <c r="A1915" s="25" t="n"/>
      <c r="B1915" s="11" t="n"/>
      <c r="C1915" s="24" t="n"/>
      <c r="D1915" s="11" t="n"/>
      <c r="E1915" s="11" t="n"/>
      <c r="F1915">
        <f>IF(B1915="","",IFERROR(INDEX(Categories!$B$5:$B$44,MATCH(B1915,Categories!$A$5:$A$44,0)),"?"))</f>
        <v/>
      </c>
      <c r="G1915">
        <f>IF(A1915="","",MONTH(A1915))</f>
        <v/>
      </c>
    </row>
    <row r="1916">
      <c r="A1916" s="25" t="n"/>
      <c r="B1916" s="11" t="n"/>
      <c r="C1916" s="24" t="n"/>
      <c r="D1916" s="11" t="n"/>
      <c r="E1916" s="11" t="n"/>
      <c r="F1916">
        <f>IF(B1916="","",IFERROR(INDEX(Categories!$B$5:$B$44,MATCH(B1916,Categories!$A$5:$A$44,0)),"?"))</f>
        <v/>
      </c>
      <c r="G1916">
        <f>IF(A1916="","",MONTH(A1916))</f>
        <v/>
      </c>
    </row>
    <row r="1917">
      <c r="A1917" s="25" t="n"/>
      <c r="B1917" s="11" t="n"/>
      <c r="C1917" s="24" t="n"/>
      <c r="D1917" s="11" t="n"/>
      <c r="E1917" s="11" t="n"/>
      <c r="F1917">
        <f>IF(B1917="","",IFERROR(INDEX(Categories!$B$5:$B$44,MATCH(B1917,Categories!$A$5:$A$44,0)),"?"))</f>
        <v/>
      </c>
      <c r="G1917">
        <f>IF(A1917="","",MONTH(A1917))</f>
        <v/>
      </c>
    </row>
    <row r="1918">
      <c r="A1918" s="25" t="n"/>
      <c r="B1918" s="11" t="n"/>
      <c r="C1918" s="24" t="n"/>
      <c r="D1918" s="11" t="n"/>
      <c r="E1918" s="11" t="n"/>
      <c r="F1918">
        <f>IF(B1918="","",IFERROR(INDEX(Categories!$B$5:$B$44,MATCH(B1918,Categories!$A$5:$A$44,0)),"?"))</f>
        <v/>
      </c>
      <c r="G1918">
        <f>IF(A1918="","",MONTH(A1918))</f>
        <v/>
      </c>
    </row>
    <row r="1919">
      <c r="A1919" s="25" t="n"/>
      <c r="B1919" s="11" t="n"/>
      <c r="C1919" s="24" t="n"/>
      <c r="D1919" s="11" t="n"/>
      <c r="E1919" s="11" t="n"/>
      <c r="F1919">
        <f>IF(B1919="","",IFERROR(INDEX(Categories!$B$5:$B$44,MATCH(B1919,Categories!$A$5:$A$44,0)),"?"))</f>
        <v/>
      </c>
      <c r="G1919">
        <f>IF(A1919="","",MONTH(A1919))</f>
        <v/>
      </c>
    </row>
    <row r="1920">
      <c r="A1920" s="25" t="n"/>
      <c r="B1920" s="11" t="n"/>
      <c r="C1920" s="24" t="n"/>
      <c r="D1920" s="11" t="n"/>
      <c r="E1920" s="11" t="n"/>
      <c r="F1920">
        <f>IF(B1920="","",IFERROR(INDEX(Categories!$B$5:$B$44,MATCH(B1920,Categories!$A$5:$A$44,0)),"?"))</f>
        <v/>
      </c>
      <c r="G1920">
        <f>IF(A1920="","",MONTH(A1920))</f>
        <v/>
      </c>
    </row>
    <row r="1921">
      <c r="A1921" s="25" t="n"/>
      <c r="B1921" s="11" t="n"/>
      <c r="C1921" s="24" t="n"/>
      <c r="D1921" s="11" t="n"/>
      <c r="E1921" s="11" t="n"/>
      <c r="F1921">
        <f>IF(B1921="","",IFERROR(INDEX(Categories!$B$5:$B$44,MATCH(B1921,Categories!$A$5:$A$44,0)),"?"))</f>
        <v/>
      </c>
      <c r="G1921">
        <f>IF(A1921="","",MONTH(A1921))</f>
        <v/>
      </c>
    </row>
    <row r="1922">
      <c r="A1922" s="25" t="n"/>
      <c r="B1922" s="11" t="n"/>
      <c r="C1922" s="24" t="n"/>
      <c r="D1922" s="11" t="n"/>
      <c r="E1922" s="11" t="n"/>
      <c r="F1922">
        <f>IF(B1922="","",IFERROR(INDEX(Categories!$B$5:$B$44,MATCH(B1922,Categories!$A$5:$A$44,0)),"?"))</f>
        <v/>
      </c>
      <c r="G1922">
        <f>IF(A1922="","",MONTH(A1922))</f>
        <v/>
      </c>
    </row>
    <row r="1923">
      <c r="A1923" s="25" t="n"/>
      <c r="B1923" s="11" t="n"/>
      <c r="C1923" s="24" t="n"/>
      <c r="D1923" s="11" t="n"/>
      <c r="E1923" s="11" t="n"/>
      <c r="F1923">
        <f>IF(B1923="","",IFERROR(INDEX(Categories!$B$5:$B$44,MATCH(B1923,Categories!$A$5:$A$44,0)),"?"))</f>
        <v/>
      </c>
      <c r="G1923">
        <f>IF(A1923="","",MONTH(A1923))</f>
        <v/>
      </c>
    </row>
    <row r="1924">
      <c r="A1924" s="25" t="n"/>
      <c r="B1924" s="11" t="n"/>
      <c r="C1924" s="24" t="n"/>
      <c r="D1924" s="11" t="n"/>
      <c r="E1924" s="11" t="n"/>
      <c r="F1924">
        <f>IF(B1924="","",IFERROR(INDEX(Categories!$B$5:$B$44,MATCH(B1924,Categories!$A$5:$A$44,0)),"?"))</f>
        <v/>
      </c>
      <c r="G1924">
        <f>IF(A1924="","",MONTH(A1924))</f>
        <v/>
      </c>
    </row>
    <row r="1925">
      <c r="A1925" s="25" t="n"/>
      <c r="B1925" s="11" t="n"/>
      <c r="C1925" s="24" t="n"/>
      <c r="D1925" s="11" t="n"/>
      <c r="E1925" s="11" t="n"/>
      <c r="F1925">
        <f>IF(B1925="","",IFERROR(INDEX(Categories!$B$5:$B$44,MATCH(B1925,Categories!$A$5:$A$44,0)),"?"))</f>
        <v/>
      </c>
      <c r="G1925">
        <f>IF(A1925="","",MONTH(A1925))</f>
        <v/>
      </c>
    </row>
    <row r="1926">
      <c r="A1926" s="25" t="n"/>
      <c r="B1926" s="11" t="n"/>
      <c r="C1926" s="24" t="n"/>
      <c r="D1926" s="11" t="n"/>
      <c r="E1926" s="11" t="n"/>
      <c r="F1926">
        <f>IF(B1926="","",IFERROR(INDEX(Categories!$B$5:$B$44,MATCH(B1926,Categories!$A$5:$A$44,0)),"?"))</f>
        <v/>
      </c>
      <c r="G1926">
        <f>IF(A1926="","",MONTH(A1926))</f>
        <v/>
      </c>
    </row>
    <row r="1927">
      <c r="A1927" s="25" t="n"/>
      <c r="B1927" s="11" t="n"/>
      <c r="C1927" s="24" t="n"/>
      <c r="D1927" s="11" t="n"/>
      <c r="E1927" s="11" t="n"/>
      <c r="F1927">
        <f>IF(B1927="","",IFERROR(INDEX(Categories!$B$5:$B$44,MATCH(B1927,Categories!$A$5:$A$44,0)),"?"))</f>
        <v/>
      </c>
      <c r="G1927">
        <f>IF(A1927="","",MONTH(A1927))</f>
        <v/>
      </c>
    </row>
    <row r="1928">
      <c r="A1928" s="25" t="n"/>
      <c r="B1928" s="11" t="n"/>
      <c r="C1928" s="24" t="n"/>
      <c r="D1928" s="11" t="n"/>
      <c r="E1928" s="11" t="n"/>
      <c r="F1928">
        <f>IF(B1928="","",IFERROR(INDEX(Categories!$B$5:$B$44,MATCH(B1928,Categories!$A$5:$A$44,0)),"?"))</f>
        <v/>
      </c>
      <c r="G1928">
        <f>IF(A1928="","",MONTH(A1928))</f>
        <v/>
      </c>
    </row>
    <row r="1929">
      <c r="A1929" s="25" t="n"/>
      <c r="B1929" s="11" t="n"/>
      <c r="C1929" s="24" t="n"/>
      <c r="D1929" s="11" t="n"/>
      <c r="E1929" s="11" t="n"/>
      <c r="F1929">
        <f>IF(B1929="","",IFERROR(INDEX(Categories!$B$5:$B$44,MATCH(B1929,Categories!$A$5:$A$44,0)),"?"))</f>
        <v/>
      </c>
      <c r="G1929">
        <f>IF(A1929="","",MONTH(A1929))</f>
        <v/>
      </c>
    </row>
    <row r="1930">
      <c r="A1930" s="25" t="n"/>
      <c r="B1930" s="11" t="n"/>
      <c r="C1930" s="24" t="n"/>
      <c r="D1930" s="11" t="n"/>
      <c r="E1930" s="11" t="n"/>
      <c r="F1930">
        <f>IF(B1930="","",IFERROR(INDEX(Categories!$B$5:$B$44,MATCH(B1930,Categories!$A$5:$A$44,0)),"?"))</f>
        <v/>
      </c>
      <c r="G1930">
        <f>IF(A1930="","",MONTH(A1930))</f>
        <v/>
      </c>
    </row>
    <row r="1931">
      <c r="A1931" s="25" t="n"/>
      <c r="B1931" s="11" t="n"/>
      <c r="C1931" s="24" t="n"/>
      <c r="D1931" s="11" t="n"/>
      <c r="E1931" s="11" t="n"/>
      <c r="F1931">
        <f>IF(B1931="","",IFERROR(INDEX(Categories!$B$5:$B$44,MATCH(B1931,Categories!$A$5:$A$44,0)),"?"))</f>
        <v/>
      </c>
      <c r="G1931">
        <f>IF(A1931="","",MONTH(A1931))</f>
        <v/>
      </c>
    </row>
    <row r="1932">
      <c r="A1932" s="25" t="n"/>
      <c r="B1932" s="11" t="n"/>
      <c r="C1932" s="24" t="n"/>
      <c r="D1932" s="11" t="n"/>
      <c r="E1932" s="11" t="n"/>
      <c r="F1932">
        <f>IF(B1932="","",IFERROR(INDEX(Categories!$B$5:$B$44,MATCH(B1932,Categories!$A$5:$A$44,0)),"?"))</f>
        <v/>
      </c>
      <c r="G1932">
        <f>IF(A1932="","",MONTH(A1932))</f>
        <v/>
      </c>
    </row>
    <row r="1933">
      <c r="A1933" s="25" t="n"/>
      <c r="B1933" s="11" t="n"/>
      <c r="C1933" s="24" t="n"/>
      <c r="D1933" s="11" t="n"/>
      <c r="E1933" s="11" t="n"/>
      <c r="F1933">
        <f>IF(B1933="","",IFERROR(INDEX(Categories!$B$5:$B$44,MATCH(B1933,Categories!$A$5:$A$44,0)),"?"))</f>
        <v/>
      </c>
      <c r="G1933">
        <f>IF(A1933="","",MONTH(A1933))</f>
        <v/>
      </c>
    </row>
    <row r="1934">
      <c r="A1934" s="25" t="n"/>
      <c r="B1934" s="11" t="n"/>
      <c r="C1934" s="24" t="n"/>
      <c r="D1934" s="11" t="n"/>
      <c r="E1934" s="11" t="n"/>
      <c r="F1934">
        <f>IF(B1934="","",IFERROR(INDEX(Categories!$B$5:$B$44,MATCH(B1934,Categories!$A$5:$A$44,0)),"?"))</f>
        <v/>
      </c>
      <c r="G1934">
        <f>IF(A1934="","",MONTH(A1934))</f>
        <v/>
      </c>
    </row>
    <row r="1935">
      <c r="A1935" s="25" t="n"/>
      <c r="B1935" s="11" t="n"/>
      <c r="C1935" s="24" t="n"/>
      <c r="D1935" s="11" t="n"/>
      <c r="E1935" s="11" t="n"/>
      <c r="F1935">
        <f>IF(B1935="","",IFERROR(INDEX(Categories!$B$5:$B$44,MATCH(B1935,Categories!$A$5:$A$44,0)),"?"))</f>
        <v/>
      </c>
      <c r="G1935">
        <f>IF(A1935="","",MONTH(A1935))</f>
        <v/>
      </c>
    </row>
    <row r="1936">
      <c r="A1936" s="25" t="n"/>
      <c r="B1936" s="11" t="n"/>
      <c r="C1936" s="24" t="n"/>
      <c r="D1936" s="11" t="n"/>
      <c r="E1936" s="11" t="n"/>
      <c r="F1936">
        <f>IF(B1936="","",IFERROR(INDEX(Categories!$B$5:$B$44,MATCH(B1936,Categories!$A$5:$A$44,0)),"?"))</f>
        <v/>
      </c>
      <c r="G1936">
        <f>IF(A1936="","",MONTH(A1936))</f>
        <v/>
      </c>
    </row>
    <row r="1937">
      <c r="A1937" s="25" t="n"/>
      <c r="B1937" s="11" t="n"/>
      <c r="C1937" s="24" t="n"/>
      <c r="D1937" s="11" t="n"/>
      <c r="E1937" s="11" t="n"/>
      <c r="F1937">
        <f>IF(B1937="","",IFERROR(INDEX(Categories!$B$5:$B$44,MATCH(B1937,Categories!$A$5:$A$44,0)),"?"))</f>
        <v/>
      </c>
      <c r="G1937">
        <f>IF(A1937="","",MONTH(A1937))</f>
        <v/>
      </c>
    </row>
    <row r="1938">
      <c r="A1938" s="25" t="n"/>
      <c r="B1938" s="11" t="n"/>
      <c r="C1938" s="24" t="n"/>
      <c r="D1938" s="11" t="n"/>
      <c r="E1938" s="11" t="n"/>
      <c r="F1938">
        <f>IF(B1938="","",IFERROR(INDEX(Categories!$B$5:$B$44,MATCH(B1938,Categories!$A$5:$A$44,0)),"?"))</f>
        <v/>
      </c>
      <c r="G1938">
        <f>IF(A1938="","",MONTH(A1938))</f>
        <v/>
      </c>
    </row>
    <row r="1939">
      <c r="A1939" s="25" t="n"/>
      <c r="B1939" s="11" t="n"/>
      <c r="C1939" s="24" t="n"/>
      <c r="D1939" s="11" t="n"/>
      <c r="E1939" s="11" t="n"/>
      <c r="F1939">
        <f>IF(B1939="","",IFERROR(INDEX(Categories!$B$5:$B$44,MATCH(B1939,Categories!$A$5:$A$44,0)),"?"))</f>
        <v/>
      </c>
      <c r="G1939">
        <f>IF(A1939="","",MONTH(A1939))</f>
        <v/>
      </c>
    </row>
    <row r="1940">
      <c r="A1940" s="25" t="n"/>
      <c r="B1940" s="11" t="n"/>
      <c r="C1940" s="24" t="n"/>
      <c r="D1940" s="11" t="n"/>
      <c r="E1940" s="11" t="n"/>
      <c r="F1940">
        <f>IF(B1940="","",IFERROR(INDEX(Categories!$B$5:$B$44,MATCH(B1940,Categories!$A$5:$A$44,0)),"?"))</f>
        <v/>
      </c>
      <c r="G1940">
        <f>IF(A1940="","",MONTH(A1940))</f>
        <v/>
      </c>
    </row>
    <row r="1941">
      <c r="A1941" s="25" t="n"/>
      <c r="B1941" s="11" t="n"/>
      <c r="C1941" s="24" t="n"/>
      <c r="D1941" s="11" t="n"/>
      <c r="E1941" s="11" t="n"/>
      <c r="F1941">
        <f>IF(B1941="","",IFERROR(INDEX(Categories!$B$5:$B$44,MATCH(B1941,Categories!$A$5:$A$44,0)),"?"))</f>
        <v/>
      </c>
      <c r="G1941">
        <f>IF(A1941="","",MONTH(A1941))</f>
        <v/>
      </c>
    </row>
    <row r="1942">
      <c r="A1942" s="25" t="n"/>
      <c r="B1942" s="11" t="n"/>
      <c r="C1942" s="24" t="n"/>
      <c r="D1942" s="11" t="n"/>
      <c r="E1942" s="11" t="n"/>
      <c r="F1942">
        <f>IF(B1942="","",IFERROR(INDEX(Categories!$B$5:$B$44,MATCH(B1942,Categories!$A$5:$A$44,0)),"?"))</f>
        <v/>
      </c>
      <c r="G1942">
        <f>IF(A1942="","",MONTH(A1942))</f>
        <v/>
      </c>
    </row>
    <row r="1943">
      <c r="A1943" s="25" t="n"/>
      <c r="B1943" s="11" t="n"/>
      <c r="C1943" s="24" t="n"/>
      <c r="D1943" s="11" t="n"/>
      <c r="E1943" s="11" t="n"/>
      <c r="F1943">
        <f>IF(B1943="","",IFERROR(INDEX(Categories!$B$5:$B$44,MATCH(B1943,Categories!$A$5:$A$44,0)),"?"))</f>
        <v/>
      </c>
      <c r="G1943">
        <f>IF(A1943="","",MONTH(A1943))</f>
        <v/>
      </c>
    </row>
    <row r="1944">
      <c r="A1944" s="25" t="n"/>
      <c r="B1944" s="11" t="n"/>
      <c r="C1944" s="24" t="n"/>
      <c r="D1944" s="11" t="n"/>
      <c r="E1944" s="11" t="n"/>
      <c r="F1944">
        <f>IF(B1944="","",IFERROR(INDEX(Categories!$B$5:$B$44,MATCH(B1944,Categories!$A$5:$A$44,0)),"?"))</f>
        <v/>
      </c>
      <c r="G1944">
        <f>IF(A1944="","",MONTH(A1944))</f>
        <v/>
      </c>
    </row>
    <row r="1945">
      <c r="A1945" s="25" t="n"/>
      <c r="B1945" s="11" t="n"/>
      <c r="C1945" s="24" t="n"/>
      <c r="D1945" s="11" t="n"/>
      <c r="E1945" s="11" t="n"/>
      <c r="F1945">
        <f>IF(B1945="","",IFERROR(INDEX(Categories!$B$5:$B$44,MATCH(B1945,Categories!$A$5:$A$44,0)),"?"))</f>
        <v/>
      </c>
      <c r="G1945">
        <f>IF(A1945="","",MONTH(A1945))</f>
        <v/>
      </c>
    </row>
    <row r="1946">
      <c r="A1946" s="25" t="n"/>
      <c r="B1946" s="11" t="n"/>
      <c r="C1946" s="24" t="n"/>
      <c r="D1946" s="11" t="n"/>
      <c r="E1946" s="11" t="n"/>
      <c r="F1946">
        <f>IF(B1946="","",IFERROR(INDEX(Categories!$B$5:$B$44,MATCH(B1946,Categories!$A$5:$A$44,0)),"?"))</f>
        <v/>
      </c>
      <c r="G1946">
        <f>IF(A1946="","",MONTH(A1946))</f>
        <v/>
      </c>
    </row>
    <row r="1947">
      <c r="A1947" s="25" t="n"/>
      <c r="B1947" s="11" t="n"/>
      <c r="C1947" s="24" t="n"/>
      <c r="D1947" s="11" t="n"/>
      <c r="E1947" s="11" t="n"/>
      <c r="F1947">
        <f>IF(B1947="","",IFERROR(INDEX(Categories!$B$5:$B$44,MATCH(B1947,Categories!$A$5:$A$44,0)),"?"))</f>
        <v/>
      </c>
      <c r="G1947">
        <f>IF(A1947="","",MONTH(A1947))</f>
        <v/>
      </c>
    </row>
    <row r="1948">
      <c r="A1948" s="25" t="n"/>
      <c r="B1948" s="11" t="n"/>
      <c r="C1948" s="24" t="n"/>
      <c r="D1948" s="11" t="n"/>
      <c r="E1948" s="11" t="n"/>
      <c r="F1948">
        <f>IF(B1948="","",IFERROR(INDEX(Categories!$B$5:$B$44,MATCH(B1948,Categories!$A$5:$A$44,0)),"?"))</f>
        <v/>
      </c>
      <c r="G1948">
        <f>IF(A1948="","",MONTH(A1948))</f>
        <v/>
      </c>
    </row>
    <row r="1949">
      <c r="A1949" s="25" t="n"/>
      <c r="B1949" s="11" t="n"/>
      <c r="C1949" s="24" t="n"/>
      <c r="D1949" s="11" t="n"/>
      <c r="E1949" s="11" t="n"/>
      <c r="F1949">
        <f>IF(B1949="","",IFERROR(INDEX(Categories!$B$5:$B$44,MATCH(B1949,Categories!$A$5:$A$44,0)),"?"))</f>
        <v/>
      </c>
      <c r="G1949">
        <f>IF(A1949="","",MONTH(A1949))</f>
        <v/>
      </c>
    </row>
    <row r="1950">
      <c r="A1950" s="25" t="n"/>
      <c r="B1950" s="11" t="n"/>
      <c r="C1950" s="24" t="n"/>
      <c r="D1950" s="11" t="n"/>
      <c r="E1950" s="11" t="n"/>
      <c r="F1950">
        <f>IF(B1950="","",IFERROR(INDEX(Categories!$B$5:$B$44,MATCH(B1950,Categories!$A$5:$A$44,0)),"?"))</f>
        <v/>
      </c>
      <c r="G1950">
        <f>IF(A1950="","",MONTH(A1950))</f>
        <v/>
      </c>
    </row>
    <row r="1951">
      <c r="A1951" s="25" t="n"/>
      <c r="B1951" s="11" t="n"/>
      <c r="C1951" s="24" t="n"/>
      <c r="D1951" s="11" t="n"/>
      <c r="E1951" s="11" t="n"/>
      <c r="F1951">
        <f>IF(B1951="","",IFERROR(INDEX(Categories!$B$5:$B$44,MATCH(B1951,Categories!$A$5:$A$44,0)),"?"))</f>
        <v/>
      </c>
      <c r="G1951">
        <f>IF(A1951="","",MONTH(A1951))</f>
        <v/>
      </c>
    </row>
    <row r="1952">
      <c r="A1952" s="25" t="n"/>
      <c r="B1952" s="11" t="n"/>
      <c r="C1952" s="24" t="n"/>
      <c r="D1952" s="11" t="n"/>
      <c r="E1952" s="11" t="n"/>
      <c r="F1952">
        <f>IF(B1952="","",IFERROR(INDEX(Categories!$B$5:$B$44,MATCH(B1952,Categories!$A$5:$A$44,0)),"?"))</f>
        <v/>
      </c>
      <c r="G1952">
        <f>IF(A1952="","",MONTH(A1952))</f>
        <v/>
      </c>
    </row>
    <row r="1953">
      <c r="A1953" s="25" t="n"/>
      <c r="B1953" s="11" t="n"/>
      <c r="C1953" s="24" t="n"/>
      <c r="D1953" s="11" t="n"/>
      <c r="E1953" s="11" t="n"/>
      <c r="F1953">
        <f>IF(B1953="","",IFERROR(INDEX(Categories!$B$5:$B$44,MATCH(B1953,Categories!$A$5:$A$44,0)),"?"))</f>
        <v/>
      </c>
      <c r="G1953">
        <f>IF(A1953="","",MONTH(A1953))</f>
        <v/>
      </c>
    </row>
    <row r="1954">
      <c r="A1954" s="25" t="n"/>
      <c r="B1954" s="11" t="n"/>
      <c r="C1954" s="24" t="n"/>
      <c r="D1954" s="11" t="n"/>
      <c r="E1954" s="11" t="n"/>
      <c r="F1954">
        <f>IF(B1954="","",IFERROR(INDEX(Categories!$B$5:$B$44,MATCH(B1954,Categories!$A$5:$A$44,0)),"?"))</f>
        <v/>
      </c>
      <c r="G1954">
        <f>IF(A1954="","",MONTH(A1954))</f>
        <v/>
      </c>
    </row>
    <row r="1955">
      <c r="A1955" s="25" t="n"/>
      <c r="B1955" s="11" t="n"/>
      <c r="C1955" s="24" t="n"/>
      <c r="D1955" s="11" t="n"/>
      <c r="E1955" s="11" t="n"/>
      <c r="F1955">
        <f>IF(B1955="","",IFERROR(INDEX(Categories!$B$5:$B$44,MATCH(B1955,Categories!$A$5:$A$44,0)),"?"))</f>
        <v/>
      </c>
      <c r="G1955">
        <f>IF(A1955="","",MONTH(A1955))</f>
        <v/>
      </c>
    </row>
    <row r="1956">
      <c r="A1956" s="25" t="n"/>
      <c r="B1956" s="11" t="n"/>
      <c r="C1956" s="24" t="n"/>
      <c r="D1956" s="11" t="n"/>
      <c r="E1956" s="11" t="n"/>
      <c r="F1956">
        <f>IF(B1956="","",IFERROR(INDEX(Categories!$B$5:$B$44,MATCH(B1956,Categories!$A$5:$A$44,0)),"?"))</f>
        <v/>
      </c>
      <c r="G1956">
        <f>IF(A1956="","",MONTH(A1956))</f>
        <v/>
      </c>
    </row>
    <row r="1957">
      <c r="A1957" s="25" t="n"/>
      <c r="B1957" s="11" t="n"/>
      <c r="C1957" s="24" t="n"/>
      <c r="D1957" s="11" t="n"/>
      <c r="E1957" s="11" t="n"/>
      <c r="F1957">
        <f>IF(B1957="","",IFERROR(INDEX(Categories!$B$5:$B$44,MATCH(B1957,Categories!$A$5:$A$44,0)),"?"))</f>
        <v/>
      </c>
      <c r="G1957">
        <f>IF(A1957="","",MONTH(A1957))</f>
        <v/>
      </c>
    </row>
    <row r="1958">
      <c r="A1958" s="25" t="n"/>
      <c r="B1958" s="11" t="n"/>
      <c r="C1958" s="24" t="n"/>
      <c r="D1958" s="11" t="n"/>
      <c r="E1958" s="11" t="n"/>
      <c r="F1958">
        <f>IF(B1958="","",IFERROR(INDEX(Categories!$B$5:$B$44,MATCH(B1958,Categories!$A$5:$A$44,0)),"?"))</f>
        <v/>
      </c>
      <c r="G1958">
        <f>IF(A1958="","",MONTH(A1958))</f>
        <v/>
      </c>
    </row>
    <row r="1959">
      <c r="A1959" s="25" t="n"/>
      <c r="B1959" s="11" t="n"/>
      <c r="C1959" s="24" t="n"/>
      <c r="D1959" s="11" t="n"/>
      <c r="E1959" s="11" t="n"/>
      <c r="F1959">
        <f>IF(B1959="","",IFERROR(INDEX(Categories!$B$5:$B$44,MATCH(B1959,Categories!$A$5:$A$44,0)),"?"))</f>
        <v/>
      </c>
      <c r="G1959">
        <f>IF(A1959="","",MONTH(A1959))</f>
        <v/>
      </c>
    </row>
    <row r="1960">
      <c r="A1960" s="25" t="n"/>
      <c r="B1960" s="11" t="n"/>
      <c r="C1960" s="24" t="n"/>
      <c r="D1960" s="11" t="n"/>
      <c r="E1960" s="11" t="n"/>
      <c r="F1960">
        <f>IF(B1960="","",IFERROR(INDEX(Categories!$B$5:$B$44,MATCH(B1960,Categories!$A$5:$A$44,0)),"?"))</f>
        <v/>
      </c>
      <c r="G1960">
        <f>IF(A1960="","",MONTH(A1960))</f>
        <v/>
      </c>
    </row>
    <row r="1961">
      <c r="A1961" s="25" t="n"/>
      <c r="B1961" s="11" t="n"/>
      <c r="C1961" s="24" t="n"/>
      <c r="D1961" s="11" t="n"/>
      <c r="E1961" s="11" t="n"/>
      <c r="F1961">
        <f>IF(B1961="","",IFERROR(INDEX(Categories!$B$5:$B$44,MATCH(B1961,Categories!$A$5:$A$44,0)),"?"))</f>
        <v/>
      </c>
      <c r="G1961">
        <f>IF(A1961="","",MONTH(A1961))</f>
        <v/>
      </c>
    </row>
    <row r="1962">
      <c r="A1962" s="25" t="n"/>
      <c r="B1962" s="11" t="n"/>
      <c r="C1962" s="24" t="n"/>
      <c r="D1962" s="11" t="n"/>
      <c r="E1962" s="11" t="n"/>
      <c r="F1962">
        <f>IF(B1962="","",IFERROR(INDEX(Categories!$B$5:$B$44,MATCH(B1962,Categories!$A$5:$A$44,0)),"?"))</f>
        <v/>
      </c>
      <c r="G1962">
        <f>IF(A1962="","",MONTH(A1962))</f>
        <v/>
      </c>
    </row>
    <row r="1963">
      <c r="A1963" s="25" t="n"/>
      <c r="B1963" s="11" t="n"/>
      <c r="C1963" s="24" t="n"/>
      <c r="D1963" s="11" t="n"/>
      <c r="E1963" s="11" t="n"/>
      <c r="F1963">
        <f>IF(B1963="","",IFERROR(INDEX(Categories!$B$5:$B$44,MATCH(B1963,Categories!$A$5:$A$44,0)),"?"))</f>
        <v/>
      </c>
      <c r="G1963">
        <f>IF(A1963="","",MONTH(A1963))</f>
        <v/>
      </c>
    </row>
    <row r="1964">
      <c r="A1964" s="25" t="n"/>
      <c r="B1964" s="11" t="n"/>
      <c r="C1964" s="24" t="n"/>
      <c r="D1964" s="11" t="n"/>
      <c r="E1964" s="11" t="n"/>
      <c r="F1964">
        <f>IF(B1964="","",IFERROR(INDEX(Categories!$B$5:$B$44,MATCH(B1964,Categories!$A$5:$A$44,0)),"?"))</f>
        <v/>
      </c>
      <c r="G1964">
        <f>IF(A1964="","",MONTH(A1964))</f>
        <v/>
      </c>
    </row>
    <row r="1965">
      <c r="A1965" s="25" t="n"/>
      <c r="B1965" s="11" t="n"/>
      <c r="C1965" s="24" t="n"/>
      <c r="D1965" s="11" t="n"/>
      <c r="E1965" s="11" t="n"/>
      <c r="F1965">
        <f>IF(B1965="","",IFERROR(INDEX(Categories!$B$5:$B$44,MATCH(B1965,Categories!$A$5:$A$44,0)),"?"))</f>
        <v/>
      </c>
      <c r="G1965">
        <f>IF(A1965="","",MONTH(A1965))</f>
        <v/>
      </c>
    </row>
    <row r="1966">
      <c r="A1966" s="25" t="n"/>
      <c r="B1966" s="11" t="n"/>
      <c r="C1966" s="24" t="n"/>
      <c r="D1966" s="11" t="n"/>
      <c r="E1966" s="11" t="n"/>
      <c r="F1966">
        <f>IF(B1966="","",IFERROR(INDEX(Categories!$B$5:$B$44,MATCH(B1966,Categories!$A$5:$A$44,0)),"?"))</f>
        <v/>
      </c>
      <c r="G1966">
        <f>IF(A1966="","",MONTH(A1966))</f>
        <v/>
      </c>
    </row>
    <row r="1967">
      <c r="A1967" s="25" t="n"/>
      <c r="B1967" s="11" t="n"/>
      <c r="C1967" s="24" t="n"/>
      <c r="D1967" s="11" t="n"/>
      <c r="E1967" s="11" t="n"/>
      <c r="F1967">
        <f>IF(B1967="","",IFERROR(INDEX(Categories!$B$5:$B$44,MATCH(B1967,Categories!$A$5:$A$44,0)),"?"))</f>
        <v/>
      </c>
      <c r="G1967">
        <f>IF(A1967="","",MONTH(A1967))</f>
        <v/>
      </c>
    </row>
    <row r="1968">
      <c r="A1968" s="25" t="n"/>
      <c r="B1968" s="11" t="n"/>
      <c r="C1968" s="24" t="n"/>
      <c r="D1968" s="11" t="n"/>
      <c r="E1968" s="11" t="n"/>
      <c r="F1968">
        <f>IF(B1968="","",IFERROR(INDEX(Categories!$B$5:$B$44,MATCH(B1968,Categories!$A$5:$A$44,0)),"?"))</f>
        <v/>
      </c>
      <c r="G1968">
        <f>IF(A1968="","",MONTH(A1968))</f>
        <v/>
      </c>
    </row>
    <row r="1969">
      <c r="A1969" s="25" t="n"/>
      <c r="B1969" s="11" t="n"/>
      <c r="C1969" s="24" t="n"/>
      <c r="D1969" s="11" t="n"/>
      <c r="E1969" s="11" t="n"/>
      <c r="F1969">
        <f>IF(B1969="","",IFERROR(INDEX(Categories!$B$5:$B$44,MATCH(B1969,Categories!$A$5:$A$44,0)),"?"))</f>
        <v/>
      </c>
      <c r="G1969">
        <f>IF(A1969="","",MONTH(A1969))</f>
        <v/>
      </c>
    </row>
    <row r="1970">
      <c r="A1970" s="25" t="n"/>
      <c r="B1970" s="11" t="n"/>
      <c r="C1970" s="24" t="n"/>
      <c r="D1970" s="11" t="n"/>
      <c r="E1970" s="11" t="n"/>
      <c r="F1970">
        <f>IF(B1970="","",IFERROR(INDEX(Categories!$B$5:$B$44,MATCH(B1970,Categories!$A$5:$A$44,0)),"?"))</f>
        <v/>
      </c>
      <c r="G1970">
        <f>IF(A1970="","",MONTH(A1970))</f>
        <v/>
      </c>
    </row>
    <row r="1971">
      <c r="A1971" s="25" t="n"/>
      <c r="B1971" s="11" t="n"/>
      <c r="C1971" s="24" t="n"/>
      <c r="D1971" s="11" t="n"/>
      <c r="E1971" s="11" t="n"/>
      <c r="F1971">
        <f>IF(B1971="","",IFERROR(INDEX(Categories!$B$5:$B$44,MATCH(B1971,Categories!$A$5:$A$44,0)),"?"))</f>
        <v/>
      </c>
      <c r="G1971">
        <f>IF(A1971="","",MONTH(A1971))</f>
        <v/>
      </c>
    </row>
    <row r="1972">
      <c r="A1972" s="25" t="n"/>
      <c r="B1972" s="11" t="n"/>
      <c r="C1972" s="24" t="n"/>
      <c r="D1972" s="11" t="n"/>
      <c r="E1972" s="11" t="n"/>
      <c r="F1972">
        <f>IF(B1972="","",IFERROR(INDEX(Categories!$B$5:$B$44,MATCH(B1972,Categories!$A$5:$A$44,0)),"?"))</f>
        <v/>
      </c>
      <c r="G1972">
        <f>IF(A1972="","",MONTH(A1972))</f>
        <v/>
      </c>
    </row>
    <row r="1973">
      <c r="A1973" s="25" t="n"/>
      <c r="B1973" s="11" t="n"/>
      <c r="C1973" s="24" t="n"/>
      <c r="D1973" s="11" t="n"/>
      <c r="E1973" s="11" t="n"/>
      <c r="F1973">
        <f>IF(B1973="","",IFERROR(INDEX(Categories!$B$5:$B$44,MATCH(B1973,Categories!$A$5:$A$44,0)),"?"))</f>
        <v/>
      </c>
      <c r="G1973">
        <f>IF(A1973="","",MONTH(A1973))</f>
        <v/>
      </c>
    </row>
    <row r="1974">
      <c r="A1974" s="25" t="n"/>
      <c r="B1974" s="11" t="n"/>
      <c r="C1974" s="24" t="n"/>
      <c r="D1974" s="11" t="n"/>
      <c r="E1974" s="11" t="n"/>
      <c r="F1974">
        <f>IF(B1974="","",IFERROR(INDEX(Categories!$B$5:$B$44,MATCH(B1974,Categories!$A$5:$A$44,0)),"?"))</f>
        <v/>
      </c>
      <c r="G1974">
        <f>IF(A1974="","",MONTH(A1974))</f>
        <v/>
      </c>
    </row>
    <row r="1975">
      <c r="A1975" s="25" t="n"/>
      <c r="B1975" s="11" t="n"/>
      <c r="C1975" s="24" t="n"/>
      <c r="D1975" s="11" t="n"/>
      <c r="E1975" s="11" t="n"/>
      <c r="F1975">
        <f>IF(B1975="","",IFERROR(INDEX(Categories!$B$5:$B$44,MATCH(B1975,Categories!$A$5:$A$44,0)),"?"))</f>
        <v/>
      </c>
      <c r="G1975">
        <f>IF(A1975="","",MONTH(A1975))</f>
        <v/>
      </c>
    </row>
    <row r="1976">
      <c r="A1976" s="25" t="n"/>
      <c r="B1976" s="11" t="n"/>
      <c r="C1976" s="24" t="n"/>
      <c r="D1976" s="11" t="n"/>
      <c r="E1976" s="11" t="n"/>
      <c r="F1976">
        <f>IF(B1976="","",IFERROR(INDEX(Categories!$B$5:$B$44,MATCH(B1976,Categories!$A$5:$A$44,0)),"?"))</f>
        <v/>
      </c>
      <c r="G1976">
        <f>IF(A1976="","",MONTH(A1976))</f>
        <v/>
      </c>
    </row>
    <row r="1977">
      <c r="A1977" s="25" t="n"/>
      <c r="B1977" s="11" t="n"/>
      <c r="C1977" s="24" t="n"/>
      <c r="D1977" s="11" t="n"/>
      <c r="E1977" s="11" t="n"/>
      <c r="F1977">
        <f>IF(B1977="","",IFERROR(INDEX(Categories!$B$5:$B$44,MATCH(B1977,Categories!$A$5:$A$44,0)),"?"))</f>
        <v/>
      </c>
      <c r="G1977">
        <f>IF(A1977="","",MONTH(A1977))</f>
        <v/>
      </c>
    </row>
    <row r="1978">
      <c r="A1978" s="25" t="n"/>
      <c r="B1978" s="11" t="n"/>
      <c r="C1978" s="24" t="n"/>
      <c r="D1978" s="11" t="n"/>
      <c r="E1978" s="11" t="n"/>
      <c r="F1978">
        <f>IF(B1978="","",IFERROR(INDEX(Categories!$B$5:$B$44,MATCH(B1978,Categories!$A$5:$A$44,0)),"?"))</f>
        <v/>
      </c>
      <c r="G1978">
        <f>IF(A1978="","",MONTH(A1978))</f>
        <v/>
      </c>
    </row>
    <row r="1979">
      <c r="A1979" s="25" t="n"/>
      <c r="B1979" s="11" t="n"/>
      <c r="C1979" s="24" t="n"/>
      <c r="D1979" s="11" t="n"/>
      <c r="E1979" s="11" t="n"/>
      <c r="F1979">
        <f>IF(B1979="","",IFERROR(INDEX(Categories!$B$5:$B$44,MATCH(B1979,Categories!$A$5:$A$44,0)),"?"))</f>
        <v/>
      </c>
      <c r="G1979">
        <f>IF(A1979="","",MONTH(A1979))</f>
        <v/>
      </c>
    </row>
    <row r="1980">
      <c r="A1980" s="25" t="n"/>
      <c r="B1980" s="11" t="n"/>
      <c r="C1980" s="24" t="n"/>
      <c r="D1980" s="11" t="n"/>
      <c r="E1980" s="11" t="n"/>
      <c r="F1980">
        <f>IF(B1980="","",IFERROR(INDEX(Categories!$B$5:$B$44,MATCH(B1980,Categories!$A$5:$A$44,0)),"?"))</f>
        <v/>
      </c>
      <c r="G1980">
        <f>IF(A1980="","",MONTH(A1980))</f>
        <v/>
      </c>
    </row>
    <row r="1981">
      <c r="A1981" s="25" t="n"/>
      <c r="B1981" s="11" t="n"/>
      <c r="C1981" s="24" t="n"/>
      <c r="D1981" s="11" t="n"/>
      <c r="E1981" s="11" t="n"/>
      <c r="F1981">
        <f>IF(B1981="","",IFERROR(INDEX(Categories!$B$5:$B$44,MATCH(B1981,Categories!$A$5:$A$44,0)),"?"))</f>
        <v/>
      </c>
      <c r="G1981">
        <f>IF(A1981="","",MONTH(A1981))</f>
        <v/>
      </c>
    </row>
    <row r="1982">
      <c r="A1982" s="25" t="n"/>
      <c r="B1982" s="11" t="n"/>
      <c r="C1982" s="24" t="n"/>
      <c r="D1982" s="11" t="n"/>
      <c r="E1982" s="11" t="n"/>
      <c r="F1982">
        <f>IF(B1982="","",IFERROR(INDEX(Categories!$B$5:$B$44,MATCH(B1982,Categories!$A$5:$A$44,0)),"?"))</f>
        <v/>
      </c>
      <c r="G1982">
        <f>IF(A1982="","",MONTH(A1982))</f>
        <v/>
      </c>
    </row>
    <row r="1983">
      <c r="A1983" s="25" t="n"/>
      <c r="B1983" s="11" t="n"/>
      <c r="C1983" s="24" t="n"/>
      <c r="D1983" s="11" t="n"/>
      <c r="E1983" s="11" t="n"/>
      <c r="F1983">
        <f>IF(B1983="","",IFERROR(INDEX(Categories!$B$5:$B$44,MATCH(B1983,Categories!$A$5:$A$44,0)),"?"))</f>
        <v/>
      </c>
      <c r="G1983">
        <f>IF(A1983="","",MONTH(A1983))</f>
        <v/>
      </c>
    </row>
    <row r="1984">
      <c r="A1984" s="25" t="n"/>
      <c r="B1984" s="11" t="n"/>
      <c r="C1984" s="24" t="n"/>
      <c r="D1984" s="11" t="n"/>
      <c r="E1984" s="11" t="n"/>
      <c r="F1984">
        <f>IF(B1984="","",IFERROR(INDEX(Categories!$B$5:$B$44,MATCH(B1984,Categories!$A$5:$A$44,0)),"?"))</f>
        <v/>
      </c>
      <c r="G1984">
        <f>IF(A1984="","",MONTH(A1984))</f>
        <v/>
      </c>
    </row>
    <row r="1985">
      <c r="A1985" s="25" t="n"/>
      <c r="B1985" s="11" t="n"/>
      <c r="C1985" s="24" t="n"/>
      <c r="D1985" s="11" t="n"/>
      <c r="E1985" s="11" t="n"/>
      <c r="F1985">
        <f>IF(B1985="","",IFERROR(INDEX(Categories!$B$5:$B$44,MATCH(B1985,Categories!$A$5:$A$44,0)),"?"))</f>
        <v/>
      </c>
      <c r="G1985">
        <f>IF(A1985="","",MONTH(A1985))</f>
        <v/>
      </c>
    </row>
    <row r="1986">
      <c r="A1986" s="25" t="n"/>
      <c r="B1986" s="11" t="n"/>
      <c r="C1986" s="24" t="n"/>
      <c r="D1986" s="11" t="n"/>
      <c r="E1986" s="11" t="n"/>
      <c r="F1986">
        <f>IF(B1986="","",IFERROR(INDEX(Categories!$B$5:$B$44,MATCH(B1986,Categories!$A$5:$A$44,0)),"?"))</f>
        <v/>
      </c>
      <c r="G1986">
        <f>IF(A1986="","",MONTH(A1986))</f>
        <v/>
      </c>
    </row>
    <row r="1987">
      <c r="A1987" s="25" t="n"/>
      <c r="B1987" s="11" t="n"/>
      <c r="C1987" s="24" t="n"/>
      <c r="D1987" s="11" t="n"/>
      <c r="E1987" s="11" t="n"/>
      <c r="F1987">
        <f>IF(B1987="","",IFERROR(INDEX(Categories!$B$5:$B$44,MATCH(B1987,Categories!$A$5:$A$44,0)),"?"))</f>
        <v/>
      </c>
      <c r="G1987">
        <f>IF(A1987="","",MONTH(A1987))</f>
        <v/>
      </c>
    </row>
    <row r="1988">
      <c r="A1988" s="25" t="n"/>
      <c r="B1988" s="11" t="n"/>
      <c r="C1988" s="24" t="n"/>
      <c r="D1988" s="11" t="n"/>
      <c r="E1988" s="11" t="n"/>
      <c r="F1988">
        <f>IF(B1988="","",IFERROR(INDEX(Categories!$B$5:$B$44,MATCH(B1988,Categories!$A$5:$A$44,0)),"?"))</f>
        <v/>
      </c>
      <c r="G1988">
        <f>IF(A1988="","",MONTH(A1988))</f>
        <v/>
      </c>
    </row>
    <row r="1989">
      <c r="A1989" s="25" t="n"/>
      <c r="B1989" s="11" t="n"/>
      <c r="C1989" s="24" t="n"/>
      <c r="D1989" s="11" t="n"/>
      <c r="E1989" s="11" t="n"/>
      <c r="F1989">
        <f>IF(B1989="","",IFERROR(INDEX(Categories!$B$5:$B$44,MATCH(B1989,Categories!$A$5:$A$44,0)),"?"))</f>
        <v/>
      </c>
      <c r="G1989">
        <f>IF(A1989="","",MONTH(A1989))</f>
        <v/>
      </c>
    </row>
    <row r="1990">
      <c r="A1990" s="25" t="n"/>
      <c r="B1990" s="11" t="n"/>
      <c r="C1990" s="24" t="n"/>
      <c r="D1990" s="11" t="n"/>
      <c r="E1990" s="11" t="n"/>
      <c r="F1990">
        <f>IF(B1990="","",IFERROR(INDEX(Categories!$B$5:$B$44,MATCH(B1990,Categories!$A$5:$A$44,0)),"?"))</f>
        <v/>
      </c>
      <c r="G1990">
        <f>IF(A1990="","",MONTH(A1990))</f>
        <v/>
      </c>
    </row>
    <row r="1991">
      <c r="A1991" s="25" t="n"/>
      <c r="B1991" s="11" t="n"/>
      <c r="C1991" s="24" t="n"/>
      <c r="D1991" s="11" t="n"/>
      <c r="E1991" s="11" t="n"/>
      <c r="F1991">
        <f>IF(B1991="","",IFERROR(INDEX(Categories!$B$5:$B$44,MATCH(B1991,Categories!$A$5:$A$44,0)),"?"))</f>
        <v/>
      </c>
      <c r="G1991">
        <f>IF(A1991="","",MONTH(A1991))</f>
        <v/>
      </c>
    </row>
    <row r="1992">
      <c r="A1992" s="25" t="n"/>
      <c r="B1992" s="11" t="n"/>
      <c r="C1992" s="24" t="n"/>
      <c r="D1992" s="11" t="n"/>
      <c r="E1992" s="11" t="n"/>
      <c r="F1992">
        <f>IF(B1992="","",IFERROR(INDEX(Categories!$B$5:$B$44,MATCH(B1992,Categories!$A$5:$A$44,0)),"?"))</f>
        <v/>
      </c>
      <c r="G1992">
        <f>IF(A1992="","",MONTH(A1992))</f>
        <v/>
      </c>
    </row>
    <row r="1993">
      <c r="A1993" s="25" t="n"/>
      <c r="B1993" s="11" t="n"/>
      <c r="C1993" s="24" t="n"/>
      <c r="D1993" s="11" t="n"/>
      <c r="E1993" s="11" t="n"/>
      <c r="F1993">
        <f>IF(B1993="","",IFERROR(INDEX(Categories!$B$5:$B$44,MATCH(B1993,Categories!$A$5:$A$44,0)),"?"))</f>
        <v/>
      </c>
      <c r="G1993">
        <f>IF(A1993="","",MONTH(A1993))</f>
        <v/>
      </c>
    </row>
    <row r="1994">
      <c r="A1994" s="25" t="n"/>
      <c r="B1994" s="11" t="n"/>
      <c r="C1994" s="24" t="n"/>
      <c r="D1994" s="11" t="n"/>
      <c r="E1994" s="11" t="n"/>
      <c r="F1994">
        <f>IF(B1994="","",IFERROR(INDEX(Categories!$B$5:$B$44,MATCH(B1994,Categories!$A$5:$A$44,0)),"?"))</f>
        <v/>
      </c>
      <c r="G1994">
        <f>IF(A1994="","",MONTH(A1994))</f>
        <v/>
      </c>
    </row>
    <row r="1995">
      <c r="A1995" s="25" t="n"/>
      <c r="B1995" s="11" t="n"/>
      <c r="C1995" s="24" t="n"/>
      <c r="D1995" s="11" t="n"/>
      <c r="E1995" s="11" t="n"/>
      <c r="F1995">
        <f>IF(B1995="","",IFERROR(INDEX(Categories!$B$5:$B$44,MATCH(B1995,Categories!$A$5:$A$44,0)),"?"))</f>
        <v/>
      </c>
      <c r="G1995">
        <f>IF(A1995="","",MONTH(A1995))</f>
        <v/>
      </c>
    </row>
    <row r="1996">
      <c r="A1996" s="25" t="n"/>
      <c r="B1996" s="11" t="n"/>
      <c r="C1996" s="24" t="n"/>
      <c r="D1996" s="11" t="n"/>
      <c r="E1996" s="11" t="n"/>
      <c r="F1996">
        <f>IF(B1996="","",IFERROR(INDEX(Categories!$B$5:$B$44,MATCH(B1996,Categories!$A$5:$A$44,0)),"?"))</f>
        <v/>
      </c>
      <c r="G1996">
        <f>IF(A1996="","",MONTH(A1996))</f>
        <v/>
      </c>
    </row>
    <row r="1997">
      <c r="A1997" s="25" t="n"/>
      <c r="B1997" s="11" t="n"/>
      <c r="C1997" s="24" t="n"/>
      <c r="D1997" s="11" t="n"/>
      <c r="E1997" s="11" t="n"/>
      <c r="F1997">
        <f>IF(B1997="","",IFERROR(INDEX(Categories!$B$5:$B$44,MATCH(B1997,Categories!$A$5:$A$44,0)),"?"))</f>
        <v/>
      </c>
      <c r="G1997">
        <f>IF(A1997="","",MONTH(A1997))</f>
        <v/>
      </c>
    </row>
    <row r="1998">
      <c r="A1998" s="25" t="n"/>
      <c r="B1998" s="11" t="n"/>
      <c r="C1998" s="24" t="n"/>
      <c r="D1998" s="11" t="n"/>
      <c r="E1998" s="11" t="n"/>
      <c r="F1998">
        <f>IF(B1998="","",IFERROR(INDEX(Categories!$B$5:$B$44,MATCH(B1998,Categories!$A$5:$A$44,0)),"?"))</f>
        <v/>
      </c>
      <c r="G1998">
        <f>IF(A1998="","",MONTH(A1998))</f>
        <v/>
      </c>
    </row>
    <row r="1999">
      <c r="A1999" s="25" t="n"/>
      <c r="B1999" s="11" t="n"/>
      <c r="C1999" s="24" t="n"/>
      <c r="D1999" s="11" t="n"/>
      <c r="E1999" s="11" t="n"/>
      <c r="F1999">
        <f>IF(B1999="","",IFERROR(INDEX(Categories!$B$5:$B$44,MATCH(B1999,Categories!$A$5:$A$44,0)),"?"))</f>
        <v/>
      </c>
      <c r="G1999">
        <f>IF(A1999="","",MONTH(A1999))</f>
        <v/>
      </c>
    </row>
    <row r="2000">
      <c r="A2000" s="25" t="n"/>
      <c r="B2000" s="11" t="n"/>
      <c r="C2000" s="24" t="n"/>
      <c r="D2000" s="11" t="n"/>
      <c r="E2000" s="11" t="n"/>
      <c r="F2000">
        <f>IF(B2000="","",IFERROR(INDEX(Categories!$B$5:$B$44,MATCH(B2000,Categories!$A$5:$A$44,0)),"?"))</f>
        <v/>
      </c>
      <c r="G2000">
        <f>IF(A2000="","",MONTH(A2000))</f>
        <v/>
      </c>
    </row>
    <row r="2001">
      <c r="A2001" s="25" t="n"/>
      <c r="B2001" s="11" t="n"/>
      <c r="C2001" s="24" t="n"/>
      <c r="D2001" s="11" t="n"/>
      <c r="E2001" s="11" t="n"/>
      <c r="F2001">
        <f>IF(B2001="","",IFERROR(INDEX(Categories!$B$5:$B$44,MATCH(B2001,Categories!$A$5:$A$44,0)),"?"))</f>
        <v/>
      </c>
      <c r="G2001">
        <f>IF(A2001="","",MONTH(A2001))</f>
        <v/>
      </c>
    </row>
    <row r="2002">
      <c r="A2002" s="25" t="n"/>
      <c r="B2002" s="11" t="n"/>
      <c r="C2002" s="24" t="n"/>
      <c r="D2002" s="11" t="n"/>
      <c r="E2002" s="11" t="n"/>
      <c r="F2002">
        <f>IF(B2002="","",IFERROR(INDEX(Categories!$B$5:$B$44,MATCH(B2002,Categories!$A$5:$A$44,0)),"?"))</f>
        <v/>
      </c>
      <c r="G2002">
        <f>IF(A2002="","",MONTH(A2002))</f>
        <v/>
      </c>
    </row>
    <row r="2003">
      <c r="A2003" s="25" t="n"/>
      <c r="B2003" s="11" t="n"/>
      <c r="C2003" s="24" t="n"/>
      <c r="D2003" s="11" t="n"/>
      <c r="E2003" s="11" t="n"/>
      <c r="F2003">
        <f>IF(B2003="","",IFERROR(INDEX(Categories!$B$5:$B$44,MATCH(B2003,Categories!$A$5:$A$44,0)),"?"))</f>
        <v/>
      </c>
      <c r="G2003">
        <f>IF(A2003="","",MONTH(A2003))</f>
        <v/>
      </c>
    </row>
    <row r="2004">
      <c r="A2004" s="25" t="n"/>
      <c r="B2004" s="11" t="n"/>
      <c r="C2004" s="24" t="n"/>
      <c r="D2004" s="11" t="n"/>
      <c r="E2004" s="11" t="n"/>
      <c r="F2004">
        <f>IF(B2004="","",IFERROR(INDEX(Categories!$B$5:$B$44,MATCH(B2004,Categories!$A$5:$A$44,0)),"?"))</f>
        <v/>
      </c>
      <c r="G2004">
        <f>IF(A2004="","",MONTH(A2004))</f>
        <v/>
      </c>
    </row>
  </sheetData>
  <mergeCells count="2">
    <mergeCell ref="A2:G2"/>
    <mergeCell ref="A1:G1"/>
  </mergeCells>
  <dataValidations count="2">
    <dataValidation sqref="B5:B2004" showDropDown="0" showInputMessage="0" showErrorMessage="0" allowBlank="1" type="list">
      <formula1>Categories!$A$5:$A$44</formula1>
    </dataValidation>
    <dataValidation sqref="D5:D2004" showDropDown="0" showInputMessage="0" showErrorMessage="0" allowBlank="1" type="list">
      <formula1>"Cash,UPI,Card,Bank"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</cols>
  <sheetData>
    <row r="1">
      <c r="A1" s="8" t="inlineStr">
        <is>
          <t>Categories</t>
        </is>
      </c>
    </row>
    <row r="2">
      <c r="A2" s="9" t="inlineStr">
        <is>
          <t>Edit names freely. Type: Income, Need, Want or Savings.</t>
        </is>
      </c>
    </row>
    <row r="4" ht="32" customHeight="1">
      <c r="A4" s="13" t="inlineStr">
        <is>
          <t>Category</t>
        </is>
      </c>
      <c r="B4" s="13" t="inlineStr">
        <is>
          <t>Type</t>
        </is>
      </c>
      <c r="C4" s="13" t="inlineStr">
        <is>
          <t>Monthly budget (₹)</t>
        </is>
      </c>
    </row>
    <row r="5">
      <c r="A5" s="11" t="inlineStr">
        <is>
          <t>Salary</t>
        </is>
      </c>
      <c r="B5" s="11" t="inlineStr">
        <is>
          <t>Income</t>
        </is>
      </c>
      <c r="C5" s="24" t="n"/>
    </row>
    <row r="6">
      <c r="A6" s="11" t="inlineStr">
        <is>
          <t>Business / freelance income</t>
        </is>
      </c>
      <c r="B6" s="11" t="inlineStr">
        <is>
          <t>Income</t>
        </is>
      </c>
      <c r="C6" s="24" t="n"/>
    </row>
    <row r="7">
      <c r="A7" s="11" t="inlineStr">
        <is>
          <t>Rent received</t>
        </is>
      </c>
      <c r="B7" s="11" t="inlineStr">
        <is>
          <t>Income</t>
        </is>
      </c>
      <c r="C7" s="24" t="n"/>
    </row>
    <row r="8">
      <c r="A8" s="11" t="inlineStr">
        <is>
          <t>Interest &amp; dividends</t>
        </is>
      </c>
      <c r="B8" s="11" t="inlineStr">
        <is>
          <t>Income</t>
        </is>
      </c>
      <c r="C8" s="24" t="n"/>
    </row>
    <row r="9">
      <c r="A9" s="11" t="inlineStr">
        <is>
          <t>Other income</t>
        </is>
      </c>
      <c r="B9" s="11" t="inlineStr">
        <is>
          <t>Income</t>
        </is>
      </c>
      <c r="C9" s="24" t="n"/>
    </row>
    <row r="10">
      <c r="A10" s="11" t="inlineStr">
        <is>
          <t>Rent / home loan EMI</t>
        </is>
      </c>
      <c r="B10" s="11" t="inlineStr">
        <is>
          <t>Need</t>
        </is>
      </c>
      <c r="C10" s="24" t="n"/>
    </row>
    <row r="11">
      <c r="A11" s="11" t="inlineStr">
        <is>
          <t>Groceries</t>
        </is>
      </c>
      <c r="B11" s="11" t="inlineStr">
        <is>
          <t>Need</t>
        </is>
      </c>
      <c r="C11" s="24" t="n"/>
    </row>
    <row r="12">
      <c r="A12" s="11" t="inlineStr">
        <is>
          <t>Electricity, gas &amp; water</t>
        </is>
      </c>
      <c r="B12" s="11" t="inlineStr">
        <is>
          <t>Need</t>
        </is>
      </c>
      <c r="C12" s="24" t="n"/>
    </row>
    <row r="13">
      <c r="A13" s="11" t="inlineStr">
        <is>
          <t>Mobile &amp; internet</t>
        </is>
      </c>
      <c r="B13" s="11" t="inlineStr">
        <is>
          <t>Need</t>
        </is>
      </c>
      <c r="C13" s="24" t="n"/>
    </row>
    <row r="14">
      <c r="A14" s="11" t="inlineStr">
        <is>
          <t>Fuel &amp; transport</t>
        </is>
      </c>
      <c r="B14" s="11" t="inlineStr">
        <is>
          <t>Need</t>
        </is>
      </c>
      <c r="C14" s="24" t="n"/>
    </row>
    <row r="15">
      <c r="A15" s="11" t="inlineStr">
        <is>
          <t>School / college fees</t>
        </is>
      </c>
      <c r="B15" s="11" t="inlineStr">
        <is>
          <t>Need</t>
        </is>
      </c>
      <c r="C15" s="24" t="n"/>
    </row>
    <row r="16">
      <c r="A16" s="11" t="inlineStr">
        <is>
          <t>Medical &amp; insurance</t>
        </is>
      </c>
      <c r="B16" s="11" t="inlineStr">
        <is>
          <t>Need</t>
        </is>
      </c>
      <c r="C16" s="24" t="n"/>
    </row>
    <row r="17">
      <c r="A17" s="11" t="inlineStr">
        <is>
          <t>Other loan EMIs</t>
        </is>
      </c>
      <c r="B17" s="11" t="inlineStr">
        <is>
          <t>Need</t>
        </is>
      </c>
      <c r="C17" s="24" t="n"/>
    </row>
    <row r="18">
      <c r="A18" s="11" t="inlineStr">
        <is>
          <t>Household help</t>
        </is>
      </c>
      <c r="B18" s="11" t="inlineStr">
        <is>
          <t>Need</t>
        </is>
      </c>
      <c r="C18" s="24" t="n"/>
    </row>
    <row r="19">
      <c r="A19" s="11" t="inlineStr">
        <is>
          <t>Eating out &amp; ordering in</t>
        </is>
      </c>
      <c r="B19" s="11" t="inlineStr">
        <is>
          <t>Want</t>
        </is>
      </c>
      <c r="C19" s="24" t="n"/>
    </row>
    <row r="20">
      <c r="A20" s="11" t="inlineStr">
        <is>
          <t>Shopping &amp; clothes</t>
        </is>
      </c>
      <c r="B20" s="11" t="inlineStr">
        <is>
          <t>Want</t>
        </is>
      </c>
      <c r="C20" s="24" t="n"/>
    </row>
    <row r="21">
      <c r="A21" s="11" t="inlineStr">
        <is>
          <t>Entertainment &amp; OTT</t>
        </is>
      </c>
      <c r="B21" s="11" t="inlineStr">
        <is>
          <t>Want</t>
        </is>
      </c>
      <c r="C21" s="24" t="n"/>
    </row>
    <row r="22">
      <c r="A22" s="11" t="inlineStr">
        <is>
          <t>Travel &amp; holidays</t>
        </is>
      </c>
      <c r="B22" s="11" t="inlineStr">
        <is>
          <t>Want</t>
        </is>
      </c>
      <c r="C22" s="24" t="n"/>
    </row>
    <row r="23">
      <c r="A23" s="11" t="inlineStr">
        <is>
          <t>Gifts &amp; functions</t>
        </is>
      </c>
      <c r="B23" s="11" t="inlineStr">
        <is>
          <t>Want</t>
        </is>
      </c>
      <c r="C23" s="24" t="n"/>
    </row>
    <row r="24">
      <c r="A24" s="11" t="inlineStr">
        <is>
          <t>Personal care</t>
        </is>
      </c>
      <c r="B24" s="11" t="inlineStr">
        <is>
          <t>Want</t>
        </is>
      </c>
      <c r="C24" s="24" t="n"/>
    </row>
    <row r="25">
      <c r="A25" s="11" t="inlineStr">
        <is>
          <t>SIP / mutual funds</t>
        </is>
      </c>
      <c r="B25" s="11" t="inlineStr">
        <is>
          <t>Savings</t>
        </is>
      </c>
      <c r="C25" s="24" t="n"/>
    </row>
    <row r="26">
      <c r="A26" s="11" t="inlineStr">
        <is>
          <t>PPF / EPF / NPS</t>
        </is>
      </c>
      <c r="B26" s="11" t="inlineStr">
        <is>
          <t>Savings</t>
        </is>
      </c>
      <c r="C26" s="24" t="n"/>
    </row>
    <row r="27">
      <c r="A27" s="11" t="inlineStr">
        <is>
          <t>FD / RD</t>
        </is>
      </c>
      <c r="B27" s="11" t="inlineStr">
        <is>
          <t>Savings</t>
        </is>
      </c>
      <c r="C27" s="24" t="n"/>
    </row>
    <row r="28">
      <c r="A28" s="11" t="inlineStr">
        <is>
          <t>Emergency fund</t>
        </is>
      </c>
      <c r="B28" s="11" t="inlineStr">
        <is>
          <t>Savings</t>
        </is>
      </c>
      <c r="C28" s="24" t="n"/>
    </row>
    <row r="29">
      <c r="A29" s="11" t="inlineStr">
        <is>
          <t>Miscellaneous</t>
        </is>
      </c>
      <c r="B29" s="11" t="inlineStr">
        <is>
          <t>Want</t>
        </is>
      </c>
      <c r="C29" s="24" t="n"/>
    </row>
    <row r="30">
      <c r="A30" s="11" t="n"/>
      <c r="B30" s="11" t="n"/>
      <c r="C30" s="24" t="n"/>
    </row>
    <row r="31">
      <c r="A31" s="11" t="n"/>
      <c r="B31" s="11" t="n"/>
      <c r="C31" s="24" t="n"/>
    </row>
    <row r="32">
      <c r="A32" s="11" t="n"/>
      <c r="B32" s="11" t="n"/>
      <c r="C32" s="24" t="n"/>
    </row>
    <row r="33">
      <c r="A33" s="11" t="n"/>
      <c r="B33" s="11" t="n"/>
      <c r="C33" s="24" t="n"/>
    </row>
    <row r="34">
      <c r="A34" s="11" t="n"/>
      <c r="B34" s="11" t="n"/>
      <c r="C34" s="24" t="n"/>
    </row>
    <row r="35">
      <c r="A35" s="11" t="n"/>
      <c r="B35" s="11" t="n"/>
      <c r="C35" s="24" t="n"/>
    </row>
    <row r="36">
      <c r="A36" s="11" t="n"/>
      <c r="B36" s="11" t="n"/>
      <c r="C36" s="24" t="n"/>
    </row>
    <row r="37">
      <c r="A37" s="11" t="n"/>
      <c r="B37" s="11" t="n"/>
      <c r="C37" s="24" t="n"/>
    </row>
    <row r="38">
      <c r="A38" s="11" t="n"/>
      <c r="B38" s="11" t="n"/>
      <c r="C38" s="24" t="n"/>
    </row>
    <row r="39">
      <c r="A39" s="11" t="n"/>
      <c r="B39" s="11" t="n"/>
      <c r="C39" s="24" t="n"/>
    </row>
    <row r="40">
      <c r="A40" s="11" t="n"/>
      <c r="B40" s="11" t="n"/>
      <c r="C40" s="24" t="n"/>
    </row>
    <row r="41">
      <c r="A41" s="11" t="n"/>
      <c r="B41" s="11" t="n"/>
      <c r="C41" s="24" t="n"/>
    </row>
    <row r="42">
      <c r="A42" s="11" t="n"/>
      <c r="B42" s="11" t="n"/>
      <c r="C42" s="24" t="n"/>
    </row>
    <row r="43">
      <c r="A43" s="11" t="n"/>
      <c r="B43" s="11" t="n"/>
      <c r="C43" s="24" t="n"/>
    </row>
    <row r="44">
      <c r="A44" s="11" t="n"/>
      <c r="B44" s="11" t="n"/>
      <c r="C44" s="24" t="n"/>
    </row>
  </sheetData>
  <mergeCells count="2">
    <mergeCell ref="A1:C1"/>
    <mergeCell ref="A2:C2"/>
  </mergeCells>
  <dataValidations count="1">
    <dataValidation sqref="B5:B44" showDropDown="0" showInputMessage="0" showErrorMessage="0" allowBlank="1" type="list">
      <formula1>"Income,Need,Want,Savings"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2026-10-02T19:30:32Z</dcterms:created>
  <dcterms:modified xmlns:dcterms="http://purl.org/dc/terms/" xmlns:xsi="http://www.w3.org/2001/XMLSchema-instance" xsi:type="dcterms:W3CDTF">2026-10-02T19:30:32Z</dcterms:modified>
</cp:coreProperties>
</file>