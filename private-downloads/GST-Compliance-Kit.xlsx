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voice" sheetId="3" state="visible" r:id="rId3"/>
    <sheet xmlns:r="http://schemas.openxmlformats.org/officeDocument/2006/relationships" name="States" sheetId="4" state="hidden" r:id="rId4"/>
    <sheet xmlns:r="http://schemas.openxmlformats.org/officeDocument/2006/relationships" name="Sales Register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HSN Register" sheetId="7" state="visible" r:id="rId7"/>
    <sheet xmlns:r="http://schemas.openxmlformats.org/officeDocument/2006/relationships" name="HSN Summary" sheetId="8" state="visible" r:id="rId8"/>
    <sheet xmlns:r="http://schemas.openxmlformats.org/officeDocument/2006/relationships" name="Purchase Register" sheetId="9" state="visible" r:id="rId9"/>
    <sheet xmlns:r="http://schemas.openxmlformats.org/officeDocument/2006/relationships" name="GSTR-2B Data" sheetId="10" state="visible" r:id="rId10"/>
    <sheet xmlns:r="http://schemas.openxmlformats.org/officeDocument/2006/relationships" name="ITC Reconciliation" sheetId="11" state="visible" r:id="rId11"/>
    <sheet xmlns:r="http://schemas.openxmlformats.org/officeDocument/2006/relationships" name="GSTR-3B Working" sheetId="12" state="visible" r:id="rId12"/>
    <sheet xmlns:r="http://schemas.openxmlformats.org/officeDocument/2006/relationships" name="Due Date Calendar" sheetId="13" state="visible" r:id="rId13"/>
    <sheet xmlns:r="http://schemas.openxmlformats.org/officeDocument/2006/relationships" name="Late Fee &amp; Interest" sheetId="14" state="visible" r:id="rId14"/>
  </sheets>
  <definedNames>
    <definedName name="_xlnm.Print_Area" localSheetId="2">'Invoice'!$A$1:$M$36</definedName>
    <definedName name="_xlnm._FilterDatabase" localSheetId="12" hidden="1">'Due Date Calendar'!$A$4:$F$59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-mm-yyyy"/>
    <numFmt numFmtId="165" formatCode="0.##"/>
    <numFmt numFmtId="166" formatCode="&quot;₹&quot; #,##0.00"/>
  </numFmts>
  <fonts count="16">
    <font>
      <name val="Calibri"/>
      <family val="2"/>
      <color theme="1"/>
      <sz val="11"/>
      <scheme val="minor"/>
    </font>
    <font>
      <b val="1"/>
      <color rgb="00002B5C"/>
      <sz val="18"/>
    </font>
    <font>
      <b val="1"/>
      <color rgb="00D99A2B"/>
      <sz val="10"/>
    </font>
    <font>
      <b val="1"/>
      <color rgb="00002B5C"/>
      <sz val="13"/>
    </font>
    <font>
      <b val="1"/>
      <color rgb="00D99A2B"/>
    </font>
    <font>
      <color rgb="006B7280"/>
      <sz val="9"/>
    </font>
    <font>
      <b val="1"/>
      <color rgb="00FFFFFF"/>
    </font>
    <font>
      <b val="1"/>
      <color rgb="00002B5C"/>
      <sz val="16"/>
    </font>
    <font>
      <i val="1"/>
      <color rgb="006B7280"/>
      <sz val="10"/>
    </font>
    <font>
      <b val="1"/>
    </font>
    <font>
      <b val="1"/>
      <color rgb="00FFFFFF"/>
      <sz val="16"/>
    </font>
    <font>
      <b val="1"/>
      <color rgb="00002B5C"/>
      <sz val="14"/>
    </font>
    <font>
      <b val="1"/>
      <color rgb="00002B5C"/>
    </font>
    <font>
      <i val="1"/>
      <sz val="9"/>
    </font>
    <font/>
    <font>
      <b val="1"/>
      <color rgb="00002B5C"/>
      <sz val="12"/>
    </font>
  </fonts>
  <fills count="5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002B5C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2" borderId="1" pivotButton="0" quotePrefix="0" xfId="0"/>
    <xf numFmtId="0" fontId="10" fillId="3" borderId="0" applyAlignment="1" pivotButton="0" quotePrefix="0" xfId="0">
      <alignment horizontal="center"/>
    </xf>
    <xf numFmtId="0" fontId="11" fillId="0" borderId="0" pivotButton="0" quotePrefix="0" xfId="0"/>
    <xf numFmtId="164" fontId="0" fillId="2" borderId="1" pivotButton="0" quotePrefix="0" xfId="0"/>
    <xf numFmtId="0" fontId="0" fillId="0" borderId="1" pivotButton="0" quotePrefix="0" xfId="0"/>
    <xf numFmtId="0" fontId="12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4" fontId="0" fillId="2" borderId="1" pivotButton="0" quotePrefix="0" xfId="0"/>
    <xf numFmtId="4" fontId="0" fillId="0" borderId="1" pivotButton="0" quotePrefix="0" xfId="0"/>
    <xf numFmtId="165" fontId="9" fillId="4" borderId="1" pivotButton="0" quotePrefix="0" xfId="0"/>
    <xf numFmtId="4" fontId="9" fillId="4" borderId="1" pivotButton="0" quotePrefix="0" xfId="0"/>
    <xf numFmtId="0" fontId="0" fillId="2" borderId="0" pivotButton="0" quotePrefix="0" xfId="0"/>
    <xf numFmtId="4" fontId="0" fillId="0" borderId="0" pivotButton="0" quotePrefix="0" xfId="0"/>
    <xf numFmtId="166" fontId="3" fillId="4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horizontal="right"/>
    </xf>
    <xf numFmtId="17" fontId="0" fillId="0" borderId="0" pivotButton="0" quotePrefix="0" xfId="0"/>
    <xf numFmtId="1" fontId="9" fillId="4" borderId="0" pivotButton="0" quotePrefix="0" xfId="0"/>
    <xf numFmtId="4" fontId="9" fillId="4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14" fillId="0" borderId="0" pivotButton="0" quotePrefix="0" xfId="0"/>
    <xf numFmtId="1" fontId="0" fillId="4" borderId="0" pivotButton="0" quotePrefix="0" xfId="0"/>
    <xf numFmtId="4" fontId="0" fillId="4" borderId="0" pivotButton="0" quotePrefix="0" xfId="0"/>
    <xf numFmtId="4" fontId="1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1" t="inlineStr">
        <is>
          <t>GST Compliance Kit — Invoice, Registers, 3B Working, ITC Reconciliation &amp; Due Dates</t>
        </is>
      </c>
    </row>
    <row r="2">
      <c r="B2" s="2" t="inlineStr">
        <is>
          <t>Rajput Lalit &amp; Associates · www.rajputlalitassociates.in · WhatsApp +91 93549 53603</t>
        </is>
      </c>
    </row>
    <row r="4">
      <c r="B4" s="3" t="inlineStr">
        <is>
          <t>Steps</t>
        </is>
      </c>
    </row>
    <row r="5">
      <c r="A5" s="4" t="n">
        <v>1</v>
      </c>
      <c r="B5" s="5" t="inlineStr">
        <is>
          <t>Open the 'Settings' sheet and enter your business name, address, GSTIN, state and bank details once.</t>
        </is>
      </c>
    </row>
    <row r="6">
      <c r="A6" s="4" t="n">
        <v>2</v>
      </c>
      <c r="B6" s="5" t="inlineStr">
        <is>
          <t>Open 'Invoice'. Enter invoice number, date, buyer details and pick the buyer's state (place of supply).</t>
        </is>
      </c>
    </row>
    <row r="7">
      <c r="A7" s="4" t="n">
        <v>3</v>
      </c>
      <c r="B7" s="5" t="inlineStr">
        <is>
          <t>Add items (up to 15 lines): description, HSN/SAC, quantity, rate, discount % and GST rate. Taxable value, CGST+SGST (same state) or IGST (other state) and totals are calculated automatically.</t>
        </is>
      </c>
    </row>
    <row r="8">
      <c r="A8" s="4" t="n">
        <v>4</v>
      </c>
      <c r="B8" s="5" t="inlineStr">
        <is>
          <t>Type the amount in words, then print (File → Print, A4, 'Fit sheet on one page') or save as PDF.</t>
        </is>
      </c>
    </row>
    <row r="9">
      <c r="A9" s="4" t="n">
        <v>5</v>
      </c>
      <c r="B9" s="5" t="inlineStr">
        <is>
          <t>Copy the invoice summary into 'Sales Register' — one row per invoice. 'Monthly Summary' fills itself and gives you the numbers for GSTR-1 / GSTR-3B.</t>
        </is>
      </c>
    </row>
    <row r="10">
      <c r="A10" s="4" t="n">
        <v>6</v>
      </c>
      <c r="B10" s="5" t="inlineStr">
        <is>
          <t>For the HSN-wise table in GSTR-1, log item lines in 'HSN Register'; 'HSN Summary' adds them up per HSN code.</t>
        </is>
      </c>
    </row>
    <row r="11">
      <c r="A11" s="4" t="n">
        <v>7</v>
      </c>
      <c r="B11" s="5" t="inlineStr">
        <is>
          <t>For the next invoice: File → Save As with a new name, or clear the yellow cells and change the invoice number.</t>
        </is>
      </c>
    </row>
    <row r="12">
      <c r="A12" s="4" t="n">
        <v>8</v>
      </c>
      <c r="B12" s="5" t="inlineStr">
        <is>
          <t>Record every purchase bill in 'Purchase Register' and mark whether its ITC is eligible.</t>
        </is>
      </c>
    </row>
    <row r="13">
      <c r="A13" s="4" t="n">
        <v>9</v>
      </c>
      <c r="B13" s="5" t="inlineStr">
        <is>
          <t>Each month download GSTR-2B from the GST portal (Returns → GSTR-2B → Download Excel) and paste the B2B invoice lines into 'GSTR-2B Data'. Both sheets then show, invoice by invoice, what matches and what doesn't.</t>
        </is>
      </c>
    </row>
    <row r="14">
      <c r="A14" s="4" t="n">
        <v>10</v>
      </c>
      <c r="B14" s="5" t="inlineStr">
        <is>
          <t>'ITC Reconciliation' summarises the result — chase suppliers for invoices that are not in your 2B before you claim that credit.</t>
        </is>
      </c>
    </row>
    <row r="15">
      <c r="A15" s="4" t="n">
        <v>11</v>
      </c>
      <c r="B15" s="5" t="inlineStr">
        <is>
          <t>'GSTR-3B Working' puts output tax and matched ITC side by side for each month and shows the cash you need to arrange.</t>
        </is>
      </c>
    </row>
    <row r="16">
      <c r="A16" s="4" t="n">
        <v>12</v>
      </c>
      <c r="B16" s="5" t="inlineStr">
        <is>
          <t>'Due Date Calendar' lists every GST due date for FY 2026-27. Enter the date you filed — the status column turns to 'OVERDUE' on its own when a date is missed.</t>
        </is>
      </c>
    </row>
    <row r="17">
      <c r="A17" s="4" t="n">
        <v>13</v>
      </c>
      <c r="B17" s="5" t="inlineStr">
        <is>
          <t>Filed late? 'Late Fee &amp; Interest' works out the late fee (with the legal cap) and 18% interest.</t>
        </is>
      </c>
    </row>
    <row r="19">
      <c r="B19" s="3" t="inlineStr">
        <is>
          <t>Good to know</t>
        </is>
      </c>
    </row>
    <row r="20">
      <c r="B20" s="5" t="inlineStr">
        <is>
          <t>• Rates in the drop-down follow the GST rate structure in force from 22 September 2025 (0%, 0.25%, 3%, 5%, 18%, 40%). You can type any other rate if needed.</t>
        </is>
      </c>
    </row>
    <row r="21">
      <c r="B21" s="5" t="inlineStr">
        <is>
          <t>• If the buyer has a GSTIN the sale is B2B, otherwise B2C — the register marks this for you.</t>
        </is>
      </c>
    </row>
    <row r="22">
      <c r="B22" s="5" t="inlineStr">
        <is>
          <t>• Invoice numbers must be consecutive, unique for the financial year and at most 16 characters.</t>
        </is>
      </c>
    </row>
    <row r="23">
      <c r="B23" s="5" t="inlineStr">
        <is>
          <t>• If your turnover is above the e-invoicing limit (currently ₹5 crore), invoices must also be reported on the IRP.</t>
        </is>
      </c>
    </row>
    <row r="25">
      <c r="B25" s="6" t="inlineStr">
        <is>
          <t>Cells shaded light yellow are for your entries. White cells contain formulas — please don't type over them.</t>
        </is>
      </c>
    </row>
    <row r="27">
      <c r="B27" s="7" t="inlineStr">
        <is>
          <t>Licensed for use in your own business. Please do not resell or share publicly. This template is a working aid, not professional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</cols>
  <sheetData>
    <row r="1">
      <c r="A1" s="8" t="inlineStr">
        <is>
          <t>Your business details</t>
        </is>
      </c>
    </row>
    <row r="2">
      <c r="A2" s="9" t="inlineStr">
        <is>
          <t>Fill once — used on every invoice</t>
        </is>
      </c>
    </row>
    <row r="4">
      <c r="A4" s="10" t="inlineStr">
        <is>
          <t>Business / trade name</t>
        </is>
      </c>
      <c r="B4" s="11" t="inlineStr">
        <is>
          <t>Your Business Name</t>
        </is>
      </c>
    </row>
    <row r="5">
      <c r="A5" s="10" t="inlineStr">
        <is>
          <t>Address line 1</t>
        </is>
      </c>
      <c r="B5" s="11" t="inlineStr">
        <is>
          <t>Shop No., Street</t>
        </is>
      </c>
    </row>
    <row r="6">
      <c r="A6" s="10" t="inlineStr">
        <is>
          <t>Address line 2</t>
        </is>
      </c>
      <c r="B6" s="11" t="inlineStr">
        <is>
          <t>City, State - PIN</t>
        </is>
      </c>
    </row>
    <row r="7">
      <c r="A7" s="10" t="inlineStr">
        <is>
          <t>GSTIN</t>
        </is>
      </c>
      <c r="B7" s="11" t="inlineStr">
        <is>
          <t>06ABCDE1234F1Z5</t>
        </is>
      </c>
    </row>
    <row r="8">
      <c r="A8" s="10" t="inlineStr">
        <is>
          <t>Your state (code - name)</t>
        </is>
      </c>
      <c r="B8" s="11" t="inlineStr">
        <is>
          <t>06 - Haryana</t>
        </is>
      </c>
    </row>
    <row r="9">
      <c r="A9" s="10" t="inlineStr">
        <is>
          <t>Phone</t>
        </is>
      </c>
      <c r="B9" s="11" t="inlineStr">
        <is>
          <t xml:space="preserve">+91 </t>
        </is>
      </c>
    </row>
    <row r="10">
      <c r="A10" s="10" t="inlineStr">
        <is>
          <t>Email</t>
        </is>
      </c>
      <c r="B10" s="11" t="inlineStr"/>
    </row>
    <row r="11">
      <c r="A11" s="10" t="inlineStr">
        <is>
          <t>Bank name</t>
        </is>
      </c>
      <c r="B11" s="11" t="inlineStr"/>
    </row>
    <row r="12">
      <c r="A12" s="10" t="inlineStr">
        <is>
          <t>Account number</t>
        </is>
      </c>
      <c r="B12" s="11" t="inlineStr"/>
    </row>
    <row r="13">
      <c r="A13" s="10" t="inlineStr">
        <is>
          <t>IFSC</t>
        </is>
      </c>
      <c r="B13" s="11" t="inlineStr"/>
    </row>
    <row r="14">
      <c r="A14" s="10" t="inlineStr">
        <is>
          <t>UPI ID (optional)</t>
        </is>
      </c>
      <c r="B14" s="11" t="inlineStr"/>
    </row>
    <row r="15">
      <c r="A15" s="10" t="inlineStr">
        <is>
          <t>Terms line</t>
        </is>
      </c>
      <c r="B15" s="11" t="inlineStr">
        <is>
          <t>Goods once sold will not be taken back. Subject to local jurisdiction.</t>
        </is>
      </c>
    </row>
  </sheetData>
  <mergeCells count="2">
    <mergeCell ref="A2:B2"/>
    <mergeCell ref="A1:B1"/>
  </mergeCells>
  <dataValidations count="1">
    <dataValidation sqref="B8" showDropDown="0" showInputMessage="0" showErrorMessage="0" allowBlank="0" type="list">
      <formula1>States!$C$2:$C$38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36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1" customWidth="1" min="3" max="3"/>
    <col width="8" customWidth="1" min="4" max="4"/>
    <col width="7" customWidth="1" min="5" max="5"/>
    <col width="12" customWidth="1" min="6" max="6"/>
    <col width="8" customWidth="1" min="7" max="7"/>
    <col width="14" customWidth="1" min="8" max="8"/>
    <col width="7" customWidth="1" min="9" max="9"/>
    <col width="12" customWidth="1" min="10" max="10"/>
    <col width="12" customWidth="1" min="11" max="11"/>
    <col width="12" customWidth="1" min="12" max="12"/>
    <col width="14" customWidth="1" min="13" max="13"/>
  </cols>
  <sheetData>
    <row r="1">
      <c r="A1" s="12" t="inlineStr">
        <is>
          <t>TAX INVOICE</t>
        </is>
      </c>
    </row>
    <row r="2">
      <c r="A2" s="13">
        <f>Settings!B4</f>
        <v/>
      </c>
      <c r="I2" s="10" t="inlineStr">
        <is>
          <t>Invoice No.</t>
        </is>
      </c>
      <c r="K2" s="11" t="inlineStr">
        <is>
          <t>INV/26-27/001</t>
        </is>
      </c>
    </row>
    <row r="3">
      <c r="A3">
        <f>Settings!B5&amp;", "&amp;Settings!B6</f>
        <v/>
      </c>
      <c r="I3" s="10" t="inlineStr">
        <is>
          <t>Invoice date</t>
        </is>
      </c>
      <c r="K3" s="14">
        <f>TODAY()</f>
        <v/>
      </c>
    </row>
    <row r="4">
      <c r="A4">
        <f>"GSTIN: "&amp;Settings!B7&amp;"   |   State: "&amp;Settings!B8</f>
        <v/>
      </c>
      <c r="I4" s="10" t="inlineStr">
        <is>
          <t>Reverse charge</t>
        </is>
      </c>
      <c r="K4" s="11" t="inlineStr">
        <is>
          <t>No</t>
        </is>
      </c>
    </row>
    <row r="5">
      <c r="A5">
        <f>"Ph: "&amp;Settings!B9&amp;"   "&amp;Settings!B10</f>
        <v/>
      </c>
      <c r="I5" s="10" t="inlineStr">
        <is>
          <t>Supply type</t>
        </is>
      </c>
      <c r="K5" s="15">
        <f>IF(D11="","",IF(LEFT(D11,2)=LEFT(Settings!B8,2),"Intra-state (CGST+SGST)","Inter-state (IGST)"))</f>
        <v/>
      </c>
    </row>
    <row r="7">
      <c r="A7" s="16" t="inlineStr">
        <is>
          <t>Bill to</t>
        </is>
      </c>
    </row>
    <row r="8">
      <c r="B8" s="10" t="inlineStr">
        <is>
          <t>Name</t>
        </is>
      </c>
      <c r="D8" s="11" t="inlineStr"/>
    </row>
    <row r="9">
      <c r="B9" s="10" t="inlineStr">
        <is>
          <t>Address</t>
        </is>
      </c>
      <c r="D9" s="11" t="inlineStr"/>
    </row>
    <row r="10">
      <c r="B10" s="10" t="inlineStr">
        <is>
          <t>GSTIN (blank if unregistered)</t>
        </is>
      </c>
      <c r="D10" s="11" t="inlineStr"/>
    </row>
    <row r="11">
      <c r="B11" s="10" t="inlineStr">
        <is>
          <t>Place of supply</t>
        </is>
      </c>
      <c r="D11" s="11" t="inlineStr">
        <is>
          <t>06 - Haryana</t>
        </is>
      </c>
    </row>
    <row r="13" ht="32" customHeight="1">
      <c r="A13" s="17" t="inlineStr">
        <is>
          <t>#</t>
        </is>
      </c>
      <c r="B13" s="17" t="inlineStr">
        <is>
          <t>Description of goods / services</t>
        </is>
      </c>
      <c r="C13" s="17" t="inlineStr">
        <is>
          <t>HSN/SAC</t>
        </is>
      </c>
      <c r="D13" s="17" t="inlineStr">
        <is>
          <t>Qty</t>
        </is>
      </c>
      <c r="E13" s="17" t="inlineStr">
        <is>
          <t>Unit</t>
        </is>
      </c>
      <c r="F13" s="17" t="inlineStr">
        <is>
          <t>Rate</t>
        </is>
      </c>
      <c r="G13" s="17" t="inlineStr">
        <is>
          <t>Disc %</t>
        </is>
      </c>
      <c r="H13" s="17" t="inlineStr">
        <is>
          <t>Taxable value</t>
        </is>
      </c>
      <c r="I13" s="17" t="inlineStr">
        <is>
          <t>GST %</t>
        </is>
      </c>
      <c r="J13" s="17" t="inlineStr">
        <is>
          <t>CGST</t>
        </is>
      </c>
      <c r="K13" s="17" t="inlineStr">
        <is>
          <t>SGST/UTGST</t>
        </is>
      </c>
      <c r="L13" s="17" t="inlineStr">
        <is>
          <t>IGST</t>
        </is>
      </c>
      <c r="M13" s="17" t="inlineStr">
        <is>
          <t>Total</t>
        </is>
      </c>
    </row>
    <row r="14">
      <c r="A14" t="n">
        <v>1</v>
      </c>
      <c r="B14" s="11" t="n"/>
      <c r="C14" s="11" t="n"/>
      <c r="D14" s="11" t="n"/>
      <c r="E14" s="11" t="n"/>
      <c r="F14" s="18" t="n"/>
      <c r="G14" s="11" t="n"/>
      <c r="H14" s="19">
        <f>IF(D14="","",ROUND(D14*F14*(1-G14/100),2))</f>
        <v/>
      </c>
      <c r="I14" s="11" t="n"/>
      <c r="J14" s="19">
        <f>IF(H14="","",IF(LEFT($D$11,2)=LEFT(Settings!$B$8,2),ROUND(H14*I14/200,2),0))</f>
        <v/>
      </c>
      <c r="K14" s="19">
        <f>IF(H14="","",IF(LEFT($D$11,2)=LEFT(Settings!$B$8,2),ROUND(H14*I14/200,2),0))</f>
        <v/>
      </c>
      <c r="L14" s="19">
        <f>IF(H14="","",IF(LEFT($D$11,2)=LEFT(Settings!$B$8,2),0,ROUND(H14*I14/100,2)))</f>
        <v/>
      </c>
      <c r="M14" s="19">
        <f>IF(H14="","",H14+J14+K14+L14)</f>
        <v/>
      </c>
    </row>
    <row r="15">
      <c r="A15" t="n">
        <v>2</v>
      </c>
      <c r="B15" s="11" t="n"/>
      <c r="C15" s="11" t="n"/>
      <c r="D15" s="11" t="n"/>
      <c r="E15" s="11" t="n"/>
      <c r="F15" s="18" t="n"/>
      <c r="G15" s="11" t="n"/>
      <c r="H15" s="19">
        <f>IF(D15="","",ROUND(D15*F15*(1-G15/100),2))</f>
        <v/>
      </c>
      <c r="I15" s="11" t="n"/>
      <c r="J15" s="19">
        <f>IF(H15="","",IF(LEFT($D$11,2)=LEFT(Settings!$B$8,2),ROUND(H15*I15/200,2),0))</f>
        <v/>
      </c>
      <c r="K15" s="19">
        <f>IF(H15="","",IF(LEFT($D$11,2)=LEFT(Settings!$B$8,2),ROUND(H15*I15/200,2),0))</f>
        <v/>
      </c>
      <c r="L15" s="19">
        <f>IF(H15="","",IF(LEFT($D$11,2)=LEFT(Settings!$B$8,2),0,ROUND(H15*I15/100,2)))</f>
        <v/>
      </c>
      <c r="M15" s="19">
        <f>IF(H15="","",H15+J15+K15+L15)</f>
        <v/>
      </c>
    </row>
    <row r="16">
      <c r="A16" t="n">
        <v>3</v>
      </c>
      <c r="B16" s="11" t="n"/>
      <c r="C16" s="11" t="n"/>
      <c r="D16" s="11" t="n"/>
      <c r="E16" s="11" t="n"/>
      <c r="F16" s="18" t="n"/>
      <c r="G16" s="11" t="n"/>
      <c r="H16" s="19">
        <f>IF(D16="","",ROUND(D16*F16*(1-G16/100),2))</f>
        <v/>
      </c>
      <c r="I16" s="11" t="n"/>
      <c r="J16" s="19">
        <f>IF(H16="","",IF(LEFT($D$11,2)=LEFT(Settings!$B$8,2),ROUND(H16*I16/200,2),0))</f>
        <v/>
      </c>
      <c r="K16" s="19">
        <f>IF(H16="","",IF(LEFT($D$11,2)=LEFT(Settings!$B$8,2),ROUND(H16*I16/200,2),0))</f>
        <v/>
      </c>
      <c r="L16" s="19">
        <f>IF(H16="","",IF(LEFT($D$11,2)=LEFT(Settings!$B$8,2),0,ROUND(H16*I16/100,2)))</f>
        <v/>
      </c>
      <c r="M16" s="19">
        <f>IF(H16="","",H16+J16+K16+L16)</f>
        <v/>
      </c>
    </row>
    <row r="17">
      <c r="A17" t="n">
        <v>4</v>
      </c>
      <c r="B17" s="11" t="n"/>
      <c r="C17" s="11" t="n"/>
      <c r="D17" s="11" t="n"/>
      <c r="E17" s="11" t="n"/>
      <c r="F17" s="18" t="n"/>
      <c r="G17" s="11" t="n"/>
      <c r="H17" s="19">
        <f>IF(D17="","",ROUND(D17*F17*(1-G17/100),2))</f>
        <v/>
      </c>
      <c r="I17" s="11" t="n"/>
      <c r="J17" s="19">
        <f>IF(H17="","",IF(LEFT($D$11,2)=LEFT(Settings!$B$8,2),ROUND(H17*I17/200,2),0))</f>
        <v/>
      </c>
      <c r="K17" s="19">
        <f>IF(H17="","",IF(LEFT($D$11,2)=LEFT(Settings!$B$8,2),ROUND(H17*I17/200,2),0))</f>
        <v/>
      </c>
      <c r="L17" s="19">
        <f>IF(H17="","",IF(LEFT($D$11,2)=LEFT(Settings!$B$8,2),0,ROUND(H17*I17/100,2)))</f>
        <v/>
      </c>
      <c r="M17" s="19">
        <f>IF(H17="","",H17+J17+K17+L17)</f>
        <v/>
      </c>
    </row>
    <row r="18">
      <c r="A18" t="n">
        <v>5</v>
      </c>
      <c r="B18" s="11" t="n"/>
      <c r="C18" s="11" t="n"/>
      <c r="D18" s="11" t="n"/>
      <c r="E18" s="11" t="n"/>
      <c r="F18" s="18" t="n"/>
      <c r="G18" s="11" t="n"/>
      <c r="H18" s="19">
        <f>IF(D18="","",ROUND(D18*F18*(1-G18/100),2))</f>
        <v/>
      </c>
      <c r="I18" s="11" t="n"/>
      <c r="J18" s="19">
        <f>IF(H18="","",IF(LEFT($D$11,2)=LEFT(Settings!$B$8,2),ROUND(H18*I18/200,2),0))</f>
        <v/>
      </c>
      <c r="K18" s="19">
        <f>IF(H18="","",IF(LEFT($D$11,2)=LEFT(Settings!$B$8,2),ROUND(H18*I18/200,2),0))</f>
        <v/>
      </c>
      <c r="L18" s="19">
        <f>IF(H18="","",IF(LEFT($D$11,2)=LEFT(Settings!$B$8,2),0,ROUND(H18*I18/100,2)))</f>
        <v/>
      </c>
      <c r="M18" s="19">
        <f>IF(H18="","",H18+J18+K18+L18)</f>
        <v/>
      </c>
    </row>
    <row r="19">
      <c r="A19" t="n">
        <v>6</v>
      </c>
      <c r="B19" s="11" t="n"/>
      <c r="C19" s="11" t="n"/>
      <c r="D19" s="11" t="n"/>
      <c r="E19" s="11" t="n"/>
      <c r="F19" s="18" t="n"/>
      <c r="G19" s="11" t="n"/>
      <c r="H19" s="19">
        <f>IF(D19="","",ROUND(D19*F19*(1-G19/100),2))</f>
        <v/>
      </c>
      <c r="I19" s="11" t="n"/>
      <c r="J19" s="19">
        <f>IF(H19="","",IF(LEFT($D$11,2)=LEFT(Settings!$B$8,2),ROUND(H19*I19/200,2),0))</f>
        <v/>
      </c>
      <c r="K19" s="19">
        <f>IF(H19="","",IF(LEFT($D$11,2)=LEFT(Settings!$B$8,2),ROUND(H19*I19/200,2),0))</f>
        <v/>
      </c>
      <c r="L19" s="19">
        <f>IF(H19="","",IF(LEFT($D$11,2)=LEFT(Settings!$B$8,2),0,ROUND(H19*I19/100,2)))</f>
        <v/>
      </c>
      <c r="M19" s="19">
        <f>IF(H19="","",H19+J19+K19+L19)</f>
        <v/>
      </c>
    </row>
    <row r="20">
      <c r="A20" t="n">
        <v>7</v>
      </c>
      <c r="B20" s="11" t="n"/>
      <c r="C20" s="11" t="n"/>
      <c r="D20" s="11" t="n"/>
      <c r="E20" s="11" t="n"/>
      <c r="F20" s="18" t="n"/>
      <c r="G20" s="11" t="n"/>
      <c r="H20" s="19">
        <f>IF(D20="","",ROUND(D20*F20*(1-G20/100),2))</f>
        <v/>
      </c>
      <c r="I20" s="11" t="n"/>
      <c r="J20" s="19">
        <f>IF(H20="","",IF(LEFT($D$11,2)=LEFT(Settings!$B$8,2),ROUND(H20*I20/200,2),0))</f>
        <v/>
      </c>
      <c r="K20" s="19">
        <f>IF(H20="","",IF(LEFT($D$11,2)=LEFT(Settings!$B$8,2),ROUND(H20*I20/200,2),0))</f>
        <v/>
      </c>
      <c r="L20" s="19">
        <f>IF(H20="","",IF(LEFT($D$11,2)=LEFT(Settings!$B$8,2),0,ROUND(H20*I20/100,2)))</f>
        <v/>
      </c>
      <c r="M20" s="19">
        <f>IF(H20="","",H20+J20+K20+L20)</f>
        <v/>
      </c>
    </row>
    <row r="21">
      <c r="A21" t="n">
        <v>8</v>
      </c>
      <c r="B21" s="11" t="n"/>
      <c r="C21" s="11" t="n"/>
      <c r="D21" s="11" t="n"/>
      <c r="E21" s="11" t="n"/>
      <c r="F21" s="18" t="n"/>
      <c r="G21" s="11" t="n"/>
      <c r="H21" s="19">
        <f>IF(D21="","",ROUND(D21*F21*(1-G21/100),2))</f>
        <v/>
      </c>
      <c r="I21" s="11" t="n"/>
      <c r="J21" s="19">
        <f>IF(H21="","",IF(LEFT($D$11,2)=LEFT(Settings!$B$8,2),ROUND(H21*I21/200,2),0))</f>
        <v/>
      </c>
      <c r="K21" s="19">
        <f>IF(H21="","",IF(LEFT($D$11,2)=LEFT(Settings!$B$8,2),ROUND(H21*I21/200,2),0))</f>
        <v/>
      </c>
      <c r="L21" s="19">
        <f>IF(H21="","",IF(LEFT($D$11,2)=LEFT(Settings!$B$8,2),0,ROUND(H21*I21/100,2)))</f>
        <v/>
      </c>
      <c r="M21" s="19">
        <f>IF(H21="","",H21+J21+K21+L21)</f>
        <v/>
      </c>
    </row>
    <row r="22">
      <c r="A22" t="n">
        <v>9</v>
      </c>
      <c r="B22" s="11" t="n"/>
      <c r="C22" s="11" t="n"/>
      <c r="D22" s="11" t="n"/>
      <c r="E22" s="11" t="n"/>
      <c r="F22" s="18" t="n"/>
      <c r="G22" s="11" t="n"/>
      <c r="H22" s="19">
        <f>IF(D22="","",ROUND(D22*F22*(1-G22/100),2))</f>
        <v/>
      </c>
      <c r="I22" s="11" t="n"/>
      <c r="J22" s="19">
        <f>IF(H22="","",IF(LEFT($D$11,2)=LEFT(Settings!$B$8,2),ROUND(H22*I22/200,2),0))</f>
        <v/>
      </c>
      <c r="K22" s="19">
        <f>IF(H22="","",IF(LEFT($D$11,2)=LEFT(Settings!$B$8,2),ROUND(H22*I22/200,2),0))</f>
        <v/>
      </c>
      <c r="L22" s="19">
        <f>IF(H22="","",IF(LEFT($D$11,2)=LEFT(Settings!$B$8,2),0,ROUND(H22*I22/100,2)))</f>
        <v/>
      </c>
      <c r="M22" s="19">
        <f>IF(H22="","",H22+J22+K22+L22)</f>
        <v/>
      </c>
    </row>
    <row r="23">
      <c r="A23" t="n">
        <v>10</v>
      </c>
      <c r="B23" s="11" t="n"/>
      <c r="C23" s="11" t="n"/>
      <c r="D23" s="11" t="n"/>
      <c r="E23" s="11" t="n"/>
      <c r="F23" s="18" t="n"/>
      <c r="G23" s="11" t="n"/>
      <c r="H23" s="19">
        <f>IF(D23="","",ROUND(D23*F23*(1-G23/100),2))</f>
        <v/>
      </c>
      <c r="I23" s="11" t="n"/>
      <c r="J23" s="19">
        <f>IF(H23="","",IF(LEFT($D$11,2)=LEFT(Settings!$B$8,2),ROUND(H23*I23/200,2),0))</f>
        <v/>
      </c>
      <c r="K23" s="19">
        <f>IF(H23="","",IF(LEFT($D$11,2)=LEFT(Settings!$B$8,2),ROUND(H23*I23/200,2),0))</f>
        <v/>
      </c>
      <c r="L23" s="19">
        <f>IF(H23="","",IF(LEFT($D$11,2)=LEFT(Settings!$B$8,2),0,ROUND(H23*I23/100,2)))</f>
        <v/>
      </c>
      <c r="M23" s="19">
        <f>IF(H23="","",H23+J23+K23+L23)</f>
        <v/>
      </c>
    </row>
    <row r="24">
      <c r="A24" t="n">
        <v>11</v>
      </c>
      <c r="B24" s="11" t="n"/>
      <c r="C24" s="11" t="n"/>
      <c r="D24" s="11" t="n"/>
      <c r="E24" s="11" t="n"/>
      <c r="F24" s="18" t="n"/>
      <c r="G24" s="11" t="n"/>
      <c r="H24" s="19">
        <f>IF(D24="","",ROUND(D24*F24*(1-G24/100),2))</f>
        <v/>
      </c>
      <c r="I24" s="11" t="n"/>
      <c r="J24" s="19">
        <f>IF(H24="","",IF(LEFT($D$11,2)=LEFT(Settings!$B$8,2),ROUND(H24*I24/200,2),0))</f>
        <v/>
      </c>
      <c r="K24" s="19">
        <f>IF(H24="","",IF(LEFT($D$11,2)=LEFT(Settings!$B$8,2),ROUND(H24*I24/200,2),0))</f>
        <v/>
      </c>
      <c r="L24" s="19">
        <f>IF(H24="","",IF(LEFT($D$11,2)=LEFT(Settings!$B$8,2),0,ROUND(H24*I24/100,2)))</f>
        <v/>
      </c>
      <c r="M24" s="19">
        <f>IF(H24="","",H24+J24+K24+L24)</f>
        <v/>
      </c>
    </row>
    <row r="25">
      <c r="A25" t="n">
        <v>12</v>
      </c>
      <c r="B25" s="11" t="n"/>
      <c r="C25" s="11" t="n"/>
      <c r="D25" s="11" t="n"/>
      <c r="E25" s="11" t="n"/>
      <c r="F25" s="18" t="n"/>
      <c r="G25" s="11" t="n"/>
      <c r="H25" s="19">
        <f>IF(D25="","",ROUND(D25*F25*(1-G25/100),2))</f>
        <v/>
      </c>
      <c r="I25" s="11" t="n"/>
      <c r="J25" s="19">
        <f>IF(H25="","",IF(LEFT($D$11,2)=LEFT(Settings!$B$8,2),ROUND(H25*I25/200,2),0))</f>
        <v/>
      </c>
      <c r="K25" s="19">
        <f>IF(H25="","",IF(LEFT($D$11,2)=LEFT(Settings!$B$8,2),ROUND(H25*I25/200,2),0))</f>
        <v/>
      </c>
      <c r="L25" s="19">
        <f>IF(H25="","",IF(LEFT($D$11,2)=LEFT(Settings!$B$8,2),0,ROUND(H25*I25/100,2)))</f>
        <v/>
      </c>
      <c r="M25" s="19">
        <f>IF(H25="","",H25+J25+K25+L25)</f>
        <v/>
      </c>
    </row>
    <row r="26">
      <c r="A26" t="n">
        <v>13</v>
      </c>
      <c r="B26" s="11" t="n"/>
      <c r="C26" s="11" t="n"/>
      <c r="D26" s="11" t="n"/>
      <c r="E26" s="11" t="n"/>
      <c r="F26" s="18" t="n"/>
      <c r="G26" s="11" t="n"/>
      <c r="H26" s="19">
        <f>IF(D26="","",ROUND(D26*F26*(1-G26/100),2))</f>
        <v/>
      </c>
      <c r="I26" s="11" t="n"/>
      <c r="J26" s="19">
        <f>IF(H26="","",IF(LEFT($D$11,2)=LEFT(Settings!$B$8,2),ROUND(H26*I26/200,2),0))</f>
        <v/>
      </c>
      <c r="K26" s="19">
        <f>IF(H26="","",IF(LEFT($D$11,2)=LEFT(Settings!$B$8,2),ROUND(H26*I26/200,2),0))</f>
        <v/>
      </c>
      <c r="L26" s="19">
        <f>IF(H26="","",IF(LEFT($D$11,2)=LEFT(Settings!$B$8,2),0,ROUND(H26*I26/100,2)))</f>
        <v/>
      </c>
      <c r="M26" s="19">
        <f>IF(H26="","",H26+J26+K26+L26)</f>
        <v/>
      </c>
    </row>
    <row r="27">
      <c r="A27" t="n">
        <v>14</v>
      </c>
      <c r="B27" s="11" t="n"/>
      <c r="C27" s="11" t="n"/>
      <c r="D27" s="11" t="n"/>
      <c r="E27" s="11" t="n"/>
      <c r="F27" s="18" t="n"/>
      <c r="G27" s="11" t="n"/>
      <c r="H27" s="19">
        <f>IF(D27="","",ROUND(D27*F27*(1-G27/100),2))</f>
        <v/>
      </c>
      <c r="I27" s="11" t="n"/>
      <c r="J27" s="19">
        <f>IF(H27="","",IF(LEFT($D$11,2)=LEFT(Settings!$B$8,2),ROUND(H27*I27/200,2),0))</f>
        <v/>
      </c>
      <c r="K27" s="19">
        <f>IF(H27="","",IF(LEFT($D$11,2)=LEFT(Settings!$B$8,2),ROUND(H27*I27/200,2),0))</f>
        <v/>
      </c>
      <c r="L27" s="19">
        <f>IF(H27="","",IF(LEFT($D$11,2)=LEFT(Settings!$B$8,2),0,ROUND(H27*I27/100,2)))</f>
        <v/>
      </c>
      <c r="M27" s="19">
        <f>IF(H27="","",H27+J27+K27+L27)</f>
        <v/>
      </c>
    </row>
    <row r="28">
      <c r="A28" t="n">
        <v>15</v>
      </c>
      <c r="B28" s="11" t="n"/>
      <c r="C28" s="11" t="n"/>
      <c r="D28" s="11" t="n"/>
      <c r="E28" s="11" t="n"/>
      <c r="F28" s="18" t="n"/>
      <c r="G28" s="11" t="n"/>
      <c r="H28" s="19">
        <f>IF(D28="","",ROUND(D28*F28*(1-G28/100),2))</f>
        <v/>
      </c>
      <c r="I28" s="11" t="n"/>
      <c r="J28" s="19">
        <f>IF(H28="","",IF(LEFT($D$11,2)=LEFT(Settings!$B$8,2),ROUND(H28*I28/200,2),0))</f>
        <v/>
      </c>
      <c r="K28" s="19">
        <f>IF(H28="","",IF(LEFT($D$11,2)=LEFT(Settings!$B$8,2),ROUND(H28*I28/200,2),0))</f>
        <v/>
      </c>
      <c r="L28" s="19">
        <f>IF(H28="","",IF(LEFT($D$11,2)=LEFT(Settings!$B$8,2),0,ROUND(H28*I28/100,2)))</f>
        <v/>
      </c>
      <c r="M28" s="19">
        <f>IF(H28="","",H28+J28+K28+L28)</f>
        <v/>
      </c>
    </row>
    <row r="29">
      <c r="B29" s="10" t="inlineStr">
        <is>
          <t>Total</t>
        </is>
      </c>
      <c r="D29" s="20">
        <f>SUM(D14:D28)</f>
        <v/>
      </c>
      <c r="H29" s="21">
        <f>SUM(H14:H28)</f>
        <v/>
      </c>
      <c r="J29" s="21">
        <f>SUM(J14:J28)</f>
        <v/>
      </c>
      <c r="K29" s="21">
        <f>SUM(K14:K28)</f>
        <v/>
      </c>
      <c r="L29" s="21">
        <f>SUM(L14:L28)</f>
        <v/>
      </c>
      <c r="M29" s="21">
        <f>SUM(M14:M28)</f>
        <v/>
      </c>
    </row>
    <row r="30">
      <c r="A30" s="10" t="inlineStr">
        <is>
          <t>Amount in words:</t>
        </is>
      </c>
      <c r="C30" s="22" t="inlineStr">
        <is>
          <t>Rupees ______________ only</t>
        </is>
      </c>
      <c r="K30" s="10" t="inlineStr">
        <is>
          <t>Round off</t>
        </is>
      </c>
      <c r="M30" s="23">
        <f>ROUND(M29,0)-M29</f>
        <v/>
      </c>
    </row>
    <row r="31">
      <c r="K31" s="16" t="inlineStr">
        <is>
          <t>GRAND TOTAL</t>
        </is>
      </c>
      <c r="M31" s="24">
        <f>ROUND(M29,0)</f>
        <v/>
      </c>
    </row>
    <row r="32">
      <c r="A32" s="10" t="inlineStr">
        <is>
          <t>Bank details:</t>
        </is>
      </c>
      <c r="C32">
        <f>Settings!B11&amp;"  A/c "&amp;Settings!B12&amp;"  IFSC "&amp;Settings!B13&amp;IF(Settings!B14&lt;&gt;"","  UPI "&amp;Settings!B14,"")</f>
        <v/>
      </c>
    </row>
    <row r="33">
      <c r="A33" s="25">
        <f>Settings!B15</f>
        <v/>
      </c>
      <c r="J33" s="26">
        <f>"For "&amp;Settings!B4</f>
        <v/>
      </c>
    </row>
    <row r="36">
      <c r="J36" s="26" t="inlineStr">
        <is>
          <t>Authorised Signatory</t>
        </is>
      </c>
    </row>
  </sheetData>
  <mergeCells count="28">
    <mergeCell ref="K30:L30"/>
    <mergeCell ref="D9:J9"/>
    <mergeCell ref="I2:J2"/>
    <mergeCell ref="A4:G4"/>
    <mergeCell ref="D8:J8"/>
    <mergeCell ref="C32:I32"/>
    <mergeCell ref="J33:M33"/>
    <mergeCell ref="K2:M2"/>
    <mergeCell ref="A33:I33"/>
    <mergeCell ref="B11:C11"/>
    <mergeCell ref="D10:J10"/>
    <mergeCell ref="K31:L31"/>
    <mergeCell ref="C30:I30"/>
    <mergeCell ref="B8:C8"/>
    <mergeCell ref="I3:J3"/>
    <mergeCell ref="A1:M1"/>
    <mergeCell ref="K4:M4"/>
    <mergeCell ref="B10:C10"/>
    <mergeCell ref="I5:J5"/>
    <mergeCell ref="K3:M3"/>
    <mergeCell ref="B9:C9"/>
    <mergeCell ref="D11:J11"/>
    <mergeCell ref="I4:J4"/>
    <mergeCell ref="J36:M36"/>
    <mergeCell ref="A3:G3"/>
    <mergeCell ref="K5:M5"/>
    <mergeCell ref="A2:G2"/>
    <mergeCell ref="A5:G5"/>
  </mergeCells>
  <dataValidations count="2">
    <dataValidation sqref="D11" showDropDown="0" showInputMessage="0" showErrorMessage="0" allowBlank="0" type="list">
      <formula1>States!$C$2:$C$38</formula1>
    </dataValidation>
    <dataValidation sqref="I14 I15 I16 I17 I18 I19 I20 I21 I22 I23 I24 I25 I26 I27 I28" showDropDown="0" showInputMessage="0" showErrorMessage="0" allowBlank="1" type="list">
      <formula1>"0,0.25,3,5,18,40"</formula1>
    </dataValidation>
  </dataValidation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50" customWidth="1" min="3" max="3"/>
  </cols>
  <sheetData>
    <row r="1" ht="32" customHeight="1">
      <c r="A1" s="17" t="inlineStr">
        <is>
          <t>Code</t>
        </is>
      </c>
      <c r="B1" s="17" t="inlineStr">
        <is>
          <t>State / UT</t>
        </is>
      </c>
      <c r="C1" s="17" t="inlineStr">
        <is>
          <t>Code + Name</t>
        </is>
      </c>
    </row>
    <row r="2">
      <c r="A2" t="inlineStr">
        <is>
          <t>01</t>
        </is>
      </c>
      <c r="B2" t="inlineStr">
        <is>
          <t>Jammu and Kashmir</t>
        </is>
      </c>
      <c r="C2" t="inlineStr">
        <is>
          <t>01 - Jammu and Kashmir</t>
        </is>
      </c>
    </row>
    <row r="3">
      <c r="A3" t="inlineStr">
        <is>
          <t>02</t>
        </is>
      </c>
      <c r="B3" t="inlineStr">
        <is>
          <t>Himachal Pradesh</t>
        </is>
      </c>
      <c r="C3" t="inlineStr">
        <is>
          <t>02 - Himachal Pradesh</t>
        </is>
      </c>
    </row>
    <row r="4">
      <c r="A4" t="inlineStr">
        <is>
          <t>03</t>
        </is>
      </c>
      <c r="B4" t="inlineStr">
        <is>
          <t>Punjab</t>
        </is>
      </c>
      <c r="C4" t="inlineStr">
        <is>
          <t>03 - Punjab</t>
        </is>
      </c>
    </row>
    <row r="5">
      <c r="A5" t="inlineStr">
        <is>
          <t>04</t>
        </is>
      </c>
      <c r="B5" t="inlineStr">
        <is>
          <t>Chandigarh</t>
        </is>
      </c>
      <c r="C5" t="inlineStr">
        <is>
          <t>04 - Chandigarh</t>
        </is>
      </c>
    </row>
    <row r="6">
      <c r="A6" t="inlineStr">
        <is>
          <t>05</t>
        </is>
      </c>
      <c r="B6" t="inlineStr">
        <is>
          <t>Uttarakhand</t>
        </is>
      </c>
      <c r="C6" t="inlineStr">
        <is>
          <t>05 - Uttarakhand</t>
        </is>
      </c>
    </row>
    <row r="7">
      <c r="A7" t="inlineStr">
        <is>
          <t>06</t>
        </is>
      </c>
      <c r="B7" t="inlineStr">
        <is>
          <t>Haryana</t>
        </is>
      </c>
      <c r="C7" t="inlineStr">
        <is>
          <t>06 - Haryana</t>
        </is>
      </c>
    </row>
    <row r="8">
      <c r="A8" t="inlineStr">
        <is>
          <t>07</t>
        </is>
      </c>
      <c r="B8" t="inlineStr">
        <is>
          <t>Delhi</t>
        </is>
      </c>
      <c r="C8" t="inlineStr">
        <is>
          <t>07 - Delhi</t>
        </is>
      </c>
    </row>
    <row r="9">
      <c r="A9" t="inlineStr">
        <is>
          <t>08</t>
        </is>
      </c>
      <c r="B9" t="inlineStr">
        <is>
          <t>Rajasthan</t>
        </is>
      </c>
      <c r="C9" t="inlineStr">
        <is>
          <t>08 - Rajasthan</t>
        </is>
      </c>
    </row>
    <row r="10">
      <c r="A10" t="inlineStr">
        <is>
          <t>09</t>
        </is>
      </c>
      <c r="B10" t="inlineStr">
        <is>
          <t>Uttar Pradesh</t>
        </is>
      </c>
      <c r="C10" t="inlineStr">
        <is>
          <t>09 - Uttar Pradesh</t>
        </is>
      </c>
    </row>
    <row r="11">
      <c r="A11" t="inlineStr">
        <is>
          <t>10</t>
        </is>
      </c>
      <c r="B11" t="inlineStr">
        <is>
          <t>Bihar</t>
        </is>
      </c>
      <c r="C11" t="inlineStr">
        <is>
          <t>10 - Bihar</t>
        </is>
      </c>
    </row>
    <row r="12">
      <c r="A12" t="inlineStr">
        <is>
          <t>11</t>
        </is>
      </c>
      <c r="B12" t="inlineStr">
        <is>
          <t>Sikkim</t>
        </is>
      </c>
      <c r="C12" t="inlineStr">
        <is>
          <t>11 - Sikkim</t>
        </is>
      </c>
    </row>
    <row r="13">
      <c r="A13" t="inlineStr">
        <is>
          <t>12</t>
        </is>
      </c>
      <c r="B13" t="inlineStr">
        <is>
          <t>Arunachal Pradesh</t>
        </is>
      </c>
      <c r="C13" t="inlineStr">
        <is>
          <t>12 - Arunachal Pradesh</t>
        </is>
      </c>
    </row>
    <row r="14">
      <c r="A14" t="inlineStr">
        <is>
          <t>13</t>
        </is>
      </c>
      <c r="B14" t="inlineStr">
        <is>
          <t>Nagaland</t>
        </is>
      </c>
      <c r="C14" t="inlineStr">
        <is>
          <t>13 - Nagaland</t>
        </is>
      </c>
    </row>
    <row r="15">
      <c r="A15" t="inlineStr">
        <is>
          <t>14</t>
        </is>
      </c>
      <c r="B15" t="inlineStr">
        <is>
          <t>Manipur</t>
        </is>
      </c>
      <c r="C15" t="inlineStr">
        <is>
          <t>14 - Manipur</t>
        </is>
      </c>
    </row>
    <row r="16">
      <c r="A16" t="inlineStr">
        <is>
          <t>15</t>
        </is>
      </c>
      <c r="B16" t="inlineStr">
        <is>
          <t>Mizoram</t>
        </is>
      </c>
      <c r="C16" t="inlineStr">
        <is>
          <t>15 - Mizoram</t>
        </is>
      </c>
    </row>
    <row r="17">
      <c r="A17" t="inlineStr">
        <is>
          <t>16</t>
        </is>
      </c>
      <c r="B17" t="inlineStr">
        <is>
          <t>Tripura</t>
        </is>
      </c>
      <c r="C17" t="inlineStr">
        <is>
          <t>16 - Tripura</t>
        </is>
      </c>
    </row>
    <row r="18">
      <c r="A18" t="inlineStr">
        <is>
          <t>17</t>
        </is>
      </c>
      <c r="B18" t="inlineStr">
        <is>
          <t>Meghalaya</t>
        </is>
      </c>
      <c r="C18" t="inlineStr">
        <is>
          <t>17 - Meghalaya</t>
        </is>
      </c>
    </row>
    <row r="19">
      <c r="A19" t="inlineStr">
        <is>
          <t>18</t>
        </is>
      </c>
      <c r="B19" t="inlineStr">
        <is>
          <t>Assam</t>
        </is>
      </c>
      <c r="C19" t="inlineStr">
        <is>
          <t>18 - Assam</t>
        </is>
      </c>
    </row>
    <row r="20">
      <c r="A20" t="inlineStr">
        <is>
          <t>19</t>
        </is>
      </c>
      <c r="B20" t="inlineStr">
        <is>
          <t>West Bengal</t>
        </is>
      </c>
      <c r="C20" t="inlineStr">
        <is>
          <t>19 - West Bengal</t>
        </is>
      </c>
    </row>
    <row r="21">
      <c r="A21" t="inlineStr">
        <is>
          <t>20</t>
        </is>
      </c>
      <c r="B21" t="inlineStr">
        <is>
          <t>Jharkhand</t>
        </is>
      </c>
      <c r="C21" t="inlineStr">
        <is>
          <t>20 - Jharkhand</t>
        </is>
      </c>
    </row>
    <row r="22">
      <c r="A22" t="inlineStr">
        <is>
          <t>21</t>
        </is>
      </c>
      <c r="B22" t="inlineStr">
        <is>
          <t>Odisha</t>
        </is>
      </c>
      <c r="C22" t="inlineStr">
        <is>
          <t>21 - Odisha</t>
        </is>
      </c>
    </row>
    <row r="23">
      <c r="A23" t="inlineStr">
        <is>
          <t>22</t>
        </is>
      </c>
      <c r="B23" t="inlineStr">
        <is>
          <t>Chhattisgarh</t>
        </is>
      </c>
      <c r="C23" t="inlineStr">
        <is>
          <t>22 - Chhattisgarh</t>
        </is>
      </c>
    </row>
    <row r="24">
      <c r="A24" t="inlineStr">
        <is>
          <t>23</t>
        </is>
      </c>
      <c r="B24" t="inlineStr">
        <is>
          <t>Madhya Pradesh</t>
        </is>
      </c>
      <c r="C24" t="inlineStr">
        <is>
          <t>23 - Madhya Pradesh</t>
        </is>
      </c>
    </row>
    <row r="25">
      <c r="A25" t="inlineStr">
        <is>
          <t>24</t>
        </is>
      </c>
      <c r="B25" t="inlineStr">
        <is>
          <t>Gujarat</t>
        </is>
      </c>
      <c r="C25" t="inlineStr">
        <is>
          <t>24 - Gujarat</t>
        </is>
      </c>
    </row>
    <row r="26">
      <c r="A26" t="inlineStr">
        <is>
          <t>26</t>
        </is>
      </c>
      <c r="B26" t="inlineStr">
        <is>
          <t>Dadra and Nagar Haveli and Daman and Diu</t>
        </is>
      </c>
      <c r="C26" t="inlineStr">
        <is>
          <t>26 - Dadra and Nagar Haveli and Daman and Diu</t>
        </is>
      </c>
    </row>
    <row r="27">
      <c r="A27" t="inlineStr">
        <is>
          <t>27</t>
        </is>
      </c>
      <c r="B27" t="inlineStr">
        <is>
          <t>Maharashtra</t>
        </is>
      </c>
      <c r="C27" t="inlineStr">
        <is>
          <t>27 - Maharashtra</t>
        </is>
      </c>
    </row>
    <row r="28">
      <c r="A28" t="inlineStr">
        <is>
          <t>29</t>
        </is>
      </c>
      <c r="B28" t="inlineStr">
        <is>
          <t>Karnataka</t>
        </is>
      </c>
      <c r="C28" t="inlineStr">
        <is>
          <t>29 - Karnataka</t>
        </is>
      </c>
    </row>
    <row r="29">
      <c r="A29" t="inlineStr">
        <is>
          <t>30</t>
        </is>
      </c>
      <c r="B29" t="inlineStr">
        <is>
          <t>Goa</t>
        </is>
      </c>
      <c r="C29" t="inlineStr">
        <is>
          <t>30 - Goa</t>
        </is>
      </c>
    </row>
    <row r="30">
      <c r="A30" t="inlineStr">
        <is>
          <t>31</t>
        </is>
      </c>
      <c r="B30" t="inlineStr">
        <is>
          <t>Lakshadweep</t>
        </is>
      </c>
      <c r="C30" t="inlineStr">
        <is>
          <t>31 - Lakshadweep</t>
        </is>
      </c>
    </row>
    <row r="31">
      <c r="A31" t="inlineStr">
        <is>
          <t>32</t>
        </is>
      </c>
      <c r="B31" t="inlineStr">
        <is>
          <t>Kerala</t>
        </is>
      </c>
      <c r="C31" t="inlineStr">
        <is>
          <t>32 - Kerala</t>
        </is>
      </c>
    </row>
    <row r="32">
      <c r="A32" t="inlineStr">
        <is>
          <t>33</t>
        </is>
      </c>
      <c r="B32" t="inlineStr">
        <is>
          <t>Tamil Nadu</t>
        </is>
      </c>
      <c r="C32" t="inlineStr">
        <is>
          <t>33 - Tamil Nadu</t>
        </is>
      </c>
    </row>
    <row r="33">
      <c r="A33" t="inlineStr">
        <is>
          <t>34</t>
        </is>
      </c>
      <c r="B33" t="inlineStr">
        <is>
          <t>Puducherry</t>
        </is>
      </c>
      <c r="C33" t="inlineStr">
        <is>
          <t>34 - Puducherry</t>
        </is>
      </c>
    </row>
    <row r="34">
      <c r="A34" t="inlineStr">
        <is>
          <t>35</t>
        </is>
      </c>
      <c r="B34" t="inlineStr">
        <is>
          <t>Andaman and Nicobar Islands</t>
        </is>
      </c>
      <c r="C34" t="inlineStr">
        <is>
          <t>35 - Andaman and Nicobar Islands</t>
        </is>
      </c>
    </row>
    <row r="35">
      <c r="A35" t="inlineStr">
        <is>
          <t>36</t>
        </is>
      </c>
      <c r="B35" t="inlineStr">
        <is>
          <t>Telangana</t>
        </is>
      </c>
      <c r="C35" t="inlineStr">
        <is>
          <t>36 - Telangana</t>
        </is>
      </c>
    </row>
    <row r="36">
      <c r="A36" t="inlineStr">
        <is>
          <t>37</t>
        </is>
      </c>
      <c r="B36" t="inlineStr">
        <is>
          <t>Andhra Pradesh</t>
        </is>
      </c>
      <c r="C36" t="inlineStr">
        <is>
          <t>37 - Andhra Pradesh</t>
        </is>
      </c>
    </row>
    <row r="37">
      <c r="A37" t="inlineStr">
        <is>
          <t>38</t>
        </is>
      </c>
      <c r="B37" t="inlineStr">
        <is>
          <t>Ladakh</t>
        </is>
      </c>
      <c r="C37" t="inlineStr">
        <is>
          <t>38 - Ladakh</t>
        </is>
      </c>
    </row>
    <row r="38">
      <c r="A38" t="inlineStr">
        <is>
          <t>97</t>
        </is>
      </c>
      <c r="B38" t="inlineStr">
        <is>
          <t>Other Territory</t>
        </is>
      </c>
      <c r="C38" t="inlineStr">
        <is>
          <t>97 - Other Territory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8" customWidth="1" min="4" max="4"/>
    <col width="24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10" customWidth="1" min="11" max="11"/>
    <col width="10" customWidth="1" min="12" max="12"/>
  </cols>
  <sheetData>
    <row r="1">
      <c r="A1" s="8" t="inlineStr">
        <is>
          <t>Sales Register</t>
        </is>
      </c>
    </row>
    <row r="2">
      <c r="A2" s="9" t="inlineStr">
        <is>
          <t>One row per invoice. Taxable value and tax come from the invoice totals.</t>
        </is>
      </c>
    </row>
    <row r="4" ht="32" customHeight="1">
      <c r="A4" s="17" t="inlineStr">
        <is>
          <t>Date</t>
        </is>
      </c>
      <c r="B4" s="17" t="inlineStr">
        <is>
          <t>Invoice No.</t>
        </is>
      </c>
      <c r="C4" s="17" t="inlineStr">
        <is>
          <t>Customer</t>
        </is>
      </c>
      <c r="D4" s="17" t="inlineStr">
        <is>
          <t>Customer GSTIN</t>
        </is>
      </c>
      <c r="E4" s="17" t="inlineStr">
        <is>
          <t>Place of supply</t>
        </is>
      </c>
      <c r="F4" s="17" t="inlineStr">
        <is>
          <t>Taxable value</t>
        </is>
      </c>
      <c r="G4" s="17" t="inlineStr">
        <is>
          <t>CGST</t>
        </is>
      </c>
      <c r="H4" s="17" t="inlineStr">
        <is>
          <t>SGST</t>
        </is>
      </c>
      <c r="I4" s="17" t="inlineStr">
        <is>
          <t>IGST</t>
        </is>
      </c>
      <c r="J4" s="17" t="inlineStr">
        <is>
          <t>Invoice total</t>
        </is>
      </c>
      <c r="K4" s="17" t="inlineStr">
        <is>
          <t>B2B / B2C</t>
        </is>
      </c>
      <c r="L4" s="17" t="inlineStr">
        <is>
          <t>Month</t>
        </is>
      </c>
    </row>
    <row r="5">
      <c r="A5" s="14" t="n"/>
      <c r="B5" s="11" t="n"/>
      <c r="C5" s="11" t="n"/>
      <c r="D5" s="11" t="n"/>
      <c r="E5" s="11" t="n"/>
      <c r="F5" s="18" t="n"/>
      <c r="G5" s="18" t="n"/>
      <c r="H5" s="18" t="n"/>
      <c r="I5" s="18" t="n"/>
      <c r="J5" s="23">
        <f>IF(F5="","",F5+G5+H5+I5)</f>
        <v/>
      </c>
      <c r="K5">
        <f>IF(F5="","",IF(D5&lt;&gt;"","B2B","B2C"))</f>
        <v/>
      </c>
      <c r="L5">
        <f>IF(A5="","",TEXT(A5,"mmm-yy"))</f>
        <v/>
      </c>
    </row>
    <row r="6">
      <c r="A6" s="14" t="n"/>
      <c r="B6" s="11" t="n"/>
      <c r="C6" s="11" t="n"/>
      <c r="D6" s="11" t="n"/>
      <c r="E6" s="11" t="n"/>
      <c r="F6" s="18" t="n"/>
      <c r="G6" s="18" t="n"/>
      <c r="H6" s="18" t="n"/>
      <c r="I6" s="18" t="n"/>
      <c r="J6" s="23">
        <f>IF(F6="","",F6+G6+H6+I6)</f>
        <v/>
      </c>
      <c r="K6">
        <f>IF(F6="","",IF(D6&lt;&gt;"","B2B","B2C"))</f>
        <v/>
      </c>
      <c r="L6">
        <f>IF(A6="","",TEXT(A6,"mmm-yy"))</f>
        <v/>
      </c>
    </row>
    <row r="7">
      <c r="A7" s="14" t="n"/>
      <c r="B7" s="11" t="n"/>
      <c r="C7" s="11" t="n"/>
      <c r="D7" s="11" t="n"/>
      <c r="E7" s="11" t="n"/>
      <c r="F7" s="18" t="n"/>
      <c r="G7" s="18" t="n"/>
      <c r="H7" s="18" t="n"/>
      <c r="I7" s="18" t="n"/>
      <c r="J7" s="23">
        <f>IF(F7="","",F7+G7+H7+I7)</f>
        <v/>
      </c>
      <c r="K7">
        <f>IF(F7="","",IF(D7&lt;&gt;"","B2B","B2C"))</f>
        <v/>
      </c>
      <c r="L7">
        <f>IF(A7="","",TEXT(A7,"mmm-yy"))</f>
        <v/>
      </c>
    </row>
    <row r="8">
      <c r="A8" s="14" t="n"/>
      <c r="B8" s="11" t="n"/>
      <c r="C8" s="11" t="n"/>
      <c r="D8" s="11" t="n"/>
      <c r="E8" s="11" t="n"/>
      <c r="F8" s="18" t="n"/>
      <c r="G8" s="18" t="n"/>
      <c r="H8" s="18" t="n"/>
      <c r="I8" s="18" t="n"/>
      <c r="J8" s="23">
        <f>IF(F8="","",F8+G8+H8+I8)</f>
        <v/>
      </c>
      <c r="K8">
        <f>IF(F8="","",IF(D8&lt;&gt;"","B2B","B2C"))</f>
        <v/>
      </c>
      <c r="L8">
        <f>IF(A8="","",TEXT(A8,"mmm-yy"))</f>
        <v/>
      </c>
    </row>
    <row r="9">
      <c r="A9" s="14" t="n"/>
      <c r="B9" s="11" t="n"/>
      <c r="C9" s="11" t="n"/>
      <c r="D9" s="11" t="n"/>
      <c r="E9" s="11" t="n"/>
      <c r="F9" s="18" t="n"/>
      <c r="G9" s="18" t="n"/>
      <c r="H9" s="18" t="n"/>
      <c r="I9" s="18" t="n"/>
      <c r="J9" s="23">
        <f>IF(F9="","",F9+G9+H9+I9)</f>
        <v/>
      </c>
      <c r="K9">
        <f>IF(F9="","",IF(D9&lt;&gt;"","B2B","B2C"))</f>
        <v/>
      </c>
      <c r="L9">
        <f>IF(A9="","",TEXT(A9,"mmm-yy"))</f>
        <v/>
      </c>
    </row>
    <row r="10">
      <c r="A10" s="14" t="n"/>
      <c r="B10" s="11" t="n"/>
      <c r="C10" s="11" t="n"/>
      <c r="D10" s="11" t="n"/>
      <c r="E10" s="11" t="n"/>
      <c r="F10" s="18" t="n"/>
      <c r="G10" s="18" t="n"/>
      <c r="H10" s="18" t="n"/>
      <c r="I10" s="18" t="n"/>
      <c r="J10" s="23">
        <f>IF(F10="","",F10+G10+H10+I10)</f>
        <v/>
      </c>
      <c r="K10">
        <f>IF(F10="","",IF(D10&lt;&gt;"","B2B","B2C"))</f>
        <v/>
      </c>
      <c r="L10">
        <f>IF(A10="","",TEXT(A10,"mmm-yy"))</f>
        <v/>
      </c>
    </row>
    <row r="11">
      <c r="A11" s="14" t="n"/>
      <c r="B11" s="11" t="n"/>
      <c r="C11" s="11" t="n"/>
      <c r="D11" s="11" t="n"/>
      <c r="E11" s="11" t="n"/>
      <c r="F11" s="18" t="n"/>
      <c r="G11" s="18" t="n"/>
      <c r="H11" s="18" t="n"/>
      <c r="I11" s="18" t="n"/>
      <c r="J11" s="23">
        <f>IF(F11="","",F11+G11+H11+I11)</f>
        <v/>
      </c>
      <c r="K11">
        <f>IF(F11="","",IF(D11&lt;&gt;"","B2B","B2C"))</f>
        <v/>
      </c>
      <c r="L11">
        <f>IF(A11="","",TEXT(A11,"mmm-yy"))</f>
        <v/>
      </c>
    </row>
    <row r="12">
      <c r="A12" s="14" t="n"/>
      <c r="B12" s="11" t="n"/>
      <c r="C12" s="11" t="n"/>
      <c r="D12" s="11" t="n"/>
      <c r="E12" s="11" t="n"/>
      <c r="F12" s="18" t="n"/>
      <c r="G12" s="18" t="n"/>
      <c r="H12" s="18" t="n"/>
      <c r="I12" s="18" t="n"/>
      <c r="J12" s="23">
        <f>IF(F12="","",F12+G12+H12+I12)</f>
        <v/>
      </c>
      <c r="K12">
        <f>IF(F12="","",IF(D12&lt;&gt;"","B2B","B2C"))</f>
        <v/>
      </c>
      <c r="L12">
        <f>IF(A12="","",TEXT(A12,"mmm-yy"))</f>
        <v/>
      </c>
    </row>
    <row r="13">
      <c r="A13" s="14" t="n"/>
      <c r="B13" s="11" t="n"/>
      <c r="C13" s="11" t="n"/>
      <c r="D13" s="11" t="n"/>
      <c r="E13" s="11" t="n"/>
      <c r="F13" s="18" t="n"/>
      <c r="G13" s="18" t="n"/>
      <c r="H13" s="18" t="n"/>
      <c r="I13" s="18" t="n"/>
      <c r="J13" s="23">
        <f>IF(F13="","",F13+G13+H13+I13)</f>
        <v/>
      </c>
      <c r="K13">
        <f>IF(F13="","",IF(D13&lt;&gt;"","B2B","B2C"))</f>
        <v/>
      </c>
      <c r="L13">
        <f>IF(A13="","",TEXT(A13,"mmm-yy"))</f>
        <v/>
      </c>
    </row>
    <row r="14">
      <c r="A14" s="14" t="n"/>
      <c r="B14" s="11" t="n"/>
      <c r="C14" s="11" t="n"/>
      <c r="D14" s="11" t="n"/>
      <c r="E14" s="11" t="n"/>
      <c r="F14" s="18" t="n"/>
      <c r="G14" s="18" t="n"/>
      <c r="H14" s="18" t="n"/>
      <c r="I14" s="18" t="n"/>
      <c r="J14" s="23">
        <f>IF(F14="","",F14+G14+H14+I14)</f>
        <v/>
      </c>
      <c r="K14">
        <f>IF(F14="","",IF(D14&lt;&gt;"","B2B","B2C"))</f>
        <v/>
      </c>
      <c r="L14">
        <f>IF(A14="","",TEXT(A14,"mmm-yy"))</f>
        <v/>
      </c>
    </row>
    <row r="15">
      <c r="A15" s="14" t="n"/>
      <c r="B15" s="11" t="n"/>
      <c r="C15" s="11" t="n"/>
      <c r="D15" s="11" t="n"/>
      <c r="E15" s="11" t="n"/>
      <c r="F15" s="18" t="n"/>
      <c r="G15" s="18" t="n"/>
      <c r="H15" s="18" t="n"/>
      <c r="I15" s="18" t="n"/>
      <c r="J15" s="23">
        <f>IF(F15="","",F15+G15+H15+I15)</f>
        <v/>
      </c>
      <c r="K15">
        <f>IF(F15="","",IF(D15&lt;&gt;"","B2B","B2C"))</f>
        <v/>
      </c>
      <c r="L15">
        <f>IF(A15="","",TEXT(A15,"mmm-yy"))</f>
        <v/>
      </c>
    </row>
    <row r="16">
      <c r="A16" s="14" t="n"/>
      <c r="B16" s="11" t="n"/>
      <c r="C16" s="11" t="n"/>
      <c r="D16" s="11" t="n"/>
      <c r="E16" s="11" t="n"/>
      <c r="F16" s="18" t="n"/>
      <c r="G16" s="18" t="n"/>
      <c r="H16" s="18" t="n"/>
      <c r="I16" s="18" t="n"/>
      <c r="J16" s="23">
        <f>IF(F16="","",F16+G16+H16+I16)</f>
        <v/>
      </c>
      <c r="K16">
        <f>IF(F16="","",IF(D16&lt;&gt;"","B2B","B2C"))</f>
        <v/>
      </c>
      <c r="L16">
        <f>IF(A16="","",TEXT(A16,"mmm-yy"))</f>
        <v/>
      </c>
    </row>
    <row r="17">
      <c r="A17" s="14" t="n"/>
      <c r="B17" s="11" t="n"/>
      <c r="C17" s="11" t="n"/>
      <c r="D17" s="11" t="n"/>
      <c r="E17" s="11" t="n"/>
      <c r="F17" s="18" t="n"/>
      <c r="G17" s="18" t="n"/>
      <c r="H17" s="18" t="n"/>
      <c r="I17" s="18" t="n"/>
      <c r="J17" s="23">
        <f>IF(F17="","",F17+G17+H17+I17)</f>
        <v/>
      </c>
      <c r="K17">
        <f>IF(F17="","",IF(D17&lt;&gt;"","B2B","B2C"))</f>
        <v/>
      </c>
      <c r="L17">
        <f>IF(A17="","",TEXT(A17,"mmm-yy"))</f>
        <v/>
      </c>
    </row>
    <row r="18">
      <c r="A18" s="14" t="n"/>
      <c r="B18" s="11" t="n"/>
      <c r="C18" s="11" t="n"/>
      <c r="D18" s="11" t="n"/>
      <c r="E18" s="11" t="n"/>
      <c r="F18" s="18" t="n"/>
      <c r="G18" s="18" t="n"/>
      <c r="H18" s="18" t="n"/>
      <c r="I18" s="18" t="n"/>
      <c r="J18" s="23">
        <f>IF(F18="","",F18+G18+H18+I18)</f>
        <v/>
      </c>
      <c r="K18">
        <f>IF(F18="","",IF(D18&lt;&gt;"","B2B","B2C"))</f>
        <v/>
      </c>
      <c r="L18">
        <f>IF(A18="","",TEXT(A18,"mmm-yy"))</f>
        <v/>
      </c>
    </row>
    <row r="19">
      <c r="A19" s="14" t="n"/>
      <c r="B19" s="11" t="n"/>
      <c r="C19" s="11" t="n"/>
      <c r="D19" s="11" t="n"/>
      <c r="E19" s="11" t="n"/>
      <c r="F19" s="18" t="n"/>
      <c r="G19" s="18" t="n"/>
      <c r="H19" s="18" t="n"/>
      <c r="I19" s="18" t="n"/>
      <c r="J19" s="23">
        <f>IF(F19="","",F19+G19+H19+I19)</f>
        <v/>
      </c>
      <c r="K19">
        <f>IF(F19="","",IF(D19&lt;&gt;"","B2B","B2C"))</f>
        <v/>
      </c>
      <c r="L19">
        <f>IF(A19="","",TEXT(A19,"mmm-yy"))</f>
        <v/>
      </c>
    </row>
    <row r="20">
      <c r="A20" s="14" t="n"/>
      <c r="B20" s="11" t="n"/>
      <c r="C20" s="11" t="n"/>
      <c r="D20" s="11" t="n"/>
      <c r="E20" s="11" t="n"/>
      <c r="F20" s="18" t="n"/>
      <c r="G20" s="18" t="n"/>
      <c r="H20" s="18" t="n"/>
      <c r="I20" s="18" t="n"/>
      <c r="J20" s="23">
        <f>IF(F20="","",F20+G20+H20+I20)</f>
        <v/>
      </c>
      <c r="K20">
        <f>IF(F20="","",IF(D20&lt;&gt;"","B2B","B2C"))</f>
        <v/>
      </c>
      <c r="L20">
        <f>IF(A20="","",TEXT(A20,"mmm-yy"))</f>
        <v/>
      </c>
    </row>
    <row r="21">
      <c r="A21" s="14" t="n"/>
      <c r="B21" s="11" t="n"/>
      <c r="C21" s="11" t="n"/>
      <c r="D21" s="11" t="n"/>
      <c r="E21" s="11" t="n"/>
      <c r="F21" s="18" t="n"/>
      <c r="G21" s="18" t="n"/>
      <c r="H21" s="18" t="n"/>
      <c r="I21" s="18" t="n"/>
      <c r="J21" s="23">
        <f>IF(F21="","",F21+G21+H21+I21)</f>
        <v/>
      </c>
      <c r="K21">
        <f>IF(F21="","",IF(D21&lt;&gt;"","B2B","B2C"))</f>
        <v/>
      </c>
      <c r="L21">
        <f>IF(A21="","",TEXT(A21,"mmm-yy"))</f>
        <v/>
      </c>
    </row>
    <row r="22">
      <c r="A22" s="14" t="n"/>
      <c r="B22" s="11" t="n"/>
      <c r="C22" s="11" t="n"/>
      <c r="D22" s="11" t="n"/>
      <c r="E22" s="11" t="n"/>
      <c r="F22" s="18" t="n"/>
      <c r="G22" s="18" t="n"/>
      <c r="H22" s="18" t="n"/>
      <c r="I22" s="18" t="n"/>
      <c r="J22" s="23">
        <f>IF(F22="","",F22+G22+H22+I22)</f>
        <v/>
      </c>
      <c r="K22">
        <f>IF(F22="","",IF(D22&lt;&gt;"","B2B","B2C"))</f>
        <v/>
      </c>
      <c r="L22">
        <f>IF(A22="","",TEXT(A22,"mmm-yy"))</f>
        <v/>
      </c>
    </row>
    <row r="23">
      <c r="A23" s="14" t="n"/>
      <c r="B23" s="11" t="n"/>
      <c r="C23" s="11" t="n"/>
      <c r="D23" s="11" t="n"/>
      <c r="E23" s="11" t="n"/>
      <c r="F23" s="18" t="n"/>
      <c r="G23" s="18" t="n"/>
      <c r="H23" s="18" t="n"/>
      <c r="I23" s="18" t="n"/>
      <c r="J23" s="23">
        <f>IF(F23="","",F23+G23+H23+I23)</f>
        <v/>
      </c>
      <c r="K23">
        <f>IF(F23="","",IF(D23&lt;&gt;"","B2B","B2C"))</f>
        <v/>
      </c>
      <c r="L23">
        <f>IF(A23="","",TEXT(A23,"mmm-yy"))</f>
        <v/>
      </c>
    </row>
    <row r="24">
      <c r="A24" s="14" t="n"/>
      <c r="B24" s="11" t="n"/>
      <c r="C24" s="11" t="n"/>
      <c r="D24" s="11" t="n"/>
      <c r="E24" s="11" t="n"/>
      <c r="F24" s="18" t="n"/>
      <c r="G24" s="18" t="n"/>
      <c r="H24" s="18" t="n"/>
      <c r="I24" s="18" t="n"/>
      <c r="J24" s="23">
        <f>IF(F24="","",F24+G24+H24+I24)</f>
        <v/>
      </c>
      <c r="K24">
        <f>IF(F24="","",IF(D24&lt;&gt;"","B2B","B2C"))</f>
        <v/>
      </c>
      <c r="L24">
        <f>IF(A24="","",TEXT(A24,"mmm-yy"))</f>
        <v/>
      </c>
    </row>
    <row r="25">
      <c r="A25" s="14" t="n"/>
      <c r="B25" s="11" t="n"/>
      <c r="C25" s="11" t="n"/>
      <c r="D25" s="11" t="n"/>
      <c r="E25" s="11" t="n"/>
      <c r="F25" s="18" t="n"/>
      <c r="G25" s="18" t="n"/>
      <c r="H25" s="18" t="n"/>
      <c r="I25" s="18" t="n"/>
      <c r="J25" s="23">
        <f>IF(F25="","",F25+G25+H25+I25)</f>
        <v/>
      </c>
      <c r="K25">
        <f>IF(F25="","",IF(D25&lt;&gt;"","B2B","B2C"))</f>
        <v/>
      </c>
      <c r="L25">
        <f>IF(A25="","",TEXT(A25,"mmm-yy"))</f>
        <v/>
      </c>
    </row>
    <row r="26">
      <c r="A26" s="14" t="n"/>
      <c r="B26" s="11" t="n"/>
      <c r="C26" s="11" t="n"/>
      <c r="D26" s="11" t="n"/>
      <c r="E26" s="11" t="n"/>
      <c r="F26" s="18" t="n"/>
      <c r="G26" s="18" t="n"/>
      <c r="H26" s="18" t="n"/>
      <c r="I26" s="18" t="n"/>
      <c r="J26" s="23">
        <f>IF(F26="","",F26+G26+H26+I26)</f>
        <v/>
      </c>
      <c r="K26">
        <f>IF(F26="","",IF(D26&lt;&gt;"","B2B","B2C"))</f>
        <v/>
      </c>
      <c r="L26">
        <f>IF(A26="","",TEXT(A26,"mmm-yy"))</f>
        <v/>
      </c>
    </row>
    <row r="27">
      <c r="A27" s="14" t="n"/>
      <c r="B27" s="11" t="n"/>
      <c r="C27" s="11" t="n"/>
      <c r="D27" s="11" t="n"/>
      <c r="E27" s="11" t="n"/>
      <c r="F27" s="18" t="n"/>
      <c r="G27" s="18" t="n"/>
      <c r="H27" s="18" t="n"/>
      <c r="I27" s="18" t="n"/>
      <c r="J27" s="23">
        <f>IF(F27="","",F27+G27+H27+I27)</f>
        <v/>
      </c>
      <c r="K27">
        <f>IF(F27="","",IF(D27&lt;&gt;"","B2B","B2C"))</f>
        <v/>
      </c>
      <c r="L27">
        <f>IF(A27="","",TEXT(A27,"mmm-yy"))</f>
        <v/>
      </c>
    </row>
    <row r="28">
      <c r="A28" s="14" t="n"/>
      <c r="B28" s="11" t="n"/>
      <c r="C28" s="11" t="n"/>
      <c r="D28" s="11" t="n"/>
      <c r="E28" s="11" t="n"/>
      <c r="F28" s="18" t="n"/>
      <c r="G28" s="18" t="n"/>
      <c r="H28" s="18" t="n"/>
      <c r="I28" s="18" t="n"/>
      <c r="J28" s="23">
        <f>IF(F28="","",F28+G28+H28+I28)</f>
        <v/>
      </c>
      <c r="K28">
        <f>IF(F28="","",IF(D28&lt;&gt;"","B2B","B2C"))</f>
        <v/>
      </c>
      <c r="L28">
        <f>IF(A28="","",TEXT(A28,"mmm-yy"))</f>
        <v/>
      </c>
    </row>
    <row r="29">
      <c r="A29" s="14" t="n"/>
      <c r="B29" s="11" t="n"/>
      <c r="C29" s="11" t="n"/>
      <c r="D29" s="11" t="n"/>
      <c r="E29" s="11" t="n"/>
      <c r="F29" s="18" t="n"/>
      <c r="G29" s="18" t="n"/>
      <c r="H29" s="18" t="n"/>
      <c r="I29" s="18" t="n"/>
      <c r="J29" s="23">
        <f>IF(F29="","",F29+G29+H29+I29)</f>
        <v/>
      </c>
      <c r="K29">
        <f>IF(F29="","",IF(D29&lt;&gt;"","B2B","B2C"))</f>
        <v/>
      </c>
      <c r="L29">
        <f>IF(A29="","",TEXT(A29,"mmm-yy"))</f>
        <v/>
      </c>
    </row>
    <row r="30">
      <c r="A30" s="14" t="n"/>
      <c r="B30" s="11" t="n"/>
      <c r="C30" s="11" t="n"/>
      <c r="D30" s="11" t="n"/>
      <c r="E30" s="11" t="n"/>
      <c r="F30" s="18" t="n"/>
      <c r="G30" s="18" t="n"/>
      <c r="H30" s="18" t="n"/>
      <c r="I30" s="18" t="n"/>
      <c r="J30" s="23">
        <f>IF(F30="","",F30+G30+H30+I30)</f>
        <v/>
      </c>
      <c r="K30">
        <f>IF(F30="","",IF(D30&lt;&gt;"","B2B","B2C"))</f>
        <v/>
      </c>
      <c r="L30">
        <f>IF(A30="","",TEXT(A30,"mmm-yy"))</f>
        <v/>
      </c>
    </row>
    <row r="31">
      <c r="A31" s="14" t="n"/>
      <c r="B31" s="11" t="n"/>
      <c r="C31" s="11" t="n"/>
      <c r="D31" s="11" t="n"/>
      <c r="E31" s="11" t="n"/>
      <c r="F31" s="18" t="n"/>
      <c r="G31" s="18" t="n"/>
      <c r="H31" s="18" t="n"/>
      <c r="I31" s="18" t="n"/>
      <c r="J31" s="23">
        <f>IF(F31="","",F31+G31+H31+I31)</f>
        <v/>
      </c>
      <c r="K31">
        <f>IF(F31="","",IF(D31&lt;&gt;"","B2B","B2C"))</f>
        <v/>
      </c>
      <c r="L31">
        <f>IF(A31="","",TEXT(A31,"mmm-yy"))</f>
        <v/>
      </c>
    </row>
    <row r="32">
      <c r="A32" s="14" t="n"/>
      <c r="B32" s="11" t="n"/>
      <c r="C32" s="11" t="n"/>
      <c r="D32" s="11" t="n"/>
      <c r="E32" s="11" t="n"/>
      <c r="F32" s="18" t="n"/>
      <c r="G32" s="18" t="n"/>
      <c r="H32" s="18" t="n"/>
      <c r="I32" s="18" t="n"/>
      <c r="J32" s="23">
        <f>IF(F32="","",F32+G32+H32+I32)</f>
        <v/>
      </c>
      <c r="K32">
        <f>IF(F32="","",IF(D32&lt;&gt;"","B2B","B2C"))</f>
        <v/>
      </c>
      <c r="L32">
        <f>IF(A32="","",TEXT(A32,"mmm-yy"))</f>
        <v/>
      </c>
    </row>
    <row r="33">
      <c r="A33" s="14" t="n"/>
      <c r="B33" s="11" t="n"/>
      <c r="C33" s="11" t="n"/>
      <c r="D33" s="11" t="n"/>
      <c r="E33" s="11" t="n"/>
      <c r="F33" s="18" t="n"/>
      <c r="G33" s="18" t="n"/>
      <c r="H33" s="18" t="n"/>
      <c r="I33" s="18" t="n"/>
      <c r="J33" s="23">
        <f>IF(F33="","",F33+G33+H33+I33)</f>
        <v/>
      </c>
      <c r="K33">
        <f>IF(F33="","",IF(D33&lt;&gt;"","B2B","B2C"))</f>
        <v/>
      </c>
      <c r="L33">
        <f>IF(A33="","",TEXT(A33,"mmm-yy"))</f>
        <v/>
      </c>
    </row>
    <row r="34">
      <c r="A34" s="14" t="n"/>
      <c r="B34" s="11" t="n"/>
      <c r="C34" s="11" t="n"/>
      <c r="D34" s="11" t="n"/>
      <c r="E34" s="11" t="n"/>
      <c r="F34" s="18" t="n"/>
      <c r="G34" s="18" t="n"/>
      <c r="H34" s="18" t="n"/>
      <c r="I34" s="18" t="n"/>
      <c r="J34" s="23">
        <f>IF(F34="","",F34+G34+H34+I34)</f>
        <v/>
      </c>
      <c r="K34">
        <f>IF(F34="","",IF(D34&lt;&gt;"","B2B","B2C"))</f>
        <v/>
      </c>
      <c r="L34">
        <f>IF(A34="","",TEXT(A34,"mmm-yy"))</f>
        <v/>
      </c>
    </row>
    <row r="35">
      <c r="A35" s="14" t="n"/>
      <c r="B35" s="11" t="n"/>
      <c r="C35" s="11" t="n"/>
      <c r="D35" s="11" t="n"/>
      <c r="E35" s="11" t="n"/>
      <c r="F35" s="18" t="n"/>
      <c r="G35" s="18" t="n"/>
      <c r="H35" s="18" t="n"/>
      <c r="I35" s="18" t="n"/>
      <c r="J35" s="23">
        <f>IF(F35="","",F35+G35+H35+I35)</f>
        <v/>
      </c>
      <c r="K35">
        <f>IF(F35="","",IF(D35&lt;&gt;"","B2B","B2C"))</f>
        <v/>
      </c>
      <c r="L35">
        <f>IF(A35="","",TEXT(A35,"mmm-yy"))</f>
        <v/>
      </c>
    </row>
    <row r="36">
      <c r="A36" s="14" t="n"/>
      <c r="B36" s="11" t="n"/>
      <c r="C36" s="11" t="n"/>
      <c r="D36" s="11" t="n"/>
      <c r="E36" s="11" t="n"/>
      <c r="F36" s="18" t="n"/>
      <c r="G36" s="18" t="n"/>
      <c r="H36" s="18" t="n"/>
      <c r="I36" s="18" t="n"/>
      <c r="J36" s="23">
        <f>IF(F36="","",F36+G36+H36+I36)</f>
        <v/>
      </c>
      <c r="K36">
        <f>IF(F36="","",IF(D36&lt;&gt;"","B2B","B2C"))</f>
        <v/>
      </c>
      <c r="L36">
        <f>IF(A36="","",TEXT(A36,"mmm-yy"))</f>
        <v/>
      </c>
    </row>
    <row r="37">
      <c r="A37" s="14" t="n"/>
      <c r="B37" s="11" t="n"/>
      <c r="C37" s="11" t="n"/>
      <c r="D37" s="11" t="n"/>
      <c r="E37" s="11" t="n"/>
      <c r="F37" s="18" t="n"/>
      <c r="G37" s="18" t="n"/>
      <c r="H37" s="18" t="n"/>
      <c r="I37" s="18" t="n"/>
      <c r="J37" s="23">
        <f>IF(F37="","",F37+G37+H37+I37)</f>
        <v/>
      </c>
      <c r="K37">
        <f>IF(F37="","",IF(D37&lt;&gt;"","B2B","B2C"))</f>
        <v/>
      </c>
      <c r="L37">
        <f>IF(A37="","",TEXT(A37,"mmm-yy"))</f>
        <v/>
      </c>
    </row>
    <row r="38">
      <c r="A38" s="14" t="n"/>
      <c r="B38" s="11" t="n"/>
      <c r="C38" s="11" t="n"/>
      <c r="D38" s="11" t="n"/>
      <c r="E38" s="11" t="n"/>
      <c r="F38" s="18" t="n"/>
      <c r="G38" s="18" t="n"/>
      <c r="H38" s="18" t="n"/>
      <c r="I38" s="18" t="n"/>
      <c r="J38" s="23">
        <f>IF(F38="","",F38+G38+H38+I38)</f>
        <v/>
      </c>
      <c r="K38">
        <f>IF(F38="","",IF(D38&lt;&gt;"","B2B","B2C"))</f>
        <v/>
      </c>
      <c r="L38">
        <f>IF(A38="","",TEXT(A38,"mmm-yy"))</f>
        <v/>
      </c>
    </row>
    <row r="39">
      <c r="A39" s="14" t="n"/>
      <c r="B39" s="11" t="n"/>
      <c r="C39" s="11" t="n"/>
      <c r="D39" s="11" t="n"/>
      <c r="E39" s="11" t="n"/>
      <c r="F39" s="18" t="n"/>
      <c r="G39" s="18" t="n"/>
      <c r="H39" s="18" t="n"/>
      <c r="I39" s="18" t="n"/>
      <c r="J39" s="23">
        <f>IF(F39="","",F39+G39+H39+I39)</f>
        <v/>
      </c>
      <c r="K39">
        <f>IF(F39="","",IF(D39&lt;&gt;"","B2B","B2C"))</f>
        <v/>
      </c>
      <c r="L39">
        <f>IF(A39="","",TEXT(A39,"mmm-yy"))</f>
        <v/>
      </c>
    </row>
    <row r="40">
      <c r="A40" s="14" t="n"/>
      <c r="B40" s="11" t="n"/>
      <c r="C40" s="11" t="n"/>
      <c r="D40" s="11" t="n"/>
      <c r="E40" s="11" t="n"/>
      <c r="F40" s="18" t="n"/>
      <c r="G40" s="18" t="n"/>
      <c r="H40" s="18" t="n"/>
      <c r="I40" s="18" t="n"/>
      <c r="J40" s="23">
        <f>IF(F40="","",F40+G40+H40+I40)</f>
        <v/>
      </c>
      <c r="K40">
        <f>IF(F40="","",IF(D40&lt;&gt;"","B2B","B2C"))</f>
        <v/>
      </c>
      <c r="L40">
        <f>IF(A40="","",TEXT(A40,"mmm-yy"))</f>
        <v/>
      </c>
    </row>
    <row r="41">
      <c r="A41" s="14" t="n"/>
      <c r="B41" s="11" t="n"/>
      <c r="C41" s="11" t="n"/>
      <c r="D41" s="11" t="n"/>
      <c r="E41" s="11" t="n"/>
      <c r="F41" s="18" t="n"/>
      <c r="G41" s="18" t="n"/>
      <c r="H41" s="18" t="n"/>
      <c r="I41" s="18" t="n"/>
      <c r="J41" s="23">
        <f>IF(F41="","",F41+G41+H41+I41)</f>
        <v/>
      </c>
      <c r="K41">
        <f>IF(F41="","",IF(D41&lt;&gt;"","B2B","B2C"))</f>
        <v/>
      </c>
      <c r="L41">
        <f>IF(A41="","",TEXT(A41,"mmm-yy"))</f>
        <v/>
      </c>
    </row>
    <row r="42">
      <c r="A42" s="14" t="n"/>
      <c r="B42" s="11" t="n"/>
      <c r="C42" s="11" t="n"/>
      <c r="D42" s="11" t="n"/>
      <c r="E42" s="11" t="n"/>
      <c r="F42" s="18" t="n"/>
      <c r="G42" s="18" t="n"/>
      <c r="H42" s="18" t="n"/>
      <c r="I42" s="18" t="n"/>
      <c r="J42" s="23">
        <f>IF(F42="","",F42+G42+H42+I42)</f>
        <v/>
      </c>
      <c r="K42">
        <f>IF(F42="","",IF(D42&lt;&gt;"","B2B","B2C"))</f>
        <v/>
      </c>
      <c r="L42">
        <f>IF(A42="","",TEXT(A42,"mmm-yy"))</f>
        <v/>
      </c>
    </row>
    <row r="43">
      <c r="A43" s="14" t="n"/>
      <c r="B43" s="11" t="n"/>
      <c r="C43" s="11" t="n"/>
      <c r="D43" s="11" t="n"/>
      <c r="E43" s="11" t="n"/>
      <c r="F43" s="18" t="n"/>
      <c r="G43" s="18" t="n"/>
      <c r="H43" s="18" t="n"/>
      <c r="I43" s="18" t="n"/>
      <c r="J43" s="23">
        <f>IF(F43="","",F43+G43+H43+I43)</f>
        <v/>
      </c>
      <c r="K43">
        <f>IF(F43="","",IF(D43&lt;&gt;"","B2B","B2C"))</f>
        <v/>
      </c>
      <c r="L43">
        <f>IF(A43="","",TEXT(A43,"mmm-yy"))</f>
        <v/>
      </c>
    </row>
    <row r="44">
      <c r="A44" s="14" t="n"/>
      <c r="B44" s="11" t="n"/>
      <c r="C44" s="11" t="n"/>
      <c r="D44" s="11" t="n"/>
      <c r="E44" s="11" t="n"/>
      <c r="F44" s="18" t="n"/>
      <c r="G44" s="18" t="n"/>
      <c r="H44" s="18" t="n"/>
      <c r="I44" s="18" t="n"/>
      <c r="J44" s="23">
        <f>IF(F44="","",F44+G44+H44+I44)</f>
        <v/>
      </c>
      <c r="K44">
        <f>IF(F44="","",IF(D44&lt;&gt;"","B2B","B2C"))</f>
        <v/>
      </c>
      <c r="L44">
        <f>IF(A44="","",TEXT(A44,"mmm-yy"))</f>
        <v/>
      </c>
    </row>
    <row r="45">
      <c r="A45" s="14" t="n"/>
      <c r="B45" s="11" t="n"/>
      <c r="C45" s="11" t="n"/>
      <c r="D45" s="11" t="n"/>
      <c r="E45" s="11" t="n"/>
      <c r="F45" s="18" t="n"/>
      <c r="G45" s="18" t="n"/>
      <c r="H45" s="18" t="n"/>
      <c r="I45" s="18" t="n"/>
      <c r="J45" s="23">
        <f>IF(F45="","",F45+G45+H45+I45)</f>
        <v/>
      </c>
      <c r="K45">
        <f>IF(F45="","",IF(D45&lt;&gt;"","B2B","B2C"))</f>
        <v/>
      </c>
      <c r="L45">
        <f>IF(A45="","",TEXT(A45,"mmm-yy"))</f>
        <v/>
      </c>
    </row>
    <row r="46">
      <c r="A46" s="14" t="n"/>
      <c r="B46" s="11" t="n"/>
      <c r="C46" s="11" t="n"/>
      <c r="D46" s="11" t="n"/>
      <c r="E46" s="11" t="n"/>
      <c r="F46" s="18" t="n"/>
      <c r="G46" s="18" t="n"/>
      <c r="H46" s="18" t="n"/>
      <c r="I46" s="18" t="n"/>
      <c r="J46" s="23">
        <f>IF(F46="","",F46+G46+H46+I46)</f>
        <v/>
      </c>
      <c r="K46">
        <f>IF(F46="","",IF(D46&lt;&gt;"","B2B","B2C"))</f>
        <v/>
      </c>
      <c r="L46">
        <f>IF(A46="","",TEXT(A46,"mmm-yy"))</f>
        <v/>
      </c>
    </row>
    <row r="47">
      <c r="A47" s="14" t="n"/>
      <c r="B47" s="11" t="n"/>
      <c r="C47" s="11" t="n"/>
      <c r="D47" s="11" t="n"/>
      <c r="E47" s="11" t="n"/>
      <c r="F47" s="18" t="n"/>
      <c r="G47" s="18" t="n"/>
      <c r="H47" s="18" t="n"/>
      <c r="I47" s="18" t="n"/>
      <c r="J47" s="23">
        <f>IF(F47="","",F47+G47+H47+I47)</f>
        <v/>
      </c>
      <c r="K47">
        <f>IF(F47="","",IF(D47&lt;&gt;"","B2B","B2C"))</f>
        <v/>
      </c>
      <c r="L47">
        <f>IF(A47="","",TEXT(A47,"mmm-yy"))</f>
        <v/>
      </c>
    </row>
    <row r="48">
      <c r="A48" s="14" t="n"/>
      <c r="B48" s="11" t="n"/>
      <c r="C48" s="11" t="n"/>
      <c r="D48" s="11" t="n"/>
      <c r="E48" s="11" t="n"/>
      <c r="F48" s="18" t="n"/>
      <c r="G48" s="18" t="n"/>
      <c r="H48" s="18" t="n"/>
      <c r="I48" s="18" t="n"/>
      <c r="J48" s="23">
        <f>IF(F48="","",F48+G48+H48+I48)</f>
        <v/>
      </c>
      <c r="K48">
        <f>IF(F48="","",IF(D48&lt;&gt;"","B2B","B2C"))</f>
        <v/>
      </c>
      <c r="L48">
        <f>IF(A48="","",TEXT(A48,"mmm-yy"))</f>
        <v/>
      </c>
    </row>
    <row r="49">
      <c r="A49" s="14" t="n"/>
      <c r="B49" s="11" t="n"/>
      <c r="C49" s="11" t="n"/>
      <c r="D49" s="11" t="n"/>
      <c r="E49" s="11" t="n"/>
      <c r="F49" s="18" t="n"/>
      <c r="G49" s="18" t="n"/>
      <c r="H49" s="18" t="n"/>
      <c r="I49" s="18" t="n"/>
      <c r="J49" s="23">
        <f>IF(F49="","",F49+G49+H49+I49)</f>
        <v/>
      </c>
      <c r="K49">
        <f>IF(F49="","",IF(D49&lt;&gt;"","B2B","B2C"))</f>
        <v/>
      </c>
      <c r="L49">
        <f>IF(A49="","",TEXT(A49,"mmm-yy"))</f>
        <v/>
      </c>
    </row>
    <row r="50">
      <c r="A50" s="14" t="n"/>
      <c r="B50" s="11" t="n"/>
      <c r="C50" s="11" t="n"/>
      <c r="D50" s="11" t="n"/>
      <c r="E50" s="11" t="n"/>
      <c r="F50" s="18" t="n"/>
      <c r="G50" s="18" t="n"/>
      <c r="H50" s="18" t="n"/>
      <c r="I50" s="18" t="n"/>
      <c r="J50" s="23">
        <f>IF(F50="","",F50+G50+H50+I50)</f>
        <v/>
      </c>
      <c r="K50">
        <f>IF(F50="","",IF(D50&lt;&gt;"","B2B","B2C"))</f>
        <v/>
      </c>
      <c r="L50">
        <f>IF(A50="","",TEXT(A50,"mmm-yy"))</f>
        <v/>
      </c>
    </row>
    <row r="51">
      <c r="A51" s="14" t="n"/>
      <c r="B51" s="11" t="n"/>
      <c r="C51" s="11" t="n"/>
      <c r="D51" s="11" t="n"/>
      <c r="E51" s="11" t="n"/>
      <c r="F51" s="18" t="n"/>
      <c r="G51" s="18" t="n"/>
      <c r="H51" s="18" t="n"/>
      <c r="I51" s="18" t="n"/>
      <c r="J51" s="23">
        <f>IF(F51="","",F51+G51+H51+I51)</f>
        <v/>
      </c>
      <c r="K51">
        <f>IF(F51="","",IF(D51&lt;&gt;"","B2B","B2C"))</f>
        <v/>
      </c>
      <c r="L51">
        <f>IF(A51="","",TEXT(A51,"mmm-yy"))</f>
        <v/>
      </c>
    </row>
    <row r="52">
      <c r="A52" s="14" t="n"/>
      <c r="B52" s="11" t="n"/>
      <c r="C52" s="11" t="n"/>
      <c r="D52" s="11" t="n"/>
      <c r="E52" s="11" t="n"/>
      <c r="F52" s="18" t="n"/>
      <c r="G52" s="18" t="n"/>
      <c r="H52" s="18" t="n"/>
      <c r="I52" s="18" t="n"/>
      <c r="J52" s="23">
        <f>IF(F52="","",F52+G52+H52+I52)</f>
        <v/>
      </c>
      <c r="K52">
        <f>IF(F52="","",IF(D52&lt;&gt;"","B2B","B2C"))</f>
        <v/>
      </c>
      <c r="L52">
        <f>IF(A52="","",TEXT(A52,"mmm-yy"))</f>
        <v/>
      </c>
    </row>
    <row r="53">
      <c r="A53" s="14" t="n"/>
      <c r="B53" s="11" t="n"/>
      <c r="C53" s="11" t="n"/>
      <c r="D53" s="11" t="n"/>
      <c r="E53" s="11" t="n"/>
      <c r="F53" s="18" t="n"/>
      <c r="G53" s="18" t="n"/>
      <c r="H53" s="18" t="n"/>
      <c r="I53" s="18" t="n"/>
      <c r="J53" s="23">
        <f>IF(F53="","",F53+G53+H53+I53)</f>
        <v/>
      </c>
      <c r="K53">
        <f>IF(F53="","",IF(D53&lt;&gt;"","B2B","B2C"))</f>
        <v/>
      </c>
      <c r="L53">
        <f>IF(A53="","",TEXT(A53,"mmm-yy"))</f>
        <v/>
      </c>
    </row>
    <row r="54">
      <c r="A54" s="14" t="n"/>
      <c r="B54" s="11" t="n"/>
      <c r="C54" s="11" t="n"/>
      <c r="D54" s="11" t="n"/>
      <c r="E54" s="11" t="n"/>
      <c r="F54" s="18" t="n"/>
      <c r="G54" s="18" t="n"/>
      <c r="H54" s="18" t="n"/>
      <c r="I54" s="18" t="n"/>
      <c r="J54" s="23">
        <f>IF(F54="","",F54+G54+H54+I54)</f>
        <v/>
      </c>
      <c r="K54">
        <f>IF(F54="","",IF(D54&lt;&gt;"","B2B","B2C"))</f>
        <v/>
      </c>
      <c r="L54">
        <f>IF(A54="","",TEXT(A54,"mmm-yy"))</f>
        <v/>
      </c>
    </row>
    <row r="55">
      <c r="A55" s="14" t="n"/>
      <c r="B55" s="11" t="n"/>
      <c r="C55" s="11" t="n"/>
      <c r="D55" s="11" t="n"/>
      <c r="E55" s="11" t="n"/>
      <c r="F55" s="18" t="n"/>
      <c r="G55" s="18" t="n"/>
      <c r="H55" s="18" t="n"/>
      <c r="I55" s="18" t="n"/>
      <c r="J55" s="23">
        <f>IF(F55="","",F55+G55+H55+I55)</f>
        <v/>
      </c>
      <c r="K55">
        <f>IF(F55="","",IF(D55&lt;&gt;"","B2B","B2C"))</f>
        <v/>
      </c>
      <c r="L55">
        <f>IF(A55="","",TEXT(A55,"mmm-yy"))</f>
        <v/>
      </c>
    </row>
    <row r="56">
      <c r="A56" s="14" t="n"/>
      <c r="B56" s="11" t="n"/>
      <c r="C56" s="11" t="n"/>
      <c r="D56" s="11" t="n"/>
      <c r="E56" s="11" t="n"/>
      <c r="F56" s="18" t="n"/>
      <c r="G56" s="18" t="n"/>
      <c r="H56" s="18" t="n"/>
      <c r="I56" s="18" t="n"/>
      <c r="J56" s="23">
        <f>IF(F56="","",F56+G56+H56+I56)</f>
        <v/>
      </c>
      <c r="K56">
        <f>IF(F56="","",IF(D56&lt;&gt;"","B2B","B2C"))</f>
        <v/>
      </c>
      <c r="L56">
        <f>IF(A56="","",TEXT(A56,"mmm-yy"))</f>
        <v/>
      </c>
    </row>
    <row r="57">
      <c r="A57" s="14" t="n"/>
      <c r="B57" s="11" t="n"/>
      <c r="C57" s="11" t="n"/>
      <c r="D57" s="11" t="n"/>
      <c r="E57" s="11" t="n"/>
      <c r="F57" s="18" t="n"/>
      <c r="G57" s="18" t="n"/>
      <c r="H57" s="18" t="n"/>
      <c r="I57" s="18" t="n"/>
      <c r="J57" s="23">
        <f>IF(F57="","",F57+G57+H57+I57)</f>
        <v/>
      </c>
      <c r="K57">
        <f>IF(F57="","",IF(D57&lt;&gt;"","B2B","B2C"))</f>
        <v/>
      </c>
      <c r="L57">
        <f>IF(A57="","",TEXT(A57,"mmm-yy"))</f>
        <v/>
      </c>
    </row>
    <row r="58">
      <c r="A58" s="14" t="n"/>
      <c r="B58" s="11" t="n"/>
      <c r="C58" s="11" t="n"/>
      <c r="D58" s="11" t="n"/>
      <c r="E58" s="11" t="n"/>
      <c r="F58" s="18" t="n"/>
      <c r="G58" s="18" t="n"/>
      <c r="H58" s="18" t="n"/>
      <c r="I58" s="18" t="n"/>
      <c r="J58" s="23">
        <f>IF(F58="","",F58+G58+H58+I58)</f>
        <v/>
      </c>
      <c r="K58">
        <f>IF(F58="","",IF(D58&lt;&gt;"","B2B","B2C"))</f>
        <v/>
      </c>
      <c r="L58">
        <f>IF(A58="","",TEXT(A58,"mmm-yy"))</f>
        <v/>
      </c>
    </row>
    <row r="59">
      <c r="A59" s="14" t="n"/>
      <c r="B59" s="11" t="n"/>
      <c r="C59" s="11" t="n"/>
      <c r="D59" s="11" t="n"/>
      <c r="E59" s="11" t="n"/>
      <c r="F59" s="18" t="n"/>
      <c r="G59" s="18" t="n"/>
      <c r="H59" s="18" t="n"/>
      <c r="I59" s="18" t="n"/>
      <c r="J59" s="23">
        <f>IF(F59="","",F59+G59+H59+I59)</f>
        <v/>
      </c>
      <c r="K59">
        <f>IF(F59="","",IF(D59&lt;&gt;"","B2B","B2C"))</f>
        <v/>
      </c>
      <c r="L59">
        <f>IF(A59="","",TEXT(A59,"mmm-yy"))</f>
        <v/>
      </c>
    </row>
    <row r="60">
      <c r="A60" s="14" t="n"/>
      <c r="B60" s="11" t="n"/>
      <c r="C60" s="11" t="n"/>
      <c r="D60" s="11" t="n"/>
      <c r="E60" s="11" t="n"/>
      <c r="F60" s="18" t="n"/>
      <c r="G60" s="18" t="n"/>
      <c r="H60" s="18" t="n"/>
      <c r="I60" s="18" t="n"/>
      <c r="J60" s="23">
        <f>IF(F60="","",F60+G60+H60+I60)</f>
        <v/>
      </c>
      <c r="K60">
        <f>IF(F60="","",IF(D60&lt;&gt;"","B2B","B2C"))</f>
        <v/>
      </c>
      <c r="L60">
        <f>IF(A60="","",TEXT(A60,"mmm-yy"))</f>
        <v/>
      </c>
    </row>
    <row r="61">
      <c r="A61" s="14" t="n"/>
      <c r="B61" s="11" t="n"/>
      <c r="C61" s="11" t="n"/>
      <c r="D61" s="11" t="n"/>
      <c r="E61" s="11" t="n"/>
      <c r="F61" s="18" t="n"/>
      <c r="G61" s="18" t="n"/>
      <c r="H61" s="18" t="n"/>
      <c r="I61" s="18" t="n"/>
      <c r="J61" s="23">
        <f>IF(F61="","",F61+G61+H61+I61)</f>
        <v/>
      </c>
      <c r="K61">
        <f>IF(F61="","",IF(D61&lt;&gt;"","B2B","B2C"))</f>
        <v/>
      </c>
      <c r="L61">
        <f>IF(A61="","",TEXT(A61,"mmm-yy"))</f>
        <v/>
      </c>
    </row>
    <row r="62">
      <c r="A62" s="14" t="n"/>
      <c r="B62" s="11" t="n"/>
      <c r="C62" s="11" t="n"/>
      <c r="D62" s="11" t="n"/>
      <c r="E62" s="11" t="n"/>
      <c r="F62" s="18" t="n"/>
      <c r="G62" s="18" t="n"/>
      <c r="H62" s="18" t="n"/>
      <c r="I62" s="18" t="n"/>
      <c r="J62" s="23">
        <f>IF(F62="","",F62+G62+H62+I62)</f>
        <v/>
      </c>
      <c r="K62">
        <f>IF(F62="","",IF(D62&lt;&gt;"","B2B","B2C"))</f>
        <v/>
      </c>
      <c r="L62">
        <f>IF(A62="","",TEXT(A62,"mmm-yy"))</f>
        <v/>
      </c>
    </row>
    <row r="63">
      <c r="A63" s="14" t="n"/>
      <c r="B63" s="11" t="n"/>
      <c r="C63" s="11" t="n"/>
      <c r="D63" s="11" t="n"/>
      <c r="E63" s="11" t="n"/>
      <c r="F63" s="18" t="n"/>
      <c r="G63" s="18" t="n"/>
      <c r="H63" s="18" t="n"/>
      <c r="I63" s="18" t="n"/>
      <c r="J63" s="23">
        <f>IF(F63="","",F63+G63+H63+I63)</f>
        <v/>
      </c>
      <c r="K63">
        <f>IF(F63="","",IF(D63&lt;&gt;"","B2B","B2C"))</f>
        <v/>
      </c>
      <c r="L63">
        <f>IF(A63="","",TEXT(A63,"mmm-yy"))</f>
        <v/>
      </c>
    </row>
    <row r="64">
      <c r="A64" s="14" t="n"/>
      <c r="B64" s="11" t="n"/>
      <c r="C64" s="11" t="n"/>
      <c r="D64" s="11" t="n"/>
      <c r="E64" s="11" t="n"/>
      <c r="F64" s="18" t="n"/>
      <c r="G64" s="18" t="n"/>
      <c r="H64" s="18" t="n"/>
      <c r="I64" s="18" t="n"/>
      <c r="J64" s="23">
        <f>IF(F64="","",F64+G64+H64+I64)</f>
        <v/>
      </c>
      <c r="K64">
        <f>IF(F64="","",IF(D64&lt;&gt;"","B2B","B2C"))</f>
        <v/>
      </c>
      <c r="L64">
        <f>IF(A64="","",TEXT(A64,"mmm-yy"))</f>
        <v/>
      </c>
    </row>
    <row r="65">
      <c r="A65" s="14" t="n"/>
      <c r="B65" s="11" t="n"/>
      <c r="C65" s="11" t="n"/>
      <c r="D65" s="11" t="n"/>
      <c r="E65" s="11" t="n"/>
      <c r="F65" s="18" t="n"/>
      <c r="G65" s="18" t="n"/>
      <c r="H65" s="18" t="n"/>
      <c r="I65" s="18" t="n"/>
      <c r="J65" s="23">
        <f>IF(F65="","",F65+G65+H65+I65)</f>
        <v/>
      </c>
      <c r="K65">
        <f>IF(F65="","",IF(D65&lt;&gt;"","B2B","B2C"))</f>
        <v/>
      </c>
      <c r="L65">
        <f>IF(A65="","",TEXT(A65,"mmm-yy"))</f>
        <v/>
      </c>
    </row>
    <row r="66">
      <c r="A66" s="14" t="n"/>
      <c r="B66" s="11" t="n"/>
      <c r="C66" s="11" t="n"/>
      <c r="D66" s="11" t="n"/>
      <c r="E66" s="11" t="n"/>
      <c r="F66" s="18" t="n"/>
      <c r="G66" s="18" t="n"/>
      <c r="H66" s="18" t="n"/>
      <c r="I66" s="18" t="n"/>
      <c r="J66" s="23">
        <f>IF(F66="","",F66+G66+H66+I66)</f>
        <v/>
      </c>
      <c r="K66">
        <f>IF(F66="","",IF(D66&lt;&gt;"","B2B","B2C"))</f>
        <v/>
      </c>
      <c r="L66">
        <f>IF(A66="","",TEXT(A66,"mmm-yy"))</f>
        <v/>
      </c>
    </row>
    <row r="67">
      <c r="A67" s="14" t="n"/>
      <c r="B67" s="11" t="n"/>
      <c r="C67" s="11" t="n"/>
      <c r="D67" s="11" t="n"/>
      <c r="E67" s="11" t="n"/>
      <c r="F67" s="18" t="n"/>
      <c r="G67" s="18" t="n"/>
      <c r="H67" s="18" t="n"/>
      <c r="I67" s="18" t="n"/>
      <c r="J67" s="23">
        <f>IF(F67="","",F67+G67+H67+I67)</f>
        <v/>
      </c>
      <c r="K67">
        <f>IF(F67="","",IF(D67&lt;&gt;"","B2B","B2C"))</f>
        <v/>
      </c>
      <c r="L67">
        <f>IF(A67="","",TEXT(A67,"mmm-yy"))</f>
        <v/>
      </c>
    </row>
    <row r="68">
      <c r="A68" s="14" t="n"/>
      <c r="B68" s="11" t="n"/>
      <c r="C68" s="11" t="n"/>
      <c r="D68" s="11" t="n"/>
      <c r="E68" s="11" t="n"/>
      <c r="F68" s="18" t="n"/>
      <c r="G68" s="18" t="n"/>
      <c r="H68" s="18" t="n"/>
      <c r="I68" s="18" t="n"/>
      <c r="J68" s="23">
        <f>IF(F68="","",F68+G68+H68+I68)</f>
        <v/>
      </c>
      <c r="K68">
        <f>IF(F68="","",IF(D68&lt;&gt;"","B2B","B2C"))</f>
        <v/>
      </c>
      <c r="L68">
        <f>IF(A68="","",TEXT(A68,"mmm-yy"))</f>
        <v/>
      </c>
    </row>
    <row r="69">
      <c r="A69" s="14" t="n"/>
      <c r="B69" s="11" t="n"/>
      <c r="C69" s="11" t="n"/>
      <c r="D69" s="11" t="n"/>
      <c r="E69" s="11" t="n"/>
      <c r="F69" s="18" t="n"/>
      <c r="G69" s="18" t="n"/>
      <c r="H69" s="18" t="n"/>
      <c r="I69" s="18" t="n"/>
      <c r="J69" s="23">
        <f>IF(F69="","",F69+G69+H69+I69)</f>
        <v/>
      </c>
      <c r="K69">
        <f>IF(F69="","",IF(D69&lt;&gt;"","B2B","B2C"))</f>
        <v/>
      </c>
      <c r="L69">
        <f>IF(A69="","",TEXT(A69,"mmm-yy"))</f>
        <v/>
      </c>
    </row>
    <row r="70">
      <c r="A70" s="14" t="n"/>
      <c r="B70" s="11" t="n"/>
      <c r="C70" s="11" t="n"/>
      <c r="D70" s="11" t="n"/>
      <c r="E70" s="11" t="n"/>
      <c r="F70" s="18" t="n"/>
      <c r="G70" s="18" t="n"/>
      <c r="H70" s="18" t="n"/>
      <c r="I70" s="18" t="n"/>
      <c r="J70" s="23">
        <f>IF(F70="","",F70+G70+H70+I70)</f>
        <v/>
      </c>
      <c r="K70">
        <f>IF(F70="","",IF(D70&lt;&gt;"","B2B","B2C"))</f>
        <v/>
      </c>
      <c r="L70">
        <f>IF(A70="","",TEXT(A70,"mmm-yy"))</f>
        <v/>
      </c>
    </row>
    <row r="71">
      <c r="A71" s="14" t="n"/>
      <c r="B71" s="11" t="n"/>
      <c r="C71" s="11" t="n"/>
      <c r="D71" s="11" t="n"/>
      <c r="E71" s="11" t="n"/>
      <c r="F71" s="18" t="n"/>
      <c r="G71" s="18" t="n"/>
      <c r="H71" s="18" t="n"/>
      <c r="I71" s="18" t="n"/>
      <c r="J71" s="23">
        <f>IF(F71="","",F71+G71+H71+I71)</f>
        <v/>
      </c>
      <c r="K71">
        <f>IF(F71="","",IF(D71&lt;&gt;"","B2B","B2C"))</f>
        <v/>
      </c>
      <c r="L71">
        <f>IF(A71="","",TEXT(A71,"mmm-yy"))</f>
        <v/>
      </c>
    </row>
    <row r="72">
      <c r="A72" s="14" t="n"/>
      <c r="B72" s="11" t="n"/>
      <c r="C72" s="11" t="n"/>
      <c r="D72" s="11" t="n"/>
      <c r="E72" s="11" t="n"/>
      <c r="F72" s="18" t="n"/>
      <c r="G72" s="18" t="n"/>
      <c r="H72" s="18" t="n"/>
      <c r="I72" s="18" t="n"/>
      <c r="J72" s="23">
        <f>IF(F72="","",F72+G72+H72+I72)</f>
        <v/>
      </c>
      <c r="K72">
        <f>IF(F72="","",IF(D72&lt;&gt;"","B2B","B2C"))</f>
        <v/>
      </c>
      <c r="L72">
        <f>IF(A72="","",TEXT(A72,"mmm-yy"))</f>
        <v/>
      </c>
    </row>
    <row r="73">
      <c r="A73" s="14" t="n"/>
      <c r="B73" s="11" t="n"/>
      <c r="C73" s="11" t="n"/>
      <c r="D73" s="11" t="n"/>
      <c r="E73" s="11" t="n"/>
      <c r="F73" s="18" t="n"/>
      <c r="G73" s="18" t="n"/>
      <c r="H73" s="18" t="n"/>
      <c r="I73" s="18" t="n"/>
      <c r="J73" s="23">
        <f>IF(F73="","",F73+G73+H73+I73)</f>
        <v/>
      </c>
      <c r="K73">
        <f>IF(F73="","",IF(D73&lt;&gt;"","B2B","B2C"))</f>
        <v/>
      </c>
      <c r="L73">
        <f>IF(A73="","",TEXT(A73,"mmm-yy"))</f>
        <v/>
      </c>
    </row>
    <row r="74">
      <c r="A74" s="14" t="n"/>
      <c r="B74" s="11" t="n"/>
      <c r="C74" s="11" t="n"/>
      <c r="D74" s="11" t="n"/>
      <c r="E74" s="11" t="n"/>
      <c r="F74" s="18" t="n"/>
      <c r="G74" s="18" t="n"/>
      <c r="H74" s="18" t="n"/>
      <c r="I74" s="18" t="n"/>
      <c r="J74" s="23">
        <f>IF(F74="","",F74+G74+H74+I74)</f>
        <v/>
      </c>
      <c r="K74">
        <f>IF(F74="","",IF(D74&lt;&gt;"","B2B","B2C"))</f>
        <v/>
      </c>
      <c r="L74">
        <f>IF(A74="","",TEXT(A74,"mmm-yy"))</f>
        <v/>
      </c>
    </row>
    <row r="75">
      <c r="A75" s="14" t="n"/>
      <c r="B75" s="11" t="n"/>
      <c r="C75" s="11" t="n"/>
      <c r="D75" s="11" t="n"/>
      <c r="E75" s="11" t="n"/>
      <c r="F75" s="18" t="n"/>
      <c r="G75" s="18" t="n"/>
      <c r="H75" s="18" t="n"/>
      <c r="I75" s="18" t="n"/>
      <c r="J75" s="23">
        <f>IF(F75="","",F75+G75+H75+I75)</f>
        <v/>
      </c>
      <c r="K75">
        <f>IF(F75="","",IF(D75&lt;&gt;"","B2B","B2C"))</f>
        <v/>
      </c>
      <c r="L75">
        <f>IF(A75="","",TEXT(A75,"mmm-yy"))</f>
        <v/>
      </c>
    </row>
    <row r="76">
      <c r="A76" s="14" t="n"/>
      <c r="B76" s="11" t="n"/>
      <c r="C76" s="11" t="n"/>
      <c r="D76" s="11" t="n"/>
      <c r="E76" s="11" t="n"/>
      <c r="F76" s="18" t="n"/>
      <c r="G76" s="18" t="n"/>
      <c r="H76" s="18" t="n"/>
      <c r="I76" s="18" t="n"/>
      <c r="J76" s="23">
        <f>IF(F76="","",F76+G76+H76+I76)</f>
        <v/>
      </c>
      <c r="K76">
        <f>IF(F76="","",IF(D76&lt;&gt;"","B2B","B2C"))</f>
        <v/>
      </c>
      <c r="L76">
        <f>IF(A76="","",TEXT(A76,"mmm-yy"))</f>
        <v/>
      </c>
    </row>
    <row r="77">
      <c r="A77" s="14" t="n"/>
      <c r="B77" s="11" t="n"/>
      <c r="C77" s="11" t="n"/>
      <c r="D77" s="11" t="n"/>
      <c r="E77" s="11" t="n"/>
      <c r="F77" s="18" t="n"/>
      <c r="G77" s="18" t="n"/>
      <c r="H77" s="18" t="n"/>
      <c r="I77" s="18" t="n"/>
      <c r="J77" s="23">
        <f>IF(F77="","",F77+G77+H77+I77)</f>
        <v/>
      </c>
      <c r="K77">
        <f>IF(F77="","",IF(D77&lt;&gt;"","B2B","B2C"))</f>
        <v/>
      </c>
      <c r="L77">
        <f>IF(A77="","",TEXT(A77,"mmm-yy"))</f>
        <v/>
      </c>
    </row>
    <row r="78">
      <c r="A78" s="14" t="n"/>
      <c r="B78" s="11" t="n"/>
      <c r="C78" s="11" t="n"/>
      <c r="D78" s="11" t="n"/>
      <c r="E78" s="11" t="n"/>
      <c r="F78" s="18" t="n"/>
      <c r="G78" s="18" t="n"/>
      <c r="H78" s="18" t="n"/>
      <c r="I78" s="18" t="n"/>
      <c r="J78" s="23">
        <f>IF(F78="","",F78+G78+H78+I78)</f>
        <v/>
      </c>
      <c r="K78">
        <f>IF(F78="","",IF(D78&lt;&gt;"","B2B","B2C"))</f>
        <v/>
      </c>
      <c r="L78">
        <f>IF(A78="","",TEXT(A78,"mmm-yy"))</f>
        <v/>
      </c>
    </row>
    <row r="79">
      <c r="A79" s="14" t="n"/>
      <c r="B79" s="11" t="n"/>
      <c r="C79" s="11" t="n"/>
      <c r="D79" s="11" t="n"/>
      <c r="E79" s="11" t="n"/>
      <c r="F79" s="18" t="n"/>
      <c r="G79" s="18" t="n"/>
      <c r="H79" s="18" t="n"/>
      <c r="I79" s="18" t="n"/>
      <c r="J79" s="23">
        <f>IF(F79="","",F79+G79+H79+I79)</f>
        <v/>
      </c>
      <c r="K79">
        <f>IF(F79="","",IF(D79&lt;&gt;"","B2B","B2C"))</f>
        <v/>
      </c>
      <c r="L79">
        <f>IF(A79="","",TEXT(A79,"mmm-yy"))</f>
        <v/>
      </c>
    </row>
    <row r="80">
      <c r="A80" s="14" t="n"/>
      <c r="B80" s="11" t="n"/>
      <c r="C80" s="11" t="n"/>
      <c r="D80" s="11" t="n"/>
      <c r="E80" s="11" t="n"/>
      <c r="F80" s="18" t="n"/>
      <c r="G80" s="18" t="n"/>
      <c r="H80" s="18" t="n"/>
      <c r="I80" s="18" t="n"/>
      <c r="J80" s="23">
        <f>IF(F80="","",F80+G80+H80+I80)</f>
        <v/>
      </c>
      <c r="K80">
        <f>IF(F80="","",IF(D80&lt;&gt;"","B2B","B2C"))</f>
        <v/>
      </c>
      <c r="L80">
        <f>IF(A80="","",TEXT(A80,"mmm-yy"))</f>
        <v/>
      </c>
    </row>
    <row r="81">
      <c r="A81" s="14" t="n"/>
      <c r="B81" s="11" t="n"/>
      <c r="C81" s="11" t="n"/>
      <c r="D81" s="11" t="n"/>
      <c r="E81" s="11" t="n"/>
      <c r="F81" s="18" t="n"/>
      <c r="G81" s="18" t="n"/>
      <c r="H81" s="18" t="n"/>
      <c r="I81" s="18" t="n"/>
      <c r="J81" s="23">
        <f>IF(F81="","",F81+G81+H81+I81)</f>
        <v/>
      </c>
      <c r="K81">
        <f>IF(F81="","",IF(D81&lt;&gt;"","B2B","B2C"))</f>
        <v/>
      </c>
      <c r="L81">
        <f>IF(A81="","",TEXT(A81,"mmm-yy"))</f>
        <v/>
      </c>
    </row>
    <row r="82">
      <c r="A82" s="14" t="n"/>
      <c r="B82" s="11" t="n"/>
      <c r="C82" s="11" t="n"/>
      <c r="D82" s="11" t="n"/>
      <c r="E82" s="11" t="n"/>
      <c r="F82" s="18" t="n"/>
      <c r="G82" s="18" t="n"/>
      <c r="H82" s="18" t="n"/>
      <c r="I82" s="18" t="n"/>
      <c r="J82" s="23">
        <f>IF(F82="","",F82+G82+H82+I82)</f>
        <v/>
      </c>
      <c r="K82">
        <f>IF(F82="","",IF(D82&lt;&gt;"","B2B","B2C"))</f>
        <v/>
      </c>
      <c r="L82">
        <f>IF(A82="","",TEXT(A82,"mmm-yy"))</f>
        <v/>
      </c>
    </row>
    <row r="83">
      <c r="A83" s="14" t="n"/>
      <c r="B83" s="11" t="n"/>
      <c r="C83" s="11" t="n"/>
      <c r="D83" s="11" t="n"/>
      <c r="E83" s="11" t="n"/>
      <c r="F83" s="18" t="n"/>
      <c r="G83" s="18" t="n"/>
      <c r="H83" s="18" t="n"/>
      <c r="I83" s="18" t="n"/>
      <c r="J83" s="23">
        <f>IF(F83="","",F83+G83+H83+I83)</f>
        <v/>
      </c>
      <c r="K83">
        <f>IF(F83="","",IF(D83&lt;&gt;"","B2B","B2C"))</f>
        <v/>
      </c>
      <c r="L83">
        <f>IF(A83="","",TEXT(A83,"mmm-yy"))</f>
        <v/>
      </c>
    </row>
    <row r="84">
      <c r="A84" s="14" t="n"/>
      <c r="B84" s="11" t="n"/>
      <c r="C84" s="11" t="n"/>
      <c r="D84" s="11" t="n"/>
      <c r="E84" s="11" t="n"/>
      <c r="F84" s="18" t="n"/>
      <c r="G84" s="18" t="n"/>
      <c r="H84" s="18" t="n"/>
      <c r="I84" s="18" t="n"/>
      <c r="J84" s="23">
        <f>IF(F84="","",F84+G84+H84+I84)</f>
        <v/>
      </c>
      <c r="K84">
        <f>IF(F84="","",IF(D84&lt;&gt;"","B2B","B2C"))</f>
        <v/>
      </c>
      <c r="L84">
        <f>IF(A84="","",TEXT(A84,"mmm-yy"))</f>
        <v/>
      </c>
    </row>
    <row r="85">
      <c r="A85" s="14" t="n"/>
      <c r="B85" s="11" t="n"/>
      <c r="C85" s="11" t="n"/>
      <c r="D85" s="11" t="n"/>
      <c r="E85" s="11" t="n"/>
      <c r="F85" s="18" t="n"/>
      <c r="G85" s="18" t="n"/>
      <c r="H85" s="18" t="n"/>
      <c r="I85" s="18" t="n"/>
      <c r="J85" s="23">
        <f>IF(F85="","",F85+G85+H85+I85)</f>
        <v/>
      </c>
      <c r="K85">
        <f>IF(F85="","",IF(D85&lt;&gt;"","B2B","B2C"))</f>
        <v/>
      </c>
      <c r="L85">
        <f>IF(A85="","",TEXT(A85,"mmm-yy"))</f>
        <v/>
      </c>
    </row>
    <row r="86">
      <c r="A86" s="14" t="n"/>
      <c r="B86" s="11" t="n"/>
      <c r="C86" s="11" t="n"/>
      <c r="D86" s="11" t="n"/>
      <c r="E86" s="11" t="n"/>
      <c r="F86" s="18" t="n"/>
      <c r="G86" s="18" t="n"/>
      <c r="H86" s="18" t="n"/>
      <c r="I86" s="18" t="n"/>
      <c r="J86" s="23">
        <f>IF(F86="","",F86+G86+H86+I86)</f>
        <v/>
      </c>
      <c r="K86">
        <f>IF(F86="","",IF(D86&lt;&gt;"","B2B","B2C"))</f>
        <v/>
      </c>
      <c r="L86">
        <f>IF(A86="","",TEXT(A86,"mmm-yy"))</f>
        <v/>
      </c>
    </row>
    <row r="87">
      <c r="A87" s="14" t="n"/>
      <c r="B87" s="11" t="n"/>
      <c r="C87" s="11" t="n"/>
      <c r="D87" s="11" t="n"/>
      <c r="E87" s="11" t="n"/>
      <c r="F87" s="18" t="n"/>
      <c r="G87" s="18" t="n"/>
      <c r="H87" s="18" t="n"/>
      <c r="I87" s="18" t="n"/>
      <c r="J87" s="23">
        <f>IF(F87="","",F87+G87+H87+I87)</f>
        <v/>
      </c>
      <c r="K87">
        <f>IF(F87="","",IF(D87&lt;&gt;"","B2B","B2C"))</f>
        <v/>
      </c>
      <c r="L87">
        <f>IF(A87="","",TEXT(A87,"mmm-yy"))</f>
        <v/>
      </c>
    </row>
    <row r="88">
      <c r="A88" s="14" t="n"/>
      <c r="B88" s="11" t="n"/>
      <c r="C88" s="11" t="n"/>
      <c r="D88" s="11" t="n"/>
      <c r="E88" s="11" t="n"/>
      <c r="F88" s="18" t="n"/>
      <c r="G88" s="18" t="n"/>
      <c r="H88" s="18" t="n"/>
      <c r="I88" s="18" t="n"/>
      <c r="J88" s="23">
        <f>IF(F88="","",F88+G88+H88+I88)</f>
        <v/>
      </c>
      <c r="K88">
        <f>IF(F88="","",IF(D88&lt;&gt;"","B2B","B2C"))</f>
        <v/>
      </c>
      <c r="L88">
        <f>IF(A88="","",TEXT(A88,"mmm-yy"))</f>
        <v/>
      </c>
    </row>
    <row r="89">
      <c r="A89" s="14" t="n"/>
      <c r="B89" s="11" t="n"/>
      <c r="C89" s="11" t="n"/>
      <c r="D89" s="11" t="n"/>
      <c r="E89" s="11" t="n"/>
      <c r="F89" s="18" t="n"/>
      <c r="G89" s="18" t="n"/>
      <c r="H89" s="18" t="n"/>
      <c r="I89" s="18" t="n"/>
      <c r="J89" s="23">
        <f>IF(F89="","",F89+G89+H89+I89)</f>
        <v/>
      </c>
      <c r="K89">
        <f>IF(F89="","",IF(D89&lt;&gt;"","B2B","B2C"))</f>
        <v/>
      </c>
      <c r="L89">
        <f>IF(A89="","",TEXT(A89,"mmm-yy"))</f>
        <v/>
      </c>
    </row>
    <row r="90">
      <c r="A90" s="14" t="n"/>
      <c r="B90" s="11" t="n"/>
      <c r="C90" s="11" t="n"/>
      <c r="D90" s="11" t="n"/>
      <c r="E90" s="11" t="n"/>
      <c r="F90" s="18" t="n"/>
      <c r="G90" s="18" t="n"/>
      <c r="H90" s="18" t="n"/>
      <c r="I90" s="18" t="n"/>
      <c r="J90" s="23">
        <f>IF(F90="","",F90+G90+H90+I90)</f>
        <v/>
      </c>
      <c r="K90">
        <f>IF(F90="","",IF(D90&lt;&gt;"","B2B","B2C"))</f>
        <v/>
      </c>
      <c r="L90">
        <f>IF(A90="","",TEXT(A90,"mmm-yy"))</f>
        <v/>
      </c>
    </row>
    <row r="91">
      <c r="A91" s="14" t="n"/>
      <c r="B91" s="11" t="n"/>
      <c r="C91" s="11" t="n"/>
      <c r="D91" s="11" t="n"/>
      <c r="E91" s="11" t="n"/>
      <c r="F91" s="18" t="n"/>
      <c r="G91" s="18" t="n"/>
      <c r="H91" s="18" t="n"/>
      <c r="I91" s="18" t="n"/>
      <c r="J91" s="23">
        <f>IF(F91="","",F91+G91+H91+I91)</f>
        <v/>
      </c>
      <c r="K91">
        <f>IF(F91="","",IF(D91&lt;&gt;"","B2B","B2C"))</f>
        <v/>
      </c>
      <c r="L91">
        <f>IF(A91="","",TEXT(A91,"mmm-yy"))</f>
        <v/>
      </c>
    </row>
    <row r="92">
      <c r="A92" s="14" t="n"/>
      <c r="B92" s="11" t="n"/>
      <c r="C92" s="11" t="n"/>
      <c r="D92" s="11" t="n"/>
      <c r="E92" s="11" t="n"/>
      <c r="F92" s="18" t="n"/>
      <c r="G92" s="18" t="n"/>
      <c r="H92" s="18" t="n"/>
      <c r="I92" s="18" t="n"/>
      <c r="J92" s="23">
        <f>IF(F92="","",F92+G92+H92+I92)</f>
        <v/>
      </c>
      <c r="K92">
        <f>IF(F92="","",IF(D92&lt;&gt;"","B2B","B2C"))</f>
        <v/>
      </c>
      <c r="L92">
        <f>IF(A92="","",TEXT(A92,"mmm-yy"))</f>
        <v/>
      </c>
    </row>
    <row r="93">
      <c r="A93" s="14" t="n"/>
      <c r="B93" s="11" t="n"/>
      <c r="C93" s="11" t="n"/>
      <c r="D93" s="11" t="n"/>
      <c r="E93" s="11" t="n"/>
      <c r="F93" s="18" t="n"/>
      <c r="G93" s="18" t="n"/>
      <c r="H93" s="18" t="n"/>
      <c r="I93" s="18" t="n"/>
      <c r="J93" s="23">
        <f>IF(F93="","",F93+G93+H93+I93)</f>
        <v/>
      </c>
      <c r="K93">
        <f>IF(F93="","",IF(D93&lt;&gt;"","B2B","B2C"))</f>
        <v/>
      </c>
      <c r="L93">
        <f>IF(A93="","",TEXT(A93,"mmm-yy"))</f>
        <v/>
      </c>
    </row>
    <row r="94">
      <c r="A94" s="14" t="n"/>
      <c r="B94" s="11" t="n"/>
      <c r="C94" s="11" t="n"/>
      <c r="D94" s="11" t="n"/>
      <c r="E94" s="11" t="n"/>
      <c r="F94" s="18" t="n"/>
      <c r="G94" s="18" t="n"/>
      <c r="H94" s="18" t="n"/>
      <c r="I94" s="18" t="n"/>
      <c r="J94" s="23">
        <f>IF(F94="","",F94+G94+H94+I94)</f>
        <v/>
      </c>
      <c r="K94">
        <f>IF(F94="","",IF(D94&lt;&gt;"","B2B","B2C"))</f>
        <v/>
      </c>
      <c r="L94">
        <f>IF(A94="","",TEXT(A94,"mmm-yy"))</f>
        <v/>
      </c>
    </row>
    <row r="95">
      <c r="A95" s="14" t="n"/>
      <c r="B95" s="11" t="n"/>
      <c r="C95" s="11" t="n"/>
      <c r="D95" s="11" t="n"/>
      <c r="E95" s="11" t="n"/>
      <c r="F95" s="18" t="n"/>
      <c r="G95" s="18" t="n"/>
      <c r="H95" s="18" t="n"/>
      <c r="I95" s="18" t="n"/>
      <c r="J95" s="23">
        <f>IF(F95="","",F95+G95+H95+I95)</f>
        <v/>
      </c>
      <c r="K95">
        <f>IF(F95="","",IF(D95&lt;&gt;"","B2B","B2C"))</f>
        <v/>
      </c>
      <c r="L95">
        <f>IF(A95="","",TEXT(A95,"mmm-yy"))</f>
        <v/>
      </c>
    </row>
    <row r="96">
      <c r="A96" s="14" t="n"/>
      <c r="B96" s="11" t="n"/>
      <c r="C96" s="11" t="n"/>
      <c r="D96" s="11" t="n"/>
      <c r="E96" s="11" t="n"/>
      <c r="F96" s="18" t="n"/>
      <c r="G96" s="18" t="n"/>
      <c r="H96" s="18" t="n"/>
      <c r="I96" s="18" t="n"/>
      <c r="J96" s="23">
        <f>IF(F96="","",F96+G96+H96+I96)</f>
        <v/>
      </c>
      <c r="K96">
        <f>IF(F96="","",IF(D96&lt;&gt;"","B2B","B2C"))</f>
        <v/>
      </c>
      <c r="L96">
        <f>IF(A96="","",TEXT(A96,"mmm-yy"))</f>
        <v/>
      </c>
    </row>
    <row r="97">
      <c r="A97" s="14" t="n"/>
      <c r="B97" s="11" t="n"/>
      <c r="C97" s="11" t="n"/>
      <c r="D97" s="11" t="n"/>
      <c r="E97" s="11" t="n"/>
      <c r="F97" s="18" t="n"/>
      <c r="G97" s="18" t="n"/>
      <c r="H97" s="18" t="n"/>
      <c r="I97" s="18" t="n"/>
      <c r="J97" s="23">
        <f>IF(F97="","",F97+G97+H97+I97)</f>
        <v/>
      </c>
      <c r="K97">
        <f>IF(F97="","",IF(D97&lt;&gt;"","B2B","B2C"))</f>
        <v/>
      </c>
      <c r="L97">
        <f>IF(A97="","",TEXT(A97,"mmm-yy"))</f>
        <v/>
      </c>
    </row>
    <row r="98">
      <c r="A98" s="14" t="n"/>
      <c r="B98" s="11" t="n"/>
      <c r="C98" s="11" t="n"/>
      <c r="D98" s="11" t="n"/>
      <c r="E98" s="11" t="n"/>
      <c r="F98" s="18" t="n"/>
      <c r="G98" s="18" t="n"/>
      <c r="H98" s="18" t="n"/>
      <c r="I98" s="18" t="n"/>
      <c r="J98" s="23">
        <f>IF(F98="","",F98+G98+H98+I98)</f>
        <v/>
      </c>
      <c r="K98">
        <f>IF(F98="","",IF(D98&lt;&gt;"","B2B","B2C"))</f>
        <v/>
      </c>
      <c r="L98">
        <f>IF(A98="","",TEXT(A98,"mmm-yy"))</f>
        <v/>
      </c>
    </row>
    <row r="99">
      <c r="A99" s="14" t="n"/>
      <c r="B99" s="11" t="n"/>
      <c r="C99" s="11" t="n"/>
      <c r="D99" s="11" t="n"/>
      <c r="E99" s="11" t="n"/>
      <c r="F99" s="18" t="n"/>
      <c r="G99" s="18" t="n"/>
      <c r="H99" s="18" t="n"/>
      <c r="I99" s="18" t="n"/>
      <c r="J99" s="23">
        <f>IF(F99="","",F99+G99+H99+I99)</f>
        <v/>
      </c>
      <c r="K99">
        <f>IF(F99="","",IF(D99&lt;&gt;"","B2B","B2C"))</f>
        <v/>
      </c>
      <c r="L99">
        <f>IF(A99="","",TEXT(A99,"mmm-yy"))</f>
        <v/>
      </c>
    </row>
    <row r="100">
      <c r="A100" s="14" t="n"/>
      <c r="B100" s="11" t="n"/>
      <c r="C100" s="11" t="n"/>
      <c r="D100" s="11" t="n"/>
      <c r="E100" s="11" t="n"/>
      <c r="F100" s="18" t="n"/>
      <c r="G100" s="18" t="n"/>
      <c r="H100" s="18" t="n"/>
      <c r="I100" s="18" t="n"/>
      <c r="J100" s="23">
        <f>IF(F100="","",F100+G100+H100+I100)</f>
        <v/>
      </c>
      <c r="K100">
        <f>IF(F100="","",IF(D100&lt;&gt;"","B2B","B2C"))</f>
        <v/>
      </c>
      <c r="L100">
        <f>IF(A100="","",TEXT(A100,"mmm-yy"))</f>
        <v/>
      </c>
    </row>
    <row r="101">
      <c r="A101" s="14" t="n"/>
      <c r="B101" s="11" t="n"/>
      <c r="C101" s="11" t="n"/>
      <c r="D101" s="11" t="n"/>
      <c r="E101" s="11" t="n"/>
      <c r="F101" s="18" t="n"/>
      <c r="G101" s="18" t="n"/>
      <c r="H101" s="18" t="n"/>
      <c r="I101" s="18" t="n"/>
      <c r="J101" s="23">
        <f>IF(F101="","",F101+G101+H101+I101)</f>
        <v/>
      </c>
      <c r="K101">
        <f>IF(F101="","",IF(D101&lt;&gt;"","B2B","B2C"))</f>
        <v/>
      </c>
      <c r="L101">
        <f>IF(A101="","",TEXT(A101,"mmm-yy"))</f>
        <v/>
      </c>
    </row>
    <row r="102">
      <c r="A102" s="14" t="n"/>
      <c r="B102" s="11" t="n"/>
      <c r="C102" s="11" t="n"/>
      <c r="D102" s="11" t="n"/>
      <c r="E102" s="11" t="n"/>
      <c r="F102" s="18" t="n"/>
      <c r="G102" s="18" t="n"/>
      <c r="H102" s="18" t="n"/>
      <c r="I102" s="18" t="n"/>
      <c r="J102" s="23">
        <f>IF(F102="","",F102+G102+H102+I102)</f>
        <v/>
      </c>
      <c r="K102">
        <f>IF(F102="","",IF(D102&lt;&gt;"","B2B","B2C"))</f>
        <v/>
      </c>
      <c r="L102">
        <f>IF(A102="","",TEXT(A102,"mmm-yy"))</f>
        <v/>
      </c>
    </row>
    <row r="103">
      <c r="A103" s="14" t="n"/>
      <c r="B103" s="11" t="n"/>
      <c r="C103" s="11" t="n"/>
      <c r="D103" s="11" t="n"/>
      <c r="E103" s="11" t="n"/>
      <c r="F103" s="18" t="n"/>
      <c r="G103" s="18" t="n"/>
      <c r="H103" s="18" t="n"/>
      <c r="I103" s="18" t="n"/>
      <c r="J103" s="23">
        <f>IF(F103="","",F103+G103+H103+I103)</f>
        <v/>
      </c>
      <c r="K103">
        <f>IF(F103="","",IF(D103&lt;&gt;"","B2B","B2C"))</f>
        <v/>
      </c>
      <c r="L103">
        <f>IF(A103="","",TEXT(A103,"mmm-yy"))</f>
        <v/>
      </c>
    </row>
    <row r="104">
      <c r="A104" s="14" t="n"/>
      <c r="B104" s="11" t="n"/>
      <c r="C104" s="11" t="n"/>
      <c r="D104" s="11" t="n"/>
      <c r="E104" s="11" t="n"/>
      <c r="F104" s="18" t="n"/>
      <c r="G104" s="18" t="n"/>
      <c r="H104" s="18" t="n"/>
      <c r="I104" s="18" t="n"/>
      <c r="J104" s="23">
        <f>IF(F104="","",F104+G104+H104+I104)</f>
        <v/>
      </c>
      <c r="K104">
        <f>IF(F104="","",IF(D104&lt;&gt;"","B2B","B2C"))</f>
        <v/>
      </c>
      <c r="L104">
        <f>IF(A104="","",TEXT(A104,"mmm-yy"))</f>
        <v/>
      </c>
    </row>
    <row r="105">
      <c r="A105" s="14" t="n"/>
      <c r="B105" s="11" t="n"/>
      <c r="C105" s="11" t="n"/>
      <c r="D105" s="11" t="n"/>
      <c r="E105" s="11" t="n"/>
      <c r="F105" s="18" t="n"/>
      <c r="G105" s="18" t="n"/>
      <c r="H105" s="18" t="n"/>
      <c r="I105" s="18" t="n"/>
      <c r="J105" s="23">
        <f>IF(F105="","",F105+G105+H105+I105)</f>
        <v/>
      </c>
      <c r="K105">
        <f>IF(F105="","",IF(D105&lt;&gt;"","B2B","B2C"))</f>
        <v/>
      </c>
      <c r="L105">
        <f>IF(A105="","",TEXT(A105,"mmm-yy"))</f>
        <v/>
      </c>
    </row>
    <row r="106">
      <c r="A106" s="14" t="n"/>
      <c r="B106" s="11" t="n"/>
      <c r="C106" s="11" t="n"/>
      <c r="D106" s="11" t="n"/>
      <c r="E106" s="11" t="n"/>
      <c r="F106" s="18" t="n"/>
      <c r="G106" s="18" t="n"/>
      <c r="H106" s="18" t="n"/>
      <c r="I106" s="18" t="n"/>
      <c r="J106" s="23">
        <f>IF(F106="","",F106+G106+H106+I106)</f>
        <v/>
      </c>
      <c r="K106">
        <f>IF(F106="","",IF(D106&lt;&gt;"","B2B","B2C"))</f>
        <v/>
      </c>
      <c r="L106">
        <f>IF(A106="","",TEXT(A106,"mmm-yy"))</f>
        <v/>
      </c>
    </row>
    <row r="107">
      <c r="A107" s="14" t="n"/>
      <c r="B107" s="11" t="n"/>
      <c r="C107" s="11" t="n"/>
      <c r="D107" s="11" t="n"/>
      <c r="E107" s="11" t="n"/>
      <c r="F107" s="18" t="n"/>
      <c r="G107" s="18" t="n"/>
      <c r="H107" s="18" t="n"/>
      <c r="I107" s="18" t="n"/>
      <c r="J107" s="23">
        <f>IF(F107="","",F107+G107+H107+I107)</f>
        <v/>
      </c>
      <c r="K107">
        <f>IF(F107="","",IF(D107&lt;&gt;"","B2B","B2C"))</f>
        <v/>
      </c>
      <c r="L107">
        <f>IF(A107="","",TEXT(A107,"mmm-yy"))</f>
        <v/>
      </c>
    </row>
    <row r="108">
      <c r="A108" s="14" t="n"/>
      <c r="B108" s="11" t="n"/>
      <c r="C108" s="11" t="n"/>
      <c r="D108" s="11" t="n"/>
      <c r="E108" s="11" t="n"/>
      <c r="F108" s="18" t="n"/>
      <c r="G108" s="18" t="n"/>
      <c r="H108" s="18" t="n"/>
      <c r="I108" s="18" t="n"/>
      <c r="J108" s="23">
        <f>IF(F108="","",F108+G108+H108+I108)</f>
        <v/>
      </c>
      <c r="K108">
        <f>IF(F108="","",IF(D108&lt;&gt;"","B2B","B2C"))</f>
        <v/>
      </c>
      <c r="L108">
        <f>IF(A108="","",TEXT(A108,"mmm-yy"))</f>
        <v/>
      </c>
    </row>
    <row r="109">
      <c r="A109" s="14" t="n"/>
      <c r="B109" s="11" t="n"/>
      <c r="C109" s="11" t="n"/>
      <c r="D109" s="11" t="n"/>
      <c r="E109" s="11" t="n"/>
      <c r="F109" s="18" t="n"/>
      <c r="G109" s="18" t="n"/>
      <c r="H109" s="18" t="n"/>
      <c r="I109" s="18" t="n"/>
      <c r="J109" s="23">
        <f>IF(F109="","",F109+G109+H109+I109)</f>
        <v/>
      </c>
      <c r="K109">
        <f>IF(F109="","",IF(D109&lt;&gt;"","B2B","B2C"))</f>
        <v/>
      </c>
      <c r="L109">
        <f>IF(A109="","",TEXT(A109,"mmm-yy"))</f>
        <v/>
      </c>
    </row>
    <row r="110">
      <c r="A110" s="14" t="n"/>
      <c r="B110" s="11" t="n"/>
      <c r="C110" s="11" t="n"/>
      <c r="D110" s="11" t="n"/>
      <c r="E110" s="11" t="n"/>
      <c r="F110" s="18" t="n"/>
      <c r="G110" s="18" t="n"/>
      <c r="H110" s="18" t="n"/>
      <c r="I110" s="18" t="n"/>
      <c r="J110" s="23">
        <f>IF(F110="","",F110+G110+H110+I110)</f>
        <v/>
      </c>
      <c r="K110">
        <f>IF(F110="","",IF(D110&lt;&gt;"","B2B","B2C"))</f>
        <v/>
      </c>
      <c r="L110">
        <f>IF(A110="","",TEXT(A110,"mmm-yy"))</f>
        <v/>
      </c>
    </row>
    <row r="111">
      <c r="A111" s="14" t="n"/>
      <c r="B111" s="11" t="n"/>
      <c r="C111" s="11" t="n"/>
      <c r="D111" s="11" t="n"/>
      <c r="E111" s="11" t="n"/>
      <c r="F111" s="18" t="n"/>
      <c r="G111" s="18" t="n"/>
      <c r="H111" s="18" t="n"/>
      <c r="I111" s="18" t="n"/>
      <c r="J111" s="23">
        <f>IF(F111="","",F111+G111+H111+I111)</f>
        <v/>
      </c>
      <c r="K111">
        <f>IF(F111="","",IF(D111&lt;&gt;"","B2B","B2C"))</f>
        <v/>
      </c>
      <c r="L111">
        <f>IF(A111="","",TEXT(A111,"mmm-yy"))</f>
        <v/>
      </c>
    </row>
    <row r="112">
      <c r="A112" s="14" t="n"/>
      <c r="B112" s="11" t="n"/>
      <c r="C112" s="11" t="n"/>
      <c r="D112" s="11" t="n"/>
      <c r="E112" s="11" t="n"/>
      <c r="F112" s="18" t="n"/>
      <c r="G112" s="18" t="n"/>
      <c r="H112" s="18" t="n"/>
      <c r="I112" s="18" t="n"/>
      <c r="J112" s="23">
        <f>IF(F112="","",F112+G112+H112+I112)</f>
        <v/>
      </c>
      <c r="K112">
        <f>IF(F112="","",IF(D112&lt;&gt;"","B2B","B2C"))</f>
        <v/>
      </c>
      <c r="L112">
        <f>IF(A112="","",TEXT(A112,"mmm-yy"))</f>
        <v/>
      </c>
    </row>
    <row r="113">
      <c r="A113" s="14" t="n"/>
      <c r="B113" s="11" t="n"/>
      <c r="C113" s="11" t="n"/>
      <c r="D113" s="11" t="n"/>
      <c r="E113" s="11" t="n"/>
      <c r="F113" s="18" t="n"/>
      <c r="G113" s="18" t="n"/>
      <c r="H113" s="18" t="n"/>
      <c r="I113" s="18" t="n"/>
      <c r="J113" s="23">
        <f>IF(F113="","",F113+G113+H113+I113)</f>
        <v/>
      </c>
      <c r="K113">
        <f>IF(F113="","",IF(D113&lt;&gt;"","B2B","B2C"))</f>
        <v/>
      </c>
      <c r="L113">
        <f>IF(A113="","",TEXT(A113,"mmm-yy"))</f>
        <v/>
      </c>
    </row>
    <row r="114">
      <c r="A114" s="14" t="n"/>
      <c r="B114" s="11" t="n"/>
      <c r="C114" s="11" t="n"/>
      <c r="D114" s="11" t="n"/>
      <c r="E114" s="11" t="n"/>
      <c r="F114" s="18" t="n"/>
      <c r="G114" s="18" t="n"/>
      <c r="H114" s="18" t="n"/>
      <c r="I114" s="18" t="n"/>
      <c r="J114" s="23">
        <f>IF(F114="","",F114+G114+H114+I114)</f>
        <v/>
      </c>
      <c r="K114">
        <f>IF(F114="","",IF(D114&lt;&gt;"","B2B","B2C"))</f>
        <v/>
      </c>
      <c r="L114">
        <f>IF(A114="","",TEXT(A114,"mmm-yy"))</f>
        <v/>
      </c>
    </row>
    <row r="115">
      <c r="A115" s="14" t="n"/>
      <c r="B115" s="11" t="n"/>
      <c r="C115" s="11" t="n"/>
      <c r="D115" s="11" t="n"/>
      <c r="E115" s="11" t="n"/>
      <c r="F115" s="18" t="n"/>
      <c r="G115" s="18" t="n"/>
      <c r="H115" s="18" t="n"/>
      <c r="I115" s="18" t="n"/>
      <c r="J115" s="23">
        <f>IF(F115="","",F115+G115+H115+I115)</f>
        <v/>
      </c>
      <c r="K115">
        <f>IF(F115="","",IF(D115&lt;&gt;"","B2B","B2C"))</f>
        <v/>
      </c>
      <c r="L115">
        <f>IF(A115="","",TEXT(A115,"mmm-yy"))</f>
        <v/>
      </c>
    </row>
    <row r="116">
      <c r="A116" s="14" t="n"/>
      <c r="B116" s="11" t="n"/>
      <c r="C116" s="11" t="n"/>
      <c r="D116" s="11" t="n"/>
      <c r="E116" s="11" t="n"/>
      <c r="F116" s="18" t="n"/>
      <c r="G116" s="18" t="n"/>
      <c r="H116" s="18" t="n"/>
      <c r="I116" s="18" t="n"/>
      <c r="J116" s="23">
        <f>IF(F116="","",F116+G116+H116+I116)</f>
        <v/>
      </c>
      <c r="K116">
        <f>IF(F116="","",IF(D116&lt;&gt;"","B2B","B2C"))</f>
        <v/>
      </c>
      <c r="L116">
        <f>IF(A116="","",TEXT(A116,"mmm-yy"))</f>
        <v/>
      </c>
    </row>
    <row r="117">
      <c r="A117" s="14" t="n"/>
      <c r="B117" s="11" t="n"/>
      <c r="C117" s="11" t="n"/>
      <c r="D117" s="11" t="n"/>
      <c r="E117" s="11" t="n"/>
      <c r="F117" s="18" t="n"/>
      <c r="G117" s="18" t="n"/>
      <c r="H117" s="18" t="n"/>
      <c r="I117" s="18" t="n"/>
      <c r="J117" s="23">
        <f>IF(F117="","",F117+G117+H117+I117)</f>
        <v/>
      </c>
      <c r="K117">
        <f>IF(F117="","",IF(D117&lt;&gt;"","B2B","B2C"))</f>
        <v/>
      </c>
      <c r="L117">
        <f>IF(A117="","",TEXT(A117,"mmm-yy"))</f>
        <v/>
      </c>
    </row>
    <row r="118">
      <c r="A118" s="14" t="n"/>
      <c r="B118" s="11" t="n"/>
      <c r="C118" s="11" t="n"/>
      <c r="D118" s="11" t="n"/>
      <c r="E118" s="11" t="n"/>
      <c r="F118" s="18" t="n"/>
      <c r="G118" s="18" t="n"/>
      <c r="H118" s="18" t="n"/>
      <c r="I118" s="18" t="n"/>
      <c r="J118" s="23">
        <f>IF(F118="","",F118+G118+H118+I118)</f>
        <v/>
      </c>
      <c r="K118">
        <f>IF(F118="","",IF(D118&lt;&gt;"","B2B","B2C"))</f>
        <v/>
      </c>
      <c r="L118">
        <f>IF(A118="","",TEXT(A118,"mmm-yy"))</f>
        <v/>
      </c>
    </row>
    <row r="119">
      <c r="A119" s="14" t="n"/>
      <c r="B119" s="11" t="n"/>
      <c r="C119" s="11" t="n"/>
      <c r="D119" s="11" t="n"/>
      <c r="E119" s="11" t="n"/>
      <c r="F119" s="18" t="n"/>
      <c r="G119" s="18" t="n"/>
      <c r="H119" s="18" t="n"/>
      <c r="I119" s="18" t="n"/>
      <c r="J119" s="23">
        <f>IF(F119="","",F119+G119+H119+I119)</f>
        <v/>
      </c>
      <c r="K119">
        <f>IF(F119="","",IF(D119&lt;&gt;"","B2B","B2C"))</f>
        <v/>
      </c>
      <c r="L119">
        <f>IF(A119="","",TEXT(A119,"mmm-yy"))</f>
        <v/>
      </c>
    </row>
    <row r="120">
      <c r="A120" s="14" t="n"/>
      <c r="B120" s="11" t="n"/>
      <c r="C120" s="11" t="n"/>
      <c r="D120" s="11" t="n"/>
      <c r="E120" s="11" t="n"/>
      <c r="F120" s="18" t="n"/>
      <c r="G120" s="18" t="n"/>
      <c r="H120" s="18" t="n"/>
      <c r="I120" s="18" t="n"/>
      <c r="J120" s="23">
        <f>IF(F120="","",F120+G120+H120+I120)</f>
        <v/>
      </c>
      <c r="K120">
        <f>IF(F120="","",IF(D120&lt;&gt;"","B2B","B2C"))</f>
        <v/>
      </c>
      <c r="L120">
        <f>IF(A120="","",TEXT(A120,"mmm-yy"))</f>
        <v/>
      </c>
    </row>
    <row r="121">
      <c r="A121" s="14" t="n"/>
      <c r="B121" s="11" t="n"/>
      <c r="C121" s="11" t="n"/>
      <c r="D121" s="11" t="n"/>
      <c r="E121" s="11" t="n"/>
      <c r="F121" s="18" t="n"/>
      <c r="G121" s="18" t="n"/>
      <c r="H121" s="18" t="n"/>
      <c r="I121" s="18" t="n"/>
      <c r="J121" s="23">
        <f>IF(F121="","",F121+G121+H121+I121)</f>
        <v/>
      </c>
      <c r="K121">
        <f>IF(F121="","",IF(D121&lt;&gt;"","B2B","B2C"))</f>
        <v/>
      </c>
      <c r="L121">
        <f>IF(A121="","",TEXT(A121,"mmm-yy"))</f>
        <v/>
      </c>
    </row>
    <row r="122">
      <c r="A122" s="14" t="n"/>
      <c r="B122" s="11" t="n"/>
      <c r="C122" s="11" t="n"/>
      <c r="D122" s="11" t="n"/>
      <c r="E122" s="11" t="n"/>
      <c r="F122" s="18" t="n"/>
      <c r="G122" s="18" t="n"/>
      <c r="H122" s="18" t="n"/>
      <c r="I122" s="18" t="n"/>
      <c r="J122" s="23">
        <f>IF(F122="","",F122+G122+H122+I122)</f>
        <v/>
      </c>
      <c r="K122">
        <f>IF(F122="","",IF(D122&lt;&gt;"","B2B","B2C"))</f>
        <v/>
      </c>
      <c r="L122">
        <f>IF(A122="","",TEXT(A122,"mmm-yy"))</f>
        <v/>
      </c>
    </row>
    <row r="123">
      <c r="A123" s="14" t="n"/>
      <c r="B123" s="11" t="n"/>
      <c r="C123" s="11" t="n"/>
      <c r="D123" s="11" t="n"/>
      <c r="E123" s="11" t="n"/>
      <c r="F123" s="18" t="n"/>
      <c r="G123" s="18" t="n"/>
      <c r="H123" s="18" t="n"/>
      <c r="I123" s="18" t="n"/>
      <c r="J123" s="23">
        <f>IF(F123="","",F123+G123+H123+I123)</f>
        <v/>
      </c>
      <c r="K123">
        <f>IF(F123="","",IF(D123&lt;&gt;"","B2B","B2C"))</f>
        <v/>
      </c>
      <c r="L123">
        <f>IF(A123="","",TEXT(A123,"mmm-yy"))</f>
        <v/>
      </c>
    </row>
    <row r="124">
      <c r="A124" s="14" t="n"/>
      <c r="B124" s="11" t="n"/>
      <c r="C124" s="11" t="n"/>
      <c r="D124" s="11" t="n"/>
      <c r="E124" s="11" t="n"/>
      <c r="F124" s="18" t="n"/>
      <c r="G124" s="18" t="n"/>
      <c r="H124" s="18" t="n"/>
      <c r="I124" s="18" t="n"/>
      <c r="J124" s="23">
        <f>IF(F124="","",F124+G124+H124+I124)</f>
        <v/>
      </c>
      <c r="K124">
        <f>IF(F124="","",IF(D124&lt;&gt;"","B2B","B2C"))</f>
        <v/>
      </c>
      <c r="L124">
        <f>IF(A124="","",TEXT(A124,"mmm-yy"))</f>
        <v/>
      </c>
    </row>
    <row r="125">
      <c r="A125" s="14" t="n"/>
      <c r="B125" s="11" t="n"/>
      <c r="C125" s="11" t="n"/>
      <c r="D125" s="11" t="n"/>
      <c r="E125" s="11" t="n"/>
      <c r="F125" s="18" t="n"/>
      <c r="G125" s="18" t="n"/>
      <c r="H125" s="18" t="n"/>
      <c r="I125" s="18" t="n"/>
      <c r="J125" s="23">
        <f>IF(F125="","",F125+G125+H125+I125)</f>
        <v/>
      </c>
      <c r="K125">
        <f>IF(F125="","",IF(D125&lt;&gt;"","B2B","B2C"))</f>
        <v/>
      </c>
      <c r="L125">
        <f>IF(A125="","",TEXT(A125,"mmm-yy"))</f>
        <v/>
      </c>
    </row>
    <row r="126">
      <c r="A126" s="14" t="n"/>
      <c r="B126" s="11" t="n"/>
      <c r="C126" s="11" t="n"/>
      <c r="D126" s="11" t="n"/>
      <c r="E126" s="11" t="n"/>
      <c r="F126" s="18" t="n"/>
      <c r="G126" s="18" t="n"/>
      <c r="H126" s="18" t="n"/>
      <c r="I126" s="18" t="n"/>
      <c r="J126" s="23">
        <f>IF(F126="","",F126+G126+H126+I126)</f>
        <v/>
      </c>
      <c r="K126">
        <f>IF(F126="","",IF(D126&lt;&gt;"","B2B","B2C"))</f>
        <v/>
      </c>
      <c r="L126">
        <f>IF(A126="","",TEXT(A126,"mmm-yy"))</f>
        <v/>
      </c>
    </row>
    <row r="127">
      <c r="A127" s="14" t="n"/>
      <c r="B127" s="11" t="n"/>
      <c r="C127" s="11" t="n"/>
      <c r="D127" s="11" t="n"/>
      <c r="E127" s="11" t="n"/>
      <c r="F127" s="18" t="n"/>
      <c r="G127" s="18" t="n"/>
      <c r="H127" s="18" t="n"/>
      <c r="I127" s="18" t="n"/>
      <c r="J127" s="23">
        <f>IF(F127="","",F127+G127+H127+I127)</f>
        <v/>
      </c>
      <c r="K127">
        <f>IF(F127="","",IF(D127&lt;&gt;"","B2B","B2C"))</f>
        <v/>
      </c>
      <c r="L127">
        <f>IF(A127="","",TEXT(A127,"mmm-yy"))</f>
        <v/>
      </c>
    </row>
    <row r="128">
      <c r="A128" s="14" t="n"/>
      <c r="B128" s="11" t="n"/>
      <c r="C128" s="11" t="n"/>
      <c r="D128" s="11" t="n"/>
      <c r="E128" s="11" t="n"/>
      <c r="F128" s="18" t="n"/>
      <c r="G128" s="18" t="n"/>
      <c r="H128" s="18" t="n"/>
      <c r="I128" s="18" t="n"/>
      <c r="J128" s="23">
        <f>IF(F128="","",F128+G128+H128+I128)</f>
        <v/>
      </c>
      <c r="K128">
        <f>IF(F128="","",IF(D128&lt;&gt;"","B2B","B2C"))</f>
        <v/>
      </c>
      <c r="L128">
        <f>IF(A128="","",TEXT(A128,"mmm-yy"))</f>
        <v/>
      </c>
    </row>
    <row r="129">
      <c r="A129" s="14" t="n"/>
      <c r="B129" s="11" t="n"/>
      <c r="C129" s="11" t="n"/>
      <c r="D129" s="11" t="n"/>
      <c r="E129" s="11" t="n"/>
      <c r="F129" s="18" t="n"/>
      <c r="G129" s="18" t="n"/>
      <c r="H129" s="18" t="n"/>
      <c r="I129" s="18" t="n"/>
      <c r="J129" s="23">
        <f>IF(F129="","",F129+G129+H129+I129)</f>
        <v/>
      </c>
      <c r="K129">
        <f>IF(F129="","",IF(D129&lt;&gt;"","B2B","B2C"))</f>
        <v/>
      </c>
      <c r="L129">
        <f>IF(A129="","",TEXT(A129,"mmm-yy"))</f>
        <v/>
      </c>
    </row>
    <row r="130">
      <c r="A130" s="14" t="n"/>
      <c r="B130" s="11" t="n"/>
      <c r="C130" s="11" t="n"/>
      <c r="D130" s="11" t="n"/>
      <c r="E130" s="11" t="n"/>
      <c r="F130" s="18" t="n"/>
      <c r="G130" s="18" t="n"/>
      <c r="H130" s="18" t="n"/>
      <c r="I130" s="18" t="n"/>
      <c r="J130" s="23">
        <f>IF(F130="","",F130+G130+H130+I130)</f>
        <v/>
      </c>
      <c r="K130">
        <f>IF(F130="","",IF(D130&lt;&gt;"","B2B","B2C"))</f>
        <v/>
      </c>
      <c r="L130">
        <f>IF(A130="","",TEXT(A130,"mmm-yy"))</f>
        <v/>
      </c>
    </row>
    <row r="131">
      <c r="A131" s="14" t="n"/>
      <c r="B131" s="11" t="n"/>
      <c r="C131" s="11" t="n"/>
      <c r="D131" s="11" t="n"/>
      <c r="E131" s="11" t="n"/>
      <c r="F131" s="18" t="n"/>
      <c r="G131" s="18" t="n"/>
      <c r="H131" s="18" t="n"/>
      <c r="I131" s="18" t="n"/>
      <c r="J131" s="23">
        <f>IF(F131="","",F131+G131+H131+I131)</f>
        <v/>
      </c>
      <c r="K131">
        <f>IF(F131="","",IF(D131&lt;&gt;"","B2B","B2C"))</f>
        <v/>
      </c>
      <c r="L131">
        <f>IF(A131="","",TEXT(A131,"mmm-yy"))</f>
        <v/>
      </c>
    </row>
    <row r="132">
      <c r="A132" s="14" t="n"/>
      <c r="B132" s="11" t="n"/>
      <c r="C132" s="11" t="n"/>
      <c r="D132" s="11" t="n"/>
      <c r="E132" s="11" t="n"/>
      <c r="F132" s="18" t="n"/>
      <c r="G132" s="18" t="n"/>
      <c r="H132" s="18" t="n"/>
      <c r="I132" s="18" t="n"/>
      <c r="J132" s="23">
        <f>IF(F132="","",F132+G132+H132+I132)</f>
        <v/>
      </c>
      <c r="K132">
        <f>IF(F132="","",IF(D132&lt;&gt;"","B2B","B2C"))</f>
        <v/>
      </c>
      <c r="L132">
        <f>IF(A132="","",TEXT(A132,"mmm-yy"))</f>
        <v/>
      </c>
    </row>
    <row r="133">
      <c r="A133" s="14" t="n"/>
      <c r="B133" s="11" t="n"/>
      <c r="C133" s="11" t="n"/>
      <c r="D133" s="11" t="n"/>
      <c r="E133" s="11" t="n"/>
      <c r="F133" s="18" t="n"/>
      <c r="G133" s="18" t="n"/>
      <c r="H133" s="18" t="n"/>
      <c r="I133" s="18" t="n"/>
      <c r="J133" s="23">
        <f>IF(F133="","",F133+G133+H133+I133)</f>
        <v/>
      </c>
      <c r="K133">
        <f>IF(F133="","",IF(D133&lt;&gt;"","B2B","B2C"))</f>
        <v/>
      </c>
      <c r="L133">
        <f>IF(A133="","",TEXT(A133,"mmm-yy"))</f>
        <v/>
      </c>
    </row>
    <row r="134">
      <c r="A134" s="14" t="n"/>
      <c r="B134" s="11" t="n"/>
      <c r="C134" s="11" t="n"/>
      <c r="D134" s="11" t="n"/>
      <c r="E134" s="11" t="n"/>
      <c r="F134" s="18" t="n"/>
      <c r="G134" s="18" t="n"/>
      <c r="H134" s="18" t="n"/>
      <c r="I134" s="18" t="n"/>
      <c r="J134" s="23">
        <f>IF(F134="","",F134+G134+H134+I134)</f>
        <v/>
      </c>
      <c r="K134">
        <f>IF(F134="","",IF(D134&lt;&gt;"","B2B","B2C"))</f>
        <v/>
      </c>
      <c r="L134">
        <f>IF(A134="","",TEXT(A134,"mmm-yy"))</f>
        <v/>
      </c>
    </row>
    <row r="135">
      <c r="A135" s="14" t="n"/>
      <c r="B135" s="11" t="n"/>
      <c r="C135" s="11" t="n"/>
      <c r="D135" s="11" t="n"/>
      <c r="E135" s="11" t="n"/>
      <c r="F135" s="18" t="n"/>
      <c r="G135" s="18" t="n"/>
      <c r="H135" s="18" t="n"/>
      <c r="I135" s="18" t="n"/>
      <c r="J135" s="23">
        <f>IF(F135="","",F135+G135+H135+I135)</f>
        <v/>
      </c>
      <c r="K135">
        <f>IF(F135="","",IF(D135&lt;&gt;"","B2B","B2C"))</f>
        <v/>
      </c>
      <c r="L135">
        <f>IF(A135="","",TEXT(A135,"mmm-yy"))</f>
        <v/>
      </c>
    </row>
    <row r="136">
      <c r="A136" s="14" t="n"/>
      <c r="B136" s="11" t="n"/>
      <c r="C136" s="11" t="n"/>
      <c r="D136" s="11" t="n"/>
      <c r="E136" s="11" t="n"/>
      <c r="F136" s="18" t="n"/>
      <c r="G136" s="18" t="n"/>
      <c r="H136" s="18" t="n"/>
      <c r="I136" s="18" t="n"/>
      <c r="J136" s="23">
        <f>IF(F136="","",F136+G136+H136+I136)</f>
        <v/>
      </c>
      <c r="K136">
        <f>IF(F136="","",IF(D136&lt;&gt;"","B2B","B2C"))</f>
        <v/>
      </c>
      <c r="L136">
        <f>IF(A136="","",TEXT(A136,"mmm-yy"))</f>
        <v/>
      </c>
    </row>
    <row r="137">
      <c r="A137" s="14" t="n"/>
      <c r="B137" s="11" t="n"/>
      <c r="C137" s="11" t="n"/>
      <c r="D137" s="11" t="n"/>
      <c r="E137" s="11" t="n"/>
      <c r="F137" s="18" t="n"/>
      <c r="G137" s="18" t="n"/>
      <c r="H137" s="18" t="n"/>
      <c r="I137" s="18" t="n"/>
      <c r="J137" s="23">
        <f>IF(F137="","",F137+G137+H137+I137)</f>
        <v/>
      </c>
      <c r="K137">
        <f>IF(F137="","",IF(D137&lt;&gt;"","B2B","B2C"))</f>
        <v/>
      </c>
      <c r="L137">
        <f>IF(A137="","",TEXT(A137,"mmm-yy"))</f>
        <v/>
      </c>
    </row>
    <row r="138">
      <c r="A138" s="14" t="n"/>
      <c r="B138" s="11" t="n"/>
      <c r="C138" s="11" t="n"/>
      <c r="D138" s="11" t="n"/>
      <c r="E138" s="11" t="n"/>
      <c r="F138" s="18" t="n"/>
      <c r="G138" s="18" t="n"/>
      <c r="H138" s="18" t="n"/>
      <c r="I138" s="18" t="n"/>
      <c r="J138" s="23">
        <f>IF(F138="","",F138+G138+H138+I138)</f>
        <v/>
      </c>
      <c r="K138">
        <f>IF(F138="","",IF(D138&lt;&gt;"","B2B","B2C"))</f>
        <v/>
      </c>
      <c r="L138">
        <f>IF(A138="","",TEXT(A138,"mmm-yy"))</f>
        <v/>
      </c>
    </row>
    <row r="139">
      <c r="A139" s="14" t="n"/>
      <c r="B139" s="11" t="n"/>
      <c r="C139" s="11" t="n"/>
      <c r="D139" s="11" t="n"/>
      <c r="E139" s="11" t="n"/>
      <c r="F139" s="18" t="n"/>
      <c r="G139" s="18" t="n"/>
      <c r="H139" s="18" t="n"/>
      <c r="I139" s="18" t="n"/>
      <c r="J139" s="23">
        <f>IF(F139="","",F139+G139+H139+I139)</f>
        <v/>
      </c>
      <c r="K139">
        <f>IF(F139="","",IF(D139&lt;&gt;"","B2B","B2C"))</f>
        <v/>
      </c>
      <c r="L139">
        <f>IF(A139="","",TEXT(A139,"mmm-yy"))</f>
        <v/>
      </c>
    </row>
    <row r="140">
      <c r="A140" s="14" t="n"/>
      <c r="B140" s="11" t="n"/>
      <c r="C140" s="11" t="n"/>
      <c r="D140" s="11" t="n"/>
      <c r="E140" s="11" t="n"/>
      <c r="F140" s="18" t="n"/>
      <c r="G140" s="18" t="n"/>
      <c r="H140" s="18" t="n"/>
      <c r="I140" s="18" t="n"/>
      <c r="J140" s="23">
        <f>IF(F140="","",F140+G140+H140+I140)</f>
        <v/>
      </c>
      <c r="K140">
        <f>IF(F140="","",IF(D140&lt;&gt;"","B2B","B2C"))</f>
        <v/>
      </c>
      <c r="L140">
        <f>IF(A140="","",TEXT(A140,"mmm-yy"))</f>
        <v/>
      </c>
    </row>
    <row r="141">
      <c r="A141" s="14" t="n"/>
      <c r="B141" s="11" t="n"/>
      <c r="C141" s="11" t="n"/>
      <c r="D141" s="11" t="n"/>
      <c r="E141" s="11" t="n"/>
      <c r="F141" s="18" t="n"/>
      <c r="G141" s="18" t="n"/>
      <c r="H141" s="18" t="n"/>
      <c r="I141" s="18" t="n"/>
      <c r="J141" s="23">
        <f>IF(F141="","",F141+G141+H141+I141)</f>
        <v/>
      </c>
      <c r="K141">
        <f>IF(F141="","",IF(D141&lt;&gt;"","B2B","B2C"))</f>
        <v/>
      </c>
      <c r="L141">
        <f>IF(A141="","",TEXT(A141,"mmm-yy"))</f>
        <v/>
      </c>
    </row>
    <row r="142">
      <c r="A142" s="14" t="n"/>
      <c r="B142" s="11" t="n"/>
      <c r="C142" s="11" t="n"/>
      <c r="D142" s="11" t="n"/>
      <c r="E142" s="11" t="n"/>
      <c r="F142" s="18" t="n"/>
      <c r="G142" s="18" t="n"/>
      <c r="H142" s="18" t="n"/>
      <c r="I142" s="18" t="n"/>
      <c r="J142" s="23">
        <f>IF(F142="","",F142+G142+H142+I142)</f>
        <v/>
      </c>
      <c r="K142">
        <f>IF(F142="","",IF(D142&lt;&gt;"","B2B","B2C"))</f>
        <v/>
      </c>
      <c r="L142">
        <f>IF(A142="","",TEXT(A142,"mmm-yy"))</f>
        <v/>
      </c>
    </row>
    <row r="143">
      <c r="A143" s="14" t="n"/>
      <c r="B143" s="11" t="n"/>
      <c r="C143" s="11" t="n"/>
      <c r="D143" s="11" t="n"/>
      <c r="E143" s="11" t="n"/>
      <c r="F143" s="18" t="n"/>
      <c r="G143" s="18" t="n"/>
      <c r="H143" s="18" t="n"/>
      <c r="I143" s="18" t="n"/>
      <c r="J143" s="23">
        <f>IF(F143="","",F143+G143+H143+I143)</f>
        <v/>
      </c>
      <c r="K143">
        <f>IF(F143="","",IF(D143&lt;&gt;"","B2B","B2C"))</f>
        <v/>
      </c>
      <c r="L143">
        <f>IF(A143="","",TEXT(A143,"mmm-yy"))</f>
        <v/>
      </c>
    </row>
    <row r="144">
      <c r="A144" s="14" t="n"/>
      <c r="B144" s="11" t="n"/>
      <c r="C144" s="11" t="n"/>
      <c r="D144" s="11" t="n"/>
      <c r="E144" s="11" t="n"/>
      <c r="F144" s="18" t="n"/>
      <c r="G144" s="18" t="n"/>
      <c r="H144" s="18" t="n"/>
      <c r="I144" s="18" t="n"/>
      <c r="J144" s="23">
        <f>IF(F144="","",F144+G144+H144+I144)</f>
        <v/>
      </c>
      <c r="K144">
        <f>IF(F144="","",IF(D144&lt;&gt;"","B2B","B2C"))</f>
        <v/>
      </c>
      <c r="L144">
        <f>IF(A144="","",TEXT(A144,"mmm-yy"))</f>
        <v/>
      </c>
    </row>
    <row r="145">
      <c r="A145" s="14" t="n"/>
      <c r="B145" s="11" t="n"/>
      <c r="C145" s="11" t="n"/>
      <c r="D145" s="11" t="n"/>
      <c r="E145" s="11" t="n"/>
      <c r="F145" s="18" t="n"/>
      <c r="G145" s="18" t="n"/>
      <c r="H145" s="18" t="n"/>
      <c r="I145" s="18" t="n"/>
      <c r="J145" s="23">
        <f>IF(F145="","",F145+G145+H145+I145)</f>
        <v/>
      </c>
      <c r="K145">
        <f>IF(F145="","",IF(D145&lt;&gt;"","B2B","B2C"))</f>
        <v/>
      </c>
      <c r="L145">
        <f>IF(A145="","",TEXT(A145,"mmm-yy"))</f>
        <v/>
      </c>
    </row>
    <row r="146">
      <c r="A146" s="14" t="n"/>
      <c r="B146" s="11" t="n"/>
      <c r="C146" s="11" t="n"/>
      <c r="D146" s="11" t="n"/>
      <c r="E146" s="11" t="n"/>
      <c r="F146" s="18" t="n"/>
      <c r="G146" s="18" t="n"/>
      <c r="H146" s="18" t="n"/>
      <c r="I146" s="18" t="n"/>
      <c r="J146" s="23">
        <f>IF(F146="","",F146+G146+H146+I146)</f>
        <v/>
      </c>
      <c r="K146">
        <f>IF(F146="","",IF(D146&lt;&gt;"","B2B","B2C"))</f>
        <v/>
      </c>
      <c r="L146">
        <f>IF(A146="","",TEXT(A146,"mmm-yy"))</f>
        <v/>
      </c>
    </row>
    <row r="147">
      <c r="A147" s="14" t="n"/>
      <c r="B147" s="11" t="n"/>
      <c r="C147" s="11" t="n"/>
      <c r="D147" s="11" t="n"/>
      <c r="E147" s="11" t="n"/>
      <c r="F147" s="18" t="n"/>
      <c r="G147" s="18" t="n"/>
      <c r="H147" s="18" t="n"/>
      <c r="I147" s="18" t="n"/>
      <c r="J147" s="23">
        <f>IF(F147="","",F147+G147+H147+I147)</f>
        <v/>
      </c>
      <c r="K147">
        <f>IF(F147="","",IF(D147&lt;&gt;"","B2B","B2C"))</f>
        <v/>
      </c>
      <c r="L147">
        <f>IF(A147="","",TEXT(A147,"mmm-yy"))</f>
        <v/>
      </c>
    </row>
    <row r="148">
      <c r="A148" s="14" t="n"/>
      <c r="B148" s="11" t="n"/>
      <c r="C148" s="11" t="n"/>
      <c r="D148" s="11" t="n"/>
      <c r="E148" s="11" t="n"/>
      <c r="F148" s="18" t="n"/>
      <c r="G148" s="18" t="n"/>
      <c r="H148" s="18" t="n"/>
      <c r="I148" s="18" t="n"/>
      <c r="J148" s="23">
        <f>IF(F148="","",F148+G148+H148+I148)</f>
        <v/>
      </c>
      <c r="K148">
        <f>IF(F148="","",IF(D148&lt;&gt;"","B2B","B2C"))</f>
        <v/>
      </c>
      <c r="L148">
        <f>IF(A148="","",TEXT(A148,"mmm-yy"))</f>
        <v/>
      </c>
    </row>
    <row r="149">
      <c r="A149" s="14" t="n"/>
      <c r="B149" s="11" t="n"/>
      <c r="C149" s="11" t="n"/>
      <c r="D149" s="11" t="n"/>
      <c r="E149" s="11" t="n"/>
      <c r="F149" s="18" t="n"/>
      <c r="G149" s="18" t="n"/>
      <c r="H149" s="18" t="n"/>
      <c r="I149" s="18" t="n"/>
      <c r="J149" s="23">
        <f>IF(F149="","",F149+G149+H149+I149)</f>
        <v/>
      </c>
      <c r="K149">
        <f>IF(F149="","",IF(D149&lt;&gt;"","B2B","B2C"))</f>
        <v/>
      </c>
      <c r="L149">
        <f>IF(A149="","",TEXT(A149,"mmm-yy"))</f>
        <v/>
      </c>
    </row>
    <row r="150">
      <c r="A150" s="14" t="n"/>
      <c r="B150" s="11" t="n"/>
      <c r="C150" s="11" t="n"/>
      <c r="D150" s="11" t="n"/>
      <c r="E150" s="11" t="n"/>
      <c r="F150" s="18" t="n"/>
      <c r="G150" s="18" t="n"/>
      <c r="H150" s="18" t="n"/>
      <c r="I150" s="18" t="n"/>
      <c r="J150" s="23">
        <f>IF(F150="","",F150+G150+H150+I150)</f>
        <v/>
      </c>
      <c r="K150">
        <f>IF(F150="","",IF(D150&lt;&gt;"","B2B","B2C"))</f>
        <v/>
      </c>
      <c r="L150">
        <f>IF(A150="","",TEXT(A150,"mmm-yy"))</f>
        <v/>
      </c>
    </row>
    <row r="151">
      <c r="A151" s="14" t="n"/>
      <c r="B151" s="11" t="n"/>
      <c r="C151" s="11" t="n"/>
      <c r="D151" s="11" t="n"/>
      <c r="E151" s="11" t="n"/>
      <c r="F151" s="18" t="n"/>
      <c r="G151" s="18" t="n"/>
      <c r="H151" s="18" t="n"/>
      <c r="I151" s="18" t="n"/>
      <c r="J151" s="23">
        <f>IF(F151="","",F151+G151+H151+I151)</f>
        <v/>
      </c>
      <c r="K151">
        <f>IF(F151="","",IF(D151&lt;&gt;"","B2B","B2C"))</f>
        <v/>
      </c>
      <c r="L151">
        <f>IF(A151="","",TEXT(A151,"mmm-yy"))</f>
        <v/>
      </c>
    </row>
    <row r="152">
      <c r="A152" s="14" t="n"/>
      <c r="B152" s="11" t="n"/>
      <c r="C152" s="11" t="n"/>
      <c r="D152" s="11" t="n"/>
      <c r="E152" s="11" t="n"/>
      <c r="F152" s="18" t="n"/>
      <c r="G152" s="18" t="n"/>
      <c r="H152" s="18" t="n"/>
      <c r="I152" s="18" t="n"/>
      <c r="J152" s="23">
        <f>IF(F152="","",F152+G152+H152+I152)</f>
        <v/>
      </c>
      <c r="K152">
        <f>IF(F152="","",IF(D152&lt;&gt;"","B2B","B2C"))</f>
        <v/>
      </c>
      <c r="L152">
        <f>IF(A152="","",TEXT(A152,"mmm-yy"))</f>
        <v/>
      </c>
    </row>
    <row r="153">
      <c r="A153" s="14" t="n"/>
      <c r="B153" s="11" t="n"/>
      <c r="C153" s="11" t="n"/>
      <c r="D153" s="11" t="n"/>
      <c r="E153" s="11" t="n"/>
      <c r="F153" s="18" t="n"/>
      <c r="G153" s="18" t="n"/>
      <c r="H153" s="18" t="n"/>
      <c r="I153" s="18" t="n"/>
      <c r="J153" s="23">
        <f>IF(F153="","",F153+G153+H153+I153)</f>
        <v/>
      </c>
      <c r="K153">
        <f>IF(F153="","",IF(D153&lt;&gt;"","B2B","B2C"))</f>
        <v/>
      </c>
      <c r="L153">
        <f>IF(A153="","",TEXT(A153,"mmm-yy"))</f>
        <v/>
      </c>
    </row>
    <row r="154">
      <c r="A154" s="14" t="n"/>
      <c r="B154" s="11" t="n"/>
      <c r="C154" s="11" t="n"/>
      <c r="D154" s="11" t="n"/>
      <c r="E154" s="11" t="n"/>
      <c r="F154" s="18" t="n"/>
      <c r="G154" s="18" t="n"/>
      <c r="H154" s="18" t="n"/>
      <c r="I154" s="18" t="n"/>
      <c r="J154" s="23">
        <f>IF(F154="","",F154+G154+H154+I154)</f>
        <v/>
      </c>
      <c r="K154">
        <f>IF(F154="","",IF(D154&lt;&gt;"","B2B","B2C"))</f>
        <v/>
      </c>
      <c r="L154">
        <f>IF(A154="","",TEXT(A154,"mmm-yy"))</f>
        <v/>
      </c>
    </row>
    <row r="155">
      <c r="A155" s="14" t="n"/>
      <c r="B155" s="11" t="n"/>
      <c r="C155" s="11" t="n"/>
      <c r="D155" s="11" t="n"/>
      <c r="E155" s="11" t="n"/>
      <c r="F155" s="18" t="n"/>
      <c r="G155" s="18" t="n"/>
      <c r="H155" s="18" t="n"/>
      <c r="I155" s="18" t="n"/>
      <c r="J155" s="23">
        <f>IF(F155="","",F155+G155+H155+I155)</f>
        <v/>
      </c>
      <c r="K155">
        <f>IF(F155="","",IF(D155&lt;&gt;"","B2B","B2C"))</f>
        <v/>
      </c>
      <c r="L155">
        <f>IF(A155="","",TEXT(A155,"mmm-yy"))</f>
        <v/>
      </c>
    </row>
    <row r="156">
      <c r="A156" s="14" t="n"/>
      <c r="B156" s="11" t="n"/>
      <c r="C156" s="11" t="n"/>
      <c r="D156" s="11" t="n"/>
      <c r="E156" s="11" t="n"/>
      <c r="F156" s="18" t="n"/>
      <c r="G156" s="18" t="n"/>
      <c r="H156" s="18" t="n"/>
      <c r="I156" s="18" t="n"/>
      <c r="J156" s="23">
        <f>IF(F156="","",F156+G156+H156+I156)</f>
        <v/>
      </c>
      <c r="K156">
        <f>IF(F156="","",IF(D156&lt;&gt;"","B2B","B2C"))</f>
        <v/>
      </c>
      <c r="L156">
        <f>IF(A156="","",TEXT(A156,"mmm-yy"))</f>
        <v/>
      </c>
    </row>
    <row r="157">
      <c r="A157" s="14" t="n"/>
      <c r="B157" s="11" t="n"/>
      <c r="C157" s="11" t="n"/>
      <c r="D157" s="11" t="n"/>
      <c r="E157" s="11" t="n"/>
      <c r="F157" s="18" t="n"/>
      <c r="G157" s="18" t="n"/>
      <c r="H157" s="18" t="n"/>
      <c r="I157" s="18" t="n"/>
      <c r="J157" s="23">
        <f>IF(F157="","",F157+G157+H157+I157)</f>
        <v/>
      </c>
      <c r="K157">
        <f>IF(F157="","",IF(D157&lt;&gt;"","B2B","B2C"))</f>
        <v/>
      </c>
      <c r="L157">
        <f>IF(A157="","",TEXT(A157,"mmm-yy"))</f>
        <v/>
      </c>
    </row>
    <row r="158">
      <c r="A158" s="14" t="n"/>
      <c r="B158" s="11" t="n"/>
      <c r="C158" s="11" t="n"/>
      <c r="D158" s="11" t="n"/>
      <c r="E158" s="11" t="n"/>
      <c r="F158" s="18" t="n"/>
      <c r="G158" s="18" t="n"/>
      <c r="H158" s="18" t="n"/>
      <c r="I158" s="18" t="n"/>
      <c r="J158" s="23">
        <f>IF(F158="","",F158+G158+H158+I158)</f>
        <v/>
      </c>
      <c r="K158">
        <f>IF(F158="","",IF(D158&lt;&gt;"","B2B","B2C"))</f>
        <v/>
      </c>
      <c r="L158">
        <f>IF(A158="","",TEXT(A158,"mmm-yy"))</f>
        <v/>
      </c>
    </row>
    <row r="159">
      <c r="A159" s="14" t="n"/>
      <c r="B159" s="11" t="n"/>
      <c r="C159" s="11" t="n"/>
      <c r="D159" s="11" t="n"/>
      <c r="E159" s="11" t="n"/>
      <c r="F159" s="18" t="n"/>
      <c r="G159" s="18" t="n"/>
      <c r="H159" s="18" t="n"/>
      <c r="I159" s="18" t="n"/>
      <c r="J159" s="23">
        <f>IF(F159="","",F159+G159+H159+I159)</f>
        <v/>
      </c>
      <c r="K159">
        <f>IF(F159="","",IF(D159&lt;&gt;"","B2B","B2C"))</f>
        <v/>
      </c>
      <c r="L159">
        <f>IF(A159="","",TEXT(A159,"mmm-yy"))</f>
        <v/>
      </c>
    </row>
    <row r="160">
      <c r="A160" s="14" t="n"/>
      <c r="B160" s="11" t="n"/>
      <c r="C160" s="11" t="n"/>
      <c r="D160" s="11" t="n"/>
      <c r="E160" s="11" t="n"/>
      <c r="F160" s="18" t="n"/>
      <c r="G160" s="18" t="n"/>
      <c r="H160" s="18" t="n"/>
      <c r="I160" s="18" t="n"/>
      <c r="J160" s="23">
        <f>IF(F160="","",F160+G160+H160+I160)</f>
        <v/>
      </c>
      <c r="K160">
        <f>IF(F160="","",IF(D160&lt;&gt;"","B2B","B2C"))</f>
        <v/>
      </c>
      <c r="L160">
        <f>IF(A160="","",TEXT(A160,"mmm-yy"))</f>
        <v/>
      </c>
    </row>
    <row r="161">
      <c r="A161" s="14" t="n"/>
      <c r="B161" s="11" t="n"/>
      <c r="C161" s="11" t="n"/>
      <c r="D161" s="11" t="n"/>
      <c r="E161" s="11" t="n"/>
      <c r="F161" s="18" t="n"/>
      <c r="G161" s="18" t="n"/>
      <c r="H161" s="18" t="n"/>
      <c r="I161" s="18" t="n"/>
      <c r="J161" s="23">
        <f>IF(F161="","",F161+G161+H161+I161)</f>
        <v/>
      </c>
      <c r="K161">
        <f>IF(F161="","",IF(D161&lt;&gt;"","B2B","B2C"))</f>
        <v/>
      </c>
      <c r="L161">
        <f>IF(A161="","",TEXT(A161,"mmm-yy"))</f>
        <v/>
      </c>
    </row>
    <row r="162">
      <c r="A162" s="14" t="n"/>
      <c r="B162" s="11" t="n"/>
      <c r="C162" s="11" t="n"/>
      <c r="D162" s="11" t="n"/>
      <c r="E162" s="11" t="n"/>
      <c r="F162" s="18" t="n"/>
      <c r="G162" s="18" t="n"/>
      <c r="H162" s="18" t="n"/>
      <c r="I162" s="18" t="n"/>
      <c r="J162" s="23">
        <f>IF(F162="","",F162+G162+H162+I162)</f>
        <v/>
      </c>
      <c r="K162">
        <f>IF(F162="","",IF(D162&lt;&gt;"","B2B","B2C"))</f>
        <v/>
      </c>
      <c r="L162">
        <f>IF(A162="","",TEXT(A162,"mmm-yy"))</f>
        <v/>
      </c>
    </row>
    <row r="163">
      <c r="A163" s="14" t="n"/>
      <c r="B163" s="11" t="n"/>
      <c r="C163" s="11" t="n"/>
      <c r="D163" s="11" t="n"/>
      <c r="E163" s="11" t="n"/>
      <c r="F163" s="18" t="n"/>
      <c r="G163" s="18" t="n"/>
      <c r="H163" s="18" t="n"/>
      <c r="I163" s="18" t="n"/>
      <c r="J163" s="23">
        <f>IF(F163="","",F163+G163+H163+I163)</f>
        <v/>
      </c>
      <c r="K163">
        <f>IF(F163="","",IF(D163&lt;&gt;"","B2B","B2C"))</f>
        <v/>
      </c>
      <c r="L163">
        <f>IF(A163="","",TEXT(A163,"mmm-yy"))</f>
        <v/>
      </c>
    </row>
    <row r="164">
      <c r="A164" s="14" t="n"/>
      <c r="B164" s="11" t="n"/>
      <c r="C164" s="11" t="n"/>
      <c r="D164" s="11" t="n"/>
      <c r="E164" s="11" t="n"/>
      <c r="F164" s="18" t="n"/>
      <c r="G164" s="18" t="n"/>
      <c r="H164" s="18" t="n"/>
      <c r="I164" s="18" t="n"/>
      <c r="J164" s="23">
        <f>IF(F164="","",F164+G164+H164+I164)</f>
        <v/>
      </c>
      <c r="K164">
        <f>IF(F164="","",IF(D164&lt;&gt;"","B2B","B2C"))</f>
        <v/>
      </c>
      <c r="L164">
        <f>IF(A164="","",TEXT(A164,"mmm-yy"))</f>
        <v/>
      </c>
    </row>
    <row r="165">
      <c r="A165" s="14" t="n"/>
      <c r="B165" s="11" t="n"/>
      <c r="C165" s="11" t="n"/>
      <c r="D165" s="11" t="n"/>
      <c r="E165" s="11" t="n"/>
      <c r="F165" s="18" t="n"/>
      <c r="G165" s="18" t="n"/>
      <c r="H165" s="18" t="n"/>
      <c r="I165" s="18" t="n"/>
      <c r="J165" s="23">
        <f>IF(F165="","",F165+G165+H165+I165)</f>
        <v/>
      </c>
      <c r="K165">
        <f>IF(F165="","",IF(D165&lt;&gt;"","B2B","B2C"))</f>
        <v/>
      </c>
      <c r="L165">
        <f>IF(A165="","",TEXT(A165,"mmm-yy"))</f>
        <v/>
      </c>
    </row>
    <row r="166">
      <c r="A166" s="14" t="n"/>
      <c r="B166" s="11" t="n"/>
      <c r="C166" s="11" t="n"/>
      <c r="D166" s="11" t="n"/>
      <c r="E166" s="11" t="n"/>
      <c r="F166" s="18" t="n"/>
      <c r="G166" s="18" t="n"/>
      <c r="H166" s="18" t="n"/>
      <c r="I166" s="18" t="n"/>
      <c r="J166" s="23">
        <f>IF(F166="","",F166+G166+H166+I166)</f>
        <v/>
      </c>
      <c r="K166">
        <f>IF(F166="","",IF(D166&lt;&gt;"","B2B","B2C"))</f>
        <v/>
      </c>
      <c r="L166">
        <f>IF(A166="","",TEXT(A166,"mmm-yy"))</f>
        <v/>
      </c>
    </row>
    <row r="167">
      <c r="A167" s="14" t="n"/>
      <c r="B167" s="11" t="n"/>
      <c r="C167" s="11" t="n"/>
      <c r="D167" s="11" t="n"/>
      <c r="E167" s="11" t="n"/>
      <c r="F167" s="18" t="n"/>
      <c r="G167" s="18" t="n"/>
      <c r="H167" s="18" t="n"/>
      <c r="I167" s="18" t="n"/>
      <c r="J167" s="23">
        <f>IF(F167="","",F167+G167+H167+I167)</f>
        <v/>
      </c>
      <c r="K167">
        <f>IF(F167="","",IF(D167&lt;&gt;"","B2B","B2C"))</f>
        <v/>
      </c>
      <c r="L167">
        <f>IF(A167="","",TEXT(A167,"mmm-yy"))</f>
        <v/>
      </c>
    </row>
    <row r="168">
      <c r="A168" s="14" t="n"/>
      <c r="B168" s="11" t="n"/>
      <c r="C168" s="11" t="n"/>
      <c r="D168" s="11" t="n"/>
      <c r="E168" s="11" t="n"/>
      <c r="F168" s="18" t="n"/>
      <c r="G168" s="18" t="n"/>
      <c r="H168" s="18" t="n"/>
      <c r="I168" s="18" t="n"/>
      <c r="J168" s="23">
        <f>IF(F168="","",F168+G168+H168+I168)</f>
        <v/>
      </c>
      <c r="K168">
        <f>IF(F168="","",IF(D168&lt;&gt;"","B2B","B2C"))</f>
        <v/>
      </c>
      <c r="L168">
        <f>IF(A168="","",TEXT(A168,"mmm-yy"))</f>
        <v/>
      </c>
    </row>
    <row r="169">
      <c r="A169" s="14" t="n"/>
      <c r="B169" s="11" t="n"/>
      <c r="C169" s="11" t="n"/>
      <c r="D169" s="11" t="n"/>
      <c r="E169" s="11" t="n"/>
      <c r="F169" s="18" t="n"/>
      <c r="G169" s="18" t="n"/>
      <c r="H169" s="18" t="n"/>
      <c r="I169" s="18" t="n"/>
      <c r="J169" s="23">
        <f>IF(F169="","",F169+G169+H169+I169)</f>
        <v/>
      </c>
      <c r="K169">
        <f>IF(F169="","",IF(D169&lt;&gt;"","B2B","B2C"))</f>
        <v/>
      </c>
      <c r="L169">
        <f>IF(A169="","",TEXT(A169,"mmm-yy"))</f>
        <v/>
      </c>
    </row>
    <row r="170">
      <c r="A170" s="14" t="n"/>
      <c r="B170" s="11" t="n"/>
      <c r="C170" s="11" t="n"/>
      <c r="D170" s="11" t="n"/>
      <c r="E170" s="11" t="n"/>
      <c r="F170" s="18" t="n"/>
      <c r="G170" s="18" t="n"/>
      <c r="H170" s="18" t="n"/>
      <c r="I170" s="18" t="n"/>
      <c r="J170" s="23">
        <f>IF(F170="","",F170+G170+H170+I170)</f>
        <v/>
      </c>
      <c r="K170">
        <f>IF(F170="","",IF(D170&lt;&gt;"","B2B","B2C"))</f>
        <v/>
      </c>
      <c r="L170">
        <f>IF(A170="","",TEXT(A170,"mmm-yy"))</f>
        <v/>
      </c>
    </row>
    <row r="171">
      <c r="A171" s="14" t="n"/>
      <c r="B171" s="11" t="n"/>
      <c r="C171" s="11" t="n"/>
      <c r="D171" s="11" t="n"/>
      <c r="E171" s="11" t="n"/>
      <c r="F171" s="18" t="n"/>
      <c r="G171" s="18" t="n"/>
      <c r="H171" s="18" t="n"/>
      <c r="I171" s="18" t="n"/>
      <c r="J171" s="23">
        <f>IF(F171="","",F171+G171+H171+I171)</f>
        <v/>
      </c>
      <c r="K171">
        <f>IF(F171="","",IF(D171&lt;&gt;"","B2B","B2C"))</f>
        <v/>
      </c>
      <c r="L171">
        <f>IF(A171="","",TEXT(A171,"mmm-yy"))</f>
        <v/>
      </c>
    </row>
    <row r="172">
      <c r="A172" s="14" t="n"/>
      <c r="B172" s="11" t="n"/>
      <c r="C172" s="11" t="n"/>
      <c r="D172" s="11" t="n"/>
      <c r="E172" s="11" t="n"/>
      <c r="F172" s="18" t="n"/>
      <c r="G172" s="18" t="n"/>
      <c r="H172" s="18" t="n"/>
      <c r="I172" s="18" t="n"/>
      <c r="J172" s="23">
        <f>IF(F172="","",F172+G172+H172+I172)</f>
        <v/>
      </c>
      <c r="K172">
        <f>IF(F172="","",IF(D172&lt;&gt;"","B2B","B2C"))</f>
        <v/>
      </c>
      <c r="L172">
        <f>IF(A172="","",TEXT(A172,"mmm-yy"))</f>
        <v/>
      </c>
    </row>
    <row r="173">
      <c r="A173" s="14" t="n"/>
      <c r="B173" s="11" t="n"/>
      <c r="C173" s="11" t="n"/>
      <c r="D173" s="11" t="n"/>
      <c r="E173" s="11" t="n"/>
      <c r="F173" s="18" t="n"/>
      <c r="G173" s="18" t="n"/>
      <c r="H173" s="18" t="n"/>
      <c r="I173" s="18" t="n"/>
      <c r="J173" s="23">
        <f>IF(F173="","",F173+G173+H173+I173)</f>
        <v/>
      </c>
      <c r="K173">
        <f>IF(F173="","",IF(D173&lt;&gt;"","B2B","B2C"))</f>
        <v/>
      </c>
      <c r="L173">
        <f>IF(A173="","",TEXT(A173,"mmm-yy"))</f>
        <v/>
      </c>
    </row>
    <row r="174">
      <c r="A174" s="14" t="n"/>
      <c r="B174" s="11" t="n"/>
      <c r="C174" s="11" t="n"/>
      <c r="D174" s="11" t="n"/>
      <c r="E174" s="11" t="n"/>
      <c r="F174" s="18" t="n"/>
      <c r="G174" s="18" t="n"/>
      <c r="H174" s="18" t="n"/>
      <c r="I174" s="18" t="n"/>
      <c r="J174" s="23">
        <f>IF(F174="","",F174+G174+H174+I174)</f>
        <v/>
      </c>
      <c r="K174">
        <f>IF(F174="","",IF(D174&lt;&gt;"","B2B","B2C"))</f>
        <v/>
      </c>
      <c r="L174">
        <f>IF(A174="","",TEXT(A174,"mmm-yy"))</f>
        <v/>
      </c>
    </row>
    <row r="175">
      <c r="A175" s="14" t="n"/>
      <c r="B175" s="11" t="n"/>
      <c r="C175" s="11" t="n"/>
      <c r="D175" s="11" t="n"/>
      <c r="E175" s="11" t="n"/>
      <c r="F175" s="18" t="n"/>
      <c r="G175" s="18" t="n"/>
      <c r="H175" s="18" t="n"/>
      <c r="I175" s="18" t="n"/>
      <c r="J175" s="23">
        <f>IF(F175="","",F175+G175+H175+I175)</f>
        <v/>
      </c>
      <c r="K175">
        <f>IF(F175="","",IF(D175&lt;&gt;"","B2B","B2C"))</f>
        <v/>
      </c>
      <c r="L175">
        <f>IF(A175="","",TEXT(A175,"mmm-yy"))</f>
        <v/>
      </c>
    </row>
    <row r="176">
      <c r="A176" s="14" t="n"/>
      <c r="B176" s="11" t="n"/>
      <c r="C176" s="11" t="n"/>
      <c r="D176" s="11" t="n"/>
      <c r="E176" s="11" t="n"/>
      <c r="F176" s="18" t="n"/>
      <c r="G176" s="18" t="n"/>
      <c r="H176" s="18" t="n"/>
      <c r="I176" s="18" t="n"/>
      <c r="J176" s="23">
        <f>IF(F176="","",F176+G176+H176+I176)</f>
        <v/>
      </c>
      <c r="K176">
        <f>IF(F176="","",IF(D176&lt;&gt;"","B2B","B2C"))</f>
        <v/>
      </c>
      <c r="L176">
        <f>IF(A176="","",TEXT(A176,"mmm-yy"))</f>
        <v/>
      </c>
    </row>
    <row r="177">
      <c r="A177" s="14" t="n"/>
      <c r="B177" s="11" t="n"/>
      <c r="C177" s="11" t="n"/>
      <c r="D177" s="11" t="n"/>
      <c r="E177" s="11" t="n"/>
      <c r="F177" s="18" t="n"/>
      <c r="G177" s="18" t="n"/>
      <c r="H177" s="18" t="n"/>
      <c r="I177" s="18" t="n"/>
      <c r="J177" s="23">
        <f>IF(F177="","",F177+G177+H177+I177)</f>
        <v/>
      </c>
      <c r="K177">
        <f>IF(F177="","",IF(D177&lt;&gt;"","B2B","B2C"))</f>
        <v/>
      </c>
      <c r="L177">
        <f>IF(A177="","",TEXT(A177,"mmm-yy"))</f>
        <v/>
      </c>
    </row>
    <row r="178">
      <c r="A178" s="14" t="n"/>
      <c r="B178" s="11" t="n"/>
      <c r="C178" s="11" t="n"/>
      <c r="D178" s="11" t="n"/>
      <c r="E178" s="11" t="n"/>
      <c r="F178" s="18" t="n"/>
      <c r="G178" s="18" t="n"/>
      <c r="H178" s="18" t="n"/>
      <c r="I178" s="18" t="n"/>
      <c r="J178" s="23">
        <f>IF(F178="","",F178+G178+H178+I178)</f>
        <v/>
      </c>
      <c r="K178">
        <f>IF(F178="","",IF(D178&lt;&gt;"","B2B","B2C"))</f>
        <v/>
      </c>
      <c r="L178">
        <f>IF(A178="","",TEXT(A178,"mmm-yy"))</f>
        <v/>
      </c>
    </row>
    <row r="179">
      <c r="A179" s="14" t="n"/>
      <c r="B179" s="11" t="n"/>
      <c r="C179" s="11" t="n"/>
      <c r="D179" s="11" t="n"/>
      <c r="E179" s="11" t="n"/>
      <c r="F179" s="18" t="n"/>
      <c r="G179" s="18" t="n"/>
      <c r="H179" s="18" t="n"/>
      <c r="I179" s="18" t="n"/>
      <c r="J179" s="23">
        <f>IF(F179="","",F179+G179+H179+I179)</f>
        <v/>
      </c>
      <c r="K179">
        <f>IF(F179="","",IF(D179&lt;&gt;"","B2B","B2C"))</f>
        <v/>
      </c>
      <c r="L179">
        <f>IF(A179="","",TEXT(A179,"mmm-yy"))</f>
        <v/>
      </c>
    </row>
    <row r="180">
      <c r="A180" s="14" t="n"/>
      <c r="B180" s="11" t="n"/>
      <c r="C180" s="11" t="n"/>
      <c r="D180" s="11" t="n"/>
      <c r="E180" s="11" t="n"/>
      <c r="F180" s="18" t="n"/>
      <c r="G180" s="18" t="n"/>
      <c r="H180" s="18" t="n"/>
      <c r="I180" s="18" t="n"/>
      <c r="J180" s="23">
        <f>IF(F180="","",F180+G180+H180+I180)</f>
        <v/>
      </c>
      <c r="K180">
        <f>IF(F180="","",IF(D180&lt;&gt;"","B2B","B2C"))</f>
        <v/>
      </c>
      <c r="L180">
        <f>IF(A180="","",TEXT(A180,"mmm-yy"))</f>
        <v/>
      </c>
    </row>
    <row r="181">
      <c r="A181" s="14" t="n"/>
      <c r="B181" s="11" t="n"/>
      <c r="C181" s="11" t="n"/>
      <c r="D181" s="11" t="n"/>
      <c r="E181" s="11" t="n"/>
      <c r="F181" s="18" t="n"/>
      <c r="G181" s="18" t="n"/>
      <c r="H181" s="18" t="n"/>
      <c r="I181" s="18" t="n"/>
      <c r="J181" s="23">
        <f>IF(F181="","",F181+G181+H181+I181)</f>
        <v/>
      </c>
      <c r="K181">
        <f>IF(F181="","",IF(D181&lt;&gt;"","B2B","B2C"))</f>
        <v/>
      </c>
      <c r="L181">
        <f>IF(A181="","",TEXT(A181,"mmm-yy"))</f>
        <v/>
      </c>
    </row>
    <row r="182">
      <c r="A182" s="14" t="n"/>
      <c r="B182" s="11" t="n"/>
      <c r="C182" s="11" t="n"/>
      <c r="D182" s="11" t="n"/>
      <c r="E182" s="11" t="n"/>
      <c r="F182" s="18" t="n"/>
      <c r="G182" s="18" t="n"/>
      <c r="H182" s="18" t="n"/>
      <c r="I182" s="18" t="n"/>
      <c r="J182" s="23">
        <f>IF(F182="","",F182+G182+H182+I182)</f>
        <v/>
      </c>
      <c r="K182">
        <f>IF(F182="","",IF(D182&lt;&gt;"","B2B","B2C"))</f>
        <v/>
      </c>
      <c r="L182">
        <f>IF(A182="","",TEXT(A182,"mmm-yy"))</f>
        <v/>
      </c>
    </row>
    <row r="183">
      <c r="A183" s="14" t="n"/>
      <c r="B183" s="11" t="n"/>
      <c r="C183" s="11" t="n"/>
      <c r="D183" s="11" t="n"/>
      <c r="E183" s="11" t="n"/>
      <c r="F183" s="18" t="n"/>
      <c r="G183" s="18" t="n"/>
      <c r="H183" s="18" t="n"/>
      <c r="I183" s="18" t="n"/>
      <c r="J183" s="23">
        <f>IF(F183="","",F183+G183+H183+I183)</f>
        <v/>
      </c>
      <c r="K183">
        <f>IF(F183="","",IF(D183&lt;&gt;"","B2B","B2C"))</f>
        <v/>
      </c>
      <c r="L183">
        <f>IF(A183="","",TEXT(A183,"mmm-yy"))</f>
        <v/>
      </c>
    </row>
    <row r="184">
      <c r="A184" s="14" t="n"/>
      <c r="B184" s="11" t="n"/>
      <c r="C184" s="11" t="n"/>
      <c r="D184" s="11" t="n"/>
      <c r="E184" s="11" t="n"/>
      <c r="F184" s="18" t="n"/>
      <c r="G184" s="18" t="n"/>
      <c r="H184" s="18" t="n"/>
      <c r="I184" s="18" t="n"/>
      <c r="J184" s="23">
        <f>IF(F184="","",F184+G184+H184+I184)</f>
        <v/>
      </c>
      <c r="K184">
        <f>IF(F184="","",IF(D184&lt;&gt;"","B2B","B2C"))</f>
        <v/>
      </c>
      <c r="L184">
        <f>IF(A184="","",TEXT(A184,"mmm-yy"))</f>
        <v/>
      </c>
    </row>
    <row r="185">
      <c r="A185" s="14" t="n"/>
      <c r="B185" s="11" t="n"/>
      <c r="C185" s="11" t="n"/>
      <c r="D185" s="11" t="n"/>
      <c r="E185" s="11" t="n"/>
      <c r="F185" s="18" t="n"/>
      <c r="G185" s="18" t="n"/>
      <c r="H185" s="18" t="n"/>
      <c r="I185" s="18" t="n"/>
      <c r="J185" s="23">
        <f>IF(F185="","",F185+G185+H185+I185)</f>
        <v/>
      </c>
      <c r="K185">
        <f>IF(F185="","",IF(D185&lt;&gt;"","B2B","B2C"))</f>
        <v/>
      </c>
      <c r="L185">
        <f>IF(A185="","",TEXT(A185,"mmm-yy"))</f>
        <v/>
      </c>
    </row>
    <row r="186">
      <c r="A186" s="14" t="n"/>
      <c r="B186" s="11" t="n"/>
      <c r="C186" s="11" t="n"/>
      <c r="D186" s="11" t="n"/>
      <c r="E186" s="11" t="n"/>
      <c r="F186" s="18" t="n"/>
      <c r="G186" s="18" t="n"/>
      <c r="H186" s="18" t="n"/>
      <c r="I186" s="18" t="n"/>
      <c r="J186" s="23">
        <f>IF(F186="","",F186+G186+H186+I186)</f>
        <v/>
      </c>
      <c r="K186">
        <f>IF(F186="","",IF(D186&lt;&gt;"","B2B","B2C"))</f>
        <v/>
      </c>
      <c r="L186">
        <f>IF(A186="","",TEXT(A186,"mmm-yy"))</f>
        <v/>
      </c>
    </row>
    <row r="187">
      <c r="A187" s="14" t="n"/>
      <c r="B187" s="11" t="n"/>
      <c r="C187" s="11" t="n"/>
      <c r="D187" s="11" t="n"/>
      <c r="E187" s="11" t="n"/>
      <c r="F187" s="18" t="n"/>
      <c r="G187" s="18" t="n"/>
      <c r="H187" s="18" t="n"/>
      <c r="I187" s="18" t="n"/>
      <c r="J187" s="23">
        <f>IF(F187="","",F187+G187+H187+I187)</f>
        <v/>
      </c>
      <c r="K187">
        <f>IF(F187="","",IF(D187&lt;&gt;"","B2B","B2C"))</f>
        <v/>
      </c>
      <c r="L187">
        <f>IF(A187="","",TEXT(A187,"mmm-yy"))</f>
        <v/>
      </c>
    </row>
    <row r="188">
      <c r="A188" s="14" t="n"/>
      <c r="B188" s="11" t="n"/>
      <c r="C188" s="11" t="n"/>
      <c r="D188" s="11" t="n"/>
      <c r="E188" s="11" t="n"/>
      <c r="F188" s="18" t="n"/>
      <c r="G188" s="18" t="n"/>
      <c r="H188" s="18" t="n"/>
      <c r="I188" s="18" t="n"/>
      <c r="J188" s="23">
        <f>IF(F188="","",F188+G188+H188+I188)</f>
        <v/>
      </c>
      <c r="K188">
        <f>IF(F188="","",IF(D188&lt;&gt;"","B2B","B2C"))</f>
        <v/>
      </c>
      <c r="L188">
        <f>IF(A188="","",TEXT(A188,"mmm-yy"))</f>
        <v/>
      </c>
    </row>
    <row r="189">
      <c r="A189" s="14" t="n"/>
      <c r="B189" s="11" t="n"/>
      <c r="C189" s="11" t="n"/>
      <c r="D189" s="11" t="n"/>
      <c r="E189" s="11" t="n"/>
      <c r="F189" s="18" t="n"/>
      <c r="G189" s="18" t="n"/>
      <c r="H189" s="18" t="n"/>
      <c r="I189" s="18" t="n"/>
      <c r="J189" s="23">
        <f>IF(F189="","",F189+G189+H189+I189)</f>
        <v/>
      </c>
      <c r="K189">
        <f>IF(F189="","",IF(D189&lt;&gt;"","B2B","B2C"))</f>
        <v/>
      </c>
      <c r="L189">
        <f>IF(A189="","",TEXT(A189,"mmm-yy"))</f>
        <v/>
      </c>
    </row>
    <row r="190">
      <c r="A190" s="14" t="n"/>
      <c r="B190" s="11" t="n"/>
      <c r="C190" s="11" t="n"/>
      <c r="D190" s="11" t="n"/>
      <c r="E190" s="11" t="n"/>
      <c r="F190" s="18" t="n"/>
      <c r="G190" s="18" t="n"/>
      <c r="H190" s="18" t="n"/>
      <c r="I190" s="18" t="n"/>
      <c r="J190" s="23">
        <f>IF(F190="","",F190+G190+H190+I190)</f>
        <v/>
      </c>
      <c r="K190">
        <f>IF(F190="","",IF(D190&lt;&gt;"","B2B","B2C"))</f>
        <v/>
      </c>
      <c r="L190">
        <f>IF(A190="","",TEXT(A190,"mmm-yy"))</f>
        <v/>
      </c>
    </row>
    <row r="191">
      <c r="A191" s="14" t="n"/>
      <c r="B191" s="11" t="n"/>
      <c r="C191" s="11" t="n"/>
      <c r="D191" s="11" t="n"/>
      <c r="E191" s="11" t="n"/>
      <c r="F191" s="18" t="n"/>
      <c r="G191" s="18" t="n"/>
      <c r="H191" s="18" t="n"/>
      <c r="I191" s="18" t="n"/>
      <c r="J191" s="23">
        <f>IF(F191="","",F191+G191+H191+I191)</f>
        <v/>
      </c>
      <c r="K191">
        <f>IF(F191="","",IF(D191&lt;&gt;"","B2B","B2C"))</f>
        <v/>
      </c>
      <c r="L191">
        <f>IF(A191="","",TEXT(A191,"mmm-yy"))</f>
        <v/>
      </c>
    </row>
    <row r="192">
      <c r="A192" s="14" t="n"/>
      <c r="B192" s="11" t="n"/>
      <c r="C192" s="11" t="n"/>
      <c r="D192" s="11" t="n"/>
      <c r="E192" s="11" t="n"/>
      <c r="F192" s="18" t="n"/>
      <c r="G192" s="18" t="n"/>
      <c r="H192" s="18" t="n"/>
      <c r="I192" s="18" t="n"/>
      <c r="J192" s="23">
        <f>IF(F192="","",F192+G192+H192+I192)</f>
        <v/>
      </c>
      <c r="K192">
        <f>IF(F192="","",IF(D192&lt;&gt;"","B2B","B2C"))</f>
        <v/>
      </c>
      <c r="L192">
        <f>IF(A192="","",TEXT(A192,"mmm-yy"))</f>
        <v/>
      </c>
    </row>
    <row r="193">
      <c r="A193" s="14" t="n"/>
      <c r="B193" s="11" t="n"/>
      <c r="C193" s="11" t="n"/>
      <c r="D193" s="11" t="n"/>
      <c r="E193" s="11" t="n"/>
      <c r="F193" s="18" t="n"/>
      <c r="G193" s="18" t="n"/>
      <c r="H193" s="18" t="n"/>
      <c r="I193" s="18" t="n"/>
      <c r="J193" s="23">
        <f>IF(F193="","",F193+G193+H193+I193)</f>
        <v/>
      </c>
      <c r="K193">
        <f>IF(F193="","",IF(D193&lt;&gt;"","B2B","B2C"))</f>
        <v/>
      </c>
      <c r="L193">
        <f>IF(A193="","",TEXT(A193,"mmm-yy"))</f>
        <v/>
      </c>
    </row>
    <row r="194">
      <c r="A194" s="14" t="n"/>
      <c r="B194" s="11" t="n"/>
      <c r="C194" s="11" t="n"/>
      <c r="D194" s="11" t="n"/>
      <c r="E194" s="11" t="n"/>
      <c r="F194" s="18" t="n"/>
      <c r="G194" s="18" t="n"/>
      <c r="H194" s="18" t="n"/>
      <c r="I194" s="18" t="n"/>
      <c r="J194" s="23">
        <f>IF(F194="","",F194+G194+H194+I194)</f>
        <v/>
      </c>
      <c r="K194">
        <f>IF(F194="","",IF(D194&lt;&gt;"","B2B","B2C"))</f>
        <v/>
      </c>
      <c r="L194">
        <f>IF(A194="","",TEXT(A194,"mmm-yy"))</f>
        <v/>
      </c>
    </row>
    <row r="195">
      <c r="A195" s="14" t="n"/>
      <c r="B195" s="11" t="n"/>
      <c r="C195" s="11" t="n"/>
      <c r="D195" s="11" t="n"/>
      <c r="E195" s="11" t="n"/>
      <c r="F195" s="18" t="n"/>
      <c r="G195" s="18" t="n"/>
      <c r="H195" s="18" t="n"/>
      <c r="I195" s="18" t="n"/>
      <c r="J195" s="23">
        <f>IF(F195="","",F195+G195+H195+I195)</f>
        <v/>
      </c>
      <c r="K195">
        <f>IF(F195="","",IF(D195&lt;&gt;"","B2B","B2C"))</f>
        <v/>
      </c>
      <c r="L195">
        <f>IF(A195="","",TEXT(A195,"mmm-yy"))</f>
        <v/>
      </c>
    </row>
    <row r="196">
      <c r="A196" s="14" t="n"/>
      <c r="B196" s="11" t="n"/>
      <c r="C196" s="11" t="n"/>
      <c r="D196" s="11" t="n"/>
      <c r="E196" s="11" t="n"/>
      <c r="F196" s="18" t="n"/>
      <c r="G196" s="18" t="n"/>
      <c r="H196" s="18" t="n"/>
      <c r="I196" s="18" t="n"/>
      <c r="J196" s="23">
        <f>IF(F196="","",F196+G196+H196+I196)</f>
        <v/>
      </c>
      <c r="K196">
        <f>IF(F196="","",IF(D196&lt;&gt;"","B2B","B2C"))</f>
        <v/>
      </c>
      <c r="L196">
        <f>IF(A196="","",TEXT(A196,"mmm-yy"))</f>
        <v/>
      </c>
    </row>
    <row r="197">
      <c r="A197" s="14" t="n"/>
      <c r="B197" s="11" t="n"/>
      <c r="C197" s="11" t="n"/>
      <c r="D197" s="11" t="n"/>
      <c r="E197" s="11" t="n"/>
      <c r="F197" s="18" t="n"/>
      <c r="G197" s="18" t="n"/>
      <c r="H197" s="18" t="n"/>
      <c r="I197" s="18" t="n"/>
      <c r="J197" s="23">
        <f>IF(F197="","",F197+G197+H197+I197)</f>
        <v/>
      </c>
      <c r="K197">
        <f>IF(F197="","",IF(D197&lt;&gt;"","B2B","B2C"))</f>
        <v/>
      </c>
      <c r="L197">
        <f>IF(A197="","",TEXT(A197,"mmm-yy"))</f>
        <v/>
      </c>
    </row>
    <row r="198">
      <c r="A198" s="14" t="n"/>
      <c r="B198" s="11" t="n"/>
      <c r="C198" s="11" t="n"/>
      <c r="D198" s="11" t="n"/>
      <c r="E198" s="11" t="n"/>
      <c r="F198" s="18" t="n"/>
      <c r="G198" s="18" t="n"/>
      <c r="H198" s="18" t="n"/>
      <c r="I198" s="18" t="n"/>
      <c r="J198" s="23">
        <f>IF(F198="","",F198+G198+H198+I198)</f>
        <v/>
      </c>
      <c r="K198">
        <f>IF(F198="","",IF(D198&lt;&gt;"","B2B","B2C"))</f>
        <v/>
      </c>
      <c r="L198">
        <f>IF(A198="","",TEXT(A198,"mmm-yy"))</f>
        <v/>
      </c>
    </row>
    <row r="199">
      <c r="A199" s="14" t="n"/>
      <c r="B199" s="11" t="n"/>
      <c r="C199" s="11" t="n"/>
      <c r="D199" s="11" t="n"/>
      <c r="E199" s="11" t="n"/>
      <c r="F199" s="18" t="n"/>
      <c r="G199" s="18" t="n"/>
      <c r="H199" s="18" t="n"/>
      <c r="I199" s="18" t="n"/>
      <c r="J199" s="23">
        <f>IF(F199="","",F199+G199+H199+I199)</f>
        <v/>
      </c>
      <c r="K199">
        <f>IF(F199="","",IF(D199&lt;&gt;"","B2B","B2C"))</f>
        <v/>
      </c>
      <c r="L199">
        <f>IF(A199="","",TEXT(A199,"mmm-yy"))</f>
        <v/>
      </c>
    </row>
    <row r="200">
      <c r="A200" s="14" t="n"/>
      <c r="B200" s="11" t="n"/>
      <c r="C200" s="11" t="n"/>
      <c r="D200" s="11" t="n"/>
      <c r="E200" s="11" t="n"/>
      <c r="F200" s="18" t="n"/>
      <c r="G200" s="18" t="n"/>
      <c r="H200" s="18" t="n"/>
      <c r="I200" s="18" t="n"/>
      <c r="J200" s="23">
        <f>IF(F200="","",F200+G200+H200+I200)</f>
        <v/>
      </c>
      <c r="K200">
        <f>IF(F200="","",IF(D200&lt;&gt;"","B2B","B2C"))</f>
        <v/>
      </c>
      <c r="L200">
        <f>IF(A200="","",TEXT(A200,"mmm-yy"))</f>
        <v/>
      </c>
    </row>
    <row r="201">
      <c r="A201" s="14" t="n"/>
      <c r="B201" s="11" t="n"/>
      <c r="C201" s="11" t="n"/>
      <c r="D201" s="11" t="n"/>
      <c r="E201" s="11" t="n"/>
      <c r="F201" s="18" t="n"/>
      <c r="G201" s="18" t="n"/>
      <c r="H201" s="18" t="n"/>
      <c r="I201" s="18" t="n"/>
      <c r="J201" s="23">
        <f>IF(F201="","",F201+G201+H201+I201)</f>
        <v/>
      </c>
      <c r="K201">
        <f>IF(F201="","",IF(D201&lt;&gt;"","B2B","B2C"))</f>
        <v/>
      </c>
      <c r="L201">
        <f>IF(A201="","",TEXT(A201,"mmm-yy"))</f>
        <v/>
      </c>
    </row>
    <row r="202">
      <c r="A202" s="14" t="n"/>
      <c r="B202" s="11" t="n"/>
      <c r="C202" s="11" t="n"/>
      <c r="D202" s="11" t="n"/>
      <c r="E202" s="11" t="n"/>
      <c r="F202" s="18" t="n"/>
      <c r="G202" s="18" t="n"/>
      <c r="H202" s="18" t="n"/>
      <c r="I202" s="18" t="n"/>
      <c r="J202" s="23">
        <f>IF(F202="","",F202+G202+H202+I202)</f>
        <v/>
      </c>
      <c r="K202">
        <f>IF(F202="","",IF(D202&lt;&gt;"","B2B","B2C"))</f>
        <v/>
      </c>
      <c r="L202">
        <f>IF(A202="","",TEXT(A202,"mmm-yy"))</f>
        <v/>
      </c>
    </row>
    <row r="203">
      <c r="A203" s="14" t="n"/>
      <c r="B203" s="11" t="n"/>
      <c r="C203" s="11" t="n"/>
      <c r="D203" s="11" t="n"/>
      <c r="E203" s="11" t="n"/>
      <c r="F203" s="18" t="n"/>
      <c r="G203" s="18" t="n"/>
      <c r="H203" s="18" t="n"/>
      <c r="I203" s="18" t="n"/>
      <c r="J203" s="23">
        <f>IF(F203="","",F203+G203+H203+I203)</f>
        <v/>
      </c>
      <c r="K203">
        <f>IF(F203="","",IF(D203&lt;&gt;"","B2B","B2C"))</f>
        <v/>
      </c>
      <c r="L203">
        <f>IF(A203="","",TEXT(A203,"mmm-yy"))</f>
        <v/>
      </c>
    </row>
    <row r="204">
      <c r="A204" s="14" t="n"/>
      <c r="B204" s="11" t="n"/>
      <c r="C204" s="11" t="n"/>
      <c r="D204" s="11" t="n"/>
      <c r="E204" s="11" t="n"/>
      <c r="F204" s="18" t="n"/>
      <c r="G204" s="18" t="n"/>
      <c r="H204" s="18" t="n"/>
      <c r="I204" s="18" t="n"/>
      <c r="J204" s="23">
        <f>IF(F204="","",F204+G204+H204+I204)</f>
        <v/>
      </c>
      <c r="K204">
        <f>IF(F204="","",IF(D204&lt;&gt;"","B2B","B2C"))</f>
        <v/>
      </c>
      <c r="L204">
        <f>IF(A204="","",TEXT(A204,"mmm-yy"))</f>
        <v/>
      </c>
    </row>
    <row r="205">
      <c r="A205" s="14" t="n"/>
      <c r="B205" s="11" t="n"/>
      <c r="C205" s="11" t="n"/>
      <c r="D205" s="11" t="n"/>
      <c r="E205" s="11" t="n"/>
      <c r="F205" s="18" t="n"/>
      <c r="G205" s="18" t="n"/>
      <c r="H205" s="18" t="n"/>
      <c r="I205" s="18" t="n"/>
      <c r="J205" s="23">
        <f>IF(F205="","",F205+G205+H205+I205)</f>
        <v/>
      </c>
      <c r="K205">
        <f>IF(F205="","",IF(D205&lt;&gt;"","B2B","B2C"))</f>
        <v/>
      </c>
      <c r="L205">
        <f>IF(A205="","",TEXT(A205,"mmm-yy"))</f>
        <v/>
      </c>
    </row>
    <row r="206">
      <c r="A206" s="14" t="n"/>
      <c r="B206" s="11" t="n"/>
      <c r="C206" s="11" t="n"/>
      <c r="D206" s="11" t="n"/>
      <c r="E206" s="11" t="n"/>
      <c r="F206" s="18" t="n"/>
      <c r="G206" s="18" t="n"/>
      <c r="H206" s="18" t="n"/>
      <c r="I206" s="18" t="n"/>
      <c r="J206" s="23">
        <f>IF(F206="","",F206+G206+H206+I206)</f>
        <v/>
      </c>
      <c r="K206">
        <f>IF(F206="","",IF(D206&lt;&gt;"","B2B","B2C"))</f>
        <v/>
      </c>
      <c r="L206">
        <f>IF(A206="","",TEXT(A206,"mmm-yy"))</f>
        <v/>
      </c>
    </row>
    <row r="207">
      <c r="A207" s="14" t="n"/>
      <c r="B207" s="11" t="n"/>
      <c r="C207" s="11" t="n"/>
      <c r="D207" s="11" t="n"/>
      <c r="E207" s="11" t="n"/>
      <c r="F207" s="18" t="n"/>
      <c r="G207" s="18" t="n"/>
      <c r="H207" s="18" t="n"/>
      <c r="I207" s="18" t="n"/>
      <c r="J207" s="23">
        <f>IF(F207="","",F207+G207+H207+I207)</f>
        <v/>
      </c>
      <c r="K207">
        <f>IF(F207="","",IF(D207&lt;&gt;"","B2B","B2C"))</f>
        <v/>
      </c>
      <c r="L207">
        <f>IF(A207="","",TEXT(A207,"mmm-yy"))</f>
        <v/>
      </c>
    </row>
    <row r="208">
      <c r="A208" s="14" t="n"/>
      <c r="B208" s="11" t="n"/>
      <c r="C208" s="11" t="n"/>
      <c r="D208" s="11" t="n"/>
      <c r="E208" s="11" t="n"/>
      <c r="F208" s="18" t="n"/>
      <c r="G208" s="18" t="n"/>
      <c r="H208" s="18" t="n"/>
      <c r="I208" s="18" t="n"/>
      <c r="J208" s="23">
        <f>IF(F208="","",F208+G208+H208+I208)</f>
        <v/>
      </c>
      <c r="K208">
        <f>IF(F208="","",IF(D208&lt;&gt;"","B2B","B2C"))</f>
        <v/>
      </c>
      <c r="L208">
        <f>IF(A208="","",TEXT(A208,"mmm-yy"))</f>
        <v/>
      </c>
    </row>
    <row r="209">
      <c r="A209" s="14" t="n"/>
      <c r="B209" s="11" t="n"/>
      <c r="C209" s="11" t="n"/>
      <c r="D209" s="11" t="n"/>
      <c r="E209" s="11" t="n"/>
      <c r="F209" s="18" t="n"/>
      <c r="G209" s="18" t="n"/>
      <c r="H209" s="18" t="n"/>
      <c r="I209" s="18" t="n"/>
      <c r="J209" s="23">
        <f>IF(F209="","",F209+G209+H209+I209)</f>
        <v/>
      </c>
      <c r="K209">
        <f>IF(F209="","",IF(D209&lt;&gt;"","B2B","B2C"))</f>
        <v/>
      </c>
      <c r="L209">
        <f>IF(A209="","",TEXT(A209,"mmm-yy"))</f>
        <v/>
      </c>
    </row>
    <row r="210">
      <c r="A210" s="14" t="n"/>
      <c r="B210" s="11" t="n"/>
      <c r="C210" s="11" t="n"/>
      <c r="D210" s="11" t="n"/>
      <c r="E210" s="11" t="n"/>
      <c r="F210" s="18" t="n"/>
      <c r="G210" s="18" t="n"/>
      <c r="H210" s="18" t="n"/>
      <c r="I210" s="18" t="n"/>
      <c r="J210" s="23">
        <f>IF(F210="","",F210+G210+H210+I210)</f>
        <v/>
      </c>
      <c r="K210">
        <f>IF(F210="","",IF(D210&lt;&gt;"","B2B","B2C"))</f>
        <v/>
      </c>
      <c r="L210">
        <f>IF(A210="","",TEXT(A210,"mmm-yy"))</f>
        <v/>
      </c>
    </row>
    <row r="211">
      <c r="A211" s="14" t="n"/>
      <c r="B211" s="11" t="n"/>
      <c r="C211" s="11" t="n"/>
      <c r="D211" s="11" t="n"/>
      <c r="E211" s="11" t="n"/>
      <c r="F211" s="18" t="n"/>
      <c r="G211" s="18" t="n"/>
      <c r="H211" s="18" t="n"/>
      <c r="I211" s="18" t="n"/>
      <c r="J211" s="23">
        <f>IF(F211="","",F211+G211+H211+I211)</f>
        <v/>
      </c>
      <c r="K211">
        <f>IF(F211="","",IF(D211&lt;&gt;"","B2B","B2C"))</f>
        <v/>
      </c>
      <c r="L211">
        <f>IF(A211="","",TEXT(A211,"mmm-yy"))</f>
        <v/>
      </c>
    </row>
    <row r="212">
      <c r="A212" s="14" t="n"/>
      <c r="B212" s="11" t="n"/>
      <c r="C212" s="11" t="n"/>
      <c r="D212" s="11" t="n"/>
      <c r="E212" s="11" t="n"/>
      <c r="F212" s="18" t="n"/>
      <c r="G212" s="18" t="n"/>
      <c r="H212" s="18" t="n"/>
      <c r="I212" s="18" t="n"/>
      <c r="J212" s="23">
        <f>IF(F212="","",F212+G212+H212+I212)</f>
        <v/>
      </c>
      <c r="K212">
        <f>IF(F212="","",IF(D212&lt;&gt;"","B2B","B2C"))</f>
        <v/>
      </c>
      <c r="L212">
        <f>IF(A212="","",TEXT(A212,"mmm-yy"))</f>
        <v/>
      </c>
    </row>
    <row r="213">
      <c r="A213" s="14" t="n"/>
      <c r="B213" s="11" t="n"/>
      <c r="C213" s="11" t="n"/>
      <c r="D213" s="11" t="n"/>
      <c r="E213" s="11" t="n"/>
      <c r="F213" s="18" t="n"/>
      <c r="G213" s="18" t="n"/>
      <c r="H213" s="18" t="n"/>
      <c r="I213" s="18" t="n"/>
      <c r="J213" s="23">
        <f>IF(F213="","",F213+G213+H213+I213)</f>
        <v/>
      </c>
      <c r="K213">
        <f>IF(F213="","",IF(D213&lt;&gt;"","B2B","B2C"))</f>
        <v/>
      </c>
      <c r="L213">
        <f>IF(A213="","",TEXT(A213,"mmm-yy"))</f>
        <v/>
      </c>
    </row>
    <row r="214">
      <c r="A214" s="14" t="n"/>
      <c r="B214" s="11" t="n"/>
      <c r="C214" s="11" t="n"/>
      <c r="D214" s="11" t="n"/>
      <c r="E214" s="11" t="n"/>
      <c r="F214" s="18" t="n"/>
      <c r="G214" s="18" t="n"/>
      <c r="H214" s="18" t="n"/>
      <c r="I214" s="18" t="n"/>
      <c r="J214" s="23">
        <f>IF(F214="","",F214+G214+H214+I214)</f>
        <v/>
      </c>
      <c r="K214">
        <f>IF(F214="","",IF(D214&lt;&gt;"","B2B","B2C"))</f>
        <v/>
      </c>
      <c r="L214">
        <f>IF(A214="","",TEXT(A214,"mmm-yy"))</f>
        <v/>
      </c>
    </row>
    <row r="215">
      <c r="A215" s="14" t="n"/>
      <c r="B215" s="11" t="n"/>
      <c r="C215" s="11" t="n"/>
      <c r="D215" s="11" t="n"/>
      <c r="E215" s="11" t="n"/>
      <c r="F215" s="18" t="n"/>
      <c r="G215" s="18" t="n"/>
      <c r="H215" s="18" t="n"/>
      <c r="I215" s="18" t="n"/>
      <c r="J215" s="23">
        <f>IF(F215="","",F215+G215+H215+I215)</f>
        <v/>
      </c>
      <c r="K215">
        <f>IF(F215="","",IF(D215&lt;&gt;"","B2B","B2C"))</f>
        <v/>
      </c>
      <c r="L215">
        <f>IF(A215="","",TEXT(A215,"mmm-yy"))</f>
        <v/>
      </c>
    </row>
    <row r="216">
      <c r="A216" s="14" t="n"/>
      <c r="B216" s="11" t="n"/>
      <c r="C216" s="11" t="n"/>
      <c r="D216" s="11" t="n"/>
      <c r="E216" s="11" t="n"/>
      <c r="F216" s="18" t="n"/>
      <c r="G216" s="18" t="n"/>
      <c r="H216" s="18" t="n"/>
      <c r="I216" s="18" t="n"/>
      <c r="J216" s="23">
        <f>IF(F216="","",F216+G216+H216+I216)</f>
        <v/>
      </c>
      <c r="K216">
        <f>IF(F216="","",IF(D216&lt;&gt;"","B2B","B2C"))</f>
        <v/>
      </c>
      <c r="L216">
        <f>IF(A216="","",TEXT(A216,"mmm-yy"))</f>
        <v/>
      </c>
    </row>
    <row r="217">
      <c r="A217" s="14" t="n"/>
      <c r="B217" s="11" t="n"/>
      <c r="C217" s="11" t="n"/>
      <c r="D217" s="11" t="n"/>
      <c r="E217" s="11" t="n"/>
      <c r="F217" s="18" t="n"/>
      <c r="G217" s="18" t="n"/>
      <c r="H217" s="18" t="n"/>
      <c r="I217" s="18" t="n"/>
      <c r="J217" s="23">
        <f>IF(F217="","",F217+G217+H217+I217)</f>
        <v/>
      </c>
      <c r="K217">
        <f>IF(F217="","",IF(D217&lt;&gt;"","B2B","B2C"))</f>
        <v/>
      </c>
      <c r="L217">
        <f>IF(A217="","",TEXT(A217,"mmm-yy"))</f>
        <v/>
      </c>
    </row>
    <row r="218">
      <c r="A218" s="14" t="n"/>
      <c r="B218" s="11" t="n"/>
      <c r="C218" s="11" t="n"/>
      <c r="D218" s="11" t="n"/>
      <c r="E218" s="11" t="n"/>
      <c r="F218" s="18" t="n"/>
      <c r="G218" s="18" t="n"/>
      <c r="H218" s="18" t="n"/>
      <c r="I218" s="18" t="n"/>
      <c r="J218" s="23">
        <f>IF(F218="","",F218+G218+H218+I218)</f>
        <v/>
      </c>
      <c r="K218">
        <f>IF(F218="","",IF(D218&lt;&gt;"","B2B","B2C"))</f>
        <v/>
      </c>
      <c r="L218">
        <f>IF(A218="","",TEXT(A218,"mmm-yy"))</f>
        <v/>
      </c>
    </row>
    <row r="219">
      <c r="A219" s="14" t="n"/>
      <c r="B219" s="11" t="n"/>
      <c r="C219" s="11" t="n"/>
      <c r="D219" s="11" t="n"/>
      <c r="E219" s="11" t="n"/>
      <c r="F219" s="18" t="n"/>
      <c r="G219" s="18" t="n"/>
      <c r="H219" s="18" t="n"/>
      <c r="I219" s="18" t="n"/>
      <c r="J219" s="23">
        <f>IF(F219="","",F219+G219+H219+I219)</f>
        <v/>
      </c>
      <c r="K219">
        <f>IF(F219="","",IF(D219&lt;&gt;"","B2B","B2C"))</f>
        <v/>
      </c>
      <c r="L219">
        <f>IF(A219="","",TEXT(A219,"mmm-yy"))</f>
        <v/>
      </c>
    </row>
    <row r="220">
      <c r="A220" s="14" t="n"/>
      <c r="B220" s="11" t="n"/>
      <c r="C220" s="11" t="n"/>
      <c r="D220" s="11" t="n"/>
      <c r="E220" s="11" t="n"/>
      <c r="F220" s="18" t="n"/>
      <c r="G220" s="18" t="n"/>
      <c r="H220" s="18" t="n"/>
      <c r="I220" s="18" t="n"/>
      <c r="J220" s="23">
        <f>IF(F220="","",F220+G220+H220+I220)</f>
        <v/>
      </c>
      <c r="K220">
        <f>IF(F220="","",IF(D220&lt;&gt;"","B2B","B2C"))</f>
        <v/>
      </c>
      <c r="L220">
        <f>IF(A220="","",TEXT(A220,"mmm-yy"))</f>
        <v/>
      </c>
    </row>
    <row r="221">
      <c r="A221" s="14" t="n"/>
      <c r="B221" s="11" t="n"/>
      <c r="C221" s="11" t="n"/>
      <c r="D221" s="11" t="n"/>
      <c r="E221" s="11" t="n"/>
      <c r="F221" s="18" t="n"/>
      <c r="G221" s="18" t="n"/>
      <c r="H221" s="18" t="n"/>
      <c r="I221" s="18" t="n"/>
      <c r="J221" s="23">
        <f>IF(F221="","",F221+G221+H221+I221)</f>
        <v/>
      </c>
      <c r="K221">
        <f>IF(F221="","",IF(D221&lt;&gt;"","B2B","B2C"))</f>
        <v/>
      </c>
      <c r="L221">
        <f>IF(A221="","",TEXT(A221,"mmm-yy"))</f>
        <v/>
      </c>
    </row>
    <row r="222">
      <c r="A222" s="14" t="n"/>
      <c r="B222" s="11" t="n"/>
      <c r="C222" s="11" t="n"/>
      <c r="D222" s="11" t="n"/>
      <c r="E222" s="11" t="n"/>
      <c r="F222" s="18" t="n"/>
      <c r="G222" s="18" t="n"/>
      <c r="H222" s="18" t="n"/>
      <c r="I222" s="18" t="n"/>
      <c r="J222" s="23">
        <f>IF(F222="","",F222+G222+H222+I222)</f>
        <v/>
      </c>
      <c r="K222">
        <f>IF(F222="","",IF(D222&lt;&gt;"","B2B","B2C"))</f>
        <v/>
      </c>
      <c r="L222">
        <f>IF(A222="","",TEXT(A222,"mmm-yy"))</f>
        <v/>
      </c>
    </row>
    <row r="223">
      <c r="A223" s="14" t="n"/>
      <c r="B223" s="11" t="n"/>
      <c r="C223" s="11" t="n"/>
      <c r="D223" s="11" t="n"/>
      <c r="E223" s="11" t="n"/>
      <c r="F223" s="18" t="n"/>
      <c r="G223" s="18" t="n"/>
      <c r="H223" s="18" t="n"/>
      <c r="I223" s="18" t="n"/>
      <c r="J223" s="23">
        <f>IF(F223="","",F223+G223+H223+I223)</f>
        <v/>
      </c>
      <c r="K223">
        <f>IF(F223="","",IF(D223&lt;&gt;"","B2B","B2C"))</f>
        <v/>
      </c>
      <c r="L223">
        <f>IF(A223="","",TEXT(A223,"mmm-yy"))</f>
        <v/>
      </c>
    </row>
    <row r="224">
      <c r="A224" s="14" t="n"/>
      <c r="B224" s="11" t="n"/>
      <c r="C224" s="11" t="n"/>
      <c r="D224" s="11" t="n"/>
      <c r="E224" s="11" t="n"/>
      <c r="F224" s="18" t="n"/>
      <c r="G224" s="18" t="n"/>
      <c r="H224" s="18" t="n"/>
      <c r="I224" s="18" t="n"/>
      <c r="J224" s="23">
        <f>IF(F224="","",F224+G224+H224+I224)</f>
        <v/>
      </c>
      <c r="K224">
        <f>IF(F224="","",IF(D224&lt;&gt;"","B2B","B2C"))</f>
        <v/>
      </c>
      <c r="L224">
        <f>IF(A224="","",TEXT(A224,"mmm-yy"))</f>
        <v/>
      </c>
    </row>
    <row r="225">
      <c r="A225" s="14" t="n"/>
      <c r="B225" s="11" t="n"/>
      <c r="C225" s="11" t="n"/>
      <c r="D225" s="11" t="n"/>
      <c r="E225" s="11" t="n"/>
      <c r="F225" s="18" t="n"/>
      <c r="G225" s="18" t="n"/>
      <c r="H225" s="18" t="n"/>
      <c r="I225" s="18" t="n"/>
      <c r="J225" s="23">
        <f>IF(F225="","",F225+G225+H225+I225)</f>
        <v/>
      </c>
      <c r="K225">
        <f>IF(F225="","",IF(D225&lt;&gt;"","B2B","B2C"))</f>
        <v/>
      </c>
      <c r="L225">
        <f>IF(A225="","",TEXT(A225,"mmm-yy"))</f>
        <v/>
      </c>
    </row>
    <row r="226">
      <c r="A226" s="14" t="n"/>
      <c r="B226" s="11" t="n"/>
      <c r="C226" s="11" t="n"/>
      <c r="D226" s="11" t="n"/>
      <c r="E226" s="11" t="n"/>
      <c r="F226" s="18" t="n"/>
      <c r="G226" s="18" t="n"/>
      <c r="H226" s="18" t="n"/>
      <c r="I226" s="18" t="n"/>
      <c r="J226" s="23">
        <f>IF(F226="","",F226+G226+H226+I226)</f>
        <v/>
      </c>
      <c r="K226">
        <f>IF(F226="","",IF(D226&lt;&gt;"","B2B","B2C"))</f>
        <v/>
      </c>
      <c r="L226">
        <f>IF(A226="","",TEXT(A226,"mmm-yy"))</f>
        <v/>
      </c>
    </row>
    <row r="227">
      <c r="A227" s="14" t="n"/>
      <c r="B227" s="11" t="n"/>
      <c r="C227" s="11" t="n"/>
      <c r="D227" s="11" t="n"/>
      <c r="E227" s="11" t="n"/>
      <c r="F227" s="18" t="n"/>
      <c r="G227" s="18" t="n"/>
      <c r="H227" s="18" t="n"/>
      <c r="I227" s="18" t="n"/>
      <c r="J227" s="23">
        <f>IF(F227="","",F227+G227+H227+I227)</f>
        <v/>
      </c>
      <c r="K227">
        <f>IF(F227="","",IF(D227&lt;&gt;"","B2B","B2C"))</f>
        <v/>
      </c>
      <c r="L227">
        <f>IF(A227="","",TEXT(A227,"mmm-yy"))</f>
        <v/>
      </c>
    </row>
    <row r="228">
      <c r="A228" s="14" t="n"/>
      <c r="B228" s="11" t="n"/>
      <c r="C228" s="11" t="n"/>
      <c r="D228" s="11" t="n"/>
      <c r="E228" s="11" t="n"/>
      <c r="F228" s="18" t="n"/>
      <c r="G228" s="18" t="n"/>
      <c r="H228" s="18" t="n"/>
      <c r="I228" s="18" t="n"/>
      <c r="J228" s="23">
        <f>IF(F228="","",F228+G228+H228+I228)</f>
        <v/>
      </c>
      <c r="K228">
        <f>IF(F228="","",IF(D228&lt;&gt;"","B2B","B2C"))</f>
        <v/>
      </c>
      <c r="L228">
        <f>IF(A228="","",TEXT(A228,"mmm-yy"))</f>
        <v/>
      </c>
    </row>
    <row r="229">
      <c r="A229" s="14" t="n"/>
      <c r="B229" s="11" t="n"/>
      <c r="C229" s="11" t="n"/>
      <c r="D229" s="11" t="n"/>
      <c r="E229" s="11" t="n"/>
      <c r="F229" s="18" t="n"/>
      <c r="G229" s="18" t="n"/>
      <c r="H229" s="18" t="n"/>
      <c r="I229" s="18" t="n"/>
      <c r="J229" s="23">
        <f>IF(F229="","",F229+G229+H229+I229)</f>
        <v/>
      </c>
      <c r="K229">
        <f>IF(F229="","",IF(D229&lt;&gt;"","B2B","B2C"))</f>
        <v/>
      </c>
      <c r="L229">
        <f>IF(A229="","",TEXT(A229,"mmm-yy"))</f>
        <v/>
      </c>
    </row>
    <row r="230">
      <c r="A230" s="14" t="n"/>
      <c r="B230" s="11" t="n"/>
      <c r="C230" s="11" t="n"/>
      <c r="D230" s="11" t="n"/>
      <c r="E230" s="11" t="n"/>
      <c r="F230" s="18" t="n"/>
      <c r="G230" s="18" t="n"/>
      <c r="H230" s="18" t="n"/>
      <c r="I230" s="18" t="n"/>
      <c r="J230" s="23">
        <f>IF(F230="","",F230+G230+H230+I230)</f>
        <v/>
      </c>
      <c r="K230">
        <f>IF(F230="","",IF(D230&lt;&gt;"","B2B","B2C"))</f>
        <v/>
      </c>
      <c r="L230">
        <f>IF(A230="","",TEXT(A230,"mmm-yy"))</f>
        <v/>
      </c>
    </row>
    <row r="231">
      <c r="A231" s="14" t="n"/>
      <c r="B231" s="11" t="n"/>
      <c r="C231" s="11" t="n"/>
      <c r="D231" s="11" t="n"/>
      <c r="E231" s="11" t="n"/>
      <c r="F231" s="18" t="n"/>
      <c r="G231" s="18" t="n"/>
      <c r="H231" s="18" t="n"/>
      <c r="I231" s="18" t="n"/>
      <c r="J231" s="23">
        <f>IF(F231="","",F231+G231+H231+I231)</f>
        <v/>
      </c>
      <c r="K231">
        <f>IF(F231="","",IF(D231&lt;&gt;"","B2B","B2C"))</f>
        <v/>
      </c>
      <c r="L231">
        <f>IF(A231="","",TEXT(A231,"mmm-yy"))</f>
        <v/>
      </c>
    </row>
    <row r="232">
      <c r="A232" s="14" t="n"/>
      <c r="B232" s="11" t="n"/>
      <c r="C232" s="11" t="n"/>
      <c r="D232" s="11" t="n"/>
      <c r="E232" s="11" t="n"/>
      <c r="F232" s="18" t="n"/>
      <c r="G232" s="18" t="n"/>
      <c r="H232" s="18" t="n"/>
      <c r="I232" s="18" t="n"/>
      <c r="J232" s="23">
        <f>IF(F232="","",F232+G232+H232+I232)</f>
        <v/>
      </c>
      <c r="K232">
        <f>IF(F232="","",IF(D232&lt;&gt;"","B2B","B2C"))</f>
        <v/>
      </c>
      <c r="L232">
        <f>IF(A232="","",TEXT(A232,"mmm-yy"))</f>
        <v/>
      </c>
    </row>
    <row r="233">
      <c r="A233" s="14" t="n"/>
      <c r="B233" s="11" t="n"/>
      <c r="C233" s="11" t="n"/>
      <c r="D233" s="11" t="n"/>
      <c r="E233" s="11" t="n"/>
      <c r="F233" s="18" t="n"/>
      <c r="G233" s="18" t="n"/>
      <c r="H233" s="18" t="n"/>
      <c r="I233" s="18" t="n"/>
      <c r="J233" s="23">
        <f>IF(F233="","",F233+G233+H233+I233)</f>
        <v/>
      </c>
      <c r="K233">
        <f>IF(F233="","",IF(D233&lt;&gt;"","B2B","B2C"))</f>
        <v/>
      </c>
      <c r="L233">
        <f>IF(A233="","",TEXT(A233,"mmm-yy"))</f>
        <v/>
      </c>
    </row>
    <row r="234">
      <c r="A234" s="14" t="n"/>
      <c r="B234" s="11" t="n"/>
      <c r="C234" s="11" t="n"/>
      <c r="D234" s="11" t="n"/>
      <c r="E234" s="11" t="n"/>
      <c r="F234" s="18" t="n"/>
      <c r="G234" s="18" t="n"/>
      <c r="H234" s="18" t="n"/>
      <c r="I234" s="18" t="n"/>
      <c r="J234" s="23">
        <f>IF(F234="","",F234+G234+H234+I234)</f>
        <v/>
      </c>
      <c r="K234">
        <f>IF(F234="","",IF(D234&lt;&gt;"","B2B","B2C"))</f>
        <v/>
      </c>
      <c r="L234">
        <f>IF(A234="","",TEXT(A234,"mmm-yy"))</f>
        <v/>
      </c>
    </row>
    <row r="235">
      <c r="A235" s="14" t="n"/>
      <c r="B235" s="11" t="n"/>
      <c r="C235" s="11" t="n"/>
      <c r="D235" s="11" t="n"/>
      <c r="E235" s="11" t="n"/>
      <c r="F235" s="18" t="n"/>
      <c r="G235" s="18" t="n"/>
      <c r="H235" s="18" t="n"/>
      <c r="I235" s="18" t="n"/>
      <c r="J235" s="23">
        <f>IF(F235="","",F235+G235+H235+I235)</f>
        <v/>
      </c>
      <c r="K235">
        <f>IF(F235="","",IF(D235&lt;&gt;"","B2B","B2C"))</f>
        <v/>
      </c>
      <c r="L235">
        <f>IF(A235="","",TEXT(A235,"mmm-yy"))</f>
        <v/>
      </c>
    </row>
    <row r="236">
      <c r="A236" s="14" t="n"/>
      <c r="B236" s="11" t="n"/>
      <c r="C236" s="11" t="n"/>
      <c r="D236" s="11" t="n"/>
      <c r="E236" s="11" t="n"/>
      <c r="F236" s="18" t="n"/>
      <c r="G236" s="18" t="n"/>
      <c r="H236" s="18" t="n"/>
      <c r="I236" s="18" t="n"/>
      <c r="J236" s="23">
        <f>IF(F236="","",F236+G236+H236+I236)</f>
        <v/>
      </c>
      <c r="K236">
        <f>IF(F236="","",IF(D236&lt;&gt;"","B2B","B2C"))</f>
        <v/>
      </c>
      <c r="L236">
        <f>IF(A236="","",TEXT(A236,"mmm-yy"))</f>
        <v/>
      </c>
    </row>
    <row r="237">
      <c r="A237" s="14" t="n"/>
      <c r="B237" s="11" t="n"/>
      <c r="C237" s="11" t="n"/>
      <c r="D237" s="11" t="n"/>
      <c r="E237" s="11" t="n"/>
      <c r="F237" s="18" t="n"/>
      <c r="G237" s="18" t="n"/>
      <c r="H237" s="18" t="n"/>
      <c r="I237" s="18" t="n"/>
      <c r="J237" s="23">
        <f>IF(F237="","",F237+G237+H237+I237)</f>
        <v/>
      </c>
      <c r="K237">
        <f>IF(F237="","",IF(D237&lt;&gt;"","B2B","B2C"))</f>
        <v/>
      </c>
      <c r="L237">
        <f>IF(A237="","",TEXT(A237,"mmm-yy"))</f>
        <v/>
      </c>
    </row>
    <row r="238">
      <c r="A238" s="14" t="n"/>
      <c r="B238" s="11" t="n"/>
      <c r="C238" s="11" t="n"/>
      <c r="D238" s="11" t="n"/>
      <c r="E238" s="11" t="n"/>
      <c r="F238" s="18" t="n"/>
      <c r="G238" s="18" t="n"/>
      <c r="H238" s="18" t="n"/>
      <c r="I238" s="18" t="n"/>
      <c r="J238" s="23">
        <f>IF(F238="","",F238+G238+H238+I238)</f>
        <v/>
      </c>
      <c r="K238">
        <f>IF(F238="","",IF(D238&lt;&gt;"","B2B","B2C"))</f>
        <v/>
      </c>
      <c r="L238">
        <f>IF(A238="","",TEXT(A238,"mmm-yy"))</f>
        <v/>
      </c>
    </row>
    <row r="239">
      <c r="A239" s="14" t="n"/>
      <c r="B239" s="11" t="n"/>
      <c r="C239" s="11" t="n"/>
      <c r="D239" s="11" t="n"/>
      <c r="E239" s="11" t="n"/>
      <c r="F239" s="18" t="n"/>
      <c r="G239" s="18" t="n"/>
      <c r="H239" s="18" t="n"/>
      <c r="I239" s="18" t="n"/>
      <c r="J239" s="23">
        <f>IF(F239="","",F239+G239+H239+I239)</f>
        <v/>
      </c>
      <c r="K239">
        <f>IF(F239="","",IF(D239&lt;&gt;"","B2B","B2C"))</f>
        <v/>
      </c>
      <c r="L239">
        <f>IF(A239="","",TEXT(A239,"mmm-yy"))</f>
        <v/>
      </c>
    </row>
    <row r="240">
      <c r="A240" s="14" t="n"/>
      <c r="B240" s="11" t="n"/>
      <c r="C240" s="11" t="n"/>
      <c r="D240" s="11" t="n"/>
      <c r="E240" s="11" t="n"/>
      <c r="F240" s="18" t="n"/>
      <c r="G240" s="18" t="n"/>
      <c r="H240" s="18" t="n"/>
      <c r="I240" s="18" t="n"/>
      <c r="J240" s="23">
        <f>IF(F240="","",F240+G240+H240+I240)</f>
        <v/>
      </c>
      <c r="K240">
        <f>IF(F240="","",IF(D240&lt;&gt;"","B2B","B2C"))</f>
        <v/>
      </c>
      <c r="L240">
        <f>IF(A240="","",TEXT(A240,"mmm-yy"))</f>
        <v/>
      </c>
    </row>
    <row r="241">
      <c r="A241" s="14" t="n"/>
      <c r="B241" s="11" t="n"/>
      <c r="C241" s="11" t="n"/>
      <c r="D241" s="11" t="n"/>
      <c r="E241" s="11" t="n"/>
      <c r="F241" s="18" t="n"/>
      <c r="G241" s="18" t="n"/>
      <c r="H241" s="18" t="n"/>
      <c r="I241" s="18" t="n"/>
      <c r="J241" s="23">
        <f>IF(F241="","",F241+G241+H241+I241)</f>
        <v/>
      </c>
      <c r="K241">
        <f>IF(F241="","",IF(D241&lt;&gt;"","B2B","B2C"))</f>
        <v/>
      </c>
      <c r="L241">
        <f>IF(A241="","",TEXT(A241,"mmm-yy"))</f>
        <v/>
      </c>
    </row>
    <row r="242">
      <c r="A242" s="14" t="n"/>
      <c r="B242" s="11" t="n"/>
      <c r="C242" s="11" t="n"/>
      <c r="D242" s="11" t="n"/>
      <c r="E242" s="11" t="n"/>
      <c r="F242" s="18" t="n"/>
      <c r="G242" s="18" t="n"/>
      <c r="H242" s="18" t="n"/>
      <c r="I242" s="18" t="n"/>
      <c r="J242" s="23">
        <f>IF(F242="","",F242+G242+H242+I242)</f>
        <v/>
      </c>
      <c r="K242">
        <f>IF(F242="","",IF(D242&lt;&gt;"","B2B","B2C"))</f>
        <v/>
      </c>
      <c r="L242">
        <f>IF(A242="","",TEXT(A242,"mmm-yy"))</f>
        <v/>
      </c>
    </row>
    <row r="243">
      <c r="A243" s="14" t="n"/>
      <c r="B243" s="11" t="n"/>
      <c r="C243" s="11" t="n"/>
      <c r="D243" s="11" t="n"/>
      <c r="E243" s="11" t="n"/>
      <c r="F243" s="18" t="n"/>
      <c r="G243" s="18" t="n"/>
      <c r="H243" s="18" t="n"/>
      <c r="I243" s="18" t="n"/>
      <c r="J243" s="23">
        <f>IF(F243="","",F243+G243+H243+I243)</f>
        <v/>
      </c>
      <c r="K243">
        <f>IF(F243="","",IF(D243&lt;&gt;"","B2B","B2C"))</f>
        <v/>
      </c>
      <c r="L243">
        <f>IF(A243="","",TEXT(A243,"mmm-yy"))</f>
        <v/>
      </c>
    </row>
    <row r="244">
      <c r="A244" s="14" t="n"/>
      <c r="B244" s="11" t="n"/>
      <c r="C244" s="11" t="n"/>
      <c r="D244" s="11" t="n"/>
      <c r="E244" s="11" t="n"/>
      <c r="F244" s="18" t="n"/>
      <c r="G244" s="18" t="n"/>
      <c r="H244" s="18" t="n"/>
      <c r="I244" s="18" t="n"/>
      <c r="J244" s="23">
        <f>IF(F244="","",F244+G244+H244+I244)</f>
        <v/>
      </c>
      <c r="K244">
        <f>IF(F244="","",IF(D244&lt;&gt;"","B2B","B2C"))</f>
        <v/>
      </c>
      <c r="L244">
        <f>IF(A244="","",TEXT(A244,"mmm-yy"))</f>
        <v/>
      </c>
    </row>
    <row r="245">
      <c r="A245" s="14" t="n"/>
      <c r="B245" s="11" t="n"/>
      <c r="C245" s="11" t="n"/>
      <c r="D245" s="11" t="n"/>
      <c r="E245" s="11" t="n"/>
      <c r="F245" s="18" t="n"/>
      <c r="G245" s="18" t="n"/>
      <c r="H245" s="18" t="n"/>
      <c r="I245" s="18" t="n"/>
      <c r="J245" s="23">
        <f>IF(F245="","",F245+G245+H245+I245)</f>
        <v/>
      </c>
      <c r="K245">
        <f>IF(F245="","",IF(D245&lt;&gt;"","B2B","B2C"))</f>
        <v/>
      </c>
      <c r="L245">
        <f>IF(A245="","",TEXT(A245,"mmm-yy"))</f>
        <v/>
      </c>
    </row>
    <row r="246">
      <c r="A246" s="14" t="n"/>
      <c r="B246" s="11" t="n"/>
      <c r="C246" s="11" t="n"/>
      <c r="D246" s="11" t="n"/>
      <c r="E246" s="11" t="n"/>
      <c r="F246" s="18" t="n"/>
      <c r="G246" s="18" t="n"/>
      <c r="H246" s="18" t="n"/>
      <c r="I246" s="18" t="n"/>
      <c r="J246" s="23">
        <f>IF(F246="","",F246+G246+H246+I246)</f>
        <v/>
      </c>
      <c r="K246">
        <f>IF(F246="","",IF(D246&lt;&gt;"","B2B","B2C"))</f>
        <v/>
      </c>
      <c r="L246">
        <f>IF(A246="","",TEXT(A246,"mmm-yy"))</f>
        <v/>
      </c>
    </row>
    <row r="247">
      <c r="A247" s="14" t="n"/>
      <c r="B247" s="11" t="n"/>
      <c r="C247" s="11" t="n"/>
      <c r="D247" s="11" t="n"/>
      <c r="E247" s="11" t="n"/>
      <c r="F247" s="18" t="n"/>
      <c r="G247" s="18" t="n"/>
      <c r="H247" s="18" t="n"/>
      <c r="I247" s="18" t="n"/>
      <c r="J247" s="23">
        <f>IF(F247="","",F247+G247+H247+I247)</f>
        <v/>
      </c>
      <c r="K247">
        <f>IF(F247="","",IF(D247&lt;&gt;"","B2B","B2C"))</f>
        <v/>
      </c>
      <c r="L247">
        <f>IF(A247="","",TEXT(A247,"mmm-yy"))</f>
        <v/>
      </c>
    </row>
    <row r="248">
      <c r="A248" s="14" t="n"/>
      <c r="B248" s="11" t="n"/>
      <c r="C248" s="11" t="n"/>
      <c r="D248" s="11" t="n"/>
      <c r="E248" s="11" t="n"/>
      <c r="F248" s="18" t="n"/>
      <c r="G248" s="18" t="n"/>
      <c r="H248" s="18" t="n"/>
      <c r="I248" s="18" t="n"/>
      <c r="J248" s="23">
        <f>IF(F248="","",F248+G248+H248+I248)</f>
        <v/>
      </c>
      <c r="K248">
        <f>IF(F248="","",IF(D248&lt;&gt;"","B2B","B2C"))</f>
        <v/>
      </c>
      <c r="L248">
        <f>IF(A248="","",TEXT(A248,"mmm-yy"))</f>
        <v/>
      </c>
    </row>
    <row r="249">
      <c r="A249" s="14" t="n"/>
      <c r="B249" s="11" t="n"/>
      <c r="C249" s="11" t="n"/>
      <c r="D249" s="11" t="n"/>
      <c r="E249" s="11" t="n"/>
      <c r="F249" s="18" t="n"/>
      <c r="G249" s="18" t="n"/>
      <c r="H249" s="18" t="n"/>
      <c r="I249" s="18" t="n"/>
      <c r="J249" s="23">
        <f>IF(F249="","",F249+G249+H249+I249)</f>
        <v/>
      </c>
      <c r="K249">
        <f>IF(F249="","",IF(D249&lt;&gt;"","B2B","B2C"))</f>
        <v/>
      </c>
      <c r="L249">
        <f>IF(A249="","",TEXT(A249,"mmm-yy"))</f>
        <v/>
      </c>
    </row>
    <row r="250">
      <c r="A250" s="14" t="n"/>
      <c r="B250" s="11" t="n"/>
      <c r="C250" s="11" t="n"/>
      <c r="D250" s="11" t="n"/>
      <c r="E250" s="11" t="n"/>
      <c r="F250" s="18" t="n"/>
      <c r="G250" s="18" t="n"/>
      <c r="H250" s="18" t="n"/>
      <c r="I250" s="18" t="n"/>
      <c r="J250" s="23">
        <f>IF(F250="","",F250+G250+H250+I250)</f>
        <v/>
      </c>
      <c r="K250">
        <f>IF(F250="","",IF(D250&lt;&gt;"","B2B","B2C"))</f>
        <v/>
      </c>
      <c r="L250">
        <f>IF(A250="","",TEXT(A250,"mmm-yy"))</f>
        <v/>
      </c>
    </row>
    <row r="251">
      <c r="A251" s="14" t="n"/>
      <c r="B251" s="11" t="n"/>
      <c r="C251" s="11" t="n"/>
      <c r="D251" s="11" t="n"/>
      <c r="E251" s="11" t="n"/>
      <c r="F251" s="18" t="n"/>
      <c r="G251" s="18" t="n"/>
      <c r="H251" s="18" t="n"/>
      <c r="I251" s="18" t="n"/>
      <c r="J251" s="23">
        <f>IF(F251="","",F251+G251+H251+I251)</f>
        <v/>
      </c>
      <c r="K251">
        <f>IF(F251="","",IF(D251&lt;&gt;"","B2B","B2C"))</f>
        <v/>
      </c>
      <c r="L251">
        <f>IF(A251="","",TEXT(A251,"mmm-yy"))</f>
        <v/>
      </c>
    </row>
    <row r="252">
      <c r="A252" s="14" t="n"/>
      <c r="B252" s="11" t="n"/>
      <c r="C252" s="11" t="n"/>
      <c r="D252" s="11" t="n"/>
      <c r="E252" s="11" t="n"/>
      <c r="F252" s="18" t="n"/>
      <c r="G252" s="18" t="n"/>
      <c r="H252" s="18" t="n"/>
      <c r="I252" s="18" t="n"/>
      <c r="J252" s="23">
        <f>IF(F252="","",F252+G252+H252+I252)</f>
        <v/>
      </c>
      <c r="K252">
        <f>IF(F252="","",IF(D252&lt;&gt;"","B2B","B2C"))</f>
        <v/>
      </c>
      <c r="L252">
        <f>IF(A252="","",TEXT(A252,"mmm-yy"))</f>
        <v/>
      </c>
    </row>
    <row r="253">
      <c r="A253" s="14" t="n"/>
      <c r="B253" s="11" t="n"/>
      <c r="C253" s="11" t="n"/>
      <c r="D253" s="11" t="n"/>
      <c r="E253" s="11" t="n"/>
      <c r="F253" s="18" t="n"/>
      <c r="G253" s="18" t="n"/>
      <c r="H253" s="18" t="n"/>
      <c r="I253" s="18" t="n"/>
      <c r="J253" s="23">
        <f>IF(F253="","",F253+G253+H253+I253)</f>
        <v/>
      </c>
      <c r="K253">
        <f>IF(F253="","",IF(D253&lt;&gt;"","B2B","B2C"))</f>
        <v/>
      </c>
      <c r="L253">
        <f>IF(A253="","",TEXT(A253,"mmm-yy"))</f>
        <v/>
      </c>
    </row>
    <row r="254">
      <c r="A254" s="14" t="n"/>
      <c r="B254" s="11" t="n"/>
      <c r="C254" s="11" t="n"/>
      <c r="D254" s="11" t="n"/>
      <c r="E254" s="11" t="n"/>
      <c r="F254" s="18" t="n"/>
      <c r="G254" s="18" t="n"/>
      <c r="H254" s="18" t="n"/>
      <c r="I254" s="18" t="n"/>
      <c r="J254" s="23">
        <f>IF(F254="","",F254+G254+H254+I254)</f>
        <v/>
      </c>
      <c r="K254">
        <f>IF(F254="","",IF(D254&lt;&gt;"","B2B","B2C"))</f>
        <v/>
      </c>
      <c r="L254">
        <f>IF(A254="","",TEXT(A254,"mmm-yy"))</f>
        <v/>
      </c>
    </row>
    <row r="255">
      <c r="A255" s="14" t="n"/>
      <c r="B255" s="11" t="n"/>
      <c r="C255" s="11" t="n"/>
      <c r="D255" s="11" t="n"/>
      <c r="E255" s="11" t="n"/>
      <c r="F255" s="18" t="n"/>
      <c r="G255" s="18" t="n"/>
      <c r="H255" s="18" t="n"/>
      <c r="I255" s="18" t="n"/>
      <c r="J255" s="23">
        <f>IF(F255="","",F255+G255+H255+I255)</f>
        <v/>
      </c>
      <c r="K255">
        <f>IF(F255="","",IF(D255&lt;&gt;"","B2B","B2C"))</f>
        <v/>
      </c>
      <c r="L255">
        <f>IF(A255="","",TEXT(A255,"mmm-yy"))</f>
        <v/>
      </c>
    </row>
    <row r="256">
      <c r="A256" s="14" t="n"/>
      <c r="B256" s="11" t="n"/>
      <c r="C256" s="11" t="n"/>
      <c r="D256" s="11" t="n"/>
      <c r="E256" s="11" t="n"/>
      <c r="F256" s="18" t="n"/>
      <c r="G256" s="18" t="n"/>
      <c r="H256" s="18" t="n"/>
      <c r="I256" s="18" t="n"/>
      <c r="J256" s="23">
        <f>IF(F256="","",F256+G256+H256+I256)</f>
        <v/>
      </c>
      <c r="K256">
        <f>IF(F256="","",IF(D256&lt;&gt;"","B2B","B2C"))</f>
        <v/>
      </c>
      <c r="L256">
        <f>IF(A256="","",TEXT(A256,"mmm-yy"))</f>
        <v/>
      </c>
    </row>
    <row r="257">
      <c r="A257" s="14" t="n"/>
      <c r="B257" s="11" t="n"/>
      <c r="C257" s="11" t="n"/>
      <c r="D257" s="11" t="n"/>
      <c r="E257" s="11" t="n"/>
      <c r="F257" s="18" t="n"/>
      <c r="G257" s="18" t="n"/>
      <c r="H257" s="18" t="n"/>
      <c r="I257" s="18" t="n"/>
      <c r="J257" s="23">
        <f>IF(F257="","",F257+G257+H257+I257)</f>
        <v/>
      </c>
      <c r="K257">
        <f>IF(F257="","",IF(D257&lt;&gt;"","B2B","B2C"))</f>
        <v/>
      </c>
      <c r="L257">
        <f>IF(A257="","",TEXT(A257,"mmm-yy"))</f>
        <v/>
      </c>
    </row>
    <row r="258">
      <c r="A258" s="14" t="n"/>
      <c r="B258" s="11" t="n"/>
      <c r="C258" s="11" t="n"/>
      <c r="D258" s="11" t="n"/>
      <c r="E258" s="11" t="n"/>
      <c r="F258" s="18" t="n"/>
      <c r="G258" s="18" t="n"/>
      <c r="H258" s="18" t="n"/>
      <c r="I258" s="18" t="n"/>
      <c r="J258" s="23">
        <f>IF(F258="","",F258+G258+H258+I258)</f>
        <v/>
      </c>
      <c r="K258">
        <f>IF(F258="","",IF(D258&lt;&gt;"","B2B","B2C"))</f>
        <v/>
      </c>
      <c r="L258">
        <f>IF(A258="","",TEXT(A258,"mmm-yy"))</f>
        <v/>
      </c>
    </row>
    <row r="259">
      <c r="A259" s="14" t="n"/>
      <c r="B259" s="11" t="n"/>
      <c r="C259" s="11" t="n"/>
      <c r="D259" s="11" t="n"/>
      <c r="E259" s="11" t="n"/>
      <c r="F259" s="18" t="n"/>
      <c r="G259" s="18" t="n"/>
      <c r="H259" s="18" t="n"/>
      <c r="I259" s="18" t="n"/>
      <c r="J259" s="23">
        <f>IF(F259="","",F259+G259+H259+I259)</f>
        <v/>
      </c>
      <c r="K259">
        <f>IF(F259="","",IF(D259&lt;&gt;"","B2B","B2C"))</f>
        <v/>
      </c>
      <c r="L259">
        <f>IF(A259="","",TEXT(A259,"mmm-yy"))</f>
        <v/>
      </c>
    </row>
    <row r="260">
      <c r="A260" s="14" t="n"/>
      <c r="B260" s="11" t="n"/>
      <c r="C260" s="11" t="n"/>
      <c r="D260" s="11" t="n"/>
      <c r="E260" s="11" t="n"/>
      <c r="F260" s="18" t="n"/>
      <c r="G260" s="18" t="n"/>
      <c r="H260" s="18" t="n"/>
      <c r="I260" s="18" t="n"/>
      <c r="J260" s="23">
        <f>IF(F260="","",F260+G260+H260+I260)</f>
        <v/>
      </c>
      <c r="K260">
        <f>IF(F260="","",IF(D260&lt;&gt;"","B2B","B2C"))</f>
        <v/>
      </c>
      <c r="L260">
        <f>IF(A260="","",TEXT(A260,"mmm-yy"))</f>
        <v/>
      </c>
    </row>
    <row r="261">
      <c r="A261" s="14" t="n"/>
      <c r="B261" s="11" t="n"/>
      <c r="C261" s="11" t="n"/>
      <c r="D261" s="11" t="n"/>
      <c r="E261" s="11" t="n"/>
      <c r="F261" s="18" t="n"/>
      <c r="G261" s="18" t="n"/>
      <c r="H261" s="18" t="n"/>
      <c r="I261" s="18" t="n"/>
      <c r="J261" s="23">
        <f>IF(F261="","",F261+G261+H261+I261)</f>
        <v/>
      </c>
      <c r="K261">
        <f>IF(F261="","",IF(D261&lt;&gt;"","B2B","B2C"))</f>
        <v/>
      </c>
      <c r="L261">
        <f>IF(A261="","",TEXT(A261,"mmm-yy"))</f>
        <v/>
      </c>
    </row>
    <row r="262">
      <c r="A262" s="14" t="n"/>
      <c r="B262" s="11" t="n"/>
      <c r="C262" s="11" t="n"/>
      <c r="D262" s="11" t="n"/>
      <c r="E262" s="11" t="n"/>
      <c r="F262" s="18" t="n"/>
      <c r="G262" s="18" t="n"/>
      <c r="H262" s="18" t="n"/>
      <c r="I262" s="18" t="n"/>
      <c r="J262" s="23">
        <f>IF(F262="","",F262+G262+H262+I262)</f>
        <v/>
      </c>
      <c r="K262">
        <f>IF(F262="","",IF(D262&lt;&gt;"","B2B","B2C"))</f>
        <v/>
      </c>
      <c r="L262">
        <f>IF(A262="","",TEXT(A262,"mmm-yy"))</f>
        <v/>
      </c>
    </row>
    <row r="263">
      <c r="A263" s="14" t="n"/>
      <c r="B263" s="11" t="n"/>
      <c r="C263" s="11" t="n"/>
      <c r="D263" s="11" t="n"/>
      <c r="E263" s="11" t="n"/>
      <c r="F263" s="18" t="n"/>
      <c r="G263" s="18" t="n"/>
      <c r="H263" s="18" t="n"/>
      <c r="I263" s="18" t="n"/>
      <c r="J263" s="23">
        <f>IF(F263="","",F263+G263+H263+I263)</f>
        <v/>
      </c>
      <c r="K263">
        <f>IF(F263="","",IF(D263&lt;&gt;"","B2B","B2C"))</f>
        <v/>
      </c>
      <c r="L263">
        <f>IF(A263="","",TEXT(A263,"mmm-yy"))</f>
        <v/>
      </c>
    </row>
    <row r="264">
      <c r="A264" s="14" t="n"/>
      <c r="B264" s="11" t="n"/>
      <c r="C264" s="11" t="n"/>
      <c r="D264" s="11" t="n"/>
      <c r="E264" s="11" t="n"/>
      <c r="F264" s="18" t="n"/>
      <c r="G264" s="18" t="n"/>
      <c r="H264" s="18" t="n"/>
      <c r="I264" s="18" t="n"/>
      <c r="J264" s="23">
        <f>IF(F264="","",F264+G264+H264+I264)</f>
        <v/>
      </c>
      <c r="K264">
        <f>IF(F264="","",IF(D264&lt;&gt;"","B2B","B2C"))</f>
        <v/>
      </c>
      <c r="L264">
        <f>IF(A264="","",TEXT(A264,"mmm-yy"))</f>
        <v/>
      </c>
    </row>
    <row r="265">
      <c r="A265" s="14" t="n"/>
      <c r="B265" s="11" t="n"/>
      <c r="C265" s="11" t="n"/>
      <c r="D265" s="11" t="n"/>
      <c r="E265" s="11" t="n"/>
      <c r="F265" s="18" t="n"/>
      <c r="G265" s="18" t="n"/>
      <c r="H265" s="18" t="n"/>
      <c r="I265" s="18" t="n"/>
      <c r="J265" s="23">
        <f>IF(F265="","",F265+G265+H265+I265)</f>
        <v/>
      </c>
      <c r="K265">
        <f>IF(F265="","",IF(D265&lt;&gt;"","B2B","B2C"))</f>
        <v/>
      </c>
      <c r="L265">
        <f>IF(A265="","",TEXT(A265,"mmm-yy"))</f>
        <v/>
      </c>
    </row>
    <row r="266">
      <c r="A266" s="14" t="n"/>
      <c r="B266" s="11" t="n"/>
      <c r="C266" s="11" t="n"/>
      <c r="D266" s="11" t="n"/>
      <c r="E266" s="11" t="n"/>
      <c r="F266" s="18" t="n"/>
      <c r="G266" s="18" t="n"/>
      <c r="H266" s="18" t="n"/>
      <c r="I266" s="18" t="n"/>
      <c r="J266" s="23">
        <f>IF(F266="","",F266+G266+H266+I266)</f>
        <v/>
      </c>
      <c r="K266">
        <f>IF(F266="","",IF(D266&lt;&gt;"","B2B","B2C"))</f>
        <v/>
      </c>
      <c r="L266">
        <f>IF(A266="","",TEXT(A266,"mmm-yy"))</f>
        <v/>
      </c>
    </row>
    <row r="267">
      <c r="A267" s="14" t="n"/>
      <c r="B267" s="11" t="n"/>
      <c r="C267" s="11" t="n"/>
      <c r="D267" s="11" t="n"/>
      <c r="E267" s="11" t="n"/>
      <c r="F267" s="18" t="n"/>
      <c r="G267" s="18" t="n"/>
      <c r="H267" s="18" t="n"/>
      <c r="I267" s="18" t="n"/>
      <c r="J267" s="23">
        <f>IF(F267="","",F267+G267+H267+I267)</f>
        <v/>
      </c>
      <c r="K267">
        <f>IF(F267="","",IF(D267&lt;&gt;"","B2B","B2C"))</f>
        <v/>
      </c>
      <c r="L267">
        <f>IF(A267="","",TEXT(A267,"mmm-yy"))</f>
        <v/>
      </c>
    </row>
    <row r="268">
      <c r="A268" s="14" t="n"/>
      <c r="B268" s="11" t="n"/>
      <c r="C268" s="11" t="n"/>
      <c r="D268" s="11" t="n"/>
      <c r="E268" s="11" t="n"/>
      <c r="F268" s="18" t="n"/>
      <c r="G268" s="18" t="n"/>
      <c r="H268" s="18" t="n"/>
      <c r="I268" s="18" t="n"/>
      <c r="J268" s="23">
        <f>IF(F268="","",F268+G268+H268+I268)</f>
        <v/>
      </c>
      <c r="K268">
        <f>IF(F268="","",IF(D268&lt;&gt;"","B2B","B2C"))</f>
        <v/>
      </c>
      <c r="L268">
        <f>IF(A268="","",TEXT(A268,"mmm-yy"))</f>
        <v/>
      </c>
    </row>
    <row r="269">
      <c r="A269" s="14" t="n"/>
      <c r="B269" s="11" t="n"/>
      <c r="C269" s="11" t="n"/>
      <c r="D269" s="11" t="n"/>
      <c r="E269" s="11" t="n"/>
      <c r="F269" s="18" t="n"/>
      <c r="G269" s="18" t="n"/>
      <c r="H269" s="18" t="n"/>
      <c r="I269" s="18" t="n"/>
      <c r="J269" s="23">
        <f>IF(F269="","",F269+G269+H269+I269)</f>
        <v/>
      </c>
      <c r="K269">
        <f>IF(F269="","",IF(D269&lt;&gt;"","B2B","B2C"))</f>
        <v/>
      </c>
      <c r="L269">
        <f>IF(A269="","",TEXT(A269,"mmm-yy"))</f>
        <v/>
      </c>
    </row>
    <row r="270">
      <c r="A270" s="14" t="n"/>
      <c r="B270" s="11" t="n"/>
      <c r="C270" s="11" t="n"/>
      <c r="D270" s="11" t="n"/>
      <c r="E270" s="11" t="n"/>
      <c r="F270" s="18" t="n"/>
      <c r="G270" s="18" t="n"/>
      <c r="H270" s="18" t="n"/>
      <c r="I270" s="18" t="n"/>
      <c r="J270" s="23">
        <f>IF(F270="","",F270+G270+H270+I270)</f>
        <v/>
      </c>
      <c r="K270">
        <f>IF(F270="","",IF(D270&lt;&gt;"","B2B","B2C"))</f>
        <v/>
      </c>
      <c r="L270">
        <f>IF(A270="","",TEXT(A270,"mmm-yy"))</f>
        <v/>
      </c>
    </row>
    <row r="271">
      <c r="A271" s="14" t="n"/>
      <c r="B271" s="11" t="n"/>
      <c r="C271" s="11" t="n"/>
      <c r="D271" s="11" t="n"/>
      <c r="E271" s="11" t="n"/>
      <c r="F271" s="18" t="n"/>
      <c r="G271" s="18" t="n"/>
      <c r="H271" s="18" t="n"/>
      <c r="I271" s="18" t="n"/>
      <c r="J271" s="23">
        <f>IF(F271="","",F271+G271+H271+I271)</f>
        <v/>
      </c>
      <c r="K271">
        <f>IF(F271="","",IF(D271&lt;&gt;"","B2B","B2C"))</f>
        <v/>
      </c>
      <c r="L271">
        <f>IF(A271="","",TEXT(A271,"mmm-yy"))</f>
        <v/>
      </c>
    </row>
    <row r="272">
      <c r="A272" s="14" t="n"/>
      <c r="B272" s="11" t="n"/>
      <c r="C272" s="11" t="n"/>
      <c r="D272" s="11" t="n"/>
      <c r="E272" s="11" t="n"/>
      <c r="F272" s="18" t="n"/>
      <c r="G272" s="18" t="n"/>
      <c r="H272" s="18" t="n"/>
      <c r="I272" s="18" t="n"/>
      <c r="J272" s="23">
        <f>IF(F272="","",F272+G272+H272+I272)</f>
        <v/>
      </c>
      <c r="K272">
        <f>IF(F272="","",IF(D272&lt;&gt;"","B2B","B2C"))</f>
        <v/>
      </c>
      <c r="L272">
        <f>IF(A272="","",TEXT(A272,"mmm-yy"))</f>
        <v/>
      </c>
    </row>
    <row r="273">
      <c r="A273" s="14" t="n"/>
      <c r="B273" s="11" t="n"/>
      <c r="C273" s="11" t="n"/>
      <c r="D273" s="11" t="n"/>
      <c r="E273" s="11" t="n"/>
      <c r="F273" s="18" t="n"/>
      <c r="G273" s="18" t="n"/>
      <c r="H273" s="18" t="n"/>
      <c r="I273" s="18" t="n"/>
      <c r="J273" s="23">
        <f>IF(F273="","",F273+G273+H273+I273)</f>
        <v/>
      </c>
      <c r="K273">
        <f>IF(F273="","",IF(D273&lt;&gt;"","B2B","B2C"))</f>
        <v/>
      </c>
      <c r="L273">
        <f>IF(A273="","",TEXT(A273,"mmm-yy"))</f>
        <v/>
      </c>
    </row>
    <row r="274">
      <c r="A274" s="14" t="n"/>
      <c r="B274" s="11" t="n"/>
      <c r="C274" s="11" t="n"/>
      <c r="D274" s="11" t="n"/>
      <c r="E274" s="11" t="n"/>
      <c r="F274" s="18" t="n"/>
      <c r="G274" s="18" t="n"/>
      <c r="H274" s="18" t="n"/>
      <c r="I274" s="18" t="n"/>
      <c r="J274" s="23">
        <f>IF(F274="","",F274+G274+H274+I274)</f>
        <v/>
      </c>
      <c r="K274">
        <f>IF(F274="","",IF(D274&lt;&gt;"","B2B","B2C"))</f>
        <v/>
      </c>
      <c r="L274">
        <f>IF(A274="","",TEXT(A274,"mmm-yy"))</f>
        <v/>
      </c>
    </row>
    <row r="275">
      <c r="A275" s="14" t="n"/>
      <c r="B275" s="11" t="n"/>
      <c r="C275" s="11" t="n"/>
      <c r="D275" s="11" t="n"/>
      <c r="E275" s="11" t="n"/>
      <c r="F275" s="18" t="n"/>
      <c r="G275" s="18" t="n"/>
      <c r="H275" s="18" t="n"/>
      <c r="I275" s="18" t="n"/>
      <c r="J275" s="23">
        <f>IF(F275="","",F275+G275+H275+I275)</f>
        <v/>
      </c>
      <c r="K275">
        <f>IF(F275="","",IF(D275&lt;&gt;"","B2B","B2C"))</f>
        <v/>
      </c>
      <c r="L275">
        <f>IF(A275="","",TEXT(A275,"mmm-yy"))</f>
        <v/>
      </c>
    </row>
    <row r="276">
      <c r="A276" s="14" t="n"/>
      <c r="B276" s="11" t="n"/>
      <c r="C276" s="11" t="n"/>
      <c r="D276" s="11" t="n"/>
      <c r="E276" s="11" t="n"/>
      <c r="F276" s="18" t="n"/>
      <c r="G276" s="18" t="n"/>
      <c r="H276" s="18" t="n"/>
      <c r="I276" s="18" t="n"/>
      <c r="J276" s="23">
        <f>IF(F276="","",F276+G276+H276+I276)</f>
        <v/>
      </c>
      <c r="K276">
        <f>IF(F276="","",IF(D276&lt;&gt;"","B2B","B2C"))</f>
        <v/>
      </c>
      <c r="L276">
        <f>IF(A276="","",TEXT(A276,"mmm-yy"))</f>
        <v/>
      </c>
    </row>
    <row r="277">
      <c r="A277" s="14" t="n"/>
      <c r="B277" s="11" t="n"/>
      <c r="C277" s="11" t="n"/>
      <c r="D277" s="11" t="n"/>
      <c r="E277" s="11" t="n"/>
      <c r="F277" s="18" t="n"/>
      <c r="G277" s="18" t="n"/>
      <c r="H277" s="18" t="n"/>
      <c r="I277" s="18" t="n"/>
      <c r="J277" s="23">
        <f>IF(F277="","",F277+G277+H277+I277)</f>
        <v/>
      </c>
      <c r="K277">
        <f>IF(F277="","",IF(D277&lt;&gt;"","B2B","B2C"))</f>
        <v/>
      </c>
      <c r="L277">
        <f>IF(A277="","",TEXT(A277,"mmm-yy"))</f>
        <v/>
      </c>
    </row>
    <row r="278">
      <c r="A278" s="14" t="n"/>
      <c r="B278" s="11" t="n"/>
      <c r="C278" s="11" t="n"/>
      <c r="D278" s="11" t="n"/>
      <c r="E278" s="11" t="n"/>
      <c r="F278" s="18" t="n"/>
      <c r="G278" s="18" t="n"/>
      <c r="H278" s="18" t="n"/>
      <c r="I278" s="18" t="n"/>
      <c r="J278" s="23">
        <f>IF(F278="","",F278+G278+H278+I278)</f>
        <v/>
      </c>
      <c r="K278">
        <f>IF(F278="","",IF(D278&lt;&gt;"","B2B","B2C"))</f>
        <v/>
      </c>
      <c r="L278">
        <f>IF(A278="","",TEXT(A278,"mmm-yy"))</f>
        <v/>
      </c>
    </row>
    <row r="279">
      <c r="A279" s="14" t="n"/>
      <c r="B279" s="11" t="n"/>
      <c r="C279" s="11" t="n"/>
      <c r="D279" s="11" t="n"/>
      <c r="E279" s="11" t="n"/>
      <c r="F279" s="18" t="n"/>
      <c r="G279" s="18" t="n"/>
      <c r="H279" s="18" t="n"/>
      <c r="I279" s="18" t="n"/>
      <c r="J279" s="23">
        <f>IF(F279="","",F279+G279+H279+I279)</f>
        <v/>
      </c>
      <c r="K279">
        <f>IF(F279="","",IF(D279&lt;&gt;"","B2B","B2C"))</f>
        <v/>
      </c>
      <c r="L279">
        <f>IF(A279="","",TEXT(A279,"mmm-yy"))</f>
        <v/>
      </c>
    </row>
    <row r="280">
      <c r="A280" s="14" t="n"/>
      <c r="B280" s="11" t="n"/>
      <c r="C280" s="11" t="n"/>
      <c r="D280" s="11" t="n"/>
      <c r="E280" s="11" t="n"/>
      <c r="F280" s="18" t="n"/>
      <c r="G280" s="18" t="n"/>
      <c r="H280" s="18" t="n"/>
      <c r="I280" s="18" t="n"/>
      <c r="J280" s="23">
        <f>IF(F280="","",F280+G280+H280+I280)</f>
        <v/>
      </c>
      <c r="K280">
        <f>IF(F280="","",IF(D280&lt;&gt;"","B2B","B2C"))</f>
        <v/>
      </c>
      <c r="L280">
        <f>IF(A280="","",TEXT(A280,"mmm-yy"))</f>
        <v/>
      </c>
    </row>
    <row r="281">
      <c r="A281" s="14" t="n"/>
      <c r="B281" s="11" t="n"/>
      <c r="C281" s="11" t="n"/>
      <c r="D281" s="11" t="n"/>
      <c r="E281" s="11" t="n"/>
      <c r="F281" s="18" t="n"/>
      <c r="G281" s="18" t="n"/>
      <c r="H281" s="18" t="n"/>
      <c r="I281" s="18" t="n"/>
      <c r="J281" s="23">
        <f>IF(F281="","",F281+G281+H281+I281)</f>
        <v/>
      </c>
      <c r="K281">
        <f>IF(F281="","",IF(D281&lt;&gt;"","B2B","B2C"))</f>
        <v/>
      </c>
      <c r="L281">
        <f>IF(A281="","",TEXT(A281,"mmm-yy"))</f>
        <v/>
      </c>
    </row>
    <row r="282">
      <c r="A282" s="14" t="n"/>
      <c r="B282" s="11" t="n"/>
      <c r="C282" s="11" t="n"/>
      <c r="D282" s="11" t="n"/>
      <c r="E282" s="11" t="n"/>
      <c r="F282" s="18" t="n"/>
      <c r="G282" s="18" t="n"/>
      <c r="H282" s="18" t="n"/>
      <c r="I282" s="18" t="n"/>
      <c r="J282" s="23">
        <f>IF(F282="","",F282+G282+H282+I282)</f>
        <v/>
      </c>
      <c r="K282">
        <f>IF(F282="","",IF(D282&lt;&gt;"","B2B","B2C"))</f>
        <v/>
      </c>
      <c r="L282">
        <f>IF(A282="","",TEXT(A282,"mmm-yy"))</f>
        <v/>
      </c>
    </row>
    <row r="283">
      <c r="A283" s="14" t="n"/>
      <c r="B283" s="11" t="n"/>
      <c r="C283" s="11" t="n"/>
      <c r="D283" s="11" t="n"/>
      <c r="E283" s="11" t="n"/>
      <c r="F283" s="18" t="n"/>
      <c r="G283" s="18" t="n"/>
      <c r="H283" s="18" t="n"/>
      <c r="I283" s="18" t="n"/>
      <c r="J283" s="23">
        <f>IF(F283="","",F283+G283+H283+I283)</f>
        <v/>
      </c>
      <c r="K283">
        <f>IF(F283="","",IF(D283&lt;&gt;"","B2B","B2C"))</f>
        <v/>
      </c>
      <c r="L283">
        <f>IF(A283="","",TEXT(A283,"mmm-yy"))</f>
        <v/>
      </c>
    </row>
    <row r="284">
      <c r="A284" s="14" t="n"/>
      <c r="B284" s="11" t="n"/>
      <c r="C284" s="11" t="n"/>
      <c r="D284" s="11" t="n"/>
      <c r="E284" s="11" t="n"/>
      <c r="F284" s="18" t="n"/>
      <c r="G284" s="18" t="n"/>
      <c r="H284" s="18" t="n"/>
      <c r="I284" s="18" t="n"/>
      <c r="J284" s="23">
        <f>IF(F284="","",F284+G284+H284+I284)</f>
        <v/>
      </c>
      <c r="K284">
        <f>IF(F284="","",IF(D284&lt;&gt;"","B2B","B2C"))</f>
        <v/>
      </c>
      <c r="L284">
        <f>IF(A284="","",TEXT(A284,"mmm-yy"))</f>
        <v/>
      </c>
    </row>
    <row r="285">
      <c r="A285" s="14" t="n"/>
      <c r="B285" s="11" t="n"/>
      <c r="C285" s="11" t="n"/>
      <c r="D285" s="11" t="n"/>
      <c r="E285" s="11" t="n"/>
      <c r="F285" s="18" t="n"/>
      <c r="G285" s="18" t="n"/>
      <c r="H285" s="18" t="n"/>
      <c r="I285" s="18" t="n"/>
      <c r="J285" s="23">
        <f>IF(F285="","",F285+G285+H285+I285)</f>
        <v/>
      </c>
      <c r="K285">
        <f>IF(F285="","",IF(D285&lt;&gt;"","B2B","B2C"))</f>
        <v/>
      </c>
      <c r="L285">
        <f>IF(A285="","",TEXT(A285,"mmm-yy"))</f>
        <v/>
      </c>
    </row>
    <row r="286">
      <c r="A286" s="14" t="n"/>
      <c r="B286" s="11" t="n"/>
      <c r="C286" s="11" t="n"/>
      <c r="D286" s="11" t="n"/>
      <c r="E286" s="11" t="n"/>
      <c r="F286" s="18" t="n"/>
      <c r="G286" s="18" t="n"/>
      <c r="H286" s="18" t="n"/>
      <c r="I286" s="18" t="n"/>
      <c r="J286" s="23">
        <f>IF(F286="","",F286+G286+H286+I286)</f>
        <v/>
      </c>
      <c r="K286">
        <f>IF(F286="","",IF(D286&lt;&gt;"","B2B","B2C"))</f>
        <v/>
      </c>
      <c r="L286">
        <f>IF(A286="","",TEXT(A286,"mmm-yy"))</f>
        <v/>
      </c>
    </row>
    <row r="287">
      <c r="A287" s="14" t="n"/>
      <c r="B287" s="11" t="n"/>
      <c r="C287" s="11" t="n"/>
      <c r="D287" s="11" t="n"/>
      <c r="E287" s="11" t="n"/>
      <c r="F287" s="18" t="n"/>
      <c r="G287" s="18" t="n"/>
      <c r="H287" s="18" t="n"/>
      <c r="I287" s="18" t="n"/>
      <c r="J287" s="23">
        <f>IF(F287="","",F287+G287+H287+I287)</f>
        <v/>
      </c>
      <c r="K287">
        <f>IF(F287="","",IF(D287&lt;&gt;"","B2B","B2C"))</f>
        <v/>
      </c>
      <c r="L287">
        <f>IF(A287="","",TEXT(A287,"mmm-yy"))</f>
        <v/>
      </c>
    </row>
    <row r="288">
      <c r="A288" s="14" t="n"/>
      <c r="B288" s="11" t="n"/>
      <c r="C288" s="11" t="n"/>
      <c r="D288" s="11" t="n"/>
      <c r="E288" s="11" t="n"/>
      <c r="F288" s="18" t="n"/>
      <c r="G288" s="18" t="n"/>
      <c r="H288" s="18" t="n"/>
      <c r="I288" s="18" t="n"/>
      <c r="J288" s="23">
        <f>IF(F288="","",F288+G288+H288+I288)</f>
        <v/>
      </c>
      <c r="K288">
        <f>IF(F288="","",IF(D288&lt;&gt;"","B2B","B2C"))</f>
        <v/>
      </c>
      <c r="L288">
        <f>IF(A288="","",TEXT(A288,"mmm-yy"))</f>
        <v/>
      </c>
    </row>
    <row r="289">
      <c r="A289" s="14" t="n"/>
      <c r="B289" s="11" t="n"/>
      <c r="C289" s="11" t="n"/>
      <c r="D289" s="11" t="n"/>
      <c r="E289" s="11" t="n"/>
      <c r="F289" s="18" t="n"/>
      <c r="G289" s="18" t="n"/>
      <c r="H289" s="18" t="n"/>
      <c r="I289" s="18" t="n"/>
      <c r="J289" s="23">
        <f>IF(F289="","",F289+G289+H289+I289)</f>
        <v/>
      </c>
      <c r="K289">
        <f>IF(F289="","",IF(D289&lt;&gt;"","B2B","B2C"))</f>
        <v/>
      </c>
      <c r="L289">
        <f>IF(A289="","",TEXT(A289,"mmm-yy"))</f>
        <v/>
      </c>
    </row>
    <row r="290">
      <c r="A290" s="14" t="n"/>
      <c r="B290" s="11" t="n"/>
      <c r="C290" s="11" t="n"/>
      <c r="D290" s="11" t="n"/>
      <c r="E290" s="11" t="n"/>
      <c r="F290" s="18" t="n"/>
      <c r="G290" s="18" t="n"/>
      <c r="H290" s="18" t="n"/>
      <c r="I290" s="18" t="n"/>
      <c r="J290" s="23">
        <f>IF(F290="","",F290+G290+H290+I290)</f>
        <v/>
      </c>
      <c r="K290">
        <f>IF(F290="","",IF(D290&lt;&gt;"","B2B","B2C"))</f>
        <v/>
      </c>
      <c r="L290">
        <f>IF(A290="","",TEXT(A290,"mmm-yy"))</f>
        <v/>
      </c>
    </row>
    <row r="291">
      <c r="A291" s="14" t="n"/>
      <c r="B291" s="11" t="n"/>
      <c r="C291" s="11" t="n"/>
      <c r="D291" s="11" t="n"/>
      <c r="E291" s="11" t="n"/>
      <c r="F291" s="18" t="n"/>
      <c r="G291" s="18" t="n"/>
      <c r="H291" s="18" t="n"/>
      <c r="I291" s="18" t="n"/>
      <c r="J291" s="23">
        <f>IF(F291="","",F291+G291+H291+I291)</f>
        <v/>
      </c>
      <c r="K291">
        <f>IF(F291="","",IF(D291&lt;&gt;"","B2B","B2C"))</f>
        <v/>
      </c>
      <c r="L291">
        <f>IF(A291="","",TEXT(A291,"mmm-yy"))</f>
        <v/>
      </c>
    </row>
    <row r="292">
      <c r="A292" s="14" t="n"/>
      <c r="B292" s="11" t="n"/>
      <c r="C292" s="11" t="n"/>
      <c r="D292" s="11" t="n"/>
      <c r="E292" s="11" t="n"/>
      <c r="F292" s="18" t="n"/>
      <c r="G292" s="18" t="n"/>
      <c r="H292" s="18" t="n"/>
      <c r="I292" s="18" t="n"/>
      <c r="J292" s="23">
        <f>IF(F292="","",F292+G292+H292+I292)</f>
        <v/>
      </c>
      <c r="K292">
        <f>IF(F292="","",IF(D292&lt;&gt;"","B2B","B2C"))</f>
        <v/>
      </c>
      <c r="L292">
        <f>IF(A292="","",TEXT(A292,"mmm-yy"))</f>
        <v/>
      </c>
    </row>
    <row r="293">
      <c r="A293" s="14" t="n"/>
      <c r="B293" s="11" t="n"/>
      <c r="C293" s="11" t="n"/>
      <c r="D293" s="11" t="n"/>
      <c r="E293" s="11" t="n"/>
      <c r="F293" s="18" t="n"/>
      <c r="G293" s="18" t="n"/>
      <c r="H293" s="18" t="n"/>
      <c r="I293" s="18" t="n"/>
      <c r="J293" s="23">
        <f>IF(F293="","",F293+G293+H293+I293)</f>
        <v/>
      </c>
      <c r="K293">
        <f>IF(F293="","",IF(D293&lt;&gt;"","B2B","B2C"))</f>
        <v/>
      </c>
      <c r="L293">
        <f>IF(A293="","",TEXT(A293,"mmm-yy"))</f>
        <v/>
      </c>
    </row>
    <row r="294">
      <c r="A294" s="14" t="n"/>
      <c r="B294" s="11" t="n"/>
      <c r="C294" s="11" t="n"/>
      <c r="D294" s="11" t="n"/>
      <c r="E294" s="11" t="n"/>
      <c r="F294" s="18" t="n"/>
      <c r="G294" s="18" t="n"/>
      <c r="H294" s="18" t="n"/>
      <c r="I294" s="18" t="n"/>
      <c r="J294" s="23">
        <f>IF(F294="","",F294+G294+H294+I294)</f>
        <v/>
      </c>
      <c r="K294">
        <f>IF(F294="","",IF(D294&lt;&gt;"","B2B","B2C"))</f>
        <v/>
      </c>
      <c r="L294">
        <f>IF(A294="","",TEXT(A294,"mmm-yy"))</f>
        <v/>
      </c>
    </row>
    <row r="295">
      <c r="A295" s="14" t="n"/>
      <c r="B295" s="11" t="n"/>
      <c r="C295" s="11" t="n"/>
      <c r="D295" s="11" t="n"/>
      <c r="E295" s="11" t="n"/>
      <c r="F295" s="18" t="n"/>
      <c r="G295" s="18" t="n"/>
      <c r="H295" s="18" t="n"/>
      <c r="I295" s="18" t="n"/>
      <c r="J295" s="23">
        <f>IF(F295="","",F295+G295+H295+I295)</f>
        <v/>
      </c>
      <c r="K295">
        <f>IF(F295="","",IF(D295&lt;&gt;"","B2B","B2C"))</f>
        <v/>
      </c>
      <c r="L295">
        <f>IF(A295="","",TEXT(A295,"mmm-yy"))</f>
        <v/>
      </c>
    </row>
    <row r="296">
      <c r="A296" s="14" t="n"/>
      <c r="B296" s="11" t="n"/>
      <c r="C296" s="11" t="n"/>
      <c r="D296" s="11" t="n"/>
      <c r="E296" s="11" t="n"/>
      <c r="F296" s="18" t="n"/>
      <c r="G296" s="18" t="n"/>
      <c r="H296" s="18" t="n"/>
      <c r="I296" s="18" t="n"/>
      <c r="J296" s="23">
        <f>IF(F296="","",F296+G296+H296+I296)</f>
        <v/>
      </c>
      <c r="K296">
        <f>IF(F296="","",IF(D296&lt;&gt;"","B2B","B2C"))</f>
        <v/>
      </c>
      <c r="L296">
        <f>IF(A296="","",TEXT(A296,"mmm-yy"))</f>
        <v/>
      </c>
    </row>
    <row r="297">
      <c r="A297" s="14" t="n"/>
      <c r="B297" s="11" t="n"/>
      <c r="C297" s="11" t="n"/>
      <c r="D297" s="11" t="n"/>
      <c r="E297" s="11" t="n"/>
      <c r="F297" s="18" t="n"/>
      <c r="G297" s="18" t="n"/>
      <c r="H297" s="18" t="n"/>
      <c r="I297" s="18" t="n"/>
      <c r="J297" s="23">
        <f>IF(F297="","",F297+G297+H297+I297)</f>
        <v/>
      </c>
      <c r="K297">
        <f>IF(F297="","",IF(D297&lt;&gt;"","B2B","B2C"))</f>
        <v/>
      </c>
      <c r="L297">
        <f>IF(A297="","",TEXT(A297,"mmm-yy"))</f>
        <v/>
      </c>
    </row>
    <row r="298">
      <c r="A298" s="14" t="n"/>
      <c r="B298" s="11" t="n"/>
      <c r="C298" s="11" t="n"/>
      <c r="D298" s="11" t="n"/>
      <c r="E298" s="11" t="n"/>
      <c r="F298" s="18" t="n"/>
      <c r="G298" s="18" t="n"/>
      <c r="H298" s="18" t="n"/>
      <c r="I298" s="18" t="n"/>
      <c r="J298" s="23">
        <f>IF(F298="","",F298+G298+H298+I298)</f>
        <v/>
      </c>
      <c r="K298">
        <f>IF(F298="","",IF(D298&lt;&gt;"","B2B","B2C"))</f>
        <v/>
      </c>
      <c r="L298">
        <f>IF(A298="","",TEXT(A298,"mmm-yy"))</f>
        <v/>
      </c>
    </row>
    <row r="299">
      <c r="A299" s="14" t="n"/>
      <c r="B299" s="11" t="n"/>
      <c r="C299" s="11" t="n"/>
      <c r="D299" s="11" t="n"/>
      <c r="E299" s="11" t="n"/>
      <c r="F299" s="18" t="n"/>
      <c r="G299" s="18" t="n"/>
      <c r="H299" s="18" t="n"/>
      <c r="I299" s="18" t="n"/>
      <c r="J299" s="23">
        <f>IF(F299="","",F299+G299+H299+I299)</f>
        <v/>
      </c>
      <c r="K299">
        <f>IF(F299="","",IF(D299&lt;&gt;"","B2B","B2C"))</f>
        <v/>
      </c>
      <c r="L299">
        <f>IF(A299="","",TEXT(A299,"mmm-yy"))</f>
        <v/>
      </c>
    </row>
    <row r="300">
      <c r="A300" s="14" t="n"/>
      <c r="B300" s="11" t="n"/>
      <c r="C300" s="11" t="n"/>
      <c r="D300" s="11" t="n"/>
      <c r="E300" s="11" t="n"/>
      <c r="F300" s="18" t="n"/>
      <c r="G300" s="18" t="n"/>
      <c r="H300" s="18" t="n"/>
      <c r="I300" s="18" t="n"/>
      <c r="J300" s="23">
        <f>IF(F300="","",F300+G300+H300+I300)</f>
        <v/>
      </c>
      <c r="K300">
        <f>IF(F300="","",IF(D300&lt;&gt;"","B2B","B2C"))</f>
        <v/>
      </c>
      <c r="L300">
        <f>IF(A300="","",TEXT(A300,"mmm-yy"))</f>
        <v/>
      </c>
    </row>
    <row r="301">
      <c r="A301" s="14" t="n"/>
      <c r="B301" s="11" t="n"/>
      <c r="C301" s="11" t="n"/>
      <c r="D301" s="11" t="n"/>
      <c r="E301" s="11" t="n"/>
      <c r="F301" s="18" t="n"/>
      <c r="G301" s="18" t="n"/>
      <c r="H301" s="18" t="n"/>
      <c r="I301" s="18" t="n"/>
      <c r="J301" s="23">
        <f>IF(F301="","",F301+G301+H301+I301)</f>
        <v/>
      </c>
      <c r="K301">
        <f>IF(F301="","",IF(D301&lt;&gt;"","B2B","B2C"))</f>
        <v/>
      </c>
      <c r="L301">
        <f>IF(A301="","",TEXT(A301,"mmm-yy"))</f>
        <v/>
      </c>
    </row>
    <row r="302">
      <c r="A302" s="14" t="n"/>
      <c r="B302" s="11" t="n"/>
      <c r="C302" s="11" t="n"/>
      <c r="D302" s="11" t="n"/>
      <c r="E302" s="11" t="n"/>
      <c r="F302" s="18" t="n"/>
      <c r="G302" s="18" t="n"/>
      <c r="H302" s="18" t="n"/>
      <c r="I302" s="18" t="n"/>
      <c r="J302" s="23">
        <f>IF(F302="","",F302+G302+H302+I302)</f>
        <v/>
      </c>
      <c r="K302">
        <f>IF(F302="","",IF(D302&lt;&gt;"","B2B","B2C"))</f>
        <v/>
      </c>
      <c r="L302">
        <f>IF(A302="","",TEXT(A302,"mmm-yy"))</f>
        <v/>
      </c>
    </row>
    <row r="303">
      <c r="A303" s="14" t="n"/>
      <c r="B303" s="11" t="n"/>
      <c r="C303" s="11" t="n"/>
      <c r="D303" s="11" t="n"/>
      <c r="E303" s="11" t="n"/>
      <c r="F303" s="18" t="n"/>
      <c r="G303" s="18" t="n"/>
      <c r="H303" s="18" t="n"/>
      <c r="I303" s="18" t="n"/>
      <c r="J303" s="23">
        <f>IF(F303="","",F303+G303+H303+I303)</f>
        <v/>
      </c>
      <c r="K303">
        <f>IF(F303="","",IF(D303&lt;&gt;"","B2B","B2C"))</f>
        <v/>
      </c>
      <c r="L303">
        <f>IF(A303="","",TEXT(A303,"mmm-yy"))</f>
        <v/>
      </c>
    </row>
    <row r="304">
      <c r="A304" s="14" t="n"/>
      <c r="B304" s="11" t="n"/>
      <c r="C304" s="11" t="n"/>
      <c r="D304" s="11" t="n"/>
      <c r="E304" s="11" t="n"/>
      <c r="F304" s="18" t="n"/>
      <c r="G304" s="18" t="n"/>
      <c r="H304" s="18" t="n"/>
      <c r="I304" s="18" t="n"/>
      <c r="J304" s="23">
        <f>IF(F304="","",F304+G304+H304+I304)</f>
        <v/>
      </c>
      <c r="K304">
        <f>IF(F304="","",IF(D304&lt;&gt;"","B2B","B2C"))</f>
        <v/>
      </c>
      <c r="L304">
        <f>IF(A304="","",TEXT(A304,"mmm-yy"))</f>
        <v/>
      </c>
    </row>
    <row r="305">
      <c r="A305" s="14" t="n"/>
      <c r="B305" s="11" t="n"/>
      <c r="C305" s="11" t="n"/>
      <c r="D305" s="11" t="n"/>
      <c r="E305" s="11" t="n"/>
      <c r="F305" s="18" t="n"/>
      <c r="G305" s="18" t="n"/>
      <c r="H305" s="18" t="n"/>
      <c r="I305" s="18" t="n"/>
      <c r="J305" s="23">
        <f>IF(F305="","",F305+G305+H305+I305)</f>
        <v/>
      </c>
      <c r="K305">
        <f>IF(F305="","",IF(D305&lt;&gt;"","B2B","B2C"))</f>
        <v/>
      </c>
      <c r="L305">
        <f>IF(A305="","",TEXT(A305,"mmm-yy"))</f>
        <v/>
      </c>
    </row>
    <row r="306">
      <c r="A306" s="14" t="n"/>
      <c r="B306" s="11" t="n"/>
      <c r="C306" s="11" t="n"/>
      <c r="D306" s="11" t="n"/>
      <c r="E306" s="11" t="n"/>
      <c r="F306" s="18" t="n"/>
      <c r="G306" s="18" t="n"/>
      <c r="H306" s="18" t="n"/>
      <c r="I306" s="18" t="n"/>
      <c r="J306" s="23">
        <f>IF(F306="","",F306+G306+H306+I306)</f>
        <v/>
      </c>
      <c r="K306">
        <f>IF(F306="","",IF(D306&lt;&gt;"","B2B","B2C"))</f>
        <v/>
      </c>
      <c r="L306">
        <f>IF(A306="","",TEXT(A306,"mmm-yy"))</f>
        <v/>
      </c>
    </row>
    <row r="307">
      <c r="A307" s="14" t="n"/>
      <c r="B307" s="11" t="n"/>
      <c r="C307" s="11" t="n"/>
      <c r="D307" s="11" t="n"/>
      <c r="E307" s="11" t="n"/>
      <c r="F307" s="18" t="n"/>
      <c r="G307" s="18" t="n"/>
      <c r="H307" s="18" t="n"/>
      <c r="I307" s="18" t="n"/>
      <c r="J307" s="23">
        <f>IF(F307="","",F307+G307+H307+I307)</f>
        <v/>
      </c>
      <c r="K307">
        <f>IF(F307="","",IF(D307&lt;&gt;"","B2B","B2C"))</f>
        <v/>
      </c>
      <c r="L307">
        <f>IF(A307="","",TEXT(A307,"mmm-yy"))</f>
        <v/>
      </c>
    </row>
    <row r="308">
      <c r="A308" s="14" t="n"/>
      <c r="B308" s="11" t="n"/>
      <c r="C308" s="11" t="n"/>
      <c r="D308" s="11" t="n"/>
      <c r="E308" s="11" t="n"/>
      <c r="F308" s="18" t="n"/>
      <c r="G308" s="18" t="n"/>
      <c r="H308" s="18" t="n"/>
      <c r="I308" s="18" t="n"/>
      <c r="J308" s="23">
        <f>IF(F308="","",F308+G308+H308+I308)</f>
        <v/>
      </c>
      <c r="K308">
        <f>IF(F308="","",IF(D308&lt;&gt;"","B2B","B2C"))</f>
        <v/>
      </c>
      <c r="L308">
        <f>IF(A308="","",TEXT(A308,"mmm-yy"))</f>
        <v/>
      </c>
    </row>
    <row r="309">
      <c r="A309" s="14" t="n"/>
      <c r="B309" s="11" t="n"/>
      <c r="C309" s="11" t="n"/>
      <c r="D309" s="11" t="n"/>
      <c r="E309" s="11" t="n"/>
      <c r="F309" s="18" t="n"/>
      <c r="G309" s="18" t="n"/>
      <c r="H309" s="18" t="n"/>
      <c r="I309" s="18" t="n"/>
      <c r="J309" s="23">
        <f>IF(F309="","",F309+G309+H309+I309)</f>
        <v/>
      </c>
      <c r="K309">
        <f>IF(F309="","",IF(D309&lt;&gt;"","B2B","B2C"))</f>
        <v/>
      </c>
      <c r="L309">
        <f>IF(A309="","",TEXT(A309,"mmm-yy"))</f>
        <v/>
      </c>
    </row>
    <row r="310">
      <c r="A310" s="14" t="n"/>
      <c r="B310" s="11" t="n"/>
      <c r="C310" s="11" t="n"/>
      <c r="D310" s="11" t="n"/>
      <c r="E310" s="11" t="n"/>
      <c r="F310" s="18" t="n"/>
      <c r="G310" s="18" t="n"/>
      <c r="H310" s="18" t="n"/>
      <c r="I310" s="18" t="n"/>
      <c r="J310" s="23">
        <f>IF(F310="","",F310+G310+H310+I310)</f>
        <v/>
      </c>
      <c r="K310">
        <f>IF(F310="","",IF(D310&lt;&gt;"","B2B","B2C"))</f>
        <v/>
      </c>
      <c r="L310">
        <f>IF(A310="","",TEXT(A310,"mmm-yy"))</f>
        <v/>
      </c>
    </row>
    <row r="311">
      <c r="A311" s="14" t="n"/>
      <c r="B311" s="11" t="n"/>
      <c r="C311" s="11" t="n"/>
      <c r="D311" s="11" t="n"/>
      <c r="E311" s="11" t="n"/>
      <c r="F311" s="18" t="n"/>
      <c r="G311" s="18" t="n"/>
      <c r="H311" s="18" t="n"/>
      <c r="I311" s="18" t="n"/>
      <c r="J311" s="23">
        <f>IF(F311="","",F311+G311+H311+I311)</f>
        <v/>
      </c>
      <c r="K311">
        <f>IF(F311="","",IF(D311&lt;&gt;"","B2B","B2C"))</f>
        <v/>
      </c>
      <c r="L311">
        <f>IF(A311="","",TEXT(A311,"mmm-yy"))</f>
        <v/>
      </c>
    </row>
    <row r="312">
      <c r="A312" s="14" t="n"/>
      <c r="B312" s="11" t="n"/>
      <c r="C312" s="11" t="n"/>
      <c r="D312" s="11" t="n"/>
      <c r="E312" s="11" t="n"/>
      <c r="F312" s="18" t="n"/>
      <c r="G312" s="18" t="n"/>
      <c r="H312" s="18" t="n"/>
      <c r="I312" s="18" t="n"/>
      <c r="J312" s="23">
        <f>IF(F312="","",F312+G312+H312+I312)</f>
        <v/>
      </c>
      <c r="K312">
        <f>IF(F312="","",IF(D312&lt;&gt;"","B2B","B2C"))</f>
        <v/>
      </c>
      <c r="L312">
        <f>IF(A312="","",TEXT(A312,"mmm-yy"))</f>
        <v/>
      </c>
    </row>
    <row r="313">
      <c r="A313" s="14" t="n"/>
      <c r="B313" s="11" t="n"/>
      <c r="C313" s="11" t="n"/>
      <c r="D313" s="11" t="n"/>
      <c r="E313" s="11" t="n"/>
      <c r="F313" s="18" t="n"/>
      <c r="G313" s="18" t="n"/>
      <c r="H313" s="18" t="n"/>
      <c r="I313" s="18" t="n"/>
      <c r="J313" s="23">
        <f>IF(F313="","",F313+G313+H313+I313)</f>
        <v/>
      </c>
      <c r="K313">
        <f>IF(F313="","",IF(D313&lt;&gt;"","B2B","B2C"))</f>
        <v/>
      </c>
      <c r="L313">
        <f>IF(A313="","",TEXT(A313,"mmm-yy"))</f>
        <v/>
      </c>
    </row>
    <row r="314">
      <c r="A314" s="14" t="n"/>
      <c r="B314" s="11" t="n"/>
      <c r="C314" s="11" t="n"/>
      <c r="D314" s="11" t="n"/>
      <c r="E314" s="11" t="n"/>
      <c r="F314" s="18" t="n"/>
      <c r="G314" s="18" t="n"/>
      <c r="H314" s="18" t="n"/>
      <c r="I314" s="18" t="n"/>
      <c r="J314" s="23">
        <f>IF(F314="","",F314+G314+H314+I314)</f>
        <v/>
      </c>
      <c r="K314">
        <f>IF(F314="","",IF(D314&lt;&gt;"","B2B","B2C"))</f>
        <v/>
      </c>
      <c r="L314">
        <f>IF(A314="","",TEXT(A314,"mmm-yy"))</f>
        <v/>
      </c>
    </row>
    <row r="315">
      <c r="A315" s="14" t="n"/>
      <c r="B315" s="11" t="n"/>
      <c r="C315" s="11" t="n"/>
      <c r="D315" s="11" t="n"/>
      <c r="E315" s="11" t="n"/>
      <c r="F315" s="18" t="n"/>
      <c r="G315" s="18" t="n"/>
      <c r="H315" s="18" t="n"/>
      <c r="I315" s="18" t="n"/>
      <c r="J315" s="23">
        <f>IF(F315="","",F315+G315+H315+I315)</f>
        <v/>
      </c>
      <c r="K315">
        <f>IF(F315="","",IF(D315&lt;&gt;"","B2B","B2C"))</f>
        <v/>
      </c>
      <c r="L315">
        <f>IF(A315="","",TEXT(A315,"mmm-yy"))</f>
        <v/>
      </c>
    </row>
    <row r="316">
      <c r="A316" s="14" t="n"/>
      <c r="B316" s="11" t="n"/>
      <c r="C316" s="11" t="n"/>
      <c r="D316" s="11" t="n"/>
      <c r="E316" s="11" t="n"/>
      <c r="F316" s="18" t="n"/>
      <c r="G316" s="18" t="n"/>
      <c r="H316" s="18" t="n"/>
      <c r="I316" s="18" t="n"/>
      <c r="J316" s="23">
        <f>IF(F316="","",F316+G316+H316+I316)</f>
        <v/>
      </c>
      <c r="K316">
        <f>IF(F316="","",IF(D316&lt;&gt;"","B2B","B2C"))</f>
        <v/>
      </c>
      <c r="L316">
        <f>IF(A316="","",TEXT(A316,"mmm-yy"))</f>
        <v/>
      </c>
    </row>
    <row r="317">
      <c r="A317" s="14" t="n"/>
      <c r="B317" s="11" t="n"/>
      <c r="C317" s="11" t="n"/>
      <c r="D317" s="11" t="n"/>
      <c r="E317" s="11" t="n"/>
      <c r="F317" s="18" t="n"/>
      <c r="G317" s="18" t="n"/>
      <c r="H317" s="18" t="n"/>
      <c r="I317" s="18" t="n"/>
      <c r="J317" s="23">
        <f>IF(F317="","",F317+G317+H317+I317)</f>
        <v/>
      </c>
      <c r="K317">
        <f>IF(F317="","",IF(D317&lt;&gt;"","B2B","B2C"))</f>
        <v/>
      </c>
      <c r="L317">
        <f>IF(A317="","",TEXT(A317,"mmm-yy"))</f>
        <v/>
      </c>
    </row>
    <row r="318">
      <c r="A318" s="14" t="n"/>
      <c r="B318" s="11" t="n"/>
      <c r="C318" s="11" t="n"/>
      <c r="D318" s="11" t="n"/>
      <c r="E318" s="11" t="n"/>
      <c r="F318" s="18" t="n"/>
      <c r="G318" s="18" t="n"/>
      <c r="H318" s="18" t="n"/>
      <c r="I318" s="18" t="n"/>
      <c r="J318" s="23">
        <f>IF(F318="","",F318+G318+H318+I318)</f>
        <v/>
      </c>
      <c r="K318">
        <f>IF(F318="","",IF(D318&lt;&gt;"","B2B","B2C"))</f>
        <v/>
      </c>
      <c r="L318">
        <f>IF(A318="","",TEXT(A318,"mmm-yy"))</f>
        <v/>
      </c>
    </row>
    <row r="319">
      <c r="A319" s="14" t="n"/>
      <c r="B319" s="11" t="n"/>
      <c r="C319" s="11" t="n"/>
      <c r="D319" s="11" t="n"/>
      <c r="E319" s="11" t="n"/>
      <c r="F319" s="18" t="n"/>
      <c r="G319" s="18" t="n"/>
      <c r="H319" s="18" t="n"/>
      <c r="I319" s="18" t="n"/>
      <c r="J319" s="23">
        <f>IF(F319="","",F319+G319+H319+I319)</f>
        <v/>
      </c>
      <c r="K319">
        <f>IF(F319="","",IF(D319&lt;&gt;"","B2B","B2C"))</f>
        <v/>
      </c>
      <c r="L319">
        <f>IF(A319="","",TEXT(A319,"mmm-yy"))</f>
        <v/>
      </c>
    </row>
    <row r="320">
      <c r="A320" s="14" t="n"/>
      <c r="B320" s="11" t="n"/>
      <c r="C320" s="11" t="n"/>
      <c r="D320" s="11" t="n"/>
      <c r="E320" s="11" t="n"/>
      <c r="F320" s="18" t="n"/>
      <c r="G320" s="18" t="n"/>
      <c r="H320" s="18" t="n"/>
      <c r="I320" s="18" t="n"/>
      <c r="J320" s="23">
        <f>IF(F320="","",F320+G320+H320+I320)</f>
        <v/>
      </c>
      <c r="K320">
        <f>IF(F320="","",IF(D320&lt;&gt;"","B2B","B2C"))</f>
        <v/>
      </c>
      <c r="L320">
        <f>IF(A320="","",TEXT(A320,"mmm-yy"))</f>
        <v/>
      </c>
    </row>
    <row r="321">
      <c r="A321" s="14" t="n"/>
      <c r="B321" s="11" t="n"/>
      <c r="C321" s="11" t="n"/>
      <c r="D321" s="11" t="n"/>
      <c r="E321" s="11" t="n"/>
      <c r="F321" s="18" t="n"/>
      <c r="G321" s="18" t="n"/>
      <c r="H321" s="18" t="n"/>
      <c r="I321" s="18" t="n"/>
      <c r="J321" s="23">
        <f>IF(F321="","",F321+G321+H321+I321)</f>
        <v/>
      </c>
      <c r="K321">
        <f>IF(F321="","",IF(D321&lt;&gt;"","B2B","B2C"))</f>
        <v/>
      </c>
      <c r="L321">
        <f>IF(A321="","",TEXT(A321,"mmm-yy"))</f>
        <v/>
      </c>
    </row>
    <row r="322">
      <c r="A322" s="14" t="n"/>
      <c r="B322" s="11" t="n"/>
      <c r="C322" s="11" t="n"/>
      <c r="D322" s="11" t="n"/>
      <c r="E322" s="11" t="n"/>
      <c r="F322" s="18" t="n"/>
      <c r="G322" s="18" t="n"/>
      <c r="H322" s="18" t="n"/>
      <c r="I322" s="18" t="n"/>
      <c r="J322" s="23">
        <f>IF(F322="","",F322+G322+H322+I322)</f>
        <v/>
      </c>
      <c r="K322">
        <f>IF(F322="","",IF(D322&lt;&gt;"","B2B","B2C"))</f>
        <v/>
      </c>
      <c r="L322">
        <f>IF(A322="","",TEXT(A322,"mmm-yy"))</f>
        <v/>
      </c>
    </row>
    <row r="323">
      <c r="A323" s="14" t="n"/>
      <c r="B323" s="11" t="n"/>
      <c r="C323" s="11" t="n"/>
      <c r="D323" s="11" t="n"/>
      <c r="E323" s="11" t="n"/>
      <c r="F323" s="18" t="n"/>
      <c r="G323" s="18" t="n"/>
      <c r="H323" s="18" t="n"/>
      <c r="I323" s="18" t="n"/>
      <c r="J323" s="23">
        <f>IF(F323="","",F323+G323+H323+I323)</f>
        <v/>
      </c>
      <c r="K323">
        <f>IF(F323="","",IF(D323&lt;&gt;"","B2B","B2C"))</f>
        <v/>
      </c>
      <c r="L323">
        <f>IF(A323="","",TEXT(A323,"mmm-yy"))</f>
        <v/>
      </c>
    </row>
    <row r="324">
      <c r="A324" s="14" t="n"/>
      <c r="B324" s="11" t="n"/>
      <c r="C324" s="11" t="n"/>
      <c r="D324" s="11" t="n"/>
      <c r="E324" s="11" t="n"/>
      <c r="F324" s="18" t="n"/>
      <c r="G324" s="18" t="n"/>
      <c r="H324" s="18" t="n"/>
      <c r="I324" s="18" t="n"/>
      <c r="J324" s="23">
        <f>IF(F324="","",F324+G324+H324+I324)</f>
        <v/>
      </c>
      <c r="K324">
        <f>IF(F324="","",IF(D324&lt;&gt;"","B2B","B2C"))</f>
        <v/>
      </c>
      <c r="L324">
        <f>IF(A324="","",TEXT(A324,"mmm-yy"))</f>
        <v/>
      </c>
    </row>
    <row r="325">
      <c r="A325" s="14" t="n"/>
      <c r="B325" s="11" t="n"/>
      <c r="C325" s="11" t="n"/>
      <c r="D325" s="11" t="n"/>
      <c r="E325" s="11" t="n"/>
      <c r="F325" s="18" t="n"/>
      <c r="G325" s="18" t="n"/>
      <c r="H325" s="18" t="n"/>
      <c r="I325" s="18" t="n"/>
      <c r="J325" s="23">
        <f>IF(F325="","",F325+G325+H325+I325)</f>
        <v/>
      </c>
      <c r="K325">
        <f>IF(F325="","",IF(D325&lt;&gt;"","B2B","B2C"))</f>
        <v/>
      </c>
      <c r="L325">
        <f>IF(A325="","",TEXT(A325,"mmm-yy"))</f>
        <v/>
      </c>
    </row>
    <row r="326">
      <c r="A326" s="14" t="n"/>
      <c r="B326" s="11" t="n"/>
      <c r="C326" s="11" t="n"/>
      <c r="D326" s="11" t="n"/>
      <c r="E326" s="11" t="n"/>
      <c r="F326" s="18" t="n"/>
      <c r="G326" s="18" t="n"/>
      <c r="H326" s="18" t="n"/>
      <c r="I326" s="18" t="n"/>
      <c r="J326" s="23">
        <f>IF(F326="","",F326+G326+H326+I326)</f>
        <v/>
      </c>
      <c r="K326">
        <f>IF(F326="","",IF(D326&lt;&gt;"","B2B","B2C"))</f>
        <v/>
      </c>
      <c r="L326">
        <f>IF(A326="","",TEXT(A326,"mmm-yy"))</f>
        <v/>
      </c>
    </row>
    <row r="327">
      <c r="A327" s="14" t="n"/>
      <c r="B327" s="11" t="n"/>
      <c r="C327" s="11" t="n"/>
      <c r="D327" s="11" t="n"/>
      <c r="E327" s="11" t="n"/>
      <c r="F327" s="18" t="n"/>
      <c r="G327" s="18" t="n"/>
      <c r="H327" s="18" t="n"/>
      <c r="I327" s="18" t="n"/>
      <c r="J327" s="23">
        <f>IF(F327="","",F327+G327+H327+I327)</f>
        <v/>
      </c>
      <c r="K327">
        <f>IF(F327="","",IF(D327&lt;&gt;"","B2B","B2C"))</f>
        <v/>
      </c>
      <c r="L327">
        <f>IF(A327="","",TEXT(A327,"mmm-yy"))</f>
        <v/>
      </c>
    </row>
    <row r="328">
      <c r="A328" s="14" t="n"/>
      <c r="B328" s="11" t="n"/>
      <c r="C328" s="11" t="n"/>
      <c r="D328" s="11" t="n"/>
      <c r="E328" s="11" t="n"/>
      <c r="F328" s="18" t="n"/>
      <c r="G328" s="18" t="n"/>
      <c r="H328" s="18" t="n"/>
      <c r="I328" s="18" t="n"/>
      <c r="J328" s="23">
        <f>IF(F328="","",F328+G328+H328+I328)</f>
        <v/>
      </c>
      <c r="K328">
        <f>IF(F328="","",IF(D328&lt;&gt;"","B2B","B2C"))</f>
        <v/>
      </c>
      <c r="L328">
        <f>IF(A328="","",TEXT(A328,"mmm-yy"))</f>
        <v/>
      </c>
    </row>
    <row r="329">
      <c r="A329" s="14" t="n"/>
      <c r="B329" s="11" t="n"/>
      <c r="C329" s="11" t="n"/>
      <c r="D329" s="11" t="n"/>
      <c r="E329" s="11" t="n"/>
      <c r="F329" s="18" t="n"/>
      <c r="G329" s="18" t="n"/>
      <c r="H329" s="18" t="n"/>
      <c r="I329" s="18" t="n"/>
      <c r="J329" s="23">
        <f>IF(F329="","",F329+G329+H329+I329)</f>
        <v/>
      </c>
      <c r="K329">
        <f>IF(F329="","",IF(D329&lt;&gt;"","B2B","B2C"))</f>
        <v/>
      </c>
      <c r="L329">
        <f>IF(A329="","",TEXT(A329,"mmm-yy"))</f>
        <v/>
      </c>
    </row>
    <row r="330">
      <c r="A330" s="14" t="n"/>
      <c r="B330" s="11" t="n"/>
      <c r="C330" s="11" t="n"/>
      <c r="D330" s="11" t="n"/>
      <c r="E330" s="11" t="n"/>
      <c r="F330" s="18" t="n"/>
      <c r="G330" s="18" t="n"/>
      <c r="H330" s="18" t="n"/>
      <c r="I330" s="18" t="n"/>
      <c r="J330" s="23">
        <f>IF(F330="","",F330+G330+H330+I330)</f>
        <v/>
      </c>
      <c r="K330">
        <f>IF(F330="","",IF(D330&lt;&gt;"","B2B","B2C"))</f>
        <v/>
      </c>
      <c r="L330">
        <f>IF(A330="","",TEXT(A330,"mmm-yy"))</f>
        <v/>
      </c>
    </row>
    <row r="331">
      <c r="A331" s="14" t="n"/>
      <c r="B331" s="11" t="n"/>
      <c r="C331" s="11" t="n"/>
      <c r="D331" s="11" t="n"/>
      <c r="E331" s="11" t="n"/>
      <c r="F331" s="18" t="n"/>
      <c r="G331" s="18" t="n"/>
      <c r="H331" s="18" t="n"/>
      <c r="I331" s="18" t="n"/>
      <c r="J331" s="23">
        <f>IF(F331="","",F331+G331+H331+I331)</f>
        <v/>
      </c>
      <c r="K331">
        <f>IF(F331="","",IF(D331&lt;&gt;"","B2B","B2C"))</f>
        <v/>
      </c>
      <c r="L331">
        <f>IF(A331="","",TEXT(A331,"mmm-yy"))</f>
        <v/>
      </c>
    </row>
    <row r="332">
      <c r="A332" s="14" t="n"/>
      <c r="B332" s="11" t="n"/>
      <c r="C332" s="11" t="n"/>
      <c r="D332" s="11" t="n"/>
      <c r="E332" s="11" t="n"/>
      <c r="F332" s="18" t="n"/>
      <c r="G332" s="18" t="n"/>
      <c r="H332" s="18" t="n"/>
      <c r="I332" s="18" t="n"/>
      <c r="J332" s="23">
        <f>IF(F332="","",F332+G332+H332+I332)</f>
        <v/>
      </c>
      <c r="K332">
        <f>IF(F332="","",IF(D332&lt;&gt;"","B2B","B2C"))</f>
        <v/>
      </c>
      <c r="L332">
        <f>IF(A332="","",TEXT(A332,"mmm-yy"))</f>
        <v/>
      </c>
    </row>
    <row r="333">
      <c r="A333" s="14" t="n"/>
      <c r="B333" s="11" t="n"/>
      <c r="C333" s="11" t="n"/>
      <c r="D333" s="11" t="n"/>
      <c r="E333" s="11" t="n"/>
      <c r="F333" s="18" t="n"/>
      <c r="G333" s="18" t="n"/>
      <c r="H333" s="18" t="n"/>
      <c r="I333" s="18" t="n"/>
      <c r="J333" s="23">
        <f>IF(F333="","",F333+G333+H333+I333)</f>
        <v/>
      </c>
      <c r="K333">
        <f>IF(F333="","",IF(D333&lt;&gt;"","B2B","B2C"))</f>
        <v/>
      </c>
      <c r="L333">
        <f>IF(A333="","",TEXT(A333,"mmm-yy"))</f>
        <v/>
      </c>
    </row>
    <row r="334">
      <c r="A334" s="14" t="n"/>
      <c r="B334" s="11" t="n"/>
      <c r="C334" s="11" t="n"/>
      <c r="D334" s="11" t="n"/>
      <c r="E334" s="11" t="n"/>
      <c r="F334" s="18" t="n"/>
      <c r="G334" s="18" t="n"/>
      <c r="H334" s="18" t="n"/>
      <c r="I334" s="18" t="n"/>
      <c r="J334" s="23">
        <f>IF(F334="","",F334+G334+H334+I334)</f>
        <v/>
      </c>
      <c r="K334">
        <f>IF(F334="","",IF(D334&lt;&gt;"","B2B","B2C"))</f>
        <v/>
      </c>
      <c r="L334">
        <f>IF(A334="","",TEXT(A334,"mmm-yy"))</f>
        <v/>
      </c>
    </row>
    <row r="335">
      <c r="A335" s="14" t="n"/>
      <c r="B335" s="11" t="n"/>
      <c r="C335" s="11" t="n"/>
      <c r="D335" s="11" t="n"/>
      <c r="E335" s="11" t="n"/>
      <c r="F335" s="18" t="n"/>
      <c r="G335" s="18" t="n"/>
      <c r="H335" s="18" t="n"/>
      <c r="I335" s="18" t="n"/>
      <c r="J335" s="23">
        <f>IF(F335="","",F335+G335+H335+I335)</f>
        <v/>
      </c>
      <c r="K335">
        <f>IF(F335="","",IF(D335&lt;&gt;"","B2B","B2C"))</f>
        <v/>
      </c>
      <c r="L335">
        <f>IF(A335="","",TEXT(A335,"mmm-yy"))</f>
        <v/>
      </c>
    </row>
    <row r="336">
      <c r="A336" s="14" t="n"/>
      <c r="B336" s="11" t="n"/>
      <c r="C336" s="11" t="n"/>
      <c r="D336" s="11" t="n"/>
      <c r="E336" s="11" t="n"/>
      <c r="F336" s="18" t="n"/>
      <c r="G336" s="18" t="n"/>
      <c r="H336" s="18" t="n"/>
      <c r="I336" s="18" t="n"/>
      <c r="J336" s="23">
        <f>IF(F336="","",F336+G336+H336+I336)</f>
        <v/>
      </c>
      <c r="K336">
        <f>IF(F336="","",IF(D336&lt;&gt;"","B2B","B2C"))</f>
        <v/>
      </c>
      <c r="L336">
        <f>IF(A336="","",TEXT(A336,"mmm-yy"))</f>
        <v/>
      </c>
    </row>
    <row r="337">
      <c r="A337" s="14" t="n"/>
      <c r="B337" s="11" t="n"/>
      <c r="C337" s="11" t="n"/>
      <c r="D337" s="11" t="n"/>
      <c r="E337" s="11" t="n"/>
      <c r="F337" s="18" t="n"/>
      <c r="G337" s="18" t="n"/>
      <c r="H337" s="18" t="n"/>
      <c r="I337" s="18" t="n"/>
      <c r="J337" s="23">
        <f>IF(F337="","",F337+G337+H337+I337)</f>
        <v/>
      </c>
      <c r="K337">
        <f>IF(F337="","",IF(D337&lt;&gt;"","B2B","B2C"))</f>
        <v/>
      </c>
      <c r="L337">
        <f>IF(A337="","",TEXT(A337,"mmm-yy"))</f>
        <v/>
      </c>
    </row>
    <row r="338">
      <c r="A338" s="14" t="n"/>
      <c r="B338" s="11" t="n"/>
      <c r="C338" s="11" t="n"/>
      <c r="D338" s="11" t="n"/>
      <c r="E338" s="11" t="n"/>
      <c r="F338" s="18" t="n"/>
      <c r="G338" s="18" t="n"/>
      <c r="H338" s="18" t="n"/>
      <c r="I338" s="18" t="n"/>
      <c r="J338" s="23">
        <f>IF(F338="","",F338+G338+H338+I338)</f>
        <v/>
      </c>
      <c r="K338">
        <f>IF(F338="","",IF(D338&lt;&gt;"","B2B","B2C"))</f>
        <v/>
      </c>
      <c r="L338">
        <f>IF(A338="","",TEXT(A338,"mmm-yy"))</f>
        <v/>
      </c>
    </row>
    <row r="339">
      <c r="A339" s="14" t="n"/>
      <c r="B339" s="11" t="n"/>
      <c r="C339" s="11" t="n"/>
      <c r="D339" s="11" t="n"/>
      <c r="E339" s="11" t="n"/>
      <c r="F339" s="18" t="n"/>
      <c r="G339" s="18" t="n"/>
      <c r="H339" s="18" t="n"/>
      <c r="I339" s="18" t="n"/>
      <c r="J339" s="23">
        <f>IF(F339="","",F339+G339+H339+I339)</f>
        <v/>
      </c>
      <c r="K339">
        <f>IF(F339="","",IF(D339&lt;&gt;"","B2B","B2C"))</f>
        <v/>
      </c>
      <c r="L339">
        <f>IF(A339="","",TEXT(A339,"mmm-yy"))</f>
        <v/>
      </c>
    </row>
    <row r="340">
      <c r="A340" s="14" t="n"/>
      <c r="B340" s="11" t="n"/>
      <c r="C340" s="11" t="n"/>
      <c r="D340" s="11" t="n"/>
      <c r="E340" s="11" t="n"/>
      <c r="F340" s="18" t="n"/>
      <c r="G340" s="18" t="n"/>
      <c r="H340" s="18" t="n"/>
      <c r="I340" s="18" t="n"/>
      <c r="J340" s="23">
        <f>IF(F340="","",F340+G340+H340+I340)</f>
        <v/>
      </c>
      <c r="K340">
        <f>IF(F340="","",IF(D340&lt;&gt;"","B2B","B2C"))</f>
        <v/>
      </c>
      <c r="L340">
        <f>IF(A340="","",TEXT(A340,"mmm-yy"))</f>
        <v/>
      </c>
    </row>
    <row r="341">
      <c r="A341" s="14" t="n"/>
      <c r="B341" s="11" t="n"/>
      <c r="C341" s="11" t="n"/>
      <c r="D341" s="11" t="n"/>
      <c r="E341" s="11" t="n"/>
      <c r="F341" s="18" t="n"/>
      <c r="G341" s="18" t="n"/>
      <c r="H341" s="18" t="n"/>
      <c r="I341" s="18" t="n"/>
      <c r="J341" s="23">
        <f>IF(F341="","",F341+G341+H341+I341)</f>
        <v/>
      </c>
      <c r="K341">
        <f>IF(F341="","",IF(D341&lt;&gt;"","B2B","B2C"))</f>
        <v/>
      </c>
      <c r="L341">
        <f>IF(A341="","",TEXT(A341,"mmm-yy"))</f>
        <v/>
      </c>
    </row>
    <row r="342">
      <c r="A342" s="14" t="n"/>
      <c r="B342" s="11" t="n"/>
      <c r="C342" s="11" t="n"/>
      <c r="D342" s="11" t="n"/>
      <c r="E342" s="11" t="n"/>
      <c r="F342" s="18" t="n"/>
      <c r="G342" s="18" t="n"/>
      <c r="H342" s="18" t="n"/>
      <c r="I342" s="18" t="n"/>
      <c r="J342" s="23">
        <f>IF(F342="","",F342+G342+H342+I342)</f>
        <v/>
      </c>
      <c r="K342">
        <f>IF(F342="","",IF(D342&lt;&gt;"","B2B","B2C"))</f>
        <v/>
      </c>
      <c r="L342">
        <f>IF(A342="","",TEXT(A342,"mmm-yy"))</f>
        <v/>
      </c>
    </row>
    <row r="343">
      <c r="A343" s="14" t="n"/>
      <c r="B343" s="11" t="n"/>
      <c r="C343" s="11" t="n"/>
      <c r="D343" s="11" t="n"/>
      <c r="E343" s="11" t="n"/>
      <c r="F343" s="18" t="n"/>
      <c r="G343" s="18" t="n"/>
      <c r="H343" s="18" t="n"/>
      <c r="I343" s="18" t="n"/>
      <c r="J343" s="23">
        <f>IF(F343="","",F343+G343+H343+I343)</f>
        <v/>
      </c>
      <c r="K343">
        <f>IF(F343="","",IF(D343&lt;&gt;"","B2B","B2C"))</f>
        <v/>
      </c>
      <c r="L343">
        <f>IF(A343="","",TEXT(A343,"mmm-yy"))</f>
        <v/>
      </c>
    </row>
    <row r="344">
      <c r="A344" s="14" t="n"/>
      <c r="B344" s="11" t="n"/>
      <c r="C344" s="11" t="n"/>
      <c r="D344" s="11" t="n"/>
      <c r="E344" s="11" t="n"/>
      <c r="F344" s="18" t="n"/>
      <c r="G344" s="18" t="n"/>
      <c r="H344" s="18" t="n"/>
      <c r="I344" s="18" t="n"/>
      <c r="J344" s="23">
        <f>IF(F344="","",F344+G344+H344+I344)</f>
        <v/>
      </c>
      <c r="K344">
        <f>IF(F344="","",IF(D344&lt;&gt;"","B2B","B2C"))</f>
        <v/>
      </c>
      <c r="L344">
        <f>IF(A344="","",TEXT(A344,"mmm-yy"))</f>
        <v/>
      </c>
    </row>
    <row r="345">
      <c r="A345" s="14" t="n"/>
      <c r="B345" s="11" t="n"/>
      <c r="C345" s="11" t="n"/>
      <c r="D345" s="11" t="n"/>
      <c r="E345" s="11" t="n"/>
      <c r="F345" s="18" t="n"/>
      <c r="G345" s="18" t="n"/>
      <c r="H345" s="18" t="n"/>
      <c r="I345" s="18" t="n"/>
      <c r="J345" s="23">
        <f>IF(F345="","",F345+G345+H345+I345)</f>
        <v/>
      </c>
      <c r="K345">
        <f>IF(F345="","",IF(D345&lt;&gt;"","B2B","B2C"))</f>
        <v/>
      </c>
      <c r="L345">
        <f>IF(A345="","",TEXT(A345,"mmm-yy"))</f>
        <v/>
      </c>
    </row>
    <row r="346">
      <c r="A346" s="14" t="n"/>
      <c r="B346" s="11" t="n"/>
      <c r="C346" s="11" t="n"/>
      <c r="D346" s="11" t="n"/>
      <c r="E346" s="11" t="n"/>
      <c r="F346" s="18" t="n"/>
      <c r="G346" s="18" t="n"/>
      <c r="H346" s="18" t="n"/>
      <c r="I346" s="18" t="n"/>
      <c r="J346" s="23">
        <f>IF(F346="","",F346+G346+H346+I346)</f>
        <v/>
      </c>
      <c r="K346">
        <f>IF(F346="","",IF(D346&lt;&gt;"","B2B","B2C"))</f>
        <v/>
      </c>
      <c r="L346">
        <f>IF(A346="","",TEXT(A346,"mmm-yy"))</f>
        <v/>
      </c>
    </row>
    <row r="347">
      <c r="A347" s="14" t="n"/>
      <c r="B347" s="11" t="n"/>
      <c r="C347" s="11" t="n"/>
      <c r="D347" s="11" t="n"/>
      <c r="E347" s="11" t="n"/>
      <c r="F347" s="18" t="n"/>
      <c r="G347" s="18" t="n"/>
      <c r="H347" s="18" t="n"/>
      <c r="I347" s="18" t="n"/>
      <c r="J347" s="23">
        <f>IF(F347="","",F347+G347+H347+I347)</f>
        <v/>
      </c>
      <c r="K347">
        <f>IF(F347="","",IF(D347&lt;&gt;"","B2B","B2C"))</f>
        <v/>
      </c>
      <c r="L347">
        <f>IF(A347="","",TEXT(A347,"mmm-yy"))</f>
        <v/>
      </c>
    </row>
    <row r="348">
      <c r="A348" s="14" t="n"/>
      <c r="B348" s="11" t="n"/>
      <c r="C348" s="11" t="n"/>
      <c r="D348" s="11" t="n"/>
      <c r="E348" s="11" t="n"/>
      <c r="F348" s="18" t="n"/>
      <c r="G348" s="18" t="n"/>
      <c r="H348" s="18" t="n"/>
      <c r="I348" s="18" t="n"/>
      <c r="J348" s="23">
        <f>IF(F348="","",F348+G348+H348+I348)</f>
        <v/>
      </c>
      <c r="K348">
        <f>IF(F348="","",IF(D348&lt;&gt;"","B2B","B2C"))</f>
        <v/>
      </c>
      <c r="L348">
        <f>IF(A348="","",TEXT(A348,"mmm-yy"))</f>
        <v/>
      </c>
    </row>
    <row r="349">
      <c r="A349" s="14" t="n"/>
      <c r="B349" s="11" t="n"/>
      <c r="C349" s="11" t="n"/>
      <c r="D349" s="11" t="n"/>
      <c r="E349" s="11" t="n"/>
      <c r="F349" s="18" t="n"/>
      <c r="G349" s="18" t="n"/>
      <c r="H349" s="18" t="n"/>
      <c r="I349" s="18" t="n"/>
      <c r="J349" s="23">
        <f>IF(F349="","",F349+G349+H349+I349)</f>
        <v/>
      </c>
      <c r="K349">
        <f>IF(F349="","",IF(D349&lt;&gt;"","B2B","B2C"))</f>
        <v/>
      </c>
      <c r="L349">
        <f>IF(A349="","",TEXT(A349,"mmm-yy"))</f>
        <v/>
      </c>
    </row>
    <row r="350">
      <c r="A350" s="14" t="n"/>
      <c r="B350" s="11" t="n"/>
      <c r="C350" s="11" t="n"/>
      <c r="D350" s="11" t="n"/>
      <c r="E350" s="11" t="n"/>
      <c r="F350" s="18" t="n"/>
      <c r="G350" s="18" t="n"/>
      <c r="H350" s="18" t="n"/>
      <c r="I350" s="18" t="n"/>
      <c r="J350" s="23">
        <f>IF(F350="","",F350+G350+H350+I350)</f>
        <v/>
      </c>
      <c r="K350">
        <f>IF(F350="","",IF(D350&lt;&gt;"","B2B","B2C"))</f>
        <v/>
      </c>
      <c r="L350">
        <f>IF(A350="","",TEXT(A350,"mmm-yy"))</f>
        <v/>
      </c>
    </row>
    <row r="351">
      <c r="A351" s="14" t="n"/>
      <c r="B351" s="11" t="n"/>
      <c r="C351" s="11" t="n"/>
      <c r="D351" s="11" t="n"/>
      <c r="E351" s="11" t="n"/>
      <c r="F351" s="18" t="n"/>
      <c r="G351" s="18" t="n"/>
      <c r="H351" s="18" t="n"/>
      <c r="I351" s="18" t="n"/>
      <c r="J351" s="23">
        <f>IF(F351="","",F351+G351+H351+I351)</f>
        <v/>
      </c>
      <c r="K351">
        <f>IF(F351="","",IF(D351&lt;&gt;"","B2B","B2C"))</f>
        <v/>
      </c>
      <c r="L351">
        <f>IF(A351="","",TEXT(A351,"mmm-yy"))</f>
        <v/>
      </c>
    </row>
    <row r="352">
      <c r="A352" s="14" t="n"/>
      <c r="B352" s="11" t="n"/>
      <c r="C352" s="11" t="n"/>
      <c r="D352" s="11" t="n"/>
      <c r="E352" s="11" t="n"/>
      <c r="F352" s="18" t="n"/>
      <c r="G352" s="18" t="n"/>
      <c r="H352" s="18" t="n"/>
      <c r="I352" s="18" t="n"/>
      <c r="J352" s="23">
        <f>IF(F352="","",F352+G352+H352+I352)</f>
        <v/>
      </c>
      <c r="K352">
        <f>IF(F352="","",IF(D352&lt;&gt;"","B2B","B2C"))</f>
        <v/>
      </c>
      <c r="L352">
        <f>IF(A352="","",TEXT(A352,"mmm-yy"))</f>
        <v/>
      </c>
    </row>
    <row r="353">
      <c r="A353" s="14" t="n"/>
      <c r="B353" s="11" t="n"/>
      <c r="C353" s="11" t="n"/>
      <c r="D353" s="11" t="n"/>
      <c r="E353" s="11" t="n"/>
      <c r="F353" s="18" t="n"/>
      <c r="G353" s="18" t="n"/>
      <c r="H353" s="18" t="n"/>
      <c r="I353" s="18" t="n"/>
      <c r="J353" s="23">
        <f>IF(F353="","",F353+G353+H353+I353)</f>
        <v/>
      </c>
      <c r="K353">
        <f>IF(F353="","",IF(D353&lt;&gt;"","B2B","B2C"))</f>
        <v/>
      </c>
      <c r="L353">
        <f>IF(A353="","",TEXT(A353,"mmm-yy"))</f>
        <v/>
      </c>
    </row>
    <row r="354">
      <c r="A354" s="14" t="n"/>
      <c r="B354" s="11" t="n"/>
      <c r="C354" s="11" t="n"/>
      <c r="D354" s="11" t="n"/>
      <c r="E354" s="11" t="n"/>
      <c r="F354" s="18" t="n"/>
      <c r="G354" s="18" t="n"/>
      <c r="H354" s="18" t="n"/>
      <c r="I354" s="18" t="n"/>
      <c r="J354" s="23">
        <f>IF(F354="","",F354+G354+H354+I354)</f>
        <v/>
      </c>
      <c r="K354">
        <f>IF(F354="","",IF(D354&lt;&gt;"","B2B","B2C"))</f>
        <v/>
      </c>
      <c r="L354">
        <f>IF(A354="","",TEXT(A354,"mmm-yy"))</f>
        <v/>
      </c>
    </row>
    <row r="355">
      <c r="A355" s="14" t="n"/>
      <c r="B355" s="11" t="n"/>
      <c r="C355" s="11" t="n"/>
      <c r="D355" s="11" t="n"/>
      <c r="E355" s="11" t="n"/>
      <c r="F355" s="18" t="n"/>
      <c r="G355" s="18" t="n"/>
      <c r="H355" s="18" t="n"/>
      <c r="I355" s="18" t="n"/>
      <c r="J355" s="23">
        <f>IF(F355="","",F355+G355+H355+I355)</f>
        <v/>
      </c>
      <c r="K355">
        <f>IF(F355="","",IF(D355&lt;&gt;"","B2B","B2C"))</f>
        <v/>
      </c>
      <c r="L355">
        <f>IF(A355="","",TEXT(A355,"mmm-yy"))</f>
        <v/>
      </c>
    </row>
    <row r="356">
      <c r="A356" s="14" t="n"/>
      <c r="B356" s="11" t="n"/>
      <c r="C356" s="11" t="n"/>
      <c r="D356" s="11" t="n"/>
      <c r="E356" s="11" t="n"/>
      <c r="F356" s="18" t="n"/>
      <c r="G356" s="18" t="n"/>
      <c r="H356" s="18" t="n"/>
      <c r="I356" s="18" t="n"/>
      <c r="J356" s="23">
        <f>IF(F356="","",F356+G356+H356+I356)</f>
        <v/>
      </c>
      <c r="K356">
        <f>IF(F356="","",IF(D356&lt;&gt;"","B2B","B2C"))</f>
        <v/>
      </c>
      <c r="L356">
        <f>IF(A356="","",TEXT(A356,"mmm-yy"))</f>
        <v/>
      </c>
    </row>
    <row r="357">
      <c r="A357" s="14" t="n"/>
      <c r="B357" s="11" t="n"/>
      <c r="C357" s="11" t="n"/>
      <c r="D357" s="11" t="n"/>
      <c r="E357" s="11" t="n"/>
      <c r="F357" s="18" t="n"/>
      <c r="G357" s="18" t="n"/>
      <c r="H357" s="18" t="n"/>
      <c r="I357" s="18" t="n"/>
      <c r="J357" s="23">
        <f>IF(F357="","",F357+G357+H357+I357)</f>
        <v/>
      </c>
      <c r="K357">
        <f>IF(F357="","",IF(D357&lt;&gt;"","B2B","B2C"))</f>
        <v/>
      </c>
      <c r="L357">
        <f>IF(A357="","",TEXT(A357,"mmm-yy"))</f>
        <v/>
      </c>
    </row>
    <row r="358">
      <c r="A358" s="14" t="n"/>
      <c r="B358" s="11" t="n"/>
      <c r="C358" s="11" t="n"/>
      <c r="D358" s="11" t="n"/>
      <c r="E358" s="11" t="n"/>
      <c r="F358" s="18" t="n"/>
      <c r="G358" s="18" t="n"/>
      <c r="H358" s="18" t="n"/>
      <c r="I358" s="18" t="n"/>
      <c r="J358" s="23">
        <f>IF(F358="","",F358+G358+H358+I358)</f>
        <v/>
      </c>
      <c r="K358">
        <f>IF(F358="","",IF(D358&lt;&gt;"","B2B","B2C"))</f>
        <v/>
      </c>
      <c r="L358">
        <f>IF(A358="","",TEXT(A358,"mmm-yy"))</f>
        <v/>
      </c>
    </row>
    <row r="359">
      <c r="A359" s="14" t="n"/>
      <c r="B359" s="11" t="n"/>
      <c r="C359" s="11" t="n"/>
      <c r="D359" s="11" t="n"/>
      <c r="E359" s="11" t="n"/>
      <c r="F359" s="18" t="n"/>
      <c r="G359" s="18" t="n"/>
      <c r="H359" s="18" t="n"/>
      <c r="I359" s="18" t="n"/>
      <c r="J359" s="23">
        <f>IF(F359="","",F359+G359+H359+I359)</f>
        <v/>
      </c>
      <c r="K359">
        <f>IF(F359="","",IF(D359&lt;&gt;"","B2B","B2C"))</f>
        <v/>
      </c>
      <c r="L359">
        <f>IF(A359="","",TEXT(A359,"mmm-yy"))</f>
        <v/>
      </c>
    </row>
    <row r="360">
      <c r="A360" s="14" t="n"/>
      <c r="B360" s="11" t="n"/>
      <c r="C360" s="11" t="n"/>
      <c r="D360" s="11" t="n"/>
      <c r="E360" s="11" t="n"/>
      <c r="F360" s="18" t="n"/>
      <c r="G360" s="18" t="n"/>
      <c r="H360" s="18" t="n"/>
      <c r="I360" s="18" t="n"/>
      <c r="J360" s="23">
        <f>IF(F360="","",F360+G360+H360+I360)</f>
        <v/>
      </c>
      <c r="K360">
        <f>IF(F360="","",IF(D360&lt;&gt;"","B2B","B2C"))</f>
        <v/>
      </c>
      <c r="L360">
        <f>IF(A360="","",TEXT(A360,"mmm-yy"))</f>
        <v/>
      </c>
    </row>
    <row r="361">
      <c r="A361" s="14" t="n"/>
      <c r="B361" s="11" t="n"/>
      <c r="C361" s="11" t="n"/>
      <c r="D361" s="11" t="n"/>
      <c r="E361" s="11" t="n"/>
      <c r="F361" s="18" t="n"/>
      <c r="G361" s="18" t="n"/>
      <c r="H361" s="18" t="n"/>
      <c r="I361" s="18" t="n"/>
      <c r="J361" s="23">
        <f>IF(F361="","",F361+G361+H361+I361)</f>
        <v/>
      </c>
      <c r="K361">
        <f>IF(F361="","",IF(D361&lt;&gt;"","B2B","B2C"))</f>
        <v/>
      </c>
      <c r="L361">
        <f>IF(A361="","",TEXT(A361,"mmm-yy"))</f>
        <v/>
      </c>
    </row>
    <row r="362">
      <c r="A362" s="14" t="n"/>
      <c r="B362" s="11" t="n"/>
      <c r="C362" s="11" t="n"/>
      <c r="D362" s="11" t="n"/>
      <c r="E362" s="11" t="n"/>
      <c r="F362" s="18" t="n"/>
      <c r="G362" s="18" t="n"/>
      <c r="H362" s="18" t="n"/>
      <c r="I362" s="18" t="n"/>
      <c r="J362" s="23">
        <f>IF(F362="","",F362+G362+H362+I362)</f>
        <v/>
      </c>
      <c r="K362">
        <f>IF(F362="","",IF(D362&lt;&gt;"","B2B","B2C"))</f>
        <v/>
      </c>
      <c r="L362">
        <f>IF(A362="","",TEXT(A362,"mmm-yy"))</f>
        <v/>
      </c>
    </row>
    <row r="363">
      <c r="A363" s="14" t="n"/>
      <c r="B363" s="11" t="n"/>
      <c r="C363" s="11" t="n"/>
      <c r="D363" s="11" t="n"/>
      <c r="E363" s="11" t="n"/>
      <c r="F363" s="18" t="n"/>
      <c r="G363" s="18" t="n"/>
      <c r="H363" s="18" t="n"/>
      <c r="I363" s="18" t="n"/>
      <c r="J363" s="23">
        <f>IF(F363="","",F363+G363+H363+I363)</f>
        <v/>
      </c>
      <c r="K363">
        <f>IF(F363="","",IF(D363&lt;&gt;"","B2B","B2C"))</f>
        <v/>
      </c>
      <c r="L363">
        <f>IF(A363="","",TEXT(A363,"mmm-yy"))</f>
        <v/>
      </c>
    </row>
    <row r="364">
      <c r="A364" s="14" t="n"/>
      <c r="B364" s="11" t="n"/>
      <c r="C364" s="11" t="n"/>
      <c r="D364" s="11" t="n"/>
      <c r="E364" s="11" t="n"/>
      <c r="F364" s="18" t="n"/>
      <c r="G364" s="18" t="n"/>
      <c r="H364" s="18" t="n"/>
      <c r="I364" s="18" t="n"/>
      <c r="J364" s="23">
        <f>IF(F364="","",F364+G364+H364+I364)</f>
        <v/>
      </c>
      <c r="K364">
        <f>IF(F364="","",IF(D364&lt;&gt;"","B2B","B2C"))</f>
        <v/>
      </c>
      <c r="L364">
        <f>IF(A364="","",TEXT(A364,"mmm-yy"))</f>
        <v/>
      </c>
    </row>
    <row r="365">
      <c r="A365" s="14" t="n"/>
      <c r="B365" s="11" t="n"/>
      <c r="C365" s="11" t="n"/>
      <c r="D365" s="11" t="n"/>
      <c r="E365" s="11" t="n"/>
      <c r="F365" s="18" t="n"/>
      <c r="G365" s="18" t="n"/>
      <c r="H365" s="18" t="n"/>
      <c r="I365" s="18" t="n"/>
      <c r="J365" s="23">
        <f>IF(F365="","",F365+G365+H365+I365)</f>
        <v/>
      </c>
      <c r="K365">
        <f>IF(F365="","",IF(D365&lt;&gt;"","B2B","B2C"))</f>
        <v/>
      </c>
      <c r="L365">
        <f>IF(A365="","",TEXT(A365,"mmm-yy"))</f>
        <v/>
      </c>
    </row>
    <row r="366">
      <c r="A366" s="14" t="n"/>
      <c r="B366" s="11" t="n"/>
      <c r="C366" s="11" t="n"/>
      <c r="D366" s="11" t="n"/>
      <c r="E366" s="11" t="n"/>
      <c r="F366" s="18" t="n"/>
      <c r="G366" s="18" t="n"/>
      <c r="H366" s="18" t="n"/>
      <c r="I366" s="18" t="n"/>
      <c r="J366" s="23">
        <f>IF(F366="","",F366+G366+H366+I366)</f>
        <v/>
      </c>
      <c r="K366">
        <f>IF(F366="","",IF(D366&lt;&gt;"","B2B","B2C"))</f>
        <v/>
      </c>
      <c r="L366">
        <f>IF(A366="","",TEXT(A366,"mmm-yy"))</f>
        <v/>
      </c>
    </row>
    <row r="367">
      <c r="A367" s="14" t="n"/>
      <c r="B367" s="11" t="n"/>
      <c r="C367" s="11" t="n"/>
      <c r="D367" s="11" t="n"/>
      <c r="E367" s="11" t="n"/>
      <c r="F367" s="18" t="n"/>
      <c r="G367" s="18" t="n"/>
      <c r="H367" s="18" t="n"/>
      <c r="I367" s="18" t="n"/>
      <c r="J367" s="23">
        <f>IF(F367="","",F367+G367+H367+I367)</f>
        <v/>
      </c>
      <c r="K367">
        <f>IF(F367="","",IF(D367&lt;&gt;"","B2B","B2C"))</f>
        <v/>
      </c>
      <c r="L367">
        <f>IF(A367="","",TEXT(A367,"mmm-yy"))</f>
        <v/>
      </c>
    </row>
    <row r="368">
      <c r="A368" s="14" t="n"/>
      <c r="B368" s="11" t="n"/>
      <c r="C368" s="11" t="n"/>
      <c r="D368" s="11" t="n"/>
      <c r="E368" s="11" t="n"/>
      <c r="F368" s="18" t="n"/>
      <c r="G368" s="18" t="n"/>
      <c r="H368" s="18" t="n"/>
      <c r="I368" s="18" t="n"/>
      <c r="J368" s="23">
        <f>IF(F368="","",F368+G368+H368+I368)</f>
        <v/>
      </c>
      <c r="K368">
        <f>IF(F368="","",IF(D368&lt;&gt;"","B2B","B2C"))</f>
        <v/>
      </c>
      <c r="L368">
        <f>IF(A368="","",TEXT(A368,"mmm-yy"))</f>
        <v/>
      </c>
    </row>
    <row r="369">
      <c r="A369" s="14" t="n"/>
      <c r="B369" s="11" t="n"/>
      <c r="C369" s="11" t="n"/>
      <c r="D369" s="11" t="n"/>
      <c r="E369" s="11" t="n"/>
      <c r="F369" s="18" t="n"/>
      <c r="G369" s="18" t="n"/>
      <c r="H369" s="18" t="n"/>
      <c r="I369" s="18" t="n"/>
      <c r="J369" s="23">
        <f>IF(F369="","",F369+G369+H369+I369)</f>
        <v/>
      </c>
      <c r="K369">
        <f>IF(F369="","",IF(D369&lt;&gt;"","B2B","B2C"))</f>
        <v/>
      </c>
      <c r="L369">
        <f>IF(A369="","",TEXT(A369,"mmm-yy"))</f>
        <v/>
      </c>
    </row>
    <row r="370">
      <c r="A370" s="14" t="n"/>
      <c r="B370" s="11" t="n"/>
      <c r="C370" s="11" t="n"/>
      <c r="D370" s="11" t="n"/>
      <c r="E370" s="11" t="n"/>
      <c r="F370" s="18" t="n"/>
      <c r="G370" s="18" t="n"/>
      <c r="H370" s="18" t="n"/>
      <c r="I370" s="18" t="n"/>
      <c r="J370" s="23">
        <f>IF(F370="","",F370+G370+H370+I370)</f>
        <v/>
      </c>
      <c r="K370">
        <f>IF(F370="","",IF(D370&lt;&gt;"","B2B","B2C"))</f>
        <v/>
      </c>
      <c r="L370">
        <f>IF(A370="","",TEXT(A370,"mmm-yy"))</f>
        <v/>
      </c>
    </row>
    <row r="371">
      <c r="A371" s="14" t="n"/>
      <c r="B371" s="11" t="n"/>
      <c r="C371" s="11" t="n"/>
      <c r="D371" s="11" t="n"/>
      <c r="E371" s="11" t="n"/>
      <c r="F371" s="18" t="n"/>
      <c r="G371" s="18" t="n"/>
      <c r="H371" s="18" t="n"/>
      <c r="I371" s="18" t="n"/>
      <c r="J371" s="23">
        <f>IF(F371="","",F371+G371+H371+I371)</f>
        <v/>
      </c>
      <c r="K371">
        <f>IF(F371="","",IF(D371&lt;&gt;"","B2B","B2C"))</f>
        <v/>
      </c>
      <c r="L371">
        <f>IF(A371="","",TEXT(A371,"mmm-yy"))</f>
        <v/>
      </c>
    </row>
    <row r="372">
      <c r="A372" s="14" t="n"/>
      <c r="B372" s="11" t="n"/>
      <c r="C372" s="11" t="n"/>
      <c r="D372" s="11" t="n"/>
      <c r="E372" s="11" t="n"/>
      <c r="F372" s="18" t="n"/>
      <c r="G372" s="18" t="n"/>
      <c r="H372" s="18" t="n"/>
      <c r="I372" s="18" t="n"/>
      <c r="J372" s="23">
        <f>IF(F372="","",F372+G372+H372+I372)</f>
        <v/>
      </c>
      <c r="K372">
        <f>IF(F372="","",IF(D372&lt;&gt;"","B2B","B2C"))</f>
        <v/>
      </c>
      <c r="L372">
        <f>IF(A372="","",TEXT(A372,"mmm-yy"))</f>
        <v/>
      </c>
    </row>
    <row r="373">
      <c r="A373" s="14" t="n"/>
      <c r="B373" s="11" t="n"/>
      <c r="C373" s="11" t="n"/>
      <c r="D373" s="11" t="n"/>
      <c r="E373" s="11" t="n"/>
      <c r="F373" s="18" t="n"/>
      <c r="G373" s="18" t="n"/>
      <c r="H373" s="18" t="n"/>
      <c r="I373" s="18" t="n"/>
      <c r="J373" s="23">
        <f>IF(F373="","",F373+G373+H373+I373)</f>
        <v/>
      </c>
      <c r="K373">
        <f>IF(F373="","",IF(D373&lt;&gt;"","B2B","B2C"))</f>
        <v/>
      </c>
      <c r="L373">
        <f>IF(A373="","",TEXT(A373,"mmm-yy"))</f>
        <v/>
      </c>
    </row>
    <row r="374">
      <c r="A374" s="14" t="n"/>
      <c r="B374" s="11" t="n"/>
      <c r="C374" s="11" t="n"/>
      <c r="D374" s="11" t="n"/>
      <c r="E374" s="11" t="n"/>
      <c r="F374" s="18" t="n"/>
      <c r="G374" s="18" t="n"/>
      <c r="H374" s="18" t="n"/>
      <c r="I374" s="18" t="n"/>
      <c r="J374" s="23">
        <f>IF(F374="","",F374+G374+H374+I374)</f>
        <v/>
      </c>
      <c r="K374">
        <f>IF(F374="","",IF(D374&lt;&gt;"","B2B","B2C"))</f>
        <v/>
      </c>
      <c r="L374">
        <f>IF(A374="","",TEXT(A374,"mmm-yy"))</f>
        <v/>
      </c>
    </row>
    <row r="375">
      <c r="A375" s="14" t="n"/>
      <c r="B375" s="11" t="n"/>
      <c r="C375" s="11" t="n"/>
      <c r="D375" s="11" t="n"/>
      <c r="E375" s="11" t="n"/>
      <c r="F375" s="18" t="n"/>
      <c r="G375" s="18" t="n"/>
      <c r="H375" s="18" t="n"/>
      <c r="I375" s="18" t="n"/>
      <c r="J375" s="23">
        <f>IF(F375="","",F375+G375+H375+I375)</f>
        <v/>
      </c>
      <c r="K375">
        <f>IF(F375="","",IF(D375&lt;&gt;"","B2B","B2C"))</f>
        <v/>
      </c>
      <c r="L375">
        <f>IF(A375="","",TEXT(A375,"mmm-yy"))</f>
        <v/>
      </c>
    </row>
    <row r="376">
      <c r="A376" s="14" t="n"/>
      <c r="B376" s="11" t="n"/>
      <c r="C376" s="11" t="n"/>
      <c r="D376" s="11" t="n"/>
      <c r="E376" s="11" t="n"/>
      <c r="F376" s="18" t="n"/>
      <c r="G376" s="18" t="n"/>
      <c r="H376" s="18" t="n"/>
      <c r="I376" s="18" t="n"/>
      <c r="J376" s="23">
        <f>IF(F376="","",F376+G376+H376+I376)</f>
        <v/>
      </c>
      <c r="K376">
        <f>IF(F376="","",IF(D376&lt;&gt;"","B2B","B2C"))</f>
        <v/>
      </c>
      <c r="L376">
        <f>IF(A376="","",TEXT(A376,"mmm-yy"))</f>
        <v/>
      </c>
    </row>
    <row r="377">
      <c r="A377" s="14" t="n"/>
      <c r="B377" s="11" t="n"/>
      <c r="C377" s="11" t="n"/>
      <c r="D377" s="11" t="n"/>
      <c r="E377" s="11" t="n"/>
      <c r="F377" s="18" t="n"/>
      <c r="G377" s="18" t="n"/>
      <c r="H377" s="18" t="n"/>
      <c r="I377" s="18" t="n"/>
      <c r="J377" s="23">
        <f>IF(F377="","",F377+G377+H377+I377)</f>
        <v/>
      </c>
      <c r="K377">
        <f>IF(F377="","",IF(D377&lt;&gt;"","B2B","B2C"))</f>
        <v/>
      </c>
      <c r="L377">
        <f>IF(A377="","",TEXT(A377,"mmm-yy"))</f>
        <v/>
      </c>
    </row>
    <row r="378">
      <c r="A378" s="14" t="n"/>
      <c r="B378" s="11" t="n"/>
      <c r="C378" s="11" t="n"/>
      <c r="D378" s="11" t="n"/>
      <c r="E378" s="11" t="n"/>
      <c r="F378" s="18" t="n"/>
      <c r="G378" s="18" t="n"/>
      <c r="H378" s="18" t="n"/>
      <c r="I378" s="18" t="n"/>
      <c r="J378" s="23">
        <f>IF(F378="","",F378+G378+H378+I378)</f>
        <v/>
      </c>
      <c r="K378">
        <f>IF(F378="","",IF(D378&lt;&gt;"","B2B","B2C"))</f>
        <v/>
      </c>
      <c r="L378">
        <f>IF(A378="","",TEXT(A378,"mmm-yy"))</f>
        <v/>
      </c>
    </row>
    <row r="379">
      <c r="A379" s="14" t="n"/>
      <c r="B379" s="11" t="n"/>
      <c r="C379" s="11" t="n"/>
      <c r="D379" s="11" t="n"/>
      <c r="E379" s="11" t="n"/>
      <c r="F379" s="18" t="n"/>
      <c r="G379" s="18" t="n"/>
      <c r="H379" s="18" t="n"/>
      <c r="I379" s="18" t="n"/>
      <c r="J379" s="23">
        <f>IF(F379="","",F379+G379+H379+I379)</f>
        <v/>
      </c>
      <c r="K379">
        <f>IF(F379="","",IF(D379&lt;&gt;"","B2B","B2C"))</f>
        <v/>
      </c>
      <c r="L379">
        <f>IF(A379="","",TEXT(A379,"mmm-yy"))</f>
        <v/>
      </c>
    </row>
    <row r="380">
      <c r="A380" s="14" t="n"/>
      <c r="B380" s="11" t="n"/>
      <c r="C380" s="11" t="n"/>
      <c r="D380" s="11" t="n"/>
      <c r="E380" s="11" t="n"/>
      <c r="F380" s="18" t="n"/>
      <c r="G380" s="18" t="n"/>
      <c r="H380" s="18" t="n"/>
      <c r="I380" s="18" t="n"/>
      <c r="J380" s="23">
        <f>IF(F380="","",F380+G380+H380+I380)</f>
        <v/>
      </c>
      <c r="K380">
        <f>IF(F380="","",IF(D380&lt;&gt;"","B2B","B2C"))</f>
        <v/>
      </c>
      <c r="L380">
        <f>IF(A380="","",TEXT(A380,"mmm-yy"))</f>
        <v/>
      </c>
    </row>
    <row r="381">
      <c r="A381" s="14" t="n"/>
      <c r="B381" s="11" t="n"/>
      <c r="C381" s="11" t="n"/>
      <c r="D381" s="11" t="n"/>
      <c r="E381" s="11" t="n"/>
      <c r="F381" s="18" t="n"/>
      <c r="G381" s="18" t="n"/>
      <c r="H381" s="18" t="n"/>
      <c r="I381" s="18" t="n"/>
      <c r="J381" s="23">
        <f>IF(F381="","",F381+G381+H381+I381)</f>
        <v/>
      </c>
      <c r="K381">
        <f>IF(F381="","",IF(D381&lt;&gt;"","B2B","B2C"))</f>
        <v/>
      </c>
      <c r="L381">
        <f>IF(A381="","",TEXT(A381,"mmm-yy"))</f>
        <v/>
      </c>
    </row>
    <row r="382">
      <c r="A382" s="14" t="n"/>
      <c r="B382" s="11" t="n"/>
      <c r="C382" s="11" t="n"/>
      <c r="D382" s="11" t="n"/>
      <c r="E382" s="11" t="n"/>
      <c r="F382" s="18" t="n"/>
      <c r="G382" s="18" t="n"/>
      <c r="H382" s="18" t="n"/>
      <c r="I382" s="18" t="n"/>
      <c r="J382" s="23">
        <f>IF(F382="","",F382+G382+H382+I382)</f>
        <v/>
      </c>
      <c r="K382">
        <f>IF(F382="","",IF(D382&lt;&gt;"","B2B","B2C"))</f>
        <v/>
      </c>
      <c r="L382">
        <f>IF(A382="","",TEXT(A382,"mmm-yy"))</f>
        <v/>
      </c>
    </row>
    <row r="383">
      <c r="A383" s="14" t="n"/>
      <c r="B383" s="11" t="n"/>
      <c r="C383" s="11" t="n"/>
      <c r="D383" s="11" t="n"/>
      <c r="E383" s="11" t="n"/>
      <c r="F383" s="18" t="n"/>
      <c r="G383" s="18" t="n"/>
      <c r="H383" s="18" t="n"/>
      <c r="I383" s="18" t="n"/>
      <c r="J383" s="23">
        <f>IF(F383="","",F383+G383+H383+I383)</f>
        <v/>
      </c>
      <c r="K383">
        <f>IF(F383="","",IF(D383&lt;&gt;"","B2B","B2C"))</f>
        <v/>
      </c>
      <c r="L383">
        <f>IF(A383="","",TEXT(A383,"mmm-yy"))</f>
        <v/>
      </c>
    </row>
    <row r="384">
      <c r="A384" s="14" t="n"/>
      <c r="B384" s="11" t="n"/>
      <c r="C384" s="11" t="n"/>
      <c r="D384" s="11" t="n"/>
      <c r="E384" s="11" t="n"/>
      <c r="F384" s="18" t="n"/>
      <c r="G384" s="18" t="n"/>
      <c r="H384" s="18" t="n"/>
      <c r="I384" s="18" t="n"/>
      <c r="J384" s="23">
        <f>IF(F384="","",F384+G384+H384+I384)</f>
        <v/>
      </c>
      <c r="K384">
        <f>IF(F384="","",IF(D384&lt;&gt;"","B2B","B2C"))</f>
        <v/>
      </c>
      <c r="L384">
        <f>IF(A384="","",TEXT(A384,"mmm-yy"))</f>
        <v/>
      </c>
    </row>
    <row r="385">
      <c r="A385" s="14" t="n"/>
      <c r="B385" s="11" t="n"/>
      <c r="C385" s="11" t="n"/>
      <c r="D385" s="11" t="n"/>
      <c r="E385" s="11" t="n"/>
      <c r="F385" s="18" t="n"/>
      <c r="G385" s="18" t="n"/>
      <c r="H385" s="18" t="n"/>
      <c r="I385" s="18" t="n"/>
      <c r="J385" s="23">
        <f>IF(F385="","",F385+G385+H385+I385)</f>
        <v/>
      </c>
      <c r="K385">
        <f>IF(F385="","",IF(D385&lt;&gt;"","B2B","B2C"))</f>
        <v/>
      </c>
      <c r="L385">
        <f>IF(A385="","",TEXT(A385,"mmm-yy"))</f>
        <v/>
      </c>
    </row>
    <row r="386">
      <c r="A386" s="14" t="n"/>
      <c r="B386" s="11" t="n"/>
      <c r="C386" s="11" t="n"/>
      <c r="D386" s="11" t="n"/>
      <c r="E386" s="11" t="n"/>
      <c r="F386" s="18" t="n"/>
      <c r="G386" s="18" t="n"/>
      <c r="H386" s="18" t="n"/>
      <c r="I386" s="18" t="n"/>
      <c r="J386" s="23">
        <f>IF(F386="","",F386+G386+H386+I386)</f>
        <v/>
      </c>
      <c r="K386">
        <f>IF(F386="","",IF(D386&lt;&gt;"","B2B","B2C"))</f>
        <v/>
      </c>
      <c r="L386">
        <f>IF(A386="","",TEXT(A386,"mmm-yy"))</f>
        <v/>
      </c>
    </row>
    <row r="387">
      <c r="A387" s="14" t="n"/>
      <c r="B387" s="11" t="n"/>
      <c r="C387" s="11" t="n"/>
      <c r="D387" s="11" t="n"/>
      <c r="E387" s="11" t="n"/>
      <c r="F387" s="18" t="n"/>
      <c r="G387" s="18" t="n"/>
      <c r="H387" s="18" t="n"/>
      <c r="I387" s="18" t="n"/>
      <c r="J387" s="23">
        <f>IF(F387="","",F387+G387+H387+I387)</f>
        <v/>
      </c>
      <c r="K387">
        <f>IF(F387="","",IF(D387&lt;&gt;"","B2B","B2C"))</f>
        <v/>
      </c>
      <c r="L387">
        <f>IF(A387="","",TEXT(A387,"mmm-yy"))</f>
        <v/>
      </c>
    </row>
    <row r="388">
      <c r="A388" s="14" t="n"/>
      <c r="B388" s="11" t="n"/>
      <c r="C388" s="11" t="n"/>
      <c r="D388" s="11" t="n"/>
      <c r="E388" s="11" t="n"/>
      <c r="F388" s="18" t="n"/>
      <c r="G388" s="18" t="n"/>
      <c r="H388" s="18" t="n"/>
      <c r="I388" s="18" t="n"/>
      <c r="J388" s="23">
        <f>IF(F388="","",F388+G388+H388+I388)</f>
        <v/>
      </c>
      <c r="K388">
        <f>IF(F388="","",IF(D388&lt;&gt;"","B2B","B2C"))</f>
        <v/>
      </c>
      <c r="L388">
        <f>IF(A388="","",TEXT(A388,"mmm-yy"))</f>
        <v/>
      </c>
    </row>
    <row r="389">
      <c r="A389" s="14" t="n"/>
      <c r="B389" s="11" t="n"/>
      <c r="C389" s="11" t="n"/>
      <c r="D389" s="11" t="n"/>
      <c r="E389" s="11" t="n"/>
      <c r="F389" s="18" t="n"/>
      <c r="G389" s="18" t="n"/>
      <c r="H389" s="18" t="n"/>
      <c r="I389" s="18" t="n"/>
      <c r="J389" s="23">
        <f>IF(F389="","",F389+G389+H389+I389)</f>
        <v/>
      </c>
      <c r="K389">
        <f>IF(F389="","",IF(D389&lt;&gt;"","B2B","B2C"))</f>
        <v/>
      </c>
      <c r="L389">
        <f>IF(A389="","",TEXT(A389,"mmm-yy"))</f>
        <v/>
      </c>
    </row>
    <row r="390">
      <c r="A390" s="14" t="n"/>
      <c r="B390" s="11" t="n"/>
      <c r="C390" s="11" t="n"/>
      <c r="D390" s="11" t="n"/>
      <c r="E390" s="11" t="n"/>
      <c r="F390" s="18" t="n"/>
      <c r="G390" s="18" t="n"/>
      <c r="H390" s="18" t="n"/>
      <c r="I390" s="18" t="n"/>
      <c r="J390" s="23">
        <f>IF(F390="","",F390+G390+H390+I390)</f>
        <v/>
      </c>
      <c r="K390">
        <f>IF(F390="","",IF(D390&lt;&gt;"","B2B","B2C"))</f>
        <v/>
      </c>
      <c r="L390">
        <f>IF(A390="","",TEXT(A390,"mmm-yy"))</f>
        <v/>
      </c>
    </row>
    <row r="391">
      <c r="A391" s="14" t="n"/>
      <c r="B391" s="11" t="n"/>
      <c r="C391" s="11" t="n"/>
      <c r="D391" s="11" t="n"/>
      <c r="E391" s="11" t="n"/>
      <c r="F391" s="18" t="n"/>
      <c r="G391" s="18" t="n"/>
      <c r="H391" s="18" t="n"/>
      <c r="I391" s="18" t="n"/>
      <c r="J391" s="23">
        <f>IF(F391="","",F391+G391+H391+I391)</f>
        <v/>
      </c>
      <c r="K391">
        <f>IF(F391="","",IF(D391&lt;&gt;"","B2B","B2C"))</f>
        <v/>
      </c>
      <c r="L391">
        <f>IF(A391="","",TEXT(A391,"mmm-yy"))</f>
        <v/>
      </c>
    </row>
    <row r="392">
      <c r="A392" s="14" t="n"/>
      <c r="B392" s="11" t="n"/>
      <c r="C392" s="11" t="n"/>
      <c r="D392" s="11" t="n"/>
      <c r="E392" s="11" t="n"/>
      <c r="F392" s="18" t="n"/>
      <c r="G392" s="18" t="n"/>
      <c r="H392" s="18" t="n"/>
      <c r="I392" s="18" t="n"/>
      <c r="J392" s="23">
        <f>IF(F392="","",F392+G392+H392+I392)</f>
        <v/>
      </c>
      <c r="K392">
        <f>IF(F392="","",IF(D392&lt;&gt;"","B2B","B2C"))</f>
        <v/>
      </c>
      <c r="L392">
        <f>IF(A392="","",TEXT(A392,"mmm-yy"))</f>
        <v/>
      </c>
    </row>
    <row r="393">
      <c r="A393" s="14" t="n"/>
      <c r="B393" s="11" t="n"/>
      <c r="C393" s="11" t="n"/>
      <c r="D393" s="11" t="n"/>
      <c r="E393" s="11" t="n"/>
      <c r="F393" s="18" t="n"/>
      <c r="G393" s="18" t="n"/>
      <c r="H393" s="18" t="n"/>
      <c r="I393" s="18" t="n"/>
      <c r="J393" s="23">
        <f>IF(F393="","",F393+G393+H393+I393)</f>
        <v/>
      </c>
      <c r="K393">
        <f>IF(F393="","",IF(D393&lt;&gt;"","B2B","B2C"))</f>
        <v/>
      </c>
      <c r="L393">
        <f>IF(A393="","",TEXT(A393,"mmm-yy"))</f>
        <v/>
      </c>
    </row>
    <row r="394">
      <c r="A394" s="14" t="n"/>
      <c r="B394" s="11" t="n"/>
      <c r="C394" s="11" t="n"/>
      <c r="D394" s="11" t="n"/>
      <c r="E394" s="11" t="n"/>
      <c r="F394" s="18" t="n"/>
      <c r="G394" s="18" t="n"/>
      <c r="H394" s="18" t="n"/>
      <c r="I394" s="18" t="n"/>
      <c r="J394" s="23">
        <f>IF(F394="","",F394+G394+H394+I394)</f>
        <v/>
      </c>
      <c r="K394">
        <f>IF(F394="","",IF(D394&lt;&gt;"","B2B","B2C"))</f>
        <v/>
      </c>
      <c r="L394">
        <f>IF(A394="","",TEXT(A394,"mmm-yy"))</f>
        <v/>
      </c>
    </row>
    <row r="395">
      <c r="A395" s="14" t="n"/>
      <c r="B395" s="11" t="n"/>
      <c r="C395" s="11" t="n"/>
      <c r="D395" s="11" t="n"/>
      <c r="E395" s="11" t="n"/>
      <c r="F395" s="18" t="n"/>
      <c r="G395" s="18" t="n"/>
      <c r="H395" s="18" t="n"/>
      <c r="I395" s="18" t="n"/>
      <c r="J395" s="23">
        <f>IF(F395="","",F395+G395+H395+I395)</f>
        <v/>
      </c>
      <c r="K395">
        <f>IF(F395="","",IF(D395&lt;&gt;"","B2B","B2C"))</f>
        <v/>
      </c>
      <c r="L395">
        <f>IF(A395="","",TEXT(A395,"mmm-yy"))</f>
        <v/>
      </c>
    </row>
    <row r="396">
      <c r="A396" s="14" t="n"/>
      <c r="B396" s="11" t="n"/>
      <c r="C396" s="11" t="n"/>
      <c r="D396" s="11" t="n"/>
      <c r="E396" s="11" t="n"/>
      <c r="F396" s="18" t="n"/>
      <c r="G396" s="18" t="n"/>
      <c r="H396" s="18" t="n"/>
      <c r="I396" s="18" t="n"/>
      <c r="J396" s="23">
        <f>IF(F396="","",F396+G396+H396+I396)</f>
        <v/>
      </c>
      <c r="K396">
        <f>IF(F396="","",IF(D396&lt;&gt;"","B2B","B2C"))</f>
        <v/>
      </c>
      <c r="L396">
        <f>IF(A396="","",TEXT(A396,"mmm-yy"))</f>
        <v/>
      </c>
    </row>
    <row r="397">
      <c r="A397" s="14" t="n"/>
      <c r="B397" s="11" t="n"/>
      <c r="C397" s="11" t="n"/>
      <c r="D397" s="11" t="n"/>
      <c r="E397" s="11" t="n"/>
      <c r="F397" s="18" t="n"/>
      <c r="G397" s="18" t="n"/>
      <c r="H397" s="18" t="n"/>
      <c r="I397" s="18" t="n"/>
      <c r="J397" s="23">
        <f>IF(F397="","",F397+G397+H397+I397)</f>
        <v/>
      </c>
      <c r="K397">
        <f>IF(F397="","",IF(D397&lt;&gt;"","B2B","B2C"))</f>
        <v/>
      </c>
      <c r="L397">
        <f>IF(A397="","",TEXT(A397,"mmm-yy"))</f>
        <v/>
      </c>
    </row>
    <row r="398">
      <c r="A398" s="14" t="n"/>
      <c r="B398" s="11" t="n"/>
      <c r="C398" s="11" t="n"/>
      <c r="D398" s="11" t="n"/>
      <c r="E398" s="11" t="n"/>
      <c r="F398" s="18" t="n"/>
      <c r="G398" s="18" t="n"/>
      <c r="H398" s="18" t="n"/>
      <c r="I398" s="18" t="n"/>
      <c r="J398" s="23">
        <f>IF(F398="","",F398+G398+H398+I398)</f>
        <v/>
      </c>
      <c r="K398">
        <f>IF(F398="","",IF(D398&lt;&gt;"","B2B","B2C"))</f>
        <v/>
      </c>
      <c r="L398">
        <f>IF(A398="","",TEXT(A398,"mmm-yy"))</f>
        <v/>
      </c>
    </row>
    <row r="399">
      <c r="A399" s="14" t="n"/>
      <c r="B399" s="11" t="n"/>
      <c r="C399" s="11" t="n"/>
      <c r="D399" s="11" t="n"/>
      <c r="E399" s="11" t="n"/>
      <c r="F399" s="18" t="n"/>
      <c r="G399" s="18" t="n"/>
      <c r="H399" s="18" t="n"/>
      <c r="I399" s="18" t="n"/>
      <c r="J399" s="23">
        <f>IF(F399="","",F399+G399+H399+I399)</f>
        <v/>
      </c>
      <c r="K399">
        <f>IF(F399="","",IF(D399&lt;&gt;"","B2B","B2C"))</f>
        <v/>
      </c>
      <c r="L399">
        <f>IF(A399="","",TEXT(A399,"mmm-yy"))</f>
        <v/>
      </c>
    </row>
    <row r="400">
      <c r="A400" s="14" t="n"/>
      <c r="B400" s="11" t="n"/>
      <c r="C400" s="11" t="n"/>
      <c r="D400" s="11" t="n"/>
      <c r="E400" s="11" t="n"/>
      <c r="F400" s="18" t="n"/>
      <c r="G400" s="18" t="n"/>
      <c r="H400" s="18" t="n"/>
      <c r="I400" s="18" t="n"/>
      <c r="J400" s="23">
        <f>IF(F400="","",F400+G400+H400+I400)</f>
        <v/>
      </c>
      <c r="K400">
        <f>IF(F400="","",IF(D400&lt;&gt;"","B2B","B2C"))</f>
        <v/>
      </c>
      <c r="L400">
        <f>IF(A400="","",TEXT(A400,"mmm-yy"))</f>
        <v/>
      </c>
    </row>
    <row r="401">
      <c r="A401" s="14" t="n"/>
      <c r="B401" s="11" t="n"/>
      <c r="C401" s="11" t="n"/>
      <c r="D401" s="11" t="n"/>
      <c r="E401" s="11" t="n"/>
      <c r="F401" s="18" t="n"/>
      <c r="G401" s="18" t="n"/>
      <c r="H401" s="18" t="n"/>
      <c r="I401" s="18" t="n"/>
      <c r="J401" s="23">
        <f>IF(F401="","",F401+G401+H401+I401)</f>
        <v/>
      </c>
      <c r="K401">
        <f>IF(F401="","",IF(D401&lt;&gt;"","B2B","B2C"))</f>
        <v/>
      </c>
      <c r="L401">
        <f>IF(A401="","",TEXT(A401,"mmm-yy"))</f>
        <v/>
      </c>
    </row>
    <row r="402">
      <c r="A402" s="14" t="n"/>
      <c r="B402" s="11" t="n"/>
      <c r="C402" s="11" t="n"/>
      <c r="D402" s="11" t="n"/>
      <c r="E402" s="11" t="n"/>
      <c r="F402" s="18" t="n"/>
      <c r="G402" s="18" t="n"/>
      <c r="H402" s="18" t="n"/>
      <c r="I402" s="18" t="n"/>
      <c r="J402" s="23">
        <f>IF(F402="","",F402+G402+H402+I402)</f>
        <v/>
      </c>
      <c r="K402">
        <f>IF(F402="","",IF(D402&lt;&gt;"","B2B","B2C"))</f>
        <v/>
      </c>
      <c r="L402">
        <f>IF(A402="","",TEXT(A402,"mmm-yy"))</f>
        <v/>
      </c>
    </row>
    <row r="403">
      <c r="A403" s="14" t="n"/>
      <c r="B403" s="11" t="n"/>
      <c r="C403" s="11" t="n"/>
      <c r="D403" s="11" t="n"/>
      <c r="E403" s="11" t="n"/>
      <c r="F403" s="18" t="n"/>
      <c r="G403" s="18" t="n"/>
      <c r="H403" s="18" t="n"/>
      <c r="I403" s="18" t="n"/>
      <c r="J403" s="23">
        <f>IF(F403="","",F403+G403+H403+I403)</f>
        <v/>
      </c>
      <c r="K403">
        <f>IF(F403="","",IF(D403&lt;&gt;"","B2B","B2C"))</f>
        <v/>
      </c>
      <c r="L403">
        <f>IF(A403="","",TEXT(A403,"mmm-yy"))</f>
        <v/>
      </c>
    </row>
    <row r="404">
      <c r="A404" s="14" t="n"/>
      <c r="B404" s="11" t="n"/>
      <c r="C404" s="11" t="n"/>
      <c r="D404" s="11" t="n"/>
      <c r="E404" s="11" t="n"/>
      <c r="F404" s="18" t="n"/>
      <c r="G404" s="18" t="n"/>
      <c r="H404" s="18" t="n"/>
      <c r="I404" s="18" t="n"/>
      <c r="J404" s="23">
        <f>IF(F404="","",F404+G404+H404+I404)</f>
        <v/>
      </c>
      <c r="K404">
        <f>IF(F404="","",IF(D404&lt;&gt;"","B2B","B2C"))</f>
        <v/>
      </c>
      <c r="L404">
        <f>IF(A404="","",TEXT(A404,"mmm-yy"))</f>
        <v/>
      </c>
    </row>
    <row r="405">
      <c r="A405" s="14" t="n"/>
      <c r="B405" s="11" t="n"/>
      <c r="C405" s="11" t="n"/>
      <c r="D405" s="11" t="n"/>
      <c r="E405" s="11" t="n"/>
      <c r="F405" s="18" t="n"/>
      <c r="G405" s="18" t="n"/>
      <c r="H405" s="18" t="n"/>
      <c r="I405" s="18" t="n"/>
      <c r="J405" s="23">
        <f>IF(F405="","",F405+G405+H405+I405)</f>
        <v/>
      </c>
      <c r="K405">
        <f>IF(F405="","",IF(D405&lt;&gt;"","B2B","B2C"))</f>
        <v/>
      </c>
      <c r="L405">
        <f>IF(A405="","",TEXT(A405,"mmm-yy"))</f>
        <v/>
      </c>
    </row>
    <row r="406">
      <c r="A406" s="14" t="n"/>
      <c r="B406" s="11" t="n"/>
      <c r="C406" s="11" t="n"/>
      <c r="D406" s="11" t="n"/>
      <c r="E406" s="11" t="n"/>
      <c r="F406" s="18" t="n"/>
      <c r="G406" s="18" t="n"/>
      <c r="H406" s="18" t="n"/>
      <c r="I406" s="18" t="n"/>
      <c r="J406" s="23">
        <f>IF(F406="","",F406+G406+H406+I406)</f>
        <v/>
      </c>
      <c r="K406">
        <f>IF(F406="","",IF(D406&lt;&gt;"","B2B","B2C"))</f>
        <v/>
      </c>
      <c r="L406">
        <f>IF(A406="","",TEXT(A406,"mmm-yy"))</f>
        <v/>
      </c>
    </row>
    <row r="407">
      <c r="A407" s="14" t="n"/>
      <c r="B407" s="11" t="n"/>
      <c r="C407" s="11" t="n"/>
      <c r="D407" s="11" t="n"/>
      <c r="E407" s="11" t="n"/>
      <c r="F407" s="18" t="n"/>
      <c r="G407" s="18" t="n"/>
      <c r="H407" s="18" t="n"/>
      <c r="I407" s="18" t="n"/>
      <c r="J407" s="23">
        <f>IF(F407="","",F407+G407+H407+I407)</f>
        <v/>
      </c>
      <c r="K407">
        <f>IF(F407="","",IF(D407&lt;&gt;"","B2B","B2C"))</f>
        <v/>
      </c>
      <c r="L407">
        <f>IF(A407="","",TEXT(A407,"mmm-yy"))</f>
        <v/>
      </c>
    </row>
    <row r="408">
      <c r="A408" s="14" t="n"/>
      <c r="B408" s="11" t="n"/>
      <c r="C408" s="11" t="n"/>
      <c r="D408" s="11" t="n"/>
      <c r="E408" s="11" t="n"/>
      <c r="F408" s="18" t="n"/>
      <c r="G408" s="18" t="n"/>
      <c r="H408" s="18" t="n"/>
      <c r="I408" s="18" t="n"/>
      <c r="J408" s="23">
        <f>IF(F408="","",F408+G408+H408+I408)</f>
        <v/>
      </c>
      <c r="K408">
        <f>IF(F408="","",IF(D408&lt;&gt;"","B2B","B2C"))</f>
        <v/>
      </c>
      <c r="L408">
        <f>IF(A408="","",TEXT(A408,"mmm-yy"))</f>
        <v/>
      </c>
    </row>
    <row r="409">
      <c r="A409" s="14" t="n"/>
      <c r="B409" s="11" t="n"/>
      <c r="C409" s="11" t="n"/>
      <c r="D409" s="11" t="n"/>
      <c r="E409" s="11" t="n"/>
      <c r="F409" s="18" t="n"/>
      <c r="G409" s="18" t="n"/>
      <c r="H409" s="18" t="n"/>
      <c r="I409" s="18" t="n"/>
      <c r="J409" s="23">
        <f>IF(F409="","",F409+G409+H409+I409)</f>
        <v/>
      </c>
      <c r="K409">
        <f>IF(F409="","",IF(D409&lt;&gt;"","B2B","B2C"))</f>
        <v/>
      </c>
      <c r="L409">
        <f>IF(A409="","",TEXT(A409,"mmm-yy"))</f>
        <v/>
      </c>
    </row>
    <row r="410">
      <c r="A410" s="14" t="n"/>
      <c r="B410" s="11" t="n"/>
      <c r="C410" s="11" t="n"/>
      <c r="D410" s="11" t="n"/>
      <c r="E410" s="11" t="n"/>
      <c r="F410" s="18" t="n"/>
      <c r="G410" s="18" t="n"/>
      <c r="H410" s="18" t="n"/>
      <c r="I410" s="18" t="n"/>
      <c r="J410" s="23">
        <f>IF(F410="","",F410+G410+H410+I410)</f>
        <v/>
      </c>
      <c r="K410">
        <f>IF(F410="","",IF(D410&lt;&gt;"","B2B","B2C"))</f>
        <v/>
      </c>
      <c r="L410">
        <f>IF(A410="","",TEXT(A410,"mmm-yy"))</f>
        <v/>
      </c>
    </row>
    <row r="411">
      <c r="A411" s="14" t="n"/>
      <c r="B411" s="11" t="n"/>
      <c r="C411" s="11" t="n"/>
      <c r="D411" s="11" t="n"/>
      <c r="E411" s="11" t="n"/>
      <c r="F411" s="18" t="n"/>
      <c r="G411" s="18" t="n"/>
      <c r="H411" s="18" t="n"/>
      <c r="I411" s="18" t="n"/>
      <c r="J411" s="23">
        <f>IF(F411="","",F411+G411+H411+I411)</f>
        <v/>
      </c>
      <c r="K411">
        <f>IF(F411="","",IF(D411&lt;&gt;"","B2B","B2C"))</f>
        <v/>
      </c>
      <c r="L411">
        <f>IF(A411="","",TEXT(A411,"mmm-yy"))</f>
        <v/>
      </c>
    </row>
    <row r="412">
      <c r="A412" s="14" t="n"/>
      <c r="B412" s="11" t="n"/>
      <c r="C412" s="11" t="n"/>
      <c r="D412" s="11" t="n"/>
      <c r="E412" s="11" t="n"/>
      <c r="F412" s="18" t="n"/>
      <c r="G412" s="18" t="n"/>
      <c r="H412" s="18" t="n"/>
      <c r="I412" s="18" t="n"/>
      <c r="J412" s="23">
        <f>IF(F412="","",F412+G412+H412+I412)</f>
        <v/>
      </c>
      <c r="K412">
        <f>IF(F412="","",IF(D412&lt;&gt;"","B2B","B2C"))</f>
        <v/>
      </c>
      <c r="L412">
        <f>IF(A412="","",TEXT(A412,"mmm-yy"))</f>
        <v/>
      </c>
    </row>
    <row r="413">
      <c r="A413" s="14" t="n"/>
      <c r="B413" s="11" t="n"/>
      <c r="C413" s="11" t="n"/>
      <c r="D413" s="11" t="n"/>
      <c r="E413" s="11" t="n"/>
      <c r="F413" s="18" t="n"/>
      <c r="G413" s="18" t="n"/>
      <c r="H413" s="18" t="n"/>
      <c r="I413" s="18" t="n"/>
      <c r="J413" s="23">
        <f>IF(F413="","",F413+G413+H413+I413)</f>
        <v/>
      </c>
      <c r="K413">
        <f>IF(F413="","",IF(D413&lt;&gt;"","B2B","B2C"))</f>
        <v/>
      </c>
      <c r="L413">
        <f>IF(A413="","",TEXT(A413,"mmm-yy"))</f>
        <v/>
      </c>
    </row>
    <row r="414">
      <c r="A414" s="14" t="n"/>
      <c r="B414" s="11" t="n"/>
      <c r="C414" s="11" t="n"/>
      <c r="D414" s="11" t="n"/>
      <c r="E414" s="11" t="n"/>
      <c r="F414" s="18" t="n"/>
      <c r="G414" s="18" t="n"/>
      <c r="H414" s="18" t="n"/>
      <c r="I414" s="18" t="n"/>
      <c r="J414" s="23">
        <f>IF(F414="","",F414+G414+H414+I414)</f>
        <v/>
      </c>
      <c r="K414">
        <f>IF(F414="","",IF(D414&lt;&gt;"","B2B","B2C"))</f>
        <v/>
      </c>
      <c r="L414">
        <f>IF(A414="","",TEXT(A414,"mmm-yy"))</f>
        <v/>
      </c>
    </row>
    <row r="415">
      <c r="A415" s="14" t="n"/>
      <c r="B415" s="11" t="n"/>
      <c r="C415" s="11" t="n"/>
      <c r="D415" s="11" t="n"/>
      <c r="E415" s="11" t="n"/>
      <c r="F415" s="18" t="n"/>
      <c r="G415" s="18" t="n"/>
      <c r="H415" s="18" t="n"/>
      <c r="I415" s="18" t="n"/>
      <c r="J415" s="23">
        <f>IF(F415="","",F415+G415+H415+I415)</f>
        <v/>
      </c>
      <c r="K415">
        <f>IF(F415="","",IF(D415&lt;&gt;"","B2B","B2C"))</f>
        <v/>
      </c>
      <c r="L415">
        <f>IF(A415="","",TEXT(A415,"mmm-yy"))</f>
        <v/>
      </c>
    </row>
    <row r="416">
      <c r="A416" s="14" t="n"/>
      <c r="B416" s="11" t="n"/>
      <c r="C416" s="11" t="n"/>
      <c r="D416" s="11" t="n"/>
      <c r="E416" s="11" t="n"/>
      <c r="F416" s="18" t="n"/>
      <c r="G416" s="18" t="n"/>
      <c r="H416" s="18" t="n"/>
      <c r="I416" s="18" t="n"/>
      <c r="J416" s="23">
        <f>IF(F416="","",F416+G416+H416+I416)</f>
        <v/>
      </c>
      <c r="K416">
        <f>IF(F416="","",IF(D416&lt;&gt;"","B2B","B2C"))</f>
        <v/>
      </c>
      <c r="L416">
        <f>IF(A416="","",TEXT(A416,"mmm-yy"))</f>
        <v/>
      </c>
    </row>
    <row r="417">
      <c r="A417" s="14" t="n"/>
      <c r="B417" s="11" t="n"/>
      <c r="C417" s="11" t="n"/>
      <c r="D417" s="11" t="n"/>
      <c r="E417" s="11" t="n"/>
      <c r="F417" s="18" t="n"/>
      <c r="G417" s="18" t="n"/>
      <c r="H417" s="18" t="n"/>
      <c r="I417" s="18" t="n"/>
      <c r="J417" s="23">
        <f>IF(F417="","",F417+G417+H417+I417)</f>
        <v/>
      </c>
      <c r="K417">
        <f>IF(F417="","",IF(D417&lt;&gt;"","B2B","B2C"))</f>
        <v/>
      </c>
      <c r="L417">
        <f>IF(A417="","",TEXT(A417,"mmm-yy"))</f>
        <v/>
      </c>
    </row>
    <row r="418">
      <c r="A418" s="14" t="n"/>
      <c r="B418" s="11" t="n"/>
      <c r="C418" s="11" t="n"/>
      <c r="D418" s="11" t="n"/>
      <c r="E418" s="11" t="n"/>
      <c r="F418" s="18" t="n"/>
      <c r="G418" s="18" t="n"/>
      <c r="H418" s="18" t="n"/>
      <c r="I418" s="18" t="n"/>
      <c r="J418" s="23">
        <f>IF(F418="","",F418+G418+H418+I418)</f>
        <v/>
      </c>
      <c r="K418">
        <f>IF(F418="","",IF(D418&lt;&gt;"","B2B","B2C"))</f>
        <v/>
      </c>
      <c r="L418">
        <f>IF(A418="","",TEXT(A418,"mmm-yy"))</f>
        <v/>
      </c>
    </row>
    <row r="419">
      <c r="A419" s="14" t="n"/>
      <c r="B419" s="11" t="n"/>
      <c r="C419" s="11" t="n"/>
      <c r="D419" s="11" t="n"/>
      <c r="E419" s="11" t="n"/>
      <c r="F419" s="18" t="n"/>
      <c r="G419" s="18" t="n"/>
      <c r="H419" s="18" t="n"/>
      <c r="I419" s="18" t="n"/>
      <c r="J419" s="23">
        <f>IF(F419="","",F419+G419+H419+I419)</f>
        <v/>
      </c>
      <c r="K419">
        <f>IF(F419="","",IF(D419&lt;&gt;"","B2B","B2C"))</f>
        <v/>
      </c>
      <c r="L419">
        <f>IF(A419="","",TEXT(A419,"mmm-yy"))</f>
        <v/>
      </c>
    </row>
    <row r="420">
      <c r="A420" s="14" t="n"/>
      <c r="B420" s="11" t="n"/>
      <c r="C420" s="11" t="n"/>
      <c r="D420" s="11" t="n"/>
      <c r="E420" s="11" t="n"/>
      <c r="F420" s="18" t="n"/>
      <c r="G420" s="18" t="n"/>
      <c r="H420" s="18" t="n"/>
      <c r="I420" s="18" t="n"/>
      <c r="J420" s="23">
        <f>IF(F420="","",F420+G420+H420+I420)</f>
        <v/>
      </c>
      <c r="K420">
        <f>IF(F420="","",IF(D420&lt;&gt;"","B2B","B2C"))</f>
        <v/>
      </c>
      <c r="L420">
        <f>IF(A420="","",TEXT(A420,"mmm-yy"))</f>
        <v/>
      </c>
    </row>
    <row r="421">
      <c r="A421" s="14" t="n"/>
      <c r="B421" s="11" t="n"/>
      <c r="C421" s="11" t="n"/>
      <c r="D421" s="11" t="n"/>
      <c r="E421" s="11" t="n"/>
      <c r="F421" s="18" t="n"/>
      <c r="G421" s="18" t="n"/>
      <c r="H421" s="18" t="n"/>
      <c r="I421" s="18" t="n"/>
      <c r="J421" s="23">
        <f>IF(F421="","",F421+G421+H421+I421)</f>
        <v/>
      </c>
      <c r="K421">
        <f>IF(F421="","",IF(D421&lt;&gt;"","B2B","B2C"))</f>
        <v/>
      </c>
      <c r="L421">
        <f>IF(A421="","",TEXT(A421,"mmm-yy"))</f>
        <v/>
      </c>
    </row>
    <row r="422">
      <c r="A422" s="14" t="n"/>
      <c r="B422" s="11" t="n"/>
      <c r="C422" s="11" t="n"/>
      <c r="D422" s="11" t="n"/>
      <c r="E422" s="11" t="n"/>
      <c r="F422" s="18" t="n"/>
      <c r="G422" s="18" t="n"/>
      <c r="H422" s="18" t="n"/>
      <c r="I422" s="18" t="n"/>
      <c r="J422" s="23">
        <f>IF(F422="","",F422+G422+H422+I422)</f>
        <v/>
      </c>
      <c r="K422">
        <f>IF(F422="","",IF(D422&lt;&gt;"","B2B","B2C"))</f>
        <v/>
      </c>
      <c r="L422">
        <f>IF(A422="","",TEXT(A422,"mmm-yy"))</f>
        <v/>
      </c>
    </row>
    <row r="423">
      <c r="A423" s="14" t="n"/>
      <c r="B423" s="11" t="n"/>
      <c r="C423" s="11" t="n"/>
      <c r="D423" s="11" t="n"/>
      <c r="E423" s="11" t="n"/>
      <c r="F423" s="18" t="n"/>
      <c r="G423" s="18" t="n"/>
      <c r="H423" s="18" t="n"/>
      <c r="I423" s="18" t="n"/>
      <c r="J423" s="23">
        <f>IF(F423="","",F423+G423+H423+I423)</f>
        <v/>
      </c>
      <c r="K423">
        <f>IF(F423="","",IF(D423&lt;&gt;"","B2B","B2C"))</f>
        <v/>
      </c>
      <c r="L423">
        <f>IF(A423="","",TEXT(A423,"mmm-yy"))</f>
        <v/>
      </c>
    </row>
    <row r="424">
      <c r="A424" s="14" t="n"/>
      <c r="B424" s="11" t="n"/>
      <c r="C424" s="11" t="n"/>
      <c r="D424" s="11" t="n"/>
      <c r="E424" s="11" t="n"/>
      <c r="F424" s="18" t="n"/>
      <c r="G424" s="18" t="n"/>
      <c r="H424" s="18" t="n"/>
      <c r="I424" s="18" t="n"/>
      <c r="J424" s="23">
        <f>IF(F424="","",F424+G424+H424+I424)</f>
        <v/>
      </c>
      <c r="K424">
        <f>IF(F424="","",IF(D424&lt;&gt;"","B2B","B2C"))</f>
        <v/>
      </c>
      <c r="L424">
        <f>IF(A424="","",TEXT(A424,"mmm-yy"))</f>
        <v/>
      </c>
    </row>
    <row r="425">
      <c r="A425" s="14" t="n"/>
      <c r="B425" s="11" t="n"/>
      <c r="C425" s="11" t="n"/>
      <c r="D425" s="11" t="n"/>
      <c r="E425" s="11" t="n"/>
      <c r="F425" s="18" t="n"/>
      <c r="G425" s="18" t="n"/>
      <c r="H425" s="18" t="n"/>
      <c r="I425" s="18" t="n"/>
      <c r="J425" s="23">
        <f>IF(F425="","",F425+G425+H425+I425)</f>
        <v/>
      </c>
      <c r="K425">
        <f>IF(F425="","",IF(D425&lt;&gt;"","B2B","B2C"))</f>
        <v/>
      </c>
      <c r="L425">
        <f>IF(A425="","",TEXT(A425,"mmm-yy"))</f>
        <v/>
      </c>
    </row>
    <row r="426">
      <c r="A426" s="14" t="n"/>
      <c r="B426" s="11" t="n"/>
      <c r="C426" s="11" t="n"/>
      <c r="D426" s="11" t="n"/>
      <c r="E426" s="11" t="n"/>
      <c r="F426" s="18" t="n"/>
      <c r="G426" s="18" t="n"/>
      <c r="H426" s="18" t="n"/>
      <c r="I426" s="18" t="n"/>
      <c r="J426" s="23">
        <f>IF(F426="","",F426+G426+H426+I426)</f>
        <v/>
      </c>
      <c r="K426">
        <f>IF(F426="","",IF(D426&lt;&gt;"","B2B","B2C"))</f>
        <v/>
      </c>
      <c r="L426">
        <f>IF(A426="","",TEXT(A426,"mmm-yy"))</f>
        <v/>
      </c>
    </row>
    <row r="427">
      <c r="A427" s="14" t="n"/>
      <c r="B427" s="11" t="n"/>
      <c r="C427" s="11" t="n"/>
      <c r="D427" s="11" t="n"/>
      <c r="E427" s="11" t="n"/>
      <c r="F427" s="18" t="n"/>
      <c r="G427" s="18" t="n"/>
      <c r="H427" s="18" t="n"/>
      <c r="I427" s="18" t="n"/>
      <c r="J427" s="23">
        <f>IF(F427="","",F427+G427+H427+I427)</f>
        <v/>
      </c>
      <c r="K427">
        <f>IF(F427="","",IF(D427&lt;&gt;"","B2B","B2C"))</f>
        <v/>
      </c>
      <c r="L427">
        <f>IF(A427="","",TEXT(A427,"mmm-yy"))</f>
        <v/>
      </c>
    </row>
    <row r="428">
      <c r="A428" s="14" t="n"/>
      <c r="B428" s="11" t="n"/>
      <c r="C428" s="11" t="n"/>
      <c r="D428" s="11" t="n"/>
      <c r="E428" s="11" t="n"/>
      <c r="F428" s="18" t="n"/>
      <c r="G428" s="18" t="n"/>
      <c r="H428" s="18" t="n"/>
      <c r="I428" s="18" t="n"/>
      <c r="J428" s="23">
        <f>IF(F428="","",F428+G428+H428+I428)</f>
        <v/>
      </c>
      <c r="K428">
        <f>IF(F428="","",IF(D428&lt;&gt;"","B2B","B2C"))</f>
        <v/>
      </c>
      <c r="L428">
        <f>IF(A428="","",TEXT(A428,"mmm-yy"))</f>
        <v/>
      </c>
    </row>
    <row r="429">
      <c r="A429" s="14" t="n"/>
      <c r="B429" s="11" t="n"/>
      <c r="C429" s="11" t="n"/>
      <c r="D429" s="11" t="n"/>
      <c r="E429" s="11" t="n"/>
      <c r="F429" s="18" t="n"/>
      <c r="G429" s="18" t="n"/>
      <c r="H429" s="18" t="n"/>
      <c r="I429" s="18" t="n"/>
      <c r="J429" s="23">
        <f>IF(F429="","",F429+G429+H429+I429)</f>
        <v/>
      </c>
      <c r="K429">
        <f>IF(F429="","",IF(D429&lt;&gt;"","B2B","B2C"))</f>
        <v/>
      </c>
      <c r="L429">
        <f>IF(A429="","",TEXT(A429,"mmm-yy"))</f>
        <v/>
      </c>
    </row>
    <row r="430">
      <c r="A430" s="14" t="n"/>
      <c r="B430" s="11" t="n"/>
      <c r="C430" s="11" t="n"/>
      <c r="D430" s="11" t="n"/>
      <c r="E430" s="11" t="n"/>
      <c r="F430" s="18" t="n"/>
      <c r="G430" s="18" t="n"/>
      <c r="H430" s="18" t="n"/>
      <c r="I430" s="18" t="n"/>
      <c r="J430" s="23">
        <f>IF(F430="","",F430+G430+H430+I430)</f>
        <v/>
      </c>
      <c r="K430">
        <f>IF(F430="","",IF(D430&lt;&gt;"","B2B","B2C"))</f>
        <v/>
      </c>
      <c r="L430">
        <f>IF(A430="","",TEXT(A430,"mmm-yy"))</f>
        <v/>
      </c>
    </row>
    <row r="431">
      <c r="A431" s="14" t="n"/>
      <c r="B431" s="11" t="n"/>
      <c r="C431" s="11" t="n"/>
      <c r="D431" s="11" t="n"/>
      <c r="E431" s="11" t="n"/>
      <c r="F431" s="18" t="n"/>
      <c r="G431" s="18" t="n"/>
      <c r="H431" s="18" t="n"/>
      <c r="I431" s="18" t="n"/>
      <c r="J431" s="23">
        <f>IF(F431="","",F431+G431+H431+I431)</f>
        <v/>
      </c>
      <c r="K431">
        <f>IF(F431="","",IF(D431&lt;&gt;"","B2B","B2C"))</f>
        <v/>
      </c>
      <c r="L431">
        <f>IF(A431="","",TEXT(A431,"mmm-yy"))</f>
        <v/>
      </c>
    </row>
    <row r="432">
      <c r="A432" s="14" t="n"/>
      <c r="B432" s="11" t="n"/>
      <c r="C432" s="11" t="n"/>
      <c r="D432" s="11" t="n"/>
      <c r="E432" s="11" t="n"/>
      <c r="F432" s="18" t="n"/>
      <c r="G432" s="18" t="n"/>
      <c r="H432" s="18" t="n"/>
      <c r="I432" s="18" t="n"/>
      <c r="J432" s="23">
        <f>IF(F432="","",F432+G432+H432+I432)</f>
        <v/>
      </c>
      <c r="K432">
        <f>IF(F432="","",IF(D432&lt;&gt;"","B2B","B2C"))</f>
        <v/>
      </c>
      <c r="L432">
        <f>IF(A432="","",TEXT(A432,"mmm-yy"))</f>
        <v/>
      </c>
    </row>
    <row r="433">
      <c r="A433" s="14" t="n"/>
      <c r="B433" s="11" t="n"/>
      <c r="C433" s="11" t="n"/>
      <c r="D433" s="11" t="n"/>
      <c r="E433" s="11" t="n"/>
      <c r="F433" s="18" t="n"/>
      <c r="G433" s="18" t="n"/>
      <c r="H433" s="18" t="n"/>
      <c r="I433" s="18" t="n"/>
      <c r="J433" s="23">
        <f>IF(F433="","",F433+G433+H433+I433)</f>
        <v/>
      </c>
      <c r="K433">
        <f>IF(F433="","",IF(D433&lt;&gt;"","B2B","B2C"))</f>
        <v/>
      </c>
      <c r="L433">
        <f>IF(A433="","",TEXT(A433,"mmm-yy"))</f>
        <v/>
      </c>
    </row>
    <row r="434">
      <c r="A434" s="14" t="n"/>
      <c r="B434" s="11" t="n"/>
      <c r="C434" s="11" t="n"/>
      <c r="D434" s="11" t="n"/>
      <c r="E434" s="11" t="n"/>
      <c r="F434" s="18" t="n"/>
      <c r="G434" s="18" t="n"/>
      <c r="H434" s="18" t="n"/>
      <c r="I434" s="18" t="n"/>
      <c r="J434" s="23">
        <f>IF(F434="","",F434+G434+H434+I434)</f>
        <v/>
      </c>
      <c r="K434">
        <f>IF(F434="","",IF(D434&lt;&gt;"","B2B","B2C"))</f>
        <v/>
      </c>
      <c r="L434">
        <f>IF(A434="","",TEXT(A434,"mmm-yy"))</f>
        <v/>
      </c>
    </row>
    <row r="435">
      <c r="A435" s="14" t="n"/>
      <c r="B435" s="11" t="n"/>
      <c r="C435" s="11" t="n"/>
      <c r="D435" s="11" t="n"/>
      <c r="E435" s="11" t="n"/>
      <c r="F435" s="18" t="n"/>
      <c r="G435" s="18" t="n"/>
      <c r="H435" s="18" t="n"/>
      <c r="I435" s="18" t="n"/>
      <c r="J435" s="23">
        <f>IF(F435="","",F435+G435+H435+I435)</f>
        <v/>
      </c>
      <c r="K435">
        <f>IF(F435="","",IF(D435&lt;&gt;"","B2B","B2C"))</f>
        <v/>
      </c>
      <c r="L435">
        <f>IF(A435="","",TEXT(A435,"mmm-yy"))</f>
        <v/>
      </c>
    </row>
    <row r="436">
      <c r="A436" s="14" t="n"/>
      <c r="B436" s="11" t="n"/>
      <c r="C436" s="11" t="n"/>
      <c r="D436" s="11" t="n"/>
      <c r="E436" s="11" t="n"/>
      <c r="F436" s="18" t="n"/>
      <c r="G436" s="18" t="n"/>
      <c r="H436" s="18" t="n"/>
      <c r="I436" s="18" t="n"/>
      <c r="J436" s="23">
        <f>IF(F436="","",F436+G436+H436+I436)</f>
        <v/>
      </c>
      <c r="K436">
        <f>IF(F436="","",IF(D436&lt;&gt;"","B2B","B2C"))</f>
        <v/>
      </c>
      <c r="L436">
        <f>IF(A436="","",TEXT(A436,"mmm-yy"))</f>
        <v/>
      </c>
    </row>
    <row r="437">
      <c r="A437" s="14" t="n"/>
      <c r="B437" s="11" t="n"/>
      <c r="C437" s="11" t="n"/>
      <c r="D437" s="11" t="n"/>
      <c r="E437" s="11" t="n"/>
      <c r="F437" s="18" t="n"/>
      <c r="G437" s="18" t="n"/>
      <c r="H437" s="18" t="n"/>
      <c r="I437" s="18" t="n"/>
      <c r="J437" s="23">
        <f>IF(F437="","",F437+G437+H437+I437)</f>
        <v/>
      </c>
      <c r="K437">
        <f>IF(F437="","",IF(D437&lt;&gt;"","B2B","B2C"))</f>
        <v/>
      </c>
      <c r="L437">
        <f>IF(A437="","",TEXT(A437,"mmm-yy"))</f>
        <v/>
      </c>
    </row>
    <row r="438">
      <c r="A438" s="14" t="n"/>
      <c r="B438" s="11" t="n"/>
      <c r="C438" s="11" t="n"/>
      <c r="D438" s="11" t="n"/>
      <c r="E438" s="11" t="n"/>
      <c r="F438" s="18" t="n"/>
      <c r="G438" s="18" t="n"/>
      <c r="H438" s="18" t="n"/>
      <c r="I438" s="18" t="n"/>
      <c r="J438" s="23">
        <f>IF(F438="","",F438+G438+H438+I438)</f>
        <v/>
      </c>
      <c r="K438">
        <f>IF(F438="","",IF(D438&lt;&gt;"","B2B","B2C"))</f>
        <v/>
      </c>
      <c r="L438">
        <f>IF(A438="","",TEXT(A438,"mmm-yy"))</f>
        <v/>
      </c>
    </row>
    <row r="439">
      <c r="A439" s="14" t="n"/>
      <c r="B439" s="11" t="n"/>
      <c r="C439" s="11" t="n"/>
      <c r="D439" s="11" t="n"/>
      <c r="E439" s="11" t="n"/>
      <c r="F439" s="18" t="n"/>
      <c r="G439" s="18" t="n"/>
      <c r="H439" s="18" t="n"/>
      <c r="I439" s="18" t="n"/>
      <c r="J439" s="23">
        <f>IF(F439="","",F439+G439+H439+I439)</f>
        <v/>
      </c>
      <c r="K439">
        <f>IF(F439="","",IF(D439&lt;&gt;"","B2B","B2C"))</f>
        <v/>
      </c>
      <c r="L439">
        <f>IF(A439="","",TEXT(A439,"mmm-yy"))</f>
        <v/>
      </c>
    </row>
    <row r="440">
      <c r="A440" s="14" t="n"/>
      <c r="B440" s="11" t="n"/>
      <c r="C440" s="11" t="n"/>
      <c r="D440" s="11" t="n"/>
      <c r="E440" s="11" t="n"/>
      <c r="F440" s="18" t="n"/>
      <c r="G440" s="18" t="n"/>
      <c r="H440" s="18" t="n"/>
      <c r="I440" s="18" t="n"/>
      <c r="J440" s="23">
        <f>IF(F440="","",F440+G440+H440+I440)</f>
        <v/>
      </c>
      <c r="K440">
        <f>IF(F440="","",IF(D440&lt;&gt;"","B2B","B2C"))</f>
        <v/>
      </c>
      <c r="L440">
        <f>IF(A440="","",TEXT(A440,"mmm-yy"))</f>
        <v/>
      </c>
    </row>
    <row r="441">
      <c r="A441" s="14" t="n"/>
      <c r="B441" s="11" t="n"/>
      <c r="C441" s="11" t="n"/>
      <c r="D441" s="11" t="n"/>
      <c r="E441" s="11" t="n"/>
      <c r="F441" s="18" t="n"/>
      <c r="G441" s="18" t="n"/>
      <c r="H441" s="18" t="n"/>
      <c r="I441" s="18" t="n"/>
      <c r="J441" s="23">
        <f>IF(F441="","",F441+G441+H441+I441)</f>
        <v/>
      </c>
      <c r="K441">
        <f>IF(F441="","",IF(D441&lt;&gt;"","B2B","B2C"))</f>
        <v/>
      </c>
      <c r="L441">
        <f>IF(A441="","",TEXT(A441,"mmm-yy"))</f>
        <v/>
      </c>
    </row>
    <row r="442">
      <c r="A442" s="14" t="n"/>
      <c r="B442" s="11" t="n"/>
      <c r="C442" s="11" t="n"/>
      <c r="D442" s="11" t="n"/>
      <c r="E442" s="11" t="n"/>
      <c r="F442" s="18" t="n"/>
      <c r="G442" s="18" t="n"/>
      <c r="H442" s="18" t="n"/>
      <c r="I442" s="18" t="n"/>
      <c r="J442" s="23">
        <f>IF(F442="","",F442+G442+H442+I442)</f>
        <v/>
      </c>
      <c r="K442">
        <f>IF(F442="","",IF(D442&lt;&gt;"","B2B","B2C"))</f>
        <v/>
      </c>
      <c r="L442">
        <f>IF(A442="","",TEXT(A442,"mmm-yy"))</f>
        <v/>
      </c>
    </row>
    <row r="443">
      <c r="A443" s="14" t="n"/>
      <c r="B443" s="11" t="n"/>
      <c r="C443" s="11" t="n"/>
      <c r="D443" s="11" t="n"/>
      <c r="E443" s="11" t="n"/>
      <c r="F443" s="18" t="n"/>
      <c r="G443" s="18" t="n"/>
      <c r="H443" s="18" t="n"/>
      <c r="I443" s="18" t="n"/>
      <c r="J443" s="23">
        <f>IF(F443="","",F443+G443+H443+I443)</f>
        <v/>
      </c>
      <c r="K443">
        <f>IF(F443="","",IF(D443&lt;&gt;"","B2B","B2C"))</f>
        <v/>
      </c>
      <c r="L443">
        <f>IF(A443="","",TEXT(A443,"mmm-yy"))</f>
        <v/>
      </c>
    </row>
    <row r="444">
      <c r="A444" s="14" t="n"/>
      <c r="B444" s="11" t="n"/>
      <c r="C444" s="11" t="n"/>
      <c r="D444" s="11" t="n"/>
      <c r="E444" s="11" t="n"/>
      <c r="F444" s="18" t="n"/>
      <c r="G444" s="18" t="n"/>
      <c r="H444" s="18" t="n"/>
      <c r="I444" s="18" t="n"/>
      <c r="J444" s="23">
        <f>IF(F444="","",F444+G444+H444+I444)</f>
        <v/>
      </c>
      <c r="K444">
        <f>IF(F444="","",IF(D444&lt;&gt;"","B2B","B2C"))</f>
        <v/>
      </c>
      <c r="L444">
        <f>IF(A444="","",TEXT(A444,"mmm-yy"))</f>
        <v/>
      </c>
    </row>
    <row r="445">
      <c r="A445" s="14" t="n"/>
      <c r="B445" s="11" t="n"/>
      <c r="C445" s="11" t="n"/>
      <c r="D445" s="11" t="n"/>
      <c r="E445" s="11" t="n"/>
      <c r="F445" s="18" t="n"/>
      <c r="G445" s="18" t="n"/>
      <c r="H445" s="18" t="n"/>
      <c r="I445" s="18" t="n"/>
      <c r="J445" s="23">
        <f>IF(F445="","",F445+G445+H445+I445)</f>
        <v/>
      </c>
      <c r="K445">
        <f>IF(F445="","",IF(D445&lt;&gt;"","B2B","B2C"))</f>
        <v/>
      </c>
      <c r="L445">
        <f>IF(A445="","",TEXT(A445,"mmm-yy"))</f>
        <v/>
      </c>
    </row>
    <row r="446">
      <c r="A446" s="14" t="n"/>
      <c r="B446" s="11" t="n"/>
      <c r="C446" s="11" t="n"/>
      <c r="D446" s="11" t="n"/>
      <c r="E446" s="11" t="n"/>
      <c r="F446" s="18" t="n"/>
      <c r="G446" s="18" t="n"/>
      <c r="H446" s="18" t="n"/>
      <c r="I446" s="18" t="n"/>
      <c r="J446" s="23">
        <f>IF(F446="","",F446+G446+H446+I446)</f>
        <v/>
      </c>
      <c r="K446">
        <f>IF(F446="","",IF(D446&lt;&gt;"","B2B","B2C"))</f>
        <v/>
      </c>
      <c r="L446">
        <f>IF(A446="","",TEXT(A446,"mmm-yy"))</f>
        <v/>
      </c>
    </row>
    <row r="447">
      <c r="A447" s="14" t="n"/>
      <c r="B447" s="11" t="n"/>
      <c r="C447" s="11" t="n"/>
      <c r="D447" s="11" t="n"/>
      <c r="E447" s="11" t="n"/>
      <c r="F447" s="18" t="n"/>
      <c r="G447" s="18" t="n"/>
      <c r="H447" s="18" t="n"/>
      <c r="I447" s="18" t="n"/>
      <c r="J447" s="23">
        <f>IF(F447="","",F447+G447+H447+I447)</f>
        <v/>
      </c>
      <c r="K447">
        <f>IF(F447="","",IF(D447&lt;&gt;"","B2B","B2C"))</f>
        <v/>
      </c>
      <c r="L447">
        <f>IF(A447="","",TEXT(A447,"mmm-yy"))</f>
        <v/>
      </c>
    </row>
    <row r="448">
      <c r="A448" s="14" t="n"/>
      <c r="B448" s="11" t="n"/>
      <c r="C448" s="11" t="n"/>
      <c r="D448" s="11" t="n"/>
      <c r="E448" s="11" t="n"/>
      <c r="F448" s="18" t="n"/>
      <c r="G448" s="18" t="n"/>
      <c r="H448" s="18" t="n"/>
      <c r="I448" s="18" t="n"/>
      <c r="J448" s="23">
        <f>IF(F448="","",F448+G448+H448+I448)</f>
        <v/>
      </c>
      <c r="K448">
        <f>IF(F448="","",IF(D448&lt;&gt;"","B2B","B2C"))</f>
        <v/>
      </c>
      <c r="L448">
        <f>IF(A448="","",TEXT(A448,"mmm-yy"))</f>
        <v/>
      </c>
    </row>
    <row r="449">
      <c r="A449" s="14" t="n"/>
      <c r="B449" s="11" t="n"/>
      <c r="C449" s="11" t="n"/>
      <c r="D449" s="11" t="n"/>
      <c r="E449" s="11" t="n"/>
      <c r="F449" s="18" t="n"/>
      <c r="G449" s="18" t="n"/>
      <c r="H449" s="18" t="n"/>
      <c r="I449" s="18" t="n"/>
      <c r="J449" s="23">
        <f>IF(F449="","",F449+G449+H449+I449)</f>
        <v/>
      </c>
      <c r="K449">
        <f>IF(F449="","",IF(D449&lt;&gt;"","B2B","B2C"))</f>
        <v/>
      </c>
      <c r="L449">
        <f>IF(A449="","",TEXT(A449,"mmm-yy"))</f>
        <v/>
      </c>
    </row>
    <row r="450">
      <c r="A450" s="14" t="n"/>
      <c r="B450" s="11" t="n"/>
      <c r="C450" s="11" t="n"/>
      <c r="D450" s="11" t="n"/>
      <c r="E450" s="11" t="n"/>
      <c r="F450" s="18" t="n"/>
      <c r="G450" s="18" t="n"/>
      <c r="H450" s="18" t="n"/>
      <c r="I450" s="18" t="n"/>
      <c r="J450" s="23">
        <f>IF(F450="","",F450+G450+H450+I450)</f>
        <v/>
      </c>
      <c r="K450">
        <f>IF(F450="","",IF(D450&lt;&gt;"","B2B","B2C"))</f>
        <v/>
      </c>
      <c r="L450">
        <f>IF(A450="","",TEXT(A450,"mmm-yy"))</f>
        <v/>
      </c>
    </row>
    <row r="451">
      <c r="A451" s="14" t="n"/>
      <c r="B451" s="11" t="n"/>
      <c r="C451" s="11" t="n"/>
      <c r="D451" s="11" t="n"/>
      <c r="E451" s="11" t="n"/>
      <c r="F451" s="18" t="n"/>
      <c r="G451" s="18" t="n"/>
      <c r="H451" s="18" t="n"/>
      <c r="I451" s="18" t="n"/>
      <c r="J451" s="23">
        <f>IF(F451="","",F451+G451+H451+I451)</f>
        <v/>
      </c>
      <c r="K451">
        <f>IF(F451="","",IF(D451&lt;&gt;"","B2B","B2C"))</f>
        <v/>
      </c>
      <c r="L451">
        <f>IF(A451="","",TEXT(A451,"mmm-yy"))</f>
        <v/>
      </c>
    </row>
    <row r="452">
      <c r="A452" s="14" t="n"/>
      <c r="B452" s="11" t="n"/>
      <c r="C452" s="11" t="n"/>
      <c r="D452" s="11" t="n"/>
      <c r="E452" s="11" t="n"/>
      <c r="F452" s="18" t="n"/>
      <c r="G452" s="18" t="n"/>
      <c r="H452" s="18" t="n"/>
      <c r="I452" s="18" t="n"/>
      <c r="J452" s="23">
        <f>IF(F452="","",F452+G452+H452+I452)</f>
        <v/>
      </c>
      <c r="K452">
        <f>IF(F452="","",IF(D452&lt;&gt;"","B2B","B2C"))</f>
        <v/>
      </c>
      <c r="L452">
        <f>IF(A452="","",TEXT(A452,"mmm-yy"))</f>
        <v/>
      </c>
    </row>
    <row r="453">
      <c r="A453" s="14" t="n"/>
      <c r="B453" s="11" t="n"/>
      <c r="C453" s="11" t="n"/>
      <c r="D453" s="11" t="n"/>
      <c r="E453" s="11" t="n"/>
      <c r="F453" s="18" t="n"/>
      <c r="G453" s="18" t="n"/>
      <c r="H453" s="18" t="n"/>
      <c r="I453" s="18" t="n"/>
      <c r="J453" s="23">
        <f>IF(F453="","",F453+G453+H453+I453)</f>
        <v/>
      </c>
      <c r="K453">
        <f>IF(F453="","",IF(D453&lt;&gt;"","B2B","B2C"))</f>
        <v/>
      </c>
      <c r="L453">
        <f>IF(A453="","",TEXT(A453,"mmm-yy"))</f>
        <v/>
      </c>
    </row>
    <row r="454">
      <c r="A454" s="14" t="n"/>
      <c r="B454" s="11" t="n"/>
      <c r="C454" s="11" t="n"/>
      <c r="D454" s="11" t="n"/>
      <c r="E454" s="11" t="n"/>
      <c r="F454" s="18" t="n"/>
      <c r="G454" s="18" t="n"/>
      <c r="H454" s="18" t="n"/>
      <c r="I454" s="18" t="n"/>
      <c r="J454" s="23">
        <f>IF(F454="","",F454+G454+H454+I454)</f>
        <v/>
      </c>
      <c r="K454">
        <f>IF(F454="","",IF(D454&lt;&gt;"","B2B","B2C"))</f>
        <v/>
      </c>
      <c r="L454">
        <f>IF(A454="","",TEXT(A454,"mmm-yy"))</f>
        <v/>
      </c>
    </row>
    <row r="455">
      <c r="A455" s="14" t="n"/>
      <c r="B455" s="11" t="n"/>
      <c r="C455" s="11" t="n"/>
      <c r="D455" s="11" t="n"/>
      <c r="E455" s="11" t="n"/>
      <c r="F455" s="18" t="n"/>
      <c r="G455" s="18" t="n"/>
      <c r="H455" s="18" t="n"/>
      <c r="I455" s="18" t="n"/>
      <c r="J455" s="23">
        <f>IF(F455="","",F455+G455+H455+I455)</f>
        <v/>
      </c>
      <c r="K455">
        <f>IF(F455="","",IF(D455&lt;&gt;"","B2B","B2C"))</f>
        <v/>
      </c>
      <c r="L455">
        <f>IF(A455="","",TEXT(A455,"mmm-yy"))</f>
        <v/>
      </c>
    </row>
    <row r="456">
      <c r="A456" s="14" t="n"/>
      <c r="B456" s="11" t="n"/>
      <c r="C456" s="11" t="n"/>
      <c r="D456" s="11" t="n"/>
      <c r="E456" s="11" t="n"/>
      <c r="F456" s="18" t="n"/>
      <c r="G456" s="18" t="n"/>
      <c r="H456" s="18" t="n"/>
      <c r="I456" s="18" t="n"/>
      <c r="J456" s="23">
        <f>IF(F456="","",F456+G456+H456+I456)</f>
        <v/>
      </c>
      <c r="K456">
        <f>IF(F456="","",IF(D456&lt;&gt;"","B2B","B2C"))</f>
        <v/>
      </c>
      <c r="L456">
        <f>IF(A456="","",TEXT(A456,"mmm-yy"))</f>
        <v/>
      </c>
    </row>
    <row r="457">
      <c r="A457" s="14" t="n"/>
      <c r="B457" s="11" t="n"/>
      <c r="C457" s="11" t="n"/>
      <c r="D457" s="11" t="n"/>
      <c r="E457" s="11" t="n"/>
      <c r="F457" s="18" t="n"/>
      <c r="G457" s="18" t="n"/>
      <c r="H457" s="18" t="n"/>
      <c r="I457" s="18" t="n"/>
      <c r="J457" s="23">
        <f>IF(F457="","",F457+G457+H457+I457)</f>
        <v/>
      </c>
      <c r="K457">
        <f>IF(F457="","",IF(D457&lt;&gt;"","B2B","B2C"))</f>
        <v/>
      </c>
      <c r="L457">
        <f>IF(A457="","",TEXT(A457,"mmm-yy"))</f>
        <v/>
      </c>
    </row>
    <row r="458">
      <c r="A458" s="14" t="n"/>
      <c r="B458" s="11" t="n"/>
      <c r="C458" s="11" t="n"/>
      <c r="D458" s="11" t="n"/>
      <c r="E458" s="11" t="n"/>
      <c r="F458" s="18" t="n"/>
      <c r="G458" s="18" t="n"/>
      <c r="H458" s="18" t="n"/>
      <c r="I458" s="18" t="n"/>
      <c r="J458" s="23">
        <f>IF(F458="","",F458+G458+H458+I458)</f>
        <v/>
      </c>
      <c r="K458">
        <f>IF(F458="","",IF(D458&lt;&gt;"","B2B","B2C"))</f>
        <v/>
      </c>
      <c r="L458">
        <f>IF(A458="","",TEXT(A458,"mmm-yy"))</f>
        <v/>
      </c>
    </row>
    <row r="459">
      <c r="A459" s="14" t="n"/>
      <c r="B459" s="11" t="n"/>
      <c r="C459" s="11" t="n"/>
      <c r="D459" s="11" t="n"/>
      <c r="E459" s="11" t="n"/>
      <c r="F459" s="18" t="n"/>
      <c r="G459" s="18" t="n"/>
      <c r="H459" s="18" t="n"/>
      <c r="I459" s="18" t="n"/>
      <c r="J459" s="23">
        <f>IF(F459="","",F459+G459+H459+I459)</f>
        <v/>
      </c>
      <c r="K459">
        <f>IF(F459="","",IF(D459&lt;&gt;"","B2B","B2C"))</f>
        <v/>
      </c>
      <c r="L459">
        <f>IF(A459="","",TEXT(A459,"mmm-yy"))</f>
        <v/>
      </c>
    </row>
    <row r="460">
      <c r="A460" s="14" t="n"/>
      <c r="B460" s="11" t="n"/>
      <c r="C460" s="11" t="n"/>
      <c r="D460" s="11" t="n"/>
      <c r="E460" s="11" t="n"/>
      <c r="F460" s="18" t="n"/>
      <c r="G460" s="18" t="n"/>
      <c r="H460" s="18" t="n"/>
      <c r="I460" s="18" t="n"/>
      <c r="J460" s="23">
        <f>IF(F460="","",F460+G460+H460+I460)</f>
        <v/>
      </c>
      <c r="K460">
        <f>IF(F460="","",IF(D460&lt;&gt;"","B2B","B2C"))</f>
        <v/>
      </c>
      <c r="L460">
        <f>IF(A460="","",TEXT(A460,"mmm-yy"))</f>
        <v/>
      </c>
    </row>
    <row r="461">
      <c r="A461" s="14" t="n"/>
      <c r="B461" s="11" t="n"/>
      <c r="C461" s="11" t="n"/>
      <c r="D461" s="11" t="n"/>
      <c r="E461" s="11" t="n"/>
      <c r="F461" s="18" t="n"/>
      <c r="G461" s="18" t="n"/>
      <c r="H461" s="18" t="n"/>
      <c r="I461" s="18" t="n"/>
      <c r="J461" s="23">
        <f>IF(F461="","",F461+G461+H461+I461)</f>
        <v/>
      </c>
      <c r="K461">
        <f>IF(F461="","",IF(D461&lt;&gt;"","B2B","B2C"))</f>
        <v/>
      </c>
      <c r="L461">
        <f>IF(A461="","",TEXT(A461,"mmm-yy"))</f>
        <v/>
      </c>
    </row>
    <row r="462">
      <c r="A462" s="14" t="n"/>
      <c r="B462" s="11" t="n"/>
      <c r="C462" s="11" t="n"/>
      <c r="D462" s="11" t="n"/>
      <c r="E462" s="11" t="n"/>
      <c r="F462" s="18" t="n"/>
      <c r="G462" s="18" t="n"/>
      <c r="H462" s="18" t="n"/>
      <c r="I462" s="18" t="n"/>
      <c r="J462" s="23">
        <f>IF(F462="","",F462+G462+H462+I462)</f>
        <v/>
      </c>
      <c r="K462">
        <f>IF(F462="","",IF(D462&lt;&gt;"","B2B","B2C"))</f>
        <v/>
      </c>
      <c r="L462">
        <f>IF(A462="","",TEXT(A462,"mmm-yy"))</f>
        <v/>
      </c>
    </row>
    <row r="463">
      <c r="A463" s="14" t="n"/>
      <c r="B463" s="11" t="n"/>
      <c r="C463" s="11" t="n"/>
      <c r="D463" s="11" t="n"/>
      <c r="E463" s="11" t="n"/>
      <c r="F463" s="18" t="n"/>
      <c r="G463" s="18" t="n"/>
      <c r="H463" s="18" t="n"/>
      <c r="I463" s="18" t="n"/>
      <c r="J463" s="23">
        <f>IF(F463="","",F463+G463+H463+I463)</f>
        <v/>
      </c>
      <c r="K463">
        <f>IF(F463="","",IF(D463&lt;&gt;"","B2B","B2C"))</f>
        <v/>
      </c>
      <c r="L463">
        <f>IF(A463="","",TEXT(A463,"mmm-yy"))</f>
        <v/>
      </c>
    </row>
    <row r="464">
      <c r="A464" s="14" t="n"/>
      <c r="B464" s="11" t="n"/>
      <c r="C464" s="11" t="n"/>
      <c r="D464" s="11" t="n"/>
      <c r="E464" s="11" t="n"/>
      <c r="F464" s="18" t="n"/>
      <c r="G464" s="18" t="n"/>
      <c r="H464" s="18" t="n"/>
      <c r="I464" s="18" t="n"/>
      <c r="J464" s="23">
        <f>IF(F464="","",F464+G464+H464+I464)</f>
        <v/>
      </c>
      <c r="K464">
        <f>IF(F464="","",IF(D464&lt;&gt;"","B2B","B2C"))</f>
        <v/>
      </c>
      <c r="L464">
        <f>IF(A464="","",TEXT(A464,"mmm-yy"))</f>
        <v/>
      </c>
    </row>
    <row r="465">
      <c r="A465" s="14" t="n"/>
      <c r="B465" s="11" t="n"/>
      <c r="C465" s="11" t="n"/>
      <c r="D465" s="11" t="n"/>
      <c r="E465" s="11" t="n"/>
      <c r="F465" s="18" t="n"/>
      <c r="G465" s="18" t="n"/>
      <c r="H465" s="18" t="n"/>
      <c r="I465" s="18" t="n"/>
      <c r="J465" s="23">
        <f>IF(F465="","",F465+G465+H465+I465)</f>
        <v/>
      </c>
      <c r="K465">
        <f>IF(F465="","",IF(D465&lt;&gt;"","B2B","B2C"))</f>
        <v/>
      </c>
      <c r="L465">
        <f>IF(A465="","",TEXT(A465,"mmm-yy"))</f>
        <v/>
      </c>
    </row>
    <row r="466">
      <c r="A466" s="14" t="n"/>
      <c r="B466" s="11" t="n"/>
      <c r="C466" s="11" t="n"/>
      <c r="D466" s="11" t="n"/>
      <c r="E466" s="11" t="n"/>
      <c r="F466" s="18" t="n"/>
      <c r="G466" s="18" t="n"/>
      <c r="H466" s="18" t="n"/>
      <c r="I466" s="18" t="n"/>
      <c r="J466" s="23">
        <f>IF(F466="","",F466+G466+H466+I466)</f>
        <v/>
      </c>
      <c r="K466">
        <f>IF(F466="","",IF(D466&lt;&gt;"","B2B","B2C"))</f>
        <v/>
      </c>
      <c r="L466">
        <f>IF(A466="","",TEXT(A466,"mmm-yy"))</f>
        <v/>
      </c>
    </row>
    <row r="467">
      <c r="A467" s="14" t="n"/>
      <c r="B467" s="11" t="n"/>
      <c r="C467" s="11" t="n"/>
      <c r="D467" s="11" t="n"/>
      <c r="E467" s="11" t="n"/>
      <c r="F467" s="18" t="n"/>
      <c r="G467" s="18" t="n"/>
      <c r="H467" s="18" t="n"/>
      <c r="I467" s="18" t="n"/>
      <c r="J467" s="23">
        <f>IF(F467="","",F467+G467+H467+I467)</f>
        <v/>
      </c>
      <c r="K467">
        <f>IF(F467="","",IF(D467&lt;&gt;"","B2B","B2C"))</f>
        <v/>
      </c>
      <c r="L467">
        <f>IF(A467="","",TEXT(A467,"mmm-yy"))</f>
        <v/>
      </c>
    </row>
    <row r="468">
      <c r="A468" s="14" t="n"/>
      <c r="B468" s="11" t="n"/>
      <c r="C468" s="11" t="n"/>
      <c r="D468" s="11" t="n"/>
      <c r="E468" s="11" t="n"/>
      <c r="F468" s="18" t="n"/>
      <c r="G468" s="18" t="n"/>
      <c r="H468" s="18" t="n"/>
      <c r="I468" s="18" t="n"/>
      <c r="J468" s="23">
        <f>IF(F468="","",F468+G468+H468+I468)</f>
        <v/>
      </c>
      <c r="K468">
        <f>IF(F468="","",IF(D468&lt;&gt;"","B2B","B2C"))</f>
        <v/>
      </c>
      <c r="L468">
        <f>IF(A468="","",TEXT(A468,"mmm-yy"))</f>
        <v/>
      </c>
    </row>
    <row r="469">
      <c r="A469" s="14" t="n"/>
      <c r="B469" s="11" t="n"/>
      <c r="C469" s="11" t="n"/>
      <c r="D469" s="11" t="n"/>
      <c r="E469" s="11" t="n"/>
      <c r="F469" s="18" t="n"/>
      <c r="G469" s="18" t="n"/>
      <c r="H469" s="18" t="n"/>
      <c r="I469" s="18" t="n"/>
      <c r="J469" s="23">
        <f>IF(F469="","",F469+G469+H469+I469)</f>
        <v/>
      </c>
      <c r="K469">
        <f>IF(F469="","",IF(D469&lt;&gt;"","B2B","B2C"))</f>
        <v/>
      </c>
      <c r="L469">
        <f>IF(A469="","",TEXT(A469,"mmm-yy"))</f>
        <v/>
      </c>
    </row>
    <row r="470">
      <c r="A470" s="14" t="n"/>
      <c r="B470" s="11" t="n"/>
      <c r="C470" s="11" t="n"/>
      <c r="D470" s="11" t="n"/>
      <c r="E470" s="11" t="n"/>
      <c r="F470" s="18" t="n"/>
      <c r="G470" s="18" t="n"/>
      <c r="H470" s="18" t="n"/>
      <c r="I470" s="18" t="n"/>
      <c r="J470" s="23">
        <f>IF(F470="","",F470+G470+H470+I470)</f>
        <v/>
      </c>
      <c r="K470">
        <f>IF(F470="","",IF(D470&lt;&gt;"","B2B","B2C"))</f>
        <v/>
      </c>
      <c r="L470">
        <f>IF(A470="","",TEXT(A470,"mmm-yy"))</f>
        <v/>
      </c>
    </row>
    <row r="471">
      <c r="A471" s="14" t="n"/>
      <c r="B471" s="11" t="n"/>
      <c r="C471" s="11" t="n"/>
      <c r="D471" s="11" t="n"/>
      <c r="E471" s="11" t="n"/>
      <c r="F471" s="18" t="n"/>
      <c r="G471" s="18" t="n"/>
      <c r="H471" s="18" t="n"/>
      <c r="I471" s="18" t="n"/>
      <c r="J471" s="23">
        <f>IF(F471="","",F471+G471+H471+I471)</f>
        <v/>
      </c>
      <c r="K471">
        <f>IF(F471="","",IF(D471&lt;&gt;"","B2B","B2C"))</f>
        <v/>
      </c>
      <c r="L471">
        <f>IF(A471="","",TEXT(A471,"mmm-yy"))</f>
        <v/>
      </c>
    </row>
    <row r="472">
      <c r="A472" s="14" t="n"/>
      <c r="B472" s="11" t="n"/>
      <c r="C472" s="11" t="n"/>
      <c r="D472" s="11" t="n"/>
      <c r="E472" s="11" t="n"/>
      <c r="F472" s="18" t="n"/>
      <c r="G472" s="18" t="n"/>
      <c r="H472" s="18" t="n"/>
      <c r="I472" s="18" t="n"/>
      <c r="J472" s="23">
        <f>IF(F472="","",F472+G472+H472+I472)</f>
        <v/>
      </c>
      <c r="K472">
        <f>IF(F472="","",IF(D472&lt;&gt;"","B2B","B2C"))</f>
        <v/>
      </c>
      <c r="L472">
        <f>IF(A472="","",TEXT(A472,"mmm-yy"))</f>
        <v/>
      </c>
    </row>
    <row r="473">
      <c r="A473" s="14" t="n"/>
      <c r="B473" s="11" t="n"/>
      <c r="C473" s="11" t="n"/>
      <c r="D473" s="11" t="n"/>
      <c r="E473" s="11" t="n"/>
      <c r="F473" s="18" t="n"/>
      <c r="G473" s="18" t="n"/>
      <c r="H473" s="18" t="n"/>
      <c r="I473" s="18" t="n"/>
      <c r="J473" s="23">
        <f>IF(F473="","",F473+G473+H473+I473)</f>
        <v/>
      </c>
      <c r="K473">
        <f>IF(F473="","",IF(D473&lt;&gt;"","B2B","B2C"))</f>
        <v/>
      </c>
      <c r="L473">
        <f>IF(A473="","",TEXT(A473,"mmm-yy"))</f>
        <v/>
      </c>
    </row>
    <row r="474">
      <c r="A474" s="14" t="n"/>
      <c r="B474" s="11" t="n"/>
      <c r="C474" s="11" t="n"/>
      <c r="D474" s="11" t="n"/>
      <c r="E474" s="11" t="n"/>
      <c r="F474" s="18" t="n"/>
      <c r="G474" s="18" t="n"/>
      <c r="H474" s="18" t="n"/>
      <c r="I474" s="18" t="n"/>
      <c r="J474" s="23">
        <f>IF(F474="","",F474+G474+H474+I474)</f>
        <v/>
      </c>
      <c r="K474">
        <f>IF(F474="","",IF(D474&lt;&gt;"","B2B","B2C"))</f>
        <v/>
      </c>
      <c r="L474">
        <f>IF(A474="","",TEXT(A474,"mmm-yy"))</f>
        <v/>
      </c>
    </row>
    <row r="475">
      <c r="A475" s="14" t="n"/>
      <c r="B475" s="11" t="n"/>
      <c r="C475" s="11" t="n"/>
      <c r="D475" s="11" t="n"/>
      <c r="E475" s="11" t="n"/>
      <c r="F475" s="18" t="n"/>
      <c r="G475" s="18" t="n"/>
      <c r="H475" s="18" t="n"/>
      <c r="I475" s="18" t="n"/>
      <c r="J475" s="23">
        <f>IF(F475="","",F475+G475+H475+I475)</f>
        <v/>
      </c>
      <c r="K475">
        <f>IF(F475="","",IF(D475&lt;&gt;"","B2B","B2C"))</f>
        <v/>
      </c>
      <c r="L475">
        <f>IF(A475="","",TEXT(A475,"mmm-yy"))</f>
        <v/>
      </c>
    </row>
    <row r="476">
      <c r="A476" s="14" t="n"/>
      <c r="B476" s="11" t="n"/>
      <c r="C476" s="11" t="n"/>
      <c r="D476" s="11" t="n"/>
      <c r="E476" s="11" t="n"/>
      <c r="F476" s="18" t="n"/>
      <c r="G476" s="18" t="n"/>
      <c r="H476" s="18" t="n"/>
      <c r="I476" s="18" t="n"/>
      <c r="J476" s="23">
        <f>IF(F476="","",F476+G476+H476+I476)</f>
        <v/>
      </c>
      <c r="K476">
        <f>IF(F476="","",IF(D476&lt;&gt;"","B2B","B2C"))</f>
        <v/>
      </c>
      <c r="L476">
        <f>IF(A476="","",TEXT(A476,"mmm-yy"))</f>
        <v/>
      </c>
    </row>
    <row r="477">
      <c r="A477" s="14" t="n"/>
      <c r="B477" s="11" t="n"/>
      <c r="C477" s="11" t="n"/>
      <c r="D477" s="11" t="n"/>
      <c r="E477" s="11" t="n"/>
      <c r="F477" s="18" t="n"/>
      <c r="G477" s="18" t="n"/>
      <c r="H477" s="18" t="n"/>
      <c r="I477" s="18" t="n"/>
      <c r="J477" s="23">
        <f>IF(F477="","",F477+G477+H477+I477)</f>
        <v/>
      </c>
      <c r="K477">
        <f>IF(F477="","",IF(D477&lt;&gt;"","B2B","B2C"))</f>
        <v/>
      </c>
      <c r="L477">
        <f>IF(A477="","",TEXT(A477,"mmm-yy"))</f>
        <v/>
      </c>
    </row>
    <row r="478">
      <c r="A478" s="14" t="n"/>
      <c r="B478" s="11" t="n"/>
      <c r="C478" s="11" t="n"/>
      <c r="D478" s="11" t="n"/>
      <c r="E478" s="11" t="n"/>
      <c r="F478" s="18" t="n"/>
      <c r="G478" s="18" t="n"/>
      <c r="H478" s="18" t="n"/>
      <c r="I478" s="18" t="n"/>
      <c r="J478" s="23">
        <f>IF(F478="","",F478+G478+H478+I478)</f>
        <v/>
      </c>
      <c r="K478">
        <f>IF(F478="","",IF(D478&lt;&gt;"","B2B","B2C"))</f>
        <v/>
      </c>
      <c r="L478">
        <f>IF(A478="","",TEXT(A478,"mmm-yy"))</f>
        <v/>
      </c>
    </row>
    <row r="479">
      <c r="A479" s="14" t="n"/>
      <c r="B479" s="11" t="n"/>
      <c r="C479" s="11" t="n"/>
      <c r="D479" s="11" t="n"/>
      <c r="E479" s="11" t="n"/>
      <c r="F479" s="18" t="n"/>
      <c r="G479" s="18" t="n"/>
      <c r="H479" s="18" t="n"/>
      <c r="I479" s="18" t="n"/>
      <c r="J479" s="23">
        <f>IF(F479="","",F479+G479+H479+I479)</f>
        <v/>
      </c>
      <c r="K479">
        <f>IF(F479="","",IF(D479&lt;&gt;"","B2B","B2C"))</f>
        <v/>
      </c>
      <c r="L479">
        <f>IF(A479="","",TEXT(A479,"mmm-yy"))</f>
        <v/>
      </c>
    </row>
    <row r="480">
      <c r="A480" s="14" t="n"/>
      <c r="B480" s="11" t="n"/>
      <c r="C480" s="11" t="n"/>
      <c r="D480" s="11" t="n"/>
      <c r="E480" s="11" t="n"/>
      <c r="F480" s="18" t="n"/>
      <c r="G480" s="18" t="n"/>
      <c r="H480" s="18" t="n"/>
      <c r="I480" s="18" t="n"/>
      <c r="J480" s="23">
        <f>IF(F480="","",F480+G480+H480+I480)</f>
        <v/>
      </c>
      <c r="K480">
        <f>IF(F480="","",IF(D480&lt;&gt;"","B2B","B2C"))</f>
        <v/>
      </c>
      <c r="L480">
        <f>IF(A480="","",TEXT(A480,"mmm-yy"))</f>
        <v/>
      </c>
    </row>
    <row r="481">
      <c r="A481" s="14" t="n"/>
      <c r="B481" s="11" t="n"/>
      <c r="C481" s="11" t="n"/>
      <c r="D481" s="11" t="n"/>
      <c r="E481" s="11" t="n"/>
      <c r="F481" s="18" t="n"/>
      <c r="G481" s="18" t="n"/>
      <c r="H481" s="18" t="n"/>
      <c r="I481" s="18" t="n"/>
      <c r="J481" s="23">
        <f>IF(F481="","",F481+G481+H481+I481)</f>
        <v/>
      </c>
      <c r="K481">
        <f>IF(F481="","",IF(D481&lt;&gt;"","B2B","B2C"))</f>
        <v/>
      </c>
      <c r="L481">
        <f>IF(A481="","",TEXT(A481,"mmm-yy"))</f>
        <v/>
      </c>
    </row>
    <row r="482">
      <c r="A482" s="14" t="n"/>
      <c r="B482" s="11" t="n"/>
      <c r="C482" s="11" t="n"/>
      <c r="D482" s="11" t="n"/>
      <c r="E482" s="11" t="n"/>
      <c r="F482" s="18" t="n"/>
      <c r="G482" s="18" t="n"/>
      <c r="H482" s="18" t="n"/>
      <c r="I482" s="18" t="n"/>
      <c r="J482" s="23">
        <f>IF(F482="","",F482+G482+H482+I482)</f>
        <v/>
      </c>
      <c r="K482">
        <f>IF(F482="","",IF(D482&lt;&gt;"","B2B","B2C"))</f>
        <v/>
      </c>
      <c r="L482">
        <f>IF(A482="","",TEXT(A482,"mmm-yy"))</f>
        <v/>
      </c>
    </row>
    <row r="483">
      <c r="A483" s="14" t="n"/>
      <c r="B483" s="11" t="n"/>
      <c r="C483" s="11" t="n"/>
      <c r="D483" s="11" t="n"/>
      <c r="E483" s="11" t="n"/>
      <c r="F483" s="18" t="n"/>
      <c r="G483" s="18" t="n"/>
      <c r="H483" s="18" t="n"/>
      <c r="I483" s="18" t="n"/>
      <c r="J483" s="23">
        <f>IF(F483="","",F483+G483+H483+I483)</f>
        <v/>
      </c>
      <c r="K483">
        <f>IF(F483="","",IF(D483&lt;&gt;"","B2B","B2C"))</f>
        <v/>
      </c>
      <c r="L483">
        <f>IF(A483="","",TEXT(A483,"mmm-yy"))</f>
        <v/>
      </c>
    </row>
    <row r="484">
      <c r="A484" s="14" t="n"/>
      <c r="B484" s="11" t="n"/>
      <c r="C484" s="11" t="n"/>
      <c r="D484" s="11" t="n"/>
      <c r="E484" s="11" t="n"/>
      <c r="F484" s="18" t="n"/>
      <c r="G484" s="18" t="n"/>
      <c r="H484" s="18" t="n"/>
      <c r="I484" s="18" t="n"/>
      <c r="J484" s="23">
        <f>IF(F484="","",F484+G484+H484+I484)</f>
        <v/>
      </c>
      <c r="K484">
        <f>IF(F484="","",IF(D484&lt;&gt;"","B2B","B2C"))</f>
        <v/>
      </c>
      <c r="L484">
        <f>IF(A484="","",TEXT(A484,"mmm-yy"))</f>
        <v/>
      </c>
    </row>
    <row r="485">
      <c r="A485" s="14" t="n"/>
      <c r="B485" s="11" t="n"/>
      <c r="C485" s="11" t="n"/>
      <c r="D485" s="11" t="n"/>
      <c r="E485" s="11" t="n"/>
      <c r="F485" s="18" t="n"/>
      <c r="G485" s="18" t="n"/>
      <c r="H485" s="18" t="n"/>
      <c r="I485" s="18" t="n"/>
      <c r="J485" s="23">
        <f>IF(F485="","",F485+G485+H485+I485)</f>
        <v/>
      </c>
      <c r="K485">
        <f>IF(F485="","",IF(D485&lt;&gt;"","B2B","B2C"))</f>
        <v/>
      </c>
      <c r="L485">
        <f>IF(A485="","",TEXT(A485,"mmm-yy"))</f>
        <v/>
      </c>
    </row>
    <row r="486">
      <c r="A486" s="14" t="n"/>
      <c r="B486" s="11" t="n"/>
      <c r="C486" s="11" t="n"/>
      <c r="D486" s="11" t="n"/>
      <c r="E486" s="11" t="n"/>
      <c r="F486" s="18" t="n"/>
      <c r="G486" s="18" t="n"/>
      <c r="H486" s="18" t="n"/>
      <c r="I486" s="18" t="n"/>
      <c r="J486" s="23">
        <f>IF(F486="","",F486+G486+H486+I486)</f>
        <v/>
      </c>
      <c r="K486">
        <f>IF(F486="","",IF(D486&lt;&gt;"","B2B","B2C"))</f>
        <v/>
      </c>
      <c r="L486">
        <f>IF(A486="","",TEXT(A486,"mmm-yy"))</f>
        <v/>
      </c>
    </row>
    <row r="487">
      <c r="A487" s="14" t="n"/>
      <c r="B487" s="11" t="n"/>
      <c r="C487" s="11" t="n"/>
      <c r="D487" s="11" t="n"/>
      <c r="E487" s="11" t="n"/>
      <c r="F487" s="18" t="n"/>
      <c r="G487" s="18" t="n"/>
      <c r="H487" s="18" t="n"/>
      <c r="I487" s="18" t="n"/>
      <c r="J487" s="23">
        <f>IF(F487="","",F487+G487+H487+I487)</f>
        <v/>
      </c>
      <c r="K487">
        <f>IF(F487="","",IF(D487&lt;&gt;"","B2B","B2C"))</f>
        <v/>
      </c>
      <c r="L487">
        <f>IF(A487="","",TEXT(A487,"mmm-yy"))</f>
        <v/>
      </c>
    </row>
    <row r="488">
      <c r="A488" s="14" t="n"/>
      <c r="B488" s="11" t="n"/>
      <c r="C488" s="11" t="n"/>
      <c r="D488" s="11" t="n"/>
      <c r="E488" s="11" t="n"/>
      <c r="F488" s="18" t="n"/>
      <c r="G488" s="18" t="n"/>
      <c r="H488" s="18" t="n"/>
      <c r="I488" s="18" t="n"/>
      <c r="J488" s="23">
        <f>IF(F488="","",F488+G488+H488+I488)</f>
        <v/>
      </c>
      <c r="K488">
        <f>IF(F488="","",IF(D488&lt;&gt;"","B2B","B2C"))</f>
        <v/>
      </c>
      <c r="L488">
        <f>IF(A488="","",TEXT(A488,"mmm-yy"))</f>
        <v/>
      </c>
    </row>
    <row r="489">
      <c r="A489" s="14" t="n"/>
      <c r="B489" s="11" t="n"/>
      <c r="C489" s="11" t="n"/>
      <c r="D489" s="11" t="n"/>
      <c r="E489" s="11" t="n"/>
      <c r="F489" s="18" t="n"/>
      <c r="G489" s="18" t="n"/>
      <c r="H489" s="18" t="n"/>
      <c r="I489" s="18" t="n"/>
      <c r="J489" s="23">
        <f>IF(F489="","",F489+G489+H489+I489)</f>
        <v/>
      </c>
      <c r="K489">
        <f>IF(F489="","",IF(D489&lt;&gt;"","B2B","B2C"))</f>
        <v/>
      </c>
      <c r="L489">
        <f>IF(A489="","",TEXT(A489,"mmm-yy"))</f>
        <v/>
      </c>
    </row>
    <row r="490">
      <c r="A490" s="14" t="n"/>
      <c r="B490" s="11" t="n"/>
      <c r="C490" s="11" t="n"/>
      <c r="D490" s="11" t="n"/>
      <c r="E490" s="11" t="n"/>
      <c r="F490" s="18" t="n"/>
      <c r="G490" s="18" t="n"/>
      <c r="H490" s="18" t="n"/>
      <c r="I490" s="18" t="n"/>
      <c r="J490" s="23">
        <f>IF(F490="","",F490+G490+H490+I490)</f>
        <v/>
      </c>
      <c r="K490">
        <f>IF(F490="","",IF(D490&lt;&gt;"","B2B","B2C"))</f>
        <v/>
      </c>
      <c r="L490">
        <f>IF(A490="","",TEXT(A490,"mmm-yy"))</f>
        <v/>
      </c>
    </row>
    <row r="491">
      <c r="A491" s="14" t="n"/>
      <c r="B491" s="11" t="n"/>
      <c r="C491" s="11" t="n"/>
      <c r="D491" s="11" t="n"/>
      <c r="E491" s="11" t="n"/>
      <c r="F491" s="18" t="n"/>
      <c r="G491" s="18" t="n"/>
      <c r="H491" s="18" t="n"/>
      <c r="I491" s="18" t="n"/>
      <c r="J491" s="23">
        <f>IF(F491="","",F491+G491+H491+I491)</f>
        <v/>
      </c>
      <c r="K491">
        <f>IF(F491="","",IF(D491&lt;&gt;"","B2B","B2C"))</f>
        <v/>
      </c>
      <c r="L491">
        <f>IF(A491="","",TEXT(A491,"mmm-yy"))</f>
        <v/>
      </c>
    </row>
    <row r="492">
      <c r="A492" s="14" t="n"/>
      <c r="B492" s="11" t="n"/>
      <c r="C492" s="11" t="n"/>
      <c r="D492" s="11" t="n"/>
      <c r="E492" s="11" t="n"/>
      <c r="F492" s="18" t="n"/>
      <c r="G492" s="18" t="n"/>
      <c r="H492" s="18" t="n"/>
      <c r="I492" s="18" t="n"/>
      <c r="J492" s="23">
        <f>IF(F492="","",F492+G492+H492+I492)</f>
        <v/>
      </c>
      <c r="K492">
        <f>IF(F492="","",IF(D492&lt;&gt;"","B2B","B2C"))</f>
        <v/>
      </c>
      <c r="L492">
        <f>IF(A492="","",TEXT(A492,"mmm-yy"))</f>
        <v/>
      </c>
    </row>
    <row r="493">
      <c r="A493" s="14" t="n"/>
      <c r="B493" s="11" t="n"/>
      <c r="C493" s="11" t="n"/>
      <c r="D493" s="11" t="n"/>
      <c r="E493" s="11" t="n"/>
      <c r="F493" s="18" t="n"/>
      <c r="G493" s="18" t="n"/>
      <c r="H493" s="18" t="n"/>
      <c r="I493" s="18" t="n"/>
      <c r="J493" s="23">
        <f>IF(F493="","",F493+G493+H493+I493)</f>
        <v/>
      </c>
      <c r="K493">
        <f>IF(F493="","",IF(D493&lt;&gt;"","B2B","B2C"))</f>
        <v/>
      </c>
      <c r="L493">
        <f>IF(A493="","",TEXT(A493,"mmm-yy"))</f>
        <v/>
      </c>
    </row>
    <row r="494">
      <c r="A494" s="14" t="n"/>
      <c r="B494" s="11" t="n"/>
      <c r="C494" s="11" t="n"/>
      <c r="D494" s="11" t="n"/>
      <c r="E494" s="11" t="n"/>
      <c r="F494" s="18" t="n"/>
      <c r="G494" s="18" t="n"/>
      <c r="H494" s="18" t="n"/>
      <c r="I494" s="18" t="n"/>
      <c r="J494" s="23">
        <f>IF(F494="","",F494+G494+H494+I494)</f>
        <v/>
      </c>
      <c r="K494">
        <f>IF(F494="","",IF(D494&lt;&gt;"","B2B","B2C"))</f>
        <v/>
      </c>
      <c r="L494">
        <f>IF(A494="","",TEXT(A494,"mmm-yy"))</f>
        <v/>
      </c>
    </row>
    <row r="495">
      <c r="A495" s="14" t="n"/>
      <c r="B495" s="11" t="n"/>
      <c r="C495" s="11" t="n"/>
      <c r="D495" s="11" t="n"/>
      <c r="E495" s="11" t="n"/>
      <c r="F495" s="18" t="n"/>
      <c r="G495" s="18" t="n"/>
      <c r="H495" s="18" t="n"/>
      <c r="I495" s="18" t="n"/>
      <c r="J495" s="23">
        <f>IF(F495="","",F495+G495+H495+I495)</f>
        <v/>
      </c>
      <c r="K495">
        <f>IF(F495="","",IF(D495&lt;&gt;"","B2B","B2C"))</f>
        <v/>
      </c>
      <c r="L495">
        <f>IF(A495="","",TEXT(A495,"mmm-yy"))</f>
        <v/>
      </c>
    </row>
    <row r="496">
      <c r="A496" s="14" t="n"/>
      <c r="B496" s="11" t="n"/>
      <c r="C496" s="11" t="n"/>
      <c r="D496" s="11" t="n"/>
      <c r="E496" s="11" t="n"/>
      <c r="F496" s="18" t="n"/>
      <c r="G496" s="18" t="n"/>
      <c r="H496" s="18" t="n"/>
      <c r="I496" s="18" t="n"/>
      <c r="J496" s="23">
        <f>IF(F496="","",F496+G496+H496+I496)</f>
        <v/>
      </c>
      <c r="K496">
        <f>IF(F496="","",IF(D496&lt;&gt;"","B2B","B2C"))</f>
        <v/>
      </c>
      <c r="L496">
        <f>IF(A496="","",TEXT(A496,"mmm-yy"))</f>
        <v/>
      </c>
    </row>
    <row r="497">
      <c r="A497" s="14" t="n"/>
      <c r="B497" s="11" t="n"/>
      <c r="C497" s="11" t="n"/>
      <c r="D497" s="11" t="n"/>
      <c r="E497" s="11" t="n"/>
      <c r="F497" s="18" t="n"/>
      <c r="G497" s="18" t="n"/>
      <c r="H497" s="18" t="n"/>
      <c r="I497" s="18" t="n"/>
      <c r="J497" s="23">
        <f>IF(F497="","",F497+G497+H497+I497)</f>
        <v/>
      </c>
      <c r="K497">
        <f>IF(F497="","",IF(D497&lt;&gt;"","B2B","B2C"))</f>
        <v/>
      </c>
      <c r="L497">
        <f>IF(A497="","",TEXT(A497,"mmm-yy"))</f>
        <v/>
      </c>
    </row>
    <row r="498">
      <c r="A498" s="14" t="n"/>
      <c r="B498" s="11" t="n"/>
      <c r="C498" s="11" t="n"/>
      <c r="D498" s="11" t="n"/>
      <c r="E498" s="11" t="n"/>
      <c r="F498" s="18" t="n"/>
      <c r="G498" s="18" t="n"/>
      <c r="H498" s="18" t="n"/>
      <c r="I498" s="18" t="n"/>
      <c r="J498" s="23">
        <f>IF(F498="","",F498+G498+H498+I498)</f>
        <v/>
      </c>
      <c r="K498">
        <f>IF(F498="","",IF(D498&lt;&gt;"","B2B","B2C"))</f>
        <v/>
      </c>
      <c r="L498">
        <f>IF(A498="","",TEXT(A498,"mmm-yy"))</f>
        <v/>
      </c>
    </row>
    <row r="499">
      <c r="A499" s="14" t="n"/>
      <c r="B499" s="11" t="n"/>
      <c r="C499" s="11" t="n"/>
      <c r="D499" s="11" t="n"/>
      <c r="E499" s="11" t="n"/>
      <c r="F499" s="18" t="n"/>
      <c r="G499" s="18" t="n"/>
      <c r="H499" s="18" t="n"/>
      <c r="I499" s="18" t="n"/>
      <c r="J499" s="23">
        <f>IF(F499="","",F499+G499+H499+I499)</f>
        <v/>
      </c>
      <c r="K499">
        <f>IF(F499="","",IF(D499&lt;&gt;"","B2B","B2C"))</f>
        <v/>
      </c>
      <c r="L499">
        <f>IF(A499="","",TEXT(A499,"mmm-yy"))</f>
        <v/>
      </c>
    </row>
    <row r="500">
      <c r="A500" s="14" t="n"/>
      <c r="B500" s="11" t="n"/>
      <c r="C500" s="11" t="n"/>
      <c r="D500" s="11" t="n"/>
      <c r="E500" s="11" t="n"/>
      <c r="F500" s="18" t="n"/>
      <c r="G500" s="18" t="n"/>
      <c r="H500" s="18" t="n"/>
      <c r="I500" s="18" t="n"/>
      <c r="J500" s="23">
        <f>IF(F500="","",F500+G500+H500+I500)</f>
        <v/>
      </c>
      <c r="K500">
        <f>IF(F500="","",IF(D500&lt;&gt;"","B2B","B2C"))</f>
        <v/>
      </c>
      <c r="L500">
        <f>IF(A500="","",TEXT(A500,"mmm-yy"))</f>
        <v/>
      </c>
    </row>
    <row r="501">
      <c r="A501" s="14" t="n"/>
      <c r="B501" s="11" t="n"/>
      <c r="C501" s="11" t="n"/>
      <c r="D501" s="11" t="n"/>
      <c r="E501" s="11" t="n"/>
      <c r="F501" s="18" t="n"/>
      <c r="G501" s="18" t="n"/>
      <c r="H501" s="18" t="n"/>
      <c r="I501" s="18" t="n"/>
      <c r="J501" s="23">
        <f>IF(F501="","",F501+G501+H501+I501)</f>
        <v/>
      </c>
      <c r="K501">
        <f>IF(F501="","",IF(D501&lt;&gt;"","B2B","B2C"))</f>
        <v/>
      </c>
      <c r="L501">
        <f>IF(A501="","",TEXT(A501,"mmm-yy"))</f>
        <v/>
      </c>
    </row>
    <row r="502">
      <c r="A502" s="14" t="n"/>
      <c r="B502" s="11" t="n"/>
      <c r="C502" s="11" t="n"/>
      <c r="D502" s="11" t="n"/>
      <c r="E502" s="11" t="n"/>
      <c r="F502" s="18" t="n"/>
      <c r="G502" s="18" t="n"/>
      <c r="H502" s="18" t="n"/>
      <c r="I502" s="18" t="n"/>
      <c r="J502" s="23">
        <f>IF(F502="","",F502+G502+H502+I502)</f>
        <v/>
      </c>
      <c r="K502">
        <f>IF(F502="","",IF(D502&lt;&gt;"","B2B","B2C"))</f>
        <v/>
      </c>
      <c r="L502">
        <f>IF(A502="","",TEXT(A502,"mmm-yy"))</f>
        <v/>
      </c>
    </row>
    <row r="503">
      <c r="A503" s="14" t="n"/>
      <c r="B503" s="11" t="n"/>
      <c r="C503" s="11" t="n"/>
      <c r="D503" s="11" t="n"/>
      <c r="E503" s="11" t="n"/>
      <c r="F503" s="18" t="n"/>
      <c r="G503" s="18" t="n"/>
      <c r="H503" s="18" t="n"/>
      <c r="I503" s="18" t="n"/>
      <c r="J503" s="23">
        <f>IF(F503="","",F503+G503+H503+I503)</f>
        <v/>
      </c>
      <c r="K503">
        <f>IF(F503="","",IF(D503&lt;&gt;"","B2B","B2C"))</f>
        <v/>
      </c>
      <c r="L503">
        <f>IF(A503="","",TEXT(A503,"mmm-yy"))</f>
        <v/>
      </c>
    </row>
    <row r="504">
      <c r="A504" s="14" t="n"/>
      <c r="B504" s="11" t="n"/>
      <c r="C504" s="11" t="n"/>
      <c r="D504" s="11" t="n"/>
      <c r="E504" s="11" t="n"/>
      <c r="F504" s="18" t="n"/>
      <c r="G504" s="18" t="n"/>
      <c r="H504" s="18" t="n"/>
      <c r="I504" s="18" t="n"/>
      <c r="J504" s="23">
        <f>IF(F504="","",F504+G504+H504+I504)</f>
        <v/>
      </c>
      <c r="K504">
        <f>IF(F504="","",IF(D504&lt;&gt;"","B2B","B2C"))</f>
        <v/>
      </c>
      <c r="L504">
        <f>IF(A504="","",TEXT(A504,"mmm-yy"))</f>
        <v/>
      </c>
    </row>
  </sheetData>
  <mergeCells count="2">
    <mergeCell ref="A2:L2"/>
    <mergeCell ref="A1:L1"/>
  </mergeCells>
  <dataValidations count="1">
    <dataValidation sqref="E5:E504" showDropDown="0" showInputMessage="0" showErrorMessage="0" allowBlank="1" type="list">
      <formula1>States!$C$2:$C$38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</cols>
  <sheetData>
    <row r="1">
      <c r="A1" s="8" t="inlineStr">
        <is>
          <t>Monthly GST Summary — FY 2026-27</t>
        </is>
      </c>
    </row>
    <row r="2">
      <c r="A2" s="9" t="inlineStr">
        <is>
          <t>Filled automatically from the Sales Register</t>
        </is>
      </c>
    </row>
    <row r="4" ht="32" customHeight="1">
      <c r="A4" s="17" t="inlineStr">
        <is>
          <t>Month</t>
        </is>
      </c>
      <c r="B4" s="17" t="inlineStr">
        <is>
          <t>Invoices</t>
        </is>
      </c>
      <c r="C4" s="17" t="inlineStr">
        <is>
          <t>Taxable value</t>
        </is>
      </c>
      <c r="D4" s="17" t="inlineStr">
        <is>
          <t>CGST</t>
        </is>
      </c>
      <c r="E4" s="17" t="inlineStr">
        <is>
          <t>SGST</t>
        </is>
      </c>
      <c r="F4" s="17" t="inlineStr">
        <is>
          <t>IGST</t>
        </is>
      </c>
      <c r="G4" s="17" t="inlineStr">
        <is>
          <t>Total tax</t>
        </is>
      </c>
      <c r="H4" s="17" t="inlineStr">
        <is>
          <t>B2B taxable</t>
        </is>
      </c>
      <c r="I4" s="17" t="inlineStr">
        <is>
          <t>B2C taxable</t>
        </is>
      </c>
    </row>
    <row r="5">
      <c r="A5" s="27">
        <f>DATE(2026,4,1)</f>
        <v/>
      </c>
      <c r="B5">
        <f>COUNTIFS('Sales Register'!$A$5:$A$504,"&gt;="&amp;A5,'Sales Register'!$A$5:$A$504,"&lt;="&amp;EOMONTH(A5,0))</f>
        <v/>
      </c>
      <c r="C5" s="23">
        <f>SUMIFS('Sales Register'!$F$5:$F$504,'Sales Register'!$A$5:$A$504,"&gt;="&amp;A5,'Sales Register'!$A$5:$A$504,"&lt;="&amp;EOMONTH(A5,0))</f>
        <v/>
      </c>
      <c r="D5" s="23">
        <f>SUMIFS('Sales Register'!$G$5:$G$504,'Sales Register'!$A$5:$A$504,"&gt;="&amp;A5,'Sales Register'!$A$5:$A$504,"&lt;="&amp;EOMONTH(A5,0))</f>
        <v/>
      </c>
      <c r="E5" s="23">
        <f>SUMIFS('Sales Register'!$H$5:$H$504,'Sales Register'!$A$5:$A$504,"&gt;="&amp;A5,'Sales Register'!$A$5:$A$504,"&lt;="&amp;EOMONTH(A5,0))</f>
        <v/>
      </c>
      <c r="F5" s="23">
        <f>SUMIFS('Sales Register'!$I$5:$I$504,'Sales Register'!$A$5:$A$504,"&gt;="&amp;A5,'Sales Register'!$A$5:$A$504,"&lt;="&amp;EOMONTH(A5,0))</f>
        <v/>
      </c>
      <c r="G5" s="23">
        <f>D5+E5+F5</f>
        <v/>
      </c>
      <c r="H5" s="23">
        <f>SUMIFS('Sales Register'!$F$5:$F$504,'Sales Register'!$A$5:$A$504,"&gt;="&amp;A5,'Sales Register'!$A$5:$A$504,"&lt;="&amp;EOMONTH(A5,0),'Sales Register'!$K$5:$K$504,"B2B")</f>
        <v/>
      </c>
      <c r="I5" s="23">
        <f>SUMIFS('Sales Register'!$F$5:$F$504,'Sales Register'!$A$5:$A$504,"&gt;="&amp;A5,'Sales Register'!$A$5:$A$504,"&lt;="&amp;EOMONTH(A5,0),'Sales Register'!$K$5:$K$504,"B2C")</f>
        <v/>
      </c>
    </row>
    <row r="6">
      <c r="A6" s="27">
        <f>DATE(2026,5,1)</f>
        <v/>
      </c>
      <c r="B6">
        <f>COUNTIFS('Sales Register'!$A$5:$A$504,"&gt;="&amp;A6,'Sales Register'!$A$5:$A$504,"&lt;="&amp;EOMONTH(A6,0))</f>
        <v/>
      </c>
      <c r="C6" s="23">
        <f>SUMIFS('Sales Register'!$F$5:$F$504,'Sales Register'!$A$5:$A$504,"&gt;="&amp;A6,'Sales Register'!$A$5:$A$504,"&lt;="&amp;EOMONTH(A6,0))</f>
        <v/>
      </c>
      <c r="D6" s="23">
        <f>SUMIFS('Sales Register'!$G$5:$G$504,'Sales Register'!$A$5:$A$504,"&gt;="&amp;A6,'Sales Register'!$A$5:$A$504,"&lt;="&amp;EOMONTH(A6,0))</f>
        <v/>
      </c>
      <c r="E6" s="23">
        <f>SUMIFS('Sales Register'!$H$5:$H$504,'Sales Register'!$A$5:$A$504,"&gt;="&amp;A6,'Sales Register'!$A$5:$A$504,"&lt;="&amp;EOMONTH(A6,0))</f>
        <v/>
      </c>
      <c r="F6" s="23">
        <f>SUMIFS('Sales Register'!$I$5:$I$504,'Sales Register'!$A$5:$A$504,"&gt;="&amp;A6,'Sales Register'!$A$5:$A$504,"&lt;="&amp;EOMONTH(A6,0))</f>
        <v/>
      </c>
      <c r="G6" s="23">
        <f>D6+E6+F6</f>
        <v/>
      </c>
      <c r="H6" s="23">
        <f>SUMIFS('Sales Register'!$F$5:$F$504,'Sales Register'!$A$5:$A$504,"&gt;="&amp;A6,'Sales Register'!$A$5:$A$504,"&lt;="&amp;EOMONTH(A6,0),'Sales Register'!$K$5:$K$504,"B2B")</f>
        <v/>
      </c>
      <c r="I6" s="23">
        <f>SUMIFS('Sales Register'!$F$5:$F$504,'Sales Register'!$A$5:$A$504,"&gt;="&amp;A6,'Sales Register'!$A$5:$A$504,"&lt;="&amp;EOMONTH(A6,0),'Sales Register'!$K$5:$K$504,"B2C")</f>
        <v/>
      </c>
    </row>
    <row r="7">
      <c r="A7" s="27">
        <f>DATE(2026,6,1)</f>
        <v/>
      </c>
      <c r="B7">
        <f>COUNTIFS('Sales Register'!$A$5:$A$504,"&gt;="&amp;A7,'Sales Register'!$A$5:$A$504,"&lt;="&amp;EOMONTH(A7,0))</f>
        <v/>
      </c>
      <c r="C7" s="23">
        <f>SUMIFS('Sales Register'!$F$5:$F$504,'Sales Register'!$A$5:$A$504,"&gt;="&amp;A7,'Sales Register'!$A$5:$A$504,"&lt;="&amp;EOMONTH(A7,0))</f>
        <v/>
      </c>
      <c r="D7" s="23">
        <f>SUMIFS('Sales Register'!$G$5:$G$504,'Sales Register'!$A$5:$A$504,"&gt;="&amp;A7,'Sales Register'!$A$5:$A$504,"&lt;="&amp;EOMONTH(A7,0))</f>
        <v/>
      </c>
      <c r="E7" s="23">
        <f>SUMIFS('Sales Register'!$H$5:$H$504,'Sales Register'!$A$5:$A$504,"&gt;="&amp;A7,'Sales Register'!$A$5:$A$504,"&lt;="&amp;EOMONTH(A7,0))</f>
        <v/>
      </c>
      <c r="F7" s="23">
        <f>SUMIFS('Sales Register'!$I$5:$I$504,'Sales Register'!$A$5:$A$504,"&gt;="&amp;A7,'Sales Register'!$A$5:$A$504,"&lt;="&amp;EOMONTH(A7,0))</f>
        <v/>
      </c>
      <c r="G7" s="23">
        <f>D7+E7+F7</f>
        <v/>
      </c>
      <c r="H7" s="23">
        <f>SUMIFS('Sales Register'!$F$5:$F$504,'Sales Register'!$A$5:$A$504,"&gt;="&amp;A7,'Sales Register'!$A$5:$A$504,"&lt;="&amp;EOMONTH(A7,0),'Sales Register'!$K$5:$K$504,"B2B")</f>
        <v/>
      </c>
      <c r="I7" s="23">
        <f>SUMIFS('Sales Register'!$F$5:$F$504,'Sales Register'!$A$5:$A$504,"&gt;="&amp;A7,'Sales Register'!$A$5:$A$504,"&lt;="&amp;EOMONTH(A7,0),'Sales Register'!$K$5:$K$504,"B2C")</f>
        <v/>
      </c>
    </row>
    <row r="8">
      <c r="A8" s="27">
        <f>DATE(2026,7,1)</f>
        <v/>
      </c>
      <c r="B8">
        <f>COUNTIFS('Sales Register'!$A$5:$A$504,"&gt;="&amp;A8,'Sales Register'!$A$5:$A$504,"&lt;="&amp;EOMONTH(A8,0))</f>
        <v/>
      </c>
      <c r="C8" s="23">
        <f>SUMIFS('Sales Register'!$F$5:$F$504,'Sales Register'!$A$5:$A$504,"&gt;="&amp;A8,'Sales Register'!$A$5:$A$504,"&lt;="&amp;EOMONTH(A8,0))</f>
        <v/>
      </c>
      <c r="D8" s="23">
        <f>SUMIFS('Sales Register'!$G$5:$G$504,'Sales Register'!$A$5:$A$504,"&gt;="&amp;A8,'Sales Register'!$A$5:$A$504,"&lt;="&amp;EOMONTH(A8,0))</f>
        <v/>
      </c>
      <c r="E8" s="23">
        <f>SUMIFS('Sales Register'!$H$5:$H$504,'Sales Register'!$A$5:$A$504,"&gt;="&amp;A8,'Sales Register'!$A$5:$A$504,"&lt;="&amp;EOMONTH(A8,0))</f>
        <v/>
      </c>
      <c r="F8" s="23">
        <f>SUMIFS('Sales Register'!$I$5:$I$504,'Sales Register'!$A$5:$A$504,"&gt;="&amp;A8,'Sales Register'!$A$5:$A$504,"&lt;="&amp;EOMONTH(A8,0))</f>
        <v/>
      </c>
      <c r="G8" s="23">
        <f>D8+E8+F8</f>
        <v/>
      </c>
      <c r="H8" s="23">
        <f>SUMIFS('Sales Register'!$F$5:$F$504,'Sales Register'!$A$5:$A$504,"&gt;="&amp;A8,'Sales Register'!$A$5:$A$504,"&lt;="&amp;EOMONTH(A8,0),'Sales Register'!$K$5:$K$504,"B2B")</f>
        <v/>
      </c>
      <c r="I8" s="23">
        <f>SUMIFS('Sales Register'!$F$5:$F$504,'Sales Register'!$A$5:$A$504,"&gt;="&amp;A8,'Sales Register'!$A$5:$A$504,"&lt;="&amp;EOMONTH(A8,0),'Sales Register'!$K$5:$K$504,"B2C")</f>
        <v/>
      </c>
    </row>
    <row r="9">
      <c r="A9" s="27">
        <f>DATE(2026,8,1)</f>
        <v/>
      </c>
      <c r="B9">
        <f>COUNTIFS('Sales Register'!$A$5:$A$504,"&gt;="&amp;A9,'Sales Register'!$A$5:$A$504,"&lt;="&amp;EOMONTH(A9,0))</f>
        <v/>
      </c>
      <c r="C9" s="23">
        <f>SUMIFS('Sales Register'!$F$5:$F$504,'Sales Register'!$A$5:$A$504,"&gt;="&amp;A9,'Sales Register'!$A$5:$A$504,"&lt;="&amp;EOMONTH(A9,0))</f>
        <v/>
      </c>
      <c r="D9" s="23">
        <f>SUMIFS('Sales Register'!$G$5:$G$504,'Sales Register'!$A$5:$A$504,"&gt;="&amp;A9,'Sales Register'!$A$5:$A$504,"&lt;="&amp;EOMONTH(A9,0))</f>
        <v/>
      </c>
      <c r="E9" s="23">
        <f>SUMIFS('Sales Register'!$H$5:$H$504,'Sales Register'!$A$5:$A$504,"&gt;="&amp;A9,'Sales Register'!$A$5:$A$504,"&lt;="&amp;EOMONTH(A9,0))</f>
        <v/>
      </c>
      <c r="F9" s="23">
        <f>SUMIFS('Sales Register'!$I$5:$I$504,'Sales Register'!$A$5:$A$504,"&gt;="&amp;A9,'Sales Register'!$A$5:$A$504,"&lt;="&amp;EOMONTH(A9,0))</f>
        <v/>
      </c>
      <c r="G9" s="23">
        <f>D9+E9+F9</f>
        <v/>
      </c>
      <c r="H9" s="23">
        <f>SUMIFS('Sales Register'!$F$5:$F$504,'Sales Register'!$A$5:$A$504,"&gt;="&amp;A9,'Sales Register'!$A$5:$A$504,"&lt;="&amp;EOMONTH(A9,0),'Sales Register'!$K$5:$K$504,"B2B")</f>
        <v/>
      </c>
      <c r="I9" s="23">
        <f>SUMIFS('Sales Register'!$F$5:$F$504,'Sales Register'!$A$5:$A$504,"&gt;="&amp;A9,'Sales Register'!$A$5:$A$504,"&lt;="&amp;EOMONTH(A9,0),'Sales Register'!$K$5:$K$504,"B2C")</f>
        <v/>
      </c>
    </row>
    <row r="10">
      <c r="A10" s="27">
        <f>DATE(2026,9,1)</f>
        <v/>
      </c>
      <c r="B10">
        <f>COUNTIFS('Sales Register'!$A$5:$A$504,"&gt;="&amp;A10,'Sales Register'!$A$5:$A$504,"&lt;="&amp;EOMONTH(A10,0))</f>
        <v/>
      </c>
      <c r="C10" s="23">
        <f>SUMIFS('Sales Register'!$F$5:$F$504,'Sales Register'!$A$5:$A$504,"&gt;="&amp;A10,'Sales Register'!$A$5:$A$504,"&lt;="&amp;EOMONTH(A10,0))</f>
        <v/>
      </c>
      <c r="D10" s="23">
        <f>SUMIFS('Sales Register'!$G$5:$G$504,'Sales Register'!$A$5:$A$504,"&gt;="&amp;A10,'Sales Register'!$A$5:$A$504,"&lt;="&amp;EOMONTH(A10,0))</f>
        <v/>
      </c>
      <c r="E10" s="23">
        <f>SUMIFS('Sales Register'!$H$5:$H$504,'Sales Register'!$A$5:$A$504,"&gt;="&amp;A10,'Sales Register'!$A$5:$A$504,"&lt;="&amp;EOMONTH(A10,0))</f>
        <v/>
      </c>
      <c r="F10" s="23">
        <f>SUMIFS('Sales Register'!$I$5:$I$504,'Sales Register'!$A$5:$A$504,"&gt;="&amp;A10,'Sales Register'!$A$5:$A$504,"&lt;="&amp;EOMONTH(A10,0))</f>
        <v/>
      </c>
      <c r="G10" s="23">
        <f>D10+E10+F10</f>
        <v/>
      </c>
      <c r="H10" s="23">
        <f>SUMIFS('Sales Register'!$F$5:$F$504,'Sales Register'!$A$5:$A$504,"&gt;="&amp;A10,'Sales Register'!$A$5:$A$504,"&lt;="&amp;EOMONTH(A10,0),'Sales Register'!$K$5:$K$504,"B2B")</f>
        <v/>
      </c>
      <c r="I10" s="23">
        <f>SUMIFS('Sales Register'!$F$5:$F$504,'Sales Register'!$A$5:$A$504,"&gt;="&amp;A10,'Sales Register'!$A$5:$A$504,"&lt;="&amp;EOMONTH(A10,0),'Sales Register'!$K$5:$K$504,"B2C")</f>
        <v/>
      </c>
    </row>
    <row r="11">
      <c r="A11" s="27">
        <f>DATE(2026,10,1)</f>
        <v/>
      </c>
      <c r="B11">
        <f>COUNTIFS('Sales Register'!$A$5:$A$504,"&gt;="&amp;A11,'Sales Register'!$A$5:$A$504,"&lt;="&amp;EOMONTH(A11,0))</f>
        <v/>
      </c>
      <c r="C11" s="23">
        <f>SUMIFS('Sales Register'!$F$5:$F$504,'Sales Register'!$A$5:$A$504,"&gt;="&amp;A11,'Sales Register'!$A$5:$A$504,"&lt;="&amp;EOMONTH(A11,0))</f>
        <v/>
      </c>
      <c r="D11" s="23">
        <f>SUMIFS('Sales Register'!$G$5:$G$504,'Sales Register'!$A$5:$A$504,"&gt;="&amp;A11,'Sales Register'!$A$5:$A$504,"&lt;="&amp;EOMONTH(A11,0))</f>
        <v/>
      </c>
      <c r="E11" s="23">
        <f>SUMIFS('Sales Register'!$H$5:$H$504,'Sales Register'!$A$5:$A$504,"&gt;="&amp;A11,'Sales Register'!$A$5:$A$504,"&lt;="&amp;EOMONTH(A11,0))</f>
        <v/>
      </c>
      <c r="F11" s="23">
        <f>SUMIFS('Sales Register'!$I$5:$I$504,'Sales Register'!$A$5:$A$504,"&gt;="&amp;A11,'Sales Register'!$A$5:$A$504,"&lt;="&amp;EOMONTH(A11,0))</f>
        <v/>
      </c>
      <c r="G11" s="23">
        <f>D11+E11+F11</f>
        <v/>
      </c>
      <c r="H11" s="23">
        <f>SUMIFS('Sales Register'!$F$5:$F$504,'Sales Register'!$A$5:$A$504,"&gt;="&amp;A11,'Sales Register'!$A$5:$A$504,"&lt;="&amp;EOMONTH(A11,0),'Sales Register'!$K$5:$K$504,"B2B")</f>
        <v/>
      </c>
      <c r="I11" s="23">
        <f>SUMIFS('Sales Register'!$F$5:$F$504,'Sales Register'!$A$5:$A$504,"&gt;="&amp;A11,'Sales Register'!$A$5:$A$504,"&lt;="&amp;EOMONTH(A11,0),'Sales Register'!$K$5:$K$504,"B2C")</f>
        <v/>
      </c>
    </row>
    <row r="12">
      <c r="A12" s="27">
        <f>DATE(2026,11,1)</f>
        <v/>
      </c>
      <c r="B12">
        <f>COUNTIFS('Sales Register'!$A$5:$A$504,"&gt;="&amp;A12,'Sales Register'!$A$5:$A$504,"&lt;="&amp;EOMONTH(A12,0))</f>
        <v/>
      </c>
      <c r="C12" s="23">
        <f>SUMIFS('Sales Register'!$F$5:$F$504,'Sales Register'!$A$5:$A$504,"&gt;="&amp;A12,'Sales Register'!$A$5:$A$504,"&lt;="&amp;EOMONTH(A12,0))</f>
        <v/>
      </c>
      <c r="D12" s="23">
        <f>SUMIFS('Sales Register'!$G$5:$G$504,'Sales Register'!$A$5:$A$504,"&gt;="&amp;A12,'Sales Register'!$A$5:$A$504,"&lt;="&amp;EOMONTH(A12,0))</f>
        <v/>
      </c>
      <c r="E12" s="23">
        <f>SUMIFS('Sales Register'!$H$5:$H$504,'Sales Register'!$A$5:$A$504,"&gt;="&amp;A12,'Sales Register'!$A$5:$A$504,"&lt;="&amp;EOMONTH(A12,0))</f>
        <v/>
      </c>
      <c r="F12" s="23">
        <f>SUMIFS('Sales Register'!$I$5:$I$504,'Sales Register'!$A$5:$A$504,"&gt;="&amp;A12,'Sales Register'!$A$5:$A$504,"&lt;="&amp;EOMONTH(A12,0))</f>
        <v/>
      </c>
      <c r="G12" s="23">
        <f>D12+E12+F12</f>
        <v/>
      </c>
      <c r="H12" s="23">
        <f>SUMIFS('Sales Register'!$F$5:$F$504,'Sales Register'!$A$5:$A$504,"&gt;="&amp;A12,'Sales Register'!$A$5:$A$504,"&lt;="&amp;EOMONTH(A12,0),'Sales Register'!$K$5:$K$504,"B2B")</f>
        <v/>
      </c>
      <c r="I12" s="23">
        <f>SUMIFS('Sales Register'!$F$5:$F$504,'Sales Register'!$A$5:$A$504,"&gt;="&amp;A12,'Sales Register'!$A$5:$A$504,"&lt;="&amp;EOMONTH(A12,0),'Sales Register'!$K$5:$K$504,"B2C")</f>
        <v/>
      </c>
    </row>
    <row r="13">
      <c r="A13" s="27">
        <f>DATE(2026,12,1)</f>
        <v/>
      </c>
      <c r="B13">
        <f>COUNTIFS('Sales Register'!$A$5:$A$504,"&gt;="&amp;A13,'Sales Register'!$A$5:$A$504,"&lt;="&amp;EOMONTH(A13,0))</f>
        <v/>
      </c>
      <c r="C13" s="23">
        <f>SUMIFS('Sales Register'!$F$5:$F$504,'Sales Register'!$A$5:$A$504,"&gt;="&amp;A13,'Sales Register'!$A$5:$A$504,"&lt;="&amp;EOMONTH(A13,0))</f>
        <v/>
      </c>
      <c r="D13" s="23">
        <f>SUMIFS('Sales Register'!$G$5:$G$504,'Sales Register'!$A$5:$A$504,"&gt;="&amp;A13,'Sales Register'!$A$5:$A$504,"&lt;="&amp;EOMONTH(A13,0))</f>
        <v/>
      </c>
      <c r="E13" s="23">
        <f>SUMIFS('Sales Register'!$H$5:$H$504,'Sales Register'!$A$5:$A$504,"&gt;="&amp;A13,'Sales Register'!$A$5:$A$504,"&lt;="&amp;EOMONTH(A13,0))</f>
        <v/>
      </c>
      <c r="F13" s="23">
        <f>SUMIFS('Sales Register'!$I$5:$I$504,'Sales Register'!$A$5:$A$504,"&gt;="&amp;A13,'Sales Register'!$A$5:$A$504,"&lt;="&amp;EOMONTH(A13,0))</f>
        <v/>
      </c>
      <c r="G13" s="23">
        <f>D13+E13+F13</f>
        <v/>
      </c>
      <c r="H13" s="23">
        <f>SUMIFS('Sales Register'!$F$5:$F$504,'Sales Register'!$A$5:$A$504,"&gt;="&amp;A13,'Sales Register'!$A$5:$A$504,"&lt;="&amp;EOMONTH(A13,0),'Sales Register'!$K$5:$K$504,"B2B")</f>
        <v/>
      </c>
      <c r="I13" s="23">
        <f>SUMIFS('Sales Register'!$F$5:$F$504,'Sales Register'!$A$5:$A$504,"&gt;="&amp;A13,'Sales Register'!$A$5:$A$504,"&lt;="&amp;EOMONTH(A13,0),'Sales Register'!$K$5:$K$504,"B2C")</f>
        <v/>
      </c>
    </row>
    <row r="14">
      <c r="A14" s="27">
        <f>DATE(2027,1,1)</f>
        <v/>
      </c>
      <c r="B14">
        <f>COUNTIFS('Sales Register'!$A$5:$A$504,"&gt;="&amp;A14,'Sales Register'!$A$5:$A$504,"&lt;="&amp;EOMONTH(A14,0))</f>
        <v/>
      </c>
      <c r="C14" s="23">
        <f>SUMIFS('Sales Register'!$F$5:$F$504,'Sales Register'!$A$5:$A$504,"&gt;="&amp;A14,'Sales Register'!$A$5:$A$504,"&lt;="&amp;EOMONTH(A14,0))</f>
        <v/>
      </c>
      <c r="D14" s="23">
        <f>SUMIFS('Sales Register'!$G$5:$G$504,'Sales Register'!$A$5:$A$504,"&gt;="&amp;A14,'Sales Register'!$A$5:$A$504,"&lt;="&amp;EOMONTH(A14,0))</f>
        <v/>
      </c>
      <c r="E14" s="23">
        <f>SUMIFS('Sales Register'!$H$5:$H$504,'Sales Register'!$A$5:$A$504,"&gt;="&amp;A14,'Sales Register'!$A$5:$A$504,"&lt;="&amp;EOMONTH(A14,0))</f>
        <v/>
      </c>
      <c r="F14" s="23">
        <f>SUMIFS('Sales Register'!$I$5:$I$504,'Sales Register'!$A$5:$A$504,"&gt;="&amp;A14,'Sales Register'!$A$5:$A$504,"&lt;="&amp;EOMONTH(A14,0))</f>
        <v/>
      </c>
      <c r="G14" s="23">
        <f>D14+E14+F14</f>
        <v/>
      </c>
      <c r="H14" s="23">
        <f>SUMIFS('Sales Register'!$F$5:$F$504,'Sales Register'!$A$5:$A$504,"&gt;="&amp;A14,'Sales Register'!$A$5:$A$504,"&lt;="&amp;EOMONTH(A14,0),'Sales Register'!$K$5:$K$504,"B2B")</f>
        <v/>
      </c>
      <c r="I14" s="23">
        <f>SUMIFS('Sales Register'!$F$5:$F$504,'Sales Register'!$A$5:$A$504,"&gt;="&amp;A14,'Sales Register'!$A$5:$A$504,"&lt;="&amp;EOMONTH(A14,0),'Sales Register'!$K$5:$K$504,"B2C")</f>
        <v/>
      </c>
    </row>
    <row r="15">
      <c r="A15" s="27">
        <f>DATE(2027,2,1)</f>
        <v/>
      </c>
      <c r="B15">
        <f>COUNTIFS('Sales Register'!$A$5:$A$504,"&gt;="&amp;A15,'Sales Register'!$A$5:$A$504,"&lt;="&amp;EOMONTH(A15,0))</f>
        <v/>
      </c>
      <c r="C15" s="23">
        <f>SUMIFS('Sales Register'!$F$5:$F$504,'Sales Register'!$A$5:$A$504,"&gt;="&amp;A15,'Sales Register'!$A$5:$A$504,"&lt;="&amp;EOMONTH(A15,0))</f>
        <v/>
      </c>
      <c r="D15" s="23">
        <f>SUMIFS('Sales Register'!$G$5:$G$504,'Sales Register'!$A$5:$A$504,"&gt;="&amp;A15,'Sales Register'!$A$5:$A$504,"&lt;="&amp;EOMONTH(A15,0))</f>
        <v/>
      </c>
      <c r="E15" s="23">
        <f>SUMIFS('Sales Register'!$H$5:$H$504,'Sales Register'!$A$5:$A$504,"&gt;="&amp;A15,'Sales Register'!$A$5:$A$504,"&lt;="&amp;EOMONTH(A15,0))</f>
        <v/>
      </c>
      <c r="F15" s="23">
        <f>SUMIFS('Sales Register'!$I$5:$I$504,'Sales Register'!$A$5:$A$504,"&gt;="&amp;A15,'Sales Register'!$A$5:$A$504,"&lt;="&amp;EOMONTH(A15,0))</f>
        <v/>
      </c>
      <c r="G15" s="23">
        <f>D15+E15+F15</f>
        <v/>
      </c>
      <c r="H15" s="23">
        <f>SUMIFS('Sales Register'!$F$5:$F$504,'Sales Register'!$A$5:$A$504,"&gt;="&amp;A15,'Sales Register'!$A$5:$A$504,"&lt;="&amp;EOMONTH(A15,0),'Sales Register'!$K$5:$K$504,"B2B")</f>
        <v/>
      </c>
      <c r="I15" s="23">
        <f>SUMIFS('Sales Register'!$F$5:$F$504,'Sales Register'!$A$5:$A$504,"&gt;="&amp;A15,'Sales Register'!$A$5:$A$504,"&lt;="&amp;EOMONTH(A15,0),'Sales Register'!$K$5:$K$504,"B2C")</f>
        <v/>
      </c>
    </row>
    <row r="16">
      <c r="A16" s="27">
        <f>DATE(2027,3,1)</f>
        <v/>
      </c>
      <c r="B16">
        <f>COUNTIFS('Sales Register'!$A$5:$A$504,"&gt;="&amp;A16,'Sales Register'!$A$5:$A$504,"&lt;="&amp;EOMONTH(A16,0))</f>
        <v/>
      </c>
      <c r="C16" s="23">
        <f>SUMIFS('Sales Register'!$F$5:$F$504,'Sales Register'!$A$5:$A$504,"&gt;="&amp;A16,'Sales Register'!$A$5:$A$504,"&lt;="&amp;EOMONTH(A16,0))</f>
        <v/>
      </c>
      <c r="D16" s="23">
        <f>SUMIFS('Sales Register'!$G$5:$G$504,'Sales Register'!$A$5:$A$504,"&gt;="&amp;A16,'Sales Register'!$A$5:$A$504,"&lt;="&amp;EOMONTH(A16,0))</f>
        <v/>
      </c>
      <c r="E16" s="23">
        <f>SUMIFS('Sales Register'!$H$5:$H$504,'Sales Register'!$A$5:$A$504,"&gt;="&amp;A16,'Sales Register'!$A$5:$A$504,"&lt;="&amp;EOMONTH(A16,0))</f>
        <v/>
      </c>
      <c r="F16" s="23">
        <f>SUMIFS('Sales Register'!$I$5:$I$504,'Sales Register'!$A$5:$A$504,"&gt;="&amp;A16,'Sales Register'!$A$5:$A$504,"&lt;="&amp;EOMONTH(A16,0))</f>
        <v/>
      </c>
      <c r="G16" s="23">
        <f>D16+E16+F16</f>
        <v/>
      </c>
      <c r="H16" s="23">
        <f>SUMIFS('Sales Register'!$F$5:$F$504,'Sales Register'!$A$5:$A$504,"&gt;="&amp;A16,'Sales Register'!$A$5:$A$504,"&lt;="&amp;EOMONTH(A16,0),'Sales Register'!$K$5:$K$504,"B2B")</f>
        <v/>
      </c>
      <c r="I16" s="23">
        <f>SUMIFS('Sales Register'!$F$5:$F$504,'Sales Register'!$A$5:$A$504,"&gt;="&amp;A16,'Sales Register'!$A$5:$A$504,"&lt;="&amp;EOMONTH(A16,0),'Sales Register'!$K$5:$K$504,"B2C")</f>
        <v/>
      </c>
    </row>
    <row r="17">
      <c r="A17" s="10" t="inlineStr">
        <is>
          <t>Total</t>
        </is>
      </c>
      <c r="B17" s="28">
        <f>SUM(B5:B16)</f>
        <v/>
      </c>
      <c r="C17" s="29">
        <f>SUM(C5:C16)</f>
        <v/>
      </c>
      <c r="D17" s="29">
        <f>SUM(D5:D16)</f>
        <v/>
      </c>
      <c r="E17" s="29">
        <f>SUM(E5:E16)</f>
        <v/>
      </c>
      <c r="F17" s="29">
        <f>SUM(F5:F16)</f>
        <v/>
      </c>
      <c r="G17" s="29">
        <f>SUM(G5:G16)</f>
        <v/>
      </c>
      <c r="H17" s="29">
        <f>SUM(H5:H16)</f>
        <v/>
      </c>
      <c r="I17" s="29">
        <f>SUM(I5:I16)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30" customWidth="1" min="4" max="4"/>
    <col width="10" customWidth="1" min="5" max="5"/>
    <col width="10" customWidth="1" min="6" max="6"/>
    <col width="14" customWidth="1" min="7" max="7"/>
    <col width="8" customWidth="1" min="8" max="8"/>
    <col width="14" customWidth="1" min="9" max="9"/>
  </cols>
  <sheetData>
    <row r="1">
      <c r="A1" s="8" t="inlineStr">
        <is>
          <t>HSN Register (item lines)</t>
        </is>
      </c>
    </row>
    <row r="2">
      <c r="A2" s="9" t="inlineStr">
        <is>
          <t>Log each invoice line here for the GSTR-1 HSN table</t>
        </is>
      </c>
    </row>
    <row r="4" ht="32" customHeight="1">
      <c r="A4" s="17" t="inlineStr">
        <is>
          <t>Date</t>
        </is>
      </c>
      <c r="B4" s="17" t="inlineStr">
        <is>
          <t>Invoice No.</t>
        </is>
      </c>
      <c r="C4" s="17" t="inlineStr">
        <is>
          <t>HSN/SAC</t>
        </is>
      </c>
      <c r="D4" s="17" t="inlineStr">
        <is>
          <t>Description</t>
        </is>
      </c>
      <c r="E4" s="17" t="inlineStr">
        <is>
          <t>UQC (unit)</t>
        </is>
      </c>
      <c r="F4" s="17" t="inlineStr">
        <is>
          <t>Qty</t>
        </is>
      </c>
      <c r="G4" s="17" t="inlineStr">
        <is>
          <t>Taxable value</t>
        </is>
      </c>
      <c r="H4" s="17" t="inlineStr">
        <is>
          <t>GST %</t>
        </is>
      </c>
      <c r="I4" s="17" t="inlineStr">
        <is>
          <t>Tax amount</t>
        </is>
      </c>
    </row>
    <row r="5">
      <c r="A5" s="14" t="n"/>
      <c r="B5" s="11" t="n"/>
      <c r="C5" s="11" t="n"/>
      <c r="D5" s="11" t="n"/>
      <c r="E5" s="11" t="n"/>
      <c r="F5" s="11" t="n"/>
      <c r="G5" s="18" t="n"/>
      <c r="H5" s="11" t="n"/>
      <c r="I5" s="23">
        <f>IF(G5="","",ROUND(G5*H5/100,2))</f>
        <v/>
      </c>
    </row>
    <row r="6">
      <c r="A6" s="14" t="n"/>
      <c r="B6" s="11" t="n"/>
      <c r="C6" s="11" t="n"/>
      <c r="D6" s="11" t="n"/>
      <c r="E6" s="11" t="n"/>
      <c r="F6" s="11" t="n"/>
      <c r="G6" s="18" t="n"/>
      <c r="H6" s="11" t="n"/>
      <c r="I6" s="23">
        <f>IF(G6="","",ROUND(G6*H6/100,2))</f>
        <v/>
      </c>
    </row>
    <row r="7">
      <c r="A7" s="14" t="n"/>
      <c r="B7" s="11" t="n"/>
      <c r="C7" s="11" t="n"/>
      <c r="D7" s="11" t="n"/>
      <c r="E7" s="11" t="n"/>
      <c r="F7" s="11" t="n"/>
      <c r="G7" s="18" t="n"/>
      <c r="H7" s="11" t="n"/>
      <c r="I7" s="23">
        <f>IF(G7="","",ROUND(G7*H7/100,2))</f>
        <v/>
      </c>
    </row>
    <row r="8">
      <c r="A8" s="14" t="n"/>
      <c r="B8" s="11" t="n"/>
      <c r="C8" s="11" t="n"/>
      <c r="D8" s="11" t="n"/>
      <c r="E8" s="11" t="n"/>
      <c r="F8" s="11" t="n"/>
      <c r="G8" s="18" t="n"/>
      <c r="H8" s="11" t="n"/>
      <c r="I8" s="23">
        <f>IF(G8="","",ROUND(G8*H8/100,2))</f>
        <v/>
      </c>
    </row>
    <row r="9">
      <c r="A9" s="14" t="n"/>
      <c r="B9" s="11" t="n"/>
      <c r="C9" s="11" t="n"/>
      <c r="D9" s="11" t="n"/>
      <c r="E9" s="11" t="n"/>
      <c r="F9" s="11" t="n"/>
      <c r="G9" s="18" t="n"/>
      <c r="H9" s="11" t="n"/>
      <c r="I9" s="23">
        <f>IF(G9="","",ROUND(G9*H9/100,2))</f>
        <v/>
      </c>
    </row>
    <row r="10">
      <c r="A10" s="14" t="n"/>
      <c r="B10" s="11" t="n"/>
      <c r="C10" s="11" t="n"/>
      <c r="D10" s="11" t="n"/>
      <c r="E10" s="11" t="n"/>
      <c r="F10" s="11" t="n"/>
      <c r="G10" s="18" t="n"/>
      <c r="H10" s="11" t="n"/>
      <c r="I10" s="23">
        <f>IF(G10="","",ROUND(G10*H10/100,2))</f>
        <v/>
      </c>
    </row>
    <row r="11">
      <c r="A11" s="14" t="n"/>
      <c r="B11" s="11" t="n"/>
      <c r="C11" s="11" t="n"/>
      <c r="D11" s="11" t="n"/>
      <c r="E11" s="11" t="n"/>
      <c r="F11" s="11" t="n"/>
      <c r="G11" s="18" t="n"/>
      <c r="H11" s="11" t="n"/>
      <c r="I11" s="23">
        <f>IF(G11="","",ROUND(G11*H11/100,2))</f>
        <v/>
      </c>
    </row>
    <row r="12">
      <c r="A12" s="14" t="n"/>
      <c r="B12" s="11" t="n"/>
      <c r="C12" s="11" t="n"/>
      <c r="D12" s="11" t="n"/>
      <c r="E12" s="11" t="n"/>
      <c r="F12" s="11" t="n"/>
      <c r="G12" s="18" t="n"/>
      <c r="H12" s="11" t="n"/>
      <c r="I12" s="23">
        <f>IF(G12="","",ROUND(G12*H12/100,2))</f>
        <v/>
      </c>
    </row>
    <row r="13">
      <c r="A13" s="14" t="n"/>
      <c r="B13" s="11" t="n"/>
      <c r="C13" s="11" t="n"/>
      <c r="D13" s="11" t="n"/>
      <c r="E13" s="11" t="n"/>
      <c r="F13" s="11" t="n"/>
      <c r="G13" s="18" t="n"/>
      <c r="H13" s="11" t="n"/>
      <c r="I13" s="23">
        <f>IF(G13="","",ROUND(G13*H13/100,2))</f>
        <v/>
      </c>
    </row>
    <row r="14">
      <c r="A14" s="14" t="n"/>
      <c r="B14" s="11" t="n"/>
      <c r="C14" s="11" t="n"/>
      <c r="D14" s="11" t="n"/>
      <c r="E14" s="11" t="n"/>
      <c r="F14" s="11" t="n"/>
      <c r="G14" s="18" t="n"/>
      <c r="H14" s="11" t="n"/>
      <c r="I14" s="23">
        <f>IF(G14="","",ROUND(G14*H14/100,2))</f>
        <v/>
      </c>
    </row>
    <row r="15">
      <c r="A15" s="14" t="n"/>
      <c r="B15" s="11" t="n"/>
      <c r="C15" s="11" t="n"/>
      <c r="D15" s="11" t="n"/>
      <c r="E15" s="11" t="n"/>
      <c r="F15" s="11" t="n"/>
      <c r="G15" s="18" t="n"/>
      <c r="H15" s="11" t="n"/>
      <c r="I15" s="23">
        <f>IF(G15="","",ROUND(G15*H15/100,2))</f>
        <v/>
      </c>
    </row>
    <row r="16">
      <c r="A16" s="14" t="n"/>
      <c r="B16" s="11" t="n"/>
      <c r="C16" s="11" t="n"/>
      <c r="D16" s="11" t="n"/>
      <c r="E16" s="11" t="n"/>
      <c r="F16" s="11" t="n"/>
      <c r="G16" s="18" t="n"/>
      <c r="H16" s="11" t="n"/>
      <c r="I16" s="23">
        <f>IF(G16="","",ROUND(G16*H16/100,2))</f>
        <v/>
      </c>
    </row>
    <row r="17">
      <c r="A17" s="14" t="n"/>
      <c r="B17" s="11" t="n"/>
      <c r="C17" s="11" t="n"/>
      <c r="D17" s="11" t="n"/>
      <c r="E17" s="11" t="n"/>
      <c r="F17" s="11" t="n"/>
      <c r="G17" s="18" t="n"/>
      <c r="H17" s="11" t="n"/>
      <c r="I17" s="23">
        <f>IF(G17="","",ROUND(G17*H17/100,2))</f>
        <v/>
      </c>
    </row>
    <row r="18">
      <c r="A18" s="14" t="n"/>
      <c r="B18" s="11" t="n"/>
      <c r="C18" s="11" t="n"/>
      <c r="D18" s="11" t="n"/>
      <c r="E18" s="11" t="n"/>
      <c r="F18" s="11" t="n"/>
      <c r="G18" s="18" t="n"/>
      <c r="H18" s="11" t="n"/>
      <c r="I18" s="23">
        <f>IF(G18="","",ROUND(G18*H18/100,2))</f>
        <v/>
      </c>
    </row>
    <row r="19">
      <c r="A19" s="14" t="n"/>
      <c r="B19" s="11" t="n"/>
      <c r="C19" s="11" t="n"/>
      <c r="D19" s="11" t="n"/>
      <c r="E19" s="11" t="n"/>
      <c r="F19" s="11" t="n"/>
      <c r="G19" s="18" t="n"/>
      <c r="H19" s="11" t="n"/>
      <c r="I19" s="23">
        <f>IF(G19="","",ROUND(G19*H19/100,2))</f>
        <v/>
      </c>
    </row>
    <row r="20">
      <c r="A20" s="14" t="n"/>
      <c r="B20" s="11" t="n"/>
      <c r="C20" s="11" t="n"/>
      <c r="D20" s="11" t="n"/>
      <c r="E20" s="11" t="n"/>
      <c r="F20" s="11" t="n"/>
      <c r="G20" s="18" t="n"/>
      <c r="H20" s="11" t="n"/>
      <c r="I20" s="23">
        <f>IF(G20="","",ROUND(G20*H20/100,2))</f>
        <v/>
      </c>
    </row>
    <row r="21">
      <c r="A21" s="14" t="n"/>
      <c r="B21" s="11" t="n"/>
      <c r="C21" s="11" t="n"/>
      <c r="D21" s="11" t="n"/>
      <c r="E21" s="11" t="n"/>
      <c r="F21" s="11" t="n"/>
      <c r="G21" s="18" t="n"/>
      <c r="H21" s="11" t="n"/>
      <c r="I21" s="23">
        <f>IF(G21="","",ROUND(G21*H21/100,2))</f>
        <v/>
      </c>
    </row>
    <row r="22">
      <c r="A22" s="14" t="n"/>
      <c r="B22" s="11" t="n"/>
      <c r="C22" s="11" t="n"/>
      <c r="D22" s="11" t="n"/>
      <c r="E22" s="11" t="n"/>
      <c r="F22" s="11" t="n"/>
      <c r="G22" s="18" t="n"/>
      <c r="H22" s="11" t="n"/>
      <c r="I22" s="23">
        <f>IF(G22="","",ROUND(G22*H22/100,2))</f>
        <v/>
      </c>
    </row>
    <row r="23">
      <c r="A23" s="14" t="n"/>
      <c r="B23" s="11" t="n"/>
      <c r="C23" s="11" t="n"/>
      <c r="D23" s="11" t="n"/>
      <c r="E23" s="11" t="n"/>
      <c r="F23" s="11" t="n"/>
      <c r="G23" s="18" t="n"/>
      <c r="H23" s="11" t="n"/>
      <c r="I23" s="23">
        <f>IF(G23="","",ROUND(G23*H23/100,2))</f>
        <v/>
      </c>
    </row>
    <row r="24">
      <c r="A24" s="14" t="n"/>
      <c r="B24" s="11" t="n"/>
      <c r="C24" s="11" t="n"/>
      <c r="D24" s="11" t="n"/>
      <c r="E24" s="11" t="n"/>
      <c r="F24" s="11" t="n"/>
      <c r="G24" s="18" t="n"/>
      <c r="H24" s="11" t="n"/>
      <c r="I24" s="23">
        <f>IF(G24="","",ROUND(G24*H24/100,2))</f>
        <v/>
      </c>
    </row>
    <row r="25">
      <c r="A25" s="14" t="n"/>
      <c r="B25" s="11" t="n"/>
      <c r="C25" s="11" t="n"/>
      <c r="D25" s="11" t="n"/>
      <c r="E25" s="11" t="n"/>
      <c r="F25" s="11" t="n"/>
      <c r="G25" s="18" t="n"/>
      <c r="H25" s="11" t="n"/>
      <c r="I25" s="23">
        <f>IF(G25="","",ROUND(G25*H25/100,2))</f>
        <v/>
      </c>
    </row>
    <row r="26">
      <c r="A26" s="14" t="n"/>
      <c r="B26" s="11" t="n"/>
      <c r="C26" s="11" t="n"/>
      <c r="D26" s="11" t="n"/>
      <c r="E26" s="11" t="n"/>
      <c r="F26" s="11" t="n"/>
      <c r="G26" s="18" t="n"/>
      <c r="H26" s="11" t="n"/>
      <c r="I26" s="23">
        <f>IF(G26="","",ROUND(G26*H26/100,2))</f>
        <v/>
      </c>
    </row>
    <row r="27">
      <c r="A27" s="14" t="n"/>
      <c r="B27" s="11" t="n"/>
      <c r="C27" s="11" t="n"/>
      <c r="D27" s="11" t="n"/>
      <c r="E27" s="11" t="n"/>
      <c r="F27" s="11" t="n"/>
      <c r="G27" s="18" t="n"/>
      <c r="H27" s="11" t="n"/>
      <c r="I27" s="23">
        <f>IF(G27="","",ROUND(G27*H27/100,2))</f>
        <v/>
      </c>
    </row>
    <row r="28">
      <c r="A28" s="14" t="n"/>
      <c r="B28" s="11" t="n"/>
      <c r="C28" s="11" t="n"/>
      <c r="D28" s="11" t="n"/>
      <c r="E28" s="11" t="n"/>
      <c r="F28" s="11" t="n"/>
      <c r="G28" s="18" t="n"/>
      <c r="H28" s="11" t="n"/>
      <c r="I28" s="23">
        <f>IF(G28="","",ROUND(G28*H28/100,2))</f>
        <v/>
      </c>
    </row>
    <row r="29">
      <c r="A29" s="14" t="n"/>
      <c r="B29" s="11" t="n"/>
      <c r="C29" s="11" t="n"/>
      <c r="D29" s="11" t="n"/>
      <c r="E29" s="11" t="n"/>
      <c r="F29" s="11" t="n"/>
      <c r="G29" s="18" t="n"/>
      <c r="H29" s="11" t="n"/>
      <c r="I29" s="23">
        <f>IF(G29="","",ROUND(G29*H29/100,2))</f>
        <v/>
      </c>
    </row>
    <row r="30">
      <c r="A30" s="14" t="n"/>
      <c r="B30" s="11" t="n"/>
      <c r="C30" s="11" t="n"/>
      <c r="D30" s="11" t="n"/>
      <c r="E30" s="11" t="n"/>
      <c r="F30" s="11" t="n"/>
      <c r="G30" s="18" t="n"/>
      <c r="H30" s="11" t="n"/>
      <c r="I30" s="23">
        <f>IF(G30="","",ROUND(G30*H30/100,2))</f>
        <v/>
      </c>
    </row>
    <row r="31">
      <c r="A31" s="14" t="n"/>
      <c r="B31" s="11" t="n"/>
      <c r="C31" s="11" t="n"/>
      <c r="D31" s="11" t="n"/>
      <c r="E31" s="11" t="n"/>
      <c r="F31" s="11" t="n"/>
      <c r="G31" s="18" t="n"/>
      <c r="H31" s="11" t="n"/>
      <c r="I31" s="23">
        <f>IF(G31="","",ROUND(G31*H31/100,2))</f>
        <v/>
      </c>
    </row>
    <row r="32">
      <c r="A32" s="14" t="n"/>
      <c r="B32" s="11" t="n"/>
      <c r="C32" s="11" t="n"/>
      <c r="D32" s="11" t="n"/>
      <c r="E32" s="11" t="n"/>
      <c r="F32" s="11" t="n"/>
      <c r="G32" s="18" t="n"/>
      <c r="H32" s="11" t="n"/>
      <c r="I32" s="23">
        <f>IF(G32="","",ROUND(G32*H32/100,2))</f>
        <v/>
      </c>
    </row>
    <row r="33">
      <c r="A33" s="14" t="n"/>
      <c r="B33" s="11" t="n"/>
      <c r="C33" s="11" t="n"/>
      <c r="D33" s="11" t="n"/>
      <c r="E33" s="11" t="n"/>
      <c r="F33" s="11" t="n"/>
      <c r="G33" s="18" t="n"/>
      <c r="H33" s="11" t="n"/>
      <c r="I33" s="23">
        <f>IF(G33="","",ROUND(G33*H33/100,2))</f>
        <v/>
      </c>
    </row>
    <row r="34">
      <c r="A34" s="14" t="n"/>
      <c r="B34" s="11" t="n"/>
      <c r="C34" s="11" t="n"/>
      <c r="D34" s="11" t="n"/>
      <c r="E34" s="11" t="n"/>
      <c r="F34" s="11" t="n"/>
      <c r="G34" s="18" t="n"/>
      <c r="H34" s="11" t="n"/>
      <c r="I34" s="23">
        <f>IF(G34="","",ROUND(G34*H34/100,2))</f>
        <v/>
      </c>
    </row>
    <row r="35">
      <c r="A35" s="14" t="n"/>
      <c r="B35" s="11" t="n"/>
      <c r="C35" s="11" t="n"/>
      <c r="D35" s="11" t="n"/>
      <c r="E35" s="11" t="n"/>
      <c r="F35" s="11" t="n"/>
      <c r="G35" s="18" t="n"/>
      <c r="H35" s="11" t="n"/>
      <c r="I35" s="23">
        <f>IF(G35="","",ROUND(G35*H35/100,2))</f>
        <v/>
      </c>
    </row>
    <row r="36">
      <c r="A36" s="14" t="n"/>
      <c r="B36" s="11" t="n"/>
      <c r="C36" s="11" t="n"/>
      <c r="D36" s="11" t="n"/>
      <c r="E36" s="11" t="n"/>
      <c r="F36" s="11" t="n"/>
      <c r="G36" s="18" t="n"/>
      <c r="H36" s="11" t="n"/>
      <c r="I36" s="23">
        <f>IF(G36="","",ROUND(G36*H36/100,2))</f>
        <v/>
      </c>
    </row>
    <row r="37">
      <c r="A37" s="14" t="n"/>
      <c r="B37" s="11" t="n"/>
      <c r="C37" s="11" t="n"/>
      <c r="D37" s="11" t="n"/>
      <c r="E37" s="11" t="n"/>
      <c r="F37" s="11" t="n"/>
      <c r="G37" s="18" t="n"/>
      <c r="H37" s="11" t="n"/>
      <c r="I37" s="23">
        <f>IF(G37="","",ROUND(G37*H37/100,2))</f>
        <v/>
      </c>
    </row>
    <row r="38">
      <c r="A38" s="14" t="n"/>
      <c r="B38" s="11" t="n"/>
      <c r="C38" s="11" t="n"/>
      <c r="D38" s="11" t="n"/>
      <c r="E38" s="11" t="n"/>
      <c r="F38" s="11" t="n"/>
      <c r="G38" s="18" t="n"/>
      <c r="H38" s="11" t="n"/>
      <c r="I38" s="23">
        <f>IF(G38="","",ROUND(G38*H38/100,2))</f>
        <v/>
      </c>
    </row>
    <row r="39">
      <c r="A39" s="14" t="n"/>
      <c r="B39" s="11" t="n"/>
      <c r="C39" s="11" t="n"/>
      <c r="D39" s="11" t="n"/>
      <c r="E39" s="11" t="n"/>
      <c r="F39" s="11" t="n"/>
      <c r="G39" s="18" t="n"/>
      <c r="H39" s="11" t="n"/>
      <c r="I39" s="23">
        <f>IF(G39="","",ROUND(G39*H39/100,2))</f>
        <v/>
      </c>
    </row>
    <row r="40">
      <c r="A40" s="14" t="n"/>
      <c r="B40" s="11" t="n"/>
      <c r="C40" s="11" t="n"/>
      <c r="D40" s="11" t="n"/>
      <c r="E40" s="11" t="n"/>
      <c r="F40" s="11" t="n"/>
      <c r="G40" s="18" t="n"/>
      <c r="H40" s="11" t="n"/>
      <c r="I40" s="23">
        <f>IF(G40="","",ROUND(G40*H40/100,2))</f>
        <v/>
      </c>
    </row>
    <row r="41">
      <c r="A41" s="14" t="n"/>
      <c r="B41" s="11" t="n"/>
      <c r="C41" s="11" t="n"/>
      <c r="D41" s="11" t="n"/>
      <c r="E41" s="11" t="n"/>
      <c r="F41" s="11" t="n"/>
      <c r="G41" s="18" t="n"/>
      <c r="H41" s="11" t="n"/>
      <c r="I41" s="23">
        <f>IF(G41="","",ROUND(G41*H41/100,2))</f>
        <v/>
      </c>
    </row>
    <row r="42">
      <c r="A42" s="14" t="n"/>
      <c r="B42" s="11" t="n"/>
      <c r="C42" s="11" t="n"/>
      <c r="D42" s="11" t="n"/>
      <c r="E42" s="11" t="n"/>
      <c r="F42" s="11" t="n"/>
      <c r="G42" s="18" t="n"/>
      <c r="H42" s="11" t="n"/>
      <c r="I42" s="23">
        <f>IF(G42="","",ROUND(G42*H42/100,2))</f>
        <v/>
      </c>
    </row>
    <row r="43">
      <c r="A43" s="14" t="n"/>
      <c r="B43" s="11" t="n"/>
      <c r="C43" s="11" t="n"/>
      <c r="D43" s="11" t="n"/>
      <c r="E43" s="11" t="n"/>
      <c r="F43" s="11" t="n"/>
      <c r="G43" s="18" t="n"/>
      <c r="H43" s="11" t="n"/>
      <c r="I43" s="23">
        <f>IF(G43="","",ROUND(G43*H43/100,2))</f>
        <v/>
      </c>
    </row>
    <row r="44">
      <c r="A44" s="14" t="n"/>
      <c r="B44" s="11" t="n"/>
      <c r="C44" s="11" t="n"/>
      <c r="D44" s="11" t="n"/>
      <c r="E44" s="11" t="n"/>
      <c r="F44" s="11" t="n"/>
      <c r="G44" s="18" t="n"/>
      <c r="H44" s="11" t="n"/>
      <c r="I44" s="23">
        <f>IF(G44="","",ROUND(G44*H44/100,2))</f>
        <v/>
      </c>
    </row>
    <row r="45">
      <c r="A45" s="14" t="n"/>
      <c r="B45" s="11" t="n"/>
      <c r="C45" s="11" t="n"/>
      <c r="D45" s="11" t="n"/>
      <c r="E45" s="11" t="n"/>
      <c r="F45" s="11" t="n"/>
      <c r="G45" s="18" t="n"/>
      <c r="H45" s="11" t="n"/>
      <c r="I45" s="23">
        <f>IF(G45="","",ROUND(G45*H45/100,2))</f>
        <v/>
      </c>
    </row>
    <row r="46">
      <c r="A46" s="14" t="n"/>
      <c r="B46" s="11" t="n"/>
      <c r="C46" s="11" t="n"/>
      <c r="D46" s="11" t="n"/>
      <c r="E46" s="11" t="n"/>
      <c r="F46" s="11" t="n"/>
      <c r="G46" s="18" t="n"/>
      <c r="H46" s="11" t="n"/>
      <c r="I46" s="23">
        <f>IF(G46="","",ROUND(G46*H46/100,2))</f>
        <v/>
      </c>
    </row>
    <row r="47">
      <c r="A47" s="14" t="n"/>
      <c r="B47" s="11" t="n"/>
      <c r="C47" s="11" t="n"/>
      <c r="D47" s="11" t="n"/>
      <c r="E47" s="11" t="n"/>
      <c r="F47" s="11" t="n"/>
      <c r="G47" s="18" t="n"/>
      <c r="H47" s="11" t="n"/>
      <c r="I47" s="23">
        <f>IF(G47="","",ROUND(G47*H47/100,2))</f>
        <v/>
      </c>
    </row>
    <row r="48">
      <c r="A48" s="14" t="n"/>
      <c r="B48" s="11" t="n"/>
      <c r="C48" s="11" t="n"/>
      <c r="D48" s="11" t="n"/>
      <c r="E48" s="11" t="n"/>
      <c r="F48" s="11" t="n"/>
      <c r="G48" s="18" t="n"/>
      <c r="H48" s="11" t="n"/>
      <c r="I48" s="23">
        <f>IF(G48="","",ROUND(G48*H48/100,2))</f>
        <v/>
      </c>
    </row>
    <row r="49">
      <c r="A49" s="14" t="n"/>
      <c r="B49" s="11" t="n"/>
      <c r="C49" s="11" t="n"/>
      <c r="D49" s="11" t="n"/>
      <c r="E49" s="11" t="n"/>
      <c r="F49" s="11" t="n"/>
      <c r="G49" s="18" t="n"/>
      <c r="H49" s="11" t="n"/>
      <c r="I49" s="23">
        <f>IF(G49="","",ROUND(G49*H49/100,2))</f>
        <v/>
      </c>
    </row>
    <row r="50">
      <c r="A50" s="14" t="n"/>
      <c r="B50" s="11" t="n"/>
      <c r="C50" s="11" t="n"/>
      <c r="D50" s="11" t="n"/>
      <c r="E50" s="11" t="n"/>
      <c r="F50" s="11" t="n"/>
      <c r="G50" s="18" t="n"/>
      <c r="H50" s="11" t="n"/>
      <c r="I50" s="23">
        <f>IF(G50="","",ROUND(G50*H50/100,2))</f>
        <v/>
      </c>
    </row>
    <row r="51">
      <c r="A51" s="14" t="n"/>
      <c r="B51" s="11" t="n"/>
      <c r="C51" s="11" t="n"/>
      <c r="D51" s="11" t="n"/>
      <c r="E51" s="11" t="n"/>
      <c r="F51" s="11" t="n"/>
      <c r="G51" s="18" t="n"/>
      <c r="H51" s="11" t="n"/>
      <c r="I51" s="23">
        <f>IF(G51="","",ROUND(G51*H51/100,2))</f>
        <v/>
      </c>
    </row>
    <row r="52">
      <c r="A52" s="14" t="n"/>
      <c r="B52" s="11" t="n"/>
      <c r="C52" s="11" t="n"/>
      <c r="D52" s="11" t="n"/>
      <c r="E52" s="11" t="n"/>
      <c r="F52" s="11" t="n"/>
      <c r="G52" s="18" t="n"/>
      <c r="H52" s="11" t="n"/>
      <c r="I52" s="23">
        <f>IF(G52="","",ROUND(G52*H52/100,2))</f>
        <v/>
      </c>
    </row>
    <row r="53">
      <c r="A53" s="14" t="n"/>
      <c r="B53" s="11" t="n"/>
      <c r="C53" s="11" t="n"/>
      <c r="D53" s="11" t="n"/>
      <c r="E53" s="11" t="n"/>
      <c r="F53" s="11" t="n"/>
      <c r="G53" s="18" t="n"/>
      <c r="H53" s="11" t="n"/>
      <c r="I53" s="23">
        <f>IF(G53="","",ROUND(G53*H53/100,2))</f>
        <v/>
      </c>
    </row>
    <row r="54">
      <c r="A54" s="14" t="n"/>
      <c r="B54" s="11" t="n"/>
      <c r="C54" s="11" t="n"/>
      <c r="D54" s="11" t="n"/>
      <c r="E54" s="11" t="n"/>
      <c r="F54" s="11" t="n"/>
      <c r="G54" s="18" t="n"/>
      <c r="H54" s="11" t="n"/>
      <c r="I54" s="23">
        <f>IF(G54="","",ROUND(G54*H54/100,2))</f>
        <v/>
      </c>
    </row>
    <row r="55">
      <c r="A55" s="14" t="n"/>
      <c r="B55" s="11" t="n"/>
      <c r="C55" s="11" t="n"/>
      <c r="D55" s="11" t="n"/>
      <c r="E55" s="11" t="n"/>
      <c r="F55" s="11" t="n"/>
      <c r="G55" s="18" t="n"/>
      <c r="H55" s="11" t="n"/>
      <c r="I55" s="23">
        <f>IF(G55="","",ROUND(G55*H55/100,2))</f>
        <v/>
      </c>
    </row>
    <row r="56">
      <c r="A56" s="14" t="n"/>
      <c r="B56" s="11" t="n"/>
      <c r="C56" s="11" t="n"/>
      <c r="D56" s="11" t="n"/>
      <c r="E56" s="11" t="n"/>
      <c r="F56" s="11" t="n"/>
      <c r="G56" s="18" t="n"/>
      <c r="H56" s="11" t="n"/>
      <c r="I56" s="23">
        <f>IF(G56="","",ROUND(G56*H56/100,2))</f>
        <v/>
      </c>
    </row>
    <row r="57">
      <c r="A57" s="14" t="n"/>
      <c r="B57" s="11" t="n"/>
      <c r="C57" s="11" t="n"/>
      <c r="D57" s="11" t="n"/>
      <c r="E57" s="11" t="n"/>
      <c r="F57" s="11" t="n"/>
      <c r="G57" s="18" t="n"/>
      <c r="H57" s="11" t="n"/>
      <c r="I57" s="23">
        <f>IF(G57="","",ROUND(G57*H57/100,2))</f>
        <v/>
      </c>
    </row>
    <row r="58">
      <c r="A58" s="14" t="n"/>
      <c r="B58" s="11" t="n"/>
      <c r="C58" s="11" t="n"/>
      <c r="D58" s="11" t="n"/>
      <c r="E58" s="11" t="n"/>
      <c r="F58" s="11" t="n"/>
      <c r="G58" s="18" t="n"/>
      <c r="H58" s="11" t="n"/>
      <c r="I58" s="23">
        <f>IF(G58="","",ROUND(G58*H58/100,2))</f>
        <v/>
      </c>
    </row>
    <row r="59">
      <c r="A59" s="14" t="n"/>
      <c r="B59" s="11" t="n"/>
      <c r="C59" s="11" t="n"/>
      <c r="D59" s="11" t="n"/>
      <c r="E59" s="11" t="n"/>
      <c r="F59" s="11" t="n"/>
      <c r="G59" s="18" t="n"/>
      <c r="H59" s="11" t="n"/>
      <c r="I59" s="23">
        <f>IF(G59="","",ROUND(G59*H59/100,2))</f>
        <v/>
      </c>
    </row>
    <row r="60">
      <c r="A60" s="14" t="n"/>
      <c r="B60" s="11" t="n"/>
      <c r="C60" s="11" t="n"/>
      <c r="D60" s="11" t="n"/>
      <c r="E60" s="11" t="n"/>
      <c r="F60" s="11" t="n"/>
      <c r="G60" s="18" t="n"/>
      <c r="H60" s="11" t="n"/>
      <c r="I60" s="23">
        <f>IF(G60="","",ROUND(G60*H60/100,2))</f>
        <v/>
      </c>
    </row>
    <row r="61">
      <c r="A61" s="14" t="n"/>
      <c r="B61" s="11" t="n"/>
      <c r="C61" s="11" t="n"/>
      <c r="D61" s="11" t="n"/>
      <c r="E61" s="11" t="n"/>
      <c r="F61" s="11" t="n"/>
      <c r="G61" s="18" t="n"/>
      <c r="H61" s="11" t="n"/>
      <c r="I61" s="23">
        <f>IF(G61="","",ROUND(G61*H61/100,2))</f>
        <v/>
      </c>
    </row>
    <row r="62">
      <c r="A62" s="14" t="n"/>
      <c r="B62" s="11" t="n"/>
      <c r="C62" s="11" t="n"/>
      <c r="D62" s="11" t="n"/>
      <c r="E62" s="11" t="n"/>
      <c r="F62" s="11" t="n"/>
      <c r="G62" s="18" t="n"/>
      <c r="H62" s="11" t="n"/>
      <c r="I62" s="23">
        <f>IF(G62="","",ROUND(G62*H62/100,2))</f>
        <v/>
      </c>
    </row>
    <row r="63">
      <c r="A63" s="14" t="n"/>
      <c r="B63" s="11" t="n"/>
      <c r="C63" s="11" t="n"/>
      <c r="D63" s="11" t="n"/>
      <c r="E63" s="11" t="n"/>
      <c r="F63" s="11" t="n"/>
      <c r="G63" s="18" t="n"/>
      <c r="H63" s="11" t="n"/>
      <c r="I63" s="23">
        <f>IF(G63="","",ROUND(G63*H63/100,2))</f>
        <v/>
      </c>
    </row>
    <row r="64">
      <c r="A64" s="14" t="n"/>
      <c r="B64" s="11" t="n"/>
      <c r="C64" s="11" t="n"/>
      <c r="D64" s="11" t="n"/>
      <c r="E64" s="11" t="n"/>
      <c r="F64" s="11" t="n"/>
      <c r="G64" s="18" t="n"/>
      <c r="H64" s="11" t="n"/>
      <c r="I64" s="23">
        <f>IF(G64="","",ROUND(G64*H64/100,2))</f>
        <v/>
      </c>
    </row>
    <row r="65">
      <c r="A65" s="14" t="n"/>
      <c r="B65" s="11" t="n"/>
      <c r="C65" s="11" t="n"/>
      <c r="D65" s="11" t="n"/>
      <c r="E65" s="11" t="n"/>
      <c r="F65" s="11" t="n"/>
      <c r="G65" s="18" t="n"/>
      <c r="H65" s="11" t="n"/>
      <c r="I65" s="23">
        <f>IF(G65="","",ROUND(G65*H65/100,2))</f>
        <v/>
      </c>
    </row>
    <row r="66">
      <c r="A66" s="14" t="n"/>
      <c r="B66" s="11" t="n"/>
      <c r="C66" s="11" t="n"/>
      <c r="D66" s="11" t="n"/>
      <c r="E66" s="11" t="n"/>
      <c r="F66" s="11" t="n"/>
      <c r="G66" s="18" t="n"/>
      <c r="H66" s="11" t="n"/>
      <c r="I66" s="23">
        <f>IF(G66="","",ROUND(G66*H66/100,2))</f>
        <v/>
      </c>
    </row>
    <row r="67">
      <c r="A67" s="14" t="n"/>
      <c r="B67" s="11" t="n"/>
      <c r="C67" s="11" t="n"/>
      <c r="D67" s="11" t="n"/>
      <c r="E67" s="11" t="n"/>
      <c r="F67" s="11" t="n"/>
      <c r="G67" s="18" t="n"/>
      <c r="H67" s="11" t="n"/>
      <c r="I67" s="23">
        <f>IF(G67="","",ROUND(G67*H67/100,2))</f>
        <v/>
      </c>
    </row>
    <row r="68">
      <c r="A68" s="14" t="n"/>
      <c r="B68" s="11" t="n"/>
      <c r="C68" s="11" t="n"/>
      <c r="D68" s="11" t="n"/>
      <c r="E68" s="11" t="n"/>
      <c r="F68" s="11" t="n"/>
      <c r="G68" s="18" t="n"/>
      <c r="H68" s="11" t="n"/>
      <c r="I68" s="23">
        <f>IF(G68="","",ROUND(G68*H68/100,2))</f>
        <v/>
      </c>
    </row>
    <row r="69">
      <c r="A69" s="14" t="n"/>
      <c r="B69" s="11" t="n"/>
      <c r="C69" s="11" t="n"/>
      <c r="D69" s="11" t="n"/>
      <c r="E69" s="11" t="n"/>
      <c r="F69" s="11" t="n"/>
      <c r="G69" s="18" t="n"/>
      <c r="H69" s="11" t="n"/>
      <c r="I69" s="23">
        <f>IF(G69="","",ROUND(G69*H69/100,2))</f>
        <v/>
      </c>
    </row>
    <row r="70">
      <c r="A70" s="14" t="n"/>
      <c r="B70" s="11" t="n"/>
      <c r="C70" s="11" t="n"/>
      <c r="D70" s="11" t="n"/>
      <c r="E70" s="11" t="n"/>
      <c r="F70" s="11" t="n"/>
      <c r="G70" s="18" t="n"/>
      <c r="H70" s="11" t="n"/>
      <c r="I70" s="23">
        <f>IF(G70="","",ROUND(G70*H70/100,2))</f>
        <v/>
      </c>
    </row>
    <row r="71">
      <c r="A71" s="14" t="n"/>
      <c r="B71" s="11" t="n"/>
      <c r="C71" s="11" t="n"/>
      <c r="D71" s="11" t="n"/>
      <c r="E71" s="11" t="n"/>
      <c r="F71" s="11" t="n"/>
      <c r="G71" s="18" t="n"/>
      <c r="H71" s="11" t="n"/>
      <c r="I71" s="23">
        <f>IF(G71="","",ROUND(G71*H71/100,2))</f>
        <v/>
      </c>
    </row>
    <row r="72">
      <c r="A72" s="14" t="n"/>
      <c r="B72" s="11" t="n"/>
      <c r="C72" s="11" t="n"/>
      <c r="D72" s="11" t="n"/>
      <c r="E72" s="11" t="n"/>
      <c r="F72" s="11" t="n"/>
      <c r="G72" s="18" t="n"/>
      <c r="H72" s="11" t="n"/>
      <c r="I72" s="23">
        <f>IF(G72="","",ROUND(G72*H72/100,2))</f>
        <v/>
      </c>
    </row>
    <row r="73">
      <c r="A73" s="14" t="n"/>
      <c r="B73" s="11" t="n"/>
      <c r="C73" s="11" t="n"/>
      <c r="D73" s="11" t="n"/>
      <c r="E73" s="11" t="n"/>
      <c r="F73" s="11" t="n"/>
      <c r="G73" s="18" t="n"/>
      <c r="H73" s="11" t="n"/>
      <c r="I73" s="23">
        <f>IF(G73="","",ROUND(G73*H73/100,2))</f>
        <v/>
      </c>
    </row>
    <row r="74">
      <c r="A74" s="14" t="n"/>
      <c r="B74" s="11" t="n"/>
      <c r="C74" s="11" t="n"/>
      <c r="D74" s="11" t="n"/>
      <c r="E74" s="11" t="n"/>
      <c r="F74" s="11" t="n"/>
      <c r="G74" s="18" t="n"/>
      <c r="H74" s="11" t="n"/>
      <c r="I74" s="23">
        <f>IF(G74="","",ROUND(G74*H74/100,2))</f>
        <v/>
      </c>
    </row>
    <row r="75">
      <c r="A75" s="14" t="n"/>
      <c r="B75" s="11" t="n"/>
      <c r="C75" s="11" t="n"/>
      <c r="D75" s="11" t="n"/>
      <c r="E75" s="11" t="n"/>
      <c r="F75" s="11" t="n"/>
      <c r="G75" s="18" t="n"/>
      <c r="H75" s="11" t="n"/>
      <c r="I75" s="23">
        <f>IF(G75="","",ROUND(G75*H75/100,2))</f>
        <v/>
      </c>
    </row>
    <row r="76">
      <c r="A76" s="14" t="n"/>
      <c r="B76" s="11" t="n"/>
      <c r="C76" s="11" t="n"/>
      <c r="D76" s="11" t="n"/>
      <c r="E76" s="11" t="n"/>
      <c r="F76" s="11" t="n"/>
      <c r="G76" s="18" t="n"/>
      <c r="H76" s="11" t="n"/>
      <c r="I76" s="23">
        <f>IF(G76="","",ROUND(G76*H76/100,2))</f>
        <v/>
      </c>
    </row>
    <row r="77">
      <c r="A77" s="14" t="n"/>
      <c r="B77" s="11" t="n"/>
      <c r="C77" s="11" t="n"/>
      <c r="D77" s="11" t="n"/>
      <c r="E77" s="11" t="n"/>
      <c r="F77" s="11" t="n"/>
      <c r="G77" s="18" t="n"/>
      <c r="H77" s="11" t="n"/>
      <c r="I77" s="23">
        <f>IF(G77="","",ROUND(G77*H77/100,2))</f>
        <v/>
      </c>
    </row>
    <row r="78">
      <c r="A78" s="14" t="n"/>
      <c r="B78" s="11" t="n"/>
      <c r="C78" s="11" t="n"/>
      <c r="D78" s="11" t="n"/>
      <c r="E78" s="11" t="n"/>
      <c r="F78" s="11" t="n"/>
      <c r="G78" s="18" t="n"/>
      <c r="H78" s="11" t="n"/>
      <c r="I78" s="23">
        <f>IF(G78="","",ROUND(G78*H78/100,2))</f>
        <v/>
      </c>
    </row>
    <row r="79">
      <c r="A79" s="14" t="n"/>
      <c r="B79" s="11" t="n"/>
      <c r="C79" s="11" t="n"/>
      <c r="D79" s="11" t="n"/>
      <c r="E79" s="11" t="n"/>
      <c r="F79" s="11" t="n"/>
      <c r="G79" s="18" t="n"/>
      <c r="H79" s="11" t="n"/>
      <c r="I79" s="23">
        <f>IF(G79="","",ROUND(G79*H79/100,2))</f>
        <v/>
      </c>
    </row>
    <row r="80">
      <c r="A80" s="14" t="n"/>
      <c r="B80" s="11" t="n"/>
      <c r="C80" s="11" t="n"/>
      <c r="D80" s="11" t="n"/>
      <c r="E80" s="11" t="n"/>
      <c r="F80" s="11" t="n"/>
      <c r="G80" s="18" t="n"/>
      <c r="H80" s="11" t="n"/>
      <c r="I80" s="23">
        <f>IF(G80="","",ROUND(G80*H80/100,2))</f>
        <v/>
      </c>
    </row>
    <row r="81">
      <c r="A81" s="14" t="n"/>
      <c r="B81" s="11" t="n"/>
      <c r="C81" s="11" t="n"/>
      <c r="D81" s="11" t="n"/>
      <c r="E81" s="11" t="n"/>
      <c r="F81" s="11" t="n"/>
      <c r="G81" s="18" t="n"/>
      <c r="H81" s="11" t="n"/>
      <c r="I81" s="23">
        <f>IF(G81="","",ROUND(G81*H81/100,2))</f>
        <v/>
      </c>
    </row>
    <row r="82">
      <c r="A82" s="14" t="n"/>
      <c r="B82" s="11" t="n"/>
      <c r="C82" s="11" t="n"/>
      <c r="D82" s="11" t="n"/>
      <c r="E82" s="11" t="n"/>
      <c r="F82" s="11" t="n"/>
      <c r="G82" s="18" t="n"/>
      <c r="H82" s="11" t="n"/>
      <c r="I82" s="23">
        <f>IF(G82="","",ROUND(G82*H82/100,2))</f>
        <v/>
      </c>
    </row>
    <row r="83">
      <c r="A83" s="14" t="n"/>
      <c r="B83" s="11" t="n"/>
      <c r="C83" s="11" t="n"/>
      <c r="D83" s="11" t="n"/>
      <c r="E83" s="11" t="n"/>
      <c r="F83" s="11" t="n"/>
      <c r="G83" s="18" t="n"/>
      <c r="H83" s="11" t="n"/>
      <c r="I83" s="23">
        <f>IF(G83="","",ROUND(G83*H83/100,2))</f>
        <v/>
      </c>
    </row>
    <row r="84">
      <c r="A84" s="14" t="n"/>
      <c r="B84" s="11" t="n"/>
      <c r="C84" s="11" t="n"/>
      <c r="D84" s="11" t="n"/>
      <c r="E84" s="11" t="n"/>
      <c r="F84" s="11" t="n"/>
      <c r="G84" s="18" t="n"/>
      <c r="H84" s="11" t="n"/>
      <c r="I84" s="23">
        <f>IF(G84="","",ROUND(G84*H84/100,2))</f>
        <v/>
      </c>
    </row>
    <row r="85">
      <c r="A85" s="14" t="n"/>
      <c r="B85" s="11" t="n"/>
      <c r="C85" s="11" t="n"/>
      <c r="D85" s="11" t="n"/>
      <c r="E85" s="11" t="n"/>
      <c r="F85" s="11" t="n"/>
      <c r="G85" s="18" t="n"/>
      <c r="H85" s="11" t="n"/>
      <c r="I85" s="23">
        <f>IF(G85="","",ROUND(G85*H85/100,2))</f>
        <v/>
      </c>
    </row>
    <row r="86">
      <c r="A86" s="14" t="n"/>
      <c r="B86" s="11" t="n"/>
      <c r="C86" s="11" t="n"/>
      <c r="D86" s="11" t="n"/>
      <c r="E86" s="11" t="n"/>
      <c r="F86" s="11" t="n"/>
      <c r="G86" s="18" t="n"/>
      <c r="H86" s="11" t="n"/>
      <c r="I86" s="23">
        <f>IF(G86="","",ROUND(G86*H86/100,2))</f>
        <v/>
      </c>
    </row>
    <row r="87">
      <c r="A87" s="14" t="n"/>
      <c r="B87" s="11" t="n"/>
      <c r="C87" s="11" t="n"/>
      <c r="D87" s="11" t="n"/>
      <c r="E87" s="11" t="n"/>
      <c r="F87" s="11" t="n"/>
      <c r="G87" s="18" t="n"/>
      <c r="H87" s="11" t="n"/>
      <c r="I87" s="23">
        <f>IF(G87="","",ROUND(G87*H87/100,2))</f>
        <v/>
      </c>
    </row>
    <row r="88">
      <c r="A88" s="14" t="n"/>
      <c r="B88" s="11" t="n"/>
      <c r="C88" s="11" t="n"/>
      <c r="D88" s="11" t="n"/>
      <c r="E88" s="11" t="n"/>
      <c r="F88" s="11" t="n"/>
      <c r="G88" s="18" t="n"/>
      <c r="H88" s="11" t="n"/>
      <c r="I88" s="23">
        <f>IF(G88="","",ROUND(G88*H88/100,2))</f>
        <v/>
      </c>
    </row>
    <row r="89">
      <c r="A89" s="14" t="n"/>
      <c r="B89" s="11" t="n"/>
      <c r="C89" s="11" t="n"/>
      <c r="D89" s="11" t="n"/>
      <c r="E89" s="11" t="n"/>
      <c r="F89" s="11" t="n"/>
      <c r="G89" s="18" t="n"/>
      <c r="H89" s="11" t="n"/>
      <c r="I89" s="23">
        <f>IF(G89="","",ROUND(G89*H89/100,2))</f>
        <v/>
      </c>
    </row>
    <row r="90">
      <c r="A90" s="14" t="n"/>
      <c r="B90" s="11" t="n"/>
      <c r="C90" s="11" t="n"/>
      <c r="D90" s="11" t="n"/>
      <c r="E90" s="11" t="n"/>
      <c r="F90" s="11" t="n"/>
      <c r="G90" s="18" t="n"/>
      <c r="H90" s="11" t="n"/>
      <c r="I90" s="23">
        <f>IF(G90="","",ROUND(G90*H90/100,2))</f>
        <v/>
      </c>
    </row>
    <row r="91">
      <c r="A91" s="14" t="n"/>
      <c r="B91" s="11" t="n"/>
      <c r="C91" s="11" t="n"/>
      <c r="D91" s="11" t="n"/>
      <c r="E91" s="11" t="n"/>
      <c r="F91" s="11" t="n"/>
      <c r="G91" s="18" t="n"/>
      <c r="H91" s="11" t="n"/>
      <c r="I91" s="23">
        <f>IF(G91="","",ROUND(G91*H91/100,2))</f>
        <v/>
      </c>
    </row>
    <row r="92">
      <c r="A92" s="14" t="n"/>
      <c r="B92" s="11" t="n"/>
      <c r="C92" s="11" t="n"/>
      <c r="D92" s="11" t="n"/>
      <c r="E92" s="11" t="n"/>
      <c r="F92" s="11" t="n"/>
      <c r="G92" s="18" t="n"/>
      <c r="H92" s="11" t="n"/>
      <c r="I92" s="23">
        <f>IF(G92="","",ROUND(G92*H92/100,2))</f>
        <v/>
      </c>
    </row>
    <row r="93">
      <c r="A93" s="14" t="n"/>
      <c r="B93" s="11" t="n"/>
      <c r="C93" s="11" t="n"/>
      <c r="D93" s="11" t="n"/>
      <c r="E93" s="11" t="n"/>
      <c r="F93" s="11" t="n"/>
      <c r="G93" s="18" t="n"/>
      <c r="H93" s="11" t="n"/>
      <c r="I93" s="23">
        <f>IF(G93="","",ROUND(G93*H93/100,2))</f>
        <v/>
      </c>
    </row>
    <row r="94">
      <c r="A94" s="14" t="n"/>
      <c r="B94" s="11" t="n"/>
      <c r="C94" s="11" t="n"/>
      <c r="D94" s="11" t="n"/>
      <c r="E94" s="11" t="n"/>
      <c r="F94" s="11" t="n"/>
      <c r="G94" s="18" t="n"/>
      <c r="H94" s="11" t="n"/>
      <c r="I94" s="23">
        <f>IF(G94="","",ROUND(G94*H94/100,2))</f>
        <v/>
      </c>
    </row>
    <row r="95">
      <c r="A95" s="14" t="n"/>
      <c r="B95" s="11" t="n"/>
      <c r="C95" s="11" t="n"/>
      <c r="D95" s="11" t="n"/>
      <c r="E95" s="11" t="n"/>
      <c r="F95" s="11" t="n"/>
      <c r="G95" s="18" t="n"/>
      <c r="H95" s="11" t="n"/>
      <c r="I95" s="23">
        <f>IF(G95="","",ROUND(G95*H95/100,2))</f>
        <v/>
      </c>
    </row>
    <row r="96">
      <c r="A96" s="14" t="n"/>
      <c r="B96" s="11" t="n"/>
      <c r="C96" s="11" t="n"/>
      <c r="D96" s="11" t="n"/>
      <c r="E96" s="11" t="n"/>
      <c r="F96" s="11" t="n"/>
      <c r="G96" s="18" t="n"/>
      <c r="H96" s="11" t="n"/>
      <c r="I96" s="23">
        <f>IF(G96="","",ROUND(G96*H96/100,2))</f>
        <v/>
      </c>
    </row>
    <row r="97">
      <c r="A97" s="14" t="n"/>
      <c r="B97" s="11" t="n"/>
      <c r="C97" s="11" t="n"/>
      <c r="D97" s="11" t="n"/>
      <c r="E97" s="11" t="n"/>
      <c r="F97" s="11" t="n"/>
      <c r="G97" s="18" t="n"/>
      <c r="H97" s="11" t="n"/>
      <c r="I97" s="23">
        <f>IF(G97="","",ROUND(G97*H97/100,2))</f>
        <v/>
      </c>
    </row>
    <row r="98">
      <c r="A98" s="14" t="n"/>
      <c r="B98" s="11" t="n"/>
      <c r="C98" s="11" t="n"/>
      <c r="D98" s="11" t="n"/>
      <c r="E98" s="11" t="n"/>
      <c r="F98" s="11" t="n"/>
      <c r="G98" s="18" t="n"/>
      <c r="H98" s="11" t="n"/>
      <c r="I98" s="23">
        <f>IF(G98="","",ROUND(G98*H98/100,2))</f>
        <v/>
      </c>
    </row>
    <row r="99">
      <c r="A99" s="14" t="n"/>
      <c r="B99" s="11" t="n"/>
      <c r="C99" s="11" t="n"/>
      <c r="D99" s="11" t="n"/>
      <c r="E99" s="11" t="n"/>
      <c r="F99" s="11" t="n"/>
      <c r="G99" s="18" t="n"/>
      <c r="H99" s="11" t="n"/>
      <c r="I99" s="23">
        <f>IF(G99="","",ROUND(G99*H99/100,2))</f>
        <v/>
      </c>
    </row>
    <row r="100">
      <c r="A100" s="14" t="n"/>
      <c r="B100" s="11" t="n"/>
      <c r="C100" s="11" t="n"/>
      <c r="D100" s="11" t="n"/>
      <c r="E100" s="11" t="n"/>
      <c r="F100" s="11" t="n"/>
      <c r="G100" s="18" t="n"/>
      <c r="H100" s="11" t="n"/>
      <c r="I100" s="23">
        <f>IF(G100="","",ROUND(G100*H100/100,2))</f>
        <v/>
      </c>
    </row>
    <row r="101">
      <c r="A101" s="14" t="n"/>
      <c r="B101" s="11" t="n"/>
      <c r="C101" s="11" t="n"/>
      <c r="D101" s="11" t="n"/>
      <c r="E101" s="11" t="n"/>
      <c r="F101" s="11" t="n"/>
      <c r="G101" s="18" t="n"/>
      <c r="H101" s="11" t="n"/>
      <c r="I101" s="23">
        <f>IF(G101="","",ROUND(G101*H101/100,2))</f>
        <v/>
      </c>
    </row>
    <row r="102">
      <c r="A102" s="14" t="n"/>
      <c r="B102" s="11" t="n"/>
      <c r="C102" s="11" t="n"/>
      <c r="D102" s="11" t="n"/>
      <c r="E102" s="11" t="n"/>
      <c r="F102" s="11" t="n"/>
      <c r="G102" s="18" t="n"/>
      <c r="H102" s="11" t="n"/>
      <c r="I102" s="23">
        <f>IF(G102="","",ROUND(G102*H102/100,2))</f>
        <v/>
      </c>
    </row>
    <row r="103">
      <c r="A103" s="14" t="n"/>
      <c r="B103" s="11" t="n"/>
      <c r="C103" s="11" t="n"/>
      <c r="D103" s="11" t="n"/>
      <c r="E103" s="11" t="n"/>
      <c r="F103" s="11" t="n"/>
      <c r="G103" s="18" t="n"/>
      <c r="H103" s="11" t="n"/>
      <c r="I103" s="23">
        <f>IF(G103="","",ROUND(G103*H103/100,2))</f>
        <v/>
      </c>
    </row>
    <row r="104">
      <c r="A104" s="14" t="n"/>
      <c r="B104" s="11" t="n"/>
      <c r="C104" s="11" t="n"/>
      <c r="D104" s="11" t="n"/>
      <c r="E104" s="11" t="n"/>
      <c r="F104" s="11" t="n"/>
      <c r="G104" s="18" t="n"/>
      <c r="H104" s="11" t="n"/>
      <c r="I104" s="23">
        <f>IF(G104="","",ROUND(G104*H104/100,2))</f>
        <v/>
      </c>
    </row>
    <row r="105">
      <c r="A105" s="14" t="n"/>
      <c r="B105" s="11" t="n"/>
      <c r="C105" s="11" t="n"/>
      <c r="D105" s="11" t="n"/>
      <c r="E105" s="11" t="n"/>
      <c r="F105" s="11" t="n"/>
      <c r="G105" s="18" t="n"/>
      <c r="H105" s="11" t="n"/>
      <c r="I105" s="23">
        <f>IF(G105="","",ROUND(G105*H105/100,2))</f>
        <v/>
      </c>
    </row>
    <row r="106">
      <c r="A106" s="14" t="n"/>
      <c r="B106" s="11" t="n"/>
      <c r="C106" s="11" t="n"/>
      <c r="D106" s="11" t="n"/>
      <c r="E106" s="11" t="n"/>
      <c r="F106" s="11" t="n"/>
      <c r="G106" s="18" t="n"/>
      <c r="H106" s="11" t="n"/>
      <c r="I106" s="23">
        <f>IF(G106="","",ROUND(G106*H106/100,2))</f>
        <v/>
      </c>
    </row>
    <row r="107">
      <c r="A107" s="14" t="n"/>
      <c r="B107" s="11" t="n"/>
      <c r="C107" s="11" t="n"/>
      <c r="D107" s="11" t="n"/>
      <c r="E107" s="11" t="n"/>
      <c r="F107" s="11" t="n"/>
      <c r="G107" s="18" t="n"/>
      <c r="H107" s="11" t="n"/>
      <c r="I107" s="23">
        <f>IF(G107="","",ROUND(G107*H107/100,2))</f>
        <v/>
      </c>
    </row>
    <row r="108">
      <c r="A108" s="14" t="n"/>
      <c r="B108" s="11" t="n"/>
      <c r="C108" s="11" t="n"/>
      <c r="D108" s="11" t="n"/>
      <c r="E108" s="11" t="n"/>
      <c r="F108" s="11" t="n"/>
      <c r="G108" s="18" t="n"/>
      <c r="H108" s="11" t="n"/>
      <c r="I108" s="23">
        <f>IF(G108="","",ROUND(G108*H108/100,2))</f>
        <v/>
      </c>
    </row>
    <row r="109">
      <c r="A109" s="14" t="n"/>
      <c r="B109" s="11" t="n"/>
      <c r="C109" s="11" t="n"/>
      <c r="D109" s="11" t="n"/>
      <c r="E109" s="11" t="n"/>
      <c r="F109" s="11" t="n"/>
      <c r="G109" s="18" t="n"/>
      <c r="H109" s="11" t="n"/>
      <c r="I109" s="23">
        <f>IF(G109="","",ROUND(G109*H109/100,2))</f>
        <v/>
      </c>
    </row>
    <row r="110">
      <c r="A110" s="14" t="n"/>
      <c r="B110" s="11" t="n"/>
      <c r="C110" s="11" t="n"/>
      <c r="D110" s="11" t="n"/>
      <c r="E110" s="11" t="n"/>
      <c r="F110" s="11" t="n"/>
      <c r="G110" s="18" t="n"/>
      <c r="H110" s="11" t="n"/>
      <c r="I110" s="23">
        <f>IF(G110="","",ROUND(G110*H110/100,2))</f>
        <v/>
      </c>
    </row>
    <row r="111">
      <c r="A111" s="14" t="n"/>
      <c r="B111" s="11" t="n"/>
      <c r="C111" s="11" t="n"/>
      <c r="D111" s="11" t="n"/>
      <c r="E111" s="11" t="n"/>
      <c r="F111" s="11" t="n"/>
      <c r="G111" s="18" t="n"/>
      <c r="H111" s="11" t="n"/>
      <c r="I111" s="23">
        <f>IF(G111="","",ROUND(G111*H111/100,2))</f>
        <v/>
      </c>
    </row>
    <row r="112">
      <c r="A112" s="14" t="n"/>
      <c r="B112" s="11" t="n"/>
      <c r="C112" s="11" t="n"/>
      <c r="D112" s="11" t="n"/>
      <c r="E112" s="11" t="n"/>
      <c r="F112" s="11" t="n"/>
      <c r="G112" s="18" t="n"/>
      <c r="H112" s="11" t="n"/>
      <c r="I112" s="23">
        <f>IF(G112="","",ROUND(G112*H112/100,2))</f>
        <v/>
      </c>
    </row>
    <row r="113">
      <c r="A113" s="14" t="n"/>
      <c r="B113" s="11" t="n"/>
      <c r="C113" s="11" t="n"/>
      <c r="D113" s="11" t="n"/>
      <c r="E113" s="11" t="n"/>
      <c r="F113" s="11" t="n"/>
      <c r="G113" s="18" t="n"/>
      <c r="H113" s="11" t="n"/>
      <c r="I113" s="23">
        <f>IF(G113="","",ROUND(G113*H113/100,2))</f>
        <v/>
      </c>
    </row>
    <row r="114">
      <c r="A114" s="14" t="n"/>
      <c r="B114" s="11" t="n"/>
      <c r="C114" s="11" t="n"/>
      <c r="D114" s="11" t="n"/>
      <c r="E114" s="11" t="n"/>
      <c r="F114" s="11" t="n"/>
      <c r="G114" s="18" t="n"/>
      <c r="H114" s="11" t="n"/>
      <c r="I114" s="23">
        <f>IF(G114="","",ROUND(G114*H114/100,2))</f>
        <v/>
      </c>
    </row>
    <row r="115">
      <c r="A115" s="14" t="n"/>
      <c r="B115" s="11" t="n"/>
      <c r="C115" s="11" t="n"/>
      <c r="D115" s="11" t="n"/>
      <c r="E115" s="11" t="n"/>
      <c r="F115" s="11" t="n"/>
      <c r="G115" s="18" t="n"/>
      <c r="H115" s="11" t="n"/>
      <c r="I115" s="23">
        <f>IF(G115="","",ROUND(G115*H115/100,2))</f>
        <v/>
      </c>
    </row>
    <row r="116">
      <c r="A116" s="14" t="n"/>
      <c r="B116" s="11" t="n"/>
      <c r="C116" s="11" t="n"/>
      <c r="D116" s="11" t="n"/>
      <c r="E116" s="11" t="n"/>
      <c r="F116" s="11" t="n"/>
      <c r="G116" s="18" t="n"/>
      <c r="H116" s="11" t="n"/>
      <c r="I116" s="23">
        <f>IF(G116="","",ROUND(G116*H116/100,2))</f>
        <v/>
      </c>
    </row>
    <row r="117">
      <c r="A117" s="14" t="n"/>
      <c r="B117" s="11" t="n"/>
      <c r="C117" s="11" t="n"/>
      <c r="D117" s="11" t="n"/>
      <c r="E117" s="11" t="n"/>
      <c r="F117" s="11" t="n"/>
      <c r="G117" s="18" t="n"/>
      <c r="H117" s="11" t="n"/>
      <c r="I117" s="23">
        <f>IF(G117="","",ROUND(G117*H117/100,2))</f>
        <v/>
      </c>
    </row>
    <row r="118">
      <c r="A118" s="14" t="n"/>
      <c r="B118" s="11" t="n"/>
      <c r="C118" s="11" t="n"/>
      <c r="D118" s="11" t="n"/>
      <c r="E118" s="11" t="n"/>
      <c r="F118" s="11" t="n"/>
      <c r="G118" s="18" t="n"/>
      <c r="H118" s="11" t="n"/>
      <c r="I118" s="23">
        <f>IF(G118="","",ROUND(G118*H118/100,2))</f>
        <v/>
      </c>
    </row>
    <row r="119">
      <c r="A119" s="14" t="n"/>
      <c r="B119" s="11" t="n"/>
      <c r="C119" s="11" t="n"/>
      <c r="D119" s="11" t="n"/>
      <c r="E119" s="11" t="n"/>
      <c r="F119" s="11" t="n"/>
      <c r="G119" s="18" t="n"/>
      <c r="H119" s="11" t="n"/>
      <c r="I119" s="23">
        <f>IF(G119="","",ROUND(G119*H119/100,2))</f>
        <v/>
      </c>
    </row>
    <row r="120">
      <c r="A120" s="14" t="n"/>
      <c r="B120" s="11" t="n"/>
      <c r="C120" s="11" t="n"/>
      <c r="D120" s="11" t="n"/>
      <c r="E120" s="11" t="n"/>
      <c r="F120" s="11" t="n"/>
      <c r="G120" s="18" t="n"/>
      <c r="H120" s="11" t="n"/>
      <c r="I120" s="23">
        <f>IF(G120="","",ROUND(G120*H120/100,2))</f>
        <v/>
      </c>
    </row>
    <row r="121">
      <c r="A121" s="14" t="n"/>
      <c r="B121" s="11" t="n"/>
      <c r="C121" s="11" t="n"/>
      <c r="D121" s="11" t="n"/>
      <c r="E121" s="11" t="n"/>
      <c r="F121" s="11" t="n"/>
      <c r="G121" s="18" t="n"/>
      <c r="H121" s="11" t="n"/>
      <c r="I121" s="23">
        <f>IF(G121="","",ROUND(G121*H121/100,2))</f>
        <v/>
      </c>
    </row>
    <row r="122">
      <c r="A122" s="14" t="n"/>
      <c r="B122" s="11" t="n"/>
      <c r="C122" s="11" t="n"/>
      <c r="D122" s="11" t="n"/>
      <c r="E122" s="11" t="n"/>
      <c r="F122" s="11" t="n"/>
      <c r="G122" s="18" t="n"/>
      <c r="H122" s="11" t="n"/>
      <c r="I122" s="23">
        <f>IF(G122="","",ROUND(G122*H122/100,2))</f>
        <v/>
      </c>
    </row>
    <row r="123">
      <c r="A123" s="14" t="n"/>
      <c r="B123" s="11" t="n"/>
      <c r="C123" s="11" t="n"/>
      <c r="D123" s="11" t="n"/>
      <c r="E123" s="11" t="n"/>
      <c r="F123" s="11" t="n"/>
      <c r="G123" s="18" t="n"/>
      <c r="H123" s="11" t="n"/>
      <c r="I123" s="23">
        <f>IF(G123="","",ROUND(G123*H123/100,2))</f>
        <v/>
      </c>
    </row>
    <row r="124">
      <c r="A124" s="14" t="n"/>
      <c r="B124" s="11" t="n"/>
      <c r="C124" s="11" t="n"/>
      <c r="D124" s="11" t="n"/>
      <c r="E124" s="11" t="n"/>
      <c r="F124" s="11" t="n"/>
      <c r="G124" s="18" t="n"/>
      <c r="H124" s="11" t="n"/>
      <c r="I124" s="23">
        <f>IF(G124="","",ROUND(G124*H124/100,2))</f>
        <v/>
      </c>
    </row>
    <row r="125">
      <c r="A125" s="14" t="n"/>
      <c r="B125" s="11" t="n"/>
      <c r="C125" s="11" t="n"/>
      <c r="D125" s="11" t="n"/>
      <c r="E125" s="11" t="n"/>
      <c r="F125" s="11" t="n"/>
      <c r="G125" s="18" t="n"/>
      <c r="H125" s="11" t="n"/>
      <c r="I125" s="23">
        <f>IF(G125="","",ROUND(G125*H125/100,2))</f>
        <v/>
      </c>
    </row>
    <row r="126">
      <c r="A126" s="14" t="n"/>
      <c r="B126" s="11" t="n"/>
      <c r="C126" s="11" t="n"/>
      <c r="D126" s="11" t="n"/>
      <c r="E126" s="11" t="n"/>
      <c r="F126" s="11" t="n"/>
      <c r="G126" s="18" t="n"/>
      <c r="H126" s="11" t="n"/>
      <c r="I126" s="23">
        <f>IF(G126="","",ROUND(G126*H126/100,2))</f>
        <v/>
      </c>
    </row>
    <row r="127">
      <c r="A127" s="14" t="n"/>
      <c r="B127" s="11" t="n"/>
      <c r="C127" s="11" t="n"/>
      <c r="D127" s="11" t="n"/>
      <c r="E127" s="11" t="n"/>
      <c r="F127" s="11" t="n"/>
      <c r="G127" s="18" t="n"/>
      <c r="H127" s="11" t="n"/>
      <c r="I127" s="23">
        <f>IF(G127="","",ROUND(G127*H127/100,2))</f>
        <v/>
      </c>
    </row>
    <row r="128">
      <c r="A128" s="14" t="n"/>
      <c r="B128" s="11" t="n"/>
      <c r="C128" s="11" t="n"/>
      <c r="D128" s="11" t="n"/>
      <c r="E128" s="11" t="n"/>
      <c r="F128" s="11" t="n"/>
      <c r="G128" s="18" t="n"/>
      <c r="H128" s="11" t="n"/>
      <c r="I128" s="23">
        <f>IF(G128="","",ROUND(G128*H128/100,2))</f>
        <v/>
      </c>
    </row>
    <row r="129">
      <c r="A129" s="14" t="n"/>
      <c r="B129" s="11" t="n"/>
      <c r="C129" s="11" t="n"/>
      <c r="D129" s="11" t="n"/>
      <c r="E129" s="11" t="n"/>
      <c r="F129" s="11" t="n"/>
      <c r="G129" s="18" t="n"/>
      <c r="H129" s="11" t="n"/>
      <c r="I129" s="23">
        <f>IF(G129="","",ROUND(G129*H129/100,2))</f>
        <v/>
      </c>
    </row>
    <row r="130">
      <c r="A130" s="14" t="n"/>
      <c r="B130" s="11" t="n"/>
      <c r="C130" s="11" t="n"/>
      <c r="D130" s="11" t="n"/>
      <c r="E130" s="11" t="n"/>
      <c r="F130" s="11" t="n"/>
      <c r="G130" s="18" t="n"/>
      <c r="H130" s="11" t="n"/>
      <c r="I130" s="23">
        <f>IF(G130="","",ROUND(G130*H130/100,2))</f>
        <v/>
      </c>
    </row>
    <row r="131">
      <c r="A131" s="14" t="n"/>
      <c r="B131" s="11" t="n"/>
      <c r="C131" s="11" t="n"/>
      <c r="D131" s="11" t="n"/>
      <c r="E131" s="11" t="n"/>
      <c r="F131" s="11" t="n"/>
      <c r="G131" s="18" t="n"/>
      <c r="H131" s="11" t="n"/>
      <c r="I131" s="23">
        <f>IF(G131="","",ROUND(G131*H131/100,2))</f>
        <v/>
      </c>
    </row>
    <row r="132">
      <c r="A132" s="14" t="n"/>
      <c r="B132" s="11" t="n"/>
      <c r="C132" s="11" t="n"/>
      <c r="D132" s="11" t="n"/>
      <c r="E132" s="11" t="n"/>
      <c r="F132" s="11" t="n"/>
      <c r="G132" s="18" t="n"/>
      <c r="H132" s="11" t="n"/>
      <c r="I132" s="23">
        <f>IF(G132="","",ROUND(G132*H132/100,2))</f>
        <v/>
      </c>
    </row>
    <row r="133">
      <c r="A133" s="14" t="n"/>
      <c r="B133" s="11" t="n"/>
      <c r="C133" s="11" t="n"/>
      <c r="D133" s="11" t="n"/>
      <c r="E133" s="11" t="n"/>
      <c r="F133" s="11" t="n"/>
      <c r="G133" s="18" t="n"/>
      <c r="H133" s="11" t="n"/>
      <c r="I133" s="23">
        <f>IF(G133="","",ROUND(G133*H133/100,2))</f>
        <v/>
      </c>
    </row>
    <row r="134">
      <c r="A134" s="14" t="n"/>
      <c r="B134" s="11" t="n"/>
      <c r="C134" s="11" t="n"/>
      <c r="D134" s="11" t="n"/>
      <c r="E134" s="11" t="n"/>
      <c r="F134" s="11" t="n"/>
      <c r="G134" s="18" t="n"/>
      <c r="H134" s="11" t="n"/>
      <c r="I134" s="23">
        <f>IF(G134="","",ROUND(G134*H134/100,2))</f>
        <v/>
      </c>
    </row>
    <row r="135">
      <c r="A135" s="14" t="n"/>
      <c r="B135" s="11" t="n"/>
      <c r="C135" s="11" t="n"/>
      <c r="D135" s="11" t="n"/>
      <c r="E135" s="11" t="n"/>
      <c r="F135" s="11" t="n"/>
      <c r="G135" s="18" t="n"/>
      <c r="H135" s="11" t="n"/>
      <c r="I135" s="23">
        <f>IF(G135="","",ROUND(G135*H135/100,2))</f>
        <v/>
      </c>
    </row>
    <row r="136">
      <c r="A136" s="14" t="n"/>
      <c r="B136" s="11" t="n"/>
      <c r="C136" s="11" t="n"/>
      <c r="D136" s="11" t="n"/>
      <c r="E136" s="11" t="n"/>
      <c r="F136" s="11" t="n"/>
      <c r="G136" s="18" t="n"/>
      <c r="H136" s="11" t="n"/>
      <c r="I136" s="23">
        <f>IF(G136="","",ROUND(G136*H136/100,2))</f>
        <v/>
      </c>
    </row>
    <row r="137">
      <c r="A137" s="14" t="n"/>
      <c r="B137" s="11" t="n"/>
      <c r="C137" s="11" t="n"/>
      <c r="D137" s="11" t="n"/>
      <c r="E137" s="11" t="n"/>
      <c r="F137" s="11" t="n"/>
      <c r="G137" s="18" t="n"/>
      <c r="H137" s="11" t="n"/>
      <c r="I137" s="23">
        <f>IF(G137="","",ROUND(G137*H137/100,2))</f>
        <v/>
      </c>
    </row>
    <row r="138">
      <c r="A138" s="14" t="n"/>
      <c r="B138" s="11" t="n"/>
      <c r="C138" s="11" t="n"/>
      <c r="D138" s="11" t="n"/>
      <c r="E138" s="11" t="n"/>
      <c r="F138" s="11" t="n"/>
      <c r="G138" s="18" t="n"/>
      <c r="H138" s="11" t="n"/>
      <c r="I138" s="23">
        <f>IF(G138="","",ROUND(G138*H138/100,2))</f>
        <v/>
      </c>
    </row>
    <row r="139">
      <c r="A139" s="14" t="n"/>
      <c r="B139" s="11" t="n"/>
      <c r="C139" s="11" t="n"/>
      <c r="D139" s="11" t="n"/>
      <c r="E139" s="11" t="n"/>
      <c r="F139" s="11" t="n"/>
      <c r="G139" s="18" t="n"/>
      <c r="H139" s="11" t="n"/>
      <c r="I139" s="23">
        <f>IF(G139="","",ROUND(G139*H139/100,2))</f>
        <v/>
      </c>
    </row>
    <row r="140">
      <c r="A140" s="14" t="n"/>
      <c r="B140" s="11" t="n"/>
      <c r="C140" s="11" t="n"/>
      <c r="D140" s="11" t="n"/>
      <c r="E140" s="11" t="n"/>
      <c r="F140" s="11" t="n"/>
      <c r="G140" s="18" t="n"/>
      <c r="H140" s="11" t="n"/>
      <c r="I140" s="23">
        <f>IF(G140="","",ROUND(G140*H140/100,2))</f>
        <v/>
      </c>
    </row>
    <row r="141">
      <c r="A141" s="14" t="n"/>
      <c r="B141" s="11" t="n"/>
      <c r="C141" s="11" t="n"/>
      <c r="D141" s="11" t="n"/>
      <c r="E141" s="11" t="n"/>
      <c r="F141" s="11" t="n"/>
      <c r="G141" s="18" t="n"/>
      <c r="H141" s="11" t="n"/>
      <c r="I141" s="23">
        <f>IF(G141="","",ROUND(G141*H141/100,2))</f>
        <v/>
      </c>
    </row>
    <row r="142">
      <c r="A142" s="14" t="n"/>
      <c r="B142" s="11" t="n"/>
      <c r="C142" s="11" t="n"/>
      <c r="D142" s="11" t="n"/>
      <c r="E142" s="11" t="n"/>
      <c r="F142" s="11" t="n"/>
      <c r="G142" s="18" t="n"/>
      <c r="H142" s="11" t="n"/>
      <c r="I142" s="23">
        <f>IF(G142="","",ROUND(G142*H142/100,2))</f>
        <v/>
      </c>
    </row>
    <row r="143">
      <c r="A143" s="14" t="n"/>
      <c r="B143" s="11" t="n"/>
      <c r="C143" s="11" t="n"/>
      <c r="D143" s="11" t="n"/>
      <c r="E143" s="11" t="n"/>
      <c r="F143" s="11" t="n"/>
      <c r="G143" s="18" t="n"/>
      <c r="H143" s="11" t="n"/>
      <c r="I143" s="23">
        <f>IF(G143="","",ROUND(G143*H143/100,2))</f>
        <v/>
      </c>
    </row>
    <row r="144">
      <c r="A144" s="14" t="n"/>
      <c r="B144" s="11" t="n"/>
      <c r="C144" s="11" t="n"/>
      <c r="D144" s="11" t="n"/>
      <c r="E144" s="11" t="n"/>
      <c r="F144" s="11" t="n"/>
      <c r="G144" s="18" t="n"/>
      <c r="H144" s="11" t="n"/>
      <c r="I144" s="23">
        <f>IF(G144="","",ROUND(G144*H144/100,2))</f>
        <v/>
      </c>
    </row>
    <row r="145">
      <c r="A145" s="14" t="n"/>
      <c r="B145" s="11" t="n"/>
      <c r="C145" s="11" t="n"/>
      <c r="D145" s="11" t="n"/>
      <c r="E145" s="11" t="n"/>
      <c r="F145" s="11" t="n"/>
      <c r="G145" s="18" t="n"/>
      <c r="H145" s="11" t="n"/>
      <c r="I145" s="23">
        <f>IF(G145="","",ROUND(G145*H145/100,2))</f>
        <v/>
      </c>
    </row>
    <row r="146">
      <c r="A146" s="14" t="n"/>
      <c r="B146" s="11" t="n"/>
      <c r="C146" s="11" t="n"/>
      <c r="D146" s="11" t="n"/>
      <c r="E146" s="11" t="n"/>
      <c r="F146" s="11" t="n"/>
      <c r="G146" s="18" t="n"/>
      <c r="H146" s="11" t="n"/>
      <c r="I146" s="23">
        <f>IF(G146="","",ROUND(G146*H146/100,2))</f>
        <v/>
      </c>
    </row>
    <row r="147">
      <c r="A147" s="14" t="n"/>
      <c r="B147" s="11" t="n"/>
      <c r="C147" s="11" t="n"/>
      <c r="D147" s="11" t="n"/>
      <c r="E147" s="11" t="n"/>
      <c r="F147" s="11" t="n"/>
      <c r="G147" s="18" t="n"/>
      <c r="H147" s="11" t="n"/>
      <c r="I147" s="23">
        <f>IF(G147="","",ROUND(G147*H147/100,2))</f>
        <v/>
      </c>
    </row>
    <row r="148">
      <c r="A148" s="14" t="n"/>
      <c r="B148" s="11" t="n"/>
      <c r="C148" s="11" t="n"/>
      <c r="D148" s="11" t="n"/>
      <c r="E148" s="11" t="n"/>
      <c r="F148" s="11" t="n"/>
      <c r="G148" s="18" t="n"/>
      <c r="H148" s="11" t="n"/>
      <c r="I148" s="23">
        <f>IF(G148="","",ROUND(G148*H148/100,2))</f>
        <v/>
      </c>
    </row>
    <row r="149">
      <c r="A149" s="14" t="n"/>
      <c r="B149" s="11" t="n"/>
      <c r="C149" s="11" t="n"/>
      <c r="D149" s="11" t="n"/>
      <c r="E149" s="11" t="n"/>
      <c r="F149" s="11" t="n"/>
      <c r="G149" s="18" t="n"/>
      <c r="H149" s="11" t="n"/>
      <c r="I149" s="23">
        <f>IF(G149="","",ROUND(G149*H149/100,2))</f>
        <v/>
      </c>
    </row>
    <row r="150">
      <c r="A150" s="14" t="n"/>
      <c r="B150" s="11" t="n"/>
      <c r="C150" s="11" t="n"/>
      <c r="D150" s="11" t="n"/>
      <c r="E150" s="11" t="n"/>
      <c r="F150" s="11" t="n"/>
      <c r="G150" s="18" t="n"/>
      <c r="H150" s="11" t="n"/>
      <c r="I150" s="23">
        <f>IF(G150="","",ROUND(G150*H150/100,2))</f>
        <v/>
      </c>
    </row>
    <row r="151">
      <c r="A151" s="14" t="n"/>
      <c r="B151" s="11" t="n"/>
      <c r="C151" s="11" t="n"/>
      <c r="D151" s="11" t="n"/>
      <c r="E151" s="11" t="n"/>
      <c r="F151" s="11" t="n"/>
      <c r="G151" s="18" t="n"/>
      <c r="H151" s="11" t="n"/>
      <c r="I151" s="23">
        <f>IF(G151="","",ROUND(G151*H151/100,2))</f>
        <v/>
      </c>
    </row>
    <row r="152">
      <c r="A152" s="14" t="n"/>
      <c r="B152" s="11" t="n"/>
      <c r="C152" s="11" t="n"/>
      <c r="D152" s="11" t="n"/>
      <c r="E152" s="11" t="n"/>
      <c r="F152" s="11" t="n"/>
      <c r="G152" s="18" t="n"/>
      <c r="H152" s="11" t="n"/>
      <c r="I152" s="23">
        <f>IF(G152="","",ROUND(G152*H152/100,2))</f>
        <v/>
      </c>
    </row>
    <row r="153">
      <c r="A153" s="14" t="n"/>
      <c r="B153" s="11" t="n"/>
      <c r="C153" s="11" t="n"/>
      <c r="D153" s="11" t="n"/>
      <c r="E153" s="11" t="n"/>
      <c r="F153" s="11" t="n"/>
      <c r="G153" s="18" t="n"/>
      <c r="H153" s="11" t="n"/>
      <c r="I153" s="23">
        <f>IF(G153="","",ROUND(G153*H153/100,2))</f>
        <v/>
      </c>
    </row>
    <row r="154">
      <c r="A154" s="14" t="n"/>
      <c r="B154" s="11" t="n"/>
      <c r="C154" s="11" t="n"/>
      <c r="D154" s="11" t="n"/>
      <c r="E154" s="11" t="n"/>
      <c r="F154" s="11" t="n"/>
      <c r="G154" s="18" t="n"/>
      <c r="H154" s="11" t="n"/>
      <c r="I154" s="23">
        <f>IF(G154="","",ROUND(G154*H154/100,2))</f>
        <v/>
      </c>
    </row>
    <row r="155">
      <c r="A155" s="14" t="n"/>
      <c r="B155" s="11" t="n"/>
      <c r="C155" s="11" t="n"/>
      <c r="D155" s="11" t="n"/>
      <c r="E155" s="11" t="n"/>
      <c r="F155" s="11" t="n"/>
      <c r="G155" s="18" t="n"/>
      <c r="H155" s="11" t="n"/>
      <c r="I155" s="23">
        <f>IF(G155="","",ROUND(G155*H155/100,2))</f>
        <v/>
      </c>
    </row>
    <row r="156">
      <c r="A156" s="14" t="n"/>
      <c r="B156" s="11" t="n"/>
      <c r="C156" s="11" t="n"/>
      <c r="D156" s="11" t="n"/>
      <c r="E156" s="11" t="n"/>
      <c r="F156" s="11" t="n"/>
      <c r="G156" s="18" t="n"/>
      <c r="H156" s="11" t="n"/>
      <c r="I156" s="23">
        <f>IF(G156="","",ROUND(G156*H156/100,2))</f>
        <v/>
      </c>
    </row>
    <row r="157">
      <c r="A157" s="14" t="n"/>
      <c r="B157" s="11" t="n"/>
      <c r="C157" s="11" t="n"/>
      <c r="D157" s="11" t="n"/>
      <c r="E157" s="11" t="n"/>
      <c r="F157" s="11" t="n"/>
      <c r="G157" s="18" t="n"/>
      <c r="H157" s="11" t="n"/>
      <c r="I157" s="23">
        <f>IF(G157="","",ROUND(G157*H157/100,2))</f>
        <v/>
      </c>
    </row>
    <row r="158">
      <c r="A158" s="14" t="n"/>
      <c r="B158" s="11" t="n"/>
      <c r="C158" s="11" t="n"/>
      <c r="D158" s="11" t="n"/>
      <c r="E158" s="11" t="n"/>
      <c r="F158" s="11" t="n"/>
      <c r="G158" s="18" t="n"/>
      <c r="H158" s="11" t="n"/>
      <c r="I158" s="23">
        <f>IF(G158="","",ROUND(G158*H158/100,2))</f>
        <v/>
      </c>
    </row>
    <row r="159">
      <c r="A159" s="14" t="n"/>
      <c r="B159" s="11" t="n"/>
      <c r="C159" s="11" t="n"/>
      <c r="D159" s="11" t="n"/>
      <c r="E159" s="11" t="n"/>
      <c r="F159" s="11" t="n"/>
      <c r="G159" s="18" t="n"/>
      <c r="H159" s="11" t="n"/>
      <c r="I159" s="23">
        <f>IF(G159="","",ROUND(G159*H159/100,2))</f>
        <v/>
      </c>
    </row>
    <row r="160">
      <c r="A160" s="14" t="n"/>
      <c r="B160" s="11" t="n"/>
      <c r="C160" s="11" t="n"/>
      <c r="D160" s="11" t="n"/>
      <c r="E160" s="11" t="n"/>
      <c r="F160" s="11" t="n"/>
      <c r="G160" s="18" t="n"/>
      <c r="H160" s="11" t="n"/>
      <c r="I160" s="23">
        <f>IF(G160="","",ROUND(G160*H160/100,2))</f>
        <v/>
      </c>
    </row>
    <row r="161">
      <c r="A161" s="14" t="n"/>
      <c r="B161" s="11" t="n"/>
      <c r="C161" s="11" t="n"/>
      <c r="D161" s="11" t="n"/>
      <c r="E161" s="11" t="n"/>
      <c r="F161" s="11" t="n"/>
      <c r="G161" s="18" t="n"/>
      <c r="H161" s="11" t="n"/>
      <c r="I161" s="23">
        <f>IF(G161="","",ROUND(G161*H161/100,2))</f>
        <v/>
      </c>
    </row>
    <row r="162">
      <c r="A162" s="14" t="n"/>
      <c r="B162" s="11" t="n"/>
      <c r="C162" s="11" t="n"/>
      <c r="D162" s="11" t="n"/>
      <c r="E162" s="11" t="n"/>
      <c r="F162" s="11" t="n"/>
      <c r="G162" s="18" t="n"/>
      <c r="H162" s="11" t="n"/>
      <c r="I162" s="23">
        <f>IF(G162="","",ROUND(G162*H162/100,2))</f>
        <v/>
      </c>
    </row>
    <row r="163">
      <c r="A163" s="14" t="n"/>
      <c r="B163" s="11" t="n"/>
      <c r="C163" s="11" t="n"/>
      <c r="D163" s="11" t="n"/>
      <c r="E163" s="11" t="n"/>
      <c r="F163" s="11" t="n"/>
      <c r="G163" s="18" t="n"/>
      <c r="H163" s="11" t="n"/>
      <c r="I163" s="23">
        <f>IF(G163="","",ROUND(G163*H163/100,2))</f>
        <v/>
      </c>
    </row>
    <row r="164">
      <c r="A164" s="14" t="n"/>
      <c r="B164" s="11" t="n"/>
      <c r="C164" s="11" t="n"/>
      <c r="D164" s="11" t="n"/>
      <c r="E164" s="11" t="n"/>
      <c r="F164" s="11" t="n"/>
      <c r="G164" s="18" t="n"/>
      <c r="H164" s="11" t="n"/>
      <c r="I164" s="23">
        <f>IF(G164="","",ROUND(G164*H164/100,2))</f>
        <v/>
      </c>
    </row>
    <row r="165">
      <c r="A165" s="14" t="n"/>
      <c r="B165" s="11" t="n"/>
      <c r="C165" s="11" t="n"/>
      <c r="D165" s="11" t="n"/>
      <c r="E165" s="11" t="n"/>
      <c r="F165" s="11" t="n"/>
      <c r="G165" s="18" t="n"/>
      <c r="H165" s="11" t="n"/>
      <c r="I165" s="23">
        <f>IF(G165="","",ROUND(G165*H165/100,2))</f>
        <v/>
      </c>
    </row>
    <row r="166">
      <c r="A166" s="14" t="n"/>
      <c r="B166" s="11" t="n"/>
      <c r="C166" s="11" t="n"/>
      <c r="D166" s="11" t="n"/>
      <c r="E166" s="11" t="n"/>
      <c r="F166" s="11" t="n"/>
      <c r="G166" s="18" t="n"/>
      <c r="H166" s="11" t="n"/>
      <c r="I166" s="23">
        <f>IF(G166="","",ROUND(G166*H166/100,2))</f>
        <v/>
      </c>
    </row>
    <row r="167">
      <c r="A167" s="14" t="n"/>
      <c r="B167" s="11" t="n"/>
      <c r="C167" s="11" t="n"/>
      <c r="D167" s="11" t="n"/>
      <c r="E167" s="11" t="n"/>
      <c r="F167" s="11" t="n"/>
      <c r="G167" s="18" t="n"/>
      <c r="H167" s="11" t="n"/>
      <c r="I167" s="23">
        <f>IF(G167="","",ROUND(G167*H167/100,2))</f>
        <v/>
      </c>
    </row>
    <row r="168">
      <c r="A168" s="14" t="n"/>
      <c r="B168" s="11" t="n"/>
      <c r="C168" s="11" t="n"/>
      <c r="D168" s="11" t="n"/>
      <c r="E168" s="11" t="n"/>
      <c r="F168" s="11" t="n"/>
      <c r="G168" s="18" t="n"/>
      <c r="H168" s="11" t="n"/>
      <c r="I168" s="23">
        <f>IF(G168="","",ROUND(G168*H168/100,2))</f>
        <v/>
      </c>
    </row>
    <row r="169">
      <c r="A169" s="14" t="n"/>
      <c r="B169" s="11" t="n"/>
      <c r="C169" s="11" t="n"/>
      <c r="D169" s="11" t="n"/>
      <c r="E169" s="11" t="n"/>
      <c r="F169" s="11" t="n"/>
      <c r="G169" s="18" t="n"/>
      <c r="H169" s="11" t="n"/>
      <c r="I169" s="23">
        <f>IF(G169="","",ROUND(G169*H169/100,2))</f>
        <v/>
      </c>
    </row>
    <row r="170">
      <c r="A170" s="14" t="n"/>
      <c r="B170" s="11" t="n"/>
      <c r="C170" s="11" t="n"/>
      <c r="D170" s="11" t="n"/>
      <c r="E170" s="11" t="n"/>
      <c r="F170" s="11" t="n"/>
      <c r="G170" s="18" t="n"/>
      <c r="H170" s="11" t="n"/>
      <c r="I170" s="23">
        <f>IF(G170="","",ROUND(G170*H170/100,2))</f>
        <v/>
      </c>
    </row>
    <row r="171">
      <c r="A171" s="14" t="n"/>
      <c r="B171" s="11" t="n"/>
      <c r="C171" s="11" t="n"/>
      <c r="D171" s="11" t="n"/>
      <c r="E171" s="11" t="n"/>
      <c r="F171" s="11" t="n"/>
      <c r="G171" s="18" t="n"/>
      <c r="H171" s="11" t="n"/>
      <c r="I171" s="23">
        <f>IF(G171="","",ROUND(G171*H171/100,2))</f>
        <v/>
      </c>
    </row>
    <row r="172">
      <c r="A172" s="14" t="n"/>
      <c r="B172" s="11" t="n"/>
      <c r="C172" s="11" t="n"/>
      <c r="D172" s="11" t="n"/>
      <c r="E172" s="11" t="n"/>
      <c r="F172" s="11" t="n"/>
      <c r="G172" s="18" t="n"/>
      <c r="H172" s="11" t="n"/>
      <c r="I172" s="23">
        <f>IF(G172="","",ROUND(G172*H172/100,2))</f>
        <v/>
      </c>
    </row>
    <row r="173">
      <c r="A173" s="14" t="n"/>
      <c r="B173" s="11" t="n"/>
      <c r="C173" s="11" t="n"/>
      <c r="D173" s="11" t="n"/>
      <c r="E173" s="11" t="n"/>
      <c r="F173" s="11" t="n"/>
      <c r="G173" s="18" t="n"/>
      <c r="H173" s="11" t="n"/>
      <c r="I173" s="23">
        <f>IF(G173="","",ROUND(G173*H173/100,2))</f>
        <v/>
      </c>
    </row>
    <row r="174">
      <c r="A174" s="14" t="n"/>
      <c r="B174" s="11" t="n"/>
      <c r="C174" s="11" t="n"/>
      <c r="D174" s="11" t="n"/>
      <c r="E174" s="11" t="n"/>
      <c r="F174" s="11" t="n"/>
      <c r="G174" s="18" t="n"/>
      <c r="H174" s="11" t="n"/>
      <c r="I174" s="23">
        <f>IF(G174="","",ROUND(G174*H174/100,2))</f>
        <v/>
      </c>
    </row>
    <row r="175">
      <c r="A175" s="14" t="n"/>
      <c r="B175" s="11" t="n"/>
      <c r="C175" s="11" t="n"/>
      <c r="D175" s="11" t="n"/>
      <c r="E175" s="11" t="n"/>
      <c r="F175" s="11" t="n"/>
      <c r="G175" s="18" t="n"/>
      <c r="H175" s="11" t="n"/>
      <c r="I175" s="23">
        <f>IF(G175="","",ROUND(G175*H175/100,2))</f>
        <v/>
      </c>
    </row>
    <row r="176">
      <c r="A176" s="14" t="n"/>
      <c r="B176" s="11" t="n"/>
      <c r="C176" s="11" t="n"/>
      <c r="D176" s="11" t="n"/>
      <c r="E176" s="11" t="n"/>
      <c r="F176" s="11" t="n"/>
      <c r="G176" s="18" t="n"/>
      <c r="H176" s="11" t="n"/>
      <c r="I176" s="23">
        <f>IF(G176="","",ROUND(G176*H176/100,2))</f>
        <v/>
      </c>
    </row>
    <row r="177">
      <c r="A177" s="14" t="n"/>
      <c r="B177" s="11" t="n"/>
      <c r="C177" s="11" t="n"/>
      <c r="D177" s="11" t="n"/>
      <c r="E177" s="11" t="n"/>
      <c r="F177" s="11" t="n"/>
      <c r="G177" s="18" t="n"/>
      <c r="H177" s="11" t="n"/>
      <c r="I177" s="23">
        <f>IF(G177="","",ROUND(G177*H177/100,2))</f>
        <v/>
      </c>
    </row>
    <row r="178">
      <c r="A178" s="14" t="n"/>
      <c r="B178" s="11" t="n"/>
      <c r="C178" s="11" t="n"/>
      <c r="D178" s="11" t="n"/>
      <c r="E178" s="11" t="n"/>
      <c r="F178" s="11" t="n"/>
      <c r="G178" s="18" t="n"/>
      <c r="H178" s="11" t="n"/>
      <c r="I178" s="23">
        <f>IF(G178="","",ROUND(G178*H178/100,2))</f>
        <v/>
      </c>
    </row>
    <row r="179">
      <c r="A179" s="14" t="n"/>
      <c r="B179" s="11" t="n"/>
      <c r="C179" s="11" t="n"/>
      <c r="D179" s="11" t="n"/>
      <c r="E179" s="11" t="n"/>
      <c r="F179" s="11" t="n"/>
      <c r="G179" s="18" t="n"/>
      <c r="H179" s="11" t="n"/>
      <c r="I179" s="23">
        <f>IF(G179="","",ROUND(G179*H179/100,2))</f>
        <v/>
      </c>
    </row>
    <row r="180">
      <c r="A180" s="14" t="n"/>
      <c r="B180" s="11" t="n"/>
      <c r="C180" s="11" t="n"/>
      <c r="D180" s="11" t="n"/>
      <c r="E180" s="11" t="n"/>
      <c r="F180" s="11" t="n"/>
      <c r="G180" s="18" t="n"/>
      <c r="H180" s="11" t="n"/>
      <c r="I180" s="23">
        <f>IF(G180="","",ROUND(G180*H180/100,2))</f>
        <v/>
      </c>
    </row>
    <row r="181">
      <c r="A181" s="14" t="n"/>
      <c r="B181" s="11" t="n"/>
      <c r="C181" s="11" t="n"/>
      <c r="D181" s="11" t="n"/>
      <c r="E181" s="11" t="n"/>
      <c r="F181" s="11" t="n"/>
      <c r="G181" s="18" t="n"/>
      <c r="H181" s="11" t="n"/>
      <c r="I181" s="23">
        <f>IF(G181="","",ROUND(G181*H181/100,2))</f>
        <v/>
      </c>
    </row>
    <row r="182">
      <c r="A182" s="14" t="n"/>
      <c r="B182" s="11" t="n"/>
      <c r="C182" s="11" t="n"/>
      <c r="D182" s="11" t="n"/>
      <c r="E182" s="11" t="n"/>
      <c r="F182" s="11" t="n"/>
      <c r="G182" s="18" t="n"/>
      <c r="H182" s="11" t="n"/>
      <c r="I182" s="23">
        <f>IF(G182="","",ROUND(G182*H182/100,2))</f>
        <v/>
      </c>
    </row>
    <row r="183">
      <c r="A183" s="14" t="n"/>
      <c r="B183" s="11" t="n"/>
      <c r="C183" s="11" t="n"/>
      <c r="D183" s="11" t="n"/>
      <c r="E183" s="11" t="n"/>
      <c r="F183" s="11" t="n"/>
      <c r="G183" s="18" t="n"/>
      <c r="H183" s="11" t="n"/>
      <c r="I183" s="23">
        <f>IF(G183="","",ROUND(G183*H183/100,2))</f>
        <v/>
      </c>
    </row>
    <row r="184">
      <c r="A184" s="14" t="n"/>
      <c r="B184" s="11" t="n"/>
      <c r="C184" s="11" t="n"/>
      <c r="D184" s="11" t="n"/>
      <c r="E184" s="11" t="n"/>
      <c r="F184" s="11" t="n"/>
      <c r="G184" s="18" t="n"/>
      <c r="H184" s="11" t="n"/>
      <c r="I184" s="23">
        <f>IF(G184="","",ROUND(G184*H184/100,2))</f>
        <v/>
      </c>
    </row>
    <row r="185">
      <c r="A185" s="14" t="n"/>
      <c r="B185" s="11" t="n"/>
      <c r="C185" s="11" t="n"/>
      <c r="D185" s="11" t="n"/>
      <c r="E185" s="11" t="n"/>
      <c r="F185" s="11" t="n"/>
      <c r="G185" s="18" t="n"/>
      <c r="H185" s="11" t="n"/>
      <c r="I185" s="23">
        <f>IF(G185="","",ROUND(G185*H185/100,2))</f>
        <v/>
      </c>
    </row>
    <row r="186">
      <c r="A186" s="14" t="n"/>
      <c r="B186" s="11" t="n"/>
      <c r="C186" s="11" t="n"/>
      <c r="D186" s="11" t="n"/>
      <c r="E186" s="11" t="n"/>
      <c r="F186" s="11" t="n"/>
      <c r="G186" s="18" t="n"/>
      <c r="H186" s="11" t="n"/>
      <c r="I186" s="23">
        <f>IF(G186="","",ROUND(G186*H186/100,2))</f>
        <v/>
      </c>
    </row>
    <row r="187">
      <c r="A187" s="14" t="n"/>
      <c r="B187" s="11" t="n"/>
      <c r="C187" s="11" t="n"/>
      <c r="D187" s="11" t="n"/>
      <c r="E187" s="11" t="n"/>
      <c r="F187" s="11" t="n"/>
      <c r="G187" s="18" t="n"/>
      <c r="H187" s="11" t="n"/>
      <c r="I187" s="23">
        <f>IF(G187="","",ROUND(G187*H187/100,2))</f>
        <v/>
      </c>
    </row>
    <row r="188">
      <c r="A188" s="14" t="n"/>
      <c r="B188" s="11" t="n"/>
      <c r="C188" s="11" t="n"/>
      <c r="D188" s="11" t="n"/>
      <c r="E188" s="11" t="n"/>
      <c r="F188" s="11" t="n"/>
      <c r="G188" s="18" t="n"/>
      <c r="H188" s="11" t="n"/>
      <c r="I188" s="23">
        <f>IF(G188="","",ROUND(G188*H188/100,2))</f>
        <v/>
      </c>
    </row>
    <row r="189">
      <c r="A189" s="14" t="n"/>
      <c r="B189" s="11" t="n"/>
      <c r="C189" s="11" t="n"/>
      <c r="D189" s="11" t="n"/>
      <c r="E189" s="11" t="n"/>
      <c r="F189" s="11" t="n"/>
      <c r="G189" s="18" t="n"/>
      <c r="H189" s="11" t="n"/>
      <c r="I189" s="23">
        <f>IF(G189="","",ROUND(G189*H189/100,2))</f>
        <v/>
      </c>
    </row>
    <row r="190">
      <c r="A190" s="14" t="n"/>
      <c r="B190" s="11" t="n"/>
      <c r="C190" s="11" t="n"/>
      <c r="D190" s="11" t="n"/>
      <c r="E190" s="11" t="n"/>
      <c r="F190" s="11" t="n"/>
      <c r="G190" s="18" t="n"/>
      <c r="H190" s="11" t="n"/>
      <c r="I190" s="23">
        <f>IF(G190="","",ROUND(G190*H190/100,2))</f>
        <v/>
      </c>
    </row>
    <row r="191">
      <c r="A191" s="14" t="n"/>
      <c r="B191" s="11" t="n"/>
      <c r="C191" s="11" t="n"/>
      <c r="D191" s="11" t="n"/>
      <c r="E191" s="11" t="n"/>
      <c r="F191" s="11" t="n"/>
      <c r="G191" s="18" t="n"/>
      <c r="H191" s="11" t="n"/>
      <c r="I191" s="23">
        <f>IF(G191="","",ROUND(G191*H191/100,2))</f>
        <v/>
      </c>
    </row>
    <row r="192">
      <c r="A192" s="14" t="n"/>
      <c r="B192" s="11" t="n"/>
      <c r="C192" s="11" t="n"/>
      <c r="D192" s="11" t="n"/>
      <c r="E192" s="11" t="n"/>
      <c r="F192" s="11" t="n"/>
      <c r="G192" s="18" t="n"/>
      <c r="H192" s="11" t="n"/>
      <c r="I192" s="23">
        <f>IF(G192="","",ROUND(G192*H192/100,2))</f>
        <v/>
      </c>
    </row>
    <row r="193">
      <c r="A193" s="14" t="n"/>
      <c r="B193" s="11" t="n"/>
      <c r="C193" s="11" t="n"/>
      <c r="D193" s="11" t="n"/>
      <c r="E193" s="11" t="n"/>
      <c r="F193" s="11" t="n"/>
      <c r="G193" s="18" t="n"/>
      <c r="H193" s="11" t="n"/>
      <c r="I193" s="23">
        <f>IF(G193="","",ROUND(G193*H193/100,2))</f>
        <v/>
      </c>
    </row>
    <row r="194">
      <c r="A194" s="14" t="n"/>
      <c r="B194" s="11" t="n"/>
      <c r="C194" s="11" t="n"/>
      <c r="D194" s="11" t="n"/>
      <c r="E194" s="11" t="n"/>
      <c r="F194" s="11" t="n"/>
      <c r="G194" s="18" t="n"/>
      <c r="H194" s="11" t="n"/>
      <c r="I194" s="23">
        <f>IF(G194="","",ROUND(G194*H194/100,2))</f>
        <v/>
      </c>
    </row>
    <row r="195">
      <c r="A195" s="14" t="n"/>
      <c r="B195" s="11" t="n"/>
      <c r="C195" s="11" t="n"/>
      <c r="D195" s="11" t="n"/>
      <c r="E195" s="11" t="n"/>
      <c r="F195" s="11" t="n"/>
      <c r="G195" s="18" t="n"/>
      <c r="H195" s="11" t="n"/>
      <c r="I195" s="23">
        <f>IF(G195="","",ROUND(G195*H195/100,2))</f>
        <v/>
      </c>
    </row>
    <row r="196">
      <c r="A196" s="14" t="n"/>
      <c r="B196" s="11" t="n"/>
      <c r="C196" s="11" t="n"/>
      <c r="D196" s="11" t="n"/>
      <c r="E196" s="11" t="n"/>
      <c r="F196" s="11" t="n"/>
      <c r="G196" s="18" t="n"/>
      <c r="H196" s="11" t="n"/>
      <c r="I196" s="23">
        <f>IF(G196="","",ROUND(G196*H196/100,2))</f>
        <v/>
      </c>
    </row>
    <row r="197">
      <c r="A197" s="14" t="n"/>
      <c r="B197" s="11" t="n"/>
      <c r="C197" s="11" t="n"/>
      <c r="D197" s="11" t="n"/>
      <c r="E197" s="11" t="n"/>
      <c r="F197" s="11" t="n"/>
      <c r="G197" s="18" t="n"/>
      <c r="H197" s="11" t="n"/>
      <c r="I197" s="23">
        <f>IF(G197="","",ROUND(G197*H197/100,2))</f>
        <v/>
      </c>
    </row>
    <row r="198">
      <c r="A198" s="14" t="n"/>
      <c r="B198" s="11" t="n"/>
      <c r="C198" s="11" t="n"/>
      <c r="D198" s="11" t="n"/>
      <c r="E198" s="11" t="n"/>
      <c r="F198" s="11" t="n"/>
      <c r="G198" s="18" t="n"/>
      <c r="H198" s="11" t="n"/>
      <c r="I198" s="23">
        <f>IF(G198="","",ROUND(G198*H198/100,2))</f>
        <v/>
      </c>
    </row>
    <row r="199">
      <c r="A199" s="14" t="n"/>
      <c r="B199" s="11" t="n"/>
      <c r="C199" s="11" t="n"/>
      <c r="D199" s="11" t="n"/>
      <c r="E199" s="11" t="n"/>
      <c r="F199" s="11" t="n"/>
      <c r="G199" s="18" t="n"/>
      <c r="H199" s="11" t="n"/>
      <c r="I199" s="23">
        <f>IF(G199="","",ROUND(G199*H199/100,2))</f>
        <v/>
      </c>
    </row>
    <row r="200">
      <c r="A200" s="14" t="n"/>
      <c r="B200" s="11" t="n"/>
      <c r="C200" s="11" t="n"/>
      <c r="D200" s="11" t="n"/>
      <c r="E200" s="11" t="n"/>
      <c r="F200" s="11" t="n"/>
      <c r="G200" s="18" t="n"/>
      <c r="H200" s="11" t="n"/>
      <c r="I200" s="23">
        <f>IF(G200="","",ROUND(G200*H200/100,2))</f>
        <v/>
      </c>
    </row>
    <row r="201">
      <c r="A201" s="14" t="n"/>
      <c r="B201" s="11" t="n"/>
      <c r="C201" s="11" t="n"/>
      <c r="D201" s="11" t="n"/>
      <c r="E201" s="11" t="n"/>
      <c r="F201" s="11" t="n"/>
      <c r="G201" s="18" t="n"/>
      <c r="H201" s="11" t="n"/>
      <c r="I201" s="23">
        <f>IF(G201="","",ROUND(G201*H201/100,2))</f>
        <v/>
      </c>
    </row>
    <row r="202">
      <c r="A202" s="14" t="n"/>
      <c r="B202" s="11" t="n"/>
      <c r="C202" s="11" t="n"/>
      <c r="D202" s="11" t="n"/>
      <c r="E202" s="11" t="n"/>
      <c r="F202" s="11" t="n"/>
      <c r="G202" s="18" t="n"/>
      <c r="H202" s="11" t="n"/>
      <c r="I202" s="23">
        <f>IF(G202="","",ROUND(G202*H202/100,2))</f>
        <v/>
      </c>
    </row>
    <row r="203">
      <c r="A203" s="14" t="n"/>
      <c r="B203" s="11" t="n"/>
      <c r="C203" s="11" t="n"/>
      <c r="D203" s="11" t="n"/>
      <c r="E203" s="11" t="n"/>
      <c r="F203" s="11" t="n"/>
      <c r="G203" s="18" t="n"/>
      <c r="H203" s="11" t="n"/>
      <c r="I203" s="23">
        <f>IF(G203="","",ROUND(G203*H203/100,2))</f>
        <v/>
      </c>
    </row>
    <row r="204">
      <c r="A204" s="14" t="n"/>
      <c r="B204" s="11" t="n"/>
      <c r="C204" s="11" t="n"/>
      <c r="D204" s="11" t="n"/>
      <c r="E204" s="11" t="n"/>
      <c r="F204" s="11" t="n"/>
      <c r="G204" s="18" t="n"/>
      <c r="H204" s="11" t="n"/>
      <c r="I204" s="23">
        <f>IF(G204="","",ROUND(G204*H204/100,2))</f>
        <v/>
      </c>
    </row>
    <row r="205">
      <c r="A205" s="14" t="n"/>
      <c r="B205" s="11" t="n"/>
      <c r="C205" s="11" t="n"/>
      <c r="D205" s="11" t="n"/>
      <c r="E205" s="11" t="n"/>
      <c r="F205" s="11" t="n"/>
      <c r="G205" s="18" t="n"/>
      <c r="H205" s="11" t="n"/>
      <c r="I205" s="23">
        <f>IF(G205="","",ROUND(G205*H205/100,2))</f>
        <v/>
      </c>
    </row>
    <row r="206">
      <c r="A206" s="14" t="n"/>
      <c r="B206" s="11" t="n"/>
      <c r="C206" s="11" t="n"/>
      <c r="D206" s="11" t="n"/>
      <c r="E206" s="11" t="n"/>
      <c r="F206" s="11" t="n"/>
      <c r="G206" s="18" t="n"/>
      <c r="H206" s="11" t="n"/>
      <c r="I206" s="23">
        <f>IF(G206="","",ROUND(G206*H206/100,2))</f>
        <v/>
      </c>
    </row>
    <row r="207">
      <c r="A207" s="14" t="n"/>
      <c r="B207" s="11" t="n"/>
      <c r="C207" s="11" t="n"/>
      <c r="D207" s="11" t="n"/>
      <c r="E207" s="11" t="n"/>
      <c r="F207" s="11" t="n"/>
      <c r="G207" s="18" t="n"/>
      <c r="H207" s="11" t="n"/>
      <c r="I207" s="23">
        <f>IF(G207="","",ROUND(G207*H207/100,2))</f>
        <v/>
      </c>
    </row>
    <row r="208">
      <c r="A208" s="14" t="n"/>
      <c r="B208" s="11" t="n"/>
      <c r="C208" s="11" t="n"/>
      <c r="D208" s="11" t="n"/>
      <c r="E208" s="11" t="n"/>
      <c r="F208" s="11" t="n"/>
      <c r="G208" s="18" t="n"/>
      <c r="H208" s="11" t="n"/>
      <c r="I208" s="23">
        <f>IF(G208="","",ROUND(G208*H208/100,2))</f>
        <v/>
      </c>
    </row>
    <row r="209">
      <c r="A209" s="14" t="n"/>
      <c r="B209" s="11" t="n"/>
      <c r="C209" s="11" t="n"/>
      <c r="D209" s="11" t="n"/>
      <c r="E209" s="11" t="n"/>
      <c r="F209" s="11" t="n"/>
      <c r="G209" s="18" t="n"/>
      <c r="H209" s="11" t="n"/>
      <c r="I209" s="23">
        <f>IF(G209="","",ROUND(G209*H209/100,2))</f>
        <v/>
      </c>
    </row>
    <row r="210">
      <c r="A210" s="14" t="n"/>
      <c r="B210" s="11" t="n"/>
      <c r="C210" s="11" t="n"/>
      <c r="D210" s="11" t="n"/>
      <c r="E210" s="11" t="n"/>
      <c r="F210" s="11" t="n"/>
      <c r="G210" s="18" t="n"/>
      <c r="H210" s="11" t="n"/>
      <c r="I210" s="23">
        <f>IF(G210="","",ROUND(G210*H210/100,2))</f>
        <v/>
      </c>
    </row>
    <row r="211">
      <c r="A211" s="14" t="n"/>
      <c r="B211" s="11" t="n"/>
      <c r="C211" s="11" t="n"/>
      <c r="D211" s="11" t="n"/>
      <c r="E211" s="11" t="n"/>
      <c r="F211" s="11" t="n"/>
      <c r="G211" s="18" t="n"/>
      <c r="H211" s="11" t="n"/>
      <c r="I211" s="23">
        <f>IF(G211="","",ROUND(G211*H211/100,2))</f>
        <v/>
      </c>
    </row>
    <row r="212">
      <c r="A212" s="14" t="n"/>
      <c r="B212" s="11" t="n"/>
      <c r="C212" s="11" t="n"/>
      <c r="D212" s="11" t="n"/>
      <c r="E212" s="11" t="n"/>
      <c r="F212" s="11" t="n"/>
      <c r="G212" s="18" t="n"/>
      <c r="H212" s="11" t="n"/>
      <c r="I212" s="23">
        <f>IF(G212="","",ROUND(G212*H212/100,2))</f>
        <v/>
      </c>
    </row>
    <row r="213">
      <c r="A213" s="14" t="n"/>
      <c r="B213" s="11" t="n"/>
      <c r="C213" s="11" t="n"/>
      <c r="D213" s="11" t="n"/>
      <c r="E213" s="11" t="n"/>
      <c r="F213" s="11" t="n"/>
      <c r="G213" s="18" t="n"/>
      <c r="H213" s="11" t="n"/>
      <c r="I213" s="23">
        <f>IF(G213="","",ROUND(G213*H213/100,2))</f>
        <v/>
      </c>
    </row>
    <row r="214">
      <c r="A214" s="14" t="n"/>
      <c r="B214" s="11" t="n"/>
      <c r="C214" s="11" t="n"/>
      <c r="D214" s="11" t="n"/>
      <c r="E214" s="11" t="n"/>
      <c r="F214" s="11" t="n"/>
      <c r="G214" s="18" t="n"/>
      <c r="H214" s="11" t="n"/>
      <c r="I214" s="23">
        <f>IF(G214="","",ROUND(G214*H214/100,2))</f>
        <v/>
      </c>
    </row>
    <row r="215">
      <c r="A215" s="14" t="n"/>
      <c r="B215" s="11" t="n"/>
      <c r="C215" s="11" t="n"/>
      <c r="D215" s="11" t="n"/>
      <c r="E215" s="11" t="n"/>
      <c r="F215" s="11" t="n"/>
      <c r="G215" s="18" t="n"/>
      <c r="H215" s="11" t="n"/>
      <c r="I215" s="23">
        <f>IF(G215="","",ROUND(G215*H215/100,2))</f>
        <v/>
      </c>
    </row>
    <row r="216">
      <c r="A216" s="14" t="n"/>
      <c r="B216" s="11" t="n"/>
      <c r="C216" s="11" t="n"/>
      <c r="D216" s="11" t="n"/>
      <c r="E216" s="11" t="n"/>
      <c r="F216" s="11" t="n"/>
      <c r="G216" s="18" t="n"/>
      <c r="H216" s="11" t="n"/>
      <c r="I216" s="23">
        <f>IF(G216="","",ROUND(G216*H216/100,2))</f>
        <v/>
      </c>
    </row>
    <row r="217">
      <c r="A217" s="14" t="n"/>
      <c r="B217" s="11" t="n"/>
      <c r="C217" s="11" t="n"/>
      <c r="D217" s="11" t="n"/>
      <c r="E217" s="11" t="n"/>
      <c r="F217" s="11" t="n"/>
      <c r="G217" s="18" t="n"/>
      <c r="H217" s="11" t="n"/>
      <c r="I217" s="23">
        <f>IF(G217="","",ROUND(G217*H217/100,2))</f>
        <v/>
      </c>
    </row>
    <row r="218">
      <c r="A218" s="14" t="n"/>
      <c r="B218" s="11" t="n"/>
      <c r="C218" s="11" t="n"/>
      <c r="D218" s="11" t="n"/>
      <c r="E218" s="11" t="n"/>
      <c r="F218" s="11" t="n"/>
      <c r="G218" s="18" t="n"/>
      <c r="H218" s="11" t="n"/>
      <c r="I218" s="23">
        <f>IF(G218="","",ROUND(G218*H218/100,2))</f>
        <v/>
      </c>
    </row>
    <row r="219">
      <c r="A219" s="14" t="n"/>
      <c r="B219" s="11" t="n"/>
      <c r="C219" s="11" t="n"/>
      <c r="D219" s="11" t="n"/>
      <c r="E219" s="11" t="n"/>
      <c r="F219" s="11" t="n"/>
      <c r="G219" s="18" t="n"/>
      <c r="H219" s="11" t="n"/>
      <c r="I219" s="23">
        <f>IF(G219="","",ROUND(G219*H219/100,2))</f>
        <v/>
      </c>
    </row>
    <row r="220">
      <c r="A220" s="14" t="n"/>
      <c r="B220" s="11" t="n"/>
      <c r="C220" s="11" t="n"/>
      <c r="D220" s="11" t="n"/>
      <c r="E220" s="11" t="n"/>
      <c r="F220" s="11" t="n"/>
      <c r="G220" s="18" t="n"/>
      <c r="H220" s="11" t="n"/>
      <c r="I220" s="23">
        <f>IF(G220="","",ROUND(G220*H220/100,2))</f>
        <v/>
      </c>
    </row>
    <row r="221">
      <c r="A221" s="14" t="n"/>
      <c r="B221" s="11" t="n"/>
      <c r="C221" s="11" t="n"/>
      <c r="D221" s="11" t="n"/>
      <c r="E221" s="11" t="n"/>
      <c r="F221" s="11" t="n"/>
      <c r="G221" s="18" t="n"/>
      <c r="H221" s="11" t="n"/>
      <c r="I221" s="23">
        <f>IF(G221="","",ROUND(G221*H221/100,2))</f>
        <v/>
      </c>
    </row>
    <row r="222">
      <c r="A222" s="14" t="n"/>
      <c r="B222" s="11" t="n"/>
      <c r="C222" s="11" t="n"/>
      <c r="D222" s="11" t="n"/>
      <c r="E222" s="11" t="n"/>
      <c r="F222" s="11" t="n"/>
      <c r="G222" s="18" t="n"/>
      <c r="H222" s="11" t="n"/>
      <c r="I222" s="23">
        <f>IF(G222="","",ROUND(G222*H222/100,2))</f>
        <v/>
      </c>
    </row>
    <row r="223">
      <c r="A223" s="14" t="n"/>
      <c r="B223" s="11" t="n"/>
      <c r="C223" s="11" t="n"/>
      <c r="D223" s="11" t="n"/>
      <c r="E223" s="11" t="n"/>
      <c r="F223" s="11" t="n"/>
      <c r="G223" s="18" t="n"/>
      <c r="H223" s="11" t="n"/>
      <c r="I223" s="23">
        <f>IF(G223="","",ROUND(G223*H223/100,2))</f>
        <v/>
      </c>
    </row>
    <row r="224">
      <c r="A224" s="14" t="n"/>
      <c r="B224" s="11" t="n"/>
      <c r="C224" s="11" t="n"/>
      <c r="D224" s="11" t="n"/>
      <c r="E224" s="11" t="n"/>
      <c r="F224" s="11" t="n"/>
      <c r="G224" s="18" t="n"/>
      <c r="H224" s="11" t="n"/>
      <c r="I224" s="23">
        <f>IF(G224="","",ROUND(G224*H224/100,2))</f>
        <v/>
      </c>
    </row>
    <row r="225">
      <c r="A225" s="14" t="n"/>
      <c r="B225" s="11" t="n"/>
      <c r="C225" s="11" t="n"/>
      <c r="D225" s="11" t="n"/>
      <c r="E225" s="11" t="n"/>
      <c r="F225" s="11" t="n"/>
      <c r="G225" s="18" t="n"/>
      <c r="H225" s="11" t="n"/>
      <c r="I225" s="23">
        <f>IF(G225="","",ROUND(G225*H225/100,2))</f>
        <v/>
      </c>
    </row>
    <row r="226">
      <c r="A226" s="14" t="n"/>
      <c r="B226" s="11" t="n"/>
      <c r="C226" s="11" t="n"/>
      <c r="D226" s="11" t="n"/>
      <c r="E226" s="11" t="n"/>
      <c r="F226" s="11" t="n"/>
      <c r="G226" s="18" t="n"/>
      <c r="H226" s="11" t="n"/>
      <c r="I226" s="23">
        <f>IF(G226="","",ROUND(G226*H226/100,2))</f>
        <v/>
      </c>
    </row>
    <row r="227">
      <c r="A227" s="14" t="n"/>
      <c r="B227" s="11" t="n"/>
      <c r="C227" s="11" t="n"/>
      <c r="D227" s="11" t="n"/>
      <c r="E227" s="11" t="n"/>
      <c r="F227" s="11" t="n"/>
      <c r="G227" s="18" t="n"/>
      <c r="H227" s="11" t="n"/>
      <c r="I227" s="23">
        <f>IF(G227="","",ROUND(G227*H227/100,2))</f>
        <v/>
      </c>
    </row>
    <row r="228">
      <c r="A228" s="14" t="n"/>
      <c r="B228" s="11" t="n"/>
      <c r="C228" s="11" t="n"/>
      <c r="D228" s="11" t="n"/>
      <c r="E228" s="11" t="n"/>
      <c r="F228" s="11" t="n"/>
      <c r="G228" s="18" t="n"/>
      <c r="H228" s="11" t="n"/>
      <c r="I228" s="23">
        <f>IF(G228="","",ROUND(G228*H228/100,2))</f>
        <v/>
      </c>
    </row>
    <row r="229">
      <c r="A229" s="14" t="n"/>
      <c r="B229" s="11" t="n"/>
      <c r="C229" s="11" t="n"/>
      <c r="D229" s="11" t="n"/>
      <c r="E229" s="11" t="n"/>
      <c r="F229" s="11" t="n"/>
      <c r="G229" s="18" t="n"/>
      <c r="H229" s="11" t="n"/>
      <c r="I229" s="23">
        <f>IF(G229="","",ROUND(G229*H229/100,2))</f>
        <v/>
      </c>
    </row>
    <row r="230">
      <c r="A230" s="14" t="n"/>
      <c r="B230" s="11" t="n"/>
      <c r="C230" s="11" t="n"/>
      <c r="D230" s="11" t="n"/>
      <c r="E230" s="11" t="n"/>
      <c r="F230" s="11" t="n"/>
      <c r="G230" s="18" t="n"/>
      <c r="H230" s="11" t="n"/>
      <c r="I230" s="23">
        <f>IF(G230="","",ROUND(G230*H230/100,2))</f>
        <v/>
      </c>
    </row>
    <row r="231">
      <c r="A231" s="14" t="n"/>
      <c r="B231" s="11" t="n"/>
      <c r="C231" s="11" t="n"/>
      <c r="D231" s="11" t="n"/>
      <c r="E231" s="11" t="n"/>
      <c r="F231" s="11" t="n"/>
      <c r="G231" s="18" t="n"/>
      <c r="H231" s="11" t="n"/>
      <c r="I231" s="23">
        <f>IF(G231="","",ROUND(G231*H231/100,2))</f>
        <v/>
      </c>
    </row>
    <row r="232">
      <c r="A232" s="14" t="n"/>
      <c r="B232" s="11" t="n"/>
      <c r="C232" s="11" t="n"/>
      <c r="D232" s="11" t="n"/>
      <c r="E232" s="11" t="n"/>
      <c r="F232" s="11" t="n"/>
      <c r="G232" s="18" t="n"/>
      <c r="H232" s="11" t="n"/>
      <c r="I232" s="23">
        <f>IF(G232="","",ROUND(G232*H232/100,2))</f>
        <v/>
      </c>
    </row>
    <row r="233">
      <c r="A233" s="14" t="n"/>
      <c r="B233" s="11" t="n"/>
      <c r="C233" s="11" t="n"/>
      <c r="D233" s="11" t="n"/>
      <c r="E233" s="11" t="n"/>
      <c r="F233" s="11" t="n"/>
      <c r="G233" s="18" t="n"/>
      <c r="H233" s="11" t="n"/>
      <c r="I233" s="23">
        <f>IF(G233="","",ROUND(G233*H233/100,2))</f>
        <v/>
      </c>
    </row>
    <row r="234">
      <c r="A234" s="14" t="n"/>
      <c r="B234" s="11" t="n"/>
      <c r="C234" s="11" t="n"/>
      <c r="D234" s="11" t="n"/>
      <c r="E234" s="11" t="n"/>
      <c r="F234" s="11" t="n"/>
      <c r="G234" s="18" t="n"/>
      <c r="H234" s="11" t="n"/>
      <c r="I234" s="23">
        <f>IF(G234="","",ROUND(G234*H234/100,2))</f>
        <v/>
      </c>
    </row>
    <row r="235">
      <c r="A235" s="14" t="n"/>
      <c r="B235" s="11" t="n"/>
      <c r="C235" s="11" t="n"/>
      <c r="D235" s="11" t="n"/>
      <c r="E235" s="11" t="n"/>
      <c r="F235" s="11" t="n"/>
      <c r="G235" s="18" t="n"/>
      <c r="H235" s="11" t="n"/>
      <c r="I235" s="23">
        <f>IF(G235="","",ROUND(G235*H235/100,2))</f>
        <v/>
      </c>
    </row>
    <row r="236">
      <c r="A236" s="14" t="n"/>
      <c r="B236" s="11" t="n"/>
      <c r="C236" s="11" t="n"/>
      <c r="D236" s="11" t="n"/>
      <c r="E236" s="11" t="n"/>
      <c r="F236" s="11" t="n"/>
      <c r="G236" s="18" t="n"/>
      <c r="H236" s="11" t="n"/>
      <c r="I236" s="23">
        <f>IF(G236="","",ROUND(G236*H236/100,2))</f>
        <v/>
      </c>
    </row>
    <row r="237">
      <c r="A237" s="14" t="n"/>
      <c r="B237" s="11" t="n"/>
      <c r="C237" s="11" t="n"/>
      <c r="D237" s="11" t="n"/>
      <c r="E237" s="11" t="n"/>
      <c r="F237" s="11" t="n"/>
      <c r="G237" s="18" t="n"/>
      <c r="H237" s="11" t="n"/>
      <c r="I237" s="23">
        <f>IF(G237="","",ROUND(G237*H237/100,2))</f>
        <v/>
      </c>
    </row>
    <row r="238">
      <c r="A238" s="14" t="n"/>
      <c r="B238" s="11" t="n"/>
      <c r="C238" s="11" t="n"/>
      <c r="D238" s="11" t="n"/>
      <c r="E238" s="11" t="n"/>
      <c r="F238" s="11" t="n"/>
      <c r="G238" s="18" t="n"/>
      <c r="H238" s="11" t="n"/>
      <c r="I238" s="23">
        <f>IF(G238="","",ROUND(G238*H238/100,2))</f>
        <v/>
      </c>
    </row>
    <row r="239">
      <c r="A239" s="14" t="n"/>
      <c r="B239" s="11" t="n"/>
      <c r="C239" s="11" t="n"/>
      <c r="D239" s="11" t="n"/>
      <c r="E239" s="11" t="n"/>
      <c r="F239" s="11" t="n"/>
      <c r="G239" s="18" t="n"/>
      <c r="H239" s="11" t="n"/>
      <c r="I239" s="23">
        <f>IF(G239="","",ROUND(G239*H239/100,2))</f>
        <v/>
      </c>
    </row>
    <row r="240">
      <c r="A240" s="14" t="n"/>
      <c r="B240" s="11" t="n"/>
      <c r="C240" s="11" t="n"/>
      <c r="D240" s="11" t="n"/>
      <c r="E240" s="11" t="n"/>
      <c r="F240" s="11" t="n"/>
      <c r="G240" s="18" t="n"/>
      <c r="H240" s="11" t="n"/>
      <c r="I240" s="23">
        <f>IF(G240="","",ROUND(G240*H240/100,2))</f>
        <v/>
      </c>
    </row>
    <row r="241">
      <c r="A241" s="14" t="n"/>
      <c r="B241" s="11" t="n"/>
      <c r="C241" s="11" t="n"/>
      <c r="D241" s="11" t="n"/>
      <c r="E241" s="11" t="n"/>
      <c r="F241" s="11" t="n"/>
      <c r="G241" s="18" t="n"/>
      <c r="H241" s="11" t="n"/>
      <c r="I241" s="23">
        <f>IF(G241="","",ROUND(G241*H241/100,2))</f>
        <v/>
      </c>
    </row>
    <row r="242">
      <c r="A242" s="14" t="n"/>
      <c r="B242" s="11" t="n"/>
      <c r="C242" s="11" t="n"/>
      <c r="D242" s="11" t="n"/>
      <c r="E242" s="11" t="n"/>
      <c r="F242" s="11" t="n"/>
      <c r="G242" s="18" t="n"/>
      <c r="H242" s="11" t="n"/>
      <c r="I242" s="23">
        <f>IF(G242="","",ROUND(G242*H242/100,2))</f>
        <v/>
      </c>
    </row>
    <row r="243">
      <c r="A243" s="14" t="n"/>
      <c r="B243" s="11" t="n"/>
      <c r="C243" s="11" t="n"/>
      <c r="D243" s="11" t="n"/>
      <c r="E243" s="11" t="n"/>
      <c r="F243" s="11" t="n"/>
      <c r="G243" s="18" t="n"/>
      <c r="H243" s="11" t="n"/>
      <c r="I243" s="23">
        <f>IF(G243="","",ROUND(G243*H243/100,2))</f>
        <v/>
      </c>
    </row>
    <row r="244">
      <c r="A244" s="14" t="n"/>
      <c r="B244" s="11" t="n"/>
      <c r="C244" s="11" t="n"/>
      <c r="D244" s="11" t="n"/>
      <c r="E244" s="11" t="n"/>
      <c r="F244" s="11" t="n"/>
      <c r="G244" s="18" t="n"/>
      <c r="H244" s="11" t="n"/>
      <c r="I244" s="23">
        <f>IF(G244="","",ROUND(G244*H244/100,2))</f>
        <v/>
      </c>
    </row>
    <row r="245">
      <c r="A245" s="14" t="n"/>
      <c r="B245" s="11" t="n"/>
      <c r="C245" s="11" t="n"/>
      <c r="D245" s="11" t="n"/>
      <c r="E245" s="11" t="n"/>
      <c r="F245" s="11" t="n"/>
      <c r="G245" s="18" t="n"/>
      <c r="H245" s="11" t="n"/>
      <c r="I245" s="23">
        <f>IF(G245="","",ROUND(G245*H245/100,2))</f>
        <v/>
      </c>
    </row>
    <row r="246">
      <c r="A246" s="14" t="n"/>
      <c r="B246" s="11" t="n"/>
      <c r="C246" s="11" t="n"/>
      <c r="D246" s="11" t="n"/>
      <c r="E246" s="11" t="n"/>
      <c r="F246" s="11" t="n"/>
      <c r="G246" s="18" t="n"/>
      <c r="H246" s="11" t="n"/>
      <c r="I246" s="23">
        <f>IF(G246="","",ROUND(G246*H246/100,2))</f>
        <v/>
      </c>
    </row>
    <row r="247">
      <c r="A247" s="14" t="n"/>
      <c r="B247" s="11" t="n"/>
      <c r="C247" s="11" t="n"/>
      <c r="D247" s="11" t="n"/>
      <c r="E247" s="11" t="n"/>
      <c r="F247" s="11" t="n"/>
      <c r="G247" s="18" t="n"/>
      <c r="H247" s="11" t="n"/>
      <c r="I247" s="23">
        <f>IF(G247="","",ROUND(G247*H247/100,2))</f>
        <v/>
      </c>
    </row>
    <row r="248">
      <c r="A248" s="14" t="n"/>
      <c r="B248" s="11" t="n"/>
      <c r="C248" s="11" t="n"/>
      <c r="D248" s="11" t="n"/>
      <c r="E248" s="11" t="n"/>
      <c r="F248" s="11" t="n"/>
      <c r="G248" s="18" t="n"/>
      <c r="H248" s="11" t="n"/>
      <c r="I248" s="23">
        <f>IF(G248="","",ROUND(G248*H248/100,2))</f>
        <v/>
      </c>
    </row>
    <row r="249">
      <c r="A249" s="14" t="n"/>
      <c r="B249" s="11" t="n"/>
      <c r="C249" s="11" t="n"/>
      <c r="D249" s="11" t="n"/>
      <c r="E249" s="11" t="n"/>
      <c r="F249" s="11" t="n"/>
      <c r="G249" s="18" t="n"/>
      <c r="H249" s="11" t="n"/>
      <c r="I249" s="23">
        <f>IF(G249="","",ROUND(G249*H249/100,2))</f>
        <v/>
      </c>
    </row>
    <row r="250">
      <c r="A250" s="14" t="n"/>
      <c r="B250" s="11" t="n"/>
      <c r="C250" s="11" t="n"/>
      <c r="D250" s="11" t="n"/>
      <c r="E250" s="11" t="n"/>
      <c r="F250" s="11" t="n"/>
      <c r="G250" s="18" t="n"/>
      <c r="H250" s="11" t="n"/>
      <c r="I250" s="23">
        <f>IF(G250="","",ROUND(G250*H250/100,2))</f>
        <v/>
      </c>
    </row>
    <row r="251">
      <c r="A251" s="14" t="n"/>
      <c r="B251" s="11" t="n"/>
      <c r="C251" s="11" t="n"/>
      <c r="D251" s="11" t="n"/>
      <c r="E251" s="11" t="n"/>
      <c r="F251" s="11" t="n"/>
      <c r="G251" s="18" t="n"/>
      <c r="H251" s="11" t="n"/>
      <c r="I251" s="23">
        <f>IF(G251="","",ROUND(G251*H251/100,2))</f>
        <v/>
      </c>
    </row>
    <row r="252">
      <c r="A252" s="14" t="n"/>
      <c r="B252" s="11" t="n"/>
      <c r="C252" s="11" t="n"/>
      <c r="D252" s="11" t="n"/>
      <c r="E252" s="11" t="n"/>
      <c r="F252" s="11" t="n"/>
      <c r="G252" s="18" t="n"/>
      <c r="H252" s="11" t="n"/>
      <c r="I252" s="23">
        <f>IF(G252="","",ROUND(G252*H252/100,2))</f>
        <v/>
      </c>
    </row>
    <row r="253">
      <c r="A253" s="14" t="n"/>
      <c r="B253" s="11" t="n"/>
      <c r="C253" s="11" t="n"/>
      <c r="D253" s="11" t="n"/>
      <c r="E253" s="11" t="n"/>
      <c r="F253" s="11" t="n"/>
      <c r="G253" s="18" t="n"/>
      <c r="H253" s="11" t="n"/>
      <c r="I253" s="23">
        <f>IF(G253="","",ROUND(G253*H253/100,2))</f>
        <v/>
      </c>
    </row>
    <row r="254">
      <c r="A254" s="14" t="n"/>
      <c r="B254" s="11" t="n"/>
      <c r="C254" s="11" t="n"/>
      <c r="D254" s="11" t="n"/>
      <c r="E254" s="11" t="n"/>
      <c r="F254" s="11" t="n"/>
      <c r="G254" s="18" t="n"/>
      <c r="H254" s="11" t="n"/>
      <c r="I254" s="23">
        <f>IF(G254="","",ROUND(G254*H254/100,2))</f>
        <v/>
      </c>
    </row>
    <row r="255">
      <c r="A255" s="14" t="n"/>
      <c r="B255" s="11" t="n"/>
      <c r="C255" s="11" t="n"/>
      <c r="D255" s="11" t="n"/>
      <c r="E255" s="11" t="n"/>
      <c r="F255" s="11" t="n"/>
      <c r="G255" s="18" t="n"/>
      <c r="H255" s="11" t="n"/>
      <c r="I255" s="23">
        <f>IF(G255="","",ROUND(G255*H255/100,2))</f>
        <v/>
      </c>
    </row>
    <row r="256">
      <c r="A256" s="14" t="n"/>
      <c r="B256" s="11" t="n"/>
      <c r="C256" s="11" t="n"/>
      <c r="D256" s="11" t="n"/>
      <c r="E256" s="11" t="n"/>
      <c r="F256" s="11" t="n"/>
      <c r="G256" s="18" t="n"/>
      <c r="H256" s="11" t="n"/>
      <c r="I256" s="23">
        <f>IF(G256="","",ROUND(G256*H256/100,2))</f>
        <v/>
      </c>
    </row>
    <row r="257">
      <c r="A257" s="14" t="n"/>
      <c r="B257" s="11" t="n"/>
      <c r="C257" s="11" t="n"/>
      <c r="D257" s="11" t="n"/>
      <c r="E257" s="11" t="n"/>
      <c r="F257" s="11" t="n"/>
      <c r="G257" s="18" t="n"/>
      <c r="H257" s="11" t="n"/>
      <c r="I257" s="23">
        <f>IF(G257="","",ROUND(G257*H257/100,2))</f>
        <v/>
      </c>
    </row>
    <row r="258">
      <c r="A258" s="14" t="n"/>
      <c r="B258" s="11" t="n"/>
      <c r="C258" s="11" t="n"/>
      <c r="D258" s="11" t="n"/>
      <c r="E258" s="11" t="n"/>
      <c r="F258" s="11" t="n"/>
      <c r="G258" s="18" t="n"/>
      <c r="H258" s="11" t="n"/>
      <c r="I258" s="23">
        <f>IF(G258="","",ROUND(G258*H258/100,2))</f>
        <v/>
      </c>
    </row>
    <row r="259">
      <c r="A259" s="14" t="n"/>
      <c r="B259" s="11" t="n"/>
      <c r="C259" s="11" t="n"/>
      <c r="D259" s="11" t="n"/>
      <c r="E259" s="11" t="n"/>
      <c r="F259" s="11" t="n"/>
      <c r="G259" s="18" t="n"/>
      <c r="H259" s="11" t="n"/>
      <c r="I259" s="23">
        <f>IF(G259="","",ROUND(G259*H259/100,2))</f>
        <v/>
      </c>
    </row>
    <row r="260">
      <c r="A260" s="14" t="n"/>
      <c r="B260" s="11" t="n"/>
      <c r="C260" s="11" t="n"/>
      <c r="D260" s="11" t="n"/>
      <c r="E260" s="11" t="n"/>
      <c r="F260" s="11" t="n"/>
      <c r="G260" s="18" t="n"/>
      <c r="H260" s="11" t="n"/>
      <c r="I260" s="23">
        <f>IF(G260="","",ROUND(G260*H260/100,2))</f>
        <v/>
      </c>
    </row>
    <row r="261">
      <c r="A261" s="14" t="n"/>
      <c r="B261" s="11" t="n"/>
      <c r="C261" s="11" t="n"/>
      <c r="D261" s="11" t="n"/>
      <c r="E261" s="11" t="n"/>
      <c r="F261" s="11" t="n"/>
      <c r="G261" s="18" t="n"/>
      <c r="H261" s="11" t="n"/>
      <c r="I261" s="23">
        <f>IF(G261="","",ROUND(G261*H261/100,2))</f>
        <v/>
      </c>
    </row>
    <row r="262">
      <c r="A262" s="14" t="n"/>
      <c r="B262" s="11" t="n"/>
      <c r="C262" s="11" t="n"/>
      <c r="D262" s="11" t="n"/>
      <c r="E262" s="11" t="n"/>
      <c r="F262" s="11" t="n"/>
      <c r="G262" s="18" t="n"/>
      <c r="H262" s="11" t="n"/>
      <c r="I262" s="23">
        <f>IF(G262="","",ROUND(G262*H262/100,2))</f>
        <v/>
      </c>
    </row>
    <row r="263">
      <c r="A263" s="14" t="n"/>
      <c r="B263" s="11" t="n"/>
      <c r="C263" s="11" t="n"/>
      <c r="D263" s="11" t="n"/>
      <c r="E263" s="11" t="n"/>
      <c r="F263" s="11" t="n"/>
      <c r="G263" s="18" t="n"/>
      <c r="H263" s="11" t="n"/>
      <c r="I263" s="23">
        <f>IF(G263="","",ROUND(G263*H263/100,2))</f>
        <v/>
      </c>
    </row>
    <row r="264">
      <c r="A264" s="14" t="n"/>
      <c r="B264" s="11" t="n"/>
      <c r="C264" s="11" t="n"/>
      <c r="D264" s="11" t="n"/>
      <c r="E264" s="11" t="n"/>
      <c r="F264" s="11" t="n"/>
      <c r="G264" s="18" t="n"/>
      <c r="H264" s="11" t="n"/>
      <c r="I264" s="23">
        <f>IF(G264="","",ROUND(G264*H264/100,2))</f>
        <v/>
      </c>
    </row>
    <row r="265">
      <c r="A265" s="14" t="n"/>
      <c r="B265" s="11" t="n"/>
      <c r="C265" s="11" t="n"/>
      <c r="D265" s="11" t="n"/>
      <c r="E265" s="11" t="n"/>
      <c r="F265" s="11" t="n"/>
      <c r="G265" s="18" t="n"/>
      <c r="H265" s="11" t="n"/>
      <c r="I265" s="23">
        <f>IF(G265="","",ROUND(G265*H265/100,2))</f>
        <v/>
      </c>
    </row>
    <row r="266">
      <c r="A266" s="14" t="n"/>
      <c r="B266" s="11" t="n"/>
      <c r="C266" s="11" t="n"/>
      <c r="D266" s="11" t="n"/>
      <c r="E266" s="11" t="n"/>
      <c r="F266" s="11" t="n"/>
      <c r="G266" s="18" t="n"/>
      <c r="H266" s="11" t="n"/>
      <c r="I266" s="23">
        <f>IF(G266="","",ROUND(G266*H266/100,2))</f>
        <v/>
      </c>
    </row>
    <row r="267">
      <c r="A267" s="14" t="n"/>
      <c r="B267" s="11" t="n"/>
      <c r="C267" s="11" t="n"/>
      <c r="D267" s="11" t="n"/>
      <c r="E267" s="11" t="n"/>
      <c r="F267" s="11" t="n"/>
      <c r="G267" s="18" t="n"/>
      <c r="H267" s="11" t="n"/>
      <c r="I267" s="23">
        <f>IF(G267="","",ROUND(G267*H267/100,2))</f>
        <v/>
      </c>
    </row>
    <row r="268">
      <c r="A268" s="14" t="n"/>
      <c r="B268" s="11" t="n"/>
      <c r="C268" s="11" t="n"/>
      <c r="D268" s="11" t="n"/>
      <c r="E268" s="11" t="n"/>
      <c r="F268" s="11" t="n"/>
      <c r="G268" s="18" t="n"/>
      <c r="H268" s="11" t="n"/>
      <c r="I268" s="23">
        <f>IF(G268="","",ROUND(G268*H268/100,2))</f>
        <v/>
      </c>
    </row>
    <row r="269">
      <c r="A269" s="14" t="n"/>
      <c r="B269" s="11" t="n"/>
      <c r="C269" s="11" t="n"/>
      <c r="D269" s="11" t="n"/>
      <c r="E269" s="11" t="n"/>
      <c r="F269" s="11" t="n"/>
      <c r="G269" s="18" t="n"/>
      <c r="H269" s="11" t="n"/>
      <c r="I269" s="23">
        <f>IF(G269="","",ROUND(G269*H269/100,2))</f>
        <v/>
      </c>
    </row>
    <row r="270">
      <c r="A270" s="14" t="n"/>
      <c r="B270" s="11" t="n"/>
      <c r="C270" s="11" t="n"/>
      <c r="D270" s="11" t="n"/>
      <c r="E270" s="11" t="n"/>
      <c r="F270" s="11" t="n"/>
      <c r="G270" s="18" t="n"/>
      <c r="H270" s="11" t="n"/>
      <c r="I270" s="23">
        <f>IF(G270="","",ROUND(G270*H270/100,2))</f>
        <v/>
      </c>
    </row>
    <row r="271">
      <c r="A271" s="14" t="n"/>
      <c r="B271" s="11" t="n"/>
      <c r="C271" s="11" t="n"/>
      <c r="D271" s="11" t="n"/>
      <c r="E271" s="11" t="n"/>
      <c r="F271" s="11" t="n"/>
      <c r="G271" s="18" t="n"/>
      <c r="H271" s="11" t="n"/>
      <c r="I271" s="23">
        <f>IF(G271="","",ROUND(G271*H271/100,2))</f>
        <v/>
      </c>
    </row>
    <row r="272">
      <c r="A272" s="14" t="n"/>
      <c r="B272" s="11" t="n"/>
      <c r="C272" s="11" t="n"/>
      <c r="D272" s="11" t="n"/>
      <c r="E272" s="11" t="n"/>
      <c r="F272" s="11" t="n"/>
      <c r="G272" s="18" t="n"/>
      <c r="H272" s="11" t="n"/>
      <c r="I272" s="23">
        <f>IF(G272="","",ROUND(G272*H272/100,2))</f>
        <v/>
      </c>
    </row>
    <row r="273">
      <c r="A273" s="14" t="n"/>
      <c r="B273" s="11" t="n"/>
      <c r="C273" s="11" t="n"/>
      <c r="D273" s="11" t="n"/>
      <c r="E273" s="11" t="n"/>
      <c r="F273" s="11" t="n"/>
      <c r="G273" s="18" t="n"/>
      <c r="H273" s="11" t="n"/>
      <c r="I273" s="23">
        <f>IF(G273="","",ROUND(G273*H273/100,2))</f>
        <v/>
      </c>
    </row>
    <row r="274">
      <c r="A274" s="14" t="n"/>
      <c r="B274" s="11" t="n"/>
      <c r="C274" s="11" t="n"/>
      <c r="D274" s="11" t="n"/>
      <c r="E274" s="11" t="n"/>
      <c r="F274" s="11" t="n"/>
      <c r="G274" s="18" t="n"/>
      <c r="H274" s="11" t="n"/>
      <c r="I274" s="23">
        <f>IF(G274="","",ROUND(G274*H274/100,2))</f>
        <v/>
      </c>
    </row>
    <row r="275">
      <c r="A275" s="14" t="n"/>
      <c r="B275" s="11" t="n"/>
      <c r="C275" s="11" t="n"/>
      <c r="D275" s="11" t="n"/>
      <c r="E275" s="11" t="n"/>
      <c r="F275" s="11" t="n"/>
      <c r="G275" s="18" t="n"/>
      <c r="H275" s="11" t="n"/>
      <c r="I275" s="23">
        <f>IF(G275="","",ROUND(G275*H275/100,2))</f>
        <v/>
      </c>
    </row>
    <row r="276">
      <c r="A276" s="14" t="n"/>
      <c r="B276" s="11" t="n"/>
      <c r="C276" s="11" t="n"/>
      <c r="D276" s="11" t="n"/>
      <c r="E276" s="11" t="n"/>
      <c r="F276" s="11" t="n"/>
      <c r="G276" s="18" t="n"/>
      <c r="H276" s="11" t="n"/>
      <c r="I276" s="23">
        <f>IF(G276="","",ROUND(G276*H276/100,2))</f>
        <v/>
      </c>
    </row>
    <row r="277">
      <c r="A277" s="14" t="n"/>
      <c r="B277" s="11" t="n"/>
      <c r="C277" s="11" t="n"/>
      <c r="D277" s="11" t="n"/>
      <c r="E277" s="11" t="n"/>
      <c r="F277" s="11" t="n"/>
      <c r="G277" s="18" t="n"/>
      <c r="H277" s="11" t="n"/>
      <c r="I277" s="23">
        <f>IF(G277="","",ROUND(G277*H277/100,2))</f>
        <v/>
      </c>
    </row>
    <row r="278">
      <c r="A278" s="14" t="n"/>
      <c r="B278" s="11" t="n"/>
      <c r="C278" s="11" t="n"/>
      <c r="D278" s="11" t="n"/>
      <c r="E278" s="11" t="n"/>
      <c r="F278" s="11" t="n"/>
      <c r="G278" s="18" t="n"/>
      <c r="H278" s="11" t="n"/>
      <c r="I278" s="23">
        <f>IF(G278="","",ROUND(G278*H278/100,2))</f>
        <v/>
      </c>
    </row>
    <row r="279">
      <c r="A279" s="14" t="n"/>
      <c r="B279" s="11" t="n"/>
      <c r="C279" s="11" t="n"/>
      <c r="D279" s="11" t="n"/>
      <c r="E279" s="11" t="n"/>
      <c r="F279" s="11" t="n"/>
      <c r="G279" s="18" t="n"/>
      <c r="H279" s="11" t="n"/>
      <c r="I279" s="23">
        <f>IF(G279="","",ROUND(G279*H279/100,2))</f>
        <v/>
      </c>
    </row>
    <row r="280">
      <c r="A280" s="14" t="n"/>
      <c r="B280" s="11" t="n"/>
      <c r="C280" s="11" t="n"/>
      <c r="D280" s="11" t="n"/>
      <c r="E280" s="11" t="n"/>
      <c r="F280" s="11" t="n"/>
      <c r="G280" s="18" t="n"/>
      <c r="H280" s="11" t="n"/>
      <c r="I280" s="23">
        <f>IF(G280="","",ROUND(G280*H280/100,2))</f>
        <v/>
      </c>
    </row>
    <row r="281">
      <c r="A281" s="14" t="n"/>
      <c r="B281" s="11" t="n"/>
      <c r="C281" s="11" t="n"/>
      <c r="D281" s="11" t="n"/>
      <c r="E281" s="11" t="n"/>
      <c r="F281" s="11" t="n"/>
      <c r="G281" s="18" t="n"/>
      <c r="H281" s="11" t="n"/>
      <c r="I281" s="23">
        <f>IF(G281="","",ROUND(G281*H281/100,2))</f>
        <v/>
      </c>
    </row>
    <row r="282">
      <c r="A282" s="14" t="n"/>
      <c r="B282" s="11" t="n"/>
      <c r="C282" s="11" t="n"/>
      <c r="D282" s="11" t="n"/>
      <c r="E282" s="11" t="n"/>
      <c r="F282" s="11" t="n"/>
      <c r="G282" s="18" t="n"/>
      <c r="H282" s="11" t="n"/>
      <c r="I282" s="23">
        <f>IF(G282="","",ROUND(G282*H282/100,2))</f>
        <v/>
      </c>
    </row>
    <row r="283">
      <c r="A283" s="14" t="n"/>
      <c r="B283" s="11" t="n"/>
      <c r="C283" s="11" t="n"/>
      <c r="D283" s="11" t="n"/>
      <c r="E283" s="11" t="n"/>
      <c r="F283" s="11" t="n"/>
      <c r="G283" s="18" t="n"/>
      <c r="H283" s="11" t="n"/>
      <c r="I283" s="23">
        <f>IF(G283="","",ROUND(G283*H283/100,2))</f>
        <v/>
      </c>
    </row>
    <row r="284">
      <c r="A284" s="14" t="n"/>
      <c r="B284" s="11" t="n"/>
      <c r="C284" s="11" t="n"/>
      <c r="D284" s="11" t="n"/>
      <c r="E284" s="11" t="n"/>
      <c r="F284" s="11" t="n"/>
      <c r="G284" s="18" t="n"/>
      <c r="H284" s="11" t="n"/>
      <c r="I284" s="23">
        <f>IF(G284="","",ROUND(G284*H284/100,2))</f>
        <v/>
      </c>
    </row>
    <row r="285">
      <c r="A285" s="14" t="n"/>
      <c r="B285" s="11" t="n"/>
      <c r="C285" s="11" t="n"/>
      <c r="D285" s="11" t="n"/>
      <c r="E285" s="11" t="n"/>
      <c r="F285" s="11" t="n"/>
      <c r="G285" s="18" t="n"/>
      <c r="H285" s="11" t="n"/>
      <c r="I285" s="23">
        <f>IF(G285="","",ROUND(G285*H285/100,2))</f>
        <v/>
      </c>
    </row>
    <row r="286">
      <c r="A286" s="14" t="n"/>
      <c r="B286" s="11" t="n"/>
      <c r="C286" s="11" t="n"/>
      <c r="D286" s="11" t="n"/>
      <c r="E286" s="11" t="n"/>
      <c r="F286" s="11" t="n"/>
      <c r="G286" s="18" t="n"/>
      <c r="H286" s="11" t="n"/>
      <c r="I286" s="23">
        <f>IF(G286="","",ROUND(G286*H286/100,2))</f>
        <v/>
      </c>
    </row>
    <row r="287">
      <c r="A287" s="14" t="n"/>
      <c r="B287" s="11" t="n"/>
      <c r="C287" s="11" t="n"/>
      <c r="D287" s="11" t="n"/>
      <c r="E287" s="11" t="n"/>
      <c r="F287" s="11" t="n"/>
      <c r="G287" s="18" t="n"/>
      <c r="H287" s="11" t="n"/>
      <c r="I287" s="23">
        <f>IF(G287="","",ROUND(G287*H287/100,2))</f>
        <v/>
      </c>
    </row>
    <row r="288">
      <c r="A288" s="14" t="n"/>
      <c r="B288" s="11" t="n"/>
      <c r="C288" s="11" t="n"/>
      <c r="D288" s="11" t="n"/>
      <c r="E288" s="11" t="n"/>
      <c r="F288" s="11" t="n"/>
      <c r="G288" s="18" t="n"/>
      <c r="H288" s="11" t="n"/>
      <c r="I288" s="23">
        <f>IF(G288="","",ROUND(G288*H288/100,2))</f>
        <v/>
      </c>
    </row>
    <row r="289">
      <c r="A289" s="14" t="n"/>
      <c r="B289" s="11" t="n"/>
      <c r="C289" s="11" t="n"/>
      <c r="D289" s="11" t="n"/>
      <c r="E289" s="11" t="n"/>
      <c r="F289" s="11" t="n"/>
      <c r="G289" s="18" t="n"/>
      <c r="H289" s="11" t="n"/>
      <c r="I289" s="23">
        <f>IF(G289="","",ROUND(G289*H289/100,2))</f>
        <v/>
      </c>
    </row>
    <row r="290">
      <c r="A290" s="14" t="n"/>
      <c r="B290" s="11" t="n"/>
      <c r="C290" s="11" t="n"/>
      <c r="D290" s="11" t="n"/>
      <c r="E290" s="11" t="n"/>
      <c r="F290" s="11" t="n"/>
      <c r="G290" s="18" t="n"/>
      <c r="H290" s="11" t="n"/>
      <c r="I290" s="23">
        <f>IF(G290="","",ROUND(G290*H290/100,2))</f>
        <v/>
      </c>
    </row>
    <row r="291">
      <c r="A291" s="14" t="n"/>
      <c r="B291" s="11" t="n"/>
      <c r="C291" s="11" t="n"/>
      <c r="D291" s="11" t="n"/>
      <c r="E291" s="11" t="n"/>
      <c r="F291" s="11" t="n"/>
      <c r="G291" s="18" t="n"/>
      <c r="H291" s="11" t="n"/>
      <c r="I291" s="23">
        <f>IF(G291="","",ROUND(G291*H291/100,2))</f>
        <v/>
      </c>
    </row>
    <row r="292">
      <c r="A292" s="14" t="n"/>
      <c r="B292" s="11" t="n"/>
      <c r="C292" s="11" t="n"/>
      <c r="D292" s="11" t="n"/>
      <c r="E292" s="11" t="n"/>
      <c r="F292" s="11" t="n"/>
      <c r="G292" s="18" t="n"/>
      <c r="H292" s="11" t="n"/>
      <c r="I292" s="23">
        <f>IF(G292="","",ROUND(G292*H292/100,2))</f>
        <v/>
      </c>
    </row>
    <row r="293">
      <c r="A293" s="14" t="n"/>
      <c r="B293" s="11" t="n"/>
      <c r="C293" s="11" t="n"/>
      <c r="D293" s="11" t="n"/>
      <c r="E293" s="11" t="n"/>
      <c r="F293" s="11" t="n"/>
      <c r="G293" s="18" t="n"/>
      <c r="H293" s="11" t="n"/>
      <c r="I293" s="23">
        <f>IF(G293="","",ROUND(G293*H293/100,2))</f>
        <v/>
      </c>
    </row>
    <row r="294">
      <c r="A294" s="14" t="n"/>
      <c r="B294" s="11" t="n"/>
      <c r="C294" s="11" t="n"/>
      <c r="D294" s="11" t="n"/>
      <c r="E294" s="11" t="n"/>
      <c r="F294" s="11" t="n"/>
      <c r="G294" s="18" t="n"/>
      <c r="H294" s="11" t="n"/>
      <c r="I294" s="23">
        <f>IF(G294="","",ROUND(G294*H294/100,2))</f>
        <v/>
      </c>
    </row>
    <row r="295">
      <c r="A295" s="14" t="n"/>
      <c r="B295" s="11" t="n"/>
      <c r="C295" s="11" t="n"/>
      <c r="D295" s="11" t="n"/>
      <c r="E295" s="11" t="n"/>
      <c r="F295" s="11" t="n"/>
      <c r="G295" s="18" t="n"/>
      <c r="H295" s="11" t="n"/>
      <c r="I295" s="23">
        <f>IF(G295="","",ROUND(G295*H295/100,2))</f>
        <v/>
      </c>
    </row>
    <row r="296">
      <c r="A296" s="14" t="n"/>
      <c r="B296" s="11" t="n"/>
      <c r="C296" s="11" t="n"/>
      <c r="D296" s="11" t="n"/>
      <c r="E296" s="11" t="n"/>
      <c r="F296" s="11" t="n"/>
      <c r="G296" s="18" t="n"/>
      <c r="H296" s="11" t="n"/>
      <c r="I296" s="23">
        <f>IF(G296="","",ROUND(G296*H296/100,2))</f>
        <v/>
      </c>
    </row>
    <row r="297">
      <c r="A297" s="14" t="n"/>
      <c r="B297" s="11" t="n"/>
      <c r="C297" s="11" t="n"/>
      <c r="D297" s="11" t="n"/>
      <c r="E297" s="11" t="n"/>
      <c r="F297" s="11" t="n"/>
      <c r="G297" s="18" t="n"/>
      <c r="H297" s="11" t="n"/>
      <c r="I297" s="23">
        <f>IF(G297="","",ROUND(G297*H297/100,2))</f>
        <v/>
      </c>
    </row>
    <row r="298">
      <c r="A298" s="14" t="n"/>
      <c r="B298" s="11" t="n"/>
      <c r="C298" s="11" t="n"/>
      <c r="D298" s="11" t="n"/>
      <c r="E298" s="11" t="n"/>
      <c r="F298" s="11" t="n"/>
      <c r="G298" s="18" t="n"/>
      <c r="H298" s="11" t="n"/>
      <c r="I298" s="23">
        <f>IF(G298="","",ROUND(G298*H298/100,2))</f>
        <v/>
      </c>
    </row>
    <row r="299">
      <c r="A299" s="14" t="n"/>
      <c r="B299" s="11" t="n"/>
      <c r="C299" s="11" t="n"/>
      <c r="D299" s="11" t="n"/>
      <c r="E299" s="11" t="n"/>
      <c r="F299" s="11" t="n"/>
      <c r="G299" s="18" t="n"/>
      <c r="H299" s="11" t="n"/>
      <c r="I299" s="23">
        <f>IF(G299="","",ROUND(G299*H299/100,2))</f>
        <v/>
      </c>
    </row>
    <row r="300">
      <c r="A300" s="14" t="n"/>
      <c r="B300" s="11" t="n"/>
      <c r="C300" s="11" t="n"/>
      <c r="D300" s="11" t="n"/>
      <c r="E300" s="11" t="n"/>
      <c r="F300" s="11" t="n"/>
      <c r="G300" s="18" t="n"/>
      <c r="H300" s="11" t="n"/>
      <c r="I300" s="23">
        <f>IF(G300="","",ROUND(G300*H300/100,2))</f>
        <v/>
      </c>
    </row>
    <row r="301">
      <c r="A301" s="14" t="n"/>
      <c r="B301" s="11" t="n"/>
      <c r="C301" s="11" t="n"/>
      <c r="D301" s="11" t="n"/>
      <c r="E301" s="11" t="n"/>
      <c r="F301" s="11" t="n"/>
      <c r="G301" s="18" t="n"/>
      <c r="H301" s="11" t="n"/>
      <c r="I301" s="23">
        <f>IF(G301="","",ROUND(G301*H301/100,2))</f>
        <v/>
      </c>
    </row>
    <row r="302">
      <c r="A302" s="14" t="n"/>
      <c r="B302" s="11" t="n"/>
      <c r="C302" s="11" t="n"/>
      <c r="D302" s="11" t="n"/>
      <c r="E302" s="11" t="n"/>
      <c r="F302" s="11" t="n"/>
      <c r="G302" s="18" t="n"/>
      <c r="H302" s="11" t="n"/>
      <c r="I302" s="23">
        <f>IF(G302="","",ROUND(G302*H302/100,2))</f>
        <v/>
      </c>
    </row>
    <row r="303">
      <c r="A303" s="14" t="n"/>
      <c r="B303" s="11" t="n"/>
      <c r="C303" s="11" t="n"/>
      <c r="D303" s="11" t="n"/>
      <c r="E303" s="11" t="n"/>
      <c r="F303" s="11" t="n"/>
      <c r="G303" s="18" t="n"/>
      <c r="H303" s="11" t="n"/>
      <c r="I303" s="23">
        <f>IF(G303="","",ROUND(G303*H303/100,2))</f>
        <v/>
      </c>
    </row>
    <row r="304">
      <c r="A304" s="14" t="n"/>
      <c r="B304" s="11" t="n"/>
      <c r="C304" s="11" t="n"/>
      <c r="D304" s="11" t="n"/>
      <c r="E304" s="11" t="n"/>
      <c r="F304" s="11" t="n"/>
      <c r="G304" s="18" t="n"/>
      <c r="H304" s="11" t="n"/>
      <c r="I304" s="23">
        <f>IF(G304="","",ROUND(G304*H304/100,2))</f>
        <v/>
      </c>
    </row>
    <row r="305">
      <c r="A305" s="14" t="n"/>
      <c r="B305" s="11" t="n"/>
      <c r="C305" s="11" t="n"/>
      <c r="D305" s="11" t="n"/>
      <c r="E305" s="11" t="n"/>
      <c r="F305" s="11" t="n"/>
      <c r="G305" s="18" t="n"/>
      <c r="H305" s="11" t="n"/>
      <c r="I305" s="23">
        <f>IF(G305="","",ROUND(G305*H305/100,2))</f>
        <v/>
      </c>
    </row>
    <row r="306">
      <c r="A306" s="14" t="n"/>
      <c r="B306" s="11" t="n"/>
      <c r="C306" s="11" t="n"/>
      <c r="D306" s="11" t="n"/>
      <c r="E306" s="11" t="n"/>
      <c r="F306" s="11" t="n"/>
      <c r="G306" s="18" t="n"/>
      <c r="H306" s="11" t="n"/>
      <c r="I306" s="23">
        <f>IF(G306="","",ROUND(G306*H306/100,2))</f>
        <v/>
      </c>
    </row>
    <row r="307">
      <c r="A307" s="14" t="n"/>
      <c r="B307" s="11" t="n"/>
      <c r="C307" s="11" t="n"/>
      <c r="D307" s="11" t="n"/>
      <c r="E307" s="11" t="n"/>
      <c r="F307" s="11" t="n"/>
      <c r="G307" s="18" t="n"/>
      <c r="H307" s="11" t="n"/>
      <c r="I307" s="23">
        <f>IF(G307="","",ROUND(G307*H307/100,2))</f>
        <v/>
      </c>
    </row>
    <row r="308">
      <c r="A308" s="14" t="n"/>
      <c r="B308" s="11" t="n"/>
      <c r="C308" s="11" t="n"/>
      <c r="D308" s="11" t="n"/>
      <c r="E308" s="11" t="n"/>
      <c r="F308" s="11" t="n"/>
      <c r="G308" s="18" t="n"/>
      <c r="H308" s="11" t="n"/>
      <c r="I308" s="23">
        <f>IF(G308="","",ROUND(G308*H308/100,2))</f>
        <v/>
      </c>
    </row>
    <row r="309">
      <c r="A309" s="14" t="n"/>
      <c r="B309" s="11" t="n"/>
      <c r="C309" s="11" t="n"/>
      <c r="D309" s="11" t="n"/>
      <c r="E309" s="11" t="n"/>
      <c r="F309" s="11" t="n"/>
      <c r="G309" s="18" t="n"/>
      <c r="H309" s="11" t="n"/>
      <c r="I309" s="23">
        <f>IF(G309="","",ROUND(G309*H309/100,2))</f>
        <v/>
      </c>
    </row>
    <row r="310">
      <c r="A310" s="14" t="n"/>
      <c r="B310" s="11" t="n"/>
      <c r="C310" s="11" t="n"/>
      <c r="D310" s="11" t="n"/>
      <c r="E310" s="11" t="n"/>
      <c r="F310" s="11" t="n"/>
      <c r="G310" s="18" t="n"/>
      <c r="H310" s="11" t="n"/>
      <c r="I310" s="23">
        <f>IF(G310="","",ROUND(G310*H310/100,2))</f>
        <v/>
      </c>
    </row>
    <row r="311">
      <c r="A311" s="14" t="n"/>
      <c r="B311" s="11" t="n"/>
      <c r="C311" s="11" t="n"/>
      <c r="D311" s="11" t="n"/>
      <c r="E311" s="11" t="n"/>
      <c r="F311" s="11" t="n"/>
      <c r="G311" s="18" t="n"/>
      <c r="H311" s="11" t="n"/>
      <c r="I311" s="23">
        <f>IF(G311="","",ROUND(G311*H311/100,2))</f>
        <v/>
      </c>
    </row>
    <row r="312">
      <c r="A312" s="14" t="n"/>
      <c r="B312" s="11" t="n"/>
      <c r="C312" s="11" t="n"/>
      <c r="D312" s="11" t="n"/>
      <c r="E312" s="11" t="n"/>
      <c r="F312" s="11" t="n"/>
      <c r="G312" s="18" t="n"/>
      <c r="H312" s="11" t="n"/>
      <c r="I312" s="23">
        <f>IF(G312="","",ROUND(G312*H312/100,2))</f>
        <v/>
      </c>
    </row>
    <row r="313">
      <c r="A313" s="14" t="n"/>
      <c r="B313" s="11" t="n"/>
      <c r="C313" s="11" t="n"/>
      <c r="D313" s="11" t="n"/>
      <c r="E313" s="11" t="n"/>
      <c r="F313" s="11" t="n"/>
      <c r="G313" s="18" t="n"/>
      <c r="H313" s="11" t="n"/>
      <c r="I313" s="23">
        <f>IF(G313="","",ROUND(G313*H313/100,2))</f>
        <v/>
      </c>
    </row>
    <row r="314">
      <c r="A314" s="14" t="n"/>
      <c r="B314" s="11" t="n"/>
      <c r="C314" s="11" t="n"/>
      <c r="D314" s="11" t="n"/>
      <c r="E314" s="11" t="n"/>
      <c r="F314" s="11" t="n"/>
      <c r="G314" s="18" t="n"/>
      <c r="H314" s="11" t="n"/>
      <c r="I314" s="23">
        <f>IF(G314="","",ROUND(G314*H314/100,2))</f>
        <v/>
      </c>
    </row>
    <row r="315">
      <c r="A315" s="14" t="n"/>
      <c r="B315" s="11" t="n"/>
      <c r="C315" s="11" t="n"/>
      <c r="D315" s="11" t="n"/>
      <c r="E315" s="11" t="n"/>
      <c r="F315" s="11" t="n"/>
      <c r="G315" s="18" t="n"/>
      <c r="H315" s="11" t="n"/>
      <c r="I315" s="23">
        <f>IF(G315="","",ROUND(G315*H315/100,2))</f>
        <v/>
      </c>
    </row>
    <row r="316">
      <c r="A316" s="14" t="n"/>
      <c r="B316" s="11" t="n"/>
      <c r="C316" s="11" t="n"/>
      <c r="D316" s="11" t="n"/>
      <c r="E316" s="11" t="n"/>
      <c r="F316" s="11" t="n"/>
      <c r="G316" s="18" t="n"/>
      <c r="H316" s="11" t="n"/>
      <c r="I316" s="23">
        <f>IF(G316="","",ROUND(G316*H316/100,2))</f>
        <v/>
      </c>
    </row>
    <row r="317">
      <c r="A317" s="14" t="n"/>
      <c r="B317" s="11" t="n"/>
      <c r="C317" s="11" t="n"/>
      <c r="D317" s="11" t="n"/>
      <c r="E317" s="11" t="n"/>
      <c r="F317" s="11" t="n"/>
      <c r="G317" s="18" t="n"/>
      <c r="H317" s="11" t="n"/>
      <c r="I317" s="23">
        <f>IF(G317="","",ROUND(G317*H317/100,2))</f>
        <v/>
      </c>
    </row>
    <row r="318">
      <c r="A318" s="14" t="n"/>
      <c r="B318" s="11" t="n"/>
      <c r="C318" s="11" t="n"/>
      <c r="D318" s="11" t="n"/>
      <c r="E318" s="11" t="n"/>
      <c r="F318" s="11" t="n"/>
      <c r="G318" s="18" t="n"/>
      <c r="H318" s="11" t="n"/>
      <c r="I318" s="23">
        <f>IF(G318="","",ROUND(G318*H318/100,2))</f>
        <v/>
      </c>
    </row>
    <row r="319">
      <c r="A319" s="14" t="n"/>
      <c r="B319" s="11" t="n"/>
      <c r="C319" s="11" t="n"/>
      <c r="D319" s="11" t="n"/>
      <c r="E319" s="11" t="n"/>
      <c r="F319" s="11" t="n"/>
      <c r="G319" s="18" t="n"/>
      <c r="H319" s="11" t="n"/>
      <c r="I319" s="23">
        <f>IF(G319="","",ROUND(G319*H319/100,2))</f>
        <v/>
      </c>
    </row>
    <row r="320">
      <c r="A320" s="14" t="n"/>
      <c r="B320" s="11" t="n"/>
      <c r="C320" s="11" t="n"/>
      <c r="D320" s="11" t="n"/>
      <c r="E320" s="11" t="n"/>
      <c r="F320" s="11" t="n"/>
      <c r="G320" s="18" t="n"/>
      <c r="H320" s="11" t="n"/>
      <c r="I320" s="23">
        <f>IF(G320="","",ROUND(G320*H320/100,2))</f>
        <v/>
      </c>
    </row>
    <row r="321">
      <c r="A321" s="14" t="n"/>
      <c r="B321" s="11" t="n"/>
      <c r="C321" s="11" t="n"/>
      <c r="D321" s="11" t="n"/>
      <c r="E321" s="11" t="n"/>
      <c r="F321" s="11" t="n"/>
      <c r="G321" s="18" t="n"/>
      <c r="H321" s="11" t="n"/>
      <c r="I321" s="23">
        <f>IF(G321="","",ROUND(G321*H321/100,2))</f>
        <v/>
      </c>
    </row>
    <row r="322">
      <c r="A322" s="14" t="n"/>
      <c r="B322" s="11" t="n"/>
      <c r="C322" s="11" t="n"/>
      <c r="D322" s="11" t="n"/>
      <c r="E322" s="11" t="n"/>
      <c r="F322" s="11" t="n"/>
      <c r="G322" s="18" t="n"/>
      <c r="H322" s="11" t="n"/>
      <c r="I322" s="23">
        <f>IF(G322="","",ROUND(G322*H322/100,2))</f>
        <v/>
      </c>
    </row>
    <row r="323">
      <c r="A323" s="14" t="n"/>
      <c r="B323" s="11" t="n"/>
      <c r="C323" s="11" t="n"/>
      <c r="D323" s="11" t="n"/>
      <c r="E323" s="11" t="n"/>
      <c r="F323" s="11" t="n"/>
      <c r="G323" s="18" t="n"/>
      <c r="H323" s="11" t="n"/>
      <c r="I323" s="23">
        <f>IF(G323="","",ROUND(G323*H323/100,2))</f>
        <v/>
      </c>
    </row>
    <row r="324">
      <c r="A324" s="14" t="n"/>
      <c r="B324" s="11" t="n"/>
      <c r="C324" s="11" t="n"/>
      <c r="D324" s="11" t="n"/>
      <c r="E324" s="11" t="n"/>
      <c r="F324" s="11" t="n"/>
      <c r="G324" s="18" t="n"/>
      <c r="H324" s="11" t="n"/>
      <c r="I324" s="23">
        <f>IF(G324="","",ROUND(G324*H324/100,2))</f>
        <v/>
      </c>
    </row>
    <row r="325">
      <c r="A325" s="14" t="n"/>
      <c r="B325" s="11" t="n"/>
      <c r="C325" s="11" t="n"/>
      <c r="D325" s="11" t="n"/>
      <c r="E325" s="11" t="n"/>
      <c r="F325" s="11" t="n"/>
      <c r="G325" s="18" t="n"/>
      <c r="H325" s="11" t="n"/>
      <c r="I325" s="23">
        <f>IF(G325="","",ROUND(G325*H325/100,2))</f>
        <v/>
      </c>
    </row>
    <row r="326">
      <c r="A326" s="14" t="n"/>
      <c r="B326" s="11" t="n"/>
      <c r="C326" s="11" t="n"/>
      <c r="D326" s="11" t="n"/>
      <c r="E326" s="11" t="n"/>
      <c r="F326" s="11" t="n"/>
      <c r="G326" s="18" t="n"/>
      <c r="H326" s="11" t="n"/>
      <c r="I326" s="23">
        <f>IF(G326="","",ROUND(G326*H326/100,2))</f>
        <v/>
      </c>
    </row>
    <row r="327">
      <c r="A327" s="14" t="n"/>
      <c r="B327" s="11" t="n"/>
      <c r="C327" s="11" t="n"/>
      <c r="D327" s="11" t="n"/>
      <c r="E327" s="11" t="n"/>
      <c r="F327" s="11" t="n"/>
      <c r="G327" s="18" t="n"/>
      <c r="H327" s="11" t="n"/>
      <c r="I327" s="23">
        <f>IF(G327="","",ROUND(G327*H327/100,2))</f>
        <v/>
      </c>
    </row>
    <row r="328">
      <c r="A328" s="14" t="n"/>
      <c r="B328" s="11" t="n"/>
      <c r="C328" s="11" t="n"/>
      <c r="D328" s="11" t="n"/>
      <c r="E328" s="11" t="n"/>
      <c r="F328" s="11" t="n"/>
      <c r="G328" s="18" t="n"/>
      <c r="H328" s="11" t="n"/>
      <c r="I328" s="23">
        <f>IF(G328="","",ROUND(G328*H328/100,2))</f>
        <v/>
      </c>
    </row>
    <row r="329">
      <c r="A329" s="14" t="n"/>
      <c r="B329" s="11" t="n"/>
      <c r="C329" s="11" t="n"/>
      <c r="D329" s="11" t="n"/>
      <c r="E329" s="11" t="n"/>
      <c r="F329" s="11" t="n"/>
      <c r="G329" s="18" t="n"/>
      <c r="H329" s="11" t="n"/>
      <c r="I329" s="23">
        <f>IF(G329="","",ROUND(G329*H329/100,2))</f>
        <v/>
      </c>
    </row>
    <row r="330">
      <c r="A330" s="14" t="n"/>
      <c r="B330" s="11" t="n"/>
      <c r="C330" s="11" t="n"/>
      <c r="D330" s="11" t="n"/>
      <c r="E330" s="11" t="n"/>
      <c r="F330" s="11" t="n"/>
      <c r="G330" s="18" t="n"/>
      <c r="H330" s="11" t="n"/>
      <c r="I330" s="23">
        <f>IF(G330="","",ROUND(G330*H330/100,2))</f>
        <v/>
      </c>
    </row>
    <row r="331">
      <c r="A331" s="14" t="n"/>
      <c r="B331" s="11" t="n"/>
      <c r="C331" s="11" t="n"/>
      <c r="D331" s="11" t="n"/>
      <c r="E331" s="11" t="n"/>
      <c r="F331" s="11" t="n"/>
      <c r="G331" s="18" t="n"/>
      <c r="H331" s="11" t="n"/>
      <c r="I331" s="23">
        <f>IF(G331="","",ROUND(G331*H331/100,2))</f>
        <v/>
      </c>
    </row>
    <row r="332">
      <c r="A332" s="14" t="n"/>
      <c r="B332" s="11" t="n"/>
      <c r="C332" s="11" t="n"/>
      <c r="D332" s="11" t="n"/>
      <c r="E332" s="11" t="n"/>
      <c r="F332" s="11" t="n"/>
      <c r="G332" s="18" t="n"/>
      <c r="H332" s="11" t="n"/>
      <c r="I332" s="23">
        <f>IF(G332="","",ROUND(G332*H332/100,2))</f>
        <v/>
      </c>
    </row>
    <row r="333">
      <c r="A333" s="14" t="n"/>
      <c r="B333" s="11" t="n"/>
      <c r="C333" s="11" t="n"/>
      <c r="D333" s="11" t="n"/>
      <c r="E333" s="11" t="n"/>
      <c r="F333" s="11" t="n"/>
      <c r="G333" s="18" t="n"/>
      <c r="H333" s="11" t="n"/>
      <c r="I333" s="23">
        <f>IF(G333="","",ROUND(G333*H333/100,2))</f>
        <v/>
      </c>
    </row>
    <row r="334">
      <c r="A334" s="14" t="n"/>
      <c r="B334" s="11" t="n"/>
      <c r="C334" s="11" t="n"/>
      <c r="D334" s="11" t="n"/>
      <c r="E334" s="11" t="n"/>
      <c r="F334" s="11" t="n"/>
      <c r="G334" s="18" t="n"/>
      <c r="H334" s="11" t="n"/>
      <c r="I334" s="23">
        <f>IF(G334="","",ROUND(G334*H334/100,2))</f>
        <v/>
      </c>
    </row>
    <row r="335">
      <c r="A335" s="14" t="n"/>
      <c r="B335" s="11" t="n"/>
      <c r="C335" s="11" t="n"/>
      <c r="D335" s="11" t="n"/>
      <c r="E335" s="11" t="n"/>
      <c r="F335" s="11" t="n"/>
      <c r="G335" s="18" t="n"/>
      <c r="H335" s="11" t="n"/>
      <c r="I335" s="23">
        <f>IF(G335="","",ROUND(G335*H335/100,2))</f>
        <v/>
      </c>
    </row>
    <row r="336">
      <c r="A336" s="14" t="n"/>
      <c r="B336" s="11" t="n"/>
      <c r="C336" s="11" t="n"/>
      <c r="D336" s="11" t="n"/>
      <c r="E336" s="11" t="n"/>
      <c r="F336" s="11" t="n"/>
      <c r="G336" s="18" t="n"/>
      <c r="H336" s="11" t="n"/>
      <c r="I336" s="23">
        <f>IF(G336="","",ROUND(G336*H336/100,2))</f>
        <v/>
      </c>
    </row>
    <row r="337">
      <c r="A337" s="14" t="n"/>
      <c r="B337" s="11" t="n"/>
      <c r="C337" s="11" t="n"/>
      <c r="D337" s="11" t="n"/>
      <c r="E337" s="11" t="n"/>
      <c r="F337" s="11" t="n"/>
      <c r="G337" s="18" t="n"/>
      <c r="H337" s="11" t="n"/>
      <c r="I337" s="23">
        <f>IF(G337="","",ROUND(G337*H337/100,2))</f>
        <v/>
      </c>
    </row>
    <row r="338">
      <c r="A338" s="14" t="n"/>
      <c r="B338" s="11" t="n"/>
      <c r="C338" s="11" t="n"/>
      <c r="D338" s="11" t="n"/>
      <c r="E338" s="11" t="n"/>
      <c r="F338" s="11" t="n"/>
      <c r="G338" s="18" t="n"/>
      <c r="H338" s="11" t="n"/>
      <c r="I338" s="23">
        <f>IF(G338="","",ROUND(G338*H338/100,2))</f>
        <v/>
      </c>
    </row>
    <row r="339">
      <c r="A339" s="14" t="n"/>
      <c r="B339" s="11" t="n"/>
      <c r="C339" s="11" t="n"/>
      <c r="D339" s="11" t="n"/>
      <c r="E339" s="11" t="n"/>
      <c r="F339" s="11" t="n"/>
      <c r="G339" s="18" t="n"/>
      <c r="H339" s="11" t="n"/>
      <c r="I339" s="23">
        <f>IF(G339="","",ROUND(G339*H339/100,2))</f>
        <v/>
      </c>
    </row>
    <row r="340">
      <c r="A340" s="14" t="n"/>
      <c r="B340" s="11" t="n"/>
      <c r="C340" s="11" t="n"/>
      <c r="D340" s="11" t="n"/>
      <c r="E340" s="11" t="n"/>
      <c r="F340" s="11" t="n"/>
      <c r="G340" s="18" t="n"/>
      <c r="H340" s="11" t="n"/>
      <c r="I340" s="23">
        <f>IF(G340="","",ROUND(G340*H340/100,2))</f>
        <v/>
      </c>
    </row>
    <row r="341">
      <c r="A341" s="14" t="n"/>
      <c r="B341" s="11" t="n"/>
      <c r="C341" s="11" t="n"/>
      <c r="D341" s="11" t="n"/>
      <c r="E341" s="11" t="n"/>
      <c r="F341" s="11" t="n"/>
      <c r="G341" s="18" t="n"/>
      <c r="H341" s="11" t="n"/>
      <c r="I341" s="23">
        <f>IF(G341="","",ROUND(G341*H341/100,2))</f>
        <v/>
      </c>
    </row>
    <row r="342">
      <c r="A342" s="14" t="n"/>
      <c r="B342" s="11" t="n"/>
      <c r="C342" s="11" t="n"/>
      <c r="D342" s="11" t="n"/>
      <c r="E342" s="11" t="n"/>
      <c r="F342" s="11" t="n"/>
      <c r="G342" s="18" t="n"/>
      <c r="H342" s="11" t="n"/>
      <c r="I342" s="23">
        <f>IF(G342="","",ROUND(G342*H342/100,2))</f>
        <v/>
      </c>
    </row>
    <row r="343">
      <c r="A343" s="14" t="n"/>
      <c r="B343" s="11" t="n"/>
      <c r="C343" s="11" t="n"/>
      <c r="D343" s="11" t="n"/>
      <c r="E343" s="11" t="n"/>
      <c r="F343" s="11" t="n"/>
      <c r="G343" s="18" t="n"/>
      <c r="H343" s="11" t="n"/>
      <c r="I343" s="23">
        <f>IF(G343="","",ROUND(G343*H343/100,2))</f>
        <v/>
      </c>
    </row>
    <row r="344">
      <c r="A344" s="14" t="n"/>
      <c r="B344" s="11" t="n"/>
      <c r="C344" s="11" t="n"/>
      <c r="D344" s="11" t="n"/>
      <c r="E344" s="11" t="n"/>
      <c r="F344" s="11" t="n"/>
      <c r="G344" s="18" t="n"/>
      <c r="H344" s="11" t="n"/>
      <c r="I344" s="23">
        <f>IF(G344="","",ROUND(G344*H344/100,2))</f>
        <v/>
      </c>
    </row>
    <row r="345">
      <c r="A345" s="14" t="n"/>
      <c r="B345" s="11" t="n"/>
      <c r="C345" s="11" t="n"/>
      <c r="D345" s="11" t="n"/>
      <c r="E345" s="11" t="n"/>
      <c r="F345" s="11" t="n"/>
      <c r="G345" s="18" t="n"/>
      <c r="H345" s="11" t="n"/>
      <c r="I345" s="23">
        <f>IF(G345="","",ROUND(G345*H345/100,2))</f>
        <v/>
      </c>
    </row>
    <row r="346">
      <c r="A346" s="14" t="n"/>
      <c r="B346" s="11" t="n"/>
      <c r="C346" s="11" t="n"/>
      <c r="D346" s="11" t="n"/>
      <c r="E346" s="11" t="n"/>
      <c r="F346" s="11" t="n"/>
      <c r="G346" s="18" t="n"/>
      <c r="H346" s="11" t="n"/>
      <c r="I346" s="23">
        <f>IF(G346="","",ROUND(G346*H346/100,2))</f>
        <v/>
      </c>
    </row>
    <row r="347">
      <c r="A347" s="14" t="n"/>
      <c r="B347" s="11" t="n"/>
      <c r="C347" s="11" t="n"/>
      <c r="D347" s="11" t="n"/>
      <c r="E347" s="11" t="n"/>
      <c r="F347" s="11" t="n"/>
      <c r="G347" s="18" t="n"/>
      <c r="H347" s="11" t="n"/>
      <c r="I347" s="23">
        <f>IF(G347="","",ROUND(G347*H347/100,2))</f>
        <v/>
      </c>
    </row>
    <row r="348">
      <c r="A348" s="14" t="n"/>
      <c r="B348" s="11" t="n"/>
      <c r="C348" s="11" t="n"/>
      <c r="D348" s="11" t="n"/>
      <c r="E348" s="11" t="n"/>
      <c r="F348" s="11" t="n"/>
      <c r="G348" s="18" t="n"/>
      <c r="H348" s="11" t="n"/>
      <c r="I348" s="23">
        <f>IF(G348="","",ROUND(G348*H348/100,2))</f>
        <v/>
      </c>
    </row>
    <row r="349">
      <c r="A349" s="14" t="n"/>
      <c r="B349" s="11" t="n"/>
      <c r="C349" s="11" t="n"/>
      <c r="D349" s="11" t="n"/>
      <c r="E349" s="11" t="n"/>
      <c r="F349" s="11" t="n"/>
      <c r="G349" s="18" t="n"/>
      <c r="H349" s="11" t="n"/>
      <c r="I349" s="23">
        <f>IF(G349="","",ROUND(G349*H349/100,2))</f>
        <v/>
      </c>
    </row>
    <row r="350">
      <c r="A350" s="14" t="n"/>
      <c r="B350" s="11" t="n"/>
      <c r="C350" s="11" t="n"/>
      <c r="D350" s="11" t="n"/>
      <c r="E350" s="11" t="n"/>
      <c r="F350" s="11" t="n"/>
      <c r="G350" s="18" t="n"/>
      <c r="H350" s="11" t="n"/>
      <c r="I350" s="23">
        <f>IF(G350="","",ROUND(G350*H350/100,2))</f>
        <v/>
      </c>
    </row>
    <row r="351">
      <c r="A351" s="14" t="n"/>
      <c r="B351" s="11" t="n"/>
      <c r="C351" s="11" t="n"/>
      <c r="D351" s="11" t="n"/>
      <c r="E351" s="11" t="n"/>
      <c r="F351" s="11" t="n"/>
      <c r="G351" s="18" t="n"/>
      <c r="H351" s="11" t="n"/>
      <c r="I351" s="23">
        <f>IF(G351="","",ROUND(G351*H351/100,2))</f>
        <v/>
      </c>
    </row>
    <row r="352">
      <c r="A352" s="14" t="n"/>
      <c r="B352" s="11" t="n"/>
      <c r="C352" s="11" t="n"/>
      <c r="D352" s="11" t="n"/>
      <c r="E352" s="11" t="n"/>
      <c r="F352" s="11" t="n"/>
      <c r="G352" s="18" t="n"/>
      <c r="H352" s="11" t="n"/>
      <c r="I352" s="23">
        <f>IF(G352="","",ROUND(G352*H352/100,2))</f>
        <v/>
      </c>
    </row>
    <row r="353">
      <c r="A353" s="14" t="n"/>
      <c r="B353" s="11" t="n"/>
      <c r="C353" s="11" t="n"/>
      <c r="D353" s="11" t="n"/>
      <c r="E353" s="11" t="n"/>
      <c r="F353" s="11" t="n"/>
      <c r="G353" s="18" t="n"/>
      <c r="H353" s="11" t="n"/>
      <c r="I353" s="23">
        <f>IF(G353="","",ROUND(G353*H353/100,2))</f>
        <v/>
      </c>
    </row>
    <row r="354">
      <c r="A354" s="14" t="n"/>
      <c r="B354" s="11" t="n"/>
      <c r="C354" s="11" t="n"/>
      <c r="D354" s="11" t="n"/>
      <c r="E354" s="11" t="n"/>
      <c r="F354" s="11" t="n"/>
      <c r="G354" s="18" t="n"/>
      <c r="H354" s="11" t="n"/>
      <c r="I354" s="23">
        <f>IF(G354="","",ROUND(G354*H354/100,2))</f>
        <v/>
      </c>
    </row>
    <row r="355">
      <c r="A355" s="14" t="n"/>
      <c r="B355" s="11" t="n"/>
      <c r="C355" s="11" t="n"/>
      <c r="D355" s="11" t="n"/>
      <c r="E355" s="11" t="n"/>
      <c r="F355" s="11" t="n"/>
      <c r="G355" s="18" t="n"/>
      <c r="H355" s="11" t="n"/>
      <c r="I355" s="23">
        <f>IF(G355="","",ROUND(G355*H355/100,2))</f>
        <v/>
      </c>
    </row>
    <row r="356">
      <c r="A356" s="14" t="n"/>
      <c r="B356" s="11" t="n"/>
      <c r="C356" s="11" t="n"/>
      <c r="D356" s="11" t="n"/>
      <c r="E356" s="11" t="n"/>
      <c r="F356" s="11" t="n"/>
      <c r="G356" s="18" t="n"/>
      <c r="H356" s="11" t="n"/>
      <c r="I356" s="23">
        <f>IF(G356="","",ROUND(G356*H356/100,2))</f>
        <v/>
      </c>
    </row>
    <row r="357">
      <c r="A357" s="14" t="n"/>
      <c r="B357" s="11" t="n"/>
      <c r="C357" s="11" t="n"/>
      <c r="D357" s="11" t="n"/>
      <c r="E357" s="11" t="n"/>
      <c r="F357" s="11" t="n"/>
      <c r="G357" s="18" t="n"/>
      <c r="H357" s="11" t="n"/>
      <c r="I357" s="23">
        <f>IF(G357="","",ROUND(G357*H357/100,2))</f>
        <v/>
      </c>
    </row>
    <row r="358">
      <c r="A358" s="14" t="n"/>
      <c r="B358" s="11" t="n"/>
      <c r="C358" s="11" t="n"/>
      <c r="D358" s="11" t="n"/>
      <c r="E358" s="11" t="n"/>
      <c r="F358" s="11" t="n"/>
      <c r="G358" s="18" t="n"/>
      <c r="H358" s="11" t="n"/>
      <c r="I358" s="23">
        <f>IF(G358="","",ROUND(G358*H358/100,2))</f>
        <v/>
      </c>
    </row>
    <row r="359">
      <c r="A359" s="14" t="n"/>
      <c r="B359" s="11" t="n"/>
      <c r="C359" s="11" t="n"/>
      <c r="D359" s="11" t="n"/>
      <c r="E359" s="11" t="n"/>
      <c r="F359" s="11" t="n"/>
      <c r="G359" s="18" t="n"/>
      <c r="H359" s="11" t="n"/>
      <c r="I359" s="23">
        <f>IF(G359="","",ROUND(G359*H359/100,2))</f>
        <v/>
      </c>
    </row>
    <row r="360">
      <c r="A360" s="14" t="n"/>
      <c r="B360" s="11" t="n"/>
      <c r="C360" s="11" t="n"/>
      <c r="D360" s="11" t="n"/>
      <c r="E360" s="11" t="n"/>
      <c r="F360" s="11" t="n"/>
      <c r="G360" s="18" t="n"/>
      <c r="H360" s="11" t="n"/>
      <c r="I360" s="23">
        <f>IF(G360="","",ROUND(G360*H360/100,2))</f>
        <v/>
      </c>
    </row>
    <row r="361">
      <c r="A361" s="14" t="n"/>
      <c r="B361" s="11" t="n"/>
      <c r="C361" s="11" t="n"/>
      <c r="D361" s="11" t="n"/>
      <c r="E361" s="11" t="n"/>
      <c r="F361" s="11" t="n"/>
      <c r="G361" s="18" t="n"/>
      <c r="H361" s="11" t="n"/>
      <c r="I361" s="23">
        <f>IF(G361="","",ROUND(G361*H361/100,2))</f>
        <v/>
      </c>
    </row>
    <row r="362">
      <c r="A362" s="14" t="n"/>
      <c r="B362" s="11" t="n"/>
      <c r="C362" s="11" t="n"/>
      <c r="D362" s="11" t="n"/>
      <c r="E362" s="11" t="n"/>
      <c r="F362" s="11" t="n"/>
      <c r="G362" s="18" t="n"/>
      <c r="H362" s="11" t="n"/>
      <c r="I362" s="23">
        <f>IF(G362="","",ROUND(G362*H362/100,2))</f>
        <v/>
      </c>
    </row>
    <row r="363">
      <c r="A363" s="14" t="n"/>
      <c r="B363" s="11" t="n"/>
      <c r="C363" s="11" t="n"/>
      <c r="D363" s="11" t="n"/>
      <c r="E363" s="11" t="n"/>
      <c r="F363" s="11" t="n"/>
      <c r="G363" s="18" t="n"/>
      <c r="H363" s="11" t="n"/>
      <c r="I363" s="23">
        <f>IF(G363="","",ROUND(G363*H363/100,2))</f>
        <v/>
      </c>
    </row>
    <row r="364">
      <c r="A364" s="14" t="n"/>
      <c r="B364" s="11" t="n"/>
      <c r="C364" s="11" t="n"/>
      <c r="D364" s="11" t="n"/>
      <c r="E364" s="11" t="n"/>
      <c r="F364" s="11" t="n"/>
      <c r="G364" s="18" t="n"/>
      <c r="H364" s="11" t="n"/>
      <c r="I364" s="23">
        <f>IF(G364="","",ROUND(G364*H364/100,2))</f>
        <v/>
      </c>
    </row>
    <row r="365">
      <c r="A365" s="14" t="n"/>
      <c r="B365" s="11" t="n"/>
      <c r="C365" s="11" t="n"/>
      <c r="D365" s="11" t="n"/>
      <c r="E365" s="11" t="n"/>
      <c r="F365" s="11" t="n"/>
      <c r="G365" s="18" t="n"/>
      <c r="H365" s="11" t="n"/>
      <c r="I365" s="23">
        <f>IF(G365="","",ROUND(G365*H365/100,2))</f>
        <v/>
      </c>
    </row>
    <row r="366">
      <c r="A366" s="14" t="n"/>
      <c r="B366" s="11" t="n"/>
      <c r="C366" s="11" t="n"/>
      <c r="D366" s="11" t="n"/>
      <c r="E366" s="11" t="n"/>
      <c r="F366" s="11" t="n"/>
      <c r="G366" s="18" t="n"/>
      <c r="H366" s="11" t="n"/>
      <c r="I366" s="23">
        <f>IF(G366="","",ROUND(G366*H366/100,2))</f>
        <v/>
      </c>
    </row>
    <row r="367">
      <c r="A367" s="14" t="n"/>
      <c r="B367" s="11" t="n"/>
      <c r="C367" s="11" t="n"/>
      <c r="D367" s="11" t="n"/>
      <c r="E367" s="11" t="n"/>
      <c r="F367" s="11" t="n"/>
      <c r="G367" s="18" t="n"/>
      <c r="H367" s="11" t="n"/>
      <c r="I367" s="23">
        <f>IF(G367="","",ROUND(G367*H367/100,2))</f>
        <v/>
      </c>
    </row>
    <row r="368">
      <c r="A368" s="14" t="n"/>
      <c r="B368" s="11" t="n"/>
      <c r="C368" s="11" t="n"/>
      <c r="D368" s="11" t="n"/>
      <c r="E368" s="11" t="n"/>
      <c r="F368" s="11" t="n"/>
      <c r="G368" s="18" t="n"/>
      <c r="H368" s="11" t="n"/>
      <c r="I368" s="23">
        <f>IF(G368="","",ROUND(G368*H368/100,2))</f>
        <v/>
      </c>
    </row>
    <row r="369">
      <c r="A369" s="14" t="n"/>
      <c r="B369" s="11" t="n"/>
      <c r="C369" s="11" t="n"/>
      <c r="D369" s="11" t="n"/>
      <c r="E369" s="11" t="n"/>
      <c r="F369" s="11" t="n"/>
      <c r="G369" s="18" t="n"/>
      <c r="H369" s="11" t="n"/>
      <c r="I369" s="23">
        <f>IF(G369="","",ROUND(G369*H369/100,2))</f>
        <v/>
      </c>
    </row>
    <row r="370">
      <c r="A370" s="14" t="n"/>
      <c r="B370" s="11" t="n"/>
      <c r="C370" s="11" t="n"/>
      <c r="D370" s="11" t="n"/>
      <c r="E370" s="11" t="n"/>
      <c r="F370" s="11" t="n"/>
      <c r="G370" s="18" t="n"/>
      <c r="H370" s="11" t="n"/>
      <c r="I370" s="23">
        <f>IF(G370="","",ROUND(G370*H370/100,2))</f>
        <v/>
      </c>
    </row>
    <row r="371">
      <c r="A371" s="14" t="n"/>
      <c r="B371" s="11" t="n"/>
      <c r="C371" s="11" t="n"/>
      <c r="D371" s="11" t="n"/>
      <c r="E371" s="11" t="n"/>
      <c r="F371" s="11" t="n"/>
      <c r="G371" s="18" t="n"/>
      <c r="H371" s="11" t="n"/>
      <c r="I371" s="23">
        <f>IF(G371="","",ROUND(G371*H371/100,2))</f>
        <v/>
      </c>
    </row>
    <row r="372">
      <c r="A372" s="14" t="n"/>
      <c r="B372" s="11" t="n"/>
      <c r="C372" s="11" t="n"/>
      <c r="D372" s="11" t="n"/>
      <c r="E372" s="11" t="n"/>
      <c r="F372" s="11" t="n"/>
      <c r="G372" s="18" t="n"/>
      <c r="H372" s="11" t="n"/>
      <c r="I372" s="23">
        <f>IF(G372="","",ROUND(G372*H372/100,2))</f>
        <v/>
      </c>
    </row>
    <row r="373">
      <c r="A373" s="14" t="n"/>
      <c r="B373" s="11" t="n"/>
      <c r="C373" s="11" t="n"/>
      <c r="D373" s="11" t="n"/>
      <c r="E373" s="11" t="n"/>
      <c r="F373" s="11" t="n"/>
      <c r="G373" s="18" t="n"/>
      <c r="H373" s="11" t="n"/>
      <c r="I373" s="23">
        <f>IF(G373="","",ROUND(G373*H373/100,2))</f>
        <v/>
      </c>
    </row>
    <row r="374">
      <c r="A374" s="14" t="n"/>
      <c r="B374" s="11" t="n"/>
      <c r="C374" s="11" t="n"/>
      <c r="D374" s="11" t="n"/>
      <c r="E374" s="11" t="n"/>
      <c r="F374" s="11" t="n"/>
      <c r="G374" s="18" t="n"/>
      <c r="H374" s="11" t="n"/>
      <c r="I374" s="23">
        <f>IF(G374="","",ROUND(G374*H374/100,2))</f>
        <v/>
      </c>
    </row>
    <row r="375">
      <c r="A375" s="14" t="n"/>
      <c r="B375" s="11" t="n"/>
      <c r="C375" s="11" t="n"/>
      <c r="D375" s="11" t="n"/>
      <c r="E375" s="11" t="n"/>
      <c r="F375" s="11" t="n"/>
      <c r="G375" s="18" t="n"/>
      <c r="H375" s="11" t="n"/>
      <c r="I375" s="23">
        <f>IF(G375="","",ROUND(G375*H375/100,2))</f>
        <v/>
      </c>
    </row>
    <row r="376">
      <c r="A376" s="14" t="n"/>
      <c r="B376" s="11" t="n"/>
      <c r="C376" s="11" t="n"/>
      <c r="D376" s="11" t="n"/>
      <c r="E376" s="11" t="n"/>
      <c r="F376" s="11" t="n"/>
      <c r="G376" s="18" t="n"/>
      <c r="H376" s="11" t="n"/>
      <c r="I376" s="23">
        <f>IF(G376="","",ROUND(G376*H376/100,2))</f>
        <v/>
      </c>
    </row>
    <row r="377">
      <c r="A377" s="14" t="n"/>
      <c r="B377" s="11" t="n"/>
      <c r="C377" s="11" t="n"/>
      <c r="D377" s="11" t="n"/>
      <c r="E377" s="11" t="n"/>
      <c r="F377" s="11" t="n"/>
      <c r="G377" s="18" t="n"/>
      <c r="H377" s="11" t="n"/>
      <c r="I377" s="23">
        <f>IF(G377="","",ROUND(G377*H377/100,2))</f>
        <v/>
      </c>
    </row>
    <row r="378">
      <c r="A378" s="14" t="n"/>
      <c r="B378" s="11" t="n"/>
      <c r="C378" s="11" t="n"/>
      <c r="D378" s="11" t="n"/>
      <c r="E378" s="11" t="n"/>
      <c r="F378" s="11" t="n"/>
      <c r="G378" s="18" t="n"/>
      <c r="H378" s="11" t="n"/>
      <c r="I378" s="23">
        <f>IF(G378="","",ROUND(G378*H378/100,2))</f>
        <v/>
      </c>
    </row>
    <row r="379">
      <c r="A379" s="14" t="n"/>
      <c r="B379" s="11" t="n"/>
      <c r="C379" s="11" t="n"/>
      <c r="D379" s="11" t="n"/>
      <c r="E379" s="11" t="n"/>
      <c r="F379" s="11" t="n"/>
      <c r="G379" s="18" t="n"/>
      <c r="H379" s="11" t="n"/>
      <c r="I379" s="23">
        <f>IF(G379="","",ROUND(G379*H379/100,2))</f>
        <v/>
      </c>
    </row>
    <row r="380">
      <c r="A380" s="14" t="n"/>
      <c r="B380" s="11" t="n"/>
      <c r="C380" s="11" t="n"/>
      <c r="D380" s="11" t="n"/>
      <c r="E380" s="11" t="n"/>
      <c r="F380" s="11" t="n"/>
      <c r="G380" s="18" t="n"/>
      <c r="H380" s="11" t="n"/>
      <c r="I380" s="23">
        <f>IF(G380="","",ROUND(G380*H380/100,2))</f>
        <v/>
      </c>
    </row>
    <row r="381">
      <c r="A381" s="14" t="n"/>
      <c r="B381" s="11" t="n"/>
      <c r="C381" s="11" t="n"/>
      <c r="D381" s="11" t="n"/>
      <c r="E381" s="11" t="n"/>
      <c r="F381" s="11" t="n"/>
      <c r="G381" s="18" t="n"/>
      <c r="H381" s="11" t="n"/>
      <c r="I381" s="23">
        <f>IF(G381="","",ROUND(G381*H381/100,2))</f>
        <v/>
      </c>
    </row>
    <row r="382">
      <c r="A382" s="14" t="n"/>
      <c r="B382" s="11" t="n"/>
      <c r="C382" s="11" t="n"/>
      <c r="D382" s="11" t="n"/>
      <c r="E382" s="11" t="n"/>
      <c r="F382" s="11" t="n"/>
      <c r="G382" s="18" t="n"/>
      <c r="H382" s="11" t="n"/>
      <c r="I382" s="23">
        <f>IF(G382="","",ROUND(G382*H382/100,2))</f>
        <v/>
      </c>
    </row>
    <row r="383">
      <c r="A383" s="14" t="n"/>
      <c r="B383" s="11" t="n"/>
      <c r="C383" s="11" t="n"/>
      <c r="D383" s="11" t="n"/>
      <c r="E383" s="11" t="n"/>
      <c r="F383" s="11" t="n"/>
      <c r="G383" s="18" t="n"/>
      <c r="H383" s="11" t="n"/>
      <c r="I383" s="23">
        <f>IF(G383="","",ROUND(G383*H383/100,2))</f>
        <v/>
      </c>
    </row>
    <row r="384">
      <c r="A384" s="14" t="n"/>
      <c r="B384" s="11" t="n"/>
      <c r="C384" s="11" t="n"/>
      <c r="D384" s="11" t="n"/>
      <c r="E384" s="11" t="n"/>
      <c r="F384" s="11" t="n"/>
      <c r="G384" s="18" t="n"/>
      <c r="H384" s="11" t="n"/>
      <c r="I384" s="23">
        <f>IF(G384="","",ROUND(G384*H384/100,2))</f>
        <v/>
      </c>
    </row>
    <row r="385">
      <c r="A385" s="14" t="n"/>
      <c r="B385" s="11" t="n"/>
      <c r="C385" s="11" t="n"/>
      <c r="D385" s="11" t="n"/>
      <c r="E385" s="11" t="n"/>
      <c r="F385" s="11" t="n"/>
      <c r="G385" s="18" t="n"/>
      <c r="H385" s="11" t="n"/>
      <c r="I385" s="23">
        <f>IF(G385="","",ROUND(G385*H385/100,2))</f>
        <v/>
      </c>
    </row>
    <row r="386">
      <c r="A386" s="14" t="n"/>
      <c r="B386" s="11" t="n"/>
      <c r="C386" s="11" t="n"/>
      <c r="D386" s="11" t="n"/>
      <c r="E386" s="11" t="n"/>
      <c r="F386" s="11" t="n"/>
      <c r="G386" s="18" t="n"/>
      <c r="H386" s="11" t="n"/>
      <c r="I386" s="23">
        <f>IF(G386="","",ROUND(G386*H386/100,2))</f>
        <v/>
      </c>
    </row>
    <row r="387">
      <c r="A387" s="14" t="n"/>
      <c r="B387" s="11" t="n"/>
      <c r="C387" s="11" t="n"/>
      <c r="D387" s="11" t="n"/>
      <c r="E387" s="11" t="n"/>
      <c r="F387" s="11" t="n"/>
      <c r="G387" s="18" t="n"/>
      <c r="H387" s="11" t="n"/>
      <c r="I387" s="23">
        <f>IF(G387="","",ROUND(G387*H387/100,2))</f>
        <v/>
      </c>
    </row>
    <row r="388">
      <c r="A388" s="14" t="n"/>
      <c r="B388" s="11" t="n"/>
      <c r="C388" s="11" t="n"/>
      <c r="D388" s="11" t="n"/>
      <c r="E388" s="11" t="n"/>
      <c r="F388" s="11" t="n"/>
      <c r="G388" s="18" t="n"/>
      <c r="H388" s="11" t="n"/>
      <c r="I388" s="23">
        <f>IF(G388="","",ROUND(G388*H388/100,2))</f>
        <v/>
      </c>
    </row>
    <row r="389">
      <c r="A389" s="14" t="n"/>
      <c r="B389" s="11" t="n"/>
      <c r="C389" s="11" t="n"/>
      <c r="D389" s="11" t="n"/>
      <c r="E389" s="11" t="n"/>
      <c r="F389" s="11" t="n"/>
      <c r="G389" s="18" t="n"/>
      <c r="H389" s="11" t="n"/>
      <c r="I389" s="23">
        <f>IF(G389="","",ROUND(G389*H389/100,2))</f>
        <v/>
      </c>
    </row>
    <row r="390">
      <c r="A390" s="14" t="n"/>
      <c r="B390" s="11" t="n"/>
      <c r="C390" s="11" t="n"/>
      <c r="D390" s="11" t="n"/>
      <c r="E390" s="11" t="n"/>
      <c r="F390" s="11" t="n"/>
      <c r="G390" s="18" t="n"/>
      <c r="H390" s="11" t="n"/>
      <c r="I390" s="23">
        <f>IF(G390="","",ROUND(G390*H390/100,2))</f>
        <v/>
      </c>
    </row>
    <row r="391">
      <c r="A391" s="14" t="n"/>
      <c r="B391" s="11" t="n"/>
      <c r="C391" s="11" t="n"/>
      <c r="D391" s="11" t="n"/>
      <c r="E391" s="11" t="n"/>
      <c r="F391" s="11" t="n"/>
      <c r="G391" s="18" t="n"/>
      <c r="H391" s="11" t="n"/>
      <c r="I391" s="23">
        <f>IF(G391="","",ROUND(G391*H391/100,2))</f>
        <v/>
      </c>
    </row>
    <row r="392">
      <c r="A392" s="14" t="n"/>
      <c r="B392" s="11" t="n"/>
      <c r="C392" s="11" t="n"/>
      <c r="D392" s="11" t="n"/>
      <c r="E392" s="11" t="n"/>
      <c r="F392" s="11" t="n"/>
      <c r="G392" s="18" t="n"/>
      <c r="H392" s="11" t="n"/>
      <c r="I392" s="23">
        <f>IF(G392="","",ROUND(G392*H392/100,2))</f>
        <v/>
      </c>
    </row>
    <row r="393">
      <c r="A393" s="14" t="n"/>
      <c r="B393" s="11" t="n"/>
      <c r="C393" s="11" t="n"/>
      <c r="D393" s="11" t="n"/>
      <c r="E393" s="11" t="n"/>
      <c r="F393" s="11" t="n"/>
      <c r="G393" s="18" t="n"/>
      <c r="H393" s="11" t="n"/>
      <c r="I393" s="23">
        <f>IF(G393="","",ROUND(G393*H393/100,2))</f>
        <v/>
      </c>
    </row>
    <row r="394">
      <c r="A394" s="14" t="n"/>
      <c r="B394" s="11" t="n"/>
      <c r="C394" s="11" t="n"/>
      <c r="D394" s="11" t="n"/>
      <c r="E394" s="11" t="n"/>
      <c r="F394" s="11" t="n"/>
      <c r="G394" s="18" t="n"/>
      <c r="H394" s="11" t="n"/>
      <c r="I394" s="23">
        <f>IF(G394="","",ROUND(G394*H394/100,2))</f>
        <v/>
      </c>
    </row>
    <row r="395">
      <c r="A395" s="14" t="n"/>
      <c r="B395" s="11" t="n"/>
      <c r="C395" s="11" t="n"/>
      <c r="D395" s="11" t="n"/>
      <c r="E395" s="11" t="n"/>
      <c r="F395" s="11" t="n"/>
      <c r="G395" s="18" t="n"/>
      <c r="H395" s="11" t="n"/>
      <c r="I395" s="23">
        <f>IF(G395="","",ROUND(G395*H395/100,2))</f>
        <v/>
      </c>
    </row>
    <row r="396">
      <c r="A396" s="14" t="n"/>
      <c r="B396" s="11" t="n"/>
      <c r="C396" s="11" t="n"/>
      <c r="D396" s="11" t="n"/>
      <c r="E396" s="11" t="n"/>
      <c r="F396" s="11" t="n"/>
      <c r="G396" s="18" t="n"/>
      <c r="H396" s="11" t="n"/>
      <c r="I396" s="23">
        <f>IF(G396="","",ROUND(G396*H396/100,2))</f>
        <v/>
      </c>
    </row>
    <row r="397">
      <c r="A397" s="14" t="n"/>
      <c r="B397" s="11" t="n"/>
      <c r="C397" s="11" t="n"/>
      <c r="D397" s="11" t="n"/>
      <c r="E397" s="11" t="n"/>
      <c r="F397" s="11" t="n"/>
      <c r="G397" s="18" t="n"/>
      <c r="H397" s="11" t="n"/>
      <c r="I397" s="23">
        <f>IF(G397="","",ROUND(G397*H397/100,2))</f>
        <v/>
      </c>
    </row>
    <row r="398">
      <c r="A398" s="14" t="n"/>
      <c r="B398" s="11" t="n"/>
      <c r="C398" s="11" t="n"/>
      <c r="D398" s="11" t="n"/>
      <c r="E398" s="11" t="n"/>
      <c r="F398" s="11" t="n"/>
      <c r="G398" s="18" t="n"/>
      <c r="H398" s="11" t="n"/>
      <c r="I398" s="23">
        <f>IF(G398="","",ROUND(G398*H398/100,2))</f>
        <v/>
      </c>
    </row>
    <row r="399">
      <c r="A399" s="14" t="n"/>
      <c r="B399" s="11" t="n"/>
      <c r="C399" s="11" t="n"/>
      <c r="D399" s="11" t="n"/>
      <c r="E399" s="11" t="n"/>
      <c r="F399" s="11" t="n"/>
      <c r="G399" s="18" t="n"/>
      <c r="H399" s="11" t="n"/>
      <c r="I399" s="23">
        <f>IF(G399="","",ROUND(G399*H399/100,2))</f>
        <v/>
      </c>
    </row>
    <row r="400">
      <c r="A400" s="14" t="n"/>
      <c r="B400" s="11" t="n"/>
      <c r="C400" s="11" t="n"/>
      <c r="D400" s="11" t="n"/>
      <c r="E400" s="11" t="n"/>
      <c r="F400" s="11" t="n"/>
      <c r="G400" s="18" t="n"/>
      <c r="H400" s="11" t="n"/>
      <c r="I400" s="23">
        <f>IF(G400="","",ROUND(G400*H400/100,2))</f>
        <v/>
      </c>
    </row>
    <row r="401">
      <c r="A401" s="14" t="n"/>
      <c r="B401" s="11" t="n"/>
      <c r="C401" s="11" t="n"/>
      <c r="D401" s="11" t="n"/>
      <c r="E401" s="11" t="n"/>
      <c r="F401" s="11" t="n"/>
      <c r="G401" s="18" t="n"/>
      <c r="H401" s="11" t="n"/>
      <c r="I401" s="23">
        <f>IF(G401="","",ROUND(G401*H401/100,2))</f>
        <v/>
      </c>
    </row>
    <row r="402">
      <c r="A402" s="14" t="n"/>
      <c r="B402" s="11" t="n"/>
      <c r="C402" s="11" t="n"/>
      <c r="D402" s="11" t="n"/>
      <c r="E402" s="11" t="n"/>
      <c r="F402" s="11" t="n"/>
      <c r="G402" s="18" t="n"/>
      <c r="H402" s="11" t="n"/>
      <c r="I402" s="23">
        <f>IF(G402="","",ROUND(G402*H402/100,2))</f>
        <v/>
      </c>
    </row>
    <row r="403">
      <c r="A403" s="14" t="n"/>
      <c r="B403" s="11" t="n"/>
      <c r="C403" s="11" t="n"/>
      <c r="D403" s="11" t="n"/>
      <c r="E403" s="11" t="n"/>
      <c r="F403" s="11" t="n"/>
      <c r="G403" s="18" t="n"/>
      <c r="H403" s="11" t="n"/>
      <c r="I403" s="23">
        <f>IF(G403="","",ROUND(G403*H403/100,2))</f>
        <v/>
      </c>
    </row>
    <row r="404">
      <c r="A404" s="14" t="n"/>
      <c r="B404" s="11" t="n"/>
      <c r="C404" s="11" t="n"/>
      <c r="D404" s="11" t="n"/>
      <c r="E404" s="11" t="n"/>
      <c r="F404" s="11" t="n"/>
      <c r="G404" s="18" t="n"/>
      <c r="H404" s="11" t="n"/>
      <c r="I404" s="23">
        <f>IF(G404="","",ROUND(G404*H404/100,2))</f>
        <v/>
      </c>
    </row>
    <row r="405">
      <c r="A405" s="14" t="n"/>
      <c r="B405" s="11" t="n"/>
      <c r="C405" s="11" t="n"/>
      <c r="D405" s="11" t="n"/>
      <c r="E405" s="11" t="n"/>
      <c r="F405" s="11" t="n"/>
      <c r="G405" s="18" t="n"/>
      <c r="H405" s="11" t="n"/>
      <c r="I405" s="23">
        <f>IF(G405="","",ROUND(G405*H405/100,2))</f>
        <v/>
      </c>
    </row>
    <row r="406">
      <c r="A406" s="14" t="n"/>
      <c r="B406" s="11" t="n"/>
      <c r="C406" s="11" t="n"/>
      <c r="D406" s="11" t="n"/>
      <c r="E406" s="11" t="n"/>
      <c r="F406" s="11" t="n"/>
      <c r="G406" s="18" t="n"/>
      <c r="H406" s="11" t="n"/>
      <c r="I406" s="23">
        <f>IF(G406="","",ROUND(G406*H406/100,2))</f>
        <v/>
      </c>
    </row>
    <row r="407">
      <c r="A407" s="14" t="n"/>
      <c r="B407" s="11" t="n"/>
      <c r="C407" s="11" t="n"/>
      <c r="D407" s="11" t="n"/>
      <c r="E407" s="11" t="n"/>
      <c r="F407" s="11" t="n"/>
      <c r="G407" s="18" t="n"/>
      <c r="H407" s="11" t="n"/>
      <c r="I407" s="23">
        <f>IF(G407="","",ROUND(G407*H407/100,2))</f>
        <v/>
      </c>
    </row>
    <row r="408">
      <c r="A408" s="14" t="n"/>
      <c r="B408" s="11" t="n"/>
      <c r="C408" s="11" t="n"/>
      <c r="D408" s="11" t="n"/>
      <c r="E408" s="11" t="n"/>
      <c r="F408" s="11" t="n"/>
      <c r="G408" s="18" t="n"/>
      <c r="H408" s="11" t="n"/>
      <c r="I408" s="23">
        <f>IF(G408="","",ROUND(G408*H408/100,2))</f>
        <v/>
      </c>
    </row>
    <row r="409">
      <c r="A409" s="14" t="n"/>
      <c r="B409" s="11" t="n"/>
      <c r="C409" s="11" t="n"/>
      <c r="D409" s="11" t="n"/>
      <c r="E409" s="11" t="n"/>
      <c r="F409" s="11" t="n"/>
      <c r="G409" s="18" t="n"/>
      <c r="H409" s="11" t="n"/>
      <c r="I409" s="23">
        <f>IF(G409="","",ROUND(G409*H409/100,2))</f>
        <v/>
      </c>
    </row>
    <row r="410">
      <c r="A410" s="14" t="n"/>
      <c r="B410" s="11" t="n"/>
      <c r="C410" s="11" t="n"/>
      <c r="D410" s="11" t="n"/>
      <c r="E410" s="11" t="n"/>
      <c r="F410" s="11" t="n"/>
      <c r="G410" s="18" t="n"/>
      <c r="H410" s="11" t="n"/>
      <c r="I410" s="23">
        <f>IF(G410="","",ROUND(G410*H410/100,2))</f>
        <v/>
      </c>
    </row>
    <row r="411">
      <c r="A411" s="14" t="n"/>
      <c r="B411" s="11" t="n"/>
      <c r="C411" s="11" t="n"/>
      <c r="D411" s="11" t="n"/>
      <c r="E411" s="11" t="n"/>
      <c r="F411" s="11" t="n"/>
      <c r="G411" s="18" t="n"/>
      <c r="H411" s="11" t="n"/>
      <c r="I411" s="23">
        <f>IF(G411="","",ROUND(G411*H411/100,2))</f>
        <v/>
      </c>
    </row>
    <row r="412">
      <c r="A412" s="14" t="n"/>
      <c r="B412" s="11" t="n"/>
      <c r="C412" s="11" t="n"/>
      <c r="D412" s="11" t="n"/>
      <c r="E412" s="11" t="n"/>
      <c r="F412" s="11" t="n"/>
      <c r="G412" s="18" t="n"/>
      <c r="H412" s="11" t="n"/>
      <c r="I412" s="23">
        <f>IF(G412="","",ROUND(G412*H412/100,2))</f>
        <v/>
      </c>
    </row>
    <row r="413">
      <c r="A413" s="14" t="n"/>
      <c r="B413" s="11" t="n"/>
      <c r="C413" s="11" t="n"/>
      <c r="D413" s="11" t="n"/>
      <c r="E413" s="11" t="n"/>
      <c r="F413" s="11" t="n"/>
      <c r="G413" s="18" t="n"/>
      <c r="H413" s="11" t="n"/>
      <c r="I413" s="23">
        <f>IF(G413="","",ROUND(G413*H413/100,2))</f>
        <v/>
      </c>
    </row>
    <row r="414">
      <c r="A414" s="14" t="n"/>
      <c r="B414" s="11" t="n"/>
      <c r="C414" s="11" t="n"/>
      <c r="D414" s="11" t="n"/>
      <c r="E414" s="11" t="n"/>
      <c r="F414" s="11" t="n"/>
      <c r="G414" s="18" t="n"/>
      <c r="H414" s="11" t="n"/>
      <c r="I414" s="23">
        <f>IF(G414="","",ROUND(G414*H414/100,2))</f>
        <v/>
      </c>
    </row>
    <row r="415">
      <c r="A415" s="14" t="n"/>
      <c r="B415" s="11" t="n"/>
      <c r="C415" s="11" t="n"/>
      <c r="D415" s="11" t="n"/>
      <c r="E415" s="11" t="n"/>
      <c r="F415" s="11" t="n"/>
      <c r="G415" s="18" t="n"/>
      <c r="H415" s="11" t="n"/>
      <c r="I415" s="23">
        <f>IF(G415="","",ROUND(G415*H415/100,2))</f>
        <v/>
      </c>
    </row>
    <row r="416">
      <c r="A416" s="14" t="n"/>
      <c r="B416" s="11" t="n"/>
      <c r="C416" s="11" t="n"/>
      <c r="D416" s="11" t="n"/>
      <c r="E416" s="11" t="n"/>
      <c r="F416" s="11" t="n"/>
      <c r="G416" s="18" t="n"/>
      <c r="H416" s="11" t="n"/>
      <c r="I416" s="23">
        <f>IF(G416="","",ROUND(G416*H416/100,2))</f>
        <v/>
      </c>
    </row>
    <row r="417">
      <c r="A417" s="14" t="n"/>
      <c r="B417" s="11" t="n"/>
      <c r="C417" s="11" t="n"/>
      <c r="D417" s="11" t="n"/>
      <c r="E417" s="11" t="n"/>
      <c r="F417" s="11" t="n"/>
      <c r="G417" s="18" t="n"/>
      <c r="H417" s="11" t="n"/>
      <c r="I417" s="23">
        <f>IF(G417="","",ROUND(G417*H417/100,2))</f>
        <v/>
      </c>
    </row>
    <row r="418">
      <c r="A418" s="14" t="n"/>
      <c r="B418" s="11" t="n"/>
      <c r="C418" s="11" t="n"/>
      <c r="D418" s="11" t="n"/>
      <c r="E418" s="11" t="n"/>
      <c r="F418" s="11" t="n"/>
      <c r="G418" s="18" t="n"/>
      <c r="H418" s="11" t="n"/>
      <c r="I418" s="23">
        <f>IF(G418="","",ROUND(G418*H418/100,2))</f>
        <v/>
      </c>
    </row>
    <row r="419">
      <c r="A419" s="14" t="n"/>
      <c r="B419" s="11" t="n"/>
      <c r="C419" s="11" t="n"/>
      <c r="D419" s="11" t="n"/>
      <c r="E419" s="11" t="n"/>
      <c r="F419" s="11" t="n"/>
      <c r="G419" s="18" t="n"/>
      <c r="H419" s="11" t="n"/>
      <c r="I419" s="23">
        <f>IF(G419="","",ROUND(G419*H419/100,2))</f>
        <v/>
      </c>
    </row>
    <row r="420">
      <c r="A420" s="14" t="n"/>
      <c r="B420" s="11" t="n"/>
      <c r="C420" s="11" t="n"/>
      <c r="D420" s="11" t="n"/>
      <c r="E420" s="11" t="n"/>
      <c r="F420" s="11" t="n"/>
      <c r="G420" s="18" t="n"/>
      <c r="H420" s="11" t="n"/>
      <c r="I420" s="23">
        <f>IF(G420="","",ROUND(G420*H420/100,2))</f>
        <v/>
      </c>
    </row>
    <row r="421">
      <c r="A421" s="14" t="n"/>
      <c r="B421" s="11" t="n"/>
      <c r="C421" s="11" t="n"/>
      <c r="D421" s="11" t="n"/>
      <c r="E421" s="11" t="n"/>
      <c r="F421" s="11" t="n"/>
      <c r="G421" s="18" t="n"/>
      <c r="H421" s="11" t="n"/>
      <c r="I421" s="23">
        <f>IF(G421="","",ROUND(G421*H421/100,2))</f>
        <v/>
      </c>
    </row>
    <row r="422">
      <c r="A422" s="14" t="n"/>
      <c r="B422" s="11" t="n"/>
      <c r="C422" s="11" t="n"/>
      <c r="D422" s="11" t="n"/>
      <c r="E422" s="11" t="n"/>
      <c r="F422" s="11" t="n"/>
      <c r="G422" s="18" t="n"/>
      <c r="H422" s="11" t="n"/>
      <c r="I422" s="23">
        <f>IF(G422="","",ROUND(G422*H422/100,2))</f>
        <v/>
      </c>
    </row>
    <row r="423">
      <c r="A423" s="14" t="n"/>
      <c r="B423" s="11" t="n"/>
      <c r="C423" s="11" t="n"/>
      <c r="D423" s="11" t="n"/>
      <c r="E423" s="11" t="n"/>
      <c r="F423" s="11" t="n"/>
      <c r="G423" s="18" t="n"/>
      <c r="H423" s="11" t="n"/>
      <c r="I423" s="23">
        <f>IF(G423="","",ROUND(G423*H423/100,2))</f>
        <v/>
      </c>
    </row>
    <row r="424">
      <c r="A424" s="14" t="n"/>
      <c r="B424" s="11" t="n"/>
      <c r="C424" s="11" t="n"/>
      <c r="D424" s="11" t="n"/>
      <c r="E424" s="11" t="n"/>
      <c r="F424" s="11" t="n"/>
      <c r="G424" s="18" t="n"/>
      <c r="H424" s="11" t="n"/>
      <c r="I424" s="23">
        <f>IF(G424="","",ROUND(G424*H424/100,2))</f>
        <v/>
      </c>
    </row>
    <row r="425">
      <c r="A425" s="14" t="n"/>
      <c r="B425" s="11" t="n"/>
      <c r="C425" s="11" t="n"/>
      <c r="D425" s="11" t="n"/>
      <c r="E425" s="11" t="n"/>
      <c r="F425" s="11" t="n"/>
      <c r="G425" s="18" t="n"/>
      <c r="H425" s="11" t="n"/>
      <c r="I425" s="23">
        <f>IF(G425="","",ROUND(G425*H425/100,2))</f>
        <v/>
      </c>
    </row>
    <row r="426">
      <c r="A426" s="14" t="n"/>
      <c r="B426" s="11" t="n"/>
      <c r="C426" s="11" t="n"/>
      <c r="D426" s="11" t="n"/>
      <c r="E426" s="11" t="n"/>
      <c r="F426" s="11" t="n"/>
      <c r="G426" s="18" t="n"/>
      <c r="H426" s="11" t="n"/>
      <c r="I426" s="23">
        <f>IF(G426="","",ROUND(G426*H426/100,2))</f>
        <v/>
      </c>
    </row>
    <row r="427">
      <c r="A427" s="14" t="n"/>
      <c r="B427" s="11" t="n"/>
      <c r="C427" s="11" t="n"/>
      <c r="D427" s="11" t="n"/>
      <c r="E427" s="11" t="n"/>
      <c r="F427" s="11" t="n"/>
      <c r="G427" s="18" t="n"/>
      <c r="H427" s="11" t="n"/>
      <c r="I427" s="23">
        <f>IF(G427="","",ROUND(G427*H427/100,2))</f>
        <v/>
      </c>
    </row>
    <row r="428">
      <c r="A428" s="14" t="n"/>
      <c r="B428" s="11" t="n"/>
      <c r="C428" s="11" t="n"/>
      <c r="D428" s="11" t="n"/>
      <c r="E428" s="11" t="n"/>
      <c r="F428" s="11" t="n"/>
      <c r="G428" s="18" t="n"/>
      <c r="H428" s="11" t="n"/>
      <c r="I428" s="23">
        <f>IF(G428="","",ROUND(G428*H428/100,2))</f>
        <v/>
      </c>
    </row>
    <row r="429">
      <c r="A429" s="14" t="n"/>
      <c r="B429" s="11" t="n"/>
      <c r="C429" s="11" t="n"/>
      <c r="D429" s="11" t="n"/>
      <c r="E429" s="11" t="n"/>
      <c r="F429" s="11" t="n"/>
      <c r="G429" s="18" t="n"/>
      <c r="H429" s="11" t="n"/>
      <c r="I429" s="23">
        <f>IF(G429="","",ROUND(G429*H429/100,2))</f>
        <v/>
      </c>
    </row>
    <row r="430">
      <c r="A430" s="14" t="n"/>
      <c r="B430" s="11" t="n"/>
      <c r="C430" s="11" t="n"/>
      <c r="D430" s="11" t="n"/>
      <c r="E430" s="11" t="n"/>
      <c r="F430" s="11" t="n"/>
      <c r="G430" s="18" t="n"/>
      <c r="H430" s="11" t="n"/>
      <c r="I430" s="23">
        <f>IF(G430="","",ROUND(G430*H430/100,2))</f>
        <v/>
      </c>
    </row>
    <row r="431">
      <c r="A431" s="14" t="n"/>
      <c r="B431" s="11" t="n"/>
      <c r="C431" s="11" t="n"/>
      <c r="D431" s="11" t="n"/>
      <c r="E431" s="11" t="n"/>
      <c r="F431" s="11" t="n"/>
      <c r="G431" s="18" t="n"/>
      <c r="H431" s="11" t="n"/>
      <c r="I431" s="23">
        <f>IF(G431="","",ROUND(G431*H431/100,2))</f>
        <v/>
      </c>
    </row>
    <row r="432">
      <c r="A432" s="14" t="n"/>
      <c r="B432" s="11" t="n"/>
      <c r="C432" s="11" t="n"/>
      <c r="D432" s="11" t="n"/>
      <c r="E432" s="11" t="n"/>
      <c r="F432" s="11" t="n"/>
      <c r="G432" s="18" t="n"/>
      <c r="H432" s="11" t="n"/>
      <c r="I432" s="23">
        <f>IF(G432="","",ROUND(G432*H432/100,2))</f>
        <v/>
      </c>
    </row>
    <row r="433">
      <c r="A433" s="14" t="n"/>
      <c r="B433" s="11" t="n"/>
      <c r="C433" s="11" t="n"/>
      <c r="D433" s="11" t="n"/>
      <c r="E433" s="11" t="n"/>
      <c r="F433" s="11" t="n"/>
      <c r="G433" s="18" t="n"/>
      <c r="H433" s="11" t="n"/>
      <c r="I433" s="23">
        <f>IF(G433="","",ROUND(G433*H433/100,2))</f>
        <v/>
      </c>
    </row>
    <row r="434">
      <c r="A434" s="14" t="n"/>
      <c r="B434" s="11" t="n"/>
      <c r="C434" s="11" t="n"/>
      <c r="D434" s="11" t="n"/>
      <c r="E434" s="11" t="n"/>
      <c r="F434" s="11" t="n"/>
      <c r="G434" s="18" t="n"/>
      <c r="H434" s="11" t="n"/>
      <c r="I434" s="23">
        <f>IF(G434="","",ROUND(G434*H434/100,2))</f>
        <v/>
      </c>
    </row>
    <row r="435">
      <c r="A435" s="14" t="n"/>
      <c r="B435" s="11" t="n"/>
      <c r="C435" s="11" t="n"/>
      <c r="D435" s="11" t="n"/>
      <c r="E435" s="11" t="n"/>
      <c r="F435" s="11" t="n"/>
      <c r="G435" s="18" t="n"/>
      <c r="H435" s="11" t="n"/>
      <c r="I435" s="23">
        <f>IF(G435="","",ROUND(G435*H435/100,2))</f>
        <v/>
      </c>
    </row>
    <row r="436">
      <c r="A436" s="14" t="n"/>
      <c r="B436" s="11" t="n"/>
      <c r="C436" s="11" t="n"/>
      <c r="D436" s="11" t="n"/>
      <c r="E436" s="11" t="n"/>
      <c r="F436" s="11" t="n"/>
      <c r="G436" s="18" t="n"/>
      <c r="H436" s="11" t="n"/>
      <c r="I436" s="23">
        <f>IF(G436="","",ROUND(G436*H436/100,2))</f>
        <v/>
      </c>
    </row>
    <row r="437">
      <c r="A437" s="14" t="n"/>
      <c r="B437" s="11" t="n"/>
      <c r="C437" s="11" t="n"/>
      <c r="D437" s="11" t="n"/>
      <c r="E437" s="11" t="n"/>
      <c r="F437" s="11" t="n"/>
      <c r="G437" s="18" t="n"/>
      <c r="H437" s="11" t="n"/>
      <c r="I437" s="23">
        <f>IF(G437="","",ROUND(G437*H437/100,2))</f>
        <v/>
      </c>
    </row>
    <row r="438">
      <c r="A438" s="14" t="n"/>
      <c r="B438" s="11" t="n"/>
      <c r="C438" s="11" t="n"/>
      <c r="D438" s="11" t="n"/>
      <c r="E438" s="11" t="n"/>
      <c r="F438" s="11" t="n"/>
      <c r="G438" s="18" t="n"/>
      <c r="H438" s="11" t="n"/>
      <c r="I438" s="23">
        <f>IF(G438="","",ROUND(G438*H438/100,2))</f>
        <v/>
      </c>
    </row>
    <row r="439">
      <c r="A439" s="14" t="n"/>
      <c r="B439" s="11" t="n"/>
      <c r="C439" s="11" t="n"/>
      <c r="D439" s="11" t="n"/>
      <c r="E439" s="11" t="n"/>
      <c r="F439" s="11" t="n"/>
      <c r="G439" s="18" t="n"/>
      <c r="H439" s="11" t="n"/>
      <c r="I439" s="23">
        <f>IF(G439="","",ROUND(G439*H439/100,2))</f>
        <v/>
      </c>
    </row>
    <row r="440">
      <c r="A440" s="14" t="n"/>
      <c r="B440" s="11" t="n"/>
      <c r="C440" s="11" t="n"/>
      <c r="D440" s="11" t="n"/>
      <c r="E440" s="11" t="n"/>
      <c r="F440" s="11" t="n"/>
      <c r="G440" s="18" t="n"/>
      <c r="H440" s="11" t="n"/>
      <c r="I440" s="23">
        <f>IF(G440="","",ROUND(G440*H440/100,2))</f>
        <v/>
      </c>
    </row>
    <row r="441">
      <c r="A441" s="14" t="n"/>
      <c r="B441" s="11" t="n"/>
      <c r="C441" s="11" t="n"/>
      <c r="D441" s="11" t="n"/>
      <c r="E441" s="11" t="n"/>
      <c r="F441" s="11" t="n"/>
      <c r="G441" s="18" t="n"/>
      <c r="H441" s="11" t="n"/>
      <c r="I441" s="23">
        <f>IF(G441="","",ROUND(G441*H441/100,2))</f>
        <v/>
      </c>
    </row>
    <row r="442">
      <c r="A442" s="14" t="n"/>
      <c r="B442" s="11" t="n"/>
      <c r="C442" s="11" t="n"/>
      <c r="D442" s="11" t="n"/>
      <c r="E442" s="11" t="n"/>
      <c r="F442" s="11" t="n"/>
      <c r="G442" s="18" t="n"/>
      <c r="H442" s="11" t="n"/>
      <c r="I442" s="23">
        <f>IF(G442="","",ROUND(G442*H442/100,2))</f>
        <v/>
      </c>
    </row>
    <row r="443">
      <c r="A443" s="14" t="n"/>
      <c r="B443" s="11" t="n"/>
      <c r="C443" s="11" t="n"/>
      <c r="D443" s="11" t="n"/>
      <c r="E443" s="11" t="n"/>
      <c r="F443" s="11" t="n"/>
      <c r="G443" s="18" t="n"/>
      <c r="H443" s="11" t="n"/>
      <c r="I443" s="23">
        <f>IF(G443="","",ROUND(G443*H443/100,2))</f>
        <v/>
      </c>
    </row>
    <row r="444">
      <c r="A444" s="14" t="n"/>
      <c r="B444" s="11" t="n"/>
      <c r="C444" s="11" t="n"/>
      <c r="D444" s="11" t="n"/>
      <c r="E444" s="11" t="n"/>
      <c r="F444" s="11" t="n"/>
      <c r="G444" s="18" t="n"/>
      <c r="H444" s="11" t="n"/>
      <c r="I444" s="23">
        <f>IF(G444="","",ROUND(G444*H444/100,2))</f>
        <v/>
      </c>
    </row>
    <row r="445">
      <c r="A445" s="14" t="n"/>
      <c r="B445" s="11" t="n"/>
      <c r="C445" s="11" t="n"/>
      <c r="D445" s="11" t="n"/>
      <c r="E445" s="11" t="n"/>
      <c r="F445" s="11" t="n"/>
      <c r="G445" s="18" t="n"/>
      <c r="H445" s="11" t="n"/>
      <c r="I445" s="23">
        <f>IF(G445="","",ROUND(G445*H445/100,2))</f>
        <v/>
      </c>
    </row>
    <row r="446">
      <c r="A446" s="14" t="n"/>
      <c r="B446" s="11" t="n"/>
      <c r="C446" s="11" t="n"/>
      <c r="D446" s="11" t="n"/>
      <c r="E446" s="11" t="n"/>
      <c r="F446" s="11" t="n"/>
      <c r="G446" s="18" t="n"/>
      <c r="H446" s="11" t="n"/>
      <c r="I446" s="23">
        <f>IF(G446="","",ROUND(G446*H446/100,2))</f>
        <v/>
      </c>
    </row>
    <row r="447">
      <c r="A447" s="14" t="n"/>
      <c r="B447" s="11" t="n"/>
      <c r="C447" s="11" t="n"/>
      <c r="D447" s="11" t="n"/>
      <c r="E447" s="11" t="n"/>
      <c r="F447" s="11" t="n"/>
      <c r="G447" s="18" t="n"/>
      <c r="H447" s="11" t="n"/>
      <c r="I447" s="23">
        <f>IF(G447="","",ROUND(G447*H447/100,2))</f>
        <v/>
      </c>
    </row>
    <row r="448">
      <c r="A448" s="14" t="n"/>
      <c r="B448" s="11" t="n"/>
      <c r="C448" s="11" t="n"/>
      <c r="D448" s="11" t="n"/>
      <c r="E448" s="11" t="n"/>
      <c r="F448" s="11" t="n"/>
      <c r="G448" s="18" t="n"/>
      <c r="H448" s="11" t="n"/>
      <c r="I448" s="23">
        <f>IF(G448="","",ROUND(G448*H448/100,2))</f>
        <v/>
      </c>
    </row>
    <row r="449">
      <c r="A449" s="14" t="n"/>
      <c r="B449" s="11" t="n"/>
      <c r="C449" s="11" t="n"/>
      <c r="D449" s="11" t="n"/>
      <c r="E449" s="11" t="n"/>
      <c r="F449" s="11" t="n"/>
      <c r="G449" s="18" t="n"/>
      <c r="H449" s="11" t="n"/>
      <c r="I449" s="23">
        <f>IF(G449="","",ROUND(G449*H449/100,2))</f>
        <v/>
      </c>
    </row>
    <row r="450">
      <c r="A450" s="14" t="n"/>
      <c r="B450" s="11" t="n"/>
      <c r="C450" s="11" t="n"/>
      <c r="D450" s="11" t="n"/>
      <c r="E450" s="11" t="n"/>
      <c r="F450" s="11" t="n"/>
      <c r="G450" s="18" t="n"/>
      <c r="H450" s="11" t="n"/>
      <c r="I450" s="23">
        <f>IF(G450="","",ROUND(G450*H450/100,2))</f>
        <v/>
      </c>
    </row>
    <row r="451">
      <c r="A451" s="14" t="n"/>
      <c r="B451" s="11" t="n"/>
      <c r="C451" s="11" t="n"/>
      <c r="D451" s="11" t="n"/>
      <c r="E451" s="11" t="n"/>
      <c r="F451" s="11" t="n"/>
      <c r="G451" s="18" t="n"/>
      <c r="H451" s="11" t="n"/>
      <c r="I451" s="23">
        <f>IF(G451="","",ROUND(G451*H451/100,2))</f>
        <v/>
      </c>
    </row>
    <row r="452">
      <c r="A452" s="14" t="n"/>
      <c r="B452" s="11" t="n"/>
      <c r="C452" s="11" t="n"/>
      <c r="D452" s="11" t="n"/>
      <c r="E452" s="11" t="n"/>
      <c r="F452" s="11" t="n"/>
      <c r="G452" s="18" t="n"/>
      <c r="H452" s="11" t="n"/>
      <c r="I452" s="23">
        <f>IF(G452="","",ROUND(G452*H452/100,2))</f>
        <v/>
      </c>
    </row>
    <row r="453">
      <c r="A453" s="14" t="n"/>
      <c r="B453" s="11" t="n"/>
      <c r="C453" s="11" t="n"/>
      <c r="D453" s="11" t="n"/>
      <c r="E453" s="11" t="n"/>
      <c r="F453" s="11" t="n"/>
      <c r="G453" s="18" t="n"/>
      <c r="H453" s="11" t="n"/>
      <c r="I453" s="23">
        <f>IF(G453="","",ROUND(G453*H453/100,2))</f>
        <v/>
      </c>
    </row>
    <row r="454">
      <c r="A454" s="14" t="n"/>
      <c r="B454" s="11" t="n"/>
      <c r="C454" s="11" t="n"/>
      <c r="D454" s="11" t="n"/>
      <c r="E454" s="11" t="n"/>
      <c r="F454" s="11" t="n"/>
      <c r="G454" s="18" t="n"/>
      <c r="H454" s="11" t="n"/>
      <c r="I454" s="23">
        <f>IF(G454="","",ROUND(G454*H454/100,2))</f>
        <v/>
      </c>
    </row>
    <row r="455">
      <c r="A455" s="14" t="n"/>
      <c r="B455" s="11" t="n"/>
      <c r="C455" s="11" t="n"/>
      <c r="D455" s="11" t="n"/>
      <c r="E455" s="11" t="n"/>
      <c r="F455" s="11" t="n"/>
      <c r="G455" s="18" t="n"/>
      <c r="H455" s="11" t="n"/>
      <c r="I455" s="23">
        <f>IF(G455="","",ROUND(G455*H455/100,2))</f>
        <v/>
      </c>
    </row>
    <row r="456">
      <c r="A456" s="14" t="n"/>
      <c r="B456" s="11" t="n"/>
      <c r="C456" s="11" t="n"/>
      <c r="D456" s="11" t="n"/>
      <c r="E456" s="11" t="n"/>
      <c r="F456" s="11" t="n"/>
      <c r="G456" s="18" t="n"/>
      <c r="H456" s="11" t="n"/>
      <c r="I456" s="23">
        <f>IF(G456="","",ROUND(G456*H456/100,2))</f>
        <v/>
      </c>
    </row>
    <row r="457">
      <c r="A457" s="14" t="n"/>
      <c r="B457" s="11" t="n"/>
      <c r="C457" s="11" t="n"/>
      <c r="D457" s="11" t="n"/>
      <c r="E457" s="11" t="n"/>
      <c r="F457" s="11" t="n"/>
      <c r="G457" s="18" t="n"/>
      <c r="H457" s="11" t="n"/>
      <c r="I457" s="23">
        <f>IF(G457="","",ROUND(G457*H457/100,2))</f>
        <v/>
      </c>
    </row>
    <row r="458">
      <c r="A458" s="14" t="n"/>
      <c r="B458" s="11" t="n"/>
      <c r="C458" s="11" t="n"/>
      <c r="D458" s="11" t="n"/>
      <c r="E458" s="11" t="n"/>
      <c r="F458" s="11" t="n"/>
      <c r="G458" s="18" t="n"/>
      <c r="H458" s="11" t="n"/>
      <c r="I458" s="23">
        <f>IF(G458="","",ROUND(G458*H458/100,2))</f>
        <v/>
      </c>
    </row>
    <row r="459">
      <c r="A459" s="14" t="n"/>
      <c r="B459" s="11" t="n"/>
      <c r="C459" s="11" t="n"/>
      <c r="D459" s="11" t="n"/>
      <c r="E459" s="11" t="n"/>
      <c r="F459" s="11" t="n"/>
      <c r="G459" s="18" t="n"/>
      <c r="H459" s="11" t="n"/>
      <c r="I459" s="23">
        <f>IF(G459="","",ROUND(G459*H459/100,2))</f>
        <v/>
      </c>
    </row>
    <row r="460">
      <c r="A460" s="14" t="n"/>
      <c r="B460" s="11" t="n"/>
      <c r="C460" s="11" t="n"/>
      <c r="D460" s="11" t="n"/>
      <c r="E460" s="11" t="n"/>
      <c r="F460" s="11" t="n"/>
      <c r="G460" s="18" t="n"/>
      <c r="H460" s="11" t="n"/>
      <c r="I460" s="23">
        <f>IF(G460="","",ROUND(G460*H460/100,2))</f>
        <v/>
      </c>
    </row>
    <row r="461">
      <c r="A461" s="14" t="n"/>
      <c r="B461" s="11" t="n"/>
      <c r="C461" s="11" t="n"/>
      <c r="D461" s="11" t="n"/>
      <c r="E461" s="11" t="n"/>
      <c r="F461" s="11" t="n"/>
      <c r="G461" s="18" t="n"/>
      <c r="H461" s="11" t="n"/>
      <c r="I461" s="23">
        <f>IF(G461="","",ROUND(G461*H461/100,2))</f>
        <v/>
      </c>
    </row>
    <row r="462">
      <c r="A462" s="14" t="n"/>
      <c r="B462" s="11" t="n"/>
      <c r="C462" s="11" t="n"/>
      <c r="D462" s="11" t="n"/>
      <c r="E462" s="11" t="n"/>
      <c r="F462" s="11" t="n"/>
      <c r="G462" s="18" t="n"/>
      <c r="H462" s="11" t="n"/>
      <c r="I462" s="23">
        <f>IF(G462="","",ROUND(G462*H462/100,2))</f>
        <v/>
      </c>
    </row>
    <row r="463">
      <c r="A463" s="14" t="n"/>
      <c r="B463" s="11" t="n"/>
      <c r="C463" s="11" t="n"/>
      <c r="D463" s="11" t="n"/>
      <c r="E463" s="11" t="n"/>
      <c r="F463" s="11" t="n"/>
      <c r="G463" s="18" t="n"/>
      <c r="H463" s="11" t="n"/>
      <c r="I463" s="23">
        <f>IF(G463="","",ROUND(G463*H463/100,2))</f>
        <v/>
      </c>
    </row>
    <row r="464">
      <c r="A464" s="14" t="n"/>
      <c r="B464" s="11" t="n"/>
      <c r="C464" s="11" t="n"/>
      <c r="D464" s="11" t="n"/>
      <c r="E464" s="11" t="n"/>
      <c r="F464" s="11" t="n"/>
      <c r="G464" s="18" t="n"/>
      <c r="H464" s="11" t="n"/>
      <c r="I464" s="23">
        <f>IF(G464="","",ROUND(G464*H464/100,2))</f>
        <v/>
      </c>
    </row>
    <row r="465">
      <c r="A465" s="14" t="n"/>
      <c r="B465" s="11" t="n"/>
      <c r="C465" s="11" t="n"/>
      <c r="D465" s="11" t="n"/>
      <c r="E465" s="11" t="n"/>
      <c r="F465" s="11" t="n"/>
      <c r="G465" s="18" t="n"/>
      <c r="H465" s="11" t="n"/>
      <c r="I465" s="23">
        <f>IF(G465="","",ROUND(G465*H465/100,2))</f>
        <v/>
      </c>
    </row>
    <row r="466">
      <c r="A466" s="14" t="n"/>
      <c r="B466" s="11" t="n"/>
      <c r="C466" s="11" t="n"/>
      <c r="D466" s="11" t="n"/>
      <c r="E466" s="11" t="n"/>
      <c r="F466" s="11" t="n"/>
      <c r="G466" s="18" t="n"/>
      <c r="H466" s="11" t="n"/>
      <c r="I466" s="23">
        <f>IF(G466="","",ROUND(G466*H466/100,2))</f>
        <v/>
      </c>
    </row>
    <row r="467">
      <c r="A467" s="14" t="n"/>
      <c r="B467" s="11" t="n"/>
      <c r="C467" s="11" t="n"/>
      <c r="D467" s="11" t="n"/>
      <c r="E467" s="11" t="n"/>
      <c r="F467" s="11" t="n"/>
      <c r="G467" s="18" t="n"/>
      <c r="H467" s="11" t="n"/>
      <c r="I467" s="23">
        <f>IF(G467="","",ROUND(G467*H467/100,2))</f>
        <v/>
      </c>
    </row>
    <row r="468">
      <c r="A468" s="14" t="n"/>
      <c r="B468" s="11" t="n"/>
      <c r="C468" s="11" t="n"/>
      <c r="D468" s="11" t="n"/>
      <c r="E468" s="11" t="n"/>
      <c r="F468" s="11" t="n"/>
      <c r="G468" s="18" t="n"/>
      <c r="H468" s="11" t="n"/>
      <c r="I468" s="23">
        <f>IF(G468="","",ROUND(G468*H468/100,2))</f>
        <v/>
      </c>
    </row>
    <row r="469">
      <c r="A469" s="14" t="n"/>
      <c r="B469" s="11" t="n"/>
      <c r="C469" s="11" t="n"/>
      <c r="D469" s="11" t="n"/>
      <c r="E469" s="11" t="n"/>
      <c r="F469" s="11" t="n"/>
      <c r="G469" s="18" t="n"/>
      <c r="H469" s="11" t="n"/>
      <c r="I469" s="23">
        <f>IF(G469="","",ROUND(G469*H469/100,2))</f>
        <v/>
      </c>
    </row>
    <row r="470">
      <c r="A470" s="14" t="n"/>
      <c r="B470" s="11" t="n"/>
      <c r="C470" s="11" t="n"/>
      <c r="D470" s="11" t="n"/>
      <c r="E470" s="11" t="n"/>
      <c r="F470" s="11" t="n"/>
      <c r="G470" s="18" t="n"/>
      <c r="H470" s="11" t="n"/>
      <c r="I470" s="23">
        <f>IF(G470="","",ROUND(G470*H470/100,2))</f>
        <v/>
      </c>
    </row>
    <row r="471">
      <c r="A471" s="14" t="n"/>
      <c r="B471" s="11" t="n"/>
      <c r="C471" s="11" t="n"/>
      <c r="D471" s="11" t="n"/>
      <c r="E471" s="11" t="n"/>
      <c r="F471" s="11" t="n"/>
      <c r="G471" s="18" t="n"/>
      <c r="H471" s="11" t="n"/>
      <c r="I471" s="23">
        <f>IF(G471="","",ROUND(G471*H471/100,2))</f>
        <v/>
      </c>
    </row>
    <row r="472">
      <c r="A472" s="14" t="n"/>
      <c r="B472" s="11" t="n"/>
      <c r="C472" s="11" t="n"/>
      <c r="D472" s="11" t="n"/>
      <c r="E472" s="11" t="n"/>
      <c r="F472" s="11" t="n"/>
      <c r="G472" s="18" t="n"/>
      <c r="H472" s="11" t="n"/>
      <c r="I472" s="23">
        <f>IF(G472="","",ROUND(G472*H472/100,2))</f>
        <v/>
      </c>
    </row>
    <row r="473">
      <c r="A473" s="14" t="n"/>
      <c r="B473" s="11" t="n"/>
      <c r="C473" s="11" t="n"/>
      <c r="D473" s="11" t="n"/>
      <c r="E473" s="11" t="n"/>
      <c r="F473" s="11" t="n"/>
      <c r="G473" s="18" t="n"/>
      <c r="H473" s="11" t="n"/>
      <c r="I473" s="23">
        <f>IF(G473="","",ROUND(G473*H473/100,2))</f>
        <v/>
      </c>
    </row>
    <row r="474">
      <c r="A474" s="14" t="n"/>
      <c r="B474" s="11" t="n"/>
      <c r="C474" s="11" t="n"/>
      <c r="D474" s="11" t="n"/>
      <c r="E474" s="11" t="n"/>
      <c r="F474" s="11" t="n"/>
      <c r="G474" s="18" t="n"/>
      <c r="H474" s="11" t="n"/>
      <c r="I474" s="23">
        <f>IF(G474="","",ROUND(G474*H474/100,2))</f>
        <v/>
      </c>
    </row>
    <row r="475">
      <c r="A475" s="14" t="n"/>
      <c r="B475" s="11" t="n"/>
      <c r="C475" s="11" t="n"/>
      <c r="D475" s="11" t="n"/>
      <c r="E475" s="11" t="n"/>
      <c r="F475" s="11" t="n"/>
      <c r="G475" s="18" t="n"/>
      <c r="H475" s="11" t="n"/>
      <c r="I475" s="23">
        <f>IF(G475="","",ROUND(G475*H475/100,2))</f>
        <v/>
      </c>
    </row>
    <row r="476">
      <c r="A476" s="14" t="n"/>
      <c r="B476" s="11" t="n"/>
      <c r="C476" s="11" t="n"/>
      <c r="D476" s="11" t="n"/>
      <c r="E476" s="11" t="n"/>
      <c r="F476" s="11" t="n"/>
      <c r="G476" s="18" t="n"/>
      <c r="H476" s="11" t="n"/>
      <c r="I476" s="23">
        <f>IF(G476="","",ROUND(G476*H476/100,2))</f>
        <v/>
      </c>
    </row>
    <row r="477">
      <c r="A477" s="14" t="n"/>
      <c r="B477" s="11" t="n"/>
      <c r="C477" s="11" t="n"/>
      <c r="D477" s="11" t="n"/>
      <c r="E477" s="11" t="n"/>
      <c r="F477" s="11" t="n"/>
      <c r="G477" s="18" t="n"/>
      <c r="H477" s="11" t="n"/>
      <c r="I477" s="23">
        <f>IF(G477="","",ROUND(G477*H477/100,2))</f>
        <v/>
      </c>
    </row>
    <row r="478">
      <c r="A478" s="14" t="n"/>
      <c r="B478" s="11" t="n"/>
      <c r="C478" s="11" t="n"/>
      <c r="D478" s="11" t="n"/>
      <c r="E478" s="11" t="n"/>
      <c r="F478" s="11" t="n"/>
      <c r="G478" s="18" t="n"/>
      <c r="H478" s="11" t="n"/>
      <c r="I478" s="23">
        <f>IF(G478="","",ROUND(G478*H478/100,2))</f>
        <v/>
      </c>
    </row>
    <row r="479">
      <c r="A479" s="14" t="n"/>
      <c r="B479" s="11" t="n"/>
      <c r="C479" s="11" t="n"/>
      <c r="D479" s="11" t="n"/>
      <c r="E479" s="11" t="n"/>
      <c r="F479" s="11" t="n"/>
      <c r="G479" s="18" t="n"/>
      <c r="H479" s="11" t="n"/>
      <c r="I479" s="23">
        <f>IF(G479="","",ROUND(G479*H479/100,2))</f>
        <v/>
      </c>
    </row>
    <row r="480">
      <c r="A480" s="14" t="n"/>
      <c r="B480" s="11" t="n"/>
      <c r="C480" s="11" t="n"/>
      <c r="D480" s="11" t="n"/>
      <c r="E480" s="11" t="n"/>
      <c r="F480" s="11" t="n"/>
      <c r="G480" s="18" t="n"/>
      <c r="H480" s="11" t="n"/>
      <c r="I480" s="23">
        <f>IF(G480="","",ROUND(G480*H480/100,2))</f>
        <v/>
      </c>
    </row>
    <row r="481">
      <c r="A481" s="14" t="n"/>
      <c r="B481" s="11" t="n"/>
      <c r="C481" s="11" t="n"/>
      <c r="D481" s="11" t="n"/>
      <c r="E481" s="11" t="n"/>
      <c r="F481" s="11" t="n"/>
      <c r="G481" s="18" t="n"/>
      <c r="H481" s="11" t="n"/>
      <c r="I481" s="23">
        <f>IF(G481="","",ROUND(G481*H481/100,2))</f>
        <v/>
      </c>
    </row>
    <row r="482">
      <c r="A482" s="14" t="n"/>
      <c r="B482" s="11" t="n"/>
      <c r="C482" s="11" t="n"/>
      <c r="D482" s="11" t="n"/>
      <c r="E482" s="11" t="n"/>
      <c r="F482" s="11" t="n"/>
      <c r="G482" s="18" t="n"/>
      <c r="H482" s="11" t="n"/>
      <c r="I482" s="23">
        <f>IF(G482="","",ROUND(G482*H482/100,2))</f>
        <v/>
      </c>
    </row>
    <row r="483">
      <c r="A483" s="14" t="n"/>
      <c r="B483" s="11" t="n"/>
      <c r="C483" s="11" t="n"/>
      <c r="D483" s="11" t="n"/>
      <c r="E483" s="11" t="n"/>
      <c r="F483" s="11" t="n"/>
      <c r="G483" s="18" t="n"/>
      <c r="H483" s="11" t="n"/>
      <c r="I483" s="23">
        <f>IF(G483="","",ROUND(G483*H483/100,2))</f>
        <v/>
      </c>
    </row>
    <row r="484">
      <c r="A484" s="14" t="n"/>
      <c r="B484" s="11" t="n"/>
      <c r="C484" s="11" t="n"/>
      <c r="D484" s="11" t="n"/>
      <c r="E484" s="11" t="n"/>
      <c r="F484" s="11" t="n"/>
      <c r="G484" s="18" t="n"/>
      <c r="H484" s="11" t="n"/>
      <c r="I484" s="23">
        <f>IF(G484="","",ROUND(G484*H484/100,2))</f>
        <v/>
      </c>
    </row>
    <row r="485">
      <c r="A485" s="14" t="n"/>
      <c r="B485" s="11" t="n"/>
      <c r="C485" s="11" t="n"/>
      <c r="D485" s="11" t="n"/>
      <c r="E485" s="11" t="n"/>
      <c r="F485" s="11" t="n"/>
      <c r="G485" s="18" t="n"/>
      <c r="H485" s="11" t="n"/>
      <c r="I485" s="23">
        <f>IF(G485="","",ROUND(G485*H485/100,2))</f>
        <v/>
      </c>
    </row>
    <row r="486">
      <c r="A486" s="14" t="n"/>
      <c r="B486" s="11" t="n"/>
      <c r="C486" s="11" t="n"/>
      <c r="D486" s="11" t="n"/>
      <c r="E486" s="11" t="n"/>
      <c r="F486" s="11" t="n"/>
      <c r="G486" s="18" t="n"/>
      <c r="H486" s="11" t="n"/>
      <c r="I486" s="23">
        <f>IF(G486="","",ROUND(G486*H486/100,2))</f>
        <v/>
      </c>
    </row>
    <row r="487">
      <c r="A487" s="14" t="n"/>
      <c r="B487" s="11" t="n"/>
      <c r="C487" s="11" t="n"/>
      <c r="D487" s="11" t="n"/>
      <c r="E487" s="11" t="n"/>
      <c r="F487" s="11" t="n"/>
      <c r="G487" s="18" t="n"/>
      <c r="H487" s="11" t="n"/>
      <c r="I487" s="23">
        <f>IF(G487="","",ROUND(G487*H487/100,2))</f>
        <v/>
      </c>
    </row>
    <row r="488">
      <c r="A488" s="14" t="n"/>
      <c r="B488" s="11" t="n"/>
      <c r="C488" s="11" t="n"/>
      <c r="D488" s="11" t="n"/>
      <c r="E488" s="11" t="n"/>
      <c r="F488" s="11" t="n"/>
      <c r="G488" s="18" t="n"/>
      <c r="H488" s="11" t="n"/>
      <c r="I488" s="23">
        <f>IF(G488="","",ROUND(G488*H488/100,2))</f>
        <v/>
      </c>
    </row>
    <row r="489">
      <c r="A489" s="14" t="n"/>
      <c r="B489" s="11" t="n"/>
      <c r="C489" s="11" t="n"/>
      <c r="D489" s="11" t="n"/>
      <c r="E489" s="11" t="n"/>
      <c r="F489" s="11" t="n"/>
      <c r="G489" s="18" t="n"/>
      <c r="H489" s="11" t="n"/>
      <c r="I489" s="23">
        <f>IF(G489="","",ROUND(G489*H489/100,2))</f>
        <v/>
      </c>
    </row>
    <row r="490">
      <c r="A490" s="14" t="n"/>
      <c r="B490" s="11" t="n"/>
      <c r="C490" s="11" t="n"/>
      <c r="D490" s="11" t="n"/>
      <c r="E490" s="11" t="n"/>
      <c r="F490" s="11" t="n"/>
      <c r="G490" s="18" t="n"/>
      <c r="H490" s="11" t="n"/>
      <c r="I490" s="23">
        <f>IF(G490="","",ROUND(G490*H490/100,2))</f>
        <v/>
      </c>
    </row>
    <row r="491">
      <c r="A491" s="14" t="n"/>
      <c r="B491" s="11" t="n"/>
      <c r="C491" s="11" t="n"/>
      <c r="D491" s="11" t="n"/>
      <c r="E491" s="11" t="n"/>
      <c r="F491" s="11" t="n"/>
      <c r="G491" s="18" t="n"/>
      <c r="H491" s="11" t="n"/>
      <c r="I491" s="23">
        <f>IF(G491="","",ROUND(G491*H491/100,2))</f>
        <v/>
      </c>
    </row>
    <row r="492">
      <c r="A492" s="14" t="n"/>
      <c r="B492" s="11" t="n"/>
      <c r="C492" s="11" t="n"/>
      <c r="D492" s="11" t="n"/>
      <c r="E492" s="11" t="n"/>
      <c r="F492" s="11" t="n"/>
      <c r="G492" s="18" t="n"/>
      <c r="H492" s="11" t="n"/>
      <c r="I492" s="23">
        <f>IF(G492="","",ROUND(G492*H492/100,2))</f>
        <v/>
      </c>
    </row>
    <row r="493">
      <c r="A493" s="14" t="n"/>
      <c r="B493" s="11" t="n"/>
      <c r="C493" s="11" t="n"/>
      <c r="D493" s="11" t="n"/>
      <c r="E493" s="11" t="n"/>
      <c r="F493" s="11" t="n"/>
      <c r="G493" s="18" t="n"/>
      <c r="H493" s="11" t="n"/>
      <c r="I493" s="23">
        <f>IF(G493="","",ROUND(G493*H493/100,2))</f>
        <v/>
      </c>
    </row>
    <row r="494">
      <c r="A494" s="14" t="n"/>
      <c r="B494" s="11" t="n"/>
      <c r="C494" s="11" t="n"/>
      <c r="D494" s="11" t="n"/>
      <c r="E494" s="11" t="n"/>
      <c r="F494" s="11" t="n"/>
      <c r="G494" s="18" t="n"/>
      <c r="H494" s="11" t="n"/>
      <c r="I494" s="23">
        <f>IF(G494="","",ROUND(G494*H494/100,2))</f>
        <v/>
      </c>
    </row>
    <row r="495">
      <c r="A495" s="14" t="n"/>
      <c r="B495" s="11" t="n"/>
      <c r="C495" s="11" t="n"/>
      <c r="D495" s="11" t="n"/>
      <c r="E495" s="11" t="n"/>
      <c r="F495" s="11" t="n"/>
      <c r="G495" s="18" t="n"/>
      <c r="H495" s="11" t="n"/>
      <c r="I495" s="23">
        <f>IF(G495="","",ROUND(G495*H495/100,2))</f>
        <v/>
      </c>
    </row>
    <row r="496">
      <c r="A496" s="14" t="n"/>
      <c r="B496" s="11" t="n"/>
      <c r="C496" s="11" t="n"/>
      <c r="D496" s="11" t="n"/>
      <c r="E496" s="11" t="n"/>
      <c r="F496" s="11" t="n"/>
      <c r="G496" s="18" t="n"/>
      <c r="H496" s="11" t="n"/>
      <c r="I496" s="23">
        <f>IF(G496="","",ROUND(G496*H496/100,2))</f>
        <v/>
      </c>
    </row>
    <row r="497">
      <c r="A497" s="14" t="n"/>
      <c r="B497" s="11" t="n"/>
      <c r="C497" s="11" t="n"/>
      <c r="D497" s="11" t="n"/>
      <c r="E497" s="11" t="n"/>
      <c r="F497" s="11" t="n"/>
      <c r="G497" s="18" t="n"/>
      <c r="H497" s="11" t="n"/>
      <c r="I497" s="23">
        <f>IF(G497="","",ROUND(G497*H497/100,2))</f>
        <v/>
      </c>
    </row>
    <row r="498">
      <c r="A498" s="14" t="n"/>
      <c r="B498" s="11" t="n"/>
      <c r="C498" s="11" t="n"/>
      <c r="D498" s="11" t="n"/>
      <c r="E498" s="11" t="n"/>
      <c r="F498" s="11" t="n"/>
      <c r="G498" s="18" t="n"/>
      <c r="H498" s="11" t="n"/>
      <c r="I498" s="23">
        <f>IF(G498="","",ROUND(G498*H498/100,2))</f>
        <v/>
      </c>
    </row>
    <row r="499">
      <c r="A499" s="14" t="n"/>
      <c r="B499" s="11" t="n"/>
      <c r="C499" s="11" t="n"/>
      <c r="D499" s="11" t="n"/>
      <c r="E499" s="11" t="n"/>
      <c r="F499" s="11" t="n"/>
      <c r="G499" s="18" t="n"/>
      <c r="H499" s="11" t="n"/>
      <c r="I499" s="23">
        <f>IF(G499="","",ROUND(G499*H499/100,2))</f>
        <v/>
      </c>
    </row>
    <row r="500">
      <c r="A500" s="14" t="n"/>
      <c r="B500" s="11" t="n"/>
      <c r="C500" s="11" t="n"/>
      <c r="D500" s="11" t="n"/>
      <c r="E500" s="11" t="n"/>
      <c r="F500" s="11" t="n"/>
      <c r="G500" s="18" t="n"/>
      <c r="H500" s="11" t="n"/>
      <c r="I500" s="23">
        <f>IF(G500="","",ROUND(G500*H500/100,2))</f>
        <v/>
      </c>
    </row>
    <row r="501">
      <c r="A501" s="14" t="n"/>
      <c r="B501" s="11" t="n"/>
      <c r="C501" s="11" t="n"/>
      <c r="D501" s="11" t="n"/>
      <c r="E501" s="11" t="n"/>
      <c r="F501" s="11" t="n"/>
      <c r="G501" s="18" t="n"/>
      <c r="H501" s="11" t="n"/>
      <c r="I501" s="23">
        <f>IF(G501="","",ROUND(G501*H501/100,2))</f>
        <v/>
      </c>
    </row>
    <row r="502">
      <c r="A502" s="14" t="n"/>
      <c r="B502" s="11" t="n"/>
      <c r="C502" s="11" t="n"/>
      <c r="D502" s="11" t="n"/>
      <c r="E502" s="11" t="n"/>
      <c r="F502" s="11" t="n"/>
      <c r="G502" s="18" t="n"/>
      <c r="H502" s="11" t="n"/>
      <c r="I502" s="23">
        <f>IF(G502="","",ROUND(G502*H502/100,2))</f>
        <v/>
      </c>
    </row>
    <row r="503">
      <c r="A503" s="14" t="n"/>
      <c r="B503" s="11" t="n"/>
      <c r="C503" s="11" t="n"/>
      <c r="D503" s="11" t="n"/>
      <c r="E503" s="11" t="n"/>
      <c r="F503" s="11" t="n"/>
      <c r="G503" s="18" t="n"/>
      <c r="H503" s="11" t="n"/>
      <c r="I503" s="23">
        <f>IF(G503="","",ROUND(G503*H503/100,2))</f>
        <v/>
      </c>
    </row>
    <row r="504">
      <c r="A504" s="14" t="n"/>
      <c r="B504" s="11" t="n"/>
      <c r="C504" s="11" t="n"/>
      <c r="D504" s="11" t="n"/>
      <c r="E504" s="11" t="n"/>
      <c r="F504" s="11" t="n"/>
      <c r="G504" s="18" t="n"/>
      <c r="H504" s="11" t="n"/>
      <c r="I504" s="23">
        <f>IF(G504="","",ROUND(G504*H504/100,2))</f>
        <v/>
      </c>
    </row>
    <row r="505">
      <c r="A505" s="14" t="n"/>
      <c r="B505" s="11" t="n"/>
      <c r="C505" s="11" t="n"/>
      <c r="D505" s="11" t="n"/>
      <c r="E505" s="11" t="n"/>
      <c r="F505" s="11" t="n"/>
      <c r="G505" s="18" t="n"/>
      <c r="H505" s="11" t="n"/>
      <c r="I505" s="23">
        <f>IF(G505="","",ROUND(G505*H505/100,2))</f>
        <v/>
      </c>
    </row>
    <row r="506">
      <c r="A506" s="14" t="n"/>
      <c r="B506" s="11" t="n"/>
      <c r="C506" s="11" t="n"/>
      <c r="D506" s="11" t="n"/>
      <c r="E506" s="11" t="n"/>
      <c r="F506" s="11" t="n"/>
      <c r="G506" s="18" t="n"/>
      <c r="H506" s="11" t="n"/>
      <c r="I506" s="23">
        <f>IF(G506="","",ROUND(G506*H506/100,2))</f>
        <v/>
      </c>
    </row>
    <row r="507">
      <c r="A507" s="14" t="n"/>
      <c r="B507" s="11" t="n"/>
      <c r="C507" s="11" t="n"/>
      <c r="D507" s="11" t="n"/>
      <c r="E507" s="11" t="n"/>
      <c r="F507" s="11" t="n"/>
      <c r="G507" s="18" t="n"/>
      <c r="H507" s="11" t="n"/>
      <c r="I507" s="23">
        <f>IF(G507="","",ROUND(G507*H507/100,2))</f>
        <v/>
      </c>
    </row>
    <row r="508">
      <c r="A508" s="14" t="n"/>
      <c r="B508" s="11" t="n"/>
      <c r="C508" s="11" t="n"/>
      <c r="D508" s="11" t="n"/>
      <c r="E508" s="11" t="n"/>
      <c r="F508" s="11" t="n"/>
      <c r="G508" s="18" t="n"/>
      <c r="H508" s="11" t="n"/>
      <c r="I508" s="23">
        <f>IF(G508="","",ROUND(G508*H508/100,2))</f>
        <v/>
      </c>
    </row>
    <row r="509">
      <c r="A509" s="14" t="n"/>
      <c r="B509" s="11" t="n"/>
      <c r="C509" s="11" t="n"/>
      <c r="D509" s="11" t="n"/>
      <c r="E509" s="11" t="n"/>
      <c r="F509" s="11" t="n"/>
      <c r="G509" s="18" t="n"/>
      <c r="H509" s="11" t="n"/>
      <c r="I509" s="23">
        <f>IF(G509="","",ROUND(G509*H509/100,2))</f>
        <v/>
      </c>
    </row>
    <row r="510">
      <c r="A510" s="14" t="n"/>
      <c r="B510" s="11" t="n"/>
      <c r="C510" s="11" t="n"/>
      <c r="D510" s="11" t="n"/>
      <c r="E510" s="11" t="n"/>
      <c r="F510" s="11" t="n"/>
      <c r="G510" s="18" t="n"/>
      <c r="H510" s="11" t="n"/>
      <c r="I510" s="23">
        <f>IF(G510="","",ROUND(G510*H510/100,2))</f>
        <v/>
      </c>
    </row>
    <row r="511">
      <c r="A511" s="14" t="n"/>
      <c r="B511" s="11" t="n"/>
      <c r="C511" s="11" t="n"/>
      <c r="D511" s="11" t="n"/>
      <c r="E511" s="11" t="n"/>
      <c r="F511" s="11" t="n"/>
      <c r="G511" s="18" t="n"/>
      <c r="H511" s="11" t="n"/>
      <c r="I511" s="23">
        <f>IF(G511="","",ROUND(G511*H511/100,2))</f>
        <v/>
      </c>
    </row>
    <row r="512">
      <c r="A512" s="14" t="n"/>
      <c r="B512" s="11" t="n"/>
      <c r="C512" s="11" t="n"/>
      <c r="D512" s="11" t="n"/>
      <c r="E512" s="11" t="n"/>
      <c r="F512" s="11" t="n"/>
      <c r="G512" s="18" t="n"/>
      <c r="H512" s="11" t="n"/>
      <c r="I512" s="23">
        <f>IF(G512="","",ROUND(G512*H512/100,2))</f>
        <v/>
      </c>
    </row>
    <row r="513">
      <c r="A513" s="14" t="n"/>
      <c r="B513" s="11" t="n"/>
      <c r="C513" s="11" t="n"/>
      <c r="D513" s="11" t="n"/>
      <c r="E513" s="11" t="n"/>
      <c r="F513" s="11" t="n"/>
      <c r="G513" s="18" t="n"/>
      <c r="H513" s="11" t="n"/>
      <c r="I513" s="23">
        <f>IF(G513="","",ROUND(G513*H513/100,2))</f>
        <v/>
      </c>
    </row>
    <row r="514">
      <c r="A514" s="14" t="n"/>
      <c r="B514" s="11" t="n"/>
      <c r="C514" s="11" t="n"/>
      <c r="D514" s="11" t="n"/>
      <c r="E514" s="11" t="n"/>
      <c r="F514" s="11" t="n"/>
      <c r="G514" s="18" t="n"/>
      <c r="H514" s="11" t="n"/>
      <c r="I514" s="23">
        <f>IF(G514="","",ROUND(G514*H514/100,2))</f>
        <v/>
      </c>
    </row>
    <row r="515">
      <c r="A515" s="14" t="n"/>
      <c r="B515" s="11" t="n"/>
      <c r="C515" s="11" t="n"/>
      <c r="D515" s="11" t="n"/>
      <c r="E515" s="11" t="n"/>
      <c r="F515" s="11" t="n"/>
      <c r="G515" s="18" t="n"/>
      <c r="H515" s="11" t="n"/>
      <c r="I515" s="23">
        <f>IF(G515="","",ROUND(G515*H515/100,2))</f>
        <v/>
      </c>
    </row>
    <row r="516">
      <c r="A516" s="14" t="n"/>
      <c r="B516" s="11" t="n"/>
      <c r="C516" s="11" t="n"/>
      <c r="D516" s="11" t="n"/>
      <c r="E516" s="11" t="n"/>
      <c r="F516" s="11" t="n"/>
      <c r="G516" s="18" t="n"/>
      <c r="H516" s="11" t="n"/>
      <c r="I516" s="23">
        <f>IF(G516="","",ROUND(G516*H516/100,2))</f>
        <v/>
      </c>
    </row>
    <row r="517">
      <c r="A517" s="14" t="n"/>
      <c r="B517" s="11" t="n"/>
      <c r="C517" s="11" t="n"/>
      <c r="D517" s="11" t="n"/>
      <c r="E517" s="11" t="n"/>
      <c r="F517" s="11" t="n"/>
      <c r="G517" s="18" t="n"/>
      <c r="H517" s="11" t="n"/>
      <c r="I517" s="23">
        <f>IF(G517="","",ROUND(G517*H517/100,2))</f>
        <v/>
      </c>
    </row>
    <row r="518">
      <c r="A518" s="14" t="n"/>
      <c r="B518" s="11" t="n"/>
      <c r="C518" s="11" t="n"/>
      <c r="D518" s="11" t="n"/>
      <c r="E518" s="11" t="n"/>
      <c r="F518" s="11" t="n"/>
      <c r="G518" s="18" t="n"/>
      <c r="H518" s="11" t="n"/>
      <c r="I518" s="23">
        <f>IF(G518="","",ROUND(G518*H518/100,2))</f>
        <v/>
      </c>
    </row>
    <row r="519">
      <c r="A519" s="14" t="n"/>
      <c r="B519" s="11" t="n"/>
      <c r="C519" s="11" t="n"/>
      <c r="D519" s="11" t="n"/>
      <c r="E519" s="11" t="n"/>
      <c r="F519" s="11" t="n"/>
      <c r="G519" s="18" t="n"/>
      <c r="H519" s="11" t="n"/>
      <c r="I519" s="23">
        <f>IF(G519="","",ROUND(G519*H519/100,2))</f>
        <v/>
      </c>
    </row>
    <row r="520">
      <c r="A520" s="14" t="n"/>
      <c r="B520" s="11" t="n"/>
      <c r="C520" s="11" t="n"/>
      <c r="D520" s="11" t="n"/>
      <c r="E520" s="11" t="n"/>
      <c r="F520" s="11" t="n"/>
      <c r="G520" s="18" t="n"/>
      <c r="H520" s="11" t="n"/>
      <c r="I520" s="23">
        <f>IF(G520="","",ROUND(G520*H520/100,2))</f>
        <v/>
      </c>
    </row>
    <row r="521">
      <c r="A521" s="14" t="n"/>
      <c r="B521" s="11" t="n"/>
      <c r="C521" s="11" t="n"/>
      <c r="D521" s="11" t="n"/>
      <c r="E521" s="11" t="n"/>
      <c r="F521" s="11" t="n"/>
      <c r="G521" s="18" t="n"/>
      <c r="H521" s="11" t="n"/>
      <c r="I521" s="23">
        <f>IF(G521="","",ROUND(G521*H521/100,2))</f>
        <v/>
      </c>
    </row>
    <row r="522">
      <c r="A522" s="14" t="n"/>
      <c r="B522" s="11" t="n"/>
      <c r="C522" s="11" t="n"/>
      <c r="D522" s="11" t="n"/>
      <c r="E522" s="11" t="n"/>
      <c r="F522" s="11" t="n"/>
      <c r="G522" s="18" t="n"/>
      <c r="H522" s="11" t="n"/>
      <c r="I522" s="23">
        <f>IF(G522="","",ROUND(G522*H522/100,2))</f>
        <v/>
      </c>
    </row>
    <row r="523">
      <c r="A523" s="14" t="n"/>
      <c r="B523" s="11" t="n"/>
      <c r="C523" s="11" t="n"/>
      <c r="D523" s="11" t="n"/>
      <c r="E523" s="11" t="n"/>
      <c r="F523" s="11" t="n"/>
      <c r="G523" s="18" t="n"/>
      <c r="H523" s="11" t="n"/>
      <c r="I523" s="23">
        <f>IF(G523="","",ROUND(G523*H523/100,2))</f>
        <v/>
      </c>
    </row>
    <row r="524">
      <c r="A524" s="14" t="n"/>
      <c r="B524" s="11" t="n"/>
      <c r="C524" s="11" t="n"/>
      <c r="D524" s="11" t="n"/>
      <c r="E524" s="11" t="n"/>
      <c r="F524" s="11" t="n"/>
      <c r="G524" s="18" t="n"/>
      <c r="H524" s="11" t="n"/>
      <c r="I524" s="23">
        <f>IF(G524="","",ROUND(G524*H524/100,2))</f>
        <v/>
      </c>
    </row>
    <row r="525">
      <c r="A525" s="14" t="n"/>
      <c r="B525" s="11" t="n"/>
      <c r="C525" s="11" t="n"/>
      <c r="D525" s="11" t="n"/>
      <c r="E525" s="11" t="n"/>
      <c r="F525" s="11" t="n"/>
      <c r="G525" s="18" t="n"/>
      <c r="H525" s="11" t="n"/>
      <c r="I525" s="23">
        <f>IF(G525="","",ROUND(G525*H525/100,2))</f>
        <v/>
      </c>
    </row>
    <row r="526">
      <c r="A526" s="14" t="n"/>
      <c r="B526" s="11" t="n"/>
      <c r="C526" s="11" t="n"/>
      <c r="D526" s="11" t="n"/>
      <c r="E526" s="11" t="n"/>
      <c r="F526" s="11" t="n"/>
      <c r="G526" s="18" t="n"/>
      <c r="H526" s="11" t="n"/>
      <c r="I526" s="23">
        <f>IF(G526="","",ROUND(G526*H526/100,2))</f>
        <v/>
      </c>
    </row>
    <row r="527">
      <c r="A527" s="14" t="n"/>
      <c r="B527" s="11" t="n"/>
      <c r="C527" s="11" t="n"/>
      <c r="D527" s="11" t="n"/>
      <c r="E527" s="11" t="n"/>
      <c r="F527" s="11" t="n"/>
      <c r="G527" s="18" t="n"/>
      <c r="H527" s="11" t="n"/>
      <c r="I527" s="23">
        <f>IF(G527="","",ROUND(G527*H527/100,2))</f>
        <v/>
      </c>
    </row>
    <row r="528">
      <c r="A528" s="14" t="n"/>
      <c r="B528" s="11" t="n"/>
      <c r="C528" s="11" t="n"/>
      <c r="D528" s="11" t="n"/>
      <c r="E528" s="11" t="n"/>
      <c r="F528" s="11" t="n"/>
      <c r="G528" s="18" t="n"/>
      <c r="H528" s="11" t="n"/>
      <c r="I528" s="23">
        <f>IF(G528="","",ROUND(G528*H528/100,2))</f>
        <v/>
      </c>
    </row>
    <row r="529">
      <c r="A529" s="14" t="n"/>
      <c r="B529" s="11" t="n"/>
      <c r="C529" s="11" t="n"/>
      <c r="D529" s="11" t="n"/>
      <c r="E529" s="11" t="n"/>
      <c r="F529" s="11" t="n"/>
      <c r="G529" s="18" t="n"/>
      <c r="H529" s="11" t="n"/>
      <c r="I529" s="23">
        <f>IF(G529="","",ROUND(G529*H529/100,2))</f>
        <v/>
      </c>
    </row>
    <row r="530">
      <c r="A530" s="14" t="n"/>
      <c r="B530" s="11" t="n"/>
      <c r="C530" s="11" t="n"/>
      <c r="D530" s="11" t="n"/>
      <c r="E530" s="11" t="n"/>
      <c r="F530" s="11" t="n"/>
      <c r="G530" s="18" t="n"/>
      <c r="H530" s="11" t="n"/>
      <c r="I530" s="23">
        <f>IF(G530="","",ROUND(G530*H530/100,2))</f>
        <v/>
      </c>
    </row>
    <row r="531">
      <c r="A531" s="14" t="n"/>
      <c r="B531" s="11" t="n"/>
      <c r="C531" s="11" t="n"/>
      <c r="D531" s="11" t="n"/>
      <c r="E531" s="11" t="n"/>
      <c r="F531" s="11" t="n"/>
      <c r="G531" s="18" t="n"/>
      <c r="H531" s="11" t="n"/>
      <c r="I531" s="23">
        <f>IF(G531="","",ROUND(G531*H531/100,2))</f>
        <v/>
      </c>
    </row>
    <row r="532">
      <c r="A532" s="14" t="n"/>
      <c r="B532" s="11" t="n"/>
      <c r="C532" s="11" t="n"/>
      <c r="D532" s="11" t="n"/>
      <c r="E532" s="11" t="n"/>
      <c r="F532" s="11" t="n"/>
      <c r="G532" s="18" t="n"/>
      <c r="H532" s="11" t="n"/>
      <c r="I532" s="23">
        <f>IF(G532="","",ROUND(G532*H532/100,2))</f>
        <v/>
      </c>
    </row>
    <row r="533">
      <c r="A533" s="14" t="n"/>
      <c r="B533" s="11" t="n"/>
      <c r="C533" s="11" t="n"/>
      <c r="D533" s="11" t="n"/>
      <c r="E533" s="11" t="n"/>
      <c r="F533" s="11" t="n"/>
      <c r="G533" s="18" t="n"/>
      <c r="H533" s="11" t="n"/>
      <c r="I533" s="23">
        <f>IF(G533="","",ROUND(G533*H533/100,2))</f>
        <v/>
      </c>
    </row>
    <row r="534">
      <c r="A534" s="14" t="n"/>
      <c r="B534" s="11" t="n"/>
      <c r="C534" s="11" t="n"/>
      <c r="D534" s="11" t="n"/>
      <c r="E534" s="11" t="n"/>
      <c r="F534" s="11" t="n"/>
      <c r="G534" s="18" t="n"/>
      <c r="H534" s="11" t="n"/>
      <c r="I534" s="23">
        <f>IF(G534="","",ROUND(G534*H534/100,2))</f>
        <v/>
      </c>
    </row>
    <row r="535">
      <c r="A535" s="14" t="n"/>
      <c r="B535" s="11" t="n"/>
      <c r="C535" s="11" t="n"/>
      <c r="D535" s="11" t="n"/>
      <c r="E535" s="11" t="n"/>
      <c r="F535" s="11" t="n"/>
      <c r="G535" s="18" t="n"/>
      <c r="H535" s="11" t="n"/>
      <c r="I535" s="23">
        <f>IF(G535="","",ROUND(G535*H535/100,2))</f>
        <v/>
      </c>
    </row>
    <row r="536">
      <c r="A536" s="14" t="n"/>
      <c r="B536" s="11" t="n"/>
      <c r="C536" s="11" t="n"/>
      <c r="D536" s="11" t="n"/>
      <c r="E536" s="11" t="n"/>
      <c r="F536" s="11" t="n"/>
      <c r="G536" s="18" t="n"/>
      <c r="H536" s="11" t="n"/>
      <c r="I536" s="23">
        <f>IF(G536="","",ROUND(G536*H536/100,2))</f>
        <v/>
      </c>
    </row>
    <row r="537">
      <c r="A537" s="14" t="n"/>
      <c r="B537" s="11" t="n"/>
      <c r="C537" s="11" t="n"/>
      <c r="D537" s="11" t="n"/>
      <c r="E537" s="11" t="n"/>
      <c r="F537" s="11" t="n"/>
      <c r="G537" s="18" t="n"/>
      <c r="H537" s="11" t="n"/>
      <c r="I537" s="23">
        <f>IF(G537="","",ROUND(G537*H537/100,2))</f>
        <v/>
      </c>
    </row>
    <row r="538">
      <c r="A538" s="14" t="n"/>
      <c r="B538" s="11" t="n"/>
      <c r="C538" s="11" t="n"/>
      <c r="D538" s="11" t="n"/>
      <c r="E538" s="11" t="n"/>
      <c r="F538" s="11" t="n"/>
      <c r="G538" s="18" t="n"/>
      <c r="H538" s="11" t="n"/>
      <c r="I538" s="23">
        <f>IF(G538="","",ROUND(G538*H538/100,2))</f>
        <v/>
      </c>
    </row>
    <row r="539">
      <c r="A539" s="14" t="n"/>
      <c r="B539" s="11" t="n"/>
      <c r="C539" s="11" t="n"/>
      <c r="D539" s="11" t="n"/>
      <c r="E539" s="11" t="n"/>
      <c r="F539" s="11" t="n"/>
      <c r="G539" s="18" t="n"/>
      <c r="H539" s="11" t="n"/>
      <c r="I539" s="23">
        <f>IF(G539="","",ROUND(G539*H539/100,2))</f>
        <v/>
      </c>
    </row>
    <row r="540">
      <c r="A540" s="14" t="n"/>
      <c r="B540" s="11" t="n"/>
      <c r="C540" s="11" t="n"/>
      <c r="D540" s="11" t="n"/>
      <c r="E540" s="11" t="n"/>
      <c r="F540" s="11" t="n"/>
      <c r="G540" s="18" t="n"/>
      <c r="H540" s="11" t="n"/>
      <c r="I540" s="23">
        <f>IF(G540="","",ROUND(G540*H540/100,2))</f>
        <v/>
      </c>
    </row>
    <row r="541">
      <c r="A541" s="14" t="n"/>
      <c r="B541" s="11" t="n"/>
      <c r="C541" s="11" t="n"/>
      <c r="D541" s="11" t="n"/>
      <c r="E541" s="11" t="n"/>
      <c r="F541" s="11" t="n"/>
      <c r="G541" s="18" t="n"/>
      <c r="H541" s="11" t="n"/>
      <c r="I541" s="23">
        <f>IF(G541="","",ROUND(G541*H541/100,2))</f>
        <v/>
      </c>
    </row>
    <row r="542">
      <c r="A542" s="14" t="n"/>
      <c r="B542" s="11" t="n"/>
      <c r="C542" s="11" t="n"/>
      <c r="D542" s="11" t="n"/>
      <c r="E542" s="11" t="n"/>
      <c r="F542" s="11" t="n"/>
      <c r="G542" s="18" t="n"/>
      <c r="H542" s="11" t="n"/>
      <c r="I542" s="23">
        <f>IF(G542="","",ROUND(G542*H542/100,2))</f>
        <v/>
      </c>
    </row>
    <row r="543">
      <c r="A543" s="14" t="n"/>
      <c r="B543" s="11" t="n"/>
      <c r="C543" s="11" t="n"/>
      <c r="D543" s="11" t="n"/>
      <c r="E543" s="11" t="n"/>
      <c r="F543" s="11" t="n"/>
      <c r="G543" s="18" t="n"/>
      <c r="H543" s="11" t="n"/>
      <c r="I543" s="23">
        <f>IF(G543="","",ROUND(G543*H543/100,2))</f>
        <v/>
      </c>
    </row>
    <row r="544">
      <c r="A544" s="14" t="n"/>
      <c r="B544" s="11" t="n"/>
      <c r="C544" s="11" t="n"/>
      <c r="D544" s="11" t="n"/>
      <c r="E544" s="11" t="n"/>
      <c r="F544" s="11" t="n"/>
      <c r="G544" s="18" t="n"/>
      <c r="H544" s="11" t="n"/>
      <c r="I544" s="23">
        <f>IF(G544="","",ROUND(G544*H544/100,2))</f>
        <v/>
      </c>
    </row>
    <row r="545">
      <c r="A545" s="14" t="n"/>
      <c r="B545" s="11" t="n"/>
      <c r="C545" s="11" t="n"/>
      <c r="D545" s="11" t="n"/>
      <c r="E545" s="11" t="n"/>
      <c r="F545" s="11" t="n"/>
      <c r="G545" s="18" t="n"/>
      <c r="H545" s="11" t="n"/>
      <c r="I545" s="23">
        <f>IF(G545="","",ROUND(G545*H545/100,2))</f>
        <v/>
      </c>
    </row>
    <row r="546">
      <c r="A546" s="14" t="n"/>
      <c r="B546" s="11" t="n"/>
      <c r="C546" s="11" t="n"/>
      <c r="D546" s="11" t="n"/>
      <c r="E546" s="11" t="n"/>
      <c r="F546" s="11" t="n"/>
      <c r="G546" s="18" t="n"/>
      <c r="H546" s="11" t="n"/>
      <c r="I546" s="23">
        <f>IF(G546="","",ROUND(G546*H546/100,2))</f>
        <v/>
      </c>
    </row>
    <row r="547">
      <c r="A547" s="14" t="n"/>
      <c r="B547" s="11" t="n"/>
      <c r="C547" s="11" t="n"/>
      <c r="D547" s="11" t="n"/>
      <c r="E547" s="11" t="n"/>
      <c r="F547" s="11" t="n"/>
      <c r="G547" s="18" t="n"/>
      <c r="H547" s="11" t="n"/>
      <c r="I547" s="23">
        <f>IF(G547="","",ROUND(G547*H547/100,2))</f>
        <v/>
      </c>
    </row>
    <row r="548">
      <c r="A548" s="14" t="n"/>
      <c r="B548" s="11" t="n"/>
      <c r="C548" s="11" t="n"/>
      <c r="D548" s="11" t="n"/>
      <c r="E548" s="11" t="n"/>
      <c r="F548" s="11" t="n"/>
      <c r="G548" s="18" t="n"/>
      <c r="H548" s="11" t="n"/>
      <c r="I548" s="23">
        <f>IF(G548="","",ROUND(G548*H548/100,2))</f>
        <v/>
      </c>
    </row>
    <row r="549">
      <c r="A549" s="14" t="n"/>
      <c r="B549" s="11" t="n"/>
      <c r="C549" s="11" t="n"/>
      <c r="D549" s="11" t="n"/>
      <c r="E549" s="11" t="n"/>
      <c r="F549" s="11" t="n"/>
      <c r="G549" s="18" t="n"/>
      <c r="H549" s="11" t="n"/>
      <c r="I549" s="23">
        <f>IF(G549="","",ROUND(G549*H549/100,2))</f>
        <v/>
      </c>
    </row>
    <row r="550">
      <c r="A550" s="14" t="n"/>
      <c r="B550" s="11" t="n"/>
      <c r="C550" s="11" t="n"/>
      <c r="D550" s="11" t="n"/>
      <c r="E550" s="11" t="n"/>
      <c r="F550" s="11" t="n"/>
      <c r="G550" s="18" t="n"/>
      <c r="H550" s="11" t="n"/>
      <c r="I550" s="23">
        <f>IF(G550="","",ROUND(G550*H550/100,2))</f>
        <v/>
      </c>
    </row>
    <row r="551">
      <c r="A551" s="14" t="n"/>
      <c r="B551" s="11" t="n"/>
      <c r="C551" s="11" t="n"/>
      <c r="D551" s="11" t="n"/>
      <c r="E551" s="11" t="n"/>
      <c r="F551" s="11" t="n"/>
      <c r="G551" s="18" t="n"/>
      <c r="H551" s="11" t="n"/>
      <c r="I551" s="23">
        <f>IF(G551="","",ROUND(G551*H551/100,2))</f>
        <v/>
      </c>
    </row>
    <row r="552">
      <c r="A552" s="14" t="n"/>
      <c r="B552" s="11" t="n"/>
      <c r="C552" s="11" t="n"/>
      <c r="D552" s="11" t="n"/>
      <c r="E552" s="11" t="n"/>
      <c r="F552" s="11" t="n"/>
      <c r="G552" s="18" t="n"/>
      <c r="H552" s="11" t="n"/>
      <c r="I552" s="23">
        <f>IF(G552="","",ROUND(G552*H552/100,2))</f>
        <v/>
      </c>
    </row>
    <row r="553">
      <c r="A553" s="14" t="n"/>
      <c r="B553" s="11" t="n"/>
      <c r="C553" s="11" t="n"/>
      <c r="D553" s="11" t="n"/>
      <c r="E553" s="11" t="n"/>
      <c r="F553" s="11" t="n"/>
      <c r="G553" s="18" t="n"/>
      <c r="H553" s="11" t="n"/>
      <c r="I553" s="23">
        <f>IF(G553="","",ROUND(G553*H553/100,2))</f>
        <v/>
      </c>
    </row>
    <row r="554">
      <c r="A554" s="14" t="n"/>
      <c r="B554" s="11" t="n"/>
      <c r="C554" s="11" t="n"/>
      <c r="D554" s="11" t="n"/>
      <c r="E554" s="11" t="n"/>
      <c r="F554" s="11" t="n"/>
      <c r="G554" s="18" t="n"/>
      <c r="H554" s="11" t="n"/>
      <c r="I554" s="23">
        <f>IF(G554="","",ROUND(G554*H554/100,2))</f>
        <v/>
      </c>
    </row>
    <row r="555">
      <c r="A555" s="14" t="n"/>
      <c r="B555" s="11" t="n"/>
      <c r="C555" s="11" t="n"/>
      <c r="D555" s="11" t="n"/>
      <c r="E555" s="11" t="n"/>
      <c r="F555" s="11" t="n"/>
      <c r="G555" s="18" t="n"/>
      <c r="H555" s="11" t="n"/>
      <c r="I555" s="23">
        <f>IF(G555="","",ROUND(G555*H555/100,2))</f>
        <v/>
      </c>
    </row>
    <row r="556">
      <c r="A556" s="14" t="n"/>
      <c r="B556" s="11" t="n"/>
      <c r="C556" s="11" t="n"/>
      <c r="D556" s="11" t="n"/>
      <c r="E556" s="11" t="n"/>
      <c r="F556" s="11" t="n"/>
      <c r="G556" s="18" t="n"/>
      <c r="H556" s="11" t="n"/>
      <c r="I556" s="23">
        <f>IF(G556="","",ROUND(G556*H556/100,2))</f>
        <v/>
      </c>
    </row>
    <row r="557">
      <c r="A557" s="14" t="n"/>
      <c r="B557" s="11" t="n"/>
      <c r="C557" s="11" t="n"/>
      <c r="D557" s="11" t="n"/>
      <c r="E557" s="11" t="n"/>
      <c r="F557" s="11" t="n"/>
      <c r="G557" s="18" t="n"/>
      <c r="H557" s="11" t="n"/>
      <c r="I557" s="23">
        <f>IF(G557="","",ROUND(G557*H557/100,2))</f>
        <v/>
      </c>
    </row>
    <row r="558">
      <c r="A558" s="14" t="n"/>
      <c r="B558" s="11" t="n"/>
      <c r="C558" s="11" t="n"/>
      <c r="D558" s="11" t="n"/>
      <c r="E558" s="11" t="n"/>
      <c r="F558" s="11" t="n"/>
      <c r="G558" s="18" t="n"/>
      <c r="H558" s="11" t="n"/>
      <c r="I558" s="23">
        <f>IF(G558="","",ROUND(G558*H558/100,2))</f>
        <v/>
      </c>
    </row>
    <row r="559">
      <c r="A559" s="14" t="n"/>
      <c r="B559" s="11" t="n"/>
      <c r="C559" s="11" t="n"/>
      <c r="D559" s="11" t="n"/>
      <c r="E559" s="11" t="n"/>
      <c r="F559" s="11" t="n"/>
      <c r="G559" s="18" t="n"/>
      <c r="H559" s="11" t="n"/>
      <c r="I559" s="23">
        <f>IF(G559="","",ROUND(G559*H559/100,2))</f>
        <v/>
      </c>
    </row>
    <row r="560">
      <c r="A560" s="14" t="n"/>
      <c r="B560" s="11" t="n"/>
      <c r="C560" s="11" t="n"/>
      <c r="D560" s="11" t="n"/>
      <c r="E560" s="11" t="n"/>
      <c r="F560" s="11" t="n"/>
      <c r="G560" s="18" t="n"/>
      <c r="H560" s="11" t="n"/>
      <c r="I560" s="23">
        <f>IF(G560="","",ROUND(G560*H560/100,2))</f>
        <v/>
      </c>
    </row>
    <row r="561">
      <c r="A561" s="14" t="n"/>
      <c r="B561" s="11" t="n"/>
      <c r="C561" s="11" t="n"/>
      <c r="D561" s="11" t="n"/>
      <c r="E561" s="11" t="n"/>
      <c r="F561" s="11" t="n"/>
      <c r="G561" s="18" t="n"/>
      <c r="H561" s="11" t="n"/>
      <c r="I561" s="23">
        <f>IF(G561="","",ROUND(G561*H561/100,2))</f>
        <v/>
      </c>
    </row>
    <row r="562">
      <c r="A562" s="14" t="n"/>
      <c r="B562" s="11" t="n"/>
      <c r="C562" s="11" t="n"/>
      <c r="D562" s="11" t="n"/>
      <c r="E562" s="11" t="n"/>
      <c r="F562" s="11" t="n"/>
      <c r="G562" s="18" t="n"/>
      <c r="H562" s="11" t="n"/>
      <c r="I562" s="23">
        <f>IF(G562="","",ROUND(G562*H562/100,2))</f>
        <v/>
      </c>
    </row>
    <row r="563">
      <c r="A563" s="14" t="n"/>
      <c r="B563" s="11" t="n"/>
      <c r="C563" s="11" t="n"/>
      <c r="D563" s="11" t="n"/>
      <c r="E563" s="11" t="n"/>
      <c r="F563" s="11" t="n"/>
      <c r="G563" s="18" t="n"/>
      <c r="H563" s="11" t="n"/>
      <c r="I563" s="23">
        <f>IF(G563="","",ROUND(G563*H563/100,2))</f>
        <v/>
      </c>
    </row>
    <row r="564">
      <c r="A564" s="14" t="n"/>
      <c r="B564" s="11" t="n"/>
      <c r="C564" s="11" t="n"/>
      <c r="D564" s="11" t="n"/>
      <c r="E564" s="11" t="n"/>
      <c r="F564" s="11" t="n"/>
      <c r="G564" s="18" t="n"/>
      <c r="H564" s="11" t="n"/>
      <c r="I564" s="23">
        <f>IF(G564="","",ROUND(G564*H564/100,2))</f>
        <v/>
      </c>
    </row>
    <row r="565">
      <c r="A565" s="14" t="n"/>
      <c r="B565" s="11" t="n"/>
      <c r="C565" s="11" t="n"/>
      <c r="D565" s="11" t="n"/>
      <c r="E565" s="11" t="n"/>
      <c r="F565" s="11" t="n"/>
      <c r="G565" s="18" t="n"/>
      <c r="H565" s="11" t="n"/>
      <c r="I565" s="23">
        <f>IF(G565="","",ROUND(G565*H565/100,2))</f>
        <v/>
      </c>
    </row>
    <row r="566">
      <c r="A566" s="14" t="n"/>
      <c r="B566" s="11" t="n"/>
      <c r="C566" s="11" t="n"/>
      <c r="D566" s="11" t="n"/>
      <c r="E566" s="11" t="n"/>
      <c r="F566" s="11" t="n"/>
      <c r="G566" s="18" t="n"/>
      <c r="H566" s="11" t="n"/>
      <c r="I566" s="23">
        <f>IF(G566="","",ROUND(G566*H566/100,2))</f>
        <v/>
      </c>
    </row>
    <row r="567">
      <c r="A567" s="14" t="n"/>
      <c r="B567" s="11" t="n"/>
      <c r="C567" s="11" t="n"/>
      <c r="D567" s="11" t="n"/>
      <c r="E567" s="11" t="n"/>
      <c r="F567" s="11" t="n"/>
      <c r="G567" s="18" t="n"/>
      <c r="H567" s="11" t="n"/>
      <c r="I567" s="23">
        <f>IF(G567="","",ROUND(G567*H567/100,2))</f>
        <v/>
      </c>
    </row>
    <row r="568">
      <c r="A568" s="14" t="n"/>
      <c r="B568" s="11" t="n"/>
      <c r="C568" s="11" t="n"/>
      <c r="D568" s="11" t="n"/>
      <c r="E568" s="11" t="n"/>
      <c r="F568" s="11" t="n"/>
      <c r="G568" s="18" t="n"/>
      <c r="H568" s="11" t="n"/>
      <c r="I568" s="23">
        <f>IF(G568="","",ROUND(G568*H568/100,2))</f>
        <v/>
      </c>
    </row>
    <row r="569">
      <c r="A569" s="14" t="n"/>
      <c r="B569" s="11" t="n"/>
      <c r="C569" s="11" t="n"/>
      <c r="D569" s="11" t="n"/>
      <c r="E569" s="11" t="n"/>
      <c r="F569" s="11" t="n"/>
      <c r="G569" s="18" t="n"/>
      <c r="H569" s="11" t="n"/>
      <c r="I569" s="23">
        <f>IF(G569="","",ROUND(G569*H569/100,2))</f>
        <v/>
      </c>
    </row>
    <row r="570">
      <c r="A570" s="14" t="n"/>
      <c r="B570" s="11" t="n"/>
      <c r="C570" s="11" t="n"/>
      <c r="D570" s="11" t="n"/>
      <c r="E570" s="11" t="n"/>
      <c r="F570" s="11" t="n"/>
      <c r="G570" s="18" t="n"/>
      <c r="H570" s="11" t="n"/>
      <c r="I570" s="23">
        <f>IF(G570="","",ROUND(G570*H570/100,2))</f>
        <v/>
      </c>
    </row>
    <row r="571">
      <c r="A571" s="14" t="n"/>
      <c r="B571" s="11" t="n"/>
      <c r="C571" s="11" t="n"/>
      <c r="D571" s="11" t="n"/>
      <c r="E571" s="11" t="n"/>
      <c r="F571" s="11" t="n"/>
      <c r="G571" s="18" t="n"/>
      <c r="H571" s="11" t="n"/>
      <c r="I571" s="23">
        <f>IF(G571="","",ROUND(G571*H571/100,2))</f>
        <v/>
      </c>
    </row>
    <row r="572">
      <c r="A572" s="14" t="n"/>
      <c r="B572" s="11" t="n"/>
      <c r="C572" s="11" t="n"/>
      <c r="D572" s="11" t="n"/>
      <c r="E572" s="11" t="n"/>
      <c r="F572" s="11" t="n"/>
      <c r="G572" s="18" t="n"/>
      <c r="H572" s="11" t="n"/>
      <c r="I572" s="23">
        <f>IF(G572="","",ROUND(G572*H572/100,2))</f>
        <v/>
      </c>
    </row>
    <row r="573">
      <c r="A573" s="14" t="n"/>
      <c r="B573" s="11" t="n"/>
      <c r="C573" s="11" t="n"/>
      <c r="D573" s="11" t="n"/>
      <c r="E573" s="11" t="n"/>
      <c r="F573" s="11" t="n"/>
      <c r="G573" s="18" t="n"/>
      <c r="H573" s="11" t="n"/>
      <c r="I573" s="23">
        <f>IF(G573="","",ROUND(G573*H573/100,2))</f>
        <v/>
      </c>
    </row>
    <row r="574">
      <c r="A574" s="14" t="n"/>
      <c r="B574" s="11" t="n"/>
      <c r="C574" s="11" t="n"/>
      <c r="D574" s="11" t="n"/>
      <c r="E574" s="11" t="n"/>
      <c r="F574" s="11" t="n"/>
      <c r="G574" s="18" t="n"/>
      <c r="H574" s="11" t="n"/>
      <c r="I574" s="23">
        <f>IF(G574="","",ROUND(G574*H574/100,2))</f>
        <v/>
      </c>
    </row>
    <row r="575">
      <c r="A575" s="14" t="n"/>
      <c r="B575" s="11" t="n"/>
      <c r="C575" s="11" t="n"/>
      <c r="D575" s="11" t="n"/>
      <c r="E575" s="11" t="n"/>
      <c r="F575" s="11" t="n"/>
      <c r="G575" s="18" t="n"/>
      <c r="H575" s="11" t="n"/>
      <c r="I575" s="23">
        <f>IF(G575="","",ROUND(G575*H575/100,2))</f>
        <v/>
      </c>
    </row>
    <row r="576">
      <c r="A576" s="14" t="n"/>
      <c r="B576" s="11" t="n"/>
      <c r="C576" s="11" t="n"/>
      <c r="D576" s="11" t="n"/>
      <c r="E576" s="11" t="n"/>
      <c r="F576" s="11" t="n"/>
      <c r="G576" s="18" t="n"/>
      <c r="H576" s="11" t="n"/>
      <c r="I576" s="23">
        <f>IF(G576="","",ROUND(G576*H576/100,2))</f>
        <v/>
      </c>
    </row>
    <row r="577">
      <c r="A577" s="14" t="n"/>
      <c r="B577" s="11" t="n"/>
      <c r="C577" s="11" t="n"/>
      <c r="D577" s="11" t="n"/>
      <c r="E577" s="11" t="n"/>
      <c r="F577" s="11" t="n"/>
      <c r="G577" s="18" t="n"/>
      <c r="H577" s="11" t="n"/>
      <c r="I577" s="23">
        <f>IF(G577="","",ROUND(G577*H577/100,2))</f>
        <v/>
      </c>
    </row>
    <row r="578">
      <c r="A578" s="14" t="n"/>
      <c r="B578" s="11" t="n"/>
      <c r="C578" s="11" t="n"/>
      <c r="D578" s="11" t="n"/>
      <c r="E578" s="11" t="n"/>
      <c r="F578" s="11" t="n"/>
      <c r="G578" s="18" t="n"/>
      <c r="H578" s="11" t="n"/>
      <c r="I578" s="23">
        <f>IF(G578="","",ROUND(G578*H578/100,2))</f>
        <v/>
      </c>
    </row>
    <row r="579">
      <c r="A579" s="14" t="n"/>
      <c r="B579" s="11" t="n"/>
      <c r="C579" s="11" t="n"/>
      <c r="D579" s="11" t="n"/>
      <c r="E579" s="11" t="n"/>
      <c r="F579" s="11" t="n"/>
      <c r="G579" s="18" t="n"/>
      <c r="H579" s="11" t="n"/>
      <c r="I579" s="23">
        <f>IF(G579="","",ROUND(G579*H579/100,2))</f>
        <v/>
      </c>
    </row>
    <row r="580">
      <c r="A580" s="14" t="n"/>
      <c r="B580" s="11" t="n"/>
      <c r="C580" s="11" t="n"/>
      <c r="D580" s="11" t="n"/>
      <c r="E580" s="11" t="n"/>
      <c r="F580" s="11" t="n"/>
      <c r="G580" s="18" t="n"/>
      <c r="H580" s="11" t="n"/>
      <c r="I580" s="23">
        <f>IF(G580="","",ROUND(G580*H580/100,2))</f>
        <v/>
      </c>
    </row>
    <row r="581">
      <c r="A581" s="14" t="n"/>
      <c r="B581" s="11" t="n"/>
      <c r="C581" s="11" t="n"/>
      <c r="D581" s="11" t="n"/>
      <c r="E581" s="11" t="n"/>
      <c r="F581" s="11" t="n"/>
      <c r="G581" s="18" t="n"/>
      <c r="H581" s="11" t="n"/>
      <c r="I581" s="23">
        <f>IF(G581="","",ROUND(G581*H581/100,2))</f>
        <v/>
      </c>
    </row>
    <row r="582">
      <c r="A582" s="14" t="n"/>
      <c r="B582" s="11" t="n"/>
      <c r="C582" s="11" t="n"/>
      <c r="D582" s="11" t="n"/>
      <c r="E582" s="11" t="n"/>
      <c r="F582" s="11" t="n"/>
      <c r="G582" s="18" t="n"/>
      <c r="H582" s="11" t="n"/>
      <c r="I582" s="23">
        <f>IF(G582="","",ROUND(G582*H582/100,2))</f>
        <v/>
      </c>
    </row>
    <row r="583">
      <c r="A583" s="14" t="n"/>
      <c r="B583" s="11" t="n"/>
      <c r="C583" s="11" t="n"/>
      <c r="D583" s="11" t="n"/>
      <c r="E583" s="11" t="n"/>
      <c r="F583" s="11" t="n"/>
      <c r="G583" s="18" t="n"/>
      <c r="H583" s="11" t="n"/>
      <c r="I583" s="23">
        <f>IF(G583="","",ROUND(G583*H583/100,2))</f>
        <v/>
      </c>
    </row>
    <row r="584">
      <c r="A584" s="14" t="n"/>
      <c r="B584" s="11" t="n"/>
      <c r="C584" s="11" t="n"/>
      <c r="D584" s="11" t="n"/>
      <c r="E584" s="11" t="n"/>
      <c r="F584" s="11" t="n"/>
      <c r="G584" s="18" t="n"/>
      <c r="H584" s="11" t="n"/>
      <c r="I584" s="23">
        <f>IF(G584="","",ROUND(G584*H584/100,2))</f>
        <v/>
      </c>
    </row>
    <row r="585">
      <c r="A585" s="14" t="n"/>
      <c r="B585" s="11" t="n"/>
      <c r="C585" s="11" t="n"/>
      <c r="D585" s="11" t="n"/>
      <c r="E585" s="11" t="n"/>
      <c r="F585" s="11" t="n"/>
      <c r="G585" s="18" t="n"/>
      <c r="H585" s="11" t="n"/>
      <c r="I585" s="23">
        <f>IF(G585="","",ROUND(G585*H585/100,2))</f>
        <v/>
      </c>
    </row>
    <row r="586">
      <c r="A586" s="14" t="n"/>
      <c r="B586" s="11" t="n"/>
      <c r="C586" s="11" t="n"/>
      <c r="D586" s="11" t="n"/>
      <c r="E586" s="11" t="n"/>
      <c r="F586" s="11" t="n"/>
      <c r="G586" s="18" t="n"/>
      <c r="H586" s="11" t="n"/>
      <c r="I586" s="23">
        <f>IF(G586="","",ROUND(G586*H586/100,2))</f>
        <v/>
      </c>
    </row>
    <row r="587">
      <c r="A587" s="14" t="n"/>
      <c r="B587" s="11" t="n"/>
      <c r="C587" s="11" t="n"/>
      <c r="D587" s="11" t="n"/>
      <c r="E587" s="11" t="n"/>
      <c r="F587" s="11" t="n"/>
      <c r="G587" s="18" t="n"/>
      <c r="H587" s="11" t="n"/>
      <c r="I587" s="23">
        <f>IF(G587="","",ROUND(G587*H587/100,2))</f>
        <v/>
      </c>
    </row>
    <row r="588">
      <c r="A588" s="14" t="n"/>
      <c r="B588" s="11" t="n"/>
      <c r="C588" s="11" t="n"/>
      <c r="D588" s="11" t="n"/>
      <c r="E588" s="11" t="n"/>
      <c r="F588" s="11" t="n"/>
      <c r="G588" s="18" t="n"/>
      <c r="H588" s="11" t="n"/>
      <c r="I588" s="23">
        <f>IF(G588="","",ROUND(G588*H588/100,2))</f>
        <v/>
      </c>
    </row>
    <row r="589">
      <c r="A589" s="14" t="n"/>
      <c r="B589" s="11" t="n"/>
      <c r="C589" s="11" t="n"/>
      <c r="D589" s="11" t="n"/>
      <c r="E589" s="11" t="n"/>
      <c r="F589" s="11" t="n"/>
      <c r="G589" s="18" t="n"/>
      <c r="H589" s="11" t="n"/>
      <c r="I589" s="23">
        <f>IF(G589="","",ROUND(G589*H589/100,2))</f>
        <v/>
      </c>
    </row>
    <row r="590">
      <c r="A590" s="14" t="n"/>
      <c r="B590" s="11" t="n"/>
      <c r="C590" s="11" t="n"/>
      <c r="D590" s="11" t="n"/>
      <c r="E590" s="11" t="n"/>
      <c r="F590" s="11" t="n"/>
      <c r="G590" s="18" t="n"/>
      <c r="H590" s="11" t="n"/>
      <c r="I590" s="23">
        <f>IF(G590="","",ROUND(G590*H590/100,2))</f>
        <v/>
      </c>
    </row>
    <row r="591">
      <c r="A591" s="14" t="n"/>
      <c r="B591" s="11" t="n"/>
      <c r="C591" s="11" t="n"/>
      <c r="D591" s="11" t="n"/>
      <c r="E591" s="11" t="n"/>
      <c r="F591" s="11" t="n"/>
      <c r="G591" s="18" t="n"/>
      <c r="H591" s="11" t="n"/>
      <c r="I591" s="23">
        <f>IF(G591="","",ROUND(G591*H591/100,2))</f>
        <v/>
      </c>
    </row>
    <row r="592">
      <c r="A592" s="14" t="n"/>
      <c r="B592" s="11" t="n"/>
      <c r="C592" s="11" t="n"/>
      <c r="D592" s="11" t="n"/>
      <c r="E592" s="11" t="n"/>
      <c r="F592" s="11" t="n"/>
      <c r="G592" s="18" t="n"/>
      <c r="H592" s="11" t="n"/>
      <c r="I592" s="23">
        <f>IF(G592="","",ROUND(G592*H592/100,2))</f>
        <v/>
      </c>
    </row>
    <row r="593">
      <c r="A593" s="14" t="n"/>
      <c r="B593" s="11" t="n"/>
      <c r="C593" s="11" t="n"/>
      <c r="D593" s="11" t="n"/>
      <c r="E593" s="11" t="n"/>
      <c r="F593" s="11" t="n"/>
      <c r="G593" s="18" t="n"/>
      <c r="H593" s="11" t="n"/>
      <c r="I593" s="23">
        <f>IF(G593="","",ROUND(G593*H593/100,2))</f>
        <v/>
      </c>
    </row>
    <row r="594">
      <c r="A594" s="14" t="n"/>
      <c r="B594" s="11" t="n"/>
      <c r="C594" s="11" t="n"/>
      <c r="D594" s="11" t="n"/>
      <c r="E594" s="11" t="n"/>
      <c r="F594" s="11" t="n"/>
      <c r="G594" s="18" t="n"/>
      <c r="H594" s="11" t="n"/>
      <c r="I594" s="23">
        <f>IF(G594="","",ROUND(G594*H594/100,2))</f>
        <v/>
      </c>
    </row>
    <row r="595">
      <c r="A595" s="14" t="n"/>
      <c r="B595" s="11" t="n"/>
      <c r="C595" s="11" t="n"/>
      <c r="D595" s="11" t="n"/>
      <c r="E595" s="11" t="n"/>
      <c r="F595" s="11" t="n"/>
      <c r="G595" s="18" t="n"/>
      <c r="H595" s="11" t="n"/>
      <c r="I595" s="23">
        <f>IF(G595="","",ROUND(G595*H595/100,2))</f>
        <v/>
      </c>
    </row>
    <row r="596">
      <c r="A596" s="14" t="n"/>
      <c r="B596" s="11" t="n"/>
      <c r="C596" s="11" t="n"/>
      <c r="D596" s="11" t="n"/>
      <c r="E596" s="11" t="n"/>
      <c r="F596" s="11" t="n"/>
      <c r="G596" s="18" t="n"/>
      <c r="H596" s="11" t="n"/>
      <c r="I596" s="23">
        <f>IF(G596="","",ROUND(G596*H596/100,2))</f>
        <v/>
      </c>
    </row>
    <row r="597">
      <c r="A597" s="14" t="n"/>
      <c r="B597" s="11" t="n"/>
      <c r="C597" s="11" t="n"/>
      <c r="D597" s="11" t="n"/>
      <c r="E597" s="11" t="n"/>
      <c r="F597" s="11" t="n"/>
      <c r="G597" s="18" t="n"/>
      <c r="H597" s="11" t="n"/>
      <c r="I597" s="23">
        <f>IF(G597="","",ROUND(G597*H597/100,2))</f>
        <v/>
      </c>
    </row>
    <row r="598">
      <c r="A598" s="14" t="n"/>
      <c r="B598" s="11" t="n"/>
      <c r="C598" s="11" t="n"/>
      <c r="D598" s="11" t="n"/>
      <c r="E598" s="11" t="n"/>
      <c r="F598" s="11" t="n"/>
      <c r="G598" s="18" t="n"/>
      <c r="H598" s="11" t="n"/>
      <c r="I598" s="23">
        <f>IF(G598="","",ROUND(G598*H598/100,2))</f>
        <v/>
      </c>
    </row>
    <row r="599">
      <c r="A599" s="14" t="n"/>
      <c r="B599" s="11" t="n"/>
      <c r="C599" s="11" t="n"/>
      <c r="D599" s="11" t="n"/>
      <c r="E599" s="11" t="n"/>
      <c r="F599" s="11" t="n"/>
      <c r="G599" s="18" t="n"/>
      <c r="H599" s="11" t="n"/>
      <c r="I599" s="23">
        <f>IF(G599="","",ROUND(G599*H599/100,2))</f>
        <v/>
      </c>
    </row>
    <row r="600">
      <c r="A600" s="14" t="n"/>
      <c r="B600" s="11" t="n"/>
      <c r="C600" s="11" t="n"/>
      <c r="D600" s="11" t="n"/>
      <c r="E600" s="11" t="n"/>
      <c r="F600" s="11" t="n"/>
      <c r="G600" s="18" t="n"/>
      <c r="H600" s="11" t="n"/>
      <c r="I600" s="23">
        <f>IF(G600="","",ROUND(G600*H600/100,2))</f>
        <v/>
      </c>
    </row>
    <row r="601">
      <c r="A601" s="14" t="n"/>
      <c r="B601" s="11" t="n"/>
      <c r="C601" s="11" t="n"/>
      <c r="D601" s="11" t="n"/>
      <c r="E601" s="11" t="n"/>
      <c r="F601" s="11" t="n"/>
      <c r="G601" s="18" t="n"/>
      <c r="H601" s="11" t="n"/>
      <c r="I601" s="23">
        <f>IF(G601="","",ROUND(G601*H601/100,2))</f>
        <v/>
      </c>
    </row>
    <row r="602">
      <c r="A602" s="14" t="n"/>
      <c r="B602" s="11" t="n"/>
      <c r="C602" s="11" t="n"/>
      <c r="D602" s="11" t="n"/>
      <c r="E602" s="11" t="n"/>
      <c r="F602" s="11" t="n"/>
      <c r="G602" s="18" t="n"/>
      <c r="H602" s="11" t="n"/>
      <c r="I602" s="23">
        <f>IF(G602="","",ROUND(G602*H602/100,2))</f>
        <v/>
      </c>
    </row>
    <row r="603">
      <c r="A603" s="14" t="n"/>
      <c r="B603" s="11" t="n"/>
      <c r="C603" s="11" t="n"/>
      <c r="D603" s="11" t="n"/>
      <c r="E603" s="11" t="n"/>
      <c r="F603" s="11" t="n"/>
      <c r="G603" s="18" t="n"/>
      <c r="H603" s="11" t="n"/>
      <c r="I603" s="23">
        <f>IF(G603="","",ROUND(G603*H603/100,2))</f>
        <v/>
      </c>
    </row>
    <row r="604">
      <c r="A604" s="14" t="n"/>
      <c r="B604" s="11" t="n"/>
      <c r="C604" s="11" t="n"/>
      <c r="D604" s="11" t="n"/>
      <c r="E604" s="11" t="n"/>
      <c r="F604" s="11" t="n"/>
      <c r="G604" s="18" t="n"/>
      <c r="H604" s="11" t="n"/>
      <c r="I604" s="23">
        <f>IF(G604="","",ROUND(G604*H604/100,2))</f>
        <v/>
      </c>
    </row>
    <row r="605">
      <c r="A605" s="14" t="n"/>
      <c r="B605" s="11" t="n"/>
      <c r="C605" s="11" t="n"/>
      <c r="D605" s="11" t="n"/>
      <c r="E605" s="11" t="n"/>
      <c r="F605" s="11" t="n"/>
      <c r="G605" s="18" t="n"/>
      <c r="H605" s="11" t="n"/>
      <c r="I605" s="23">
        <f>IF(G605="","",ROUND(G605*H605/100,2))</f>
        <v/>
      </c>
    </row>
    <row r="606">
      <c r="A606" s="14" t="n"/>
      <c r="B606" s="11" t="n"/>
      <c r="C606" s="11" t="n"/>
      <c r="D606" s="11" t="n"/>
      <c r="E606" s="11" t="n"/>
      <c r="F606" s="11" t="n"/>
      <c r="G606" s="18" t="n"/>
      <c r="H606" s="11" t="n"/>
      <c r="I606" s="23">
        <f>IF(G606="","",ROUND(G606*H606/100,2))</f>
        <v/>
      </c>
    </row>
    <row r="607">
      <c r="A607" s="14" t="n"/>
      <c r="B607" s="11" t="n"/>
      <c r="C607" s="11" t="n"/>
      <c r="D607" s="11" t="n"/>
      <c r="E607" s="11" t="n"/>
      <c r="F607" s="11" t="n"/>
      <c r="G607" s="18" t="n"/>
      <c r="H607" s="11" t="n"/>
      <c r="I607" s="23">
        <f>IF(G607="","",ROUND(G607*H607/100,2))</f>
        <v/>
      </c>
    </row>
    <row r="608">
      <c r="A608" s="14" t="n"/>
      <c r="B608" s="11" t="n"/>
      <c r="C608" s="11" t="n"/>
      <c r="D608" s="11" t="n"/>
      <c r="E608" s="11" t="n"/>
      <c r="F608" s="11" t="n"/>
      <c r="G608" s="18" t="n"/>
      <c r="H608" s="11" t="n"/>
      <c r="I608" s="23">
        <f>IF(G608="","",ROUND(G608*H608/100,2))</f>
        <v/>
      </c>
    </row>
    <row r="609">
      <c r="A609" s="14" t="n"/>
      <c r="B609" s="11" t="n"/>
      <c r="C609" s="11" t="n"/>
      <c r="D609" s="11" t="n"/>
      <c r="E609" s="11" t="n"/>
      <c r="F609" s="11" t="n"/>
      <c r="G609" s="18" t="n"/>
      <c r="H609" s="11" t="n"/>
      <c r="I609" s="23">
        <f>IF(G609="","",ROUND(G609*H609/100,2))</f>
        <v/>
      </c>
    </row>
    <row r="610">
      <c r="A610" s="14" t="n"/>
      <c r="B610" s="11" t="n"/>
      <c r="C610" s="11" t="n"/>
      <c r="D610" s="11" t="n"/>
      <c r="E610" s="11" t="n"/>
      <c r="F610" s="11" t="n"/>
      <c r="G610" s="18" t="n"/>
      <c r="H610" s="11" t="n"/>
      <c r="I610" s="23">
        <f>IF(G610="","",ROUND(G610*H610/100,2))</f>
        <v/>
      </c>
    </row>
    <row r="611">
      <c r="A611" s="14" t="n"/>
      <c r="B611" s="11" t="n"/>
      <c r="C611" s="11" t="n"/>
      <c r="D611" s="11" t="n"/>
      <c r="E611" s="11" t="n"/>
      <c r="F611" s="11" t="n"/>
      <c r="G611" s="18" t="n"/>
      <c r="H611" s="11" t="n"/>
      <c r="I611" s="23">
        <f>IF(G611="","",ROUND(G611*H611/100,2))</f>
        <v/>
      </c>
    </row>
    <row r="612">
      <c r="A612" s="14" t="n"/>
      <c r="B612" s="11" t="n"/>
      <c r="C612" s="11" t="n"/>
      <c r="D612" s="11" t="n"/>
      <c r="E612" s="11" t="n"/>
      <c r="F612" s="11" t="n"/>
      <c r="G612" s="18" t="n"/>
      <c r="H612" s="11" t="n"/>
      <c r="I612" s="23">
        <f>IF(G612="","",ROUND(G612*H612/100,2))</f>
        <v/>
      </c>
    </row>
    <row r="613">
      <c r="A613" s="14" t="n"/>
      <c r="B613" s="11" t="n"/>
      <c r="C613" s="11" t="n"/>
      <c r="D613" s="11" t="n"/>
      <c r="E613" s="11" t="n"/>
      <c r="F613" s="11" t="n"/>
      <c r="G613" s="18" t="n"/>
      <c r="H613" s="11" t="n"/>
      <c r="I613" s="23">
        <f>IF(G613="","",ROUND(G613*H613/100,2))</f>
        <v/>
      </c>
    </row>
    <row r="614">
      <c r="A614" s="14" t="n"/>
      <c r="B614" s="11" t="n"/>
      <c r="C614" s="11" t="n"/>
      <c r="D614" s="11" t="n"/>
      <c r="E614" s="11" t="n"/>
      <c r="F614" s="11" t="n"/>
      <c r="G614" s="18" t="n"/>
      <c r="H614" s="11" t="n"/>
      <c r="I614" s="23">
        <f>IF(G614="","",ROUND(G614*H614/100,2))</f>
        <v/>
      </c>
    </row>
    <row r="615">
      <c r="A615" s="14" t="n"/>
      <c r="B615" s="11" t="n"/>
      <c r="C615" s="11" t="n"/>
      <c r="D615" s="11" t="n"/>
      <c r="E615" s="11" t="n"/>
      <c r="F615" s="11" t="n"/>
      <c r="G615" s="18" t="n"/>
      <c r="H615" s="11" t="n"/>
      <c r="I615" s="23">
        <f>IF(G615="","",ROUND(G615*H615/100,2))</f>
        <v/>
      </c>
    </row>
    <row r="616">
      <c r="A616" s="14" t="n"/>
      <c r="B616" s="11" t="n"/>
      <c r="C616" s="11" t="n"/>
      <c r="D616" s="11" t="n"/>
      <c r="E616" s="11" t="n"/>
      <c r="F616" s="11" t="n"/>
      <c r="G616" s="18" t="n"/>
      <c r="H616" s="11" t="n"/>
      <c r="I616" s="23">
        <f>IF(G616="","",ROUND(G616*H616/100,2))</f>
        <v/>
      </c>
    </row>
    <row r="617">
      <c r="A617" s="14" t="n"/>
      <c r="B617" s="11" t="n"/>
      <c r="C617" s="11" t="n"/>
      <c r="D617" s="11" t="n"/>
      <c r="E617" s="11" t="n"/>
      <c r="F617" s="11" t="n"/>
      <c r="G617" s="18" t="n"/>
      <c r="H617" s="11" t="n"/>
      <c r="I617" s="23">
        <f>IF(G617="","",ROUND(G617*H617/100,2))</f>
        <v/>
      </c>
    </row>
    <row r="618">
      <c r="A618" s="14" t="n"/>
      <c r="B618" s="11" t="n"/>
      <c r="C618" s="11" t="n"/>
      <c r="D618" s="11" t="n"/>
      <c r="E618" s="11" t="n"/>
      <c r="F618" s="11" t="n"/>
      <c r="G618" s="18" t="n"/>
      <c r="H618" s="11" t="n"/>
      <c r="I618" s="23">
        <f>IF(G618="","",ROUND(G618*H618/100,2))</f>
        <v/>
      </c>
    </row>
    <row r="619">
      <c r="A619" s="14" t="n"/>
      <c r="B619" s="11" t="n"/>
      <c r="C619" s="11" t="n"/>
      <c r="D619" s="11" t="n"/>
      <c r="E619" s="11" t="n"/>
      <c r="F619" s="11" t="n"/>
      <c r="G619" s="18" t="n"/>
      <c r="H619" s="11" t="n"/>
      <c r="I619" s="23">
        <f>IF(G619="","",ROUND(G619*H619/100,2))</f>
        <v/>
      </c>
    </row>
    <row r="620">
      <c r="A620" s="14" t="n"/>
      <c r="B620" s="11" t="n"/>
      <c r="C620" s="11" t="n"/>
      <c r="D620" s="11" t="n"/>
      <c r="E620" s="11" t="n"/>
      <c r="F620" s="11" t="n"/>
      <c r="G620" s="18" t="n"/>
      <c r="H620" s="11" t="n"/>
      <c r="I620" s="23">
        <f>IF(G620="","",ROUND(G620*H620/100,2))</f>
        <v/>
      </c>
    </row>
    <row r="621">
      <c r="A621" s="14" t="n"/>
      <c r="B621" s="11" t="n"/>
      <c r="C621" s="11" t="n"/>
      <c r="D621" s="11" t="n"/>
      <c r="E621" s="11" t="n"/>
      <c r="F621" s="11" t="n"/>
      <c r="G621" s="18" t="n"/>
      <c r="H621" s="11" t="n"/>
      <c r="I621" s="23">
        <f>IF(G621="","",ROUND(G621*H621/100,2))</f>
        <v/>
      </c>
    </row>
    <row r="622">
      <c r="A622" s="14" t="n"/>
      <c r="B622" s="11" t="n"/>
      <c r="C622" s="11" t="n"/>
      <c r="D622" s="11" t="n"/>
      <c r="E622" s="11" t="n"/>
      <c r="F622" s="11" t="n"/>
      <c r="G622" s="18" t="n"/>
      <c r="H622" s="11" t="n"/>
      <c r="I622" s="23">
        <f>IF(G622="","",ROUND(G622*H622/100,2))</f>
        <v/>
      </c>
    </row>
    <row r="623">
      <c r="A623" s="14" t="n"/>
      <c r="B623" s="11" t="n"/>
      <c r="C623" s="11" t="n"/>
      <c r="D623" s="11" t="n"/>
      <c r="E623" s="11" t="n"/>
      <c r="F623" s="11" t="n"/>
      <c r="G623" s="18" t="n"/>
      <c r="H623" s="11" t="n"/>
      <c r="I623" s="23">
        <f>IF(G623="","",ROUND(G623*H623/100,2))</f>
        <v/>
      </c>
    </row>
    <row r="624">
      <c r="A624" s="14" t="n"/>
      <c r="B624" s="11" t="n"/>
      <c r="C624" s="11" t="n"/>
      <c r="D624" s="11" t="n"/>
      <c r="E624" s="11" t="n"/>
      <c r="F624" s="11" t="n"/>
      <c r="G624" s="18" t="n"/>
      <c r="H624" s="11" t="n"/>
      <c r="I624" s="23">
        <f>IF(G624="","",ROUND(G624*H624/100,2))</f>
        <v/>
      </c>
    </row>
    <row r="625">
      <c r="A625" s="14" t="n"/>
      <c r="B625" s="11" t="n"/>
      <c r="C625" s="11" t="n"/>
      <c r="D625" s="11" t="n"/>
      <c r="E625" s="11" t="n"/>
      <c r="F625" s="11" t="n"/>
      <c r="G625" s="18" t="n"/>
      <c r="H625" s="11" t="n"/>
      <c r="I625" s="23">
        <f>IF(G625="","",ROUND(G625*H625/100,2))</f>
        <v/>
      </c>
    </row>
    <row r="626">
      <c r="A626" s="14" t="n"/>
      <c r="B626" s="11" t="n"/>
      <c r="C626" s="11" t="n"/>
      <c r="D626" s="11" t="n"/>
      <c r="E626" s="11" t="n"/>
      <c r="F626" s="11" t="n"/>
      <c r="G626" s="18" t="n"/>
      <c r="H626" s="11" t="n"/>
      <c r="I626" s="23">
        <f>IF(G626="","",ROUND(G626*H626/100,2))</f>
        <v/>
      </c>
    </row>
    <row r="627">
      <c r="A627" s="14" t="n"/>
      <c r="B627" s="11" t="n"/>
      <c r="C627" s="11" t="n"/>
      <c r="D627" s="11" t="n"/>
      <c r="E627" s="11" t="n"/>
      <c r="F627" s="11" t="n"/>
      <c r="G627" s="18" t="n"/>
      <c r="H627" s="11" t="n"/>
      <c r="I627" s="23">
        <f>IF(G627="","",ROUND(G627*H627/100,2))</f>
        <v/>
      </c>
    </row>
    <row r="628">
      <c r="A628" s="14" t="n"/>
      <c r="B628" s="11" t="n"/>
      <c r="C628" s="11" t="n"/>
      <c r="D628" s="11" t="n"/>
      <c r="E628" s="11" t="n"/>
      <c r="F628" s="11" t="n"/>
      <c r="G628" s="18" t="n"/>
      <c r="H628" s="11" t="n"/>
      <c r="I628" s="23">
        <f>IF(G628="","",ROUND(G628*H628/100,2))</f>
        <v/>
      </c>
    </row>
    <row r="629">
      <c r="A629" s="14" t="n"/>
      <c r="B629" s="11" t="n"/>
      <c r="C629" s="11" t="n"/>
      <c r="D629" s="11" t="n"/>
      <c r="E629" s="11" t="n"/>
      <c r="F629" s="11" t="n"/>
      <c r="G629" s="18" t="n"/>
      <c r="H629" s="11" t="n"/>
      <c r="I629" s="23">
        <f>IF(G629="","",ROUND(G629*H629/100,2))</f>
        <v/>
      </c>
    </row>
    <row r="630">
      <c r="A630" s="14" t="n"/>
      <c r="B630" s="11" t="n"/>
      <c r="C630" s="11" t="n"/>
      <c r="D630" s="11" t="n"/>
      <c r="E630" s="11" t="n"/>
      <c r="F630" s="11" t="n"/>
      <c r="G630" s="18" t="n"/>
      <c r="H630" s="11" t="n"/>
      <c r="I630" s="23">
        <f>IF(G630="","",ROUND(G630*H630/100,2))</f>
        <v/>
      </c>
    </row>
    <row r="631">
      <c r="A631" s="14" t="n"/>
      <c r="B631" s="11" t="n"/>
      <c r="C631" s="11" t="n"/>
      <c r="D631" s="11" t="n"/>
      <c r="E631" s="11" t="n"/>
      <c r="F631" s="11" t="n"/>
      <c r="G631" s="18" t="n"/>
      <c r="H631" s="11" t="n"/>
      <c r="I631" s="23">
        <f>IF(G631="","",ROUND(G631*H631/100,2))</f>
        <v/>
      </c>
    </row>
    <row r="632">
      <c r="A632" s="14" t="n"/>
      <c r="B632" s="11" t="n"/>
      <c r="C632" s="11" t="n"/>
      <c r="D632" s="11" t="n"/>
      <c r="E632" s="11" t="n"/>
      <c r="F632" s="11" t="n"/>
      <c r="G632" s="18" t="n"/>
      <c r="H632" s="11" t="n"/>
      <c r="I632" s="23">
        <f>IF(G632="","",ROUND(G632*H632/100,2))</f>
        <v/>
      </c>
    </row>
    <row r="633">
      <c r="A633" s="14" t="n"/>
      <c r="B633" s="11" t="n"/>
      <c r="C633" s="11" t="n"/>
      <c r="D633" s="11" t="n"/>
      <c r="E633" s="11" t="n"/>
      <c r="F633" s="11" t="n"/>
      <c r="G633" s="18" t="n"/>
      <c r="H633" s="11" t="n"/>
      <c r="I633" s="23">
        <f>IF(G633="","",ROUND(G633*H633/100,2))</f>
        <v/>
      </c>
    </row>
    <row r="634">
      <c r="A634" s="14" t="n"/>
      <c r="B634" s="11" t="n"/>
      <c r="C634" s="11" t="n"/>
      <c r="D634" s="11" t="n"/>
      <c r="E634" s="11" t="n"/>
      <c r="F634" s="11" t="n"/>
      <c r="G634" s="18" t="n"/>
      <c r="H634" s="11" t="n"/>
      <c r="I634" s="23">
        <f>IF(G634="","",ROUND(G634*H634/100,2))</f>
        <v/>
      </c>
    </row>
    <row r="635">
      <c r="A635" s="14" t="n"/>
      <c r="B635" s="11" t="n"/>
      <c r="C635" s="11" t="n"/>
      <c r="D635" s="11" t="n"/>
      <c r="E635" s="11" t="n"/>
      <c r="F635" s="11" t="n"/>
      <c r="G635" s="18" t="n"/>
      <c r="H635" s="11" t="n"/>
      <c r="I635" s="23">
        <f>IF(G635="","",ROUND(G635*H635/100,2))</f>
        <v/>
      </c>
    </row>
    <row r="636">
      <c r="A636" s="14" t="n"/>
      <c r="B636" s="11" t="n"/>
      <c r="C636" s="11" t="n"/>
      <c r="D636" s="11" t="n"/>
      <c r="E636" s="11" t="n"/>
      <c r="F636" s="11" t="n"/>
      <c r="G636" s="18" t="n"/>
      <c r="H636" s="11" t="n"/>
      <c r="I636" s="23">
        <f>IF(G636="","",ROUND(G636*H636/100,2))</f>
        <v/>
      </c>
    </row>
    <row r="637">
      <c r="A637" s="14" t="n"/>
      <c r="B637" s="11" t="n"/>
      <c r="C637" s="11" t="n"/>
      <c r="D637" s="11" t="n"/>
      <c r="E637" s="11" t="n"/>
      <c r="F637" s="11" t="n"/>
      <c r="G637" s="18" t="n"/>
      <c r="H637" s="11" t="n"/>
      <c r="I637" s="23">
        <f>IF(G637="","",ROUND(G637*H637/100,2))</f>
        <v/>
      </c>
    </row>
    <row r="638">
      <c r="A638" s="14" t="n"/>
      <c r="B638" s="11" t="n"/>
      <c r="C638" s="11" t="n"/>
      <c r="D638" s="11" t="n"/>
      <c r="E638" s="11" t="n"/>
      <c r="F638" s="11" t="n"/>
      <c r="G638" s="18" t="n"/>
      <c r="H638" s="11" t="n"/>
      <c r="I638" s="23">
        <f>IF(G638="","",ROUND(G638*H638/100,2))</f>
        <v/>
      </c>
    </row>
    <row r="639">
      <c r="A639" s="14" t="n"/>
      <c r="B639" s="11" t="n"/>
      <c r="C639" s="11" t="n"/>
      <c r="D639" s="11" t="n"/>
      <c r="E639" s="11" t="n"/>
      <c r="F639" s="11" t="n"/>
      <c r="G639" s="18" t="n"/>
      <c r="H639" s="11" t="n"/>
      <c r="I639" s="23">
        <f>IF(G639="","",ROUND(G639*H639/100,2))</f>
        <v/>
      </c>
    </row>
    <row r="640">
      <c r="A640" s="14" t="n"/>
      <c r="B640" s="11" t="n"/>
      <c r="C640" s="11" t="n"/>
      <c r="D640" s="11" t="n"/>
      <c r="E640" s="11" t="n"/>
      <c r="F640" s="11" t="n"/>
      <c r="G640" s="18" t="n"/>
      <c r="H640" s="11" t="n"/>
      <c r="I640" s="23">
        <f>IF(G640="","",ROUND(G640*H640/100,2))</f>
        <v/>
      </c>
    </row>
    <row r="641">
      <c r="A641" s="14" t="n"/>
      <c r="B641" s="11" t="n"/>
      <c r="C641" s="11" t="n"/>
      <c r="D641" s="11" t="n"/>
      <c r="E641" s="11" t="n"/>
      <c r="F641" s="11" t="n"/>
      <c r="G641" s="18" t="n"/>
      <c r="H641" s="11" t="n"/>
      <c r="I641" s="23">
        <f>IF(G641="","",ROUND(G641*H641/100,2))</f>
        <v/>
      </c>
    </row>
    <row r="642">
      <c r="A642" s="14" t="n"/>
      <c r="B642" s="11" t="n"/>
      <c r="C642" s="11" t="n"/>
      <c r="D642" s="11" t="n"/>
      <c r="E642" s="11" t="n"/>
      <c r="F642" s="11" t="n"/>
      <c r="G642" s="18" t="n"/>
      <c r="H642" s="11" t="n"/>
      <c r="I642" s="23">
        <f>IF(G642="","",ROUND(G642*H642/100,2))</f>
        <v/>
      </c>
    </row>
    <row r="643">
      <c r="A643" s="14" t="n"/>
      <c r="B643" s="11" t="n"/>
      <c r="C643" s="11" t="n"/>
      <c r="D643" s="11" t="n"/>
      <c r="E643" s="11" t="n"/>
      <c r="F643" s="11" t="n"/>
      <c r="G643" s="18" t="n"/>
      <c r="H643" s="11" t="n"/>
      <c r="I643" s="23">
        <f>IF(G643="","",ROUND(G643*H643/100,2))</f>
        <v/>
      </c>
    </row>
    <row r="644">
      <c r="A644" s="14" t="n"/>
      <c r="B644" s="11" t="n"/>
      <c r="C644" s="11" t="n"/>
      <c r="D644" s="11" t="n"/>
      <c r="E644" s="11" t="n"/>
      <c r="F644" s="11" t="n"/>
      <c r="G644" s="18" t="n"/>
      <c r="H644" s="11" t="n"/>
      <c r="I644" s="23">
        <f>IF(G644="","",ROUND(G644*H644/100,2))</f>
        <v/>
      </c>
    </row>
    <row r="645">
      <c r="A645" s="14" t="n"/>
      <c r="B645" s="11" t="n"/>
      <c r="C645" s="11" t="n"/>
      <c r="D645" s="11" t="n"/>
      <c r="E645" s="11" t="n"/>
      <c r="F645" s="11" t="n"/>
      <c r="G645" s="18" t="n"/>
      <c r="H645" s="11" t="n"/>
      <c r="I645" s="23">
        <f>IF(G645="","",ROUND(G645*H645/100,2))</f>
        <v/>
      </c>
    </row>
    <row r="646">
      <c r="A646" s="14" t="n"/>
      <c r="B646" s="11" t="n"/>
      <c r="C646" s="11" t="n"/>
      <c r="D646" s="11" t="n"/>
      <c r="E646" s="11" t="n"/>
      <c r="F646" s="11" t="n"/>
      <c r="G646" s="18" t="n"/>
      <c r="H646" s="11" t="n"/>
      <c r="I646" s="23">
        <f>IF(G646="","",ROUND(G646*H646/100,2))</f>
        <v/>
      </c>
    </row>
    <row r="647">
      <c r="A647" s="14" t="n"/>
      <c r="B647" s="11" t="n"/>
      <c r="C647" s="11" t="n"/>
      <c r="D647" s="11" t="n"/>
      <c r="E647" s="11" t="n"/>
      <c r="F647" s="11" t="n"/>
      <c r="G647" s="18" t="n"/>
      <c r="H647" s="11" t="n"/>
      <c r="I647" s="23">
        <f>IF(G647="","",ROUND(G647*H647/100,2))</f>
        <v/>
      </c>
    </row>
    <row r="648">
      <c r="A648" s="14" t="n"/>
      <c r="B648" s="11" t="n"/>
      <c r="C648" s="11" t="n"/>
      <c r="D648" s="11" t="n"/>
      <c r="E648" s="11" t="n"/>
      <c r="F648" s="11" t="n"/>
      <c r="G648" s="18" t="n"/>
      <c r="H648" s="11" t="n"/>
      <c r="I648" s="23">
        <f>IF(G648="","",ROUND(G648*H648/100,2))</f>
        <v/>
      </c>
    </row>
    <row r="649">
      <c r="A649" s="14" t="n"/>
      <c r="B649" s="11" t="n"/>
      <c r="C649" s="11" t="n"/>
      <c r="D649" s="11" t="n"/>
      <c r="E649" s="11" t="n"/>
      <c r="F649" s="11" t="n"/>
      <c r="G649" s="18" t="n"/>
      <c r="H649" s="11" t="n"/>
      <c r="I649" s="23">
        <f>IF(G649="","",ROUND(G649*H649/100,2))</f>
        <v/>
      </c>
    </row>
    <row r="650">
      <c r="A650" s="14" t="n"/>
      <c r="B650" s="11" t="n"/>
      <c r="C650" s="11" t="n"/>
      <c r="D650" s="11" t="n"/>
      <c r="E650" s="11" t="n"/>
      <c r="F650" s="11" t="n"/>
      <c r="G650" s="18" t="n"/>
      <c r="H650" s="11" t="n"/>
      <c r="I650" s="23">
        <f>IF(G650="","",ROUND(G650*H650/100,2))</f>
        <v/>
      </c>
    </row>
    <row r="651">
      <c r="A651" s="14" t="n"/>
      <c r="B651" s="11" t="n"/>
      <c r="C651" s="11" t="n"/>
      <c r="D651" s="11" t="n"/>
      <c r="E651" s="11" t="n"/>
      <c r="F651" s="11" t="n"/>
      <c r="G651" s="18" t="n"/>
      <c r="H651" s="11" t="n"/>
      <c r="I651" s="23">
        <f>IF(G651="","",ROUND(G651*H651/100,2))</f>
        <v/>
      </c>
    </row>
    <row r="652">
      <c r="A652" s="14" t="n"/>
      <c r="B652" s="11" t="n"/>
      <c r="C652" s="11" t="n"/>
      <c r="D652" s="11" t="n"/>
      <c r="E652" s="11" t="n"/>
      <c r="F652" s="11" t="n"/>
      <c r="G652" s="18" t="n"/>
      <c r="H652" s="11" t="n"/>
      <c r="I652" s="23">
        <f>IF(G652="","",ROUND(G652*H652/100,2))</f>
        <v/>
      </c>
    </row>
    <row r="653">
      <c r="A653" s="14" t="n"/>
      <c r="B653" s="11" t="n"/>
      <c r="C653" s="11" t="n"/>
      <c r="D653" s="11" t="n"/>
      <c r="E653" s="11" t="n"/>
      <c r="F653" s="11" t="n"/>
      <c r="G653" s="18" t="n"/>
      <c r="H653" s="11" t="n"/>
      <c r="I653" s="23">
        <f>IF(G653="","",ROUND(G653*H653/100,2))</f>
        <v/>
      </c>
    </row>
    <row r="654">
      <c r="A654" s="14" t="n"/>
      <c r="B654" s="11" t="n"/>
      <c r="C654" s="11" t="n"/>
      <c r="D654" s="11" t="n"/>
      <c r="E654" s="11" t="n"/>
      <c r="F654" s="11" t="n"/>
      <c r="G654" s="18" t="n"/>
      <c r="H654" s="11" t="n"/>
      <c r="I654" s="23">
        <f>IF(G654="","",ROUND(G654*H654/100,2))</f>
        <v/>
      </c>
    </row>
    <row r="655">
      <c r="A655" s="14" t="n"/>
      <c r="B655" s="11" t="n"/>
      <c r="C655" s="11" t="n"/>
      <c r="D655" s="11" t="n"/>
      <c r="E655" s="11" t="n"/>
      <c r="F655" s="11" t="n"/>
      <c r="G655" s="18" t="n"/>
      <c r="H655" s="11" t="n"/>
      <c r="I655" s="23">
        <f>IF(G655="","",ROUND(G655*H655/100,2))</f>
        <v/>
      </c>
    </row>
    <row r="656">
      <c r="A656" s="14" t="n"/>
      <c r="B656" s="11" t="n"/>
      <c r="C656" s="11" t="n"/>
      <c r="D656" s="11" t="n"/>
      <c r="E656" s="11" t="n"/>
      <c r="F656" s="11" t="n"/>
      <c r="G656" s="18" t="n"/>
      <c r="H656" s="11" t="n"/>
      <c r="I656" s="23">
        <f>IF(G656="","",ROUND(G656*H656/100,2))</f>
        <v/>
      </c>
    </row>
    <row r="657">
      <c r="A657" s="14" t="n"/>
      <c r="B657" s="11" t="n"/>
      <c r="C657" s="11" t="n"/>
      <c r="D657" s="11" t="n"/>
      <c r="E657" s="11" t="n"/>
      <c r="F657" s="11" t="n"/>
      <c r="G657" s="18" t="n"/>
      <c r="H657" s="11" t="n"/>
      <c r="I657" s="23">
        <f>IF(G657="","",ROUND(G657*H657/100,2))</f>
        <v/>
      </c>
    </row>
    <row r="658">
      <c r="A658" s="14" t="n"/>
      <c r="B658" s="11" t="n"/>
      <c r="C658" s="11" t="n"/>
      <c r="D658" s="11" t="n"/>
      <c r="E658" s="11" t="n"/>
      <c r="F658" s="11" t="n"/>
      <c r="G658" s="18" t="n"/>
      <c r="H658" s="11" t="n"/>
      <c r="I658" s="23">
        <f>IF(G658="","",ROUND(G658*H658/100,2))</f>
        <v/>
      </c>
    </row>
    <row r="659">
      <c r="A659" s="14" t="n"/>
      <c r="B659" s="11" t="n"/>
      <c r="C659" s="11" t="n"/>
      <c r="D659" s="11" t="n"/>
      <c r="E659" s="11" t="n"/>
      <c r="F659" s="11" t="n"/>
      <c r="G659" s="18" t="n"/>
      <c r="H659" s="11" t="n"/>
      <c r="I659" s="23">
        <f>IF(G659="","",ROUND(G659*H659/100,2))</f>
        <v/>
      </c>
    </row>
    <row r="660">
      <c r="A660" s="14" t="n"/>
      <c r="B660" s="11" t="n"/>
      <c r="C660" s="11" t="n"/>
      <c r="D660" s="11" t="n"/>
      <c r="E660" s="11" t="n"/>
      <c r="F660" s="11" t="n"/>
      <c r="G660" s="18" t="n"/>
      <c r="H660" s="11" t="n"/>
      <c r="I660" s="23">
        <f>IF(G660="","",ROUND(G660*H660/100,2))</f>
        <v/>
      </c>
    </row>
    <row r="661">
      <c r="A661" s="14" t="n"/>
      <c r="B661" s="11" t="n"/>
      <c r="C661" s="11" t="n"/>
      <c r="D661" s="11" t="n"/>
      <c r="E661" s="11" t="n"/>
      <c r="F661" s="11" t="n"/>
      <c r="G661" s="18" t="n"/>
      <c r="H661" s="11" t="n"/>
      <c r="I661" s="23">
        <f>IF(G661="","",ROUND(G661*H661/100,2))</f>
        <v/>
      </c>
    </row>
    <row r="662">
      <c r="A662" s="14" t="n"/>
      <c r="B662" s="11" t="n"/>
      <c r="C662" s="11" t="n"/>
      <c r="D662" s="11" t="n"/>
      <c r="E662" s="11" t="n"/>
      <c r="F662" s="11" t="n"/>
      <c r="G662" s="18" t="n"/>
      <c r="H662" s="11" t="n"/>
      <c r="I662" s="23">
        <f>IF(G662="","",ROUND(G662*H662/100,2))</f>
        <v/>
      </c>
    </row>
    <row r="663">
      <c r="A663" s="14" t="n"/>
      <c r="B663" s="11" t="n"/>
      <c r="C663" s="11" t="n"/>
      <c r="D663" s="11" t="n"/>
      <c r="E663" s="11" t="n"/>
      <c r="F663" s="11" t="n"/>
      <c r="G663" s="18" t="n"/>
      <c r="H663" s="11" t="n"/>
      <c r="I663" s="23">
        <f>IF(G663="","",ROUND(G663*H663/100,2))</f>
        <v/>
      </c>
    </row>
    <row r="664">
      <c r="A664" s="14" t="n"/>
      <c r="B664" s="11" t="n"/>
      <c r="C664" s="11" t="n"/>
      <c r="D664" s="11" t="n"/>
      <c r="E664" s="11" t="n"/>
      <c r="F664" s="11" t="n"/>
      <c r="G664" s="18" t="n"/>
      <c r="H664" s="11" t="n"/>
      <c r="I664" s="23">
        <f>IF(G664="","",ROUND(G664*H664/100,2))</f>
        <v/>
      </c>
    </row>
    <row r="665">
      <c r="A665" s="14" t="n"/>
      <c r="B665" s="11" t="n"/>
      <c r="C665" s="11" t="n"/>
      <c r="D665" s="11" t="n"/>
      <c r="E665" s="11" t="n"/>
      <c r="F665" s="11" t="n"/>
      <c r="G665" s="18" t="n"/>
      <c r="H665" s="11" t="n"/>
      <c r="I665" s="23">
        <f>IF(G665="","",ROUND(G665*H665/100,2))</f>
        <v/>
      </c>
    </row>
    <row r="666">
      <c r="A666" s="14" t="n"/>
      <c r="B666" s="11" t="n"/>
      <c r="C666" s="11" t="n"/>
      <c r="D666" s="11" t="n"/>
      <c r="E666" s="11" t="n"/>
      <c r="F666" s="11" t="n"/>
      <c r="G666" s="18" t="n"/>
      <c r="H666" s="11" t="n"/>
      <c r="I666" s="23">
        <f>IF(G666="","",ROUND(G666*H666/100,2))</f>
        <v/>
      </c>
    </row>
    <row r="667">
      <c r="A667" s="14" t="n"/>
      <c r="B667" s="11" t="n"/>
      <c r="C667" s="11" t="n"/>
      <c r="D667" s="11" t="n"/>
      <c r="E667" s="11" t="n"/>
      <c r="F667" s="11" t="n"/>
      <c r="G667" s="18" t="n"/>
      <c r="H667" s="11" t="n"/>
      <c r="I667" s="23">
        <f>IF(G667="","",ROUND(G667*H667/100,2))</f>
        <v/>
      </c>
    </row>
    <row r="668">
      <c r="A668" s="14" t="n"/>
      <c r="B668" s="11" t="n"/>
      <c r="C668" s="11" t="n"/>
      <c r="D668" s="11" t="n"/>
      <c r="E668" s="11" t="n"/>
      <c r="F668" s="11" t="n"/>
      <c r="G668" s="18" t="n"/>
      <c r="H668" s="11" t="n"/>
      <c r="I668" s="23">
        <f>IF(G668="","",ROUND(G668*H668/100,2))</f>
        <v/>
      </c>
    </row>
    <row r="669">
      <c r="A669" s="14" t="n"/>
      <c r="B669" s="11" t="n"/>
      <c r="C669" s="11" t="n"/>
      <c r="D669" s="11" t="n"/>
      <c r="E669" s="11" t="n"/>
      <c r="F669" s="11" t="n"/>
      <c r="G669" s="18" t="n"/>
      <c r="H669" s="11" t="n"/>
      <c r="I669" s="23">
        <f>IF(G669="","",ROUND(G669*H669/100,2))</f>
        <v/>
      </c>
    </row>
    <row r="670">
      <c r="A670" s="14" t="n"/>
      <c r="B670" s="11" t="n"/>
      <c r="C670" s="11" t="n"/>
      <c r="D670" s="11" t="n"/>
      <c r="E670" s="11" t="n"/>
      <c r="F670" s="11" t="n"/>
      <c r="G670" s="18" t="n"/>
      <c r="H670" s="11" t="n"/>
      <c r="I670" s="23">
        <f>IF(G670="","",ROUND(G670*H670/100,2))</f>
        <v/>
      </c>
    </row>
    <row r="671">
      <c r="A671" s="14" t="n"/>
      <c r="B671" s="11" t="n"/>
      <c r="C671" s="11" t="n"/>
      <c r="D671" s="11" t="n"/>
      <c r="E671" s="11" t="n"/>
      <c r="F671" s="11" t="n"/>
      <c r="G671" s="18" t="n"/>
      <c r="H671" s="11" t="n"/>
      <c r="I671" s="23">
        <f>IF(G671="","",ROUND(G671*H671/100,2))</f>
        <v/>
      </c>
    </row>
    <row r="672">
      <c r="A672" s="14" t="n"/>
      <c r="B672" s="11" t="n"/>
      <c r="C672" s="11" t="n"/>
      <c r="D672" s="11" t="n"/>
      <c r="E672" s="11" t="n"/>
      <c r="F672" s="11" t="n"/>
      <c r="G672" s="18" t="n"/>
      <c r="H672" s="11" t="n"/>
      <c r="I672" s="23">
        <f>IF(G672="","",ROUND(G672*H672/100,2))</f>
        <v/>
      </c>
    </row>
    <row r="673">
      <c r="A673" s="14" t="n"/>
      <c r="B673" s="11" t="n"/>
      <c r="C673" s="11" t="n"/>
      <c r="D673" s="11" t="n"/>
      <c r="E673" s="11" t="n"/>
      <c r="F673" s="11" t="n"/>
      <c r="G673" s="18" t="n"/>
      <c r="H673" s="11" t="n"/>
      <c r="I673" s="23">
        <f>IF(G673="","",ROUND(G673*H673/100,2))</f>
        <v/>
      </c>
    </row>
    <row r="674">
      <c r="A674" s="14" t="n"/>
      <c r="B674" s="11" t="n"/>
      <c r="C674" s="11" t="n"/>
      <c r="D674" s="11" t="n"/>
      <c r="E674" s="11" t="n"/>
      <c r="F674" s="11" t="n"/>
      <c r="G674" s="18" t="n"/>
      <c r="H674" s="11" t="n"/>
      <c r="I674" s="23">
        <f>IF(G674="","",ROUND(G674*H674/100,2))</f>
        <v/>
      </c>
    </row>
    <row r="675">
      <c r="A675" s="14" t="n"/>
      <c r="B675" s="11" t="n"/>
      <c r="C675" s="11" t="n"/>
      <c r="D675" s="11" t="n"/>
      <c r="E675" s="11" t="n"/>
      <c r="F675" s="11" t="n"/>
      <c r="G675" s="18" t="n"/>
      <c r="H675" s="11" t="n"/>
      <c r="I675" s="23">
        <f>IF(G675="","",ROUND(G675*H675/100,2))</f>
        <v/>
      </c>
    </row>
    <row r="676">
      <c r="A676" s="14" t="n"/>
      <c r="B676" s="11" t="n"/>
      <c r="C676" s="11" t="n"/>
      <c r="D676" s="11" t="n"/>
      <c r="E676" s="11" t="n"/>
      <c r="F676" s="11" t="n"/>
      <c r="G676" s="18" t="n"/>
      <c r="H676" s="11" t="n"/>
      <c r="I676" s="23">
        <f>IF(G676="","",ROUND(G676*H676/100,2))</f>
        <v/>
      </c>
    </row>
    <row r="677">
      <c r="A677" s="14" t="n"/>
      <c r="B677" s="11" t="n"/>
      <c r="C677" s="11" t="n"/>
      <c r="D677" s="11" t="n"/>
      <c r="E677" s="11" t="n"/>
      <c r="F677" s="11" t="n"/>
      <c r="G677" s="18" t="n"/>
      <c r="H677" s="11" t="n"/>
      <c r="I677" s="23">
        <f>IF(G677="","",ROUND(G677*H677/100,2))</f>
        <v/>
      </c>
    </row>
    <row r="678">
      <c r="A678" s="14" t="n"/>
      <c r="B678" s="11" t="n"/>
      <c r="C678" s="11" t="n"/>
      <c r="D678" s="11" t="n"/>
      <c r="E678" s="11" t="n"/>
      <c r="F678" s="11" t="n"/>
      <c r="G678" s="18" t="n"/>
      <c r="H678" s="11" t="n"/>
      <c r="I678" s="23">
        <f>IF(G678="","",ROUND(G678*H678/100,2))</f>
        <v/>
      </c>
    </row>
    <row r="679">
      <c r="A679" s="14" t="n"/>
      <c r="B679" s="11" t="n"/>
      <c r="C679" s="11" t="n"/>
      <c r="D679" s="11" t="n"/>
      <c r="E679" s="11" t="n"/>
      <c r="F679" s="11" t="n"/>
      <c r="G679" s="18" t="n"/>
      <c r="H679" s="11" t="n"/>
      <c r="I679" s="23">
        <f>IF(G679="","",ROUND(G679*H679/100,2))</f>
        <v/>
      </c>
    </row>
    <row r="680">
      <c r="A680" s="14" t="n"/>
      <c r="B680" s="11" t="n"/>
      <c r="C680" s="11" t="n"/>
      <c r="D680" s="11" t="n"/>
      <c r="E680" s="11" t="n"/>
      <c r="F680" s="11" t="n"/>
      <c r="G680" s="18" t="n"/>
      <c r="H680" s="11" t="n"/>
      <c r="I680" s="23">
        <f>IF(G680="","",ROUND(G680*H680/100,2))</f>
        <v/>
      </c>
    </row>
    <row r="681">
      <c r="A681" s="14" t="n"/>
      <c r="B681" s="11" t="n"/>
      <c r="C681" s="11" t="n"/>
      <c r="D681" s="11" t="n"/>
      <c r="E681" s="11" t="n"/>
      <c r="F681" s="11" t="n"/>
      <c r="G681" s="18" t="n"/>
      <c r="H681" s="11" t="n"/>
      <c r="I681" s="23">
        <f>IF(G681="","",ROUND(G681*H681/100,2))</f>
        <v/>
      </c>
    </row>
    <row r="682">
      <c r="A682" s="14" t="n"/>
      <c r="B682" s="11" t="n"/>
      <c r="C682" s="11" t="n"/>
      <c r="D682" s="11" t="n"/>
      <c r="E682" s="11" t="n"/>
      <c r="F682" s="11" t="n"/>
      <c r="G682" s="18" t="n"/>
      <c r="H682" s="11" t="n"/>
      <c r="I682" s="23">
        <f>IF(G682="","",ROUND(G682*H682/100,2))</f>
        <v/>
      </c>
    </row>
    <row r="683">
      <c r="A683" s="14" t="n"/>
      <c r="B683" s="11" t="n"/>
      <c r="C683" s="11" t="n"/>
      <c r="D683" s="11" t="n"/>
      <c r="E683" s="11" t="n"/>
      <c r="F683" s="11" t="n"/>
      <c r="G683" s="18" t="n"/>
      <c r="H683" s="11" t="n"/>
      <c r="I683" s="23">
        <f>IF(G683="","",ROUND(G683*H683/100,2))</f>
        <v/>
      </c>
    </row>
    <row r="684">
      <c r="A684" s="14" t="n"/>
      <c r="B684" s="11" t="n"/>
      <c r="C684" s="11" t="n"/>
      <c r="D684" s="11" t="n"/>
      <c r="E684" s="11" t="n"/>
      <c r="F684" s="11" t="n"/>
      <c r="G684" s="18" t="n"/>
      <c r="H684" s="11" t="n"/>
      <c r="I684" s="23">
        <f>IF(G684="","",ROUND(G684*H684/100,2))</f>
        <v/>
      </c>
    </row>
    <row r="685">
      <c r="A685" s="14" t="n"/>
      <c r="B685" s="11" t="n"/>
      <c r="C685" s="11" t="n"/>
      <c r="D685" s="11" t="n"/>
      <c r="E685" s="11" t="n"/>
      <c r="F685" s="11" t="n"/>
      <c r="G685" s="18" t="n"/>
      <c r="H685" s="11" t="n"/>
      <c r="I685" s="23">
        <f>IF(G685="","",ROUND(G685*H685/100,2))</f>
        <v/>
      </c>
    </row>
    <row r="686">
      <c r="A686" s="14" t="n"/>
      <c r="B686" s="11" t="n"/>
      <c r="C686" s="11" t="n"/>
      <c r="D686" s="11" t="n"/>
      <c r="E686" s="11" t="n"/>
      <c r="F686" s="11" t="n"/>
      <c r="G686" s="18" t="n"/>
      <c r="H686" s="11" t="n"/>
      <c r="I686" s="23">
        <f>IF(G686="","",ROUND(G686*H686/100,2))</f>
        <v/>
      </c>
    </row>
    <row r="687">
      <c r="A687" s="14" t="n"/>
      <c r="B687" s="11" t="n"/>
      <c r="C687" s="11" t="n"/>
      <c r="D687" s="11" t="n"/>
      <c r="E687" s="11" t="n"/>
      <c r="F687" s="11" t="n"/>
      <c r="G687" s="18" t="n"/>
      <c r="H687" s="11" t="n"/>
      <c r="I687" s="23">
        <f>IF(G687="","",ROUND(G687*H687/100,2))</f>
        <v/>
      </c>
    </row>
    <row r="688">
      <c r="A688" s="14" t="n"/>
      <c r="B688" s="11" t="n"/>
      <c r="C688" s="11" t="n"/>
      <c r="D688" s="11" t="n"/>
      <c r="E688" s="11" t="n"/>
      <c r="F688" s="11" t="n"/>
      <c r="G688" s="18" t="n"/>
      <c r="H688" s="11" t="n"/>
      <c r="I688" s="23">
        <f>IF(G688="","",ROUND(G688*H688/100,2))</f>
        <v/>
      </c>
    </row>
    <row r="689">
      <c r="A689" s="14" t="n"/>
      <c r="B689" s="11" t="n"/>
      <c r="C689" s="11" t="n"/>
      <c r="D689" s="11" t="n"/>
      <c r="E689" s="11" t="n"/>
      <c r="F689" s="11" t="n"/>
      <c r="G689" s="18" t="n"/>
      <c r="H689" s="11" t="n"/>
      <c r="I689" s="23">
        <f>IF(G689="","",ROUND(G689*H689/100,2))</f>
        <v/>
      </c>
    </row>
    <row r="690">
      <c r="A690" s="14" t="n"/>
      <c r="B690" s="11" t="n"/>
      <c r="C690" s="11" t="n"/>
      <c r="D690" s="11" t="n"/>
      <c r="E690" s="11" t="n"/>
      <c r="F690" s="11" t="n"/>
      <c r="G690" s="18" t="n"/>
      <c r="H690" s="11" t="n"/>
      <c r="I690" s="23">
        <f>IF(G690="","",ROUND(G690*H690/100,2))</f>
        <v/>
      </c>
    </row>
    <row r="691">
      <c r="A691" s="14" t="n"/>
      <c r="B691" s="11" t="n"/>
      <c r="C691" s="11" t="n"/>
      <c r="D691" s="11" t="n"/>
      <c r="E691" s="11" t="n"/>
      <c r="F691" s="11" t="n"/>
      <c r="G691" s="18" t="n"/>
      <c r="H691" s="11" t="n"/>
      <c r="I691" s="23">
        <f>IF(G691="","",ROUND(G691*H691/100,2))</f>
        <v/>
      </c>
    </row>
    <row r="692">
      <c r="A692" s="14" t="n"/>
      <c r="B692" s="11" t="n"/>
      <c r="C692" s="11" t="n"/>
      <c r="D692" s="11" t="n"/>
      <c r="E692" s="11" t="n"/>
      <c r="F692" s="11" t="n"/>
      <c r="G692" s="18" t="n"/>
      <c r="H692" s="11" t="n"/>
      <c r="I692" s="23">
        <f>IF(G692="","",ROUND(G692*H692/100,2))</f>
        <v/>
      </c>
    </row>
    <row r="693">
      <c r="A693" s="14" t="n"/>
      <c r="B693" s="11" t="n"/>
      <c r="C693" s="11" t="n"/>
      <c r="D693" s="11" t="n"/>
      <c r="E693" s="11" t="n"/>
      <c r="F693" s="11" t="n"/>
      <c r="G693" s="18" t="n"/>
      <c r="H693" s="11" t="n"/>
      <c r="I693" s="23">
        <f>IF(G693="","",ROUND(G693*H693/100,2))</f>
        <v/>
      </c>
    </row>
    <row r="694">
      <c r="A694" s="14" t="n"/>
      <c r="B694" s="11" t="n"/>
      <c r="C694" s="11" t="n"/>
      <c r="D694" s="11" t="n"/>
      <c r="E694" s="11" t="n"/>
      <c r="F694" s="11" t="n"/>
      <c r="G694" s="18" t="n"/>
      <c r="H694" s="11" t="n"/>
      <c r="I694" s="23">
        <f>IF(G694="","",ROUND(G694*H694/100,2))</f>
        <v/>
      </c>
    </row>
    <row r="695">
      <c r="A695" s="14" t="n"/>
      <c r="B695" s="11" t="n"/>
      <c r="C695" s="11" t="n"/>
      <c r="D695" s="11" t="n"/>
      <c r="E695" s="11" t="n"/>
      <c r="F695" s="11" t="n"/>
      <c r="G695" s="18" t="n"/>
      <c r="H695" s="11" t="n"/>
      <c r="I695" s="23">
        <f>IF(G695="","",ROUND(G695*H695/100,2))</f>
        <v/>
      </c>
    </row>
    <row r="696">
      <c r="A696" s="14" t="n"/>
      <c r="B696" s="11" t="n"/>
      <c r="C696" s="11" t="n"/>
      <c r="D696" s="11" t="n"/>
      <c r="E696" s="11" t="n"/>
      <c r="F696" s="11" t="n"/>
      <c r="G696" s="18" t="n"/>
      <c r="H696" s="11" t="n"/>
      <c r="I696" s="23">
        <f>IF(G696="","",ROUND(G696*H696/100,2))</f>
        <v/>
      </c>
    </row>
    <row r="697">
      <c r="A697" s="14" t="n"/>
      <c r="B697" s="11" t="n"/>
      <c r="C697" s="11" t="n"/>
      <c r="D697" s="11" t="n"/>
      <c r="E697" s="11" t="n"/>
      <c r="F697" s="11" t="n"/>
      <c r="G697" s="18" t="n"/>
      <c r="H697" s="11" t="n"/>
      <c r="I697" s="23">
        <f>IF(G697="","",ROUND(G697*H697/100,2))</f>
        <v/>
      </c>
    </row>
    <row r="698">
      <c r="A698" s="14" t="n"/>
      <c r="B698" s="11" t="n"/>
      <c r="C698" s="11" t="n"/>
      <c r="D698" s="11" t="n"/>
      <c r="E698" s="11" t="n"/>
      <c r="F698" s="11" t="n"/>
      <c r="G698" s="18" t="n"/>
      <c r="H698" s="11" t="n"/>
      <c r="I698" s="23">
        <f>IF(G698="","",ROUND(G698*H698/100,2))</f>
        <v/>
      </c>
    </row>
    <row r="699">
      <c r="A699" s="14" t="n"/>
      <c r="B699" s="11" t="n"/>
      <c r="C699" s="11" t="n"/>
      <c r="D699" s="11" t="n"/>
      <c r="E699" s="11" t="n"/>
      <c r="F699" s="11" t="n"/>
      <c r="G699" s="18" t="n"/>
      <c r="H699" s="11" t="n"/>
      <c r="I699" s="23">
        <f>IF(G699="","",ROUND(G699*H699/100,2))</f>
        <v/>
      </c>
    </row>
    <row r="700">
      <c r="A700" s="14" t="n"/>
      <c r="B700" s="11" t="n"/>
      <c r="C700" s="11" t="n"/>
      <c r="D700" s="11" t="n"/>
      <c r="E700" s="11" t="n"/>
      <c r="F700" s="11" t="n"/>
      <c r="G700" s="18" t="n"/>
      <c r="H700" s="11" t="n"/>
      <c r="I700" s="23">
        <f>IF(G700="","",ROUND(G700*H700/100,2))</f>
        <v/>
      </c>
    </row>
    <row r="701">
      <c r="A701" s="14" t="n"/>
      <c r="B701" s="11" t="n"/>
      <c r="C701" s="11" t="n"/>
      <c r="D701" s="11" t="n"/>
      <c r="E701" s="11" t="n"/>
      <c r="F701" s="11" t="n"/>
      <c r="G701" s="18" t="n"/>
      <c r="H701" s="11" t="n"/>
      <c r="I701" s="23">
        <f>IF(G701="","",ROUND(G701*H701/100,2))</f>
        <v/>
      </c>
    </row>
    <row r="702">
      <c r="A702" s="14" t="n"/>
      <c r="B702" s="11" t="n"/>
      <c r="C702" s="11" t="n"/>
      <c r="D702" s="11" t="n"/>
      <c r="E702" s="11" t="n"/>
      <c r="F702" s="11" t="n"/>
      <c r="G702" s="18" t="n"/>
      <c r="H702" s="11" t="n"/>
      <c r="I702" s="23">
        <f>IF(G702="","",ROUND(G702*H702/100,2))</f>
        <v/>
      </c>
    </row>
    <row r="703">
      <c r="A703" s="14" t="n"/>
      <c r="B703" s="11" t="n"/>
      <c r="C703" s="11" t="n"/>
      <c r="D703" s="11" t="n"/>
      <c r="E703" s="11" t="n"/>
      <c r="F703" s="11" t="n"/>
      <c r="G703" s="18" t="n"/>
      <c r="H703" s="11" t="n"/>
      <c r="I703" s="23">
        <f>IF(G703="","",ROUND(G703*H703/100,2))</f>
        <v/>
      </c>
    </row>
    <row r="704">
      <c r="A704" s="14" t="n"/>
      <c r="B704" s="11" t="n"/>
      <c r="C704" s="11" t="n"/>
      <c r="D704" s="11" t="n"/>
      <c r="E704" s="11" t="n"/>
      <c r="F704" s="11" t="n"/>
      <c r="G704" s="18" t="n"/>
      <c r="H704" s="11" t="n"/>
      <c r="I704" s="23">
        <f>IF(G704="","",ROUND(G704*H704/100,2))</f>
        <v/>
      </c>
    </row>
    <row r="705">
      <c r="A705" s="14" t="n"/>
      <c r="B705" s="11" t="n"/>
      <c r="C705" s="11" t="n"/>
      <c r="D705" s="11" t="n"/>
      <c r="E705" s="11" t="n"/>
      <c r="F705" s="11" t="n"/>
      <c r="G705" s="18" t="n"/>
      <c r="H705" s="11" t="n"/>
      <c r="I705" s="23">
        <f>IF(G705="","",ROUND(G705*H705/100,2))</f>
        <v/>
      </c>
    </row>
    <row r="706">
      <c r="A706" s="14" t="n"/>
      <c r="B706" s="11" t="n"/>
      <c r="C706" s="11" t="n"/>
      <c r="D706" s="11" t="n"/>
      <c r="E706" s="11" t="n"/>
      <c r="F706" s="11" t="n"/>
      <c r="G706" s="18" t="n"/>
      <c r="H706" s="11" t="n"/>
      <c r="I706" s="23">
        <f>IF(G706="","",ROUND(G706*H706/100,2))</f>
        <v/>
      </c>
    </row>
    <row r="707">
      <c r="A707" s="14" t="n"/>
      <c r="B707" s="11" t="n"/>
      <c r="C707" s="11" t="n"/>
      <c r="D707" s="11" t="n"/>
      <c r="E707" s="11" t="n"/>
      <c r="F707" s="11" t="n"/>
      <c r="G707" s="18" t="n"/>
      <c r="H707" s="11" t="n"/>
      <c r="I707" s="23">
        <f>IF(G707="","",ROUND(G707*H707/100,2))</f>
        <v/>
      </c>
    </row>
    <row r="708">
      <c r="A708" s="14" t="n"/>
      <c r="B708" s="11" t="n"/>
      <c r="C708" s="11" t="n"/>
      <c r="D708" s="11" t="n"/>
      <c r="E708" s="11" t="n"/>
      <c r="F708" s="11" t="n"/>
      <c r="G708" s="18" t="n"/>
      <c r="H708" s="11" t="n"/>
      <c r="I708" s="23">
        <f>IF(G708="","",ROUND(G708*H708/100,2))</f>
        <v/>
      </c>
    </row>
    <row r="709">
      <c r="A709" s="14" t="n"/>
      <c r="B709" s="11" t="n"/>
      <c r="C709" s="11" t="n"/>
      <c r="D709" s="11" t="n"/>
      <c r="E709" s="11" t="n"/>
      <c r="F709" s="11" t="n"/>
      <c r="G709" s="18" t="n"/>
      <c r="H709" s="11" t="n"/>
      <c r="I709" s="23">
        <f>IF(G709="","",ROUND(G709*H709/100,2))</f>
        <v/>
      </c>
    </row>
    <row r="710">
      <c r="A710" s="14" t="n"/>
      <c r="B710" s="11" t="n"/>
      <c r="C710" s="11" t="n"/>
      <c r="D710" s="11" t="n"/>
      <c r="E710" s="11" t="n"/>
      <c r="F710" s="11" t="n"/>
      <c r="G710" s="18" t="n"/>
      <c r="H710" s="11" t="n"/>
      <c r="I710" s="23">
        <f>IF(G710="","",ROUND(G710*H710/100,2))</f>
        <v/>
      </c>
    </row>
    <row r="711">
      <c r="A711" s="14" t="n"/>
      <c r="B711" s="11" t="n"/>
      <c r="C711" s="11" t="n"/>
      <c r="D711" s="11" t="n"/>
      <c r="E711" s="11" t="n"/>
      <c r="F711" s="11" t="n"/>
      <c r="G711" s="18" t="n"/>
      <c r="H711" s="11" t="n"/>
      <c r="I711" s="23">
        <f>IF(G711="","",ROUND(G711*H711/100,2))</f>
        <v/>
      </c>
    </row>
    <row r="712">
      <c r="A712" s="14" t="n"/>
      <c r="B712" s="11" t="n"/>
      <c r="C712" s="11" t="n"/>
      <c r="D712" s="11" t="n"/>
      <c r="E712" s="11" t="n"/>
      <c r="F712" s="11" t="n"/>
      <c r="G712" s="18" t="n"/>
      <c r="H712" s="11" t="n"/>
      <c r="I712" s="23">
        <f>IF(G712="","",ROUND(G712*H712/100,2))</f>
        <v/>
      </c>
    </row>
    <row r="713">
      <c r="A713" s="14" t="n"/>
      <c r="B713" s="11" t="n"/>
      <c r="C713" s="11" t="n"/>
      <c r="D713" s="11" t="n"/>
      <c r="E713" s="11" t="n"/>
      <c r="F713" s="11" t="n"/>
      <c r="G713" s="18" t="n"/>
      <c r="H713" s="11" t="n"/>
      <c r="I713" s="23">
        <f>IF(G713="","",ROUND(G713*H713/100,2))</f>
        <v/>
      </c>
    </row>
    <row r="714">
      <c r="A714" s="14" t="n"/>
      <c r="B714" s="11" t="n"/>
      <c r="C714" s="11" t="n"/>
      <c r="D714" s="11" t="n"/>
      <c r="E714" s="11" t="n"/>
      <c r="F714" s="11" t="n"/>
      <c r="G714" s="18" t="n"/>
      <c r="H714" s="11" t="n"/>
      <c r="I714" s="23">
        <f>IF(G714="","",ROUND(G714*H714/100,2))</f>
        <v/>
      </c>
    </row>
    <row r="715">
      <c r="A715" s="14" t="n"/>
      <c r="B715" s="11" t="n"/>
      <c r="C715" s="11" t="n"/>
      <c r="D715" s="11" t="n"/>
      <c r="E715" s="11" t="n"/>
      <c r="F715" s="11" t="n"/>
      <c r="G715" s="18" t="n"/>
      <c r="H715" s="11" t="n"/>
      <c r="I715" s="23">
        <f>IF(G715="","",ROUND(G715*H715/100,2))</f>
        <v/>
      </c>
    </row>
    <row r="716">
      <c r="A716" s="14" t="n"/>
      <c r="B716" s="11" t="n"/>
      <c r="C716" s="11" t="n"/>
      <c r="D716" s="11" t="n"/>
      <c r="E716" s="11" t="n"/>
      <c r="F716" s="11" t="n"/>
      <c r="G716" s="18" t="n"/>
      <c r="H716" s="11" t="n"/>
      <c r="I716" s="23">
        <f>IF(G716="","",ROUND(G716*H716/100,2))</f>
        <v/>
      </c>
    </row>
    <row r="717">
      <c r="A717" s="14" t="n"/>
      <c r="B717" s="11" t="n"/>
      <c r="C717" s="11" t="n"/>
      <c r="D717" s="11" t="n"/>
      <c r="E717" s="11" t="n"/>
      <c r="F717" s="11" t="n"/>
      <c r="G717" s="18" t="n"/>
      <c r="H717" s="11" t="n"/>
      <c r="I717" s="23">
        <f>IF(G717="","",ROUND(G717*H717/100,2))</f>
        <v/>
      </c>
    </row>
    <row r="718">
      <c r="A718" s="14" t="n"/>
      <c r="B718" s="11" t="n"/>
      <c r="C718" s="11" t="n"/>
      <c r="D718" s="11" t="n"/>
      <c r="E718" s="11" t="n"/>
      <c r="F718" s="11" t="n"/>
      <c r="G718" s="18" t="n"/>
      <c r="H718" s="11" t="n"/>
      <c r="I718" s="23">
        <f>IF(G718="","",ROUND(G718*H718/100,2))</f>
        <v/>
      </c>
    </row>
    <row r="719">
      <c r="A719" s="14" t="n"/>
      <c r="B719" s="11" t="n"/>
      <c r="C719" s="11" t="n"/>
      <c r="D719" s="11" t="n"/>
      <c r="E719" s="11" t="n"/>
      <c r="F719" s="11" t="n"/>
      <c r="G719" s="18" t="n"/>
      <c r="H719" s="11" t="n"/>
      <c r="I719" s="23">
        <f>IF(G719="","",ROUND(G719*H719/100,2))</f>
        <v/>
      </c>
    </row>
    <row r="720">
      <c r="A720" s="14" t="n"/>
      <c r="B720" s="11" t="n"/>
      <c r="C720" s="11" t="n"/>
      <c r="D720" s="11" t="n"/>
      <c r="E720" s="11" t="n"/>
      <c r="F720" s="11" t="n"/>
      <c r="G720" s="18" t="n"/>
      <c r="H720" s="11" t="n"/>
      <c r="I720" s="23">
        <f>IF(G720="","",ROUND(G720*H720/100,2))</f>
        <v/>
      </c>
    </row>
    <row r="721">
      <c r="A721" s="14" t="n"/>
      <c r="B721" s="11" t="n"/>
      <c r="C721" s="11" t="n"/>
      <c r="D721" s="11" t="n"/>
      <c r="E721" s="11" t="n"/>
      <c r="F721" s="11" t="n"/>
      <c r="G721" s="18" t="n"/>
      <c r="H721" s="11" t="n"/>
      <c r="I721" s="23">
        <f>IF(G721="","",ROUND(G721*H721/100,2))</f>
        <v/>
      </c>
    </row>
    <row r="722">
      <c r="A722" s="14" t="n"/>
      <c r="B722" s="11" t="n"/>
      <c r="C722" s="11" t="n"/>
      <c r="D722" s="11" t="n"/>
      <c r="E722" s="11" t="n"/>
      <c r="F722" s="11" t="n"/>
      <c r="G722" s="18" t="n"/>
      <c r="H722" s="11" t="n"/>
      <c r="I722" s="23">
        <f>IF(G722="","",ROUND(G722*H722/100,2))</f>
        <v/>
      </c>
    </row>
    <row r="723">
      <c r="A723" s="14" t="n"/>
      <c r="B723" s="11" t="n"/>
      <c r="C723" s="11" t="n"/>
      <c r="D723" s="11" t="n"/>
      <c r="E723" s="11" t="n"/>
      <c r="F723" s="11" t="n"/>
      <c r="G723" s="18" t="n"/>
      <c r="H723" s="11" t="n"/>
      <c r="I723" s="23">
        <f>IF(G723="","",ROUND(G723*H723/100,2))</f>
        <v/>
      </c>
    </row>
    <row r="724">
      <c r="A724" s="14" t="n"/>
      <c r="B724" s="11" t="n"/>
      <c r="C724" s="11" t="n"/>
      <c r="D724" s="11" t="n"/>
      <c r="E724" s="11" t="n"/>
      <c r="F724" s="11" t="n"/>
      <c r="G724" s="18" t="n"/>
      <c r="H724" s="11" t="n"/>
      <c r="I724" s="23">
        <f>IF(G724="","",ROUND(G724*H724/100,2))</f>
        <v/>
      </c>
    </row>
    <row r="725">
      <c r="A725" s="14" t="n"/>
      <c r="B725" s="11" t="n"/>
      <c r="C725" s="11" t="n"/>
      <c r="D725" s="11" t="n"/>
      <c r="E725" s="11" t="n"/>
      <c r="F725" s="11" t="n"/>
      <c r="G725" s="18" t="n"/>
      <c r="H725" s="11" t="n"/>
      <c r="I725" s="23">
        <f>IF(G725="","",ROUND(G725*H725/100,2))</f>
        <v/>
      </c>
    </row>
    <row r="726">
      <c r="A726" s="14" t="n"/>
      <c r="B726" s="11" t="n"/>
      <c r="C726" s="11" t="n"/>
      <c r="D726" s="11" t="n"/>
      <c r="E726" s="11" t="n"/>
      <c r="F726" s="11" t="n"/>
      <c r="G726" s="18" t="n"/>
      <c r="H726" s="11" t="n"/>
      <c r="I726" s="23">
        <f>IF(G726="","",ROUND(G726*H726/100,2))</f>
        <v/>
      </c>
    </row>
    <row r="727">
      <c r="A727" s="14" t="n"/>
      <c r="B727" s="11" t="n"/>
      <c r="C727" s="11" t="n"/>
      <c r="D727" s="11" t="n"/>
      <c r="E727" s="11" t="n"/>
      <c r="F727" s="11" t="n"/>
      <c r="G727" s="18" t="n"/>
      <c r="H727" s="11" t="n"/>
      <c r="I727" s="23">
        <f>IF(G727="","",ROUND(G727*H727/100,2))</f>
        <v/>
      </c>
    </row>
    <row r="728">
      <c r="A728" s="14" t="n"/>
      <c r="B728" s="11" t="n"/>
      <c r="C728" s="11" t="n"/>
      <c r="D728" s="11" t="n"/>
      <c r="E728" s="11" t="n"/>
      <c r="F728" s="11" t="n"/>
      <c r="G728" s="18" t="n"/>
      <c r="H728" s="11" t="n"/>
      <c r="I728" s="23">
        <f>IF(G728="","",ROUND(G728*H728/100,2))</f>
        <v/>
      </c>
    </row>
    <row r="729">
      <c r="A729" s="14" t="n"/>
      <c r="B729" s="11" t="n"/>
      <c r="C729" s="11" t="n"/>
      <c r="D729" s="11" t="n"/>
      <c r="E729" s="11" t="n"/>
      <c r="F729" s="11" t="n"/>
      <c r="G729" s="18" t="n"/>
      <c r="H729" s="11" t="n"/>
      <c r="I729" s="23">
        <f>IF(G729="","",ROUND(G729*H729/100,2))</f>
        <v/>
      </c>
    </row>
    <row r="730">
      <c r="A730" s="14" t="n"/>
      <c r="B730" s="11" t="n"/>
      <c r="C730" s="11" t="n"/>
      <c r="D730" s="11" t="n"/>
      <c r="E730" s="11" t="n"/>
      <c r="F730" s="11" t="n"/>
      <c r="G730" s="18" t="n"/>
      <c r="H730" s="11" t="n"/>
      <c r="I730" s="23">
        <f>IF(G730="","",ROUND(G730*H730/100,2))</f>
        <v/>
      </c>
    </row>
    <row r="731">
      <c r="A731" s="14" t="n"/>
      <c r="B731" s="11" t="n"/>
      <c r="C731" s="11" t="n"/>
      <c r="D731" s="11" t="n"/>
      <c r="E731" s="11" t="n"/>
      <c r="F731" s="11" t="n"/>
      <c r="G731" s="18" t="n"/>
      <c r="H731" s="11" t="n"/>
      <c r="I731" s="23">
        <f>IF(G731="","",ROUND(G731*H731/100,2))</f>
        <v/>
      </c>
    </row>
    <row r="732">
      <c r="A732" s="14" t="n"/>
      <c r="B732" s="11" t="n"/>
      <c r="C732" s="11" t="n"/>
      <c r="D732" s="11" t="n"/>
      <c r="E732" s="11" t="n"/>
      <c r="F732" s="11" t="n"/>
      <c r="G732" s="18" t="n"/>
      <c r="H732" s="11" t="n"/>
      <c r="I732" s="23">
        <f>IF(G732="","",ROUND(G732*H732/100,2))</f>
        <v/>
      </c>
    </row>
    <row r="733">
      <c r="A733" s="14" t="n"/>
      <c r="B733" s="11" t="n"/>
      <c r="C733" s="11" t="n"/>
      <c r="D733" s="11" t="n"/>
      <c r="E733" s="11" t="n"/>
      <c r="F733" s="11" t="n"/>
      <c r="G733" s="18" t="n"/>
      <c r="H733" s="11" t="n"/>
      <c r="I733" s="23">
        <f>IF(G733="","",ROUND(G733*H733/100,2))</f>
        <v/>
      </c>
    </row>
    <row r="734">
      <c r="A734" s="14" t="n"/>
      <c r="B734" s="11" t="n"/>
      <c r="C734" s="11" t="n"/>
      <c r="D734" s="11" t="n"/>
      <c r="E734" s="11" t="n"/>
      <c r="F734" s="11" t="n"/>
      <c r="G734" s="18" t="n"/>
      <c r="H734" s="11" t="n"/>
      <c r="I734" s="23">
        <f>IF(G734="","",ROUND(G734*H734/100,2))</f>
        <v/>
      </c>
    </row>
    <row r="735">
      <c r="A735" s="14" t="n"/>
      <c r="B735" s="11" t="n"/>
      <c r="C735" s="11" t="n"/>
      <c r="D735" s="11" t="n"/>
      <c r="E735" s="11" t="n"/>
      <c r="F735" s="11" t="n"/>
      <c r="G735" s="18" t="n"/>
      <c r="H735" s="11" t="n"/>
      <c r="I735" s="23">
        <f>IF(G735="","",ROUND(G735*H735/100,2))</f>
        <v/>
      </c>
    </row>
    <row r="736">
      <c r="A736" s="14" t="n"/>
      <c r="B736" s="11" t="n"/>
      <c r="C736" s="11" t="n"/>
      <c r="D736" s="11" t="n"/>
      <c r="E736" s="11" t="n"/>
      <c r="F736" s="11" t="n"/>
      <c r="G736" s="18" t="n"/>
      <c r="H736" s="11" t="n"/>
      <c r="I736" s="23">
        <f>IF(G736="","",ROUND(G736*H736/100,2))</f>
        <v/>
      </c>
    </row>
    <row r="737">
      <c r="A737" s="14" t="n"/>
      <c r="B737" s="11" t="n"/>
      <c r="C737" s="11" t="n"/>
      <c r="D737" s="11" t="n"/>
      <c r="E737" s="11" t="n"/>
      <c r="F737" s="11" t="n"/>
      <c r="G737" s="18" t="n"/>
      <c r="H737" s="11" t="n"/>
      <c r="I737" s="23">
        <f>IF(G737="","",ROUND(G737*H737/100,2))</f>
        <v/>
      </c>
    </row>
    <row r="738">
      <c r="A738" s="14" t="n"/>
      <c r="B738" s="11" t="n"/>
      <c r="C738" s="11" t="n"/>
      <c r="D738" s="11" t="n"/>
      <c r="E738" s="11" t="n"/>
      <c r="F738" s="11" t="n"/>
      <c r="G738" s="18" t="n"/>
      <c r="H738" s="11" t="n"/>
      <c r="I738" s="23">
        <f>IF(G738="","",ROUND(G738*H738/100,2))</f>
        <v/>
      </c>
    </row>
    <row r="739">
      <c r="A739" s="14" t="n"/>
      <c r="B739" s="11" t="n"/>
      <c r="C739" s="11" t="n"/>
      <c r="D739" s="11" t="n"/>
      <c r="E739" s="11" t="n"/>
      <c r="F739" s="11" t="n"/>
      <c r="G739" s="18" t="n"/>
      <c r="H739" s="11" t="n"/>
      <c r="I739" s="23">
        <f>IF(G739="","",ROUND(G739*H739/100,2))</f>
        <v/>
      </c>
    </row>
    <row r="740">
      <c r="A740" s="14" t="n"/>
      <c r="B740" s="11" t="n"/>
      <c r="C740" s="11" t="n"/>
      <c r="D740" s="11" t="n"/>
      <c r="E740" s="11" t="n"/>
      <c r="F740" s="11" t="n"/>
      <c r="G740" s="18" t="n"/>
      <c r="H740" s="11" t="n"/>
      <c r="I740" s="23">
        <f>IF(G740="","",ROUND(G740*H740/100,2))</f>
        <v/>
      </c>
    </row>
    <row r="741">
      <c r="A741" s="14" t="n"/>
      <c r="B741" s="11" t="n"/>
      <c r="C741" s="11" t="n"/>
      <c r="D741" s="11" t="n"/>
      <c r="E741" s="11" t="n"/>
      <c r="F741" s="11" t="n"/>
      <c r="G741" s="18" t="n"/>
      <c r="H741" s="11" t="n"/>
      <c r="I741" s="23">
        <f>IF(G741="","",ROUND(G741*H741/100,2))</f>
        <v/>
      </c>
    </row>
    <row r="742">
      <c r="A742" s="14" t="n"/>
      <c r="B742" s="11" t="n"/>
      <c r="C742" s="11" t="n"/>
      <c r="D742" s="11" t="n"/>
      <c r="E742" s="11" t="n"/>
      <c r="F742" s="11" t="n"/>
      <c r="G742" s="18" t="n"/>
      <c r="H742" s="11" t="n"/>
      <c r="I742" s="23">
        <f>IF(G742="","",ROUND(G742*H742/100,2))</f>
        <v/>
      </c>
    </row>
    <row r="743">
      <c r="A743" s="14" t="n"/>
      <c r="B743" s="11" t="n"/>
      <c r="C743" s="11" t="n"/>
      <c r="D743" s="11" t="n"/>
      <c r="E743" s="11" t="n"/>
      <c r="F743" s="11" t="n"/>
      <c r="G743" s="18" t="n"/>
      <c r="H743" s="11" t="n"/>
      <c r="I743" s="23">
        <f>IF(G743="","",ROUND(G743*H743/100,2))</f>
        <v/>
      </c>
    </row>
    <row r="744">
      <c r="A744" s="14" t="n"/>
      <c r="B744" s="11" t="n"/>
      <c r="C744" s="11" t="n"/>
      <c r="D744" s="11" t="n"/>
      <c r="E744" s="11" t="n"/>
      <c r="F744" s="11" t="n"/>
      <c r="G744" s="18" t="n"/>
      <c r="H744" s="11" t="n"/>
      <c r="I744" s="23">
        <f>IF(G744="","",ROUND(G744*H744/100,2))</f>
        <v/>
      </c>
    </row>
    <row r="745">
      <c r="A745" s="14" t="n"/>
      <c r="B745" s="11" t="n"/>
      <c r="C745" s="11" t="n"/>
      <c r="D745" s="11" t="n"/>
      <c r="E745" s="11" t="n"/>
      <c r="F745" s="11" t="n"/>
      <c r="G745" s="18" t="n"/>
      <c r="H745" s="11" t="n"/>
      <c r="I745" s="23">
        <f>IF(G745="","",ROUND(G745*H745/100,2))</f>
        <v/>
      </c>
    </row>
    <row r="746">
      <c r="A746" s="14" t="n"/>
      <c r="B746" s="11" t="n"/>
      <c r="C746" s="11" t="n"/>
      <c r="D746" s="11" t="n"/>
      <c r="E746" s="11" t="n"/>
      <c r="F746" s="11" t="n"/>
      <c r="G746" s="18" t="n"/>
      <c r="H746" s="11" t="n"/>
      <c r="I746" s="23">
        <f>IF(G746="","",ROUND(G746*H746/100,2))</f>
        <v/>
      </c>
    </row>
    <row r="747">
      <c r="A747" s="14" t="n"/>
      <c r="B747" s="11" t="n"/>
      <c r="C747" s="11" t="n"/>
      <c r="D747" s="11" t="n"/>
      <c r="E747" s="11" t="n"/>
      <c r="F747" s="11" t="n"/>
      <c r="G747" s="18" t="n"/>
      <c r="H747" s="11" t="n"/>
      <c r="I747" s="23">
        <f>IF(G747="","",ROUND(G747*H747/100,2))</f>
        <v/>
      </c>
    </row>
    <row r="748">
      <c r="A748" s="14" t="n"/>
      <c r="B748" s="11" t="n"/>
      <c r="C748" s="11" t="n"/>
      <c r="D748" s="11" t="n"/>
      <c r="E748" s="11" t="n"/>
      <c r="F748" s="11" t="n"/>
      <c r="G748" s="18" t="n"/>
      <c r="H748" s="11" t="n"/>
      <c r="I748" s="23">
        <f>IF(G748="","",ROUND(G748*H748/100,2))</f>
        <v/>
      </c>
    </row>
    <row r="749">
      <c r="A749" s="14" t="n"/>
      <c r="B749" s="11" t="n"/>
      <c r="C749" s="11" t="n"/>
      <c r="D749" s="11" t="n"/>
      <c r="E749" s="11" t="n"/>
      <c r="F749" s="11" t="n"/>
      <c r="G749" s="18" t="n"/>
      <c r="H749" s="11" t="n"/>
      <c r="I749" s="23">
        <f>IF(G749="","",ROUND(G749*H749/100,2))</f>
        <v/>
      </c>
    </row>
    <row r="750">
      <c r="A750" s="14" t="n"/>
      <c r="B750" s="11" t="n"/>
      <c r="C750" s="11" t="n"/>
      <c r="D750" s="11" t="n"/>
      <c r="E750" s="11" t="n"/>
      <c r="F750" s="11" t="n"/>
      <c r="G750" s="18" t="n"/>
      <c r="H750" s="11" t="n"/>
      <c r="I750" s="23">
        <f>IF(G750="","",ROUND(G750*H750/100,2))</f>
        <v/>
      </c>
    </row>
    <row r="751">
      <c r="A751" s="14" t="n"/>
      <c r="B751" s="11" t="n"/>
      <c r="C751" s="11" t="n"/>
      <c r="D751" s="11" t="n"/>
      <c r="E751" s="11" t="n"/>
      <c r="F751" s="11" t="n"/>
      <c r="G751" s="18" t="n"/>
      <c r="H751" s="11" t="n"/>
      <c r="I751" s="23">
        <f>IF(G751="","",ROUND(G751*H751/100,2))</f>
        <v/>
      </c>
    </row>
    <row r="752">
      <c r="A752" s="14" t="n"/>
      <c r="B752" s="11" t="n"/>
      <c r="C752" s="11" t="n"/>
      <c r="D752" s="11" t="n"/>
      <c r="E752" s="11" t="n"/>
      <c r="F752" s="11" t="n"/>
      <c r="G752" s="18" t="n"/>
      <c r="H752" s="11" t="n"/>
      <c r="I752" s="23">
        <f>IF(G752="","",ROUND(G752*H752/100,2))</f>
        <v/>
      </c>
    </row>
    <row r="753">
      <c r="A753" s="14" t="n"/>
      <c r="B753" s="11" t="n"/>
      <c r="C753" s="11" t="n"/>
      <c r="D753" s="11" t="n"/>
      <c r="E753" s="11" t="n"/>
      <c r="F753" s="11" t="n"/>
      <c r="G753" s="18" t="n"/>
      <c r="H753" s="11" t="n"/>
      <c r="I753" s="23">
        <f>IF(G753="","",ROUND(G753*H753/100,2))</f>
        <v/>
      </c>
    </row>
    <row r="754">
      <c r="A754" s="14" t="n"/>
      <c r="B754" s="11" t="n"/>
      <c r="C754" s="11" t="n"/>
      <c r="D754" s="11" t="n"/>
      <c r="E754" s="11" t="n"/>
      <c r="F754" s="11" t="n"/>
      <c r="G754" s="18" t="n"/>
      <c r="H754" s="11" t="n"/>
      <c r="I754" s="23">
        <f>IF(G754="","",ROUND(G754*H754/100,2))</f>
        <v/>
      </c>
    </row>
    <row r="755">
      <c r="A755" s="14" t="n"/>
      <c r="B755" s="11" t="n"/>
      <c r="C755" s="11" t="n"/>
      <c r="D755" s="11" t="n"/>
      <c r="E755" s="11" t="n"/>
      <c r="F755" s="11" t="n"/>
      <c r="G755" s="18" t="n"/>
      <c r="H755" s="11" t="n"/>
      <c r="I755" s="23">
        <f>IF(G755="","",ROUND(G755*H755/100,2))</f>
        <v/>
      </c>
    </row>
    <row r="756">
      <c r="A756" s="14" t="n"/>
      <c r="B756" s="11" t="n"/>
      <c r="C756" s="11" t="n"/>
      <c r="D756" s="11" t="n"/>
      <c r="E756" s="11" t="n"/>
      <c r="F756" s="11" t="n"/>
      <c r="G756" s="18" t="n"/>
      <c r="H756" s="11" t="n"/>
      <c r="I756" s="23">
        <f>IF(G756="","",ROUND(G756*H756/100,2))</f>
        <v/>
      </c>
    </row>
    <row r="757">
      <c r="A757" s="14" t="n"/>
      <c r="B757" s="11" t="n"/>
      <c r="C757" s="11" t="n"/>
      <c r="D757" s="11" t="n"/>
      <c r="E757" s="11" t="n"/>
      <c r="F757" s="11" t="n"/>
      <c r="G757" s="18" t="n"/>
      <c r="H757" s="11" t="n"/>
      <c r="I757" s="23">
        <f>IF(G757="","",ROUND(G757*H757/100,2))</f>
        <v/>
      </c>
    </row>
    <row r="758">
      <c r="A758" s="14" t="n"/>
      <c r="B758" s="11" t="n"/>
      <c r="C758" s="11" t="n"/>
      <c r="D758" s="11" t="n"/>
      <c r="E758" s="11" t="n"/>
      <c r="F758" s="11" t="n"/>
      <c r="G758" s="18" t="n"/>
      <c r="H758" s="11" t="n"/>
      <c r="I758" s="23">
        <f>IF(G758="","",ROUND(G758*H758/100,2))</f>
        <v/>
      </c>
    </row>
    <row r="759">
      <c r="A759" s="14" t="n"/>
      <c r="B759" s="11" t="n"/>
      <c r="C759" s="11" t="n"/>
      <c r="D759" s="11" t="n"/>
      <c r="E759" s="11" t="n"/>
      <c r="F759" s="11" t="n"/>
      <c r="G759" s="18" t="n"/>
      <c r="H759" s="11" t="n"/>
      <c r="I759" s="23">
        <f>IF(G759="","",ROUND(G759*H759/100,2))</f>
        <v/>
      </c>
    </row>
    <row r="760">
      <c r="A760" s="14" t="n"/>
      <c r="B760" s="11" t="n"/>
      <c r="C760" s="11" t="n"/>
      <c r="D760" s="11" t="n"/>
      <c r="E760" s="11" t="n"/>
      <c r="F760" s="11" t="n"/>
      <c r="G760" s="18" t="n"/>
      <c r="H760" s="11" t="n"/>
      <c r="I760" s="23">
        <f>IF(G760="","",ROUND(G760*H760/100,2))</f>
        <v/>
      </c>
    </row>
    <row r="761">
      <c r="A761" s="14" t="n"/>
      <c r="B761" s="11" t="n"/>
      <c r="C761" s="11" t="n"/>
      <c r="D761" s="11" t="n"/>
      <c r="E761" s="11" t="n"/>
      <c r="F761" s="11" t="n"/>
      <c r="G761" s="18" t="n"/>
      <c r="H761" s="11" t="n"/>
      <c r="I761" s="23">
        <f>IF(G761="","",ROUND(G761*H761/100,2))</f>
        <v/>
      </c>
    </row>
    <row r="762">
      <c r="A762" s="14" t="n"/>
      <c r="B762" s="11" t="n"/>
      <c r="C762" s="11" t="n"/>
      <c r="D762" s="11" t="n"/>
      <c r="E762" s="11" t="n"/>
      <c r="F762" s="11" t="n"/>
      <c r="G762" s="18" t="n"/>
      <c r="H762" s="11" t="n"/>
      <c r="I762" s="23">
        <f>IF(G762="","",ROUND(G762*H762/100,2))</f>
        <v/>
      </c>
    </row>
    <row r="763">
      <c r="A763" s="14" t="n"/>
      <c r="B763" s="11" t="n"/>
      <c r="C763" s="11" t="n"/>
      <c r="D763" s="11" t="n"/>
      <c r="E763" s="11" t="n"/>
      <c r="F763" s="11" t="n"/>
      <c r="G763" s="18" t="n"/>
      <c r="H763" s="11" t="n"/>
      <c r="I763" s="23">
        <f>IF(G763="","",ROUND(G763*H763/100,2))</f>
        <v/>
      </c>
    </row>
    <row r="764">
      <c r="A764" s="14" t="n"/>
      <c r="B764" s="11" t="n"/>
      <c r="C764" s="11" t="n"/>
      <c r="D764" s="11" t="n"/>
      <c r="E764" s="11" t="n"/>
      <c r="F764" s="11" t="n"/>
      <c r="G764" s="18" t="n"/>
      <c r="H764" s="11" t="n"/>
      <c r="I764" s="23">
        <f>IF(G764="","",ROUND(G764*H764/100,2))</f>
        <v/>
      </c>
    </row>
    <row r="765">
      <c r="A765" s="14" t="n"/>
      <c r="B765" s="11" t="n"/>
      <c r="C765" s="11" t="n"/>
      <c r="D765" s="11" t="n"/>
      <c r="E765" s="11" t="n"/>
      <c r="F765" s="11" t="n"/>
      <c r="G765" s="18" t="n"/>
      <c r="H765" s="11" t="n"/>
      <c r="I765" s="23">
        <f>IF(G765="","",ROUND(G765*H765/100,2))</f>
        <v/>
      </c>
    </row>
    <row r="766">
      <c r="A766" s="14" t="n"/>
      <c r="B766" s="11" t="n"/>
      <c r="C766" s="11" t="n"/>
      <c r="D766" s="11" t="n"/>
      <c r="E766" s="11" t="n"/>
      <c r="F766" s="11" t="n"/>
      <c r="G766" s="18" t="n"/>
      <c r="H766" s="11" t="n"/>
      <c r="I766" s="23">
        <f>IF(G766="","",ROUND(G766*H766/100,2))</f>
        <v/>
      </c>
    </row>
    <row r="767">
      <c r="A767" s="14" t="n"/>
      <c r="B767" s="11" t="n"/>
      <c r="C767" s="11" t="n"/>
      <c r="D767" s="11" t="n"/>
      <c r="E767" s="11" t="n"/>
      <c r="F767" s="11" t="n"/>
      <c r="G767" s="18" t="n"/>
      <c r="H767" s="11" t="n"/>
      <c r="I767" s="23">
        <f>IF(G767="","",ROUND(G767*H767/100,2))</f>
        <v/>
      </c>
    </row>
    <row r="768">
      <c r="A768" s="14" t="n"/>
      <c r="B768" s="11" t="n"/>
      <c r="C768" s="11" t="n"/>
      <c r="D768" s="11" t="n"/>
      <c r="E768" s="11" t="n"/>
      <c r="F768" s="11" t="n"/>
      <c r="G768" s="18" t="n"/>
      <c r="H768" s="11" t="n"/>
      <c r="I768" s="23">
        <f>IF(G768="","",ROUND(G768*H768/100,2))</f>
        <v/>
      </c>
    </row>
    <row r="769">
      <c r="A769" s="14" t="n"/>
      <c r="B769" s="11" t="n"/>
      <c r="C769" s="11" t="n"/>
      <c r="D769" s="11" t="n"/>
      <c r="E769" s="11" t="n"/>
      <c r="F769" s="11" t="n"/>
      <c r="G769" s="18" t="n"/>
      <c r="H769" s="11" t="n"/>
      <c r="I769" s="23">
        <f>IF(G769="","",ROUND(G769*H769/100,2))</f>
        <v/>
      </c>
    </row>
    <row r="770">
      <c r="A770" s="14" t="n"/>
      <c r="B770" s="11" t="n"/>
      <c r="C770" s="11" t="n"/>
      <c r="D770" s="11" t="n"/>
      <c r="E770" s="11" t="n"/>
      <c r="F770" s="11" t="n"/>
      <c r="G770" s="18" t="n"/>
      <c r="H770" s="11" t="n"/>
      <c r="I770" s="23">
        <f>IF(G770="","",ROUND(G770*H770/100,2))</f>
        <v/>
      </c>
    </row>
    <row r="771">
      <c r="A771" s="14" t="n"/>
      <c r="B771" s="11" t="n"/>
      <c r="C771" s="11" t="n"/>
      <c r="D771" s="11" t="n"/>
      <c r="E771" s="11" t="n"/>
      <c r="F771" s="11" t="n"/>
      <c r="G771" s="18" t="n"/>
      <c r="H771" s="11" t="n"/>
      <c r="I771" s="23">
        <f>IF(G771="","",ROUND(G771*H771/100,2))</f>
        <v/>
      </c>
    </row>
    <row r="772">
      <c r="A772" s="14" t="n"/>
      <c r="B772" s="11" t="n"/>
      <c r="C772" s="11" t="n"/>
      <c r="D772" s="11" t="n"/>
      <c r="E772" s="11" t="n"/>
      <c r="F772" s="11" t="n"/>
      <c r="G772" s="18" t="n"/>
      <c r="H772" s="11" t="n"/>
      <c r="I772" s="23">
        <f>IF(G772="","",ROUND(G772*H772/100,2))</f>
        <v/>
      </c>
    </row>
    <row r="773">
      <c r="A773" s="14" t="n"/>
      <c r="B773" s="11" t="n"/>
      <c r="C773" s="11" t="n"/>
      <c r="D773" s="11" t="n"/>
      <c r="E773" s="11" t="n"/>
      <c r="F773" s="11" t="n"/>
      <c r="G773" s="18" t="n"/>
      <c r="H773" s="11" t="n"/>
      <c r="I773" s="23">
        <f>IF(G773="","",ROUND(G773*H773/100,2))</f>
        <v/>
      </c>
    </row>
    <row r="774">
      <c r="A774" s="14" t="n"/>
      <c r="B774" s="11" t="n"/>
      <c r="C774" s="11" t="n"/>
      <c r="D774" s="11" t="n"/>
      <c r="E774" s="11" t="n"/>
      <c r="F774" s="11" t="n"/>
      <c r="G774" s="18" t="n"/>
      <c r="H774" s="11" t="n"/>
      <c r="I774" s="23">
        <f>IF(G774="","",ROUND(G774*H774/100,2))</f>
        <v/>
      </c>
    </row>
    <row r="775">
      <c r="A775" s="14" t="n"/>
      <c r="B775" s="11" t="n"/>
      <c r="C775" s="11" t="n"/>
      <c r="D775" s="11" t="n"/>
      <c r="E775" s="11" t="n"/>
      <c r="F775" s="11" t="n"/>
      <c r="G775" s="18" t="n"/>
      <c r="H775" s="11" t="n"/>
      <c r="I775" s="23">
        <f>IF(G775="","",ROUND(G775*H775/100,2))</f>
        <v/>
      </c>
    </row>
    <row r="776">
      <c r="A776" s="14" t="n"/>
      <c r="B776" s="11" t="n"/>
      <c r="C776" s="11" t="n"/>
      <c r="D776" s="11" t="n"/>
      <c r="E776" s="11" t="n"/>
      <c r="F776" s="11" t="n"/>
      <c r="G776" s="18" t="n"/>
      <c r="H776" s="11" t="n"/>
      <c r="I776" s="23">
        <f>IF(G776="","",ROUND(G776*H776/100,2))</f>
        <v/>
      </c>
    </row>
    <row r="777">
      <c r="A777" s="14" t="n"/>
      <c r="B777" s="11" t="n"/>
      <c r="C777" s="11" t="n"/>
      <c r="D777" s="11" t="n"/>
      <c r="E777" s="11" t="n"/>
      <c r="F777" s="11" t="n"/>
      <c r="G777" s="18" t="n"/>
      <c r="H777" s="11" t="n"/>
      <c r="I777" s="23">
        <f>IF(G777="","",ROUND(G777*H777/100,2))</f>
        <v/>
      </c>
    </row>
    <row r="778">
      <c r="A778" s="14" t="n"/>
      <c r="B778" s="11" t="n"/>
      <c r="C778" s="11" t="n"/>
      <c r="D778" s="11" t="n"/>
      <c r="E778" s="11" t="n"/>
      <c r="F778" s="11" t="n"/>
      <c r="G778" s="18" t="n"/>
      <c r="H778" s="11" t="n"/>
      <c r="I778" s="23">
        <f>IF(G778="","",ROUND(G778*H778/100,2))</f>
        <v/>
      </c>
    </row>
    <row r="779">
      <c r="A779" s="14" t="n"/>
      <c r="B779" s="11" t="n"/>
      <c r="C779" s="11" t="n"/>
      <c r="D779" s="11" t="n"/>
      <c r="E779" s="11" t="n"/>
      <c r="F779" s="11" t="n"/>
      <c r="G779" s="18" t="n"/>
      <c r="H779" s="11" t="n"/>
      <c r="I779" s="23">
        <f>IF(G779="","",ROUND(G779*H779/100,2))</f>
        <v/>
      </c>
    </row>
    <row r="780">
      <c r="A780" s="14" t="n"/>
      <c r="B780" s="11" t="n"/>
      <c r="C780" s="11" t="n"/>
      <c r="D780" s="11" t="n"/>
      <c r="E780" s="11" t="n"/>
      <c r="F780" s="11" t="n"/>
      <c r="G780" s="18" t="n"/>
      <c r="H780" s="11" t="n"/>
      <c r="I780" s="23">
        <f>IF(G780="","",ROUND(G780*H780/100,2))</f>
        <v/>
      </c>
    </row>
    <row r="781">
      <c r="A781" s="14" t="n"/>
      <c r="B781" s="11" t="n"/>
      <c r="C781" s="11" t="n"/>
      <c r="D781" s="11" t="n"/>
      <c r="E781" s="11" t="n"/>
      <c r="F781" s="11" t="n"/>
      <c r="G781" s="18" t="n"/>
      <c r="H781" s="11" t="n"/>
      <c r="I781" s="23">
        <f>IF(G781="","",ROUND(G781*H781/100,2))</f>
        <v/>
      </c>
    </row>
    <row r="782">
      <c r="A782" s="14" t="n"/>
      <c r="B782" s="11" t="n"/>
      <c r="C782" s="11" t="n"/>
      <c r="D782" s="11" t="n"/>
      <c r="E782" s="11" t="n"/>
      <c r="F782" s="11" t="n"/>
      <c r="G782" s="18" t="n"/>
      <c r="H782" s="11" t="n"/>
      <c r="I782" s="23">
        <f>IF(G782="","",ROUND(G782*H782/100,2))</f>
        <v/>
      </c>
    </row>
    <row r="783">
      <c r="A783" s="14" t="n"/>
      <c r="B783" s="11" t="n"/>
      <c r="C783" s="11" t="n"/>
      <c r="D783" s="11" t="n"/>
      <c r="E783" s="11" t="n"/>
      <c r="F783" s="11" t="n"/>
      <c r="G783" s="18" t="n"/>
      <c r="H783" s="11" t="n"/>
      <c r="I783" s="23">
        <f>IF(G783="","",ROUND(G783*H783/100,2))</f>
        <v/>
      </c>
    </row>
    <row r="784">
      <c r="A784" s="14" t="n"/>
      <c r="B784" s="11" t="n"/>
      <c r="C784" s="11" t="n"/>
      <c r="D784" s="11" t="n"/>
      <c r="E784" s="11" t="n"/>
      <c r="F784" s="11" t="n"/>
      <c r="G784" s="18" t="n"/>
      <c r="H784" s="11" t="n"/>
      <c r="I784" s="23">
        <f>IF(G784="","",ROUND(G784*H784/100,2))</f>
        <v/>
      </c>
    </row>
    <row r="785">
      <c r="A785" s="14" t="n"/>
      <c r="B785" s="11" t="n"/>
      <c r="C785" s="11" t="n"/>
      <c r="D785" s="11" t="n"/>
      <c r="E785" s="11" t="n"/>
      <c r="F785" s="11" t="n"/>
      <c r="G785" s="18" t="n"/>
      <c r="H785" s="11" t="n"/>
      <c r="I785" s="23">
        <f>IF(G785="","",ROUND(G785*H785/100,2))</f>
        <v/>
      </c>
    </row>
    <row r="786">
      <c r="A786" s="14" t="n"/>
      <c r="B786" s="11" t="n"/>
      <c r="C786" s="11" t="n"/>
      <c r="D786" s="11" t="n"/>
      <c r="E786" s="11" t="n"/>
      <c r="F786" s="11" t="n"/>
      <c r="G786" s="18" t="n"/>
      <c r="H786" s="11" t="n"/>
      <c r="I786" s="23">
        <f>IF(G786="","",ROUND(G786*H786/100,2))</f>
        <v/>
      </c>
    </row>
    <row r="787">
      <c r="A787" s="14" t="n"/>
      <c r="B787" s="11" t="n"/>
      <c r="C787" s="11" t="n"/>
      <c r="D787" s="11" t="n"/>
      <c r="E787" s="11" t="n"/>
      <c r="F787" s="11" t="n"/>
      <c r="G787" s="18" t="n"/>
      <c r="H787" s="11" t="n"/>
      <c r="I787" s="23">
        <f>IF(G787="","",ROUND(G787*H787/100,2))</f>
        <v/>
      </c>
    </row>
    <row r="788">
      <c r="A788" s="14" t="n"/>
      <c r="B788" s="11" t="n"/>
      <c r="C788" s="11" t="n"/>
      <c r="D788" s="11" t="n"/>
      <c r="E788" s="11" t="n"/>
      <c r="F788" s="11" t="n"/>
      <c r="G788" s="18" t="n"/>
      <c r="H788" s="11" t="n"/>
      <c r="I788" s="23">
        <f>IF(G788="","",ROUND(G788*H788/100,2))</f>
        <v/>
      </c>
    </row>
    <row r="789">
      <c r="A789" s="14" t="n"/>
      <c r="B789" s="11" t="n"/>
      <c r="C789" s="11" t="n"/>
      <c r="D789" s="11" t="n"/>
      <c r="E789" s="11" t="n"/>
      <c r="F789" s="11" t="n"/>
      <c r="G789" s="18" t="n"/>
      <c r="H789" s="11" t="n"/>
      <c r="I789" s="23">
        <f>IF(G789="","",ROUND(G789*H789/100,2))</f>
        <v/>
      </c>
    </row>
    <row r="790">
      <c r="A790" s="14" t="n"/>
      <c r="B790" s="11" t="n"/>
      <c r="C790" s="11" t="n"/>
      <c r="D790" s="11" t="n"/>
      <c r="E790" s="11" t="n"/>
      <c r="F790" s="11" t="n"/>
      <c r="G790" s="18" t="n"/>
      <c r="H790" s="11" t="n"/>
      <c r="I790" s="23">
        <f>IF(G790="","",ROUND(G790*H790/100,2))</f>
        <v/>
      </c>
    </row>
    <row r="791">
      <c r="A791" s="14" t="n"/>
      <c r="B791" s="11" t="n"/>
      <c r="C791" s="11" t="n"/>
      <c r="D791" s="11" t="n"/>
      <c r="E791" s="11" t="n"/>
      <c r="F791" s="11" t="n"/>
      <c r="G791" s="18" t="n"/>
      <c r="H791" s="11" t="n"/>
      <c r="I791" s="23">
        <f>IF(G791="","",ROUND(G791*H791/100,2))</f>
        <v/>
      </c>
    </row>
    <row r="792">
      <c r="A792" s="14" t="n"/>
      <c r="B792" s="11" t="n"/>
      <c r="C792" s="11" t="n"/>
      <c r="D792" s="11" t="n"/>
      <c r="E792" s="11" t="n"/>
      <c r="F792" s="11" t="n"/>
      <c r="G792" s="18" t="n"/>
      <c r="H792" s="11" t="n"/>
      <c r="I792" s="23">
        <f>IF(G792="","",ROUND(G792*H792/100,2))</f>
        <v/>
      </c>
    </row>
    <row r="793">
      <c r="A793" s="14" t="n"/>
      <c r="B793" s="11" t="n"/>
      <c r="C793" s="11" t="n"/>
      <c r="D793" s="11" t="n"/>
      <c r="E793" s="11" t="n"/>
      <c r="F793" s="11" t="n"/>
      <c r="G793" s="18" t="n"/>
      <c r="H793" s="11" t="n"/>
      <c r="I793" s="23">
        <f>IF(G793="","",ROUND(G793*H793/100,2))</f>
        <v/>
      </c>
    </row>
    <row r="794">
      <c r="A794" s="14" t="n"/>
      <c r="B794" s="11" t="n"/>
      <c r="C794" s="11" t="n"/>
      <c r="D794" s="11" t="n"/>
      <c r="E794" s="11" t="n"/>
      <c r="F794" s="11" t="n"/>
      <c r="G794" s="18" t="n"/>
      <c r="H794" s="11" t="n"/>
      <c r="I794" s="23">
        <f>IF(G794="","",ROUND(G794*H794/100,2))</f>
        <v/>
      </c>
    </row>
    <row r="795">
      <c r="A795" s="14" t="n"/>
      <c r="B795" s="11" t="n"/>
      <c r="C795" s="11" t="n"/>
      <c r="D795" s="11" t="n"/>
      <c r="E795" s="11" t="n"/>
      <c r="F795" s="11" t="n"/>
      <c r="G795" s="18" t="n"/>
      <c r="H795" s="11" t="n"/>
      <c r="I795" s="23">
        <f>IF(G795="","",ROUND(G795*H795/100,2))</f>
        <v/>
      </c>
    </row>
    <row r="796">
      <c r="A796" s="14" t="n"/>
      <c r="B796" s="11" t="n"/>
      <c r="C796" s="11" t="n"/>
      <c r="D796" s="11" t="n"/>
      <c r="E796" s="11" t="n"/>
      <c r="F796" s="11" t="n"/>
      <c r="G796" s="18" t="n"/>
      <c r="H796" s="11" t="n"/>
      <c r="I796" s="23">
        <f>IF(G796="","",ROUND(G796*H796/100,2))</f>
        <v/>
      </c>
    </row>
    <row r="797">
      <c r="A797" s="14" t="n"/>
      <c r="B797" s="11" t="n"/>
      <c r="C797" s="11" t="n"/>
      <c r="D797" s="11" t="n"/>
      <c r="E797" s="11" t="n"/>
      <c r="F797" s="11" t="n"/>
      <c r="G797" s="18" t="n"/>
      <c r="H797" s="11" t="n"/>
      <c r="I797" s="23">
        <f>IF(G797="","",ROUND(G797*H797/100,2))</f>
        <v/>
      </c>
    </row>
    <row r="798">
      <c r="A798" s="14" t="n"/>
      <c r="B798" s="11" t="n"/>
      <c r="C798" s="11" t="n"/>
      <c r="D798" s="11" t="n"/>
      <c r="E798" s="11" t="n"/>
      <c r="F798" s="11" t="n"/>
      <c r="G798" s="18" t="n"/>
      <c r="H798" s="11" t="n"/>
      <c r="I798" s="23">
        <f>IF(G798="","",ROUND(G798*H798/100,2))</f>
        <v/>
      </c>
    </row>
    <row r="799">
      <c r="A799" s="14" t="n"/>
      <c r="B799" s="11" t="n"/>
      <c r="C799" s="11" t="n"/>
      <c r="D799" s="11" t="n"/>
      <c r="E799" s="11" t="n"/>
      <c r="F799" s="11" t="n"/>
      <c r="G799" s="18" t="n"/>
      <c r="H799" s="11" t="n"/>
      <c r="I799" s="23">
        <f>IF(G799="","",ROUND(G799*H799/100,2))</f>
        <v/>
      </c>
    </row>
    <row r="800">
      <c r="A800" s="14" t="n"/>
      <c r="B800" s="11" t="n"/>
      <c r="C800" s="11" t="n"/>
      <c r="D800" s="11" t="n"/>
      <c r="E800" s="11" t="n"/>
      <c r="F800" s="11" t="n"/>
      <c r="G800" s="18" t="n"/>
      <c r="H800" s="11" t="n"/>
      <c r="I800" s="23">
        <f>IF(G800="","",ROUND(G800*H800/100,2))</f>
        <v/>
      </c>
    </row>
    <row r="801">
      <c r="A801" s="14" t="n"/>
      <c r="B801" s="11" t="n"/>
      <c r="C801" s="11" t="n"/>
      <c r="D801" s="11" t="n"/>
      <c r="E801" s="11" t="n"/>
      <c r="F801" s="11" t="n"/>
      <c r="G801" s="18" t="n"/>
      <c r="H801" s="11" t="n"/>
      <c r="I801" s="23">
        <f>IF(G801="","",ROUND(G801*H801/100,2))</f>
        <v/>
      </c>
    </row>
    <row r="802">
      <c r="A802" s="14" t="n"/>
      <c r="B802" s="11" t="n"/>
      <c r="C802" s="11" t="n"/>
      <c r="D802" s="11" t="n"/>
      <c r="E802" s="11" t="n"/>
      <c r="F802" s="11" t="n"/>
      <c r="G802" s="18" t="n"/>
      <c r="H802" s="11" t="n"/>
      <c r="I802" s="23">
        <f>IF(G802="","",ROUND(G802*H802/100,2))</f>
        <v/>
      </c>
    </row>
    <row r="803">
      <c r="A803" s="14" t="n"/>
      <c r="B803" s="11" t="n"/>
      <c r="C803" s="11" t="n"/>
      <c r="D803" s="11" t="n"/>
      <c r="E803" s="11" t="n"/>
      <c r="F803" s="11" t="n"/>
      <c r="G803" s="18" t="n"/>
      <c r="H803" s="11" t="n"/>
      <c r="I803" s="23">
        <f>IF(G803="","",ROUND(G803*H803/100,2))</f>
        <v/>
      </c>
    </row>
    <row r="804">
      <c r="A804" s="14" t="n"/>
      <c r="B804" s="11" t="n"/>
      <c r="C804" s="11" t="n"/>
      <c r="D804" s="11" t="n"/>
      <c r="E804" s="11" t="n"/>
      <c r="F804" s="11" t="n"/>
      <c r="G804" s="18" t="n"/>
      <c r="H804" s="11" t="n"/>
      <c r="I804" s="23">
        <f>IF(G804="","",ROUND(G804*H804/100,2))</f>
        <v/>
      </c>
    </row>
    <row r="805">
      <c r="A805" s="14" t="n"/>
      <c r="B805" s="11" t="n"/>
      <c r="C805" s="11" t="n"/>
      <c r="D805" s="11" t="n"/>
      <c r="E805" s="11" t="n"/>
      <c r="F805" s="11" t="n"/>
      <c r="G805" s="18" t="n"/>
      <c r="H805" s="11" t="n"/>
      <c r="I805" s="23">
        <f>IF(G805="","",ROUND(G805*H805/100,2))</f>
        <v/>
      </c>
    </row>
    <row r="806">
      <c r="A806" s="14" t="n"/>
      <c r="B806" s="11" t="n"/>
      <c r="C806" s="11" t="n"/>
      <c r="D806" s="11" t="n"/>
      <c r="E806" s="11" t="n"/>
      <c r="F806" s="11" t="n"/>
      <c r="G806" s="18" t="n"/>
      <c r="H806" s="11" t="n"/>
      <c r="I806" s="23">
        <f>IF(G806="","",ROUND(G806*H806/100,2))</f>
        <v/>
      </c>
    </row>
    <row r="807">
      <c r="A807" s="14" t="n"/>
      <c r="B807" s="11" t="n"/>
      <c r="C807" s="11" t="n"/>
      <c r="D807" s="11" t="n"/>
      <c r="E807" s="11" t="n"/>
      <c r="F807" s="11" t="n"/>
      <c r="G807" s="18" t="n"/>
      <c r="H807" s="11" t="n"/>
      <c r="I807" s="23">
        <f>IF(G807="","",ROUND(G807*H807/100,2))</f>
        <v/>
      </c>
    </row>
    <row r="808">
      <c r="A808" s="14" t="n"/>
      <c r="B808" s="11" t="n"/>
      <c r="C808" s="11" t="n"/>
      <c r="D808" s="11" t="n"/>
      <c r="E808" s="11" t="n"/>
      <c r="F808" s="11" t="n"/>
      <c r="G808" s="18" t="n"/>
      <c r="H808" s="11" t="n"/>
      <c r="I808" s="23">
        <f>IF(G808="","",ROUND(G808*H808/100,2))</f>
        <v/>
      </c>
    </row>
    <row r="809">
      <c r="A809" s="14" t="n"/>
      <c r="B809" s="11" t="n"/>
      <c r="C809" s="11" t="n"/>
      <c r="D809" s="11" t="n"/>
      <c r="E809" s="11" t="n"/>
      <c r="F809" s="11" t="n"/>
      <c r="G809" s="18" t="n"/>
      <c r="H809" s="11" t="n"/>
      <c r="I809" s="23">
        <f>IF(G809="","",ROUND(G809*H809/100,2))</f>
        <v/>
      </c>
    </row>
    <row r="810">
      <c r="A810" s="14" t="n"/>
      <c r="B810" s="11" t="n"/>
      <c r="C810" s="11" t="n"/>
      <c r="D810" s="11" t="n"/>
      <c r="E810" s="11" t="n"/>
      <c r="F810" s="11" t="n"/>
      <c r="G810" s="18" t="n"/>
      <c r="H810" s="11" t="n"/>
      <c r="I810" s="23">
        <f>IF(G810="","",ROUND(G810*H810/100,2))</f>
        <v/>
      </c>
    </row>
    <row r="811">
      <c r="A811" s="14" t="n"/>
      <c r="B811" s="11" t="n"/>
      <c r="C811" s="11" t="n"/>
      <c r="D811" s="11" t="n"/>
      <c r="E811" s="11" t="n"/>
      <c r="F811" s="11" t="n"/>
      <c r="G811" s="18" t="n"/>
      <c r="H811" s="11" t="n"/>
      <c r="I811" s="23">
        <f>IF(G811="","",ROUND(G811*H811/100,2))</f>
        <v/>
      </c>
    </row>
    <row r="812">
      <c r="A812" s="14" t="n"/>
      <c r="B812" s="11" t="n"/>
      <c r="C812" s="11" t="n"/>
      <c r="D812" s="11" t="n"/>
      <c r="E812" s="11" t="n"/>
      <c r="F812" s="11" t="n"/>
      <c r="G812" s="18" t="n"/>
      <c r="H812" s="11" t="n"/>
      <c r="I812" s="23">
        <f>IF(G812="","",ROUND(G812*H812/100,2))</f>
        <v/>
      </c>
    </row>
    <row r="813">
      <c r="A813" s="14" t="n"/>
      <c r="B813" s="11" t="n"/>
      <c r="C813" s="11" t="n"/>
      <c r="D813" s="11" t="n"/>
      <c r="E813" s="11" t="n"/>
      <c r="F813" s="11" t="n"/>
      <c r="G813" s="18" t="n"/>
      <c r="H813" s="11" t="n"/>
      <c r="I813" s="23">
        <f>IF(G813="","",ROUND(G813*H813/100,2))</f>
        <v/>
      </c>
    </row>
    <row r="814">
      <c r="A814" s="14" t="n"/>
      <c r="B814" s="11" t="n"/>
      <c r="C814" s="11" t="n"/>
      <c r="D814" s="11" t="n"/>
      <c r="E814" s="11" t="n"/>
      <c r="F814" s="11" t="n"/>
      <c r="G814" s="18" t="n"/>
      <c r="H814" s="11" t="n"/>
      <c r="I814" s="23">
        <f>IF(G814="","",ROUND(G814*H814/100,2))</f>
        <v/>
      </c>
    </row>
    <row r="815">
      <c r="A815" s="14" t="n"/>
      <c r="B815" s="11" t="n"/>
      <c r="C815" s="11" t="n"/>
      <c r="D815" s="11" t="n"/>
      <c r="E815" s="11" t="n"/>
      <c r="F815" s="11" t="n"/>
      <c r="G815" s="18" t="n"/>
      <c r="H815" s="11" t="n"/>
      <c r="I815" s="23">
        <f>IF(G815="","",ROUND(G815*H815/100,2))</f>
        <v/>
      </c>
    </row>
    <row r="816">
      <c r="A816" s="14" t="n"/>
      <c r="B816" s="11" t="n"/>
      <c r="C816" s="11" t="n"/>
      <c r="D816" s="11" t="n"/>
      <c r="E816" s="11" t="n"/>
      <c r="F816" s="11" t="n"/>
      <c r="G816" s="18" t="n"/>
      <c r="H816" s="11" t="n"/>
      <c r="I816" s="23">
        <f>IF(G816="","",ROUND(G816*H816/100,2))</f>
        <v/>
      </c>
    </row>
    <row r="817">
      <c r="A817" s="14" t="n"/>
      <c r="B817" s="11" t="n"/>
      <c r="C817" s="11" t="n"/>
      <c r="D817" s="11" t="n"/>
      <c r="E817" s="11" t="n"/>
      <c r="F817" s="11" t="n"/>
      <c r="G817" s="18" t="n"/>
      <c r="H817" s="11" t="n"/>
      <c r="I817" s="23">
        <f>IF(G817="","",ROUND(G817*H817/100,2))</f>
        <v/>
      </c>
    </row>
    <row r="818">
      <c r="A818" s="14" t="n"/>
      <c r="B818" s="11" t="n"/>
      <c r="C818" s="11" t="n"/>
      <c r="D818" s="11" t="n"/>
      <c r="E818" s="11" t="n"/>
      <c r="F818" s="11" t="n"/>
      <c r="G818" s="18" t="n"/>
      <c r="H818" s="11" t="n"/>
      <c r="I818" s="23">
        <f>IF(G818="","",ROUND(G818*H818/100,2))</f>
        <v/>
      </c>
    </row>
    <row r="819">
      <c r="A819" s="14" t="n"/>
      <c r="B819" s="11" t="n"/>
      <c r="C819" s="11" t="n"/>
      <c r="D819" s="11" t="n"/>
      <c r="E819" s="11" t="n"/>
      <c r="F819" s="11" t="n"/>
      <c r="G819" s="18" t="n"/>
      <c r="H819" s="11" t="n"/>
      <c r="I819" s="23">
        <f>IF(G819="","",ROUND(G819*H819/100,2))</f>
        <v/>
      </c>
    </row>
    <row r="820">
      <c r="A820" s="14" t="n"/>
      <c r="B820" s="11" t="n"/>
      <c r="C820" s="11" t="n"/>
      <c r="D820" s="11" t="n"/>
      <c r="E820" s="11" t="n"/>
      <c r="F820" s="11" t="n"/>
      <c r="G820" s="18" t="n"/>
      <c r="H820" s="11" t="n"/>
      <c r="I820" s="23">
        <f>IF(G820="","",ROUND(G820*H820/100,2))</f>
        <v/>
      </c>
    </row>
    <row r="821">
      <c r="A821" s="14" t="n"/>
      <c r="B821" s="11" t="n"/>
      <c r="C821" s="11" t="n"/>
      <c r="D821" s="11" t="n"/>
      <c r="E821" s="11" t="n"/>
      <c r="F821" s="11" t="n"/>
      <c r="G821" s="18" t="n"/>
      <c r="H821" s="11" t="n"/>
      <c r="I821" s="23">
        <f>IF(G821="","",ROUND(G821*H821/100,2))</f>
        <v/>
      </c>
    </row>
    <row r="822">
      <c r="A822" s="14" t="n"/>
      <c r="B822" s="11" t="n"/>
      <c r="C822" s="11" t="n"/>
      <c r="D822" s="11" t="n"/>
      <c r="E822" s="11" t="n"/>
      <c r="F822" s="11" t="n"/>
      <c r="G822" s="18" t="n"/>
      <c r="H822" s="11" t="n"/>
      <c r="I822" s="23">
        <f>IF(G822="","",ROUND(G822*H822/100,2))</f>
        <v/>
      </c>
    </row>
    <row r="823">
      <c r="A823" s="14" t="n"/>
      <c r="B823" s="11" t="n"/>
      <c r="C823" s="11" t="n"/>
      <c r="D823" s="11" t="n"/>
      <c r="E823" s="11" t="n"/>
      <c r="F823" s="11" t="n"/>
      <c r="G823" s="18" t="n"/>
      <c r="H823" s="11" t="n"/>
      <c r="I823" s="23">
        <f>IF(G823="","",ROUND(G823*H823/100,2))</f>
        <v/>
      </c>
    </row>
    <row r="824">
      <c r="A824" s="14" t="n"/>
      <c r="B824" s="11" t="n"/>
      <c r="C824" s="11" t="n"/>
      <c r="D824" s="11" t="n"/>
      <c r="E824" s="11" t="n"/>
      <c r="F824" s="11" t="n"/>
      <c r="G824" s="18" t="n"/>
      <c r="H824" s="11" t="n"/>
      <c r="I824" s="23">
        <f>IF(G824="","",ROUND(G824*H824/100,2))</f>
        <v/>
      </c>
    </row>
    <row r="825">
      <c r="A825" s="14" t="n"/>
      <c r="B825" s="11" t="n"/>
      <c r="C825" s="11" t="n"/>
      <c r="D825" s="11" t="n"/>
      <c r="E825" s="11" t="n"/>
      <c r="F825" s="11" t="n"/>
      <c r="G825" s="18" t="n"/>
      <c r="H825" s="11" t="n"/>
      <c r="I825" s="23">
        <f>IF(G825="","",ROUND(G825*H825/100,2))</f>
        <v/>
      </c>
    </row>
    <row r="826">
      <c r="A826" s="14" t="n"/>
      <c r="B826" s="11" t="n"/>
      <c r="C826" s="11" t="n"/>
      <c r="D826" s="11" t="n"/>
      <c r="E826" s="11" t="n"/>
      <c r="F826" s="11" t="n"/>
      <c r="G826" s="18" t="n"/>
      <c r="H826" s="11" t="n"/>
      <c r="I826" s="23">
        <f>IF(G826="","",ROUND(G826*H826/100,2))</f>
        <v/>
      </c>
    </row>
    <row r="827">
      <c r="A827" s="14" t="n"/>
      <c r="B827" s="11" t="n"/>
      <c r="C827" s="11" t="n"/>
      <c r="D827" s="11" t="n"/>
      <c r="E827" s="11" t="n"/>
      <c r="F827" s="11" t="n"/>
      <c r="G827" s="18" t="n"/>
      <c r="H827" s="11" t="n"/>
      <c r="I827" s="23">
        <f>IF(G827="","",ROUND(G827*H827/100,2))</f>
        <v/>
      </c>
    </row>
    <row r="828">
      <c r="A828" s="14" t="n"/>
      <c r="B828" s="11" t="n"/>
      <c r="C828" s="11" t="n"/>
      <c r="D828" s="11" t="n"/>
      <c r="E828" s="11" t="n"/>
      <c r="F828" s="11" t="n"/>
      <c r="G828" s="18" t="n"/>
      <c r="H828" s="11" t="n"/>
      <c r="I828" s="23">
        <f>IF(G828="","",ROUND(G828*H828/100,2))</f>
        <v/>
      </c>
    </row>
    <row r="829">
      <c r="A829" s="14" t="n"/>
      <c r="B829" s="11" t="n"/>
      <c r="C829" s="11" t="n"/>
      <c r="D829" s="11" t="n"/>
      <c r="E829" s="11" t="n"/>
      <c r="F829" s="11" t="n"/>
      <c r="G829" s="18" t="n"/>
      <c r="H829" s="11" t="n"/>
      <c r="I829" s="23">
        <f>IF(G829="","",ROUND(G829*H829/100,2))</f>
        <v/>
      </c>
    </row>
    <row r="830">
      <c r="A830" s="14" t="n"/>
      <c r="B830" s="11" t="n"/>
      <c r="C830" s="11" t="n"/>
      <c r="D830" s="11" t="n"/>
      <c r="E830" s="11" t="n"/>
      <c r="F830" s="11" t="n"/>
      <c r="G830" s="18" t="n"/>
      <c r="H830" s="11" t="n"/>
      <c r="I830" s="23">
        <f>IF(G830="","",ROUND(G830*H830/100,2))</f>
        <v/>
      </c>
    </row>
    <row r="831">
      <c r="A831" s="14" t="n"/>
      <c r="B831" s="11" t="n"/>
      <c r="C831" s="11" t="n"/>
      <c r="D831" s="11" t="n"/>
      <c r="E831" s="11" t="n"/>
      <c r="F831" s="11" t="n"/>
      <c r="G831" s="18" t="n"/>
      <c r="H831" s="11" t="n"/>
      <c r="I831" s="23">
        <f>IF(G831="","",ROUND(G831*H831/100,2))</f>
        <v/>
      </c>
    </row>
    <row r="832">
      <c r="A832" s="14" t="n"/>
      <c r="B832" s="11" t="n"/>
      <c r="C832" s="11" t="n"/>
      <c r="D832" s="11" t="n"/>
      <c r="E832" s="11" t="n"/>
      <c r="F832" s="11" t="n"/>
      <c r="G832" s="18" t="n"/>
      <c r="H832" s="11" t="n"/>
      <c r="I832" s="23">
        <f>IF(G832="","",ROUND(G832*H832/100,2))</f>
        <v/>
      </c>
    </row>
    <row r="833">
      <c r="A833" s="14" t="n"/>
      <c r="B833" s="11" t="n"/>
      <c r="C833" s="11" t="n"/>
      <c r="D833" s="11" t="n"/>
      <c r="E833" s="11" t="n"/>
      <c r="F833" s="11" t="n"/>
      <c r="G833" s="18" t="n"/>
      <c r="H833" s="11" t="n"/>
      <c r="I833" s="23">
        <f>IF(G833="","",ROUND(G833*H833/100,2))</f>
        <v/>
      </c>
    </row>
    <row r="834">
      <c r="A834" s="14" t="n"/>
      <c r="B834" s="11" t="n"/>
      <c r="C834" s="11" t="n"/>
      <c r="D834" s="11" t="n"/>
      <c r="E834" s="11" t="n"/>
      <c r="F834" s="11" t="n"/>
      <c r="G834" s="18" t="n"/>
      <c r="H834" s="11" t="n"/>
      <c r="I834" s="23">
        <f>IF(G834="","",ROUND(G834*H834/100,2))</f>
        <v/>
      </c>
    </row>
    <row r="835">
      <c r="A835" s="14" t="n"/>
      <c r="B835" s="11" t="n"/>
      <c r="C835" s="11" t="n"/>
      <c r="D835" s="11" t="n"/>
      <c r="E835" s="11" t="n"/>
      <c r="F835" s="11" t="n"/>
      <c r="G835" s="18" t="n"/>
      <c r="H835" s="11" t="n"/>
      <c r="I835" s="23">
        <f>IF(G835="","",ROUND(G835*H835/100,2))</f>
        <v/>
      </c>
    </row>
    <row r="836">
      <c r="A836" s="14" t="n"/>
      <c r="B836" s="11" t="n"/>
      <c r="C836" s="11" t="n"/>
      <c r="D836" s="11" t="n"/>
      <c r="E836" s="11" t="n"/>
      <c r="F836" s="11" t="n"/>
      <c r="G836" s="18" t="n"/>
      <c r="H836" s="11" t="n"/>
      <c r="I836" s="23">
        <f>IF(G836="","",ROUND(G836*H836/100,2))</f>
        <v/>
      </c>
    </row>
    <row r="837">
      <c r="A837" s="14" t="n"/>
      <c r="B837" s="11" t="n"/>
      <c r="C837" s="11" t="n"/>
      <c r="D837" s="11" t="n"/>
      <c r="E837" s="11" t="n"/>
      <c r="F837" s="11" t="n"/>
      <c r="G837" s="18" t="n"/>
      <c r="H837" s="11" t="n"/>
      <c r="I837" s="23">
        <f>IF(G837="","",ROUND(G837*H837/100,2))</f>
        <v/>
      </c>
    </row>
    <row r="838">
      <c r="A838" s="14" t="n"/>
      <c r="B838" s="11" t="n"/>
      <c r="C838" s="11" t="n"/>
      <c r="D838" s="11" t="n"/>
      <c r="E838" s="11" t="n"/>
      <c r="F838" s="11" t="n"/>
      <c r="G838" s="18" t="n"/>
      <c r="H838" s="11" t="n"/>
      <c r="I838" s="23">
        <f>IF(G838="","",ROUND(G838*H838/100,2))</f>
        <v/>
      </c>
    </row>
    <row r="839">
      <c r="A839" s="14" t="n"/>
      <c r="B839" s="11" t="n"/>
      <c r="C839" s="11" t="n"/>
      <c r="D839" s="11" t="n"/>
      <c r="E839" s="11" t="n"/>
      <c r="F839" s="11" t="n"/>
      <c r="G839" s="18" t="n"/>
      <c r="H839" s="11" t="n"/>
      <c r="I839" s="23">
        <f>IF(G839="","",ROUND(G839*H839/100,2))</f>
        <v/>
      </c>
    </row>
    <row r="840">
      <c r="A840" s="14" t="n"/>
      <c r="B840" s="11" t="n"/>
      <c r="C840" s="11" t="n"/>
      <c r="D840" s="11" t="n"/>
      <c r="E840" s="11" t="n"/>
      <c r="F840" s="11" t="n"/>
      <c r="G840" s="18" t="n"/>
      <c r="H840" s="11" t="n"/>
      <c r="I840" s="23">
        <f>IF(G840="","",ROUND(G840*H840/100,2))</f>
        <v/>
      </c>
    </row>
    <row r="841">
      <c r="A841" s="14" t="n"/>
      <c r="B841" s="11" t="n"/>
      <c r="C841" s="11" t="n"/>
      <c r="D841" s="11" t="n"/>
      <c r="E841" s="11" t="n"/>
      <c r="F841" s="11" t="n"/>
      <c r="G841" s="18" t="n"/>
      <c r="H841" s="11" t="n"/>
      <c r="I841" s="23">
        <f>IF(G841="","",ROUND(G841*H841/100,2))</f>
        <v/>
      </c>
    </row>
    <row r="842">
      <c r="A842" s="14" t="n"/>
      <c r="B842" s="11" t="n"/>
      <c r="C842" s="11" t="n"/>
      <c r="D842" s="11" t="n"/>
      <c r="E842" s="11" t="n"/>
      <c r="F842" s="11" t="n"/>
      <c r="G842" s="18" t="n"/>
      <c r="H842" s="11" t="n"/>
      <c r="I842" s="23">
        <f>IF(G842="","",ROUND(G842*H842/100,2))</f>
        <v/>
      </c>
    </row>
    <row r="843">
      <c r="A843" s="14" t="n"/>
      <c r="B843" s="11" t="n"/>
      <c r="C843" s="11" t="n"/>
      <c r="D843" s="11" t="n"/>
      <c r="E843" s="11" t="n"/>
      <c r="F843" s="11" t="n"/>
      <c r="G843" s="18" t="n"/>
      <c r="H843" s="11" t="n"/>
      <c r="I843" s="23">
        <f>IF(G843="","",ROUND(G843*H843/100,2))</f>
        <v/>
      </c>
    </row>
    <row r="844">
      <c r="A844" s="14" t="n"/>
      <c r="B844" s="11" t="n"/>
      <c r="C844" s="11" t="n"/>
      <c r="D844" s="11" t="n"/>
      <c r="E844" s="11" t="n"/>
      <c r="F844" s="11" t="n"/>
      <c r="G844" s="18" t="n"/>
      <c r="H844" s="11" t="n"/>
      <c r="I844" s="23">
        <f>IF(G844="","",ROUND(G844*H844/100,2))</f>
        <v/>
      </c>
    </row>
    <row r="845">
      <c r="A845" s="14" t="n"/>
      <c r="B845" s="11" t="n"/>
      <c r="C845" s="11" t="n"/>
      <c r="D845" s="11" t="n"/>
      <c r="E845" s="11" t="n"/>
      <c r="F845" s="11" t="n"/>
      <c r="G845" s="18" t="n"/>
      <c r="H845" s="11" t="n"/>
      <c r="I845" s="23">
        <f>IF(G845="","",ROUND(G845*H845/100,2))</f>
        <v/>
      </c>
    </row>
    <row r="846">
      <c r="A846" s="14" t="n"/>
      <c r="B846" s="11" t="n"/>
      <c r="C846" s="11" t="n"/>
      <c r="D846" s="11" t="n"/>
      <c r="E846" s="11" t="n"/>
      <c r="F846" s="11" t="n"/>
      <c r="G846" s="18" t="n"/>
      <c r="H846" s="11" t="n"/>
      <c r="I846" s="23">
        <f>IF(G846="","",ROUND(G846*H846/100,2))</f>
        <v/>
      </c>
    </row>
    <row r="847">
      <c r="A847" s="14" t="n"/>
      <c r="B847" s="11" t="n"/>
      <c r="C847" s="11" t="n"/>
      <c r="D847" s="11" t="n"/>
      <c r="E847" s="11" t="n"/>
      <c r="F847" s="11" t="n"/>
      <c r="G847" s="18" t="n"/>
      <c r="H847" s="11" t="n"/>
      <c r="I847" s="23">
        <f>IF(G847="","",ROUND(G847*H847/100,2))</f>
        <v/>
      </c>
    </row>
    <row r="848">
      <c r="A848" s="14" t="n"/>
      <c r="B848" s="11" t="n"/>
      <c r="C848" s="11" t="n"/>
      <c r="D848" s="11" t="n"/>
      <c r="E848" s="11" t="n"/>
      <c r="F848" s="11" t="n"/>
      <c r="G848" s="18" t="n"/>
      <c r="H848" s="11" t="n"/>
      <c r="I848" s="23">
        <f>IF(G848="","",ROUND(G848*H848/100,2))</f>
        <v/>
      </c>
    </row>
    <row r="849">
      <c r="A849" s="14" t="n"/>
      <c r="B849" s="11" t="n"/>
      <c r="C849" s="11" t="n"/>
      <c r="D849" s="11" t="n"/>
      <c r="E849" s="11" t="n"/>
      <c r="F849" s="11" t="n"/>
      <c r="G849" s="18" t="n"/>
      <c r="H849" s="11" t="n"/>
      <c r="I849" s="23">
        <f>IF(G849="","",ROUND(G849*H849/100,2))</f>
        <v/>
      </c>
    </row>
    <row r="850">
      <c r="A850" s="14" t="n"/>
      <c r="B850" s="11" t="n"/>
      <c r="C850" s="11" t="n"/>
      <c r="D850" s="11" t="n"/>
      <c r="E850" s="11" t="n"/>
      <c r="F850" s="11" t="n"/>
      <c r="G850" s="18" t="n"/>
      <c r="H850" s="11" t="n"/>
      <c r="I850" s="23">
        <f>IF(G850="","",ROUND(G850*H850/100,2))</f>
        <v/>
      </c>
    </row>
    <row r="851">
      <c r="A851" s="14" t="n"/>
      <c r="B851" s="11" t="n"/>
      <c r="C851" s="11" t="n"/>
      <c r="D851" s="11" t="n"/>
      <c r="E851" s="11" t="n"/>
      <c r="F851" s="11" t="n"/>
      <c r="G851" s="18" t="n"/>
      <c r="H851" s="11" t="n"/>
      <c r="I851" s="23">
        <f>IF(G851="","",ROUND(G851*H851/100,2))</f>
        <v/>
      </c>
    </row>
    <row r="852">
      <c r="A852" s="14" t="n"/>
      <c r="B852" s="11" t="n"/>
      <c r="C852" s="11" t="n"/>
      <c r="D852" s="11" t="n"/>
      <c r="E852" s="11" t="n"/>
      <c r="F852" s="11" t="n"/>
      <c r="G852" s="18" t="n"/>
      <c r="H852" s="11" t="n"/>
      <c r="I852" s="23">
        <f>IF(G852="","",ROUND(G852*H852/100,2))</f>
        <v/>
      </c>
    </row>
    <row r="853">
      <c r="A853" s="14" t="n"/>
      <c r="B853" s="11" t="n"/>
      <c r="C853" s="11" t="n"/>
      <c r="D853" s="11" t="n"/>
      <c r="E853" s="11" t="n"/>
      <c r="F853" s="11" t="n"/>
      <c r="G853" s="18" t="n"/>
      <c r="H853" s="11" t="n"/>
      <c r="I853" s="23">
        <f>IF(G853="","",ROUND(G853*H853/100,2))</f>
        <v/>
      </c>
    </row>
    <row r="854">
      <c r="A854" s="14" t="n"/>
      <c r="B854" s="11" t="n"/>
      <c r="C854" s="11" t="n"/>
      <c r="D854" s="11" t="n"/>
      <c r="E854" s="11" t="n"/>
      <c r="F854" s="11" t="n"/>
      <c r="G854" s="18" t="n"/>
      <c r="H854" s="11" t="n"/>
      <c r="I854" s="23">
        <f>IF(G854="","",ROUND(G854*H854/100,2))</f>
        <v/>
      </c>
    </row>
    <row r="855">
      <c r="A855" s="14" t="n"/>
      <c r="B855" s="11" t="n"/>
      <c r="C855" s="11" t="n"/>
      <c r="D855" s="11" t="n"/>
      <c r="E855" s="11" t="n"/>
      <c r="F855" s="11" t="n"/>
      <c r="G855" s="18" t="n"/>
      <c r="H855" s="11" t="n"/>
      <c r="I855" s="23">
        <f>IF(G855="","",ROUND(G855*H855/100,2))</f>
        <v/>
      </c>
    </row>
    <row r="856">
      <c r="A856" s="14" t="n"/>
      <c r="B856" s="11" t="n"/>
      <c r="C856" s="11" t="n"/>
      <c r="D856" s="11" t="n"/>
      <c r="E856" s="11" t="n"/>
      <c r="F856" s="11" t="n"/>
      <c r="G856" s="18" t="n"/>
      <c r="H856" s="11" t="n"/>
      <c r="I856" s="23">
        <f>IF(G856="","",ROUND(G856*H856/100,2))</f>
        <v/>
      </c>
    </row>
    <row r="857">
      <c r="A857" s="14" t="n"/>
      <c r="B857" s="11" t="n"/>
      <c r="C857" s="11" t="n"/>
      <c r="D857" s="11" t="n"/>
      <c r="E857" s="11" t="n"/>
      <c r="F857" s="11" t="n"/>
      <c r="G857" s="18" t="n"/>
      <c r="H857" s="11" t="n"/>
      <c r="I857" s="23">
        <f>IF(G857="","",ROUND(G857*H857/100,2))</f>
        <v/>
      </c>
    </row>
    <row r="858">
      <c r="A858" s="14" t="n"/>
      <c r="B858" s="11" t="n"/>
      <c r="C858" s="11" t="n"/>
      <c r="D858" s="11" t="n"/>
      <c r="E858" s="11" t="n"/>
      <c r="F858" s="11" t="n"/>
      <c r="G858" s="18" t="n"/>
      <c r="H858" s="11" t="n"/>
      <c r="I858" s="23">
        <f>IF(G858="","",ROUND(G858*H858/100,2))</f>
        <v/>
      </c>
    </row>
    <row r="859">
      <c r="A859" s="14" t="n"/>
      <c r="B859" s="11" t="n"/>
      <c r="C859" s="11" t="n"/>
      <c r="D859" s="11" t="n"/>
      <c r="E859" s="11" t="n"/>
      <c r="F859" s="11" t="n"/>
      <c r="G859" s="18" t="n"/>
      <c r="H859" s="11" t="n"/>
      <c r="I859" s="23">
        <f>IF(G859="","",ROUND(G859*H859/100,2))</f>
        <v/>
      </c>
    </row>
    <row r="860">
      <c r="A860" s="14" t="n"/>
      <c r="B860" s="11" t="n"/>
      <c r="C860" s="11" t="n"/>
      <c r="D860" s="11" t="n"/>
      <c r="E860" s="11" t="n"/>
      <c r="F860" s="11" t="n"/>
      <c r="G860" s="18" t="n"/>
      <c r="H860" s="11" t="n"/>
      <c r="I860" s="23">
        <f>IF(G860="","",ROUND(G860*H860/100,2))</f>
        <v/>
      </c>
    </row>
    <row r="861">
      <c r="A861" s="14" t="n"/>
      <c r="B861" s="11" t="n"/>
      <c r="C861" s="11" t="n"/>
      <c r="D861" s="11" t="n"/>
      <c r="E861" s="11" t="n"/>
      <c r="F861" s="11" t="n"/>
      <c r="G861" s="18" t="n"/>
      <c r="H861" s="11" t="n"/>
      <c r="I861" s="23">
        <f>IF(G861="","",ROUND(G861*H861/100,2))</f>
        <v/>
      </c>
    </row>
    <row r="862">
      <c r="A862" s="14" t="n"/>
      <c r="B862" s="11" t="n"/>
      <c r="C862" s="11" t="n"/>
      <c r="D862" s="11" t="n"/>
      <c r="E862" s="11" t="n"/>
      <c r="F862" s="11" t="n"/>
      <c r="G862" s="18" t="n"/>
      <c r="H862" s="11" t="n"/>
      <c r="I862" s="23">
        <f>IF(G862="","",ROUND(G862*H862/100,2))</f>
        <v/>
      </c>
    </row>
    <row r="863">
      <c r="A863" s="14" t="n"/>
      <c r="B863" s="11" t="n"/>
      <c r="C863" s="11" t="n"/>
      <c r="D863" s="11" t="n"/>
      <c r="E863" s="11" t="n"/>
      <c r="F863" s="11" t="n"/>
      <c r="G863" s="18" t="n"/>
      <c r="H863" s="11" t="n"/>
      <c r="I863" s="23">
        <f>IF(G863="","",ROUND(G863*H863/100,2))</f>
        <v/>
      </c>
    </row>
    <row r="864">
      <c r="A864" s="14" t="n"/>
      <c r="B864" s="11" t="n"/>
      <c r="C864" s="11" t="n"/>
      <c r="D864" s="11" t="n"/>
      <c r="E864" s="11" t="n"/>
      <c r="F864" s="11" t="n"/>
      <c r="G864" s="18" t="n"/>
      <c r="H864" s="11" t="n"/>
      <c r="I864" s="23">
        <f>IF(G864="","",ROUND(G864*H864/100,2))</f>
        <v/>
      </c>
    </row>
    <row r="865">
      <c r="A865" s="14" t="n"/>
      <c r="B865" s="11" t="n"/>
      <c r="C865" s="11" t="n"/>
      <c r="D865" s="11" t="n"/>
      <c r="E865" s="11" t="n"/>
      <c r="F865" s="11" t="n"/>
      <c r="G865" s="18" t="n"/>
      <c r="H865" s="11" t="n"/>
      <c r="I865" s="23">
        <f>IF(G865="","",ROUND(G865*H865/100,2))</f>
        <v/>
      </c>
    </row>
    <row r="866">
      <c r="A866" s="14" t="n"/>
      <c r="B866" s="11" t="n"/>
      <c r="C866" s="11" t="n"/>
      <c r="D866" s="11" t="n"/>
      <c r="E866" s="11" t="n"/>
      <c r="F866" s="11" t="n"/>
      <c r="G866" s="18" t="n"/>
      <c r="H866" s="11" t="n"/>
      <c r="I866" s="23">
        <f>IF(G866="","",ROUND(G866*H866/100,2))</f>
        <v/>
      </c>
    </row>
    <row r="867">
      <c r="A867" s="14" t="n"/>
      <c r="B867" s="11" t="n"/>
      <c r="C867" s="11" t="n"/>
      <c r="D867" s="11" t="n"/>
      <c r="E867" s="11" t="n"/>
      <c r="F867" s="11" t="n"/>
      <c r="G867" s="18" t="n"/>
      <c r="H867" s="11" t="n"/>
      <c r="I867" s="23">
        <f>IF(G867="","",ROUND(G867*H867/100,2))</f>
        <v/>
      </c>
    </row>
    <row r="868">
      <c r="A868" s="14" t="n"/>
      <c r="B868" s="11" t="n"/>
      <c r="C868" s="11" t="n"/>
      <c r="D868" s="11" t="n"/>
      <c r="E868" s="11" t="n"/>
      <c r="F868" s="11" t="n"/>
      <c r="G868" s="18" t="n"/>
      <c r="H868" s="11" t="n"/>
      <c r="I868" s="23">
        <f>IF(G868="","",ROUND(G868*H868/100,2))</f>
        <v/>
      </c>
    </row>
    <row r="869">
      <c r="A869" s="14" t="n"/>
      <c r="B869" s="11" t="n"/>
      <c r="C869" s="11" t="n"/>
      <c r="D869" s="11" t="n"/>
      <c r="E869" s="11" t="n"/>
      <c r="F869" s="11" t="n"/>
      <c r="G869" s="18" t="n"/>
      <c r="H869" s="11" t="n"/>
      <c r="I869" s="23">
        <f>IF(G869="","",ROUND(G869*H869/100,2))</f>
        <v/>
      </c>
    </row>
    <row r="870">
      <c r="A870" s="14" t="n"/>
      <c r="B870" s="11" t="n"/>
      <c r="C870" s="11" t="n"/>
      <c r="D870" s="11" t="n"/>
      <c r="E870" s="11" t="n"/>
      <c r="F870" s="11" t="n"/>
      <c r="G870" s="18" t="n"/>
      <c r="H870" s="11" t="n"/>
      <c r="I870" s="23">
        <f>IF(G870="","",ROUND(G870*H870/100,2))</f>
        <v/>
      </c>
    </row>
    <row r="871">
      <c r="A871" s="14" t="n"/>
      <c r="B871" s="11" t="n"/>
      <c r="C871" s="11" t="n"/>
      <c r="D871" s="11" t="n"/>
      <c r="E871" s="11" t="n"/>
      <c r="F871" s="11" t="n"/>
      <c r="G871" s="18" t="n"/>
      <c r="H871" s="11" t="n"/>
      <c r="I871" s="23">
        <f>IF(G871="","",ROUND(G871*H871/100,2))</f>
        <v/>
      </c>
    </row>
    <row r="872">
      <c r="A872" s="14" t="n"/>
      <c r="B872" s="11" t="n"/>
      <c r="C872" s="11" t="n"/>
      <c r="D872" s="11" t="n"/>
      <c r="E872" s="11" t="n"/>
      <c r="F872" s="11" t="n"/>
      <c r="G872" s="18" t="n"/>
      <c r="H872" s="11" t="n"/>
      <c r="I872" s="23">
        <f>IF(G872="","",ROUND(G872*H872/100,2))</f>
        <v/>
      </c>
    </row>
    <row r="873">
      <c r="A873" s="14" t="n"/>
      <c r="B873" s="11" t="n"/>
      <c r="C873" s="11" t="n"/>
      <c r="D873" s="11" t="n"/>
      <c r="E873" s="11" t="n"/>
      <c r="F873" s="11" t="n"/>
      <c r="G873" s="18" t="n"/>
      <c r="H873" s="11" t="n"/>
      <c r="I873" s="23">
        <f>IF(G873="","",ROUND(G873*H873/100,2))</f>
        <v/>
      </c>
    </row>
    <row r="874">
      <c r="A874" s="14" t="n"/>
      <c r="B874" s="11" t="n"/>
      <c r="C874" s="11" t="n"/>
      <c r="D874" s="11" t="n"/>
      <c r="E874" s="11" t="n"/>
      <c r="F874" s="11" t="n"/>
      <c r="G874" s="18" t="n"/>
      <c r="H874" s="11" t="n"/>
      <c r="I874" s="23">
        <f>IF(G874="","",ROUND(G874*H874/100,2))</f>
        <v/>
      </c>
    </row>
    <row r="875">
      <c r="A875" s="14" t="n"/>
      <c r="B875" s="11" t="n"/>
      <c r="C875" s="11" t="n"/>
      <c r="D875" s="11" t="n"/>
      <c r="E875" s="11" t="n"/>
      <c r="F875" s="11" t="n"/>
      <c r="G875" s="18" t="n"/>
      <c r="H875" s="11" t="n"/>
      <c r="I875" s="23">
        <f>IF(G875="","",ROUND(G875*H875/100,2))</f>
        <v/>
      </c>
    </row>
    <row r="876">
      <c r="A876" s="14" t="n"/>
      <c r="B876" s="11" t="n"/>
      <c r="C876" s="11" t="n"/>
      <c r="D876" s="11" t="n"/>
      <c r="E876" s="11" t="n"/>
      <c r="F876" s="11" t="n"/>
      <c r="G876" s="18" t="n"/>
      <c r="H876" s="11" t="n"/>
      <c r="I876" s="23">
        <f>IF(G876="","",ROUND(G876*H876/100,2))</f>
        <v/>
      </c>
    </row>
    <row r="877">
      <c r="A877" s="14" t="n"/>
      <c r="B877" s="11" t="n"/>
      <c r="C877" s="11" t="n"/>
      <c r="D877" s="11" t="n"/>
      <c r="E877" s="11" t="n"/>
      <c r="F877" s="11" t="n"/>
      <c r="G877" s="18" t="n"/>
      <c r="H877" s="11" t="n"/>
      <c r="I877" s="23">
        <f>IF(G877="","",ROUND(G877*H877/100,2))</f>
        <v/>
      </c>
    </row>
    <row r="878">
      <c r="A878" s="14" t="n"/>
      <c r="B878" s="11" t="n"/>
      <c r="C878" s="11" t="n"/>
      <c r="D878" s="11" t="n"/>
      <c r="E878" s="11" t="n"/>
      <c r="F878" s="11" t="n"/>
      <c r="G878" s="18" t="n"/>
      <c r="H878" s="11" t="n"/>
      <c r="I878" s="23">
        <f>IF(G878="","",ROUND(G878*H878/100,2))</f>
        <v/>
      </c>
    </row>
    <row r="879">
      <c r="A879" s="14" t="n"/>
      <c r="B879" s="11" t="n"/>
      <c r="C879" s="11" t="n"/>
      <c r="D879" s="11" t="n"/>
      <c r="E879" s="11" t="n"/>
      <c r="F879" s="11" t="n"/>
      <c r="G879" s="18" t="n"/>
      <c r="H879" s="11" t="n"/>
      <c r="I879" s="23">
        <f>IF(G879="","",ROUND(G879*H879/100,2))</f>
        <v/>
      </c>
    </row>
    <row r="880">
      <c r="A880" s="14" t="n"/>
      <c r="B880" s="11" t="n"/>
      <c r="C880" s="11" t="n"/>
      <c r="D880" s="11" t="n"/>
      <c r="E880" s="11" t="n"/>
      <c r="F880" s="11" t="n"/>
      <c r="G880" s="18" t="n"/>
      <c r="H880" s="11" t="n"/>
      <c r="I880" s="23">
        <f>IF(G880="","",ROUND(G880*H880/100,2))</f>
        <v/>
      </c>
    </row>
    <row r="881">
      <c r="A881" s="14" t="n"/>
      <c r="B881" s="11" t="n"/>
      <c r="C881" s="11" t="n"/>
      <c r="D881" s="11" t="n"/>
      <c r="E881" s="11" t="n"/>
      <c r="F881" s="11" t="n"/>
      <c r="G881" s="18" t="n"/>
      <c r="H881" s="11" t="n"/>
      <c r="I881" s="23">
        <f>IF(G881="","",ROUND(G881*H881/100,2))</f>
        <v/>
      </c>
    </row>
    <row r="882">
      <c r="A882" s="14" t="n"/>
      <c r="B882" s="11" t="n"/>
      <c r="C882" s="11" t="n"/>
      <c r="D882" s="11" t="n"/>
      <c r="E882" s="11" t="n"/>
      <c r="F882" s="11" t="n"/>
      <c r="G882" s="18" t="n"/>
      <c r="H882" s="11" t="n"/>
      <c r="I882" s="23">
        <f>IF(G882="","",ROUND(G882*H882/100,2))</f>
        <v/>
      </c>
    </row>
    <row r="883">
      <c r="A883" s="14" t="n"/>
      <c r="B883" s="11" t="n"/>
      <c r="C883" s="11" t="n"/>
      <c r="D883" s="11" t="n"/>
      <c r="E883" s="11" t="n"/>
      <c r="F883" s="11" t="n"/>
      <c r="G883" s="18" t="n"/>
      <c r="H883" s="11" t="n"/>
      <c r="I883" s="23">
        <f>IF(G883="","",ROUND(G883*H883/100,2))</f>
        <v/>
      </c>
    </row>
    <row r="884">
      <c r="A884" s="14" t="n"/>
      <c r="B884" s="11" t="n"/>
      <c r="C884" s="11" t="n"/>
      <c r="D884" s="11" t="n"/>
      <c r="E884" s="11" t="n"/>
      <c r="F884" s="11" t="n"/>
      <c r="G884" s="18" t="n"/>
      <c r="H884" s="11" t="n"/>
      <c r="I884" s="23">
        <f>IF(G884="","",ROUND(G884*H884/100,2))</f>
        <v/>
      </c>
    </row>
    <row r="885">
      <c r="A885" s="14" t="n"/>
      <c r="B885" s="11" t="n"/>
      <c r="C885" s="11" t="n"/>
      <c r="D885" s="11" t="n"/>
      <c r="E885" s="11" t="n"/>
      <c r="F885" s="11" t="n"/>
      <c r="G885" s="18" t="n"/>
      <c r="H885" s="11" t="n"/>
      <c r="I885" s="23">
        <f>IF(G885="","",ROUND(G885*H885/100,2))</f>
        <v/>
      </c>
    </row>
    <row r="886">
      <c r="A886" s="14" t="n"/>
      <c r="B886" s="11" t="n"/>
      <c r="C886" s="11" t="n"/>
      <c r="D886" s="11" t="n"/>
      <c r="E886" s="11" t="n"/>
      <c r="F886" s="11" t="n"/>
      <c r="G886" s="18" t="n"/>
      <c r="H886" s="11" t="n"/>
      <c r="I886" s="23">
        <f>IF(G886="","",ROUND(G886*H886/100,2))</f>
        <v/>
      </c>
    </row>
    <row r="887">
      <c r="A887" s="14" t="n"/>
      <c r="B887" s="11" t="n"/>
      <c r="C887" s="11" t="n"/>
      <c r="D887" s="11" t="n"/>
      <c r="E887" s="11" t="n"/>
      <c r="F887" s="11" t="n"/>
      <c r="G887" s="18" t="n"/>
      <c r="H887" s="11" t="n"/>
      <c r="I887" s="23">
        <f>IF(G887="","",ROUND(G887*H887/100,2))</f>
        <v/>
      </c>
    </row>
    <row r="888">
      <c r="A888" s="14" t="n"/>
      <c r="B888" s="11" t="n"/>
      <c r="C888" s="11" t="n"/>
      <c r="D888" s="11" t="n"/>
      <c r="E888" s="11" t="n"/>
      <c r="F888" s="11" t="n"/>
      <c r="G888" s="18" t="n"/>
      <c r="H888" s="11" t="n"/>
      <c r="I888" s="23">
        <f>IF(G888="","",ROUND(G888*H888/100,2))</f>
        <v/>
      </c>
    </row>
    <row r="889">
      <c r="A889" s="14" t="n"/>
      <c r="B889" s="11" t="n"/>
      <c r="C889" s="11" t="n"/>
      <c r="D889" s="11" t="n"/>
      <c r="E889" s="11" t="n"/>
      <c r="F889" s="11" t="n"/>
      <c r="G889" s="18" t="n"/>
      <c r="H889" s="11" t="n"/>
      <c r="I889" s="23">
        <f>IF(G889="","",ROUND(G889*H889/100,2))</f>
        <v/>
      </c>
    </row>
    <row r="890">
      <c r="A890" s="14" t="n"/>
      <c r="B890" s="11" t="n"/>
      <c r="C890" s="11" t="n"/>
      <c r="D890" s="11" t="n"/>
      <c r="E890" s="11" t="n"/>
      <c r="F890" s="11" t="n"/>
      <c r="G890" s="18" t="n"/>
      <c r="H890" s="11" t="n"/>
      <c r="I890" s="23">
        <f>IF(G890="","",ROUND(G890*H890/100,2))</f>
        <v/>
      </c>
    </row>
    <row r="891">
      <c r="A891" s="14" t="n"/>
      <c r="B891" s="11" t="n"/>
      <c r="C891" s="11" t="n"/>
      <c r="D891" s="11" t="n"/>
      <c r="E891" s="11" t="n"/>
      <c r="F891" s="11" t="n"/>
      <c r="G891" s="18" t="n"/>
      <c r="H891" s="11" t="n"/>
      <c r="I891" s="23">
        <f>IF(G891="","",ROUND(G891*H891/100,2))</f>
        <v/>
      </c>
    </row>
    <row r="892">
      <c r="A892" s="14" t="n"/>
      <c r="B892" s="11" t="n"/>
      <c r="C892" s="11" t="n"/>
      <c r="D892" s="11" t="n"/>
      <c r="E892" s="11" t="n"/>
      <c r="F892" s="11" t="n"/>
      <c r="G892" s="18" t="n"/>
      <c r="H892" s="11" t="n"/>
      <c r="I892" s="23">
        <f>IF(G892="","",ROUND(G892*H892/100,2))</f>
        <v/>
      </c>
    </row>
    <row r="893">
      <c r="A893" s="14" t="n"/>
      <c r="B893" s="11" t="n"/>
      <c r="C893" s="11" t="n"/>
      <c r="D893" s="11" t="n"/>
      <c r="E893" s="11" t="n"/>
      <c r="F893" s="11" t="n"/>
      <c r="G893" s="18" t="n"/>
      <c r="H893" s="11" t="n"/>
      <c r="I893" s="23">
        <f>IF(G893="","",ROUND(G893*H893/100,2))</f>
        <v/>
      </c>
    </row>
    <row r="894">
      <c r="A894" s="14" t="n"/>
      <c r="B894" s="11" t="n"/>
      <c r="C894" s="11" t="n"/>
      <c r="D894" s="11" t="n"/>
      <c r="E894" s="11" t="n"/>
      <c r="F894" s="11" t="n"/>
      <c r="G894" s="18" t="n"/>
      <c r="H894" s="11" t="n"/>
      <c r="I894" s="23">
        <f>IF(G894="","",ROUND(G894*H894/100,2))</f>
        <v/>
      </c>
    </row>
    <row r="895">
      <c r="A895" s="14" t="n"/>
      <c r="B895" s="11" t="n"/>
      <c r="C895" s="11" t="n"/>
      <c r="D895" s="11" t="n"/>
      <c r="E895" s="11" t="n"/>
      <c r="F895" s="11" t="n"/>
      <c r="G895" s="18" t="n"/>
      <c r="H895" s="11" t="n"/>
      <c r="I895" s="23">
        <f>IF(G895="","",ROUND(G895*H895/100,2))</f>
        <v/>
      </c>
    </row>
    <row r="896">
      <c r="A896" s="14" t="n"/>
      <c r="B896" s="11" t="n"/>
      <c r="C896" s="11" t="n"/>
      <c r="D896" s="11" t="n"/>
      <c r="E896" s="11" t="n"/>
      <c r="F896" s="11" t="n"/>
      <c r="G896" s="18" t="n"/>
      <c r="H896" s="11" t="n"/>
      <c r="I896" s="23">
        <f>IF(G896="","",ROUND(G896*H896/100,2))</f>
        <v/>
      </c>
    </row>
    <row r="897">
      <c r="A897" s="14" t="n"/>
      <c r="B897" s="11" t="n"/>
      <c r="C897" s="11" t="n"/>
      <c r="D897" s="11" t="n"/>
      <c r="E897" s="11" t="n"/>
      <c r="F897" s="11" t="n"/>
      <c r="G897" s="18" t="n"/>
      <c r="H897" s="11" t="n"/>
      <c r="I897" s="23">
        <f>IF(G897="","",ROUND(G897*H897/100,2))</f>
        <v/>
      </c>
    </row>
    <row r="898">
      <c r="A898" s="14" t="n"/>
      <c r="B898" s="11" t="n"/>
      <c r="C898" s="11" t="n"/>
      <c r="D898" s="11" t="n"/>
      <c r="E898" s="11" t="n"/>
      <c r="F898" s="11" t="n"/>
      <c r="G898" s="18" t="n"/>
      <c r="H898" s="11" t="n"/>
      <c r="I898" s="23">
        <f>IF(G898="","",ROUND(G898*H898/100,2))</f>
        <v/>
      </c>
    </row>
    <row r="899">
      <c r="A899" s="14" t="n"/>
      <c r="B899" s="11" t="n"/>
      <c r="C899" s="11" t="n"/>
      <c r="D899" s="11" t="n"/>
      <c r="E899" s="11" t="n"/>
      <c r="F899" s="11" t="n"/>
      <c r="G899" s="18" t="n"/>
      <c r="H899" s="11" t="n"/>
      <c r="I899" s="23">
        <f>IF(G899="","",ROUND(G899*H899/100,2))</f>
        <v/>
      </c>
    </row>
    <row r="900">
      <c r="A900" s="14" t="n"/>
      <c r="B900" s="11" t="n"/>
      <c r="C900" s="11" t="n"/>
      <c r="D900" s="11" t="n"/>
      <c r="E900" s="11" t="n"/>
      <c r="F900" s="11" t="n"/>
      <c r="G900" s="18" t="n"/>
      <c r="H900" s="11" t="n"/>
      <c r="I900" s="23">
        <f>IF(G900="","",ROUND(G900*H900/100,2))</f>
        <v/>
      </c>
    </row>
    <row r="901">
      <c r="A901" s="14" t="n"/>
      <c r="B901" s="11" t="n"/>
      <c r="C901" s="11" t="n"/>
      <c r="D901" s="11" t="n"/>
      <c r="E901" s="11" t="n"/>
      <c r="F901" s="11" t="n"/>
      <c r="G901" s="18" t="n"/>
      <c r="H901" s="11" t="n"/>
      <c r="I901" s="23">
        <f>IF(G901="","",ROUND(G901*H901/100,2))</f>
        <v/>
      </c>
    </row>
    <row r="902">
      <c r="A902" s="14" t="n"/>
      <c r="B902" s="11" t="n"/>
      <c r="C902" s="11" t="n"/>
      <c r="D902" s="11" t="n"/>
      <c r="E902" s="11" t="n"/>
      <c r="F902" s="11" t="n"/>
      <c r="G902" s="18" t="n"/>
      <c r="H902" s="11" t="n"/>
      <c r="I902" s="23">
        <f>IF(G902="","",ROUND(G902*H902/100,2))</f>
        <v/>
      </c>
    </row>
    <row r="903">
      <c r="A903" s="14" t="n"/>
      <c r="B903" s="11" t="n"/>
      <c r="C903" s="11" t="n"/>
      <c r="D903" s="11" t="n"/>
      <c r="E903" s="11" t="n"/>
      <c r="F903" s="11" t="n"/>
      <c r="G903" s="18" t="n"/>
      <c r="H903" s="11" t="n"/>
      <c r="I903" s="23">
        <f>IF(G903="","",ROUND(G903*H903/100,2))</f>
        <v/>
      </c>
    </row>
    <row r="904">
      <c r="A904" s="14" t="n"/>
      <c r="B904" s="11" t="n"/>
      <c r="C904" s="11" t="n"/>
      <c r="D904" s="11" t="n"/>
      <c r="E904" s="11" t="n"/>
      <c r="F904" s="11" t="n"/>
      <c r="G904" s="18" t="n"/>
      <c r="H904" s="11" t="n"/>
      <c r="I904" s="23">
        <f>IF(G904="","",ROUND(G904*H904/100,2))</f>
        <v/>
      </c>
    </row>
    <row r="905">
      <c r="A905" s="14" t="n"/>
      <c r="B905" s="11" t="n"/>
      <c r="C905" s="11" t="n"/>
      <c r="D905" s="11" t="n"/>
      <c r="E905" s="11" t="n"/>
      <c r="F905" s="11" t="n"/>
      <c r="G905" s="18" t="n"/>
      <c r="H905" s="11" t="n"/>
      <c r="I905" s="23">
        <f>IF(G905="","",ROUND(G905*H905/100,2))</f>
        <v/>
      </c>
    </row>
    <row r="906">
      <c r="A906" s="14" t="n"/>
      <c r="B906" s="11" t="n"/>
      <c r="C906" s="11" t="n"/>
      <c r="D906" s="11" t="n"/>
      <c r="E906" s="11" t="n"/>
      <c r="F906" s="11" t="n"/>
      <c r="G906" s="18" t="n"/>
      <c r="H906" s="11" t="n"/>
      <c r="I906" s="23">
        <f>IF(G906="","",ROUND(G906*H906/100,2))</f>
        <v/>
      </c>
    </row>
    <row r="907">
      <c r="A907" s="14" t="n"/>
      <c r="B907" s="11" t="n"/>
      <c r="C907" s="11" t="n"/>
      <c r="D907" s="11" t="n"/>
      <c r="E907" s="11" t="n"/>
      <c r="F907" s="11" t="n"/>
      <c r="G907" s="18" t="n"/>
      <c r="H907" s="11" t="n"/>
      <c r="I907" s="23">
        <f>IF(G907="","",ROUND(G907*H907/100,2))</f>
        <v/>
      </c>
    </row>
    <row r="908">
      <c r="A908" s="14" t="n"/>
      <c r="B908" s="11" t="n"/>
      <c r="C908" s="11" t="n"/>
      <c r="D908" s="11" t="n"/>
      <c r="E908" s="11" t="n"/>
      <c r="F908" s="11" t="n"/>
      <c r="G908" s="18" t="n"/>
      <c r="H908" s="11" t="n"/>
      <c r="I908" s="23">
        <f>IF(G908="","",ROUND(G908*H908/100,2))</f>
        <v/>
      </c>
    </row>
    <row r="909">
      <c r="A909" s="14" t="n"/>
      <c r="B909" s="11" t="n"/>
      <c r="C909" s="11" t="n"/>
      <c r="D909" s="11" t="n"/>
      <c r="E909" s="11" t="n"/>
      <c r="F909" s="11" t="n"/>
      <c r="G909" s="18" t="n"/>
      <c r="H909" s="11" t="n"/>
      <c r="I909" s="23">
        <f>IF(G909="","",ROUND(G909*H909/100,2))</f>
        <v/>
      </c>
    </row>
    <row r="910">
      <c r="A910" s="14" t="n"/>
      <c r="B910" s="11" t="n"/>
      <c r="C910" s="11" t="n"/>
      <c r="D910" s="11" t="n"/>
      <c r="E910" s="11" t="n"/>
      <c r="F910" s="11" t="n"/>
      <c r="G910" s="18" t="n"/>
      <c r="H910" s="11" t="n"/>
      <c r="I910" s="23">
        <f>IF(G910="","",ROUND(G910*H910/100,2))</f>
        <v/>
      </c>
    </row>
    <row r="911">
      <c r="A911" s="14" t="n"/>
      <c r="B911" s="11" t="n"/>
      <c r="C911" s="11" t="n"/>
      <c r="D911" s="11" t="n"/>
      <c r="E911" s="11" t="n"/>
      <c r="F911" s="11" t="n"/>
      <c r="G911" s="18" t="n"/>
      <c r="H911" s="11" t="n"/>
      <c r="I911" s="23">
        <f>IF(G911="","",ROUND(G911*H911/100,2))</f>
        <v/>
      </c>
    </row>
    <row r="912">
      <c r="A912" s="14" t="n"/>
      <c r="B912" s="11" t="n"/>
      <c r="C912" s="11" t="n"/>
      <c r="D912" s="11" t="n"/>
      <c r="E912" s="11" t="n"/>
      <c r="F912" s="11" t="n"/>
      <c r="G912" s="18" t="n"/>
      <c r="H912" s="11" t="n"/>
      <c r="I912" s="23">
        <f>IF(G912="","",ROUND(G912*H912/100,2))</f>
        <v/>
      </c>
    </row>
    <row r="913">
      <c r="A913" s="14" t="n"/>
      <c r="B913" s="11" t="n"/>
      <c r="C913" s="11" t="n"/>
      <c r="D913" s="11" t="n"/>
      <c r="E913" s="11" t="n"/>
      <c r="F913" s="11" t="n"/>
      <c r="G913" s="18" t="n"/>
      <c r="H913" s="11" t="n"/>
      <c r="I913" s="23">
        <f>IF(G913="","",ROUND(G913*H913/100,2))</f>
        <v/>
      </c>
    </row>
    <row r="914">
      <c r="A914" s="14" t="n"/>
      <c r="B914" s="11" t="n"/>
      <c r="C914" s="11" t="n"/>
      <c r="D914" s="11" t="n"/>
      <c r="E914" s="11" t="n"/>
      <c r="F914" s="11" t="n"/>
      <c r="G914" s="18" t="n"/>
      <c r="H914" s="11" t="n"/>
      <c r="I914" s="23">
        <f>IF(G914="","",ROUND(G914*H914/100,2))</f>
        <v/>
      </c>
    </row>
    <row r="915">
      <c r="A915" s="14" t="n"/>
      <c r="B915" s="11" t="n"/>
      <c r="C915" s="11" t="n"/>
      <c r="D915" s="11" t="n"/>
      <c r="E915" s="11" t="n"/>
      <c r="F915" s="11" t="n"/>
      <c r="G915" s="18" t="n"/>
      <c r="H915" s="11" t="n"/>
      <c r="I915" s="23">
        <f>IF(G915="","",ROUND(G915*H915/100,2))</f>
        <v/>
      </c>
    </row>
    <row r="916">
      <c r="A916" s="14" t="n"/>
      <c r="B916" s="11" t="n"/>
      <c r="C916" s="11" t="n"/>
      <c r="D916" s="11" t="n"/>
      <c r="E916" s="11" t="n"/>
      <c r="F916" s="11" t="n"/>
      <c r="G916" s="18" t="n"/>
      <c r="H916" s="11" t="n"/>
      <c r="I916" s="23">
        <f>IF(G916="","",ROUND(G916*H916/100,2))</f>
        <v/>
      </c>
    </row>
    <row r="917">
      <c r="A917" s="14" t="n"/>
      <c r="B917" s="11" t="n"/>
      <c r="C917" s="11" t="n"/>
      <c r="D917" s="11" t="n"/>
      <c r="E917" s="11" t="n"/>
      <c r="F917" s="11" t="n"/>
      <c r="G917" s="18" t="n"/>
      <c r="H917" s="11" t="n"/>
      <c r="I917" s="23">
        <f>IF(G917="","",ROUND(G917*H917/100,2))</f>
        <v/>
      </c>
    </row>
    <row r="918">
      <c r="A918" s="14" t="n"/>
      <c r="B918" s="11" t="n"/>
      <c r="C918" s="11" t="n"/>
      <c r="D918" s="11" t="n"/>
      <c r="E918" s="11" t="n"/>
      <c r="F918" s="11" t="n"/>
      <c r="G918" s="18" t="n"/>
      <c r="H918" s="11" t="n"/>
      <c r="I918" s="23">
        <f>IF(G918="","",ROUND(G918*H918/100,2))</f>
        <v/>
      </c>
    </row>
    <row r="919">
      <c r="A919" s="14" t="n"/>
      <c r="B919" s="11" t="n"/>
      <c r="C919" s="11" t="n"/>
      <c r="D919" s="11" t="n"/>
      <c r="E919" s="11" t="n"/>
      <c r="F919" s="11" t="n"/>
      <c r="G919" s="18" t="n"/>
      <c r="H919" s="11" t="n"/>
      <c r="I919" s="23">
        <f>IF(G919="","",ROUND(G919*H919/100,2))</f>
        <v/>
      </c>
    </row>
    <row r="920">
      <c r="A920" s="14" t="n"/>
      <c r="B920" s="11" t="n"/>
      <c r="C920" s="11" t="n"/>
      <c r="D920" s="11" t="n"/>
      <c r="E920" s="11" t="n"/>
      <c r="F920" s="11" t="n"/>
      <c r="G920" s="18" t="n"/>
      <c r="H920" s="11" t="n"/>
      <c r="I920" s="23">
        <f>IF(G920="","",ROUND(G920*H920/100,2))</f>
        <v/>
      </c>
    </row>
    <row r="921">
      <c r="A921" s="14" t="n"/>
      <c r="B921" s="11" t="n"/>
      <c r="C921" s="11" t="n"/>
      <c r="D921" s="11" t="n"/>
      <c r="E921" s="11" t="n"/>
      <c r="F921" s="11" t="n"/>
      <c r="G921" s="18" t="n"/>
      <c r="H921" s="11" t="n"/>
      <c r="I921" s="23">
        <f>IF(G921="","",ROUND(G921*H921/100,2))</f>
        <v/>
      </c>
    </row>
    <row r="922">
      <c r="A922" s="14" t="n"/>
      <c r="B922" s="11" t="n"/>
      <c r="C922" s="11" t="n"/>
      <c r="D922" s="11" t="n"/>
      <c r="E922" s="11" t="n"/>
      <c r="F922" s="11" t="n"/>
      <c r="G922" s="18" t="n"/>
      <c r="H922" s="11" t="n"/>
      <c r="I922" s="23">
        <f>IF(G922="","",ROUND(G922*H922/100,2))</f>
        <v/>
      </c>
    </row>
    <row r="923">
      <c r="A923" s="14" t="n"/>
      <c r="B923" s="11" t="n"/>
      <c r="C923" s="11" t="n"/>
      <c r="D923" s="11" t="n"/>
      <c r="E923" s="11" t="n"/>
      <c r="F923" s="11" t="n"/>
      <c r="G923" s="18" t="n"/>
      <c r="H923" s="11" t="n"/>
      <c r="I923" s="23">
        <f>IF(G923="","",ROUND(G923*H923/100,2))</f>
        <v/>
      </c>
    </row>
    <row r="924">
      <c r="A924" s="14" t="n"/>
      <c r="B924" s="11" t="n"/>
      <c r="C924" s="11" t="n"/>
      <c r="D924" s="11" t="n"/>
      <c r="E924" s="11" t="n"/>
      <c r="F924" s="11" t="n"/>
      <c r="G924" s="18" t="n"/>
      <c r="H924" s="11" t="n"/>
      <c r="I924" s="23">
        <f>IF(G924="","",ROUND(G924*H924/100,2))</f>
        <v/>
      </c>
    </row>
    <row r="925">
      <c r="A925" s="14" t="n"/>
      <c r="B925" s="11" t="n"/>
      <c r="C925" s="11" t="n"/>
      <c r="D925" s="11" t="n"/>
      <c r="E925" s="11" t="n"/>
      <c r="F925" s="11" t="n"/>
      <c r="G925" s="18" t="n"/>
      <c r="H925" s="11" t="n"/>
      <c r="I925" s="23">
        <f>IF(G925="","",ROUND(G925*H925/100,2))</f>
        <v/>
      </c>
    </row>
    <row r="926">
      <c r="A926" s="14" t="n"/>
      <c r="B926" s="11" t="n"/>
      <c r="C926" s="11" t="n"/>
      <c r="D926" s="11" t="n"/>
      <c r="E926" s="11" t="n"/>
      <c r="F926" s="11" t="n"/>
      <c r="G926" s="18" t="n"/>
      <c r="H926" s="11" t="n"/>
      <c r="I926" s="23">
        <f>IF(G926="","",ROUND(G926*H926/100,2))</f>
        <v/>
      </c>
    </row>
    <row r="927">
      <c r="A927" s="14" t="n"/>
      <c r="B927" s="11" t="n"/>
      <c r="C927" s="11" t="n"/>
      <c r="D927" s="11" t="n"/>
      <c r="E927" s="11" t="n"/>
      <c r="F927" s="11" t="n"/>
      <c r="G927" s="18" t="n"/>
      <c r="H927" s="11" t="n"/>
      <c r="I927" s="23">
        <f>IF(G927="","",ROUND(G927*H927/100,2))</f>
        <v/>
      </c>
    </row>
    <row r="928">
      <c r="A928" s="14" t="n"/>
      <c r="B928" s="11" t="n"/>
      <c r="C928" s="11" t="n"/>
      <c r="D928" s="11" t="n"/>
      <c r="E928" s="11" t="n"/>
      <c r="F928" s="11" t="n"/>
      <c r="G928" s="18" t="n"/>
      <c r="H928" s="11" t="n"/>
      <c r="I928" s="23">
        <f>IF(G928="","",ROUND(G928*H928/100,2))</f>
        <v/>
      </c>
    </row>
    <row r="929">
      <c r="A929" s="14" t="n"/>
      <c r="B929" s="11" t="n"/>
      <c r="C929" s="11" t="n"/>
      <c r="D929" s="11" t="n"/>
      <c r="E929" s="11" t="n"/>
      <c r="F929" s="11" t="n"/>
      <c r="G929" s="18" t="n"/>
      <c r="H929" s="11" t="n"/>
      <c r="I929" s="23">
        <f>IF(G929="","",ROUND(G929*H929/100,2))</f>
        <v/>
      </c>
    </row>
    <row r="930">
      <c r="A930" s="14" t="n"/>
      <c r="B930" s="11" t="n"/>
      <c r="C930" s="11" t="n"/>
      <c r="D930" s="11" t="n"/>
      <c r="E930" s="11" t="n"/>
      <c r="F930" s="11" t="n"/>
      <c r="G930" s="18" t="n"/>
      <c r="H930" s="11" t="n"/>
      <c r="I930" s="23">
        <f>IF(G930="","",ROUND(G930*H930/100,2))</f>
        <v/>
      </c>
    </row>
    <row r="931">
      <c r="A931" s="14" t="n"/>
      <c r="B931" s="11" t="n"/>
      <c r="C931" s="11" t="n"/>
      <c r="D931" s="11" t="n"/>
      <c r="E931" s="11" t="n"/>
      <c r="F931" s="11" t="n"/>
      <c r="G931" s="18" t="n"/>
      <c r="H931" s="11" t="n"/>
      <c r="I931" s="23">
        <f>IF(G931="","",ROUND(G931*H931/100,2))</f>
        <v/>
      </c>
    </row>
    <row r="932">
      <c r="A932" s="14" t="n"/>
      <c r="B932" s="11" t="n"/>
      <c r="C932" s="11" t="n"/>
      <c r="D932" s="11" t="n"/>
      <c r="E932" s="11" t="n"/>
      <c r="F932" s="11" t="n"/>
      <c r="G932" s="18" t="n"/>
      <c r="H932" s="11" t="n"/>
      <c r="I932" s="23">
        <f>IF(G932="","",ROUND(G932*H932/100,2))</f>
        <v/>
      </c>
    </row>
    <row r="933">
      <c r="A933" s="14" t="n"/>
      <c r="B933" s="11" t="n"/>
      <c r="C933" s="11" t="n"/>
      <c r="D933" s="11" t="n"/>
      <c r="E933" s="11" t="n"/>
      <c r="F933" s="11" t="n"/>
      <c r="G933" s="18" t="n"/>
      <c r="H933" s="11" t="n"/>
      <c r="I933" s="23">
        <f>IF(G933="","",ROUND(G933*H933/100,2))</f>
        <v/>
      </c>
    </row>
    <row r="934">
      <c r="A934" s="14" t="n"/>
      <c r="B934" s="11" t="n"/>
      <c r="C934" s="11" t="n"/>
      <c r="D934" s="11" t="n"/>
      <c r="E934" s="11" t="n"/>
      <c r="F934" s="11" t="n"/>
      <c r="G934" s="18" t="n"/>
      <c r="H934" s="11" t="n"/>
      <c r="I934" s="23">
        <f>IF(G934="","",ROUND(G934*H934/100,2))</f>
        <v/>
      </c>
    </row>
    <row r="935">
      <c r="A935" s="14" t="n"/>
      <c r="B935" s="11" t="n"/>
      <c r="C935" s="11" t="n"/>
      <c r="D935" s="11" t="n"/>
      <c r="E935" s="11" t="n"/>
      <c r="F935" s="11" t="n"/>
      <c r="G935" s="18" t="n"/>
      <c r="H935" s="11" t="n"/>
      <c r="I935" s="23">
        <f>IF(G935="","",ROUND(G935*H935/100,2))</f>
        <v/>
      </c>
    </row>
    <row r="936">
      <c r="A936" s="14" t="n"/>
      <c r="B936" s="11" t="n"/>
      <c r="C936" s="11" t="n"/>
      <c r="D936" s="11" t="n"/>
      <c r="E936" s="11" t="n"/>
      <c r="F936" s="11" t="n"/>
      <c r="G936" s="18" t="n"/>
      <c r="H936" s="11" t="n"/>
      <c r="I936" s="23">
        <f>IF(G936="","",ROUND(G936*H936/100,2))</f>
        <v/>
      </c>
    </row>
    <row r="937">
      <c r="A937" s="14" t="n"/>
      <c r="B937" s="11" t="n"/>
      <c r="C937" s="11" t="n"/>
      <c r="D937" s="11" t="n"/>
      <c r="E937" s="11" t="n"/>
      <c r="F937" s="11" t="n"/>
      <c r="G937" s="18" t="n"/>
      <c r="H937" s="11" t="n"/>
      <c r="I937" s="23">
        <f>IF(G937="","",ROUND(G937*H937/100,2))</f>
        <v/>
      </c>
    </row>
    <row r="938">
      <c r="A938" s="14" t="n"/>
      <c r="B938" s="11" t="n"/>
      <c r="C938" s="11" t="n"/>
      <c r="D938" s="11" t="n"/>
      <c r="E938" s="11" t="n"/>
      <c r="F938" s="11" t="n"/>
      <c r="G938" s="18" t="n"/>
      <c r="H938" s="11" t="n"/>
      <c r="I938" s="23">
        <f>IF(G938="","",ROUND(G938*H938/100,2))</f>
        <v/>
      </c>
    </row>
    <row r="939">
      <c r="A939" s="14" t="n"/>
      <c r="B939" s="11" t="n"/>
      <c r="C939" s="11" t="n"/>
      <c r="D939" s="11" t="n"/>
      <c r="E939" s="11" t="n"/>
      <c r="F939" s="11" t="n"/>
      <c r="G939" s="18" t="n"/>
      <c r="H939" s="11" t="n"/>
      <c r="I939" s="23">
        <f>IF(G939="","",ROUND(G939*H939/100,2))</f>
        <v/>
      </c>
    </row>
    <row r="940">
      <c r="A940" s="14" t="n"/>
      <c r="B940" s="11" t="n"/>
      <c r="C940" s="11" t="n"/>
      <c r="D940" s="11" t="n"/>
      <c r="E940" s="11" t="n"/>
      <c r="F940" s="11" t="n"/>
      <c r="G940" s="18" t="n"/>
      <c r="H940" s="11" t="n"/>
      <c r="I940" s="23">
        <f>IF(G940="","",ROUND(G940*H940/100,2))</f>
        <v/>
      </c>
    </row>
    <row r="941">
      <c r="A941" s="14" t="n"/>
      <c r="B941" s="11" t="n"/>
      <c r="C941" s="11" t="n"/>
      <c r="D941" s="11" t="n"/>
      <c r="E941" s="11" t="n"/>
      <c r="F941" s="11" t="n"/>
      <c r="G941" s="18" t="n"/>
      <c r="H941" s="11" t="n"/>
      <c r="I941" s="23">
        <f>IF(G941="","",ROUND(G941*H941/100,2))</f>
        <v/>
      </c>
    </row>
    <row r="942">
      <c r="A942" s="14" t="n"/>
      <c r="B942" s="11" t="n"/>
      <c r="C942" s="11" t="n"/>
      <c r="D942" s="11" t="n"/>
      <c r="E942" s="11" t="n"/>
      <c r="F942" s="11" t="n"/>
      <c r="G942" s="18" t="n"/>
      <c r="H942" s="11" t="n"/>
      <c r="I942" s="23">
        <f>IF(G942="","",ROUND(G942*H942/100,2))</f>
        <v/>
      </c>
    </row>
    <row r="943">
      <c r="A943" s="14" t="n"/>
      <c r="B943" s="11" t="n"/>
      <c r="C943" s="11" t="n"/>
      <c r="D943" s="11" t="n"/>
      <c r="E943" s="11" t="n"/>
      <c r="F943" s="11" t="n"/>
      <c r="G943" s="18" t="n"/>
      <c r="H943" s="11" t="n"/>
      <c r="I943" s="23">
        <f>IF(G943="","",ROUND(G943*H943/100,2))</f>
        <v/>
      </c>
    </row>
    <row r="944">
      <c r="A944" s="14" t="n"/>
      <c r="B944" s="11" t="n"/>
      <c r="C944" s="11" t="n"/>
      <c r="D944" s="11" t="n"/>
      <c r="E944" s="11" t="n"/>
      <c r="F944" s="11" t="n"/>
      <c r="G944" s="18" t="n"/>
      <c r="H944" s="11" t="n"/>
      <c r="I944" s="23">
        <f>IF(G944="","",ROUND(G944*H944/100,2))</f>
        <v/>
      </c>
    </row>
    <row r="945">
      <c r="A945" s="14" t="n"/>
      <c r="B945" s="11" t="n"/>
      <c r="C945" s="11" t="n"/>
      <c r="D945" s="11" t="n"/>
      <c r="E945" s="11" t="n"/>
      <c r="F945" s="11" t="n"/>
      <c r="G945" s="18" t="n"/>
      <c r="H945" s="11" t="n"/>
      <c r="I945" s="23">
        <f>IF(G945="","",ROUND(G945*H945/100,2))</f>
        <v/>
      </c>
    </row>
    <row r="946">
      <c r="A946" s="14" t="n"/>
      <c r="B946" s="11" t="n"/>
      <c r="C946" s="11" t="n"/>
      <c r="D946" s="11" t="n"/>
      <c r="E946" s="11" t="n"/>
      <c r="F946" s="11" t="n"/>
      <c r="G946" s="18" t="n"/>
      <c r="H946" s="11" t="n"/>
      <c r="I946" s="23">
        <f>IF(G946="","",ROUND(G946*H946/100,2))</f>
        <v/>
      </c>
    </row>
    <row r="947">
      <c r="A947" s="14" t="n"/>
      <c r="B947" s="11" t="n"/>
      <c r="C947" s="11" t="n"/>
      <c r="D947" s="11" t="n"/>
      <c r="E947" s="11" t="n"/>
      <c r="F947" s="11" t="n"/>
      <c r="G947" s="18" t="n"/>
      <c r="H947" s="11" t="n"/>
      <c r="I947" s="23">
        <f>IF(G947="","",ROUND(G947*H947/100,2))</f>
        <v/>
      </c>
    </row>
    <row r="948">
      <c r="A948" s="14" t="n"/>
      <c r="B948" s="11" t="n"/>
      <c r="C948" s="11" t="n"/>
      <c r="D948" s="11" t="n"/>
      <c r="E948" s="11" t="n"/>
      <c r="F948" s="11" t="n"/>
      <c r="G948" s="18" t="n"/>
      <c r="H948" s="11" t="n"/>
      <c r="I948" s="23">
        <f>IF(G948="","",ROUND(G948*H948/100,2))</f>
        <v/>
      </c>
    </row>
    <row r="949">
      <c r="A949" s="14" t="n"/>
      <c r="B949" s="11" t="n"/>
      <c r="C949" s="11" t="n"/>
      <c r="D949" s="11" t="n"/>
      <c r="E949" s="11" t="n"/>
      <c r="F949" s="11" t="n"/>
      <c r="G949" s="18" t="n"/>
      <c r="H949" s="11" t="n"/>
      <c r="I949" s="23">
        <f>IF(G949="","",ROUND(G949*H949/100,2))</f>
        <v/>
      </c>
    </row>
    <row r="950">
      <c r="A950" s="14" t="n"/>
      <c r="B950" s="11" t="n"/>
      <c r="C950" s="11" t="n"/>
      <c r="D950" s="11" t="n"/>
      <c r="E950" s="11" t="n"/>
      <c r="F950" s="11" t="n"/>
      <c r="G950" s="18" t="n"/>
      <c r="H950" s="11" t="n"/>
      <c r="I950" s="23">
        <f>IF(G950="","",ROUND(G950*H950/100,2))</f>
        <v/>
      </c>
    </row>
    <row r="951">
      <c r="A951" s="14" t="n"/>
      <c r="B951" s="11" t="n"/>
      <c r="C951" s="11" t="n"/>
      <c r="D951" s="11" t="n"/>
      <c r="E951" s="11" t="n"/>
      <c r="F951" s="11" t="n"/>
      <c r="G951" s="18" t="n"/>
      <c r="H951" s="11" t="n"/>
      <c r="I951" s="23">
        <f>IF(G951="","",ROUND(G951*H951/100,2))</f>
        <v/>
      </c>
    </row>
    <row r="952">
      <c r="A952" s="14" t="n"/>
      <c r="B952" s="11" t="n"/>
      <c r="C952" s="11" t="n"/>
      <c r="D952" s="11" t="n"/>
      <c r="E952" s="11" t="n"/>
      <c r="F952" s="11" t="n"/>
      <c r="G952" s="18" t="n"/>
      <c r="H952" s="11" t="n"/>
      <c r="I952" s="23">
        <f>IF(G952="","",ROUND(G952*H952/100,2))</f>
        <v/>
      </c>
    </row>
    <row r="953">
      <c r="A953" s="14" t="n"/>
      <c r="B953" s="11" t="n"/>
      <c r="C953" s="11" t="n"/>
      <c r="D953" s="11" t="n"/>
      <c r="E953" s="11" t="n"/>
      <c r="F953" s="11" t="n"/>
      <c r="G953" s="18" t="n"/>
      <c r="H953" s="11" t="n"/>
      <c r="I953" s="23">
        <f>IF(G953="","",ROUND(G953*H953/100,2))</f>
        <v/>
      </c>
    </row>
    <row r="954">
      <c r="A954" s="14" t="n"/>
      <c r="B954" s="11" t="n"/>
      <c r="C954" s="11" t="n"/>
      <c r="D954" s="11" t="n"/>
      <c r="E954" s="11" t="n"/>
      <c r="F954" s="11" t="n"/>
      <c r="G954" s="18" t="n"/>
      <c r="H954" s="11" t="n"/>
      <c r="I954" s="23">
        <f>IF(G954="","",ROUND(G954*H954/100,2))</f>
        <v/>
      </c>
    </row>
    <row r="955">
      <c r="A955" s="14" t="n"/>
      <c r="B955" s="11" t="n"/>
      <c r="C955" s="11" t="n"/>
      <c r="D955" s="11" t="n"/>
      <c r="E955" s="11" t="n"/>
      <c r="F955" s="11" t="n"/>
      <c r="G955" s="18" t="n"/>
      <c r="H955" s="11" t="n"/>
      <c r="I955" s="23">
        <f>IF(G955="","",ROUND(G955*H955/100,2))</f>
        <v/>
      </c>
    </row>
    <row r="956">
      <c r="A956" s="14" t="n"/>
      <c r="B956" s="11" t="n"/>
      <c r="C956" s="11" t="n"/>
      <c r="D956" s="11" t="n"/>
      <c r="E956" s="11" t="n"/>
      <c r="F956" s="11" t="n"/>
      <c r="G956" s="18" t="n"/>
      <c r="H956" s="11" t="n"/>
      <c r="I956" s="23">
        <f>IF(G956="","",ROUND(G956*H956/100,2))</f>
        <v/>
      </c>
    </row>
    <row r="957">
      <c r="A957" s="14" t="n"/>
      <c r="B957" s="11" t="n"/>
      <c r="C957" s="11" t="n"/>
      <c r="D957" s="11" t="n"/>
      <c r="E957" s="11" t="n"/>
      <c r="F957" s="11" t="n"/>
      <c r="G957" s="18" t="n"/>
      <c r="H957" s="11" t="n"/>
      <c r="I957" s="23">
        <f>IF(G957="","",ROUND(G957*H957/100,2))</f>
        <v/>
      </c>
    </row>
    <row r="958">
      <c r="A958" s="14" t="n"/>
      <c r="B958" s="11" t="n"/>
      <c r="C958" s="11" t="n"/>
      <c r="D958" s="11" t="n"/>
      <c r="E958" s="11" t="n"/>
      <c r="F958" s="11" t="n"/>
      <c r="G958" s="18" t="n"/>
      <c r="H958" s="11" t="n"/>
      <c r="I958" s="23">
        <f>IF(G958="","",ROUND(G958*H958/100,2))</f>
        <v/>
      </c>
    </row>
    <row r="959">
      <c r="A959" s="14" t="n"/>
      <c r="B959" s="11" t="n"/>
      <c r="C959" s="11" t="n"/>
      <c r="D959" s="11" t="n"/>
      <c r="E959" s="11" t="n"/>
      <c r="F959" s="11" t="n"/>
      <c r="G959" s="18" t="n"/>
      <c r="H959" s="11" t="n"/>
      <c r="I959" s="23">
        <f>IF(G959="","",ROUND(G959*H959/100,2))</f>
        <v/>
      </c>
    </row>
    <row r="960">
      <c r="A960" s="14" t="n"/>
      <c r="B960" s="11" t="n"/>
      <c r="C960" s="11" t="n"/>
      <c r="D960" s="11" t="n"/>
      <c r="E960" s="11" t="n"/>
      <c r="F960" s="11" t="n"/>
      <c r="G960" s="18" t="n"/>
      <c r="H960" s="11" t="n"/>
      <c r="I960" s="23">
        <f>IF(G960="","",ROUND(G960*H960/100,2))</f>
        <v/>
      </c>
    </row>
    <row r="961">
      <c r="A961" s="14" t="n"/>
      <c r="B961" s="11" t="n"/>
      <c r="C961" s="11" t="n"/>
      <c r="D961" s="11" t="n"/>
      <c r="E961" s="11" t="n"/>
      <c r="F961" s="11" t="n"/>
      <c r="G961" s="18" t="n"/>
      <c r="H961" s="11" t="n"/>
      <c r="I961" s="23">
        <f>IF(G961="","",ROUND(G961*H961/100,2))</f>
        <v/>
      </c>
    </row>
    <row r="962">
      <c r="A962" s="14" t="n"/>
      <c r="B962" s="11" t="n"/>
      <c r="C962" s="11" t="n"/>
      <c r="D962" s="11" t="n"/>
      <c r="E962" s="11" t="n"/>
      <c r="F962" s="11" t="n"/>
      <c r="G962" s="18" t="n"/>
      <c r="H962" s="11" t="n"/>
      <c r="I962" s="23">
        <f>IF(G962="","",ROUND(G962*H962/100,2))</f>
        <v/>
      </c>
    </row>
    <row r="963">
      <c r="A963" s="14" t="n"/>
      <c r="B963" s="11" t="n"/>
      <c r="C963" s="11" t="n"/>
      <c r="D963" s="11" t="n"/>
      <c r="E963" s="11" t="n"/>
      <c r="F963" s="11" t="n"/>
      <c r="G963" s="18" t="n"/>
      <c r="H963" s="11" t="n"/>
      <c r="I963" s="23">
        <f>IF(G963="","",ROUND(G963*H963/100,2))</f>
        <v/>
      </c>
    </row>
    <row r="964">
      <c r="A964" s="14" t="n"/>
      <c r="B964" s="11" t="n"/>
      <c r="C964" s="11" t="n"/>
      <c r="D964" s="11" t="n"/>
      <c r="E964" s="11" t="n"/>
      <c r="F964" s="11" t="n"/>
      <c r="G964" s="18" t="n"/>
      <c r="H964" s="11" t="n"/>
      <c r="I964" s="23">
        <f>IF(G964="","",ROUND(G964*H964/100,2))</f>
        <v/>
      </c>
    </row>
    <row r="965">
      <c r="A965" s="14" t="n"/>
      <c r="B965" s="11" t="n"/>
      <c r="C965" s="11" t="n"/>
      <c r="D965" s="11" t="n"/>
      <c r="E965" s="11" t="n"/>
      <c r="F965" s="11" t="n"/>
      <c r="G965" s="18" t="n"/>
      <c r="H965" s="11" t="n"/>
      <c r="I965" s="23">
        <f>IF(G965="","",ROUND(G965*H965/100,2))</f>
        <v/>
      </c>
    </row>
    <row r="966">
      <c r="A966" s="14" t="n"/>
      <c r="B966" s="11" t="n"/>
      <c r="C966" s="11" t="n"/>
      <c r="D966" s="11" t="n"/>
      <c r="E966" s="11" t="n"/>
      <c r="F966" s="11" t="n"/>
      <c r="G966" s="18" t="n"/>
      <c r="H966" s="11" t="n"/>
      <c r="I966" s="23">
        <f>IF(G966="","",ROUND(G966*H966/100,2))</f>
        <v/>
      </c>
    </row>
    <row r="967">
      <c r="A967" s="14" t="n"/>
      <c r="B967" s="11" t="n"/>
      <c r="C967" s="11" t="n"/>
      <c r="D967" s="11" t="n"/>
      <c r="E967" s="11" t="n"/>
      <c r="F967" s="11" t="n"/>
      <c r="G967" s="18" t="n"/>
      <c r="H967" s="11" t="n"/>
      <c r="I967" s="23">
        <f>IF(G967="","",ROUND(G967*H967/100,2))</f>
        <v/>
      </c>
    </row>
    <row r="968">
      <c r="A968" s="14" t="n"/>
      <c r="B968" s="11" t="n"/>
      <c r="C968" s="11" t="n"/>
      <c r="D968" s="11" t="n"/>
      <c r="E968" s="11" t="n"/>
      <c r="F968" s="11" t="n"/>
      <c r="G968" s="18" t="n"/>
      <c r="H968" s="11" t="n"/>
      <c r="I968" s="23">
        <f>IF(G968="","",ROUND(G968*H968/100,2))</f>
        <v/>
      </c>
    </row>
    <row r="969">
      <c r="A969" s="14" t="n"/>
      <c r="B969" s="11" t="n"/>
      <c r="C969" s="11" t="n"/>
      <c r="D969" s="11" t="n"/>
      <c r="E969" s="11" t="n"/>
      <c r="F969" s="11" t="n"/>
      <c r="G969" s="18" t="n"/>
      <c r="H969" s="11" t="n"/>
      <c r="I969" s="23">
        <f>IF(G969="","",ROUND(G969*H969/100,2))</f>
        <v/>
      </c>
    </row>
    <row r="970">
      <c r="A970" s="14" t="n"/>
      <c r="B970" s="11" t="n"/>
      <c r="C970" s="11" t="n"/>
      <c r="D970" s="11" t="n"/>
      <c r="E970" s="11" t="n"/>
      <c r="F970" s="11" t="n"/>
      <c r="G970" s="18" t="n"/>
      <c r="H970" s="11" t="n"/>
      <c r="I970" s="23">
        <f>IF(G970="","",ROUND(G970*H970/100,2))</f>
        <v/>
      </c>
    </row>
    <row r="971">
      <c r="A971" s="14" t="n"/>
      <c r="B971" s="11" t="n"/>
      <c r="C971" s="11" t="n"/>
      <c r="D971" s="11" t="n"/>
      <c r="E971" s="11" t="n"/>
      <c r="F971" s="11" t="n"/>
      <c r="G971" s="18" t="n"/>
      <c r="H971" s="11" t="n"/>
      <c r="I971" s="23">
        <f>IF(G971="","",ROUND(G971*H971/100,2))</f>
        <v/>
      </c>
    </row>
    <row r="972">
      <c r="A972" s="14" t="n"/>
      <c r="B972" s="11" t="n"/>
      <c r="C972" s="11" t="n"/>
      <c r="D972" s="11" t="n"/>
      <c r="E972" s="11" t="n"/>
      <c r="F972" s="11" t="n"/>
      <c r="G972" s="18" t="n"/>
      <c r="H972" s="11" t="n"/>
      <c r="I972" s="23">
        <f>IF(G972="","",ROUND(G972*H972/100,2))</f>
        <v/>
      </c>
    </row>
    <row r="973">
      <c r="A973" s="14" t="n"/>
      <c r="B973" s="11" t="n"/>
      <c r="C973" s="11" t="n"/>
      <c r="D973" s="11" t="n"/>
      <c r="E973" s="11" t="n"/>
      <c r="F973" s="11" t="n"/>
      <c r="G973" s="18" t="n"/>
      <c r="H973" s="11" t="n"/>
      <c r="I973" s="23">
        <f>IF(G973="","",ROUND(G973*H973/100,2))</f>
        <v/>
      </c>
    </row>
    <row r="974">
      <c r="A974" s="14" t="n"/>
      <c r="B974" s="11" t="n"/>
      <c r="C974" s="11" t="n"/>
      <c r="D974" s="11" t="n"/>
      <c r="E974" s="11" t="n"/>
      <c r="F974" s="11" t="n"/>
      <c r="G974" s="18" t="n"/>
      <c r="H974" s="11" t="n"/>
      <c r="I974" s="23">
        <f>IF(G974="","",ROUND(G974*H974/100,2))</f>
        <v/>
      </c>
    </row>
    <row r="975">
      <c r="A975" s="14" t="n"/>
      <c r="B975" s="11" t="n"/>
      <c r="C975" s="11" t="n"/>
      <c r="D975" s="11" t="n"/>
      <c r="E975" s="11" t="n"/>
      <c r="F975" s="11" t="n"/>
      <c r="G975" s="18" t="n"/>
      <c r="H975" s="11" t="n"/>
      <c r="I975" s="23">
        <f>IF(G975="","",ROUND(G975*H975/100,2))</f>
        <v/>
      </c>
    </row>
    <row r="976">
      <c r="A976" s="14" t="n"/>
      <c r="B976" s="11" t="n"/>
      <c r="C976" s="11" t="n"/>
      <c r="D976" s="11" t="n"/>
      <c r="E976" s="11" t="n"/>
      <c r="F976" s="11" t="n"/>
      <c r="G976" s="18" t="n"/>
      <c r="H976" s="11" t="n"/>
      <c r="I976" s="23">
        <f>IF(G976="","",ROUND(G976*H976/100,2))</f>
        <v/>
      </c>
    </row>
    <row r="977">
      <c r="A977" s="14" t="n"/>
      <c r="B977" s="11" t="n"/>
      <c r="C977" s="11" t="n"/>
      <c r="D977" s="11" t="n"/>
      <c r="E977" s="11" t="n"/>
      <c r="F977" s="11" t="n"/>
      <c r="G977" s="18" t="n"/>
      <c r="H977" s="11" t="n"/>
      <c r="I977" s="23">
        <f>IF(G977="","",ROUND(G977*H977/100,2))</f>
        <v/>
      </c>
    </row>
    <row r="978">
      <c r="A978" s="14" t="n"/>
      <c r="B978" s="11" t="n"/>
      <c r="C978" s="11" t="n"/>
      <c r="D978" s="11" t="n"/>
      <c r="E978" s="11" t="n"/>
      <c r="F978" s="11" t="n"/>
      <c r="G978" s="18" t="n"/>
      <c r="H978" s="11" t="n"/>
      <c r="I978" s="23">
        <f>IF(G978="","",ROUND(G978*H978/100,2))</f>
        <v/>
      </c>
    </row>
    <row r="979">
      <c r="A979" s="14" t="n"/>
      <c r="B979" s="11" t="n"/>
      <c r="C979" s="11" t="n"/>
      <c r="D979" s="11" t="n"/>
      <c r="E979" s="11" t="n"/>
      <c r="F979" s="11" t="n"/>
      <c r="G979" s="18" t="n"/>
      <c r="H979" s="11" t="n"/>
      <c r="I979" s="23">
        <f>IF(G979="","",ROUND(G979*H979/100,2))</f>
        <v/>
      </c>
    </row>
    <row r="980">
      <c r="A980" s="14" t="n"/>
      <c r="B980" s="11" t="n"/>
      <c r="C980" s="11" t="n"/>
      <c r="D980" s="11" t="n"/>
      <c r="E980" s="11" t="n"/>
      <c r="F980" s="11" t="n"/>
      <c r="G980" s="18" t="n"/>
      <c r="H980" s="11" t="n"/>
      <c r="I980" s="23">
        <f>IF(G980="","",ROUND(G980*H980/100,2))</f>
        <v/>
      </c>
    </row>
    <row r="981">
      <c r="A981" s="14" t="n"/>
      <c r="B981" s="11" t="n"/>
      <c r="C981" s="11" t="n"/>
      <c r="D981" s="11" t="n"/>
      <c r="E981" s="11" t="n"/>
      <c r="F981" s="11" t="n"/>
      <c r="G981" s="18" t="n"/>
      <c r="H981" s="11" t="n"/>
      <c r="I981" s="23">
        <f>IF(G981="","",ROUND(G981*H981/100,2))</f>
        <v/>
      </c>
    </row>
    <row r="982">
      <c r="A982" s="14" t="n"/>
      <c r="B982" s="11" t="n"/>
      <c r="C982" s="11" t="n"/>
      <c r="D982" s="11" t="n"/>
      <c r="E982" s="11" t="n"/>
      <c r="F982" s="11" t="n"/>
      <c r="G982" s="18" t="n"/>
      <c r="H982" s="11" t="n"/>
      <c r="I982" s="23">
        <f>IF(G982="","",ROUND(G982*H982/100,2))</f>
        <v/>
      </c>
    </row>
    <row r="983">
      <c r="A983" s="14" t="n"/>
      <c r="B983" s="11" t="n"/>
      <c r="C983" s="11" t="n"/>
      <c r="D983" s="11" t="n"/>
      <c r="E983" s="11" t="n"/>
      <c r="F983" s="11" t="n"/>
      <c r="G983" s="18" t="n"/>
      <c r="H983" s="11" t="n"/>
      <c r="I983" s="23">
        <f>IF(G983="","",ROUND(G983*H983/100,2))</f>
        <v/>
      </c>
    </row>
    <row r="984">
      <c r="A984" s="14" t="n"/>
      <c r="B984" s="11" t="n"/>
      <c r="C984" s="11" t="n"/>
      <c r="D984" s="11" t="n"/>
      <c r="E984" s="11" t="n"/>
      <c r="F984" s="11" t="n"/>
      <c r="G984" s="18" t="n"/>
      <c r="H984" s="11" t="n"/>
      <c r="I984" s="23">
        <f>IF(G984="","",ROUND(G984*H984/100,2))</f>
        <v/>
      </c>
    </row>
    <row r="985">
      <c r="A985" s="14" t="n"/>
      <c r="B985" s="11" t="n"/>
      <c r="C985" s="11" t="n"/>
      <c r="D985" s="11" t="n"/>
      <c r="E985" s="11" t="n"/>
      <c r="F985" s="11" t="n"/>
      <c r="G985" s="18" t="n"/>
      <c r="H985" s="11" t="n"/>
      <c r="I985" s="23">
        <f>IF(G985="","",ROUND(G985*H985/100,2))</f>
        <v/>
      </c>
    </row>
    <row r="986">
      <c r="A986" s="14" t="n"/>
      <c r="B986" s="11" t="n"/>
      <c r="C986" s="11" t="n"/>
      <c r="D986" s="11" t="n"/>
      <c r="E986" s="11" t="n"/>
      <c r="F986" s="11" t="n"/>
      <c r="G986" s="18" t="n"/>
      <c r="H986" s="11" t="n"/>
      <c r="I986" s="23">
        <f>IF(G986="","",ROUND(G986*H986/100,2))</f>
        <v/>
      </c>
    </row>
    <row r="987">
      <c r="A987" s="14" t="n"/>
      <c r="B987" s="11" t="n"/>
      <c r="C987" s="11" t="n"/>
      <c r="D987" s="11" t="n"/>
      <c r="E987" s="11" t="n"/>
      <c r="F987" s="11" t="n"/>
      <c r="G987" s="18" t="n"/>
      <c r="H987" s="11" t="n"/>
      <c r="I987" s="23">
        <f>IF(G987="","",ROUND(G987*H987/100,2))</f>
        <v/>
      </c>
    </row>
    <row r="988">
      <c r="A988" s="14" t="n"/>
      <c r="B988" s="11" t="n"/>
      <c r="C988" s="11" t="n"/>
      <c r="D988" s="11" t="n"/>
      <c r="E988" s="11" t="n"/>
      <c r="F988" s="11" t="n"/>
      <c r="G988" s="18" t="n"/>
      <c r="H988" s="11" t="n"/>
      <c r="I988" s="23">
        <f>IF(G988="","",ROUND(G988*H988/100,2))</f>
        <v/>
      </c>
    </row>
    <row r="989">
      <c r="A989" s="14" t="n"/>
      <c r="B989" s="11" t="n"/>
      <c r="C989" s="11" t="n"/>
      <c r="D989" s="11" t="n"/>
      <c r="E989" s="11" t="n"/>
      <c r="F989" s="11" t="n"/>
      <c r="G989" s="18" t="n"/>
      <c r="H989" s="11" t="n"/>
      <c r="I989" s="23">
        <f>IF(G989="","",ROUND(G989*H989/100,2))</f>
        <v/>
      </c>
    </row>
    <row r="990">
      <c r="A990" s="14" t="n"/>
      <c r="B990" s="11" t="n"/>
      <c r="C990" s="11" t="n"/>
      <c r="D990" s="11" t="n"/>
      <c r="E990" s="11" t="n"/>
      <c r="F990" s="11" t="n"/>
      <c r="G990" s="18" t="n"/>
      <c r="H990" s="11" t="n"/>
      <c r="I990" s="23">
        <f>IF(G990="","",ROUND(G990*H990/100,2))</f>
        <v/>
      </c>
    </row>
    <row r="991">
      <c r="A991" s="14" t="n"/>
      <c r="B991" s="11" t="n"/>
      <c r="C991" s="11" t="n"/>
      <c r="D991" s="11" t="n"/>
      <c r="E991" s="11" t="n"/>
      <c r="F991" s="11" t="n"/>
      <c r="G991" s="18" t="n"/>
      <c r="H991" s="11" t="n"/>
      <c r="I991" s="23">
        <f>IF(G991="","",ROUND(G991*H991/100,2))</f>
        <v/>
      </c>
    </row>
    <row r="992">
      <c r="A992" s="14" t="n"/>
      <c r="B992" s="11" t="n"/>
      <c r="C992" s="11" t="n"/>
      <c r="D992" s="11" t="n"/>
      <c r="E992" s="11" t="n"/>
      <c r="F992" s="11" t="n"/>
      <c r="G992" s="18" t="n"/>
      <c r="H992" s="11" t="n"/>
      <c r="I992" s="23">
        <f>IF(G992="","",ROUND(G992*H992/100,2))</f>
        <v/>
      </c>
    </row>
    <row r="993">
      <c r="A993" s="14" t="n"/>
      <c r="B993" s="11" t="n"/>
      <c r="C993" s="11" t="n"/>
      <c r="D993" s="11" t="n"/>
      <c r="E993" s="11" t="n"/>
      <c r="F993" s="11" t="n"/>
      <c r="G993" s="18" t="n"/>
      <c r="H993" s="11" t="n"/>
      <c r="I993" s="23">
        <f>IF(G993="","",ROUND(G993*H993/100,2))</f>
        <v/>
      </c>
    </row>
    <row r="994">
      <c r="A994" s="14" t="n"/>
      <c r="B994" s="11" t="n"/>
      <c r="C994" s="11" t="n"/>
      <c r="D994" s="11" t="n"/>
      <c r="E994" s="11" t="n"/>
      <c r="F994" s="11" t="n"/>
      <c r="G994" s="18" t="n"/>
      <c r="H994" s="11" t="n"/>
      <c r="I994" s="23">
        <f>IF(G994="","",ROUND(G994*H994/100,2))</f>
        <v/>
      </c>
    </row>
    <row r="995">
      <c r="A995" s="14" t="n"/>
      <c r="B995" s="11" t="n"/>
      <c r="C995" s="11" t="n"/>
      <c r="D995" s="11" t="n"/>
      <c r="E995" s="11" t="n"/>
      <c r="F995" s="11" t="n"/>
      <c r="G995" s="18" t="n"/>
      <c r="H995" s="11" t="n"/>
      <c r="I995" s="23">
        <f>IF(G995="","",ROUND(G995*H995/100,2))</f>
        <v/>
      </c>
    </row>
    <row r="996">
      <c r="A996" s="14" t="n"/>
      <c r="B996" s="11" t="n"/>
      <c r="C996" s="11" t="n"/>
      <c r="D996" s="11" t="n"/>
      <c r="E996" s="11" t="n"/>
      <c r="F996" s="11" t="n"/>
      <c r="G996" s="18" t="n"/>
      <c r="H996" s="11" t="n"/>
      <c r="I996" s="23">
        <f>IF(G996="","",ROUND(G996*H996/100,2))</f>
        <v/>
      </c>
    </row>
    <row r="997">
      <c r="A997" s="14" t="n"/>
      <c r="B997" s="11" t="n"/>
      <c r="C997" s="11" t="n"/>
      <c r="D997" s="11" t="n"/>
      <c r="E997" s="11" t="n"/>
      <c r="F997" s="11" t="n"/>
      <c r="G997" s="18" t="n"/>
      <c r="H997" s="11" t="n"/>
      <c r="I997" s="23">
        <f>IF(G997="","",ROUND(G997*H997/100,2))</f>
        <v/>
      </c>
    </row>
    <row r="998">
      <c r="A998" s="14" t="n"/>
      <c r="B998" s="11" t="n"/>
      <c r="C998" s="11" t="n"/>
      <c r="D998" s="11" t="n"/>
      <c r="E998" s="11" t="n"/>
      <c r="F998" s="11" t="n"/>
      <c r="G998" s="18" t="n"/>
      <c r="H998" s="11" t="n"/>
      <c r="I998" s="23">
        <f>IF(G998="","",ROUND(G998*H998/100,2))</f>
        <v/>
      </c>
    </row>
    <row r="999">
      <c r="A999" s="14" t="n"/>
      <c r="B999" s="11" t="n"/>
      <c r="C999" s="11" t="n"/>
      <c r="D999" s="11" t="n"/>
      <c r="E999" s="11" t="n"/>
      <c r="F999" s="11" t="n"/>
      <c r="G999" s="18" t="n"/>
      <c r="H999" s="11" t="n"/>
      <c r="I999" s="23">
        <f>IF(G999="","",ROUND(G999*H999/100,2))</f>
        <v/>
      </c>
    </row>
    <row r="1000">
      <c r="A1000" s="14" t="n"/>
      <c r="B1000" s="11" t="n"/>
      <c r="C1000" s="11" t="n"/>
      <c r="D1000" s="11" t="n"/>
      <c r="E1000" s="11" t="n"/>
      <c r="F1000" s="11" t="n"/>
      <c r="G1000" s="18" t="n"/>
      <c r="H1000" s="11" t="n"/>
      <c r="I1000" s="23">
        <f>IF(G1000="","",ROUND(G1000*H1000/100,2))</f>
        <v/>
      </c>
    </row>
    <row r="1001">
      <c r="A1001" s="14" t="n"/>
      <c r="B1001" s="11" t="n"/>
      <c r="C1001" s="11" t="n"/>
      <c r="D1001" s="11" t="n"/>
      <c r="E1001" s="11" t="n"/>
      <c r="F1001" s="11" t="n"/>
      <c r="G1001" s="18" t="n"/>
      <c r="H1001" s="11" t="n"/>
      <c r="I1001" s="23">
        <f>IF(G1001="","",ROUND(G1001*H1001/100,2))</f>
        <v/>
      </c>
    </row>
    <row r="1002">
      <c r="A1002" s="14" t="n"/>
      <c r="B1002" s="11" t="n"/>
      <c r="C1002" s="11" t="n"/>
      <c r="D1002" s="11" t="n"/>
      <c r="E1002" s="11" t="n"/>
      <c r="F1002" s="11" t="n"/>
      <c r="G1002" s="18" t="n"/>
      <c r="H1002" s="11" t="n"/>
      <c r="I1002" s="23">
        <f>IF(G1002="","",ROUND(G1002*H1002/100,2))</f>
        <v/>
      </c>
    </row>
    <row r="1003">
      <c r="A1003" s="14" t="n"/>
      <c r="B1003" s="11" t="n"/>
      <c r="C1003" s="11" t="n"/>
      <c r="D1003" s="11" t="n"/>
      <c r="E1003" s="11" t="n"/>
      <c r="F1003" s="11" t="n"/>
      <c r="G1003" s="18" t="n"/>
      <c r="H1003" s="11" t="n"/>
      <c r="I1003" s="23">
        <f>IF(G1003="","",ROUND(G1003*H1003/100,2))</f>
        <v/>
      </c>
    </row>
    <row r="1004">
      <c r="A1004" s="14" t="n"/>
      <c r="B1004" s="11" t="n"/>
      <c r="C1004" s="11" t="n"/>
      <c r="D1004" s="11" t="n"/>
      <c r="E1004" s="11" t="n"/>
      <c r="F1004" s="11" t="n"/>
      <c r="G1004" s="18" t="n"/>
      <c r="H1004" s="11" t="n"/>
      <c r="I1004" s="23">
        <f>IF(G1004="","",ROUND(G1004*H1004/100,2))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6" customWidth="1" min="4" max="4"/>
    <col width="16" customWidth="1" min="5" max="5"/>
  </cols>
  <sheetData>
    <row r="1">
      <c r="A1" s="8" t="inlineStr">
        <is>
          <t>HSN-wise Summary</t>
        </is>
      </c>
    </row>
    <row r="2">
      <c r="A2" s="9" t="inlineStr">
        <is>
          <t>Type each HSN code once in column A — totals fill in automatically</t>
        </is>
      </c>
    </row>
    <row r="4" ht="32" customHeight="1">
      <c r="A4" s="17" t="inlineStr">
        <is>
          <t>HSN/SAC</t>
        </is>
      </c>
      <c r="B4" s="17" t="inlineStr">
        <is>
          <t>Description</t>
        </is>
      </c>
      <c r="C4" s="17" t="inlineStr">
        <is>
          <t>Total qty</t>
        </is>
      </c>
      <c r="D4" s="17" t="inlineStr">
        <is>
          <t>Taxable value</t>
        </is>
      </c>
      <c r="E4" s="17" t="inlineStr">
        <is>
          <t>Tax amount</t>
        </is>
      </c>
    </row>
    <row r="5">
      <c r="A5" s="11" t="n"/>
      <c r="B5" s="11" t="n"/>
      <c r="C5">
        <f>IF(A5="","",SUMIF('HSN Register'!$C$5:$C$1004,A5,'HSN Register'!$F$5:$F$1004))</f>
        <v/>
      </c>
      <c r="D5" s="23">
        <f>IF(A5="","",SUMIF('HSN Register'!$C$5:$C$1004,A5,'HSN Register'!$G$5:$G$1004))</f>
        <v/>
      </c>
      <c r="E5" s="23">
        <f>IF(A5="","",SUMIF('HSN Register'!$C$5:$C$1004,A5,'HSN Register'!$I$5:$I$1004))</f>
        <v/>
      </c>
    </row>
    <row r="6">
      <c r="A6" s="11" t="n"/>
      <c r="B6" s="11" t="n"/>
      <c r="C6">
        <f>IF(A6="","",SUMIF('HSN Register'!$C$5:$C$1004,A6,'HSN Register'!$F$5:$F$1004))</f>
        <v/>
      </c>
      <c r="D6" s="23">
        <f>IF(A6="","",SUMIF('HSN Register'!$C$5:$C$1004,A6,'HSN Register'!$G$5:$G$1004))</f>
        <v/>
      </c>
      <c r="E6" s="23">
        <f>IF(A6="","",SUMIF('HSN Register'!$C$5:$C$1004,A6,'HSN Register'!$I$5:$I$1004))</f>
        <v/>
      </c>
    </row>
    <row r="7">
      <c r="A7" s="11" t="n"/>
      <c r="B7" s="11" t="n"/>
      <c r="C7">
        <f>IF(A7="","",SUMIF('HSN Register'!$C$5:$C$1004,A7,'HSN Register'!$F$5:$F$1004))</f>
        <v/>
      </c>
      <c r="D7" s="23">
        <f>IF(A7="","",SUMIF('HSN Register'!$C$5:$C$1004,A7,'HSN Register'!$G$5:$G$1004))</f>
        <v/>
      </c>
      <c r="E7" s="23">
        <f>IF(A7="","",SUMIF('HSN Register'!$C$5:$C$1004,A7,'HSN Register'!$I$5:$I$1004))</f>
        <v/>
      </c>
    </row>
    <row r="8">
      <c r="A8" s="11" t="n"/>
      <c r="B8" s="11" t="n"/>
      <c r="C8">
        <f>IF(A8="","",SUMIF('HSN Register'!$C$5:$C$1004,A8,'HSN Register'!$F$5:$F$1004))</f>
        <v/>
      </c>
      <c r="D8" s="23">
        <f>IF(A8="","",SUMIF('HSN Register'!$C$5:$C$1004,A8,'HSN Register'!$G$5:$G$1004))</f>
        <v/>
      </c>
      <c r="E8" s="23">
        <f>IF(A8="","",SUMIF('HSN Register'!$C$5:$C$1004,A8,'HSN Register'!$I$5:$I$1004))</f>
        <v/>
      </c>
    </row>
    <row r="9">
      <c r="A9" s="11" t="n"/>
      <c r="B9" s="11" t="n"/>
      <c r="C9">
        <f>IF(A9="","",SUMIF('HSN Register'!$C$5:$C$1004,A9,'HSN Register'!$F$5:$F$1004))</f>
        <v/>
      </c>
      <c r="D9" s="23">
        <f>IF(A9="","",SUMIF('HSN Register'!$C$5:$C$1004,A9,'HSN Register'!$G$5:$G$1004))</f>
        <v/>
      </c>
      <c r="E9" s="23">
        <f>IF(A9="","",SUMIF('HSN Register'!$C$5:$C$1004,A9,'HSN Register'!$I$5:$I$1004))</f>
        <v/>
      </c>
    </row>
    <row r="10">
      <c r="A10" s="11" t="n"/>
      <c r="B10" s="11" t="n"/>
      <c r="C10">
        <f>IF(A10="","",SUMIF('HSN Register'!$C$5:$C$1004,A10,'HSN Register'!$F$5:$F$1004))</f>
        <v/>
      </c>
      <c r="D10" s="23">
        <f>IF(A10="","",SUMIF('HSN Register'!$C$5:$C$1004,A10,'HSN Register'!$G$5:$G$1004))</f>
        <v/>
      </c>
      <c r="E10" s="23">
        <f>IF(A10="","",SUMIF('HSN Register'!$C$5:$C$1004,A10,'HSN Register'!$I$5:$I$1004))</f>
        <v/>
      </c>
    </row>
    <row r="11">
      <c r="A11" s="11" t="n"/>
      <c r="B11" s="11" t="n"/>
      <c r="C11">
        <f>IF(A11="","",SUMIF('HSN Register'!$C$5:$C$1004,A11,'HSN Register'!$F$5:$F$1004))</f>
        <v/>
      </c>
      <c r="D11" s="23">
        <f>IF(A11="","",SUMIF('HSN Register'!$C$5:$C$1004,A11,'HSN Register'!$G$5:$G$1004))</f>
        <v/>
      </c>
      <c r="E11" s="23">
        <f>IF(A11="","",SUMIF('HSN Register'!$C$5:$C$1004,A11,'HSN Register'!$I$5:$I$1004))</f>
        <v/>
      </c>
    </row>
    <row r="12">
      <c r="A12" s="11" t="n"/>
      <c r="B12" s="11" t="n"/>
      <c r="C12">
        <f>IF(A12="","",SUMIF('HSN Register'!$C$5:$C$1004,A12,'HSN Register'!$F$5:$F$1004))</f>
        <v/>
      </c>
      <c r="D12" s="23">
        <f>IF(A12="","",SUMIF('HSN Register'!$C$5:$C$1004,A12,'HSN Register'!$G$5:$G$1004))</f>
        <v/>
      </c>
      <c r="E12" s="23">
        <f>IF(A12="","",SUMIF('HSN Register'!$C$5:$C$1004,A12,'HSN Register'!$I$5:$I$1004))</f>
        <v/>
      </c>
    </row>
    <row r="13">
      <c r="A13" s="11" t="n"/>
      <c r="B13" s="11" t="n"/>
      <c r="C13">
        <f>IF(A13="","",SUMIF('HSN Register'!$C$5:$C$1004,A13,'HSN Register'!$F$5:$F$1004))</f>
        <v/>
      </c>
      <c r="D13" s="23">
        <f>IF(A13="","",SUMIF('HSN Register'!$C$5:$C$1004,A13,'HSN Register'!$G$5:$G$1004))</f>
        <v/>
      </c>
      <c r="E13" s="23">
        <f>IF(A13="","",SUMIF('HSN Register'!$C$5:$C$1004,A13,'HSN Register'!$I$5:$I$1004))</f>
        <v/>
      </c>
    </row>
    <row r="14">
      <c r="A14" s="11" t="n"/>
      <c r="B14" s="11" t="n"/>
      <c r="C14">
        <f>IF(A14="","",SUMIF('HSN Register'!$C$5:$C$1004,A14,'HSN Register'!$F$5:$F$1004))</f>
        <v/>
      </c>
      <c r="D14" s="23">
        <f>IF(A14="","",SUMIF('HSN Register'!$C$5:$C$1004,A14,'HSN Register'!$G$5:$G$1004))</f>
        <v/>
      </c>
      <c r="E14" s="23">
        <f>IF(A14="","",SUMIF('HSN Register'!$C$5:$C$1004,A14,'HSN Register'!$I$5:$I$1004))</f>
        <v/>
      </c>
    </row>
    <row r="15">
      <c r="A15" s="11" t="n"/>
      <c r="B15" s="11" t="n"/>
      <c r="C15">
        <f>IF(A15="","",SUMIF('HSN Register'!$C$5:$C$1004,A15,'HSN Register'!$F$5:$F$1004))</f>
        <v/>
      </c>
      <c r="D15" s="23">
        <f>IF(A15="","",SUMIF('HSN Register'!$C$5:$C$1004,A15,'HSN Register'!$G$5:$G$1004))</f>
        <v/>
      </c>
      <c r="E15" s="23">
        <f>IF(A15="","",SUMIF('HSN Register'!$C$5:$C$1004,A15,'HSN Register'!$I$5:$I$1004))</f>
        <v/>
      </c>
    </row>
    <row r="16">
      <c r="A16" s="11" t="n"/>
      <c r="B16" s="11" t="n"/>
      <c r="C16">
        <f>IF(A16="","",SUMIF('HSN Register'!$C$5:$C$1004,A16,'HSN Register'!$F$5:$F$1004))</f>
        <v/>
      </c>
      <c r="D16" s="23">
        <f>IF(A16="","",SUMIF('HSN Register'!$C$5:$C$1004,A16,'HSN Register'!$G$5:$G$1004))</f>
        <v/>
      </c>
      <c r="E16" s="23">
        <f>IF(A16="","",SUMIF('HSN Register'!$C$5:$C$1004,A16,'HSN Register'!$I$5:$I$1004))</f>
        <v/>
      </c>
    </row>
    <row r="17">
      <c r="A17" s="11" t="n"/>
      <c r="B17" s="11" t="n"/>
      <c r="C17">
        <f>IF(A17="","",SUMIF('HSN Register'!$C$5:$C$1004,A17,'HSN Register'!$F$5:$F$1004))</f>
        <v/>
      </c>
      <c r="D17" s="23">
        <f>IF(A17="","",SUMIF('HSN Register'!$C$5:$C$1004,A17,'HSN Register'!$G$5:$G$1004))</f>
        <v/>
      </c>
      <c r="E17" s="23">
        <f>IF(A17="","",SUMIF('HSN Register'!$C$5:$C$1004,A17,'HSN Register'!$I$5:$I$1004))</f>
        <v/>
      </c>
    </row>
    <row r="18">
      <c r="A18" s="11" t="n"/>
      <c r="B18" s="11" t="n"/>
      <c r="C18">
        <f>IF(A18="","",SUMIF('HSN Register'!$C$5:$C$1004,A18,'HSN Register'!$F$5:$F$1004))</f>
        <v/>
      </c>
      <c r="D18" s="23">
        <f>IF(A18="","",SUMIF('HSN Register'!$C$5:$C$1004,A18,'HSN Register'!$G$5:$G$1004))</f>
        <v/>
      </c>
      <c r="E18" s="23">
        <f>IF(A18="","",SUMIF('HSN Register'!$C$5:$C$1004,A18,'HSN Register'!$I$5:$I$1004))</f>
        <v/>
      </c>
    </row>
    <row r="19">
      <c r="A19" s="11" t="n"/>
      <c r="B19" s="11" t="n"/>
      <c r="C19">
        <f>IF(A19="","",SUMIF('HSN Register'!$C$5:$C$1004,A19,'HSN Register'!$F$5:$F$1004))</f>
        <v/>
      </c>
      <c r="D19" s="23">
        <f>IF(A19="","",SUMIF('HSN Register'!$C$5:$C$1004,A19,'HSN Register'!$G$5:$G$1004))</f>
        <v/>
      </c>
      <c r="E19" s="23">
        <f>IF(A19="","",SUMIF('HSN Register'!$C$5:$C$1004,A19,'HSN Register'!$I$5:$I$1004))</f>
        <v/>
      </c>
    </row>
    <row r="20">
      <c r="A20" s="11" t="n"/>
      <c r="B20" s="11" t="n"/>
      <c r="C20">
        <f>IF(A20="","",SUMIF('HSN Register'!$C$5:$C$1004,A20,'HSN Register'!$F$5:$F$1004))</f>
        <v/>
      </c>
      <c r="D20" s="23">
        <f>IF(A20="","",SUMIF('HSN Register'!$C$5:$C$1004,A20,'HSN Register'!$G$5:$G$1004))</f>
        <v/>
      </c>
      <c r="E20" s="23">
        <f>IF(A20="","",SUMIF('HSN Register'!$C$5:$C$1004,A20,'HSN Register'!$I$5:$I$1004))</f>
        <v/>
      </c>
    </row>
    <row r="21">
      <c r="A21" s="11" t="n"/>
      <c r="B21" s="11" t="n"/>
      <c r="C21">
        <f>IF(A21="","",SUMIF('HSN Register'!$C$5:$C$1004,A21,'HSN Register'!$F$5:$F$1004))</f>
        <v/>
      </c>
      <c r="D21" s="23">
        <f>IF(A21="","",SUMIF('HSN Register'!$C$5:$C$1004,A21,'HSN Register'!$G$5:$G$1004))</f>
        <v/>
      </c>
      <c r="E21" s="23">
        <f>IF(A21="","",SUMIF('HSN Register'!$C$5:$C$1004,A21,'HSN Register'!$I$5:$I$1004))</f>
        <v/>
      </c>
    </row>
    <row r="22">
      <c r="A22" s="11" t="n"/>
      <c r="B22" s="11" t="n"/>
      <c r="C22">
        <f>IF(A22="","",SUMIF('HSN Register'!$C$5:$C$1004,A22,'HSN Register'!$F$5:$F$1004))</f>
        <v/>
      </c>
      <c r="D22" s="23">
        <f>IF(A22="","",SUMIF('HSN Register'!$C$5:$C$1004,A22,'HSN Register'!$G$5:$G$1004))</f>
        <v/>
      </c>
      <c r="E22" s="23">
        <f>IF(A22="","",SUMIF('HSN Register'!$C$5:$C$1004,A22,'HSN Register'!$I$5:$I$1004))</f>
        <v/>
      </c>
    </row>
    <row r="23">
      <c r="A23" s="11" t="n"/>
      <c r="B23" s="11" t="n"/>
      <c r="C23">
        <f>IF(A23="","",SUMIF('HSN Register'!$C$5:$C$1004,A23,'HSN Register'!$F$5:$F$1004))</f>
        <v/>
      </c>
      <c r="D23" s="23">
        <f>IF(A23="","",SUMIF('HSN Register'!$C$5:$C$1004,A23,'HSN Register'!$G$5:$G$1004))</f>
        <v/>
      </c>
      <c r="E23" s="23">
        <f>IF(A23="","",SUMIF('HSN Register'!$C$5:$C$1004,A23,'HSN Register'!$I$5:$I$1004))</f>
        <v/>
      </c>
    </row>
    <row r="24">
      <c r="A24" s="11" t="n"/>
      <c r="B24" s="11" t="n"/>
      <c r="C24">
        <f>IF(A24="","",SUMIF('HSN Register'!$C$5:$C$1004,A24,'HSN Register'!$F$5:$F$1004))</f>
        <v/>
      </c>
      <c r="D24" s="23">
        <f>IF(A24="","",SUMIF('HSN Register'!$C$5:$C$1004,A24,'HSN Register'!$G$5:$G$1004))</f>
        <v/>
      </c>
      <c r="E24" s="23">
        <f>IF(A24="","",SUMIF('HSN Register'!$C$5:$C$1004,A24,'HSN Register'!$I$5:$I$1004))</f>
        <v/>
      </c>
    </row>
    <row r="25">
      <c r="A25" s="11" t="n"/>
      <c r="B25" s="11" t="n"/>
      <c r="C25">
        <f>IF(A25="","",SUMIF('HSN Register'!$C$5:$C$1004,A25,'HSN Register'!$F$5:$F$1004))</f>
        <v/>
      </c>
      <c r="D25" s="23">
        <f>IF(A25="","",SUMIF('HSN Register'!$C$5:$C$1004,A25,'HSN Register'!$G$5:$G$1004))</f>
        <v/>
      </c>
      <c r="E25" s="23">
        <f>IF(A25="","",SUMIF('HSN Register'!$C$5:$C$1004,A25,'HSN Register'!$I$5:$I$1004))</f>
        <v/>
      </c>
    </row>
    <row r="26">
      <c r="A26" s="11" t="n"/>
      <c r="B26" s="11" t="n"/>
      <c r="C26">
        <f>IF(A26="","",SUMIF('HSN Register'!$C$5:$C$1004,A26,'HSN Register'!$F$5:$F$1004))</f>
        <v/>
      </c>
      <c r="D26" s="23">
        <f>IF(A26="","",SUMIF('HSN Register'!$C$5:$C$1004,A26,'HSN Register'!$G$5:$G$1004))</f>
        <v/>
      </c>
      <c r="E26" s="23">
        <f>IF(A26="","",SUMIF('HSN Register'!$C$5:$C$1004,A26,'HSN Register'!$I$5:$I$1004))</f>
        <v/>
      </c>
    </row>
    <row r="27">
      <c r="A27" s="11" t="n"/>
      <c r="B27" s="11" t="n"/>
      <c r="C27">
        <f>IF(A27="","",SUMIF('HSN Register'!$C$5:$C$1004,A27,'HSN Register'!$F$5:$F$1004))</f>
        <v/>
      </c>
      <c r="D27" s="23">
        <f>IF(A27="","",SUMIF('HSN Register'!$C$5:$C$1004,A27,'HSN Register'!$G$5:$G$1004))</f>
        <v/>
      </c>
      <c r="E27" s="23">
        <f>IF(A27="","",SUMIF('HSN Register'!$C$5:$C$1004,A27,'HSN Register'!$I$5:$I$1004))</f>
        <v/>
      </c>
    </row>
    <row r="28">
      <c r="A28" s="11" t="n"/>
      <c r="B28" s="11" t="n"/>
      <c r="C28">
        <f>IF(A28="","",SUMIF('HSN Register'!$C$5:$C$1004,A28,'HSN Register'!$F$5:$F$1004))</f>
        <v/>
      </c>
      <c r="D28" s="23">
        <f>IF(A28="","",SUMIF('HSN Register'!$C$5:$C$1004,A28,'HSN Register'!$G$5:$G$1004))</f>
        <v/>
      </c>
      <c r="E28" s="23">
        <f>IF(A28="","",SUMIF('HSN Register'!$C$5:$C$1004,A28,'HSN Register'!$I$5:$I$1004))</f>
        <v/>
      </c>
    </row>
    <row r="29">
      <c r="A29" s="11" t="n"/>
      <c r="B29" s="11" t="n"/>
      <c r="C29">
        <f>IF(A29="","",SUMIF('HSN Register'!$C$5:$C$1004,A29,'HSN Register'!$F$5:$F$1004))</f>
        <v/>
      </c>
      <c r="D29" s="23">
        <f>IF(A29="","",SUMIF('HSN Register'!$C$5:$C$1004,A29,'HSN Register'!$G$5:$G$1004))</f>
        <v/>
      </c>
      <c r="E29" s="23">
        <f>IF(A29="","",SUMIF('HSN Register'!$C$5:$C$1004,A29,'HSN Register'!$I$5:$I$1004))</f>
        <v/>
      </c>
    </row>
    <row r="30">
      <c r="A30" s="11" t="n"/>
      <c r="B30" s="11" t="n"/>
      <c r="C30">
        <f>IF(A30="","",SUMIF('HSN Register'!$C$5:$C$1004,A30,'HSN Register'!$F$5:$F$1004))</f>
        <v/>
      </c>
      <c r="D30" s="23">
        <f>IF(A30="","",SUMIF('HSN Register'!$C$5:$C$1004,A30,'HSN Register'!$G$5:$G$1004))</f>
        <v/>
      </c>
      <c r="E30" s="23">
        <f>IF(A30="","",SUMIF('HSN Register'!$C$5:$C$1004,A30,'HSN Register'!$I$5:$I$1004))</f>
        <v/>
      </c>
    </row>
    <row r="31">
      <c r="A31" s="11" t="n"/>
      <c r="B31" s="11" t="n"/>
      <c r="C31">
        <f>IF(A31="","",SUMIF('HSN Register'!$C$5:$C$1004,A31,'HSN Register'!$F$5:$F$1004))</f>
        <v/>
      </c>
      <c r="D31" s="23">
        <f>IF(A31="","",SUMIF('HSN Register'!$C$5:$C$1004,A31,'HSN Register'!$G$5:$G$1004))</f>
        <v/>
      </c>
      <c r="E31" s="23">
        <f>IF(A31="","",SUMIF('HSN Register'!$C$5:$C$1004,A31,'HSN Register'!$I$5:$I$1004))</f>
        <v/>
      </c>
    </row>
    <row r="32">
      <c r="A32" s="11" t="n"/>
      <c r="B32" s="11" t="n"/>
      <c r="C32">
        <f>IF(A32="","",SUMIF('HSN Register'!$C$5:$C$1004,A32,'HSN Register'!$F$5:$F$1004))</f>
        <v/>
      </c>
      <c r="D32" s="23">
        <f>IF(A32="","",SUMIF('HSN Register'!$C$5:$C$1004,A32,'HSN Register'!$G$5:$G$1004))</f>
        <v/>
      </c>
      <c r="E32" s="23">
        <f>IF(A32="","",SUMIF('HSN Register'!$C$5:$C$1004,A32,'HSN Register'!$I$5:$I$1004))</f>
        <v/>
      </c>
    </row>
    <row r="33">
      <c r="A33" s="11" t="n"/>
      <c r="B33" s="11" t="n"/>
      <c r="C33">
        <f>IF(A33="","",SUMIF('HSN Register'!$C$5:$C$1004,A33,'HSN Register'!$F$5:$F$1004))</f>
        <v/>
      </c>
      <c r="D33" s="23">
        <f>IF(A33="","",SUMIF('HSN Register'!$C$5:$C$1004,A33,'HSN Register'!$G$5:$G$1004))</f>
        <v/>
      </c>
      <c r="E33" s="23">
        <f>IF(A33="","",SUMIF('HSN Register'!$C$5:$C$1004,A33,'HSN Register'!$I$5:$I$1004))</f>
        <v/>
      </c>
    </row>
    <row r="34">
      <c r="A34" s="11" t="n"/>
      <c r="B34" s="11" t="n"/>
      <c r="C34">
        <f>IF(A34="","",SUMIF('HSN Register'!$C$5:$C$1004,A34,'HSN Register'!$F$5:$F$1004))</f>
        <v/>
      </c>
      <c r="D34" s="23">
        <f>IF(A34="","",SUMIF('HSN Register'!$C$5:$C$1004,A34,'HSN Register'!$G$5:$G$1004))</f>
        <v/>
      </c>
      <c r="E34" s="23">
        <f>IF(A34="","",SUMIF('HSN Register'!$C$5:$C$1004,A34,'HSN Register'!$I$5:$I$1004))</f>
        <v/>
      </c>
    </row>
    <row r="35">
      <c r="A35" s="11" t="n"/>
      <c r="B35" s="11" t="n"/>
      <c r="C35">
        <f>IF(A35="","",SUMIF('HSN Register'!$C$5:$C$1004,A35,'HSN Register'!$F$5:$F$1004))</f>
        <v/>
      </c>
      <c r="D35" s="23">
        <f>IF(A35="","",SUMIF('HSN Register'!$C$5:$C$1004,A35,'HSN Register'!$G$5:$G$1004))</f>
        <v/>
      </c>
      <c r="E35" s="23">
        <f>IF(A35="","",SUMIF('HSN Register'!$C$5:$C$1004,A35,'HSN Register'!$I$5:$I$1004))</f>
        <v/>
      </c>
    </row>
    <row r="36">
      <c r="A36" s="11" t="n"/>
      <c r="B36" s="11" t="n"/>
      <c r="C36">
        <f>IF(A36="","",SUMIF('HSN Register'!$C$5:$C$1004,A36,'HSN Register'!$F$5:$F$1004))</f>
        <v/>
      </c>
      <c r="D36" s="23">
        <f>IF(A36="","",SUMIF('HSN Register'!$C$5:$C$1004,A36,'HSN Register'!$G$5:$G$1004))</f>
        <v/>
      </c>
      <c r="E36" s="23">
        <f>IF(A36="","",SUMIF('HSN Register'!$C$5:$C$1004,A36,'HSN Register'!$I$5:$I$1004))</f>
        <v/>
      </c>
    </row>
    <row r="37">
      <c r="A37" s="11" t="n"/>
      <c r="B37" s="11" t="n"/>
      <c r="C37">
        <f>IF(A37="","",SUMIF('HSN Register'!$C$5:$C$1004,A37,'HSN Register'!$F$5:$F$1004))</f>
        <v/>
      </c>
      <c r="D37" s="23">
        <f>IF(A37="","",SUMIF('HSN Register'!$C$5:$C$1004,A37,'HSN Register'!$G$5:$G$1004))</f>
        <v/>
      </c>
      <c r="E37" s="23">
        <f>IF(A37="","",SUMIF('HSN Register'!$C$5:$C$1004,A37,'HSN Register'!$I$5:$I$1004))</f>
        <v/>
      </c>
    </row>
    <row r="38">
      <c r="A38" s="11" t="n"/>
      <c r="B38" s="11" t="n"/>
      <c r="C38">
        <f>IF(A38="","",SUMIF('HSN Register'!$C$5:$C$1004,A38,'HSN Register'!$F$5:$F$1004))</f>
        <v/>
      </c>
      <c r="D38" s="23">
        <f>IF(A38="","",SUMIF('HSN Register'!$C$5:$C$1004,A38,'HSN Register'!$G$5:$G$1004))</f>
        <v/>
      </c>
      <c r="E38" s="23">
        <f>IF(A38="","",SUMIF('HSN Register'!$C$5:$C$1004,A38,'HSN Register'!$I$5:$I$1004))</f>
        <v/>
      </c>
    </row>
    <row r="39">
      <c r="A39" s="11" t="n"/>
      <c r="B39" s="11" t="n"/>
      <c r="C39">
        <f>IF(A39="","",SUMIF('HSN Register'!$C$5:$C$1004,A39,'HSN Register'!$F$5:$F$1004))</f>
        <v/>
      </c>
      <c r="D39" s="23">
        <f>IF(A39="","",SUMIF('HSN Register'!$C$5:$C$1004,A39,'HSN Register'!$G$5:$G$1004))</f>
        <v/>
      </c>
      <c r="E39" s="23">
        <f>IF(A39="","",SUMIF('HSN Register'!$C$5:$C$1004,A39,'HSN Register'!$I$5:$I$1004))</f>
        <v/>
      </c>
    </row>
    <row r="40">
      <c r="A40" s="11" t="n"/>
      <c r="B40" s="11" t="n"/>
      <c r="C40">
        <f>IF(A40="","",SUMIF('HSN Register'!$C$5:$C$1004,A40,'HSN Register'!$F$5:$F$1004))</f>
        <v/>
      </c>
      <c r="D40" s="23">
        <f>IF(A40="","",SUMIF('HSN Register'!$C$5:$C$1004,A40,'HSN Register'!$G$5:$G$1004))</f>
        <v/>
      </c>
      <c r="E40" s="23">
        <f>IF(A40="","",SUMIF('HSN Register'!$C$5:$C$1004,A40,'HSN Register'!$I$5:$I$1004))</f>
        <v/>
      </c>
    </row>
    <row r="41">
      <c r="A41" s="11" t="n"/>
      <c r="B41" s="11" t="n"/>
      <c r="C41">
        <f>IF(A41="","",SUMIF('HSN Register'!$C$5:$C$1004,A41,'HSN Register'!$F$5:$F$1004))</f>
        <v/>
      </c>
      <c r="D41" s="23">
        <f>IF(A41="","",SUMIF('HSN Register'!$C$5:$C$1004,A41,'HSN Register'!$G$5:$G$1004))</f>
        <v/>
      </c>
      <c r="E41" s="23">
        <f>IF(A41="","",SUMIF('HSN Register'!$C$5:$C$1004,A41,'HSN Register'!$I$5:$I$1004))</f>
        <v/>
      </c>
    </row>
    <row r="42">
      <c r="A42" s="11" t="n"/>
      <c r="B42" s="11" t="n"/>
      <c r="C42">
        <f>IF(A42="","",SUMIF('HSN Register'!$C$5:$C$1004,A42,'HSN Register'!$F$5:$F$1004))</f>
        <v/>
      </c>
      <c r="D42" s="23">
        <f>IF(A42="","",SUMIF('HSN Register'!$C$5:$C$1004,A42,'HSN Register'!$G$5:$G$1004))</f>
        <v/>
      </c>
      <c r="E42" s="23">
        <f>IF(A42="","",SUMIF('HSN Register'!$C$5:$C$1004,A42,'HSN Register'!$I$5:$I$1004))</f>
        <v/>
      </c>
    </row>
    <row r="43">
      <c r="A43" s="11" t="n"/>
      <c r="B43" s="11" t="n"/>
      <c r="C43">
        <f>IF(A43="","",SUMIF('HSN Register'!$C$5:$C$1004,A43,'HSN Register'!$F$5:$F$1004))</f>
        <v/>
      </c>
      <c r="D43" s="23">
        <f>IF(A43="","",SUMIF('HSN Register'!$C$5:$C$1004,A43,'HSN Register'!$G$5:$G$1004))</f>
        <v/>
      </c>
      <c r="E43" s="23">
        <f>IF(A43="","",SUMIF('HSN Register'!$C$5:$C$1004,A43,'HSN Register'!$I$5:$I$1004))</f>
        <v/>
      </c>
    </row>
    <row r="44">
      <c r="A44" s="11" t="n"/>
      <c r="B44" s="11" t="n"/>
      <c r="C44">
        <f>IF(A44="","",SUMIF('HSN Register'!$C$5:$C$1004,A44,'HSN Register'!$F$5:$F$1004))</f>
        <v/>
      </c>
      <c r="D44" s="23">
        <f>IF(A44="","",SUMIF('HSN Register'!$C$5:$C$1004,A44,'HSN Register'!$G$5:$G$1004))</f>
        <v/>
      </c>
      <c r="E44" s="23">
        <f>IF(A44="","",SUMIF('HSN Register'!$C$5:$C$1004,A44,'HSN Register'!$I$5:$I$1004))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6" customWidth="1" min="11" max="11"/>
    <col width="26" customWidth="1" min="12" max="12"/>
  </cols>
  <sheetData>
    <row r="1">
      <c r="A1" s="8" t="inlineStr">
        <is>
          <t>Purchase Register (inward supplies)</t>
        </is>
      </c>
    </row>
    <row r="2">
      <c r="A2" s="9" t="inlineStr">
        <is>
          <t>One row per purchase bill. The last column checks the bill against your GSTR-2B data.</t>
        </is>
      </c>
    </row>
    <row r="4" ht="32" customHeight="1">
      <c r="A4" s="17" t="inlineStr">
        <is>
          <t>Date</t>
        </is>
      </c>
      <c r="B4" s="17" t="inlineStr">
        <is>
          <t>Supplier</t>
        </is>
      </c>
      <c r="C4" s="17" t="inlineStr">
        <is>
          <t>Supplier GSTIN</t>
        </is>
      </c>
      <c r="D4" s="17" t="inlineStr">
        <is>
          <t>Bill / Invoice No.</t>
        </is>
      </c>
      <c r="E4" s="17" t="inlineStr">
        <is>
          <t>Taxable value</t>
        </is>
      </c>
      <c r="F4" s="17" t="inlineStr">
        <is>
          <t>CGST</t>
        </is>
      </c>
      <c r="G4" s="17" t="inlineStr">
        <is>
          <t>SGST</t>
        </is>
      </c>
      <c r="H4" s="17" t="inlineStr">
        <is>
          <t>IGST</t>
        </is>
      </c>
      <c r="I4" s="17" t="inlineStr">
        <is>
          <t>Total</t>
        </is>
      </c>
      <c r="J4" s="17" t="inlineStr">
        <is>
          <t>ITC eligible? (Y/N)</t>
        </is>
      </c>
      <c r="K4" s="17" t="inlineStr">
        <is>
          <t>Match key</t>
        </is>
      </c>
      <c r="L4" s="17" t="inlineStr">
        <is>
          <t>Status vs GSTR-2B</t>
        </is>
      </c>
    </row>
    <row r="5">
      <c r="A5" s="14" t="n"/>
      <c r="B5" s="11" t="n"/>
      <c r="C5" s="11" t="n"/>
      <c r="D5" s="11" t="n"/>
      <c r="E5" s="18" t="n"/>
      <c r="F5" s="18" t="n"/>
      <c r="G5" s="18" t="n"/>
      <c r="H5" s="18" t="n"/>
      <c r="I5" s="23">
        <f>IF(E5="","",E5+F5+G5+H5)</f>
        <v/>
      </c>
      <c r="J5" s="11" t="n"/>
      <c r="K5">
        <f>IF(D5="","",UPPER(TRIM(C5))&amp;"|"&amp;UPPER(TRIM(D5)))</f>
        <v/>
      </c>
      <c r="L5">
        <f>IF(K5="","",IF(COUNTIF('GSTR-2B Data'!$J$5:$J$504,K5)=0,"Not in 2B — follow up",IF(ABS(SUMIF('GSTR-2B Data'!$J$5:$J$504,K5,'GSTR-2B Data'!$I$5:$I$504)-(F5+G5+H5))&gt;1,"Tax amount differs","Matched")))</f>
        <v/>
      </c>
    </row>
    <row r="6">
      <c r="A6" s="14" t="n"/>
      <c r="B6" s="11" t="n"/>
      <c r="C6" s="11" t="n"/>
      <c r="D6" s="11" t="n"/>
      <c r="E6" s="18" t="n"/>
      <c r="F6" s="18" t="n"/>
      <c r="G6" s="18" t="n"/>
      <c r="H6" s="18" t="n"/>
      <c r="I6" s="23">
        <f>IF(E6="","",E6+F6+G6+H6)</f>
        <v/>
      </c>
      <c r="J6" s="11" t="n"/>
      <c r="K6">
        <f>IF(D6="","",UPPER(TRIM(C6))&amp;"|"&amp;UPPER(TRIM(D6)))</f>
        <v/>
      </c>
      <c r="L6">
        <f>IF(K6="","",IF(COUNTIF('GSTR-2B Data'!$J$5:$J$504,K6)=0,"Not in 2B — follow up",IF(ABS(SUMIF('GSTR-2B Data'!$J$5:$J$504,K6,'GSTR-2B Data'!$I$5:$I$504)-(F6+G6+H6))&gt;1,"Tax amount differs","Matched")))</f>
        <v/>
      </c>
    </row>
    <row r="7">
      <c r="A7" s="14" t="n"/>
      <c r="B7" s="11" t="n"/>
      <c r="C7" s="11" t="n"/>
      <c r="D7" s="11" t="n"/>
      <c r="E7" s="18" t="n"/>
      <c r="F7" s="18" t="n"/>
      <c r="G7" s="18" t="n"/>
      <c r="H7" s="18" t="n"/>
      <c r="I7" s="23">
        <f>IF(E7="","",E7+F7+G7+H7)</f>
        <v/>
      </c>
      <c r="J7" s="11" t="n"/>
      <c r="K7">
        <f>IF(D7="","",UPPER(TRIM(C7))&amp;"|"&amp;UPPER(TRIM(D7)))</f>
        <v/>
      </c>
      <c r="L7">
        <f>IF(K7="","",IF(COUNTIF('GSTR-2B Data'!$J$5:$J$504,K7)=0,"Not in 2B — follow up",IF(ABS(SUMIF('GSTR-2B Data'!$J$5:$J$504,K7,'GSTR-2B Data'!$I$5:$I$504)-(F7+G7+H7))&gt;1,"Tax amount differs","Matched")))</f>
        <v/>
      </c>
    </row>
    <row r="8">
      <c r="A8" s="14" t="n"/>
      <c r="B8" s="11" t="n"/>
      <c r="C8" s="11" t="n"/>
      <c r="D8" s="11" t="n"/>
      <c r="E8" s="18" t="n"/>
      <c r="F8" s="18" t="n"/>
      <c r="G8" s="18" t="n"/>
      <c r="H8" s="18" t="n"/>
      <c r="I8" s="23">
        <f>IF(E8="","",E8+F8+G8+H8)</f>
        <v/>
      </c>
      <c r="J8" s="11" t="n"/>
      <c r="K8">
        <f>IF(D8="","",UPPER(TRIM(C8))&amp;"|"&amp;UPPER(TRIM(D8)))</f>
        <v/>
      </c>
      <c r="L8">
        <f>IF(K8="","",IF(COUNTIF('GSTR-2B Data'!$J$5:$J$504,K8)=0,"Not in 2B — follow up",IF(ABS(SUMIF('GSTR-2B Data'!$J$5:$J$504,K8,'GSTR-2B Data'!$I$5:$I$504)-(F8+G8+H8))&gt;1,"Tax amount differs","Matched")))</f>
        <v/>
      </c>
    </row>
    <row r="9">
      <c r="A9" s="14" t="n"/>
      <c r="B9" s="11" t="n"/>
      <c r="C9" s="11" t="n"/>
      <c r="D9" s="11" t="n"/>
      <c r="E9" s="18" t="n"/>
      <c r="F9" s="18" t="n"/>
      <c r="G9" s="18" t="n"/>
      <c r="H9" s="18" t="n"/>
      <c r="I9" s="23">
        <f>IF(E9="","",E9+F9+G9+H9)</f>
        <v/>
      </c>
      <c r="J9" s="11" t="n"/>
      <c r="K9">
        <f>IF(D9="","",UPPER(TRIM(C9))&amp;"|"&amp;UPPER(TRIM(D9)))</f>
        <v/>
      </c>
      <c r="L9">
        <f>IF(K9="","",IF(COUNTIF('GSTR-2B Data'!$J$5:$J$504,K9)=0,"Not in 2B — follow up",IF(ABS(SUMIF('GSTR-2B Data'!$J$5:$J$504,K9,'GSTR-2B Data'!$I$5:$I$504)-(F9+G9+H9))&gt;1,"Tax amount differs","Matched")))</f>
        <v/>
      </c>
    </row>
    <row r="10">
      <c r="A10" s="14" t="n"/>
      <c r="B10" s="11" t="n"/>
      <c r="C10" s="11" t="n"/>
      <c r="D10" s="11" t="n"/>
      <c r="E10" s="18" t="n"/>
      <c r="F10" s="18" t="n"/>
      <c r="G10" s="18" t="n"/>
      <c r="H10" s="18" t="n"/>
      <c r="I10" s="23">
        <f>IF(E10="","",E10+F10+G10+H10)</f>
        <v/>
      </c>
      <c r="J10" s="11" t="n"/>
      <c r="K10">
        <f>IF(D10="","",UPPER(TRIM(C10))&amp;"|"&amp;UPPER(TRIM(D10)))</f>
        <v/>
      </c>
      <c r="L10">
        <f>IF(K10="","",IF(COUNTIF('GSTR-2B Data'!$J$5:$J$504,K10)=0,"Not in 2B — follow up",IF(ABS(SUMIF('GSTR-2B Data'!$J$5:$J$504,K10,'GSTR-2B Data'!$I$5:$I$504)-(F10+G10+H10))&gt;1,"Tax amount differs","Matched")))</f>
        <v/>
      </c>
    </row>
    <row r="11">
      <c r="A11" s="14" t="n"/>
      <c r="B11" s="11" t="n"/>
      <c r="C11" s="11" t="n"/>
      <c r="D11" s="11" t="n"/>
      <c r="E11" s="18" t="n"/>
      <c r="F11" s="18" t="n"/>
      <c r="G11" s="18" t="n"/>
      <c r="H11" s="18" t="n"/>
      <c r="I11" s="23">
        <f>IF(E11="","",E11+F11+G11+H11)</f>
        <v/>
      </c>
      <c r="J11" s="11" t="n"/>
      <c r="K11">
        <f>IF(D11="","",UPPER(TRIM(C11))&amp;"|"&amp;UPPER(TRIM(D11)))</f>
        <v/>
      </c>
      <c r="L11">
        <f>IF(K11="","",IF(COUNTIF('GSTR-2B Data'!$J$5:$J$504,K11)=0,"Not in 2B — follow up",IF(ABS(SUMIF('GSTR-2B Data'!$J$5:$J$504,K11,'GSTR-2B Data'!$I$5:$I$504)-(F11+G11+H11))&gt;1,"Tax amount differs","Matched")))</f>
        <v/>
      </c>
    </row>
    <row r="12">
      <c r="A12" s="14" t="n"/>
      <c r="B12" s="11" t="n"/>
      <c r="C12" s="11" t="n"/>
      <c r="D12" s="11" t="n"/>
      <c r="E12" s="18" t="n"/>
      <c r="F12" s="18" t="n"/>
      <c r="G12" s="18" t="n"/>
      <c r="H12" s="18" t="n"/>
      <c r="I12" s="23">
        <f>IF(E12="","",E12+F12+G12+H12)</f>
        <v/>
      </c>
      <c r="J12" s="11" t="n"/>
      <c r="K12">
        <f>IF(D12="","",UPPER(TRIM(C12))&amp;"|"&amp;UPPER(TRIM(D12)))</f>
        <v/>
      </c>
      <c r="L12">
        <f>IF(K12="","",IF(COUNTIF('GSTR-2B Data'!$J$5:$J$504,K12)=0,"Not in 2B — follow up",IF(ABS(SUMIF('GSTR-2B Data'!$J$5:$J$504,K12,'GSTR-2B Data'!$I$5:$I$504)-(F12+G12+H12))&gt;1,"Tax amount differs","Matched")))</f>
        <v/>
      </c>
    </row>
    <row r="13">
      <c r="A13" s="14" t="n"/>
      <c r="B13" s="11" t="n"/>
      <c r="C13" s="11" t="n"/>
      <c r="D13" s="11" t="n"/>
      <c r="E13" s="18" t="n"/>
      <c r="F13" s="18" t="n"/>
      <c r="G13" s="18" t="n"/>
      <c r="H13" s="18" t="n"/>
      <c r="I13" s="23">
        <f>IF(E13="","",E13+F13+G13+H13)</f>
        <v/>
      </c>
      <c r="J13" s="11" t="n"/>
      <c r="K13">
        <f>IF(D13="","",UPPER(TRIM(C13))&amp;"|"&amp;UPPER(TRIM(D13)))</f>
        <v/>
      </c>
      <c r="L13">
        <f>IF(K13="","",IF(COUNTIF('GSTR-2B Data'!$J$5:$J$504,K13)=0,"Not in 2B — follow up",IF(ABS(SUMIF('GSTR-2B Data'!$J$5:$J$504,K13,'GSTR-2B Data'!$I$5:$I$504)-(F13+G13+H13))&gt;1,"Tax amount differs","Matched")))</f>
        <v/>
      </c>
    </row>
    <row r="14">
      <c r="A14" s="14" t="n"/>
      <c r="B14" s="11" t="n"/>
      <c r="C14" s="11" t="n"/>
      <c r="D14" s="11" t="n"/>
      <c r="E14" s="18" t="n"/>
      <c r="F14" s="18" t="n"/>
      <c r="G14" s="18" t="n"/>
      <c r="H14" s="18" t="n"/>
      <c r="I14" s="23">
        <f>IF(E14="","",E14+F14+G14+H14)</f>
        <v/>
      </c>
      <c r="J14" s="11" t="n"/>
      <c r="K14">
        <f>IF(D14="","",UPPER(TRIM(C14))&amp;"|"&amp;UPPER(TRIM(D14)))</f>
        <v/>
      </c>
      <c r="L14">
        <f>IF(K14="","",IF(COUNTIF('GSTR-2B Data'!$J$5:$J$504,K14)=0,"Not in 2B — follow up",IF(ABS(SUMIF('GSTR-2B Data'!$J$5:$J$504,K14,'GSTR-2B Data'!$I$5:$I$504)-(F14+G14+H14))&gt;1,"Tax amount differs","Matched")))</f>
        <v/>
      </c>
    </row>
    <row r="15">
      <c r="A15" s="14" t="n"/>
      <c r="B15" s="11" t="n"/>
      <c r="C15" s="11" t="n"/>
      <c r="D15" s="11" t="n"/>
      <c r="E15" s="18" t="n"/>
      <c r="F15" s="18" t="n"/>
      <c r="G15" s="18" t="n"/>
      <c r="H15" s="18" t="n"/>
      <c r="I15" s="23">
        <f>IF(E15="","",E15+F15+G15+H15)</f>
        <v/>
      </c>
      <c r="J15" s="11" t="n"/>
      <c r="K15">
        <f>IF(D15="","",UPPER(TRIM(C15))&amp;"|"&amp;UPPER(TRIM(D15)))</f>
        <v/>
      </c>
      <c r="L15">
        <f>IF(K15="","",IF(COUNTIF('GSTR-2B Data'!$J$5:$J$504,K15)=0,"Not in 2B — follow up",IF(ABS(SUMIF('GSTR-2B Data'!$J$5:$J$504,K15,'GSTR-2B Data'!$I$5:$I$504)-(F15+G15+H15))&gt;1,"Tax amount differs","Matched")))</f>
        <v/>
      </c>
    </row>
    <row r="16">
      <c r="A16" s="14" t="n"/>
      <c r="B16" s="11" t="n"/>
      <c r="C16" s="11" t="n"/>
      <c r="D16" s="11" t="n"/>
      <c r="E16" s="18" t="n"/>
      <c r="F16" s="18" t="n"/>
      <c r="G16" s="18" t="n"/>
      <c r="H16" s="18" t="n"/>
      <c r="I16" s="23">
        <f>IF(E16="","",E16+F16+G16+H16)</f>
        <v/>
      </c>
      <c r="J16" s="11" t="n"/>
      <c r="K16">
        <f>IF(D16="","",UPPER(TRIM(C16))&amp;"|"&amp;UPPER(TRIM(D16)))</f>
        <v/>
      </c>
      <c r="L16">
        <f>IF(K16="","",IF(COUNTIF('GSTR-2B Data'!$J$5:$J$504,K16)=0,"Not in 2B — follow up",IF(ABS(SUMIF('GSTR-2B Data'!$J$5:$J$504,K16,'GSTR-2B Data'!$I$5:$I$504)-(F16+G16+H16))&gt;1,"Tax amount differs","Matched")))</f>
        <v/>
      </c>
    </row>
    <row r="17">
      <c r="A17" s="14" t="n"/>
      <c r="B17" s="11" t="n"/>
      <c r="C17" s="11" t="n"/>
      <c r="D17" s="11" t="n"/>
      <c r="E17" s="18" t="n"/>
      <c r="F17" s="18" t="n"/>
      <c r="G17" s="18" t="n"/>
      <c r="H17" s="18" t="n"/>
      <c r="I17" s="23">
        <f>IF(E17="","",E17+F17+G17+H17)</f>
        <v/>
      </c>
      <c r="J17" s="11" t="n"/>
      <c r="K17">
        <f>IF(D17="","",UPPER(TRIM(C17))&amp;"|"&amp;UPPER(TRIM(D17)))</f>
        <v/>
      </c>
      <c r="L17">
        <f>IF(K17="","",IF(COUNTIF('GSTR-2B Data'!$J$5:$J$504,K17)=0,"Not in 2B — follow up",IF(ABS(SUMIF('GSTR-2B Data'!$J$5:$J$504,K17,'GSTR-2B Data'!$I$5:$I$504)-(F17+G17+H17))&gt;1,"Tax amount differs","Matched")))</f>
        <v/>
      </c>
    </row>
    <row r="18">
      <c r="A18" s="14" t="n"/>
      <c r="B18" s="11" t="n"/>
      <c r="C18" s="11" t="n"/>
      <c r="D18" s="11" t="n"/>
      <c r="E18" s="18" t="n"/>
      <c r="F18" s="18" t="n"/>
      <c r="G18" s="18" t="n"/>
      <c r="H18" s="18" t="n"/>
      <c r="I18" s="23">
        <f>IF(E18="","",E18+F18+G18+H18)</f>
        <v/>
      </c>
      <c r="J18" s="11" t="n"/>
      <c r="K18">
        <f>IF(D18="","",UPPER(TRIM(C18))&amp;"|"&amp;UPPER(TRIM(D18)))</f>
        <v/>
      </c>
      <c r="L18">
        <f>IF(K18="","",IF(COUNTIF('GSTR-2B Data'!$J$5:$J$504,K18)=0,"Not in 2B — follow up",IF(ABS(SUMIF('GSTR-2B Data'!$J$5:$J$504,K18,'GSTR-2B Data'!$I$5:$I$504)-(F18+G18+H18))&gt;1,"Tax amount differs","Matched")))</f>
        <v/>
      </c>
    </row>
    <row r="19">
      <c r="A19" s="14" t="n"/>
      <c r="B19" s="11" t="n"/>
      <c r="C19" s="11" t="n"/>
      <c r="D19" s="11" t="n"/>
      <c r="E19" s="18" t="n"/>
      <c r="F19" s="18" t="n"/>
      <c r="G19" s="18" t="n"/>
      <c r="H19" s="18" t="n"/>
      <c r="I19" s="23">
        <f>IF(E19="","",E19+F19+G19+H19)</f>
        <v/>
      </c>
      <c r="J19" s="11" t="n"/>
      <c r="K19">
        <f>IF(D19="","",UPPER(TRIM(C19))&amp;"|"&amp;UPPER(TRIM(D19)))</f>
        <v/>
      </c>
      <c r="L19">
        <f>IF(K19="","",IF(COUNTIF('GSTR-2B Data'!$J$5:$J$504,K19)=0,"Not in 2B — follow up",IF(ABS(SUMIF('GSTR-2B Data'!$J$5:$J$504,K19,'GSTR-2B Data'!$I$5:$I$504)-(F19+G19+H19))&gt;1,"Tax amount differs","Matched")))</f>
        <v/>
      </c>
    </row>
    <row r="20">
      <c r="A20" s="14" t="n"/>
      <c r="B20" s="11" t="n"/>
      <c r="C20" s="11" t="n"/>
      <c r="D20" s="11" t="n"/>
      <c r="E20" s="18" t="n"/>
      <c r="F20" s="18" t="n"/>
      <c r="G20" s="18" t="n"/>
      <c r="H20" s="18" t="n"/>
      <c r="I20" s="23">
        <f>IF(E20="","",E20+F20+G20+H20)</f>
        <v/>
      </c>
      <c r="J20" s="11" t="n"/>
      <c r="K20">
        <f>IF(D20="","",UPPER(TRIM(C20))&amp;"|"&amp;UPPER(TRIM(D20)))</f>
        <v/>
      </c>
      <c r="L20">
        <f>IF(K20="","",IF(COUNTIF('GSTR-2B Data'!$J$5:$J$504,K20)=0,"Not in 2B — follow up",IF(ABS(SUMIF('GSTR-2B Data'!$J$5:$J$504,K20,'GSTR-2B Data'!$I$5:$I$504)-(F20+G20+H20))&gt;1,"Tax amount differs","Matched")))</f>
        <v/>
      </c>
    </row>
    <row r="21">
      <c r="A21" s="14" t="n"/>
      <c r="B21" s="11" t="n"/>
      <c r="C21" s="11" t="n"/>
      <c r="D21" s="11" t="n"/>
      <c r="E21" s="18" t="n"/>
      <c r="F21" s="18" t="n"/>
      <c r="G21" s="18" t="n"/>
      <c r="H21" s="18" t="n"/>
      <c r="I21" s="23">
        <f>IF(E21="","",E21+F21+G21+H21)</f>
        <v/>
      </c>
      <c r="J21" s="11" t="n"/>
      <c r="K21">
        <f>IF(D21="","",UPPER(TRIM(C21))&amp;"|"&amp;UPPER(TRIM(D21)))</f>
        <v/>
      </c>
      <c r="L21">
        <f>IF(K21="","",IF(COUNTIF('GSTR-2B Data'!$J$5:$J$504,K21)=0,"Not in 2B — follow up",IF(ABS(SUMIF('GSTR-2B Data'!$J$5:$J$504,K21,'GSTR-2B Data'!$I$5:$I$504)-(F21+G21+H21))&gt;1,"Tax amount differs","Matched")))</f>
        <v/>
      </c>
    </row>
    <row r="22">
      <c r="A22" s="14" t="n"/>
      <c r="B22" s="11" t="n"/>
      <c r="C22" s="11" t="n"/>
      <c r="D22" s="11" t="n"/>
      <c r="E22" s="18" t="n"/>
      <c r="F22" s="18" t="n"/>
      <c r="G22" s="18" t="n"/>
      <c r="H22" s="18" t="n"/>
      <c r="I22" s="23">
        <f>IF(E22="","",E22+F22+G22+H22)</f>
        <v/>
      </c>
      <c r="J22" s="11" t="n"/>
      <c r="K22">
        <f>IF(D22="","",UPPER(TRIM(C22))&amp;"|"&amp;UPPER(TRIM(D22)))</f>
        <v/>
      </c>
      <c r="L22">
        <f>IF(K22="","",IF(COUNTIF('GSTR-2B Data'!$J$5:$J$504,K22)=0,"Not in 2B — follow up",IF(ABS(SUMIF('GSTR-2B Data'!$J$5:$J$504,K22,'GSTR-2B Data'!$I$5:$I$504)-(F22+G22+H22))&gt;1,"Tax amount differs","Matched")))</f>
        <v/>
      </c>
    </row>
    <row r="23">
      <c r="A23" s="14" t="n"/>
      <c r="B23" s="11" t="n"/>
      <c r="C23" s="11" t="n"/>
      <c r="D23" s="11" t="n"/>
      <c r="E23" s="18" t="n"/>
      <c r="F23" s="18" t="n"/>
      <c r="G23" s="18" t="n"/>
      <c r="H23" s="18" t="n"/>
      <c r="I23" s="23">
        <f>IF(E23="","",E23+F23+G23+H23)</f>
        <v/>
      </c>
      <c r="J23" s="11" t="n"/>
      <c r="K23">
        <f>IF(D23="","",UPPER(TRIM(C23))&amp;"|"&amp;UPPER(TRIM(D23)))</f>
        <v/>
      </c>
      <c r="L23">
        <f>IF(K23="","",IF(COUNTIF('GSTR-2B Data'!$J$5:$J$504,K23)=0,"Not in 2B — follow up",IF(ABS(SUMIF('GSTR-2B Data'!$J$5:$J$504,K23,'GSTR-2B Data'!$I$5:$I$504)-(F23+G23+H23))&gt;1,"Tax amount differs","Matched")))</f>
        <v/>
      </c>
    </row>
    <row r="24">
      <c r="A24" s="14" t="n"/>
      <c r="B24" s="11" t="n"/>
      <c r="C24" s="11" t="n"/>
      <c r="D24" s="11" t="n"/>
      <c r="E24" s="18" t="n"/>
      <c r="F24" s="18" t="n"/>
      <c r="G24" s="18" t="n"/>
      <c r="H24" s="18" t="n"/>
      <c r="I24" s="23">
        <f>IF(E24="","",E24+F24+G24+H24)</f>
        <v/>
      </c>
      <c r="J24" s="11" t="n"/>
      <c r="K24">
        <f>IF(D24="","",UPPER(TRIM(C24))&amp;"|"&amp;UPPER(TRIM(D24)))</f>
        <v/>
      </c>
      <c r="L24">
        <f>IF(K24="","",IF(COUNTIF('GSTR-2B Data'!$J$5:$J$504,K24)=0,"Not in 2B — follow up",IF(ABS(SUMIF('GSTR-2B Data'!$J$5:$J$504,K24,'GSTR-2B Data'!$I$5:$I$504)-(F24+G24+H24))&gt;1,"Tax amount differs","Matched")))</f>
        <v/>
      </c>
    </row>
    <row r="25">
      <c r="A25" s="14" t="n"/>
      <c r="B25" s="11" t="n"/>
      <c r="C25" s="11" t="n"/>
      <c r="D25" s="11" t="n"/>
      <c r="E25" s="18" t="n"/>
      <c r="F25" s="18" t="n"/>
      <c r="G25" s="18" t="n"/>
      <c r="H25" s="18" t="n"/>
      <c r="I25" s="23">
        <f>IF(E25="","",E25+F25+G25+H25)</f>
        <v/>
      </c>
      <c r="J25" s="11" t="n"/>
      <c r="K25">
        <f>IF(D25="","",UPPER(TRIM(C25))&amp;"|"&amp;UPPER(TRIM(D25)))</f>
        <v/>
      </c>
      <c r="L25">
        <f>IF(K25="","",IF(COUNTIF('GSTR-2B Data'!$J$5:$J$504,K25)=0,"Not in 2B — follow up",IF(ABS(SUMIF('GSTR-2B Data'!$J$5:$J$504,K25,'GSTR-2B Data'!$I$5:$I$504)-(F25+G25+H25))&gt;1,"Tax amount differs","Matched")))</f>
        <v/>
      </c>
    </row>
    <row r="26">
      <c r="A26" s="14" t="n"/>
      <c r="B26" s="11" t="n"/>
      <c r="C26" s="11" t="n"/>
      <c r="D26" s="11" t="n"/>
      <c r="E26" s="18" t="n"/>
      <c r="F26" s="18" t="n"/>
      <c r="G26" s="18" t="n"/>
      <c r="H26" s="18" t="n"/>
      <c r="I26" s="23">
        <f>IF(E26="","",E26+F26+G26+H26)</f>
        <v/>
      </c>
      <c r="J26" s="11" t="n"/>
      <c r="K26">
        <f>IF(D26="","",UPPER(TRIM(C26))&amp;"|"&amp;UPPER(TRIM(D26)))</f>
        <v/>
      </c>
      <c r="L26">
        <f>IF(K26="","",IF(COUNTIF('GSTR-2B Data'!$J$5:$J$504,K26)=0,"Not in 2B — follow up",IF(ABS(SUMIF('GSTR-2B Data'!$J$5:$J$504,K26,'GSTR-2B Data'!$I$5:$I$504)-(F26+G26+H26))&gt;1,"Tax amount differs","Matched")))</f>
        <v/>
      </c>
    </row>
    <row r="27">
      <c r="A27" s="14" t="n"/>
      <c r="B27" s="11" t="n"/>
      <c r="C27" s="11" t="n"/>
      <c r="D27" s="11" t="n"/>
      <c r="E27" s="18" t="n"/>
      <c r="F27" s="18" t="n"/>
      <c r="G27" s="18" t="n"/>
      <c r="H27" s="18" t="n"/>
      <c r="I27" s="23">
        <f>IF(E27="","",E27+F27+G27+H27)</f>
        <v/>
      </c>
      <c r="J27" s="11" t="n"/>
      <c r="K27">
        <f>IF(D27="","",UPPER(TRIM(C27))&amp;"|"&amp;UPPER(TRIM(D27)))</f>
        <v/>
      </c>
      <c r="L27">
        <f>IF(K27="","",IF(COUNTIF('GSTR-2B Data'!$J$5:$J$504,K27)=0,"Not in 2B — follow up",IF(ABS(SUMIF('GSTR-2B Data'!$J$5:$J$504,K27,'GSTR-2B Data'!$I$5:$I$504)-(F27+G27+H27))&gt;1,"Tax amount differs","Matched")))</f>
        <v/>
      </c>
    </row>
    <row r="28">
      <c r="A28" s="14" t="n"/>
      <c r="B28" s="11" t="n"/>
      <c r="C28" s="11" t="n"/>
      <c r="D28" s="11" t="n"/>
      <c r="E28" s="18" t="n"/>
      <c r="F28" s="18" t="n"/>
      <c r="G28" s="18" t="n"/>
      <c r="H28" s="18" t="n"/>
      <c r="I28" s="23">
        <f>IF(E28="","",E28+F28+G28+H28)</f>
        <v/>
      </c>
      <c r="J28" s="11" t="n"/>
      <c r="K28">
        <f>IF(D28="","",UPPER(TRIM(C28))&amp;"|"&amp;UPPER(TRIM(D28)))</f>
        <v/>
      </c>
      <c r="L28">
        <f>IF(K28="","",IF(COUNTIF('GSTR-2B Data'!$J$5:$J$504,K28)=0,"Not in 2B — follow up",IF(ABS(SUMIF('GSTR-2B Data'!$J$5:$J$504,K28,'GSTR-2B Data'!$I$5:$I$504)-(F28+G28+H28))&gt;1,"Tax amount differs","Matched")))</f>
        <v/>
      </c>
    </row>
    <row r="29">
      <c r="A29" s="14" t="n"/>
      <c r="B29" s="11" t="n"/>
      <c r="C29" s="11" t="n"/>
      <c r="D29" s="11" t="n"/>
      <c r="E29" s="18" t="n"/>
      <c r="F29" s="18" t="n"/>
      <c r="G29" s="18" t="n"/>
      <c r="H29" s="18" t="n"/>
      <c r="I29" s="23">
        <f>IF(E29="","",E29+F29+G29+H29)</f>
        <v/>
      </c>
      <c r="J29" s="11" t="n"/>
      <c r="K29">
        <f>IF(D29="","",UPPER(TRIM(C29))&amp;"|"&amp;UPPER(TRIM(D29)))</f>
        <v/>
      </c>
      <c r="L29">
        <f>IF(K29="","",IF(COUNTIF('GSTR-2B Data'!$J$5:$J$504,K29)=0,"Not in 2B — follow up",IF(ABS(SUMIF('GSTR-2B Data'!$J$5:$J$504,K29,'GSTR-2B Data'!$I$5:$I$504)-(F29+G29+H29))&gt;1,"Tax amount differs","Matched")))</f>
        <v/>
      </c>
    </row>
    <row r="30">
      <c r="A30" s="14" t="n"/>
      <c r="B30" s="11" t="n"/>
      <c r="C30" s="11" t="n"/>
      <c r="D30" s="11" t="n"/>
      <c r="E30" s="18" t="n"/>
      <c r="F30" s="18" t="n"/>
      <c r="G30" s="18" t="n"/>
      <c r="H30" s="18" t="n"/>
      <c r="I30" s="23">
        <f>IF(E30="","",E30+F30+G30+H30)</f>
        <v/>
      </c>
      <c r="J30" s="11" t="n"/>
      <c r="K30">
        <f>IF(D30="","",UPPER(TRIM(C30))&amp;"|"&amp;UPPER(TRIM(D30)))</f>
        <v/>
      </c>
      <c r="L30">
        <f>IF(K30="","",IF(COUNTIF('GSTR-2B Data'!$J$5:$J$504,K30)=0,"Not in 2B — follow up",IF(ABS(SUMIF('GSTR-2B Data'!$J$5:$J$504,K30,'GSTR-2B Data'!$I$5:$I$504)-(F30+G30+H30))&gt;1,"Tax amount differs","Matched")))</f>
        <v/>
      </c>
    </row>
    <row r="31">
      <c r="A31" s="14" t="n"/>
      <c r="B31" s="11" t="n"/>
      <c r="C31" s="11" t="n"/>
      <c r="D31" s="11" t="n"/>
      <c r="E31" s="18" t="n"/>
      <c r="F31" s="18" t="n"/>
      <c r="G31" s="18" t="n"/>
      <c r="H31" s="18" t="n"/>
      <c r="I31" s="23">
        <f>IF(E31="","",E31+F31+G31+H31)</f>
        <v/>
      </c>
      <c r="J31" s="11" t="n"/>
      <c r="K31">
        <f>IF(D31="","",UPPER(TRIM(C31))&amp;"|"&amp;UPPER(TRIM(D31)))</f>
        <v/>
      </c>
      <c r="L31">
        <f>IF(K31="","",IF(COUNTIF('GSTR-2B Data'!$J$5:$J$504,K31)=0,"Not in 2B — follow up",IF(ABS(SUMIF('GSTR-2B Data'!$J$5:$J$504,K31,'GSTR-2B Data'!$I$5:$I$504)-(F31+G31+H31))&gt;1,"Tax amount differs","Matched")))</f>
        <v/>
      </c>
    </row>
    <row r="32">
      <c r="A32" s="14" t="n"/>
      <c r="B32" s="11" t="n"/>
      <c r="C32" s="11" t="n"/>
      <c r="D32" s="11" t="n"/>
      <c r="E32" s="18" t="n"/>
      <c r="F32" s="18" t="n"/>
      <c r="G32" s="18" t="n"/>
      <c r="H32" s="18" t="n"/>
      <c r="I32" s="23">
        <f>IF(E32="","",E32+F32+G32+H32)</f>
        <v/>
      </c>
      <c r="J32" s="11" t="n"/>
      <c r="K32">
        <f>IF(D32="","",UPPER(TRIM(C32))&amp;"|"&amp;UPPER(TRIM(D32)))</f>
        <v/>
      </c>
      <c r="L32">
        <f>IF(K32="","",IF(COUNTIF('GSTR-2B Data'!$J$5:$J$504,K32)=0,"Not in 2B — follow up",IF(ABS(SUMIF('GSTR-2B Data'!$J$5:$J$504,K32,'GSTR-2B Data'!$I$5:$I$504)-(F32+G32+H32))&gt;1,"Tax amount differs","Matched")))</f>
        <v/>
      </c>
    </row>
    <row r="33">
      <c r="A33" s="14" t="n"/>
      <c r="B33" s="11" t="n"/>
      <c r="C33" s="11" t="n"/>
      <c r="D33" s="11" t="n"/>
      <c r="E33" s="18" t="n"/>
      <c r="F33" s="18" t="n"/>
      <c r="G33" s="18" t="n"/>
      <c r="H33" s="18" t="n"/>
      <c r="I33" s="23">
        <f>IF(E33="","",E33+F33+G33+H33)</f>
        <v/>
      </c>
      <c r="J33" s="11" t="n"/>
      <c r="K33">
        <f>IF(D33="","",UPPER(TRIM(C33))&amp;"|"&amp;UPPER(TRIM(D33)))</f>
        <v/>
      </c>
      <c r="L33">
        <f>IF(K33="","",IF(COUNTIF('GSTR-2B Data'!$J$5:$J$504,K33)=0,"Not in 2B — follow up",IF(ABS(SUMIF('GSTR-2B Data'!$J$5:$J$504,K33,'GSTR-2B Data'!$I$5:$I$504)-(F33+G33+H33))&gt;1,"Tax amount differs","Matched")))</f>
        <v/>
      </c>
    </row>
    <row r="34">
      <c r="A34" s="14" t="n"/>
      <c r="B34" s="11" t="n"/>
      <c r="C34" s="11" t="n"/>
      <c r="D34" s="11" t="n"/>
      <c r="E34" s="18" t="n"/>
      <c r="F34" s="18" t="n"/>
      <c r="G34" s="18" t="n"/>
      <c r="H34" s="18" t="n"/>
      <c r="I34" s="23">
        <f>IF(E34="","",E34+F34+G34+H34)</f>
        <v/>
      </c>
      <c r="J34" s="11" t="n"/>
      <c r="K34">
        <f>IF(D34="","",UPPER(TRIM(C34))&amp;"|"&amp;UPPER(TRIM(D34)))</f>
        <v/>
      </c>
      <c r="L34">
        <f>IF(K34="","",IF(COUNTIF('GSTR-2B Data'!$J$5:$J$504,K34)=0,"Not in 2B — follow up",IF(ABS(SUMIF('GSTR-2B Data'!$J$5:$J$504,K34,'GSTR-2B Data'!$I$5:$I$504)-(F34+G34+H34))&gt;1,"Tax amount differs","Matched")))</f>
        <v/>
      </c>
    </row>
    <row r="35">
      <c r="A35" s="14" t="n"/>
      <c r="B35" s="11" t="n"/>
      <c r="C35" s="11" t="n"/>
      <c r="D35" s="11" t="n"/>
      <c r="E35" s="18" t="n"/>
      <c r="F35" s="18" t="n"/>
      <c r="G35" s="18" t="n"/>
      <c r="H35" s="18" t="n"/>
      <c r="I35" s="23">
        <f>IF(E35="","",E35+F35+G35+H35)</f>
        <v/>
      </c>
      <c r="J35" s="11" t="n"/>
      <c r="K35">
        <f>IF(D35="","",UPPER(TRIM(C35))&amp;"|"&amp;UPPER(TRIM(D35)))</f>
        <v/>
      </c>
      <c r="L35">
        <f>IF(K35="","",IF(COUNTIF('GSTR-2B Data'!$J$5:$J$504,K35)=0,"Not in 2B — follow up",IF(ABS(SUMIF('GSTR-2B Data'!$J$5:$J$504,K35,'GSTR-2B Data'!$I$5:$I$504)-(F35+G35+H35))&gt;1,"Tax amount differs","Matched")))</f>
        <v/>
      </c>
    </row>
    <row r="36">
      <c r="A36" s="14" t="n"/>
      <c r="B36" s="11" t="n"/>
      <c r="C36" s="11" t="n"/>
      <c r="D36" s="11" t="n"/>
      <c r="E36" s="18" t="n"/>
      <c r="F36" s="18" t="n"/>
      <c r="G36" s="18" t="n"/>
      <c r="H36" s="18" t="n"/>
      <c r="I36" s="23">
        <f>IF(E36="","",E36+F36+G36+H36)</f>
        <v/>
      </c>
      <c r="J36" s="11" t="n"/>
      <c r="K36">
        <f>IF(D36="","",UPPER(TRIM(C36))&amp;"|"&amp;UPPER(TRIM(D36)))</f>
        <v/>
      </c>
      <c r="L36">
        <f>IF(K36="","",IF(COUNTIF('GSTR-2B Data'!$J$5:$J$504,K36)=0,"Not in 2B — follow up",IF(ABS(SUMIF('GSTR-2B Data'!$J$5:$J$504,K36,'GSTR-2B Data'!$I$5:$I$504)-(F36+G36+H36))&gt;1,"Tax amount differs","Matched")))</f>
        <v/>
      </c>
    </row>
    <row r="37">
      <c r="A37" s="14" t="n"/>
      <c r="B37" s="11" t="n"/>
      <c r="C37" s="11" t="n"/>
      <c r="D37" s="11" t="n"/>
      <c r="E37" s="18" t="n"/>
      <c r="F37" s="18" t="n"/>
      <c r="G37" s="18" t="n"/>
      <c r="H37" s="18" t="n"/>
      <c r="I37" s="23">
        <f>IF(E37="","",E37+F37+G37+H37)</f>
        <v/>
      </c>
      <c r="J37" s="11" t="n"/>
      <c r="K37">
        <f>IF(D37="","",UPPER(TRIM(C37))&amp;"|"&amp;UPPER(TRIM(D37)))</f>
        <v/>
      </c>
      <c r="L37">
        <f>IF(K37="","",IF(COUNTIF('GSTR-2B Data'!$J$5:$J$504,K37)=0,"Not in 2B — follow up",IF(ABS(SUMIF('GSTR-2B Data'!$J$5:$J$504,K37,'GSTR-2B Data'!$I$5:$I$504)-(F37+G37+H37))&gt;1,"Tax amount differs","Matched")))</f>
        <v/>
      </c>
    </row>
    <row r="38">
      <c r="A38" s="14" t="n"/>
      <c r="B38" s="11" t="n"/>
      <c r="C38" s="11" t="n"/>
      <c r="D38" s="11" t="n"/>
      <c r="E38" s="18" t="n"/>
      <c r="F38" s="18" t="n"/>
      <c r="G38" s="18" t="n"/>
      <c r="H38" s="18" t="n"/>
      <c r="I38" s="23">
        <f>IF(E38="","",E38+F38+G38+H38)</f>
        <v/>
      </c>
      <c r="J38" s="11" t="n"/>
      <c r="K38">
        <f>IF(D38="","",UPPER(TRIM(C38))&amp;"|"&amp;UPPER(TRIM(D38)))</f>
        <v/>
      </c>
      <c r="L38">
        <f>IF(K38="","",IF(COUNTIF('GSTR-2B Data'!$J$5:$J$504,K38)=0,"Not in 2B — follow up",IF(ABS(SUMIF('GSTR-2B Data'!$J$5:$J$504,K38,'GSTR-2B Data'!$I$5:$I$504)-(F38+G38+H38))&gt;1,"Tax amount differs","Matched")))</f>
        <v/>
      </c>
    </row>
    <row r="39">
      <c r="A39" s="14" t="n"/>
      <c r="B39" s="11" t="n"/>
      <c r="C39" s="11" t="n"/>
      <c r="D39" s="11" t="n"/>
      <c r="E39" s="18" t="n"/>
      <c r="F39" s="18" t="n"/>
      <c r="G39" s="18" t="n"/>
      <c r="H39" s="18" t="n"/>
      <c r="I39" s="23">
        <f>IF(E39="","",E39+F39+G39+H39)</f>
        <v/>
      </c>
      <c r="J39" s="11" t="n"/>
      <c r="K39">
        <f>IF(D39="","",UPPER(TRIM(C39))&amp;"|"&amp;UPPER(TRIM(D39)))</f>
        <v/>
      </c>
      <c r="L39">
        <f>IF(K39="","",IF(COUNTIF('GSTR-2B Data'!$J$5:$J$504,K39)=0,"Not in 2B — follow up",IF(ABS(SUMIF('GSTR-2B Data'!$J$5:$J$504,K39,'GSTR-2B Data'!$I$5:$I$504)-(F39+G39+H39))&gt;1,"Tax amount differs","Matched")))</f>
        <v/>
      </c>
    </row>
    <row r="40">
      <c r="A40" s="14" t="n"/>
      <c r="B40" s="11" t="n"/>
      <c r="C40" s="11" t="n"/>
      <c r="D40" s="11" t="n"/>
      <c r="E40" s="18" t="n"/>
      <c r="F40" s="18" t="n"/>
      <c r="G40" s="18" t="n"/>
      <c r="H40" s="18" t="n"/>
      <c r="I40" s="23">
        <f>IF(E40="","",E40+F40+G40+H40)</f>
        <v/>
      </c>
      <c r="J40" s="11" t="n"/>
      <c r="K40">
        <f>IF(D40="","",UPPER(TRIM(C40))&amp;"|"&amp;UPPER(TRIM(D40)))</f>
        <v/>
      </c>
      <c r="L40">
        <f>IF(K40="","",IF(COUNTIF('GSTR-2B Data'!$J$5:$J$504,K40)=0,"Not in 2B — follow up",IF(ABS(SUMIF('GSTR-2B Data'!$J$5:$J$504,K40,'GSTR-2B Data'!$I$5:$I$504)-(F40+G40+H40))&gt;1,"Tax amount differs","Matched")))</f>
        <v/>
      </c>
    </row>
    <row r="41">
      <c r="A41" s="14" t="n"/>
      <c r="B41" s="11" t="n"/>
      <c r="C41" s="11" t="n"/>
      <c r="D41" s="11" t="n"/>
      <c r="E41" s="18" t="n"/>
      <c r="F41" s="18" t="n"/>
      <c r="G41" s="18" t="n"/>
      <c r="H41" s="18" t="n"/>
      <c r="I41" s="23">
        <f>IF(E41="","",E41+F41+G41+H41)</f>
        <v/>
      </c>
      <c r="J41" s="11" t="n"/>
      <c r="K41">
        <f>IF(D41="","",UPPER(TRIM(C41))&amp;"|"&amp;UPPER(TRIM(D41)))</f>
        <v/>
      </c>
      <c r="L41">
        <f>IF(K41="","",IF(COUNTIF('GSTR-2B Data'!$J$5:$J$504,K41)=0,"Not in 2B — follow up",IF(ABS(SUMIF('GSTR-2B Data'!$J$5:$J$504,K41,'GSTR-2B Data'!$I$5:$I$504)-(F41+G41+H41))&gt;1,"Tax amount differs","Matched")))</f>
        <v/>
      </c>
    </row>
    <row r="42">
      <c r="A42" s="14" t="n"/>
      <c r="B42" s="11" t="n"/>
      <c r="C42" s="11" t="n"/>
      <c r="D42" s="11" t="n"/>
      <c r="E42" s="18" t="n"/>
      <c r="F42" s="18" t="n"/>
      <c r="G42" s="18" t="n"/>
      <c r="H42" s="18" t="n"/>
      <c r="I42" s="23">
        <f>IF(E42="","",E42+F42+G42+H42)</f>
        <v/>
      </c>
      <c r="J42" s="11" t="n"/>
      <c r="K42">
        <f>IF(D42="","",UPPER(TRIM(C42))&amp;"|"&amp;UPPER(TRIM(D42)))</f>
        <v/>
      </c>
      <c r="L42">
        <f>IF(K42="","",IF(COUNTIF('GSTR-2B Data'!$J$5:$J$504,K42)=0,"Not in 2B — follow up",IF(ABS(SUMIF('GSTR-2B Data'!$J$5:$J$504,K42,'GSTR-2B Data'!$I$5:$I$504)-(F42+G42+H42))&gt;1,"Tax amount differs","Matched")))</f>
        <v/>
      </c>
    </row>
    <row r="43">
      <c r="A43" s="14" t="n"/>
      <c r="B43" s="11" t="n"/>
      <c r="C43" s="11" t="n"/>
      <c r="D43" s="11" t="n"/>
      <c r="E43" s="18" t="n"/>
      <c r="F43" s="18" t="n"/>
      <c r="G43" s="18" t="n"/>
      <c r="H43" s="18" t="n"/>
      <c r="I43" s="23">
        <f>IF(E43="","",E43+F43+G43+H43)</f>
        <v/>
      </c>
      <c r="J43" s="11" t="n"/>
      <c r="K43">
        <f>IF(D43="","",UPPER(TRIM(C43))&amp;"|"&amp;UPPER(TRIM(D43)))</f>
        <v/>
      </c>
      <c r="L43">
        <f>IF(K43="","",IF(COUNTIF('GSTR-2B Data'!$J$5:$J$504,K43)=0,"Not in 2B — follow up",IF(ABS(SUMIF('GSTR-2B Data'!$J$5:$J$504,K43,'GSTR-2B Data'!$I$5:$I$504)-(F43+G43+H43))&gt;1,"Tax amount differs","Matched")))</f>
        <v/>
      </c>
    </row>
    <row r="44">
      <c r="A44" s="14" t="n"/>
      <c r="B44" s="11" t="n"/>
      <c r="C44" s="11" t="n"/>
      <c r="D44" s="11" t="n"/>
      <c r="E44" s="18" t="n"/>
      <c r="F44" s="18" t="n"/>
      <c r="G44" s="18" t="n"/>
      <c r="H44" s="18" t="n"/>
      <c r="I44" s="23">
        <f>IF(E44="","",E44+F44+G44+H44)</f>
        <v/>
      </c>
      <c r="J44" s="11" t="n"/>
      <c r="K44">
        <f>IF(D44="","",UPPER(TRIM(C44))&amp;"|"&amp;UPPER(TRIM(D44)))</f>
        <v/>
      </c>
      <c r="L44">
        <f>IF(K44="","",IF(COUNTIF('GSTR-2B Data'!$J$5:$J$504,K44)=0,"Not in 2B — follow up",IF(ABS(SUMIF('GSTR-2B Data'!$J$5:$J$504,K44,'GSTR-2B Data'!$I$5:$I$504)-(F44+G44+H44))&gt;1,"Tax amount differs","Matched")))</f>
        <v/>
      </c>
    </row>
    <row r="45">
      <c r="A45" s="14" t="n"/>
      <c r="B45" s="11" t="n"/>
      <c r="C45" s="11" t="n"/>
      <c r="D45" s="11" t="n"/>
      <c r="E45" s="18" t="n"/>
      <c r="F45" s="18" t="n"/>
      <c r="G45" s="18" t="n"/>
      <c r="H45" s="18" t="n"/>
      <c r="I45" s="23">
        <f>IF(E45="","",E45+F45+G45+H45)</f>
        <v/>
      </c>
      <c r="J45" s="11" t="n"/>
      <c r="K45">
        <f>IF(D45="","",UPPER(TRIM(C45))&amp;"|"&amp;UPPER(TRIM(D45)))</f>
        <v/>
      </c>
      <c r="L45">
        <f>IF(K45="","",IF(COUNTIF('GSTR-2B Data'!$J$5:$J$504,K45)=0,"Not in 2B — follow up",IF(ABS(SUMIF('GSTR-2B Data'!$J$5:$J$504,K45,'GSTR-2B Data'!$I$5:$I$504)-(F45+G45+H45))&gt;1,"Tax amount differs","Matched")))</f>
        <v/>
      </c>
    </row>
    <row r="46">
      <c r="A46" s="14" t="n"/>
      <c r="B46" s="11" t="n"/>
      <c r="C46" s="11" t="n"/>
      <c r="D46" s="11" t="n"/>
      <c r="E46" s="18" t="n"/>
      <c r="F46" s="18" t="n"/>
      <c r="G46" s="18" t="n"/>
      <c r="H46" s="18" t="n"/>
      <c r="I46" s="23">
        <f>IF(E46="","",E46+F46+G46+H46)</f>
        <v/>
      </c>
      <c r="J46" s="11" t="n"/>
      <c r="K46">
        <f>IF(D46="","",UPPER(TRIM(C46))&amp;"|"&amp;UPPER(TRIM(D46)))</f>
        <v/>
      </c>
      <c r="L46">
        <f>IF(K46="","",IF(COUNTIF('GSTR-2B Data'!$J$5:$J$504,K46)=0,"Not in 2B — follow up",IF(ABS(SUMIF('GSTR-2B Data'!$J$5:$J$504,K46,'GSTR-2B Data'!$I$5:$I$504)-(F46+G46+H46))&gt;1,"Tax amount differs","Matched")))</f>
        <v/>
      </c>
    </row>
    <row r="47">
      <c r="A47" s="14" t="n"/>
      <c r="B47" s="11" t="n"/>
      <c r="C47" s="11" t="n"/>
      <c r="D47" s="11" t="n"/>
      <c r="E47" s="18" t="n"/>
      <c r="F47" s="18" t="n"/>
      <c r="G47" s="18" t="n"/>
      <c r="H47" s="18" t="n"/>
      <c r="I47" s="23">
        <f>IF(E47="","",E47+F47+G47+H47)</f>
        <v/>
      </c>
      <c r="J47" s="11" t="n"/>
      <c r="K47">
        <f>IF(D47="","",UPPER(TRIM(C47))&amp;"|"&amp;UPPER(TRIM(D47)))</f>
        <v/>
      </c>
      <c r="L47">
        <f>IF(K47="","",IF(COUNTIF('GSTR-2B Data'!$J$5:$J$504,K47)=0,"Not in 2B — follow up",IF(ABS(SUMIF('GSTR-2B Data'!$J$5:$J$504,K47,'GSTR-2B Data'!$I$5:$I$504)-(F47+G47+H47))&gt;1,"Tax amount differs","Matched")))</f>
        <v/>
      </c>
    </row>
    <row r="48">
      <c r="A48" s="14" t="n"/>
      <c r="B48" s="11" t="n"/>
      <c r="C48" s="11" t="n"/>
      <c r="D48" s="11" t="n"/>
      <c r="E48" s="18" t="n"/>
      <c r="F48" s="18" t="n"/>
      <c r="G48" s="18" t="n"/>
      <c r="H48" s="18" t="n"/>
      <c r="I48" s="23">
        <f>IF(E48="","",E48+F48+G48+H48)</f>
        <v/>
      </c>
      <c r="J48" s="11" t="n"/>
      <c r="K48">
        <f>IF(D48="","",UPPER(TRIM(C48))&amp;"|"&amp;UPPER(TRIM(D48)))</f>
        <v/>
      </c>
      <c r="L48">
        <f>IF(K48="","",IF(COUNTIF('GSTR-2B Data'!$J$5:$J$504,K48)=0,"Not in 2B — follow up",IF(ABS(SUMIF('GSTR-2B Data'!$J$5:$J$504,K48,'GSTR-2B Data'!$I$5:$I$504)-(F48+G48+H48))&gt;1,"Tax amount differs","Matched")))</f>
        <v/>
      </c>
    </row>
    <row r="49">
      <c r="A49" s="14" t="n"/>
      <c r="B49" s="11" t="n"/>
      <c r="C49" s="11" t="n"/>
      <c r="D49" s="11" t="n"/>
      <c r="E49" s="18" t="n"/>
      <c r="F49" s="18" t="n"/>
      <c r="G49" s="18" t="n"/>
      <c r="H49" s="18" t="n"/>
      <c r="I49" s="23">
        <f>IF(E49="","",E49+F49+G49+H49)</f>
        <v/>
      </c>
      <c r="J49" s="11" t="n"/>
      <c r="K49">
        <f>IF(D49="","",UPPER(TRIM(C49))&amp;"|"&amp;UPPER(TRIM(D49)))</f>
        <v/>
      </c>
      <c r="L49">
        <f>IF(K49="","",IF(COUNTIF('GSTR-2B Data'!$J$5:$J$504,K49)=0,"Not in 2B — follow up",IF(ABS(SUMIF('GSTR-2B Data'!$J$5:$J$504,K49,'GSTR-2B Data'!$I$5:$I$504)-(F49+G49+H49))&gt;1,"Tax amount differs","Matched")))</f>
        <v/>
      </c>
    </row>
    <row r="50">
      <c r="A50" s="14" t="n"/>
      <c r="B50" s="11" t="n"/>
      <c r="C50" s="11" t="n"/>
      <c r="D50" s="11" t="n"/>
      <c r="E50" s="18" t="n"/>
      <c r="F50" s="18" t="n"/>
      <c r="G50" s="18" t="n"/>
      <c r="H50" s="18" t="n"/>
      <c r="I50" s="23">
        <f>IF(E50="","",E50+F50+G50+H50)</f>
        <v/>
      </c>
      <c r="J50" s="11" t="n"/>
      <c r="K50">
        <f>IF(D50="","",UPPER(TRIM(C50))&amp;"|"&amp;UPPER(TRIM(D50)))</f>
        <v/>
      </c>
      <c r="L50">
        <f>IF(K50="","",IF(COUNTIF('GSTR-2B Data'!$J$5:$J$504,K50)=0,"Not in 2B — follow up",IF(ABS(SUMIF('GSTR-2B Data'!$J$5:$J$504,K50,'GSTR-2B Data'!$I$5:$I$504)-(F50+G50+H50))&gt;1,"Tax amount differs","Matched")))</f>
        <v/>
      </c>
    </row>
    <row r="51">
      <c r="A51" s="14" t="n"/>
      <c r="B51" s="11" t="n"/>
      <c r="C51" s="11" t="n"/>
      <c r="D51" s="11" t="n"/>
      <c r="E51" s="18" t="n"/>
      <c r="F51" s="18" t="n"/>
      <c r="G51" s="18" t="n"/>
      <c r="H51" s="18" t="n"/>
      <c r="I51" s="23">
        <f>IF(E51="","",E51+F51+G51+H51)</f>
        <v/>
      </c>
      <c r="J51" s="11" t="n"/>
      <c r="K51">
        <f>IF(D51="","",UPPER(TRIM(C51))&amp;"|"&amp;UPPER(TRIM(D51)))</f>
        <v/>
      </c>
      <c r="L51">
        <f>IF(K51="","",IF(COUNTIF('GSTR-2B Data'!$J$5:$J$504,K51)=0,"Not in 2B — follow up",IF(ABS(SUMIF('GSTR-2B Data'!$J$5:$J$504,K51,'GSTR-2B Data'!$I$5:$I$504)-(F51+G51+H51))&gt;1,"Tax amount differs","Matched")))</f>
        <v/>
      </c>
    </row>
    <row r="52">
      <c r="A52" s="14" t="n"/>
      <c r="B52" s="11" t="n"/>
      <c r="C52" s="11" t="n"/>
      <c r="D52" s="11" t="n"/>
      <c r="E52" s="18" t="n"/>
      <c r="F52" s="18" t="n"/>
      <c r="G52" s="18" t="n"/>
      <c r="H52" s="18" t="n"/>
      <c r="I52" s="23">
        <f>IF(E52="","",E52+F52+G52+H52)</f>
        <v/>
      </c>
      <c r="J52" s="11" t="n"/>
      <c r="K52">
        <f>IF(D52="","",UPPER(TRIM(C52))&amp;"|"&amp;UPPER(TRIM(D52)))</f>
        <v/>
      </c>
      <c r="L52">
        <f>IF(K52="","",IF(COUNTIF('GSTR-2B Data'!$J$5:$J$504,K52)=0,"Not in 2B — follow up",IF(ABS(SUMIF('GSTR-2B Data'!$J$5:$J$504,K52,'GSTR-2B Data'!$I$5:$I$504)-(F52+G52+H52))&gt;1,"Tax amount differs","Matched")))</f>
        <v/>
      </c>
    </row>
    <row r="53">
      <c r="A53" s="14" t="n"/>
      <c r="B53" s="11" t="n"/>
      <c r="C53" s="11" t="n"/>
      <c r="D53" s="11" t="n"/>
      <c r="E53" s="18" t="n"/>
      <c r="F53" s="18" t="n"/>
      <c r="G53" s="18" t="n"/>
      <c r="H53" s="18" t="n"/>
      <c r="I53" s="23">
        <f>IF(E53="","",E53+F53+G53+H53)</f>
        <v/>
      </c>
      <c r="J53" s="11" t="n"/>
      <c r="K53">
        <f>IF(D53="","",UPPER(TRIM(C53))&amp;"|"&amp;UPPER(TRIM(D53)))</f>
        <v/>
      </c>
      <c r="L53">
        <f>IF(K53="","",IF(COUNTIF('GSTR-2B Data'!$J$5:$J$504,K53)=0,"Not in 2B — follow up",IF(ABS(SUMIF('GSTR-2B Data'!$J$5:$J$504,K53,'GSTR-2B Data'!$I$5:$I$504)-(F53+G53+H53))&gt;1,"Tax amount differs","Matched")))</f>
        <v/>
      </c>
    </row>
    <row r="54">
      <c r="A54" s="14" t="n"/>
      <c r="B54" s="11" t="n"/>
      <c r="C54" s="11" t="n"/>
      <c r="D54" s="11" t="n"/>
      <c r="E54" s="18" t="n"/>
      <c r="F54" s="18" t="n"/>
      <c r="G54" s="18" t="n"/>
      <c r="H54" s="18" t="n"/>
      <c r="I54" s="23">
        <f>IF(E54="","",E54+F54+G54+H54)</f>
        <v/>
      </c>
      <c r="J54" s="11" t="n"/>
      <c r="K54">
        <f>IF(D54="","",UPPER(TRIM(C54))&amp;"|"&amp;UPPER(TRIM(D54)))</f>
        <v/>
      </c>
      <c r="L54">
        <f>IF(K54="","",IF(COUNTIF('GSTR-2B Data'!$J$5:$J$504,K54)=0,"Not in 2B — follow up",IF(ABS(SUMIF('GSTR-2B Data'!$J$5:$J$504,K54,'GSTR-2B Data'!$I$5:$I$504)-(F54+G54+H54))&gt;1,"Tax amount differs","Matched")))</f>
        <v/>
      </c>
    </row>
    <row r="55">
      <c r="A55" s="14" t="n"/>
      <c r="B55" s="11" t="n"/>
      <c r="C55" s="11" t="n"/>
      <c r="D55" s="11" t="n"/>
      <c r="E55" s="18" t="n"/>
      <c r="F55" s="18" t="n"/>
      <c r="G55" s="18" t="n"/>
      <c r="H55" s="18" t="n"/>
      <c r="I55" s="23">
        <f>IF(E55="","",E55+F55+G55+H55)</f>
        <v/>
      </c>
      <c r="J55" s="11" t="n"/>
      <c r="K55">
        <f>IF(D55="","",UPPER(TRIM(C55))&amp;"|"&amp;UPPER(TRIM(D55)))</f>
        <v/>
      </c>
      <c r="L55">
        <f>IF(K55="","",IF(COUNTIF('GSTR-2B Data'!$J$5:$J$504,K55)=0,"Not in 2B — follow up",IF(ABS(SUMIF('GSTR-2B Data'!$J$5:$J$504,K55,'GSTR-2B Data'!$I$5:$I$504)-(F55+G55+H55))&gt;1,"Tax amount differs","Matched")))</f>
        <v/>
      </c>
    </row>
    <row r="56">
      <c r="A56" s="14" t="n"/>
      <c r="B56" s="11" t="n"/>
      <c r="C56" s="11" t="n"/>
      <c r="D56" s="11" t="n"/>
      <c r="E56" s="18" t="n"/>
      <c r="F56" s="18" t="n"/>
      <c r="G56" s="18" t="n"/>
      <c r="H56" s="18" t="n"/>
      <c r="I56" s="23">
        <f>IF(E56="","",E56+F56+G56+H56)</f>
        <v/>
      </c>
      <c r="J56" s="11" t="n"/>
      <c r="K56">
        <f>IF(D56="","",UPPER(TRIM(C56))&amp;"|"&amp;UPPER(TRIM(D56)))</f>
        <v/>
      </c>
      <c r="L56">
        <f>IF(K56="","",IF(COUNTIF('GSTR-2B Data'!$J$5:$J$504,K56)=0,"Not in 2B — follow up",IF(ABS(SUMIF('GSTR-2B Data'!$J$5:$J$504,K56,'GSTR-2B Data'!$I$5:$I$504)-(F56+G56+H56))&gt;1,"Tax amount differs","Matched")))</f>
        <v/>
      </c>
    </row>
    <row r="57">
      <c r="A57" s="14" t="n"/>
      <c r="B57" s="11" t="n"/>
      <c r="C57" s="11" t="n"/>
      <c r="D57" s="11" t="n"/>
      <c r="E57" s="18" t="n"/>
      <c r="F57" s="18" t="n"/>
      <c r="G57" s="18" t="n"/>
      <c r="H57" s="18" t="n"/>
      <c r="I57" s="23">
        <f>IF(E57="","",E57+F57+G57+H57)</f>
        <v/>
      </c>
      <c r="J57" s="11" t="n"/>
      <c r="K57">
        <f>IF(D57="","",UPPER(TRIM(C57))&amp;"|"&amp;UPPER(TRIM(D57)))</f>
        <v/>
      </c>
      <c r="L57">
        <f>IF(K57="","",IF(COUNTIF('GSTR-2B Data'!$J$5:$J$504,K57)=0,"Not in 2B — follow up",IF(ABS(SUMIF('GSTR-2B Data'!$J$5:$J$504,K57,'GSTR-2B Data'!$I$5:$I$504)-(F57+G57+H57))&gt;1,"Tax amount differs","Matched")))</f>
        <v/>
      </c>
    </row>
    <row r="58">
      <c r="A58" s="14" t="n"/>
      <c r="B58" s="11" t="n"/>
      <c r="C58" s="11" t="n"/>
      <c r="D58" s="11" t="n"/>
      <c r="E58" s="18" t="n"/>
      <c r="F58" s="18" t="n"/>
      <c r="G58" s="18" t="n"/>
      <c r="H58" s="18" t="n"/>
      <c r="I58" s="23">
        <f>IF(E58="","",E58+F58+G58+H58)</f>
        <v/>
      </c>
      <c r="J58" s="11" t="n"/>
      <c r="K58">
        <f>IF(D58="","",UPPER(TRIM(C58))&amp;"|"&amp;UPPER(TRIM(D58)))</f>
        <v/>
      </c>
      <c r="L58">
        <f>IF(K58="","",IF(COUNTIF('GSTR-2B Data'!$J$5:$J$504,K58)=0,"Not in 2B — follow up",IF(ABS(SUMIF('GSTR-2B Data'!$J$5:$J$504,K58,'GSTR-2B Data'!$I$5:$I$504)-(F58+G58+H58))&gt;1,"Tax amount differs","Matched")))</f>
        <v/>
      </c>
    </row>
    <row r="59">
      <c r="A59" s="14" t="n"/>
      <c r="B59" s="11" t="n"/>
      <c r="C59" s="11" t="n"/>
      <c r="D59" s="11" t="n"/>
      <c r="E59" s="18" t="n"/>
      <c r="F59" s="18" t="n"/>
      <c r="G59" s="18" t="n"/>
      <c r="H59" s="18" t="n"/>
      <c r="I59" s="23">
        <f>IF(E59="","",E59+F59+G59+H59)</f>
        <v/>
      </c>
      <c r="J59" s="11" t="n"/>
      <c r="K59">
        <f>IF(D59="","",UPPER(TRIM(C59))&amp;"|"&amp;UPPER(TRIM(D59)))</f>
        <v/>
      </c>
      <c r="L59">
        <f>IF(K59="","",IF(COUNTIF('GSTR-2B Data'!$J$5:$J$504,K59)=0,"Not in 2B — follow up",IF(ABS(SUMIF('GSTR-2B Data'!$J$5:$J$504,K59,'GSTR-2B Data'!$I$5:$I$504)-(F59+G59+H59))&gt;1,"Tax amount differs","Matched")))</f>
        <v/>
      </c>
    </row>
    <row r="60">
      <c r="A60" s="14" t="n"/>
      <c r="B60" s="11" t="n"/>
      <c r="C60" s="11" t="n"/>
      <c r="D60" s="11" t="n"/>
      <c r="E60" s="18" t="n"/>
      <c r="F60" s="18" t="n"/>
      <c r="G60" s="18" t="n"/>
      <c r="H60" s="18" t="n"/>
      <c r="I60" s="23">
        <f>IF(E60="","",E60+F60+G60+H60)</f>
        <v/>
      </c>
      <c r="J60" s="11" t="n"/>
      <c r="K60">
        <f>IF(D60="","",UPPER(TRIM(C60))&amp;"|"&amp;UPPER(TRIM(D60)))</f>
        <v/>
      </c>
      <c r="L60">
        <f>IF(K60="","",IF(COUNTIF('GSTR-2B Data'!$J$5:$J$504,K60)=0,"Not in 2B — follow up",IF(ABS(SUMIF('GSTR-2B Data'!$J$5:$J$504,K60,'GSTR-2B Data'!$I$5:$I$504)-(F60+G60+H60))&gt;1,"Tax amount differs","Matched")))</f>
        <v/>
      </c>
    </row>
    <row r="61">
      <c r="A61" s="14" t="n"/>
      <c r="B61" s="11" t="n"/>
      <c r="C61" s="11" t="n"/>
      <c r="D61" s="11" t="n"/>
      <c r="E61" s="18" t="n"/>
      <c r="F61" s="18" t="n"/>
      <c r="G61" s="18" t="n"/>
      <c r="H61" s="18" t="n"/>
      <c r="I61" s="23">
        <f>IF(E61="","",E61+F61+G61+H61)</f>
        <v/>
      </c>
      <c r="J61" s="11" t="n"/>
      <c r="K61">
        <f>IF(D61="","",UPPER(TRIM(C61))&amp;"|"&amp;UPPER(TRIM(D61)))</f>
        <v/>
      </c>
      <c r="L61">
        <f>IF(K61="","",IF(COUNTIF('GSTR-2B Data'!$J$5:$J$504,K61)=0,"Not in 2B — follow up",IF(ABS(SUMIF('GSTR-2B Data'!$J$5:$J$504,K61,'GSTR-2B Data'!$I$5:$I$504)-(F61+G61+H61))&gt;1,"Tax amount differs","Matched")))</f>
        <v/>
      </c>
    </row>
    <row r="62">
      <c r="A62" s="14" t="n"/>
      <c r="B62" s="11" t="n"/>
      <c r="C62" s="11" t="n"/>
      <c r="D62" s="11" t="n"/>
      <c r="E62" s="18" t="n"/>
      <c r="F62" s="18" t="n"/>
      <c r="G62" s="18" t="n"/>
      <c r="H62" s="18" t="n"/>
      <c r="I62" s="23">
        <f>IF(E62="","",E62+F62+G62+H62)</f>
        <v/>
      </c>
      <c r="J62" s="11" t="n"/>
      <c r="K62">
        <f>IF(D62="","",UPPER(TRIM(C62))&amp;"|"&amp;UPPER(TRIM(D62)))</f>
        <v/>
      </c>
      <c r="L62">
        <f>IF(K62="","",IF(COUNTIF('GSTR-2B Data'!$J$5:$J$504,K62)=0,"Not in 2B — follow up",IF(ABS(SUMIF('GSTR-2B Data'!$J$5:$J$504,K62,'GSTR-2B Data'!$I$5:$I$504)-(F62+G62+H62))&gt;1,"Tax amount differs","Matched")))</f>
        <v/>
      </c>
    </row>
    <row r="63">
      <c r="A63" s="14" t="n"/>
      <c r="B63" s="11" t="n"/>
      <c r="C63" s="11" t="n"/>
      <c r="D63" s="11" t="n"/>
      <c r="E63" s="18" t="n"/>
      <c r="F63" s="18" t="n"/>
      <c r="G63" s="18" t="n"/>
      <c r="H63" s="18" t="n"/>
      <c r="I63" s="23">
        <f>IF(E63="","",E63+F63+G63+H63)</f>
        <v/>
      </c>
      <c r="J63" s="11" t="n"/>
      <c r="K63">
        <f>IF(D63="","",UPPER(TRIM(C63))&amp;"|"&amp;UPPER(TRIM(D63)))</f>
        <v/>
      </c>
      <c r="L63">
        <f>IF(K63="","",IF(COUNTIF('GSTR-2B Data'!$J$5:$J$504,K63)=0,"Not in 2B — follow up",IF(ABS(SUMIF('GSTR-2B Data'!$J$5:$J$504,K63,'GSTR-2B Data'!$I$5:$I$504)-(F63+G63+H63))&gt;1,"Tax amount differs","Matched")))</f>
        <v/>
      </c>
    </row>
    <row r="64">
      <c r="A64" s="14" t="n"/>
      <c r="B64" s="11" t="n"/>
      <c r="C64" s="11" t="n"/>
      <c r="D64" s="11" t="n"/>
      <c r="E64" s="18" t="n"/>
      <c r="F64" s="18" t="n"/>
      <c r="G64" s="18" t="n"/>
      <c r="H64" s="18" t="n"/>
      <c r="I64" s="23">
        <f>IF(E64="","",E64+F64+G64+H64)</f>
        <v/>
      </c>
      <c r="J64" s="11" t="n"/>
      <c r="K64">
        <f>IF(D64="","",UPPER(TRIM(C64))&amp;"|"&amp;UPPER(TRIM(D64)))</f>
        <v/>
      </c>
      <c r="L64">
        <f>IF(K64="","",IF(COUNTIF('GSTR-2B Data'!$J$5:$J$504,K64)=0,"Not in 2B — follow up",IF(ABS(SUMIF('GSTR-2B Data'!$J$5:$J$504,K64,'GSTR-2B Data'!$I$5:$I$504)-(F64+G64+H64))&gt;1,"Tax amount differs","Matched")))</f>
        <v/>
      </c>
    </row>
    <row r="65">
      <c r="A65" s="14" t="n"/>
      <c r="B65" s="11" t="n"/>
      <c r="C65" s="11" t="n"/>
      <c r="D65" s="11" t="n"/>
      <c r="E65" s="18" t="n"/>
      <c r="F65" s="18" t="n"/>
      <c r="G65" s="18" t="n"/>
      <c r="H65" s="18" t="n"/>
      <c r="I65" s="23">
        <f>IF(E65="","",E65+F65+G65+H65)</f>
        <v/>
      </c>
      <c r="J65" s="11" t="n"/>
      <c r="K65">
        <f>IF(D65="","",UPPER(TRIM(C65))&amp;"|"&amp;UPPER(TRIM(D65)))</f>
        <v/>
      </c>
      <c r="L65">
        <f>IF(K65="","",IF(COUNTIF('GSTR-2B Data'!$J$5:$J$504,K65)=0,"Not in 2B — follow up",IF(ABS(SUMIF('GSTR-2B Data'!$J$5:$J$504,K65,'GSTR-2B Data'!$I$5:$I$504)-(F65+G65+H65))&gt;1,"Tax amount differs","Matched")))</f>
        <v/>
      </c>
    </row>
    <row r="66">
      <c r="A66" s="14" t="n"/>
      <c r="B66" s="11" t="n"/>
      <c r="C66" s="11" t="n"/>
      <c r="D66" s="11" t="n"/>
      <c r="E66" s="18" t="n"/>
      <c r="F66" s="18" t="n"/>
      <c r="G66" s="18" t="n"/>
      <c r="H66" s="18" t="n"/>
      <c r="I66" s="23">
        <f>IF(E66="","",E66+F66+G66+H66)</f>
        <v/>
      </c>
      <c r="J66" s="11" t="n"/>
      <c r="K66">
        <f>IF(D66="","",UPPER(TRIM(C66))&amp;"|"&amp;UPPER(TRIM(D66)))</f>
        <v/>
      </c>
      <c r="L66">
        <f>IF(K66="","",IF(COUNTIF('GSTR-2B Data'!$J$5:$J$504,K66)=0,"Not in 2B — follow up",IF(ABS(SUMIF('GSTR-2B Data'!$J$5:$J$504,K66,'GSTR-2B Data'!$I$5:$I$504)-(F66+G66+H66))&gt;1,"Tax amount differs","Matched")))</f>
        <v/>
      </c>
    </row>
    <row r="67">
      <c r="A67" s="14" t="n"/>
      <c r="B67" s="11" t="n"/>
      <c r="C67" s="11" t="n"/>
      <c r="D67" s="11" t="n"/>
      <c r="E67" s="18" t="n"/>
      <c r="F67" s="18" t="n"/>
      <c r="G67" s="18" t="n"/>
      <c r="H67" s="18" t="n"/>
      <c r="I67" s="23">
        <f>IF(E67="","",E67+F67+G67+H67)</f>
        <v/>
      </c>
      <c r="J67" s="11" t="n"/>
      <c r="K67">
        <f>IF(D67="","",UPPER(TRIM(C67))&amp;"|"&amp;UPPER(TRIM(D67)))</f>
        <v/>
      </c>
      <c r="L67">
        <f>IF(K67="","",IF(COUNTIF('GSTR-2B Data'!$J$5:$J$504,K67)=0,"Not in 2B — follow up",IF(ABS(SUMIF('GSTR-2B Data'!$J$5:$J$504,K67,'GSTR-2B Data'!$I$5:$I$504)-(F67+G67+H67))&gt;1,"Tax amount differs","Matched")))</f>
        <v/>
      </c>
    </row>
    <row r="68">
      <c r="A68" s="14" t="n"/>
      <c r="B68" s="11" t="n"/>
      <c r="C68" s="11" t="n"/>
      <c r="D68" s="11" t="n"/>
      <c r="E68" s="18" t="n"/>
      <c r="F68" s="18" t="n"/>
      <c r="G68" s="18" t="n"/>
      <c r="H68" s="18" t="n"/>
      <c r="I68" s="23">
        <f>IF(E68="","",E68+F68+G68+H68)</f>
        <v/>
      </c>
      <c r="J68" s="11" t="n"/>
      <c r="K68">
        <f>IF(D68="","",UPPER(TRIM(C68))&amp;"|"&amp;UPPER(TRIM(D68)))</f>
        <v/>
      </c>
      <c r="L68">
        <f>IF(K68="","",IF(COUNTIF('GSTR-2B Data'!$J$5:$J$504,K68)=0,"Not in 2B — follow up",IF(ABS(SUMIF('GSTR-2B Data'!$J$5:$J$504,K68,'GSTR-2B Data'!$I$5:$I$504)-(F68+G68+H68))&gt;1,"Tax amount differs","Matched")))</f>
        <v/>
      </c>
    </row>
    <row r="69">
      <c r="A69" s="14" t="n"/>
      <c r="B69" s="11" t="n"/>
      <c r="C69" s="11" t="n"/>
      <c r="D69" s="11" t="n"/>
      <c r="E69" s="18" t="n"/>
      <c r="F69" s="18" t="n"/>
      <c r="G69" s="18" t="n"/>
      <c r="H69" s="18" t="n"/>
      <c r="I69" s="23">
        <f>IF(E69="","",E69+F69+G69+H69)</f>
        <v/>
      </c>
      <c r="J69" s="11" t="n"/>
      <c r="K69">
        <f>IF(D69="","",UPPER(TRIM(C69))&amp;"|"&amp;UPPER(TRIM(D69)))</f>
        <v/>
      </c>
      <c r="L69">
        <f>IF(K69="","",IF(COUNTIF('GSTR-2B Data'!$J$5:$J$504,K69)=0,"Not in 2B — follow up",IF(ABS(SUMIF('GSTR-2B Data'!$J$5:$J$504,K69,'GSTR-2B Data'!$I$5:$I$504)-(F69+G69+H69))&gt;1,"Tax amount differs","Matched")))</f>
        <v/>
      </c>
    </row>
    <row r="70">
      <c r="A70" s="14" t="n"/>
      <c r="B70" s="11" t="n"/>
      <c r="C70" s="11" t="n"/>
      <c r="D70" s="11" t="n"/>
      <c r="E70" s="18" t="n"/>
      <c r="F70" s="18" t="n"/>
      <c r="G70" s="18" t="n"/>
      <c r="H70" s="18" t="n"/>
      <c r="I70" s="23">
        <f>IF(E70="","",E70+F70+G70+H70)</f>
        <v/>
      </c>
      <c r="J70" s="11" t="n"/>
      <c r="K70">
        <f>IF(D70="","",UPPER(TRIM(C70))&amp;"|"&amp;UPPER(TRIM(D70)))</f>
        <v/>
      </c>
      <c r="L70">
        <f>IF(K70="","",IF(COUNTIF('GSTR-2B Data'!$J$5:$J$504,K70)=0,"Not in 2B — follow up",IF(ABS(SUMIF('GSTR-2B Data'!$J$5:$J$504,K70,'GSTR-2B Data'!$I$5:$I$504)-(F70+G70+H70))&gt;1,"Tax amount differs","Matched")))</f>
        <v/>
      </c>
    </row>
    <row r="71">
      <c r="A71" s="14" t="n"/>
      <c r="B71" s="11" t="n"/>
      <c r="C71" s="11" t="n"/>
      <c r="D71" s="11" t="n"/>
      <c r="E71" s="18" t="n"/>
      <c r="F71" s="18" t="n"/>
      <c r="G71" s="18" t="n"/>
      <c r="H71" s="18" t="n"/>
      <c r="I71" s="23">
        <f>IF(E71="","",E71+F71+G71+H71)</f>
        <v/>
      </c>
      <c r="J71" s="11" t="n"/>
      <c r="K71">
        <f>IF(D71="","",UPPER(TRIM(C71))&amp;"|"&amp;UPPER(TRIM(D71)))</f>
        <v/>
      </c>
      <c r="L71">
        <f>IF(K71="","",IF(COUNTIF('GSTR-2B Data'!$J$5:$J$504,K71)=0,"Not in 2B — follow up",IF(ABS(SUMIF('GSTR-2B Data'!$J$5:$J$504,K71,'GSTR-2B Data'!$I$5:$I$504)-(F71+G71+H71))&gt;1,"Tax amount differs","Matched")))</f>
        <v/>
      </c>
    </row>
    <row r="72">
      <c r="A72" s="14" t="n"/>
      <c r="B72" s="11" t="n"/>
      <c r="C72" s="11" t="n"/>
      <c r="D72" s="11" t="n"/>
      <c r="E72" s="18" t="n"/>
      <c r="F72" s="18" t="n"/>
      <c r="G72" s="18" t="n"/>
      <c r="H72" s="18" t="n"/>
      <c r="I72" s="23">
        <f>IF(E72="","",E72+F72+G72+H72)</f>
        <v/>
      </c>
      <c r="J72" s="11" t="n"/>
      <c r="K72">
        <f>IF(D72="","",UPPER(TRIM(C72))&amp;"|"&amp;UPPER(TRIM(D72)))</f>
        <v/>
      </c>
      <c r="L72">
        <f>IF(K72="","",IF(COUNTIF('GSTR-2B Data'!$J$5:$J$504,K72)=0,"Not in 2B — follow up",IF(ABS(SUMIF('GSTR-2B Data'!$J$5:$J$504,K72,'GSTR-2B Data'!$I$5:$I$504)-(F72+G72+H72))&gt;1,"Tax amount differs","Matched")))</f>
        <v/>
      </c>
    </row>
    <row r="73">
      <c r="A73" s="14" t="n"/>
      <c r="B73" s="11" t="n"/>
      <c r="C73" s="11" t="n"/>
      <c r="D73" s="11" t="n"/>
      <c r="E73" s="18" t="n"/>
      <c r="F73" s="18" t="n"/>
      <c r="G73" s="18" t="n"/>
      <c r="H73" s="18" t="n"/>
      <c r="I73" s="23">
        <f>IF(E73="","",E73+F73+G73+H73)</f>
        <v/>
      </c>
      <c r="J73" s="11" t="n"/>
      <c r="K73">
        <f>IF(D73="","",UPPER(TRIM(C73))&amp;"|"&amp;UPPER(TRIM(D73)))</f>
        <v/>
      </c>
      <c r="L73">
        <f>IF(K73="","",IF(COUNTIF('GSTR-2B Data'!$J$5:$J$504,K73)=0,"Not in 2B — follow up",IF(ABS(SUMIF('GSTR-2B Data'!$J$5:$J$504,K73,'GSTR-2B Data'!$I$5:$I$504)-(F73+G73+H73))&gt;1,"Tax amount differs","Matched")))</f>
        <v/>
      </c>
    </row>
    <row r="74">
      <c r="A74" s="14" t="n"/>
      <c r="B74" s="11" t="n"/>
      <c r="C74" s="11" t="n"/>
      <c r="D74" s="11" t="n"/>
      <c r="E74" s="18" t="n"/>
      <c r="F74" s="18" t="n"/>
      <c r="G74" s="18" t="n"/>
      <c r="H74" s="18" t="n"/>
      <c r="I74" s="23">
        <f>IF(E74="","",E74+F74+G74+H74)</f>
        <v/>
      </c>
      <c r="J74" s="11" t="n"/>
      <c r="K74">
        <f>IF(D74="","",UPPER(TRIM(C74))&amp;"|"&amp;UPPER(TRIM(D74)))</f>
        <v/>
      </c>
      <c r="L74">
        <f>IF(K74="","",IF(COUNTIF('GSTR-2B Data'!$J$5:$J$504,K74)=0,"Not in 2B — follow up",IF(ABS(SUMIF('GSTR-2B Data'!$J$5:$J$504,K74,'GSTR-2B Data'!$I$5:$I$504)-(F74+G74+H74))&gt;1,"Tax amount differs","Matched")))</f>
        <v/>
      </c>
    </row>
    <row r="75">
      <c r="A75" s="14" t="n"/>
      <c r="B75" s="11" t="n"/>
      <c r="C75" s="11" t="n"/>
      <c r="D75" s="11" t="n"/>
      <c r="E75" s="18" t="n"/>
      <c r="F75" s="18" t="n"/>
      <c r="G75" s="18" t="n"/>
      <c r="H75" s="18" t="n"/>
      <c r="I75" s="23">
        <f>IF(E75="","",E75+F75+G75+H75)</f>
        <v/>
      </c>
      <c r="J75" s="11" t="n"/>
      <c r="K75">
        <f>IF(D75="","",UPPER(TRIM(C75))&amp;"|"&amp;UPPER(TRIM(D75)))</f>
        <v/>
      </c>
      <c r="L75">
        <f>IF(K75="","",IF(COUNTIF('GSTR-2B Data'!$J$5:$J$504,K75)=0,"Not in 2B — follow up",IF(ABS(SUMIF('GSTR-2B Data'!$J$5:$J$504,K75,'GSTR-2B Data'!$I$5:$I$504)-(F75+G75+H75))&gt;1,"Tax amount differs","Matched")))</f>
        <v/>
      </c>
    </row>
    <row r="76">
      <c r="A76" s="14" t="n"/>
      <c r="B76" s="11" t="n"/>
      <c r="C76" s="11" t="n"/>
      <c r="D76" s="11" t="n"/>
      <c r="E76" s="18" t="n"/>
      <c r="F76" s="18" t="n"/>
      <c r="G76" s="18" t="n"/>
      <c r="H76" s="18" t="n"/>
      <c r="I76" s="23">
        <f>IF(E76="","",E76+F76+G76+H76)</f>
        <v/>
      </c>
      <c r="J76" s="11" t="n"/>
      <c r="K76">
        <f>IF(D76="","",UPPER(TRIM(C76))&amp;"|"&amp;UPPER(TRIM(D76)))</f>
        <v/>
      </c>
      <c r="L76">
        <f>IF(K76="","",IF(COUNTIF('GSTR-2B Data'!$J$5:$J$504,K76)=0,"Not in 2B — follow up",IF(ABS(SUMIF('GSTR-2B Data'!$J$5:$J$504,K76,'GSTR-2B Data'!$I$5:$I$504)-(F76+G76+H76))&gt;1,"Tax amount differs","Matched")))</f>
        <v/>
      </c>
    </row>
    <row r="77">
      <c r="A77" s="14" t="n"/>
      <c r="B77" s="11" t="n"/>
      <c r="C77" s="11" t="n"/>
      <c r="D77" s="11" t="n"/>
      <c r="E77" s="18" t="n"/>
      <c r="F77" s="18" t="n"/>
      <c r="G77" s="18" t="n"/>
      <c r="H77" s="18" t="n"/>
      <c r="I77" s="23">
        <f>IF(E77="","",E77+F77+G77+H77)</f>
        <v/>
      </c>
      <c r="J77" s="11" t="n"/>
      <c r="K77">
        <f>IF(D77="","",UPPER(TRIM(C77))&amp;"|"&amp;UPPER(TRIM(D77)))</f>
        <v/>
      </c>
      <c r="L77">
        <f>IF(K77="","",IF(COUNTIF('GSTR-2B Data'!$J$5:$J$504,K77)=0,"Not in 2B — follow up",IF(ABS(SUMIF('GSTR-2B Data'!$J$5:$J$504,K77,'GSTR-2B Data'!$I$5:$I$504)-(F77+G77+H77))&gt;1,"Tax amount differs","Matched")))</f>
        <v/>
      </c>
    </row>
    <row r="78">
      <c r="A78" s="14" t="n"/>
      <c r="B78" s="11" t="n"/>
      <c r="C78" s="11" t="n"/>
      <c r="D78" s="11" t="n"/>
      <c r="E78" s="18" t="n"/>
      <c r="F78" s="18" t="n"/>
      <c r="G78" s="18" t="n"/>
      <c r="H78" s="18" t="n"/>
      <c r="I78" s="23">
        <f>IF(E78="","",E78+F78+G78+H78)</f>
        <v/>
      </c>
      <c r="J78" s="11" t="n"/>
      <c r="K78">
        <f>IF(D78="","",UPPER(TRIM(C78))&amp;"|"&amp;UPPER(TRIM(D78)))</f>
        <v/>
      </c>
      <c r="L78">
        <f>IF(K78="","",IF(COUNTIF('GSTR-2B Data'!$J$5:$J$504,K78)=0,"Not in 2B — follow up",IF(ABS(SUMIF('GSTR-2B Data'!$J$5:$J$504,K78,'GSTR-2B Data'!$I$5:$I$504)-(F78+G78+H78))&gt;1,"Tax amount differs","Matched")))</f>
        <v/>
      </c>
    </row>
    <row r="79">
      <c r="A79" s="14" t="n"/>
      <c r="B79" s="11" t="n"/>
      <c r="C79" s="11" t="n"/>
      <c r="D79" s="11" t="n"/>
      <c r="E79" s="18" t="n"/>
      <c r="F79" s="18" t="n"/>
      <c r="G79" s="18" t="n"/>
      <c r="H79" s="18" t="n"/>
      <c r="I79" s="23">
        <f>IF(E79="","",E79+F79+G79+H79)</f>
        <v/>
      </c>
      <c r="J79" s="11" t="n"/>
      <c r="K79">
        <f>IF(D79="","",UPPER(TRIM(C79))&amp;"|"&amp;UPPER(TRIM(D79)))</f>
        <v/>
      </c>
      <c r="L79">
        <f>IF(K79="","",IF(COUNTIF('GSTR-2B Data'!$J$5:$J$504,K79)=0,"Not in 2B — follow up",IF(ABS(SUMIF('GSTR-2B Data'!$J$5:$J$504,K79,'GSTR-2B Data'!$I$5:$I$504)-(F79+G79+H79))&gt;1,"Tax amount differs","Matched")))</f>
        <v/>
      </c>
    </row>
    <row r="80">
      <c r="A80" s="14" t="n"/>
      <c r="B80" s="11" t="n"/>
      <c r="C80" s="11" t="n"/>
      <c r="D80" s="11" t="n"/>
      <c r="E80" s="18" t="n"/>
      <c r="F80" s="18" t="n"/>
      <c r="G80" s="18" t="n"/>
      <c r="H80" s="18" t="n"/>
      <c r="I80" s="23">
        <f>IF(E80="","",E80+F80+G80+H80)</f>
        <v/>
      </c>
      <c r="J80" s="11" t="n"/>
      <c r="K80">
        <f>IF(D80="","",UPPER(TRIM(C80))&amp;"|"&amp;UPPER(TRIM(D80)))</f>
        <v/>
      </c>
      <c r="L80">
        <f>IF(K80="","",IF(COUNTIF('GSTR-2B Data'!$J$5:$J$504,K80)=0,"Not in 2B — follow up",IF(ABS(SUMIF('GSTR-2B Data'!$J$5:$J$504,K80,'GSTR-2B Data'!$I$5:$I$504)-(F80+G80+H80))&gt;1,"Tax amount differs","Matched")))</f>
        <v/>
      </c>
    </row>
    <row r="81">
      <c r="A81" s="14" t="n"/>
      <c r="B81" s="11" t="n"/>
      <c r="C81" s="11" t="n"/>
      <c r="D81" s="11" t="n"/>
      <c r="E81" s="18" t="n"/>
      <c r="F81" s="18" t="n"/>
      <c r="G81" s="18" t="n"/>
      <c r="H81" s="18" t="n"/>
      <c r="I81" s="23">
        <f>IF(E81="","",E81+F81+G81+H81)</f>
        <v/>
      </c>
      <c r="J81" s="11" t="n"/>
      <c r="K81">
        <f>IF(D81="","",UPPER(TRIM(C81))&amp;"|"&amp;UPPER(TRIM(D81)))</f>
        <v/>
      </c>
      <c r="L81">
        <f>IF(K81="","",IF(COUNTIF('GSTR-2B Data'!$J$5:$J$504,K81)=0,"Not in 2B — follow up",IF(ABS(SUMIF('GSTR-2B Data'!$J$5:$J$504,K81,'GSTR-2B Data'!$I$5:$I$504)-(F81+G81+H81))&gt;1,"Tax amount differs","Matched")))</f>
        <v/>
      </c>
    </row>
    <row r="82">
      <c r="A82" s="14" t="n"/>
      <c r="B82" s="11" t="n"/>
      <c r="C82" s="11" t="n"/>
      <c r="D82" s="11" t="n"/>
      <c r="E82" s="18" t="n"/>
      <c r="F82" s="18" t="n"/>
      <c r="G82" s="18" t="n"/>
      <c r="H82" s="18" t="n"/>
      <c r="I82" s="23">
        <f>IF(E82="","",E82+F82+G82+H82)</f>
        <v/>
      </c>
      <c r="J82" s="11" t="n"/>
      <c r="K82">
        <f>IF(D82="","",UPPER(TRIM(C82))&amp;"|"&amp;UPPER(TRIM(D82)))</f>
        <v/>
      </c>
      <c r="L82">
        <f>IF(K82="","",IF(COUNTIF('GSTR-2B Data'!$J$5:$J$504,K82)=0,"Not in 2B — follow up",IF(ABS(SUMIF('GSTR-2B Data'!$J$5:$J$504,K82,'GSTR-2B Data'!$I$5:$I$504)-(F82+G82+H82))&gt;1,"Tax amount differs","Matched")))</f>
        <v/>
      </c>
    </row>
    <row r="83">
      <c r="A83" s="14" t="n"/>
      <c r="B83" s="11" t="n"/>
      <c r="C83" s="11" t="n"/>
      <c r="D83" s="11" t="n"/>
      <c r="E83" s="18" t="n"/>
      <c r="F83" s="18" t="n"/>
      <c r="G83" s="18" t="n"/>
      <c r="H83" s="18" t="n"/>
      <c r="I83" s="23">
        <f>IF(E83="","",E83+F83+G83+H83)</f>
        <v/>
      </c>
      <c r="J83" s="11" t="n"/>
      <c r="K83">
        <f>IF(D83="","",UPPER(TRIM(C83))&amp;"|"&amp;UPPER(TRIM(D83)))</f>
        <v/>
      </c>
      <c r="L83">
        <f>IF(K83="","",IF(COUNTIF('GSTR-2B Data'!$J$5:$J$504,K83)=0,"Not in 2B — follow up",IF(ABS(SUMIF('GSTR-2B Data'!$J$5:$J$504,K83,'GSTR-2B Data'!$I$5:$I$504)-(F83+G83+H83))&gt;1,"Tax amount differs","Matched")))</f>
        <v/>
      </c>
    </row>
    <row r="84">
      <c r="A84" s="14" t="n"/>
      <c r="B84" s="11" t="n"/>
      <c r="C84" s="11" t="n"/>
      <c r="D84" s="11" t="n"/>
      <c r="E84" s="18" t="n"/>
      <c r="F84" s="18" t="n"/>
      <c r="G84" s="18" t="n"/>
      <c r="H84" s="18" t="n"/>
      <c r="I84" s="23">
        <f>IF(E84="","",E84+F84+G84+H84)</f>
        <v/>
      </c>
      <c r="J84" s="11" t="n"/>
      <c r="K84">
        <f>IF(D84="","",UPPER(TRIM(C84))&amp;"|"&amp;UPPER(TRIM(D84)))</f>
        <v/>
      </c>
      <c r="L84">
        <f>IF(K84="","",IF(COUNTIF('GSTR-2B Data'!$J$5:$J$504,K84)=0,"Not in 2B — follow up",IF(ABS(SUMIF('GSTR-2B Data'!$J$5:$J$504,K84,'GSTR-2B Data'!$I$5:$I$504)-(F84+G84+H84))&gt;1,"Tax amount differs","Matched")))</f>
        <v/>
      </c>
    </row>
    <row r="85">
      <c r="A85" s="14" t="n"/>
      <c r="B85" s="11" t="n"/>
      <c r="C85" s="11" t="n"/>
      <c r="D85" s="11" t="n"/>
      <c r="E85" s="18" t="n"/>
      <c r="F85" s="18" t="n"/>
      <c r="G85" s="18" t="n"/>
      <c r="H85" s="18" t="n"/>
      <c r="I85" s="23">
        <f>IF(E85="","",E85+F85+G85+H85)</f>
        <v/>
      </c>
      <c r="J85" s="11" t="n"/>
      <c r="K85">
        <f>IF(D85="","",UPPER(TRIM(C85))&amp;"|"&amp;UPPER(TRIM(D85)))</f>
        <v/>
      </c>
      <c r="L85">
        <f>IF(K85="","",IF(COUNTIF('GSTR-2B Data'!$J$5:$J$504,K85)=0,"Not in 2B — follow up",IF(ABS(SUMIF('GSTR-2B Data'!$J$5:$J$504,K85,'GSTR-2B Data'!$I$5:$I$504)-(F85+G85+H85))&gt;1,"Tax amount differs","Matched")))</f>
        <v/>
      </c>
    </row>
    <row r="86">
      <c r="A86" s="14" t="n"/>
      <c r="B86" s="11" t="n"/>
      <c r="C86" s="11" t="n"/>
      <c r="D86" s="11" t="n"/>
      <c r="E86" s="18" t="n"/>
      <c r="F86" s="18" t="n"/>
      <c r="G86" s="18" t="n"/>
      <c r="H86" s="18" t="n"/>
      <c r="I86" s="23">
        <f>IF(E86="","",E86+F86+G86+H86)</f>
        <v/>
      </c>
      <c r="J86" s="11" t="n"/>
      <c r="K86">
        <f>IF(D86="","",UPPER(TRIM(C86))&amp;"|"&amp;UPPER(TRIM(D86)))</f>
        <v/>
      </c>
      <c r="L86">
        <f>IF(K86="","",IF(COUNTIF('GSTR-2B Data'!$J$5:$J$504,K86)=0,"Not in 2B — follow up",IF(ABS(SUMIF('GSTR-2B Data'!$J$5:$J$504,K86,'GSTR-2B Data'!$I$5:$I$504)-(F86+G86+H86))&gt;1,"Tax amount differs","Matched")))</f>
        <v/>
      </c>
    </row>
    <row r="87">
      <c r="A87" s="14" t="n"/>
      <c r="B87" s="11" t="n"/>
      <c r="C87" s="11" t="n"/>
      <c r="D87" s="11" t="n"/>
      <c r="E87" s="18" t="n"/>
      <c r="F87" s="18" t="n"/>
      <c r="G87" s="18" t="n"/>
      <c r="H87" s="18" t="n"/>
      <c r="I87" s="23">
        <f>IF(E87="","",E87+F87+G87+H87)</f>
        <v/>
      </c>
      <c r="J87" s="11" t="n"/>
      <c r="K87">
        <f>IF(D87="","",UPPER(TRIM(C87))&amp;"|"&amp;UPPER(TRIM(D87)))</f>
        <v/>
      </c>
      <c r="L87">
        <f>IF(K87="","",IF(COUNTIF('GSTR-2B Data'!$J$5:$J$504,K87)=0,"Not in 2B — follow up",IF(ABS(SUMIF('GSTR-2B Data'!$J$5:$J$504,K87,'GSTR-2B Data'!$I$5:$I$504)-(F87+G87+H87))&gt;1,"Tax amount differs","Matched")))</f>
        <v/>
      </c>
    </row>
    <row r="88">
      <c r="A88" s="14" t="n"/>
      <c r="B88" s="11" t="n"/>
      <c r="C88" s="11" t="n"/>
      <c r="D88" s="11" t="n"/>
      <c r="E88" s="18" t="n"/>
      <c r="F88" s="18" t="n"/>
      <c r="G88" s="18" t="n"/>
      <c r="H88" s="18" t="n"/>
      <c r="I88" s="23">
        <f>IF(E88="","",E88+F88+G88+H88)</f>
        <v/>
      </c>
      <c r="J88" s="11" t="n"/>
      <c r="K88">
        <f>IF(D88="","",UPPER(TRIM(C88))&amp;"|"&amp;UPPER(TRIM(D88)))</f>
        <v/>
      </c>
      <c r="L88">
        <f>IF(K88="","",IF(COUNTIF('GSTR-2B Data'!$J$5:$J$504,K88)=0,"Not in 2B — follow up",IF(ABS(SUMIF('GSTR-2B Data'!$J$5:$J$504,K88,'GSTR-2B Data'!$I$5:$I$504)-(F88+G88+H88))&gt;1,"Tax amount differs","Matched")))</f>
        <v/>
      </c>
    </row>
    <row r="89">
      <c r="A89" s="14" t="n"/>
      <c r="B89" s="11" t="n"/>
      <c r="C89" s="11" t="n"/>
      <c r="D89" s="11" t="n"/>
      <c r="E89" s="18" t="n"/>
      <c r="F89" s="18" t="n"/>
      <c r="G89" s="18" t="n"/>
      <c r="H89" s="18" t="n"/>
      <c r="I89" s="23">
        <f>IF(E89="","",E89+F89+G89+H89)</f>
        <v/>
      </c>
      <c r="J89" s="11" t="n"/>
      <c r="K89">
        <f>IF(D89="","",UPPER(TRIM(C89))&amp;"|"&amp;UPPER(TRIM(D89)))</f>
        <v/>
      </c>
      <c r="L89">
        <f>IF(K89="","",IF(COUNTIF('GSTR-2B Data'!$J$5:$J$504,K89)=0,"Not in 2B — follow up",IF(ABS(SUMIF('GSTR-2B Data'!$J$5:$J$504,K89,'GSTR-2B Data'!$I$5:$I$504)-(F89+G89+H89))&gt;1,"Tax amount differs","Matched")))</f>
        <v/>
      </c>
    </row>
    <row r="90">
      <c r="A90" s="14" t="n"/>
      <c r="B90" s="11" t="n"/>
      <c r="C90" s="11" t="n"/>
      <c r="D90" s="11" t="n"/>
      <c r="E90" s="18" t="n"/>
      <c r="F90" s="18" t="n"/>
      <c r="G90" s="18" t="n"/>
      <c r="H90" s="18" t="n"/>
      <c r="I90" s="23">
        <f>IF(E90="","",E90+F90+G90+H90)</f>
        <v/>
      </c>
      <c r="J90" s="11" t="n"/>
      <c r="K90">
        <f>IF(D90="","",UPPER(TRIM(C90))&amp;"|"&amp;UPPER(TRIM(D90)))</f>
        <v/>
      </c>
      <c r="L90">
        <f>IF(K90="","",IF(COUNTIF('GSTR-2B Data'!$J$5:$J$504,K90)=0,"Not in 2B — follow up",IF(ABS(SUMIF('GSTR-2B Data'!$J$5:$J$504,K90,'GSTR-2B Data'!$I$5:$I$504)-(F90+G90+H90))&gt;1,"Tax amount differs","Matched")))</f>
        <v/>
      </c>
    </row>
    <row r="91">
      <c r="A91" s="14" t="n"/>
      <c r="B91" s="11" t="n"/>
      <c r="C91" s="11" t="n"/>
      <c r="D91" s="11" t="n"/>
      <c r="E91" s="18" t="n"/>
      <c r="F91" s="18" t="n"/>
      <c r="G91" s="18" t="n"/>
      <c r="H91" s="18" t="n"/>
      <c r="I91" s="23">
        <f>IF(E91="","",E91+F91+G91+H91)</f>
        <v/>
      </c>
      <c r="J91" s="11" t="n"/>
      <c r="K91">
        <f>IF(D91="","",UPPER(TRIM(C91))&amp;"|"&amp;UPPER(TRIM(D91)))</f>
        <v/>
      </c>
      <c r="L91">
        <f>IF(K91="","",IF(COUNTIF('GSTR-2B Data'!$J$5:$J$504,K91)=0,"Not in 2B — follow up",IF(ABS(SUMIF('GSTR-2B Data'!$J$5:$J$504,K91,'GSTR-2B Data'!$I$5:$I$504)-(F91+G91+H91))&gt;1,"Tax amount differs","Matched")))</f>
        <v/>
      </c>
    </row>
    <row r="92">
      <c r="A92" s="14" t="n"/>
      <c r="B92" s="11" t="n"/>
      <c r="C92" s="11" t="n"/>
      <c r="D92" s="11" t="n"/>
      <c r="E92" s="18" t="n"/>
      <c r="F92" s="18" t="n"/>
      <c r="G92" s="18" t="n"/>
      <c r="H92" s="18" t="n"/>
      <c r="I92" s="23">
        <f>IF(E92="","",E92+F92+G92+H92)</f>
        <v/>
      </c>
      <c r="J92" s="11" t="n"/>
      <c r="K92">
        <f>IF(D92="","",UPPER(TRIM(C92))&amp;"|"&amp;UPPER(TRIM(D92)))</f>
        <v/>
      </c>
      <c r="L92">
        <f>IF(K92="","",IF(COUNTIF('GSTR-2B Data'!$J$5:$J$504,K92)=0,"Not in 2B — follow up",IF(ABS(SUMIF('GSTR-2B Data'!$J$5:$J$504,K92,'GSTR-2B Data'!$I$5:$I$504)-(F92+G92+H92))&gt;1,"Tax amount differs","Matched")))</f>
        <v/>
      </c>
    </row>
    <row r="93">
      <c r="A93" s="14" t="n"/>
      <c r="B93" s="11" t="n"/>
      <c r="C93" s="11" t="n"/>
      <c r="D93" s="11" t="n"/>
      <c r="E93" s="18" t="n"/>
      <c r="F93" s="18" t="n"/>
      <c r="G93" s="18" t="n"/>
      <c r="H93" s="18" t="n"/>
      <c r="I93" s="23">
        <f>IF(E93="","",E93+F93+G93+H93)</f>
        <v/>
      </c>
      <c r="J93" s="11" t="n"/>
      <c r="K93">
        <f>IF(D93="","",UPPER(TRIM(C93))&amp;"|"&amp;UPPER(TRIM(D93)))</f>
        <v/>
      </c>
      <c r="L93">
        <f>IF(K93="","",IF(COUNTIF('GSTR-2B Data'!$J$5:$J$504,K93)=0,"Not in 2B — follow up",IF(ABS(SUMIF('GSTR-2B Data'!$J$5:$J$504,K93,'GSTR-2B Data'!$I$5:$I$504)-(F93+G93+H93))&gt;1,"Tax amount differs","Matched")))</f>
        <v/>
      </c>
    </row>
    <row r="94">
      <c r="A94" s="14" t="n"/>
      <c r="B94" s="11" t="n"/>
      <c r="C94" s="11" t="n"/>
      <c r="D94" s="11" t="n"/>
      <c r="E94" s="18" t="n"/>
      <c r="F94" s="18" t="n"/>
      <c r="G94" s="18" t="n"/>
      <c r="H94" s="18" t="n"/>
      <c r="I94" s="23">
        <f>IF(E94="","",E94+F94+G94+H94)</f>
        <v/>
      </c>
      <c r="J94" s="11" t="n"/>
      <c r="K94">
        <f>IF(D94="","",UPPER(TRIM(C94))&amp;"|"&amp;UPPER(TRIM(D94)))</f>
        <v/>
      </c>
      <c r="L94">
        <f>IF(K94="","",IF(COUNTIF('GSTR-2B Data'!$J$5:$J$504,K94)=0,"Not in 2B — follow up",IF(ABS(SUMIF('GSTR-2B Data'!$J$5:$J$504,K94,'GSTR-2B Data'!$I$5:$I$504)-(F94+G94+H94))&gt;1,"Tax amount differs","Matched")))</f>
        <v/>
      </c>
    </row>
    <row r="95">
      <c r="A95" s="14" t="n"/>
      <c r="B95" s="11" t="n"/>
      <c r="C95" s="11" t="n"/>
      <c r="D95" s="11" t="n"/>
      <c r="E95" s="18" t="n"/>
      <c r="F95" s="18" t="n"/>
      <c r="G95" s="18" t="n"/>
      <c r="H95" s="18" t="n"/>
      <c r="I95" s="23">
        <f>IF(E95="","",E95+F95+G95+H95)</f>
        <v/>
      </c>
      <c r="J95" s="11" t="n"/>
      <c r="K95">
        <f>IF(D95="","",UPPER(TRIM(C95))&amp;"|"&amp;UPPER(TRIM(D95)))</f>
        <v/>
      </c>
      <c r="L95">
        <f>IF(K95="","",IF(COUNTIF('GSTR-2B Data'!$J$5:$J$504,K95)=0,"Not in 2B — follow up",IF(ABS(SUMIF('GSTR-2B Data'!$J$5:$J$504,K95,'GSTR-2B Data'!$I$5:$I$504)-(F95+G95+H95))&gt;1,"Tax amount differs","Matched")))</f>
        <v/>
      </c>
    </row>
    <row r="96">
      <c r="A96" s="14" t="n"/>
      <c r="B96" s="11" t="n"/>
      <c r="C96" s="11" t="n"/>
      <c r="D96" s="11" t="n"/>
      <c r="E96" s="18" t="n"/>
      <c r="F96" s="18" t="n"/>
      <c r="G96" s="18" t="n"/>
      <c r="H96" s="18" t="n"/>
      <c r="I96" s="23">
        <f>IF(E96="","",E96+F96+G96+H96)</f>
        <v/>
      </c>
      <c r="J96" s="11" t="n"/>
      <c r="K96">
        <f>IF(D96="","",UPPER(TRIM(C96))&amp;"|"&amp;UPPER(TRIM(D96)))</f>
        <v/>
      </c>
      <c r="L96">
        <f>IF(K96="","",IF(COUNTIF('GSTR-2B Data'!$J$5:$J$504,K96)=0,"Not in 2B — follow up",IF(ABS(SUMIF('GSTR-2B Data'!$J$5:$J$504,K96,'GSTR-2B Data'!$I$5:$I$504)-(F96+G96+H96))&gt;1,"Tax amount differs","Matched")))</f>
        <v/>
      </c>
    </row>
    <row r="97">
      <c r="A97" s="14" t="n"/>
      <c r="B97" s="11" t="n"/>
      <c r="C97" s="11" t="n"/>
      <c r="D97" s="11" t="n"/>
      <c r="E97" s="18" t="n"/>
      <c r="F97" s="18" t="n"/>
      <c r="G97" s="18" t="n"/>
      <c r="H97" s="18" t="n"/>
      <c r="I97" s="23">
        <f>IF(E97="","",E97+F97+G97+H97)</f>
        <v/>
      </c>
      <c r="J97" s="11" t="n"/>
      <c r="K97">
        <f>IF(D97="","",UPPER(TRIM(C97))&amp;"|"&amp;UPPER(TRIM(D97)))</f>
        <v/>
      </c>
      <c r="L97">
        <f>IF(K97="","",IF(COUNTIF('GSTR-2B Data'!$J$5:$J$504,K97)=0,"Not in 2B — follow up",IF(ABS(SUMIF('GSTR-2B Data'!$J$5:$J$504,K97,'GSTR-2B Data'!$I$5:$I$504)-(F97+G97+H97))&gt;1,"Tax amount differs","Matched")))</f>
        <v/>
      </c>
    </row>
    <row r="98">
      <c r="A98" s="14" t="n"/>
      <c r="B98" s="11" t="n"/>
      <c r="C98" s="11" t="n"/>
      <c r="D98" s="11" t="n"/>
      <c r="E98" s="18" t="n"/>
      <c r="F98" s="18" t="n"/>
      <c r="G98" s="18" t="n"/>
      <c r="H98" s="18" t="n"/>
      <c r="I98" s="23">
        <f>IF(E98="","",E98+F98+G98+H98)</f>
        <v/>
      </c>
      <c r="J98" s="11" t="n"/>
      <c r="K98">
        <f>IF(D98="","",UPPER(TRIM(C98))&amp;"|"&amp;UPPER(TRIM(D98)))</f>
        <v/>
      </c>
      <c r="L98">
        <f>IF(K98="","",IF(COUNTIF('GSTR-2B Data'!$J$5:$J$504,K98)=0,"Not in 2B — follow up",IF(ABS(SUMIF('GSTR-2B Data'!$J$5:$J$504,K98,'GSTR-2B Data'!$I$5:$I$504)-(F98+G98+H98))&gt;1,"Tax amount differs","Matched")))</f>
        <v/>
      </c>
    </row>
    <row r="99">
      <c r="A99" s="14" t="n"/>
      <c r="B99" s="11" t="n"/>
      <c r="C99" s="11" t="n"/>
      <c r="D99" s="11" t="n"/>
      <c r="E99" s="18" t="n"/>
      <c r="F99" s="18" t="n"/>
      <c r="G99" s="18" t="n"/>
      <c r="H99" s="18" t="n"/>
      <c r="I99" s="23">
        <f>IF(E99="","",E99+F99+G99+H99)</f>
        <v/>
      </c>
      <c r="J99" s="11" t="n"/>
      <c r="K99">
        <f>IF(D99="","",UPPER(TRIM(C99))&amp;"|"&amp;UPPER(TRIM(D99)))</f>
        <v/>
      </c>
      <c r="L99">
        <f>IF(K99="","",IF(COUNTIF('GSTR-2B Data'!$J$5:$J$504,K99)=0,"Not in 2B — follow up",IF(ABS(SUMIF('GSTR-2B Data'!$J$5:$J$504,K99,'GSTR-2B Data'!$I$5:$I$504)-(F99+G99+H99))&gt;1,"Tax amount differs","Matched")))</f>
        <v/>
      </c>
    </row>
    <row r="100">
      <c r="A100" s="14" t="n"/>
      <c r="B100" s="11" t="n"/>
      <c r="C100" s="11" t="n"/>
      <c r="D100" s="11" t="n"/>
      <c r="E100" s="18" t="n"/>
      <c r="F100" s="18" t="n"/>
      <c r="G100" s="18" t="n"/>
      <c r="H100" s="18" t="n"/>
      <c r="I100" s="23">
        <f>IF(E100="","",E100+F100+G100+H100)</f>
        <v/>
      </c>
      <c r="J100" s="11" t="n"/>
      <c r="K100">
        <f>IF(D100="","",UPPER(TRIM(C100))&amp;"|"&amp;UPPER(TRIM(D100)))</f>
        <v/>
      </c>
      <c r="L100">
        <f>IF(K100="","",IF(COUNTIF('GSTR-2B Data'!$J$5:$J$504,K100)=0,"Not in 2B — follow up",IF(ABS(SUMIF('GSTR-2B Data'!$J$5:$J$504,K100,'GSTR-2B Data'!$I$5:$I$504)-(F100+G100+H100))&gt;1,"Tax amount differs","Matched")))</f>
        <v/>
      </c>
    </row>
    <row r="101">
      <c r="A101" s="14" t="n"/>
      <c r="B101" s="11" t="n"/>
      <c r="C101" s="11" t="n"/>
      <c r="D101" s="11" t="n"/>
      <c r="E101" s="18" t="n"/>
      <c r="F101" s="18" t="n"/>
      <c r="G101" s="18" t="n"/>
      <c r="H101" s="18" t="n"/>
      <c r="I101" s="23">
        <f>IF(E101="","",E101+F101+G101+H101)</f>
        <v/>
      </c>
      <c r="J101" s="11" t="n"/>
      <c r="K101">
        <f>IF(D101="","",UPPER(TRIM(C101))&amp;"|"&amp;UPPER(TRIM(D101)))</f>
        <v/>
      </c>
      <c r="L101">
        <f>IF(K101="","",IF(COUNTIF('GSTR-2B Data'!$J$5:$J$504,K101)=0,"Not in 2B — follow up",IF(ABS(SUMIF('GSTR-2B Data'!$J$5:$J$504,K101,'GSTR-2B Data'!$I$5:$I$504)-(F101+G101+H101))&gt;1,"Tax amount differs","Matched")))</f>
        <v/>
      </c>
    </row>
    <row r="102">
      <c r="A102" s="14" t="n"/>
      <c r="B102" s="11" t="n"/>
      <c r="C102" s="11" t="n"/>
      <c r="D102" s="11" t="n"/>
      <c r="E102" s="18" t="n"/>
      <c r="F102" s="18" t="n"/>
      <c r="G102" s="18" t="n"/>
      <c r="H102" s="18" t="n"/>
      <c r="I102" s="23">
        <f>IF(E102="","",E102+F102+G102+H102)</f>
        <v/>
      </c>
      <c r="J102" s="11" t="n"/>
      <c r="K102">
        <f>IF(D102="","",UPPER(TRIM(C102))&amp;"|"&amp;UPPER(TRIM(D102)))</f>
        <v/>
      </c>
      <c r="L102">
        <f>IF(K102="","",IF(COUNTIF('GSTR-2B Data'!$J$5:$J$504,K102)=0,"Not in 2B — follow up",IF(ABS(SUMIF('GSTR-2B Data'!$J$5:$J$504,K102,'GSTR-2B Data'!$I$5:$I$504)-(F102+G102+H102))&gt;1,"Tax amount differs","Matched")))</f>
        <v/>
      </c>
    </row>
    <row r="103">
      <c r="A103" s="14" t="n"/>
      <c r="B103" s="11" t="n"/>
      <c r="C103" s="11" t="n"/>
      <c r="D103" s="11" t="n"/>
      <c r="E103" s="18" t="n"/>
      <c r="F103" s="18" t="n"/>
      <c r="G103" s="18" t="n"/>
      <c r="H103" s="18" t="n"/>
      <c r="I103" s="23">
        <f>IF(E103="","",E103+F103+G103+H103)</f>
        <v/>
      </c>
      <c r="J103" s="11" t="n"/>
      <c r="K103">
        <f>IF(D103="","",UPPER(TRIM(C103))&amp;"|"&amp;UPPER(TRIM(D103)))</f>
        <v/>
      </c>
      <c r="L103">
        <f>IF(K103="","",IF(COUNTIF('GSTR-2B Data'!$J$5:$J$504,K103)=0,"Not in 2B — follow up",IF(ABS(SUMIF('GSTR-2B Data'!$J$5:$J$504,K103,'GSTR-2B Data'!$I$5:$I$504)-(F103+G103+H103))&gt;1,"Tax amount differs","Matched")))</f>
        <v/>
      </c>
    </row>
    <row r="104">
      <c r="A104" s="14" t="n"/>
      <c r="B104" s="11" t="n"/>
      <c r="C104" s="11" t="n"/>
      <c r="D104" s="11" t="n"/>
      <c r="E104" s="18" t="n"/>
      <c r="F104" s="18" t="n"/>
      <c r="G104" s="18" t="n"/>
      <c r="H104" s="18" t="n"/>
      <c r="I104" s="23">
        <f>IF(E104="","",E104+F104+G104+H104)</f>
        <v/>
      </c>
      <c r="J104" s="11" t="n"/>
      <c r="K104">
        <f>IF(D104="","",UPPER(TRIM(C104))&amp;"|"&amp;UPPER(TRIM(D104)))</f>
        <v/>
      </c>
      <c r="L104">
        <f>IF(K104="","",IF(COUNTIF('GSTR-2B Data'!$J$5:$J$504,K104)=0,"Not in 2B — follow up",IF(ABS(SUMIF('GSTR-2B Data'!$J$5:$J$504,K104,'GSTR-2B Data'!$I$5:$I$504)-(F104+G104+H104))&gt;1,"Tax amount differs","Matched")))</f>
        <v/>
      </c>
    </row>
    <row r="105">
      <c r="A105" s="14" t="n"/>
      <c r="B105" s="11" t="n"/>
      <c r="C105" s="11" t="n"/>
      <c r="D105" s="11" t="n"/>
      <c r="E105" s="18" t="n"/>
      <c r="F105" s="18" t="n"/>
      <c r="G105" s="18" t="n"/>
      <c r="H105" s="18" t="n"/>
      <c r="I105" s="23">
        <f>IF(E105="","",E105+F105+G105+H105)</f>
        <v/>
      </c>
      <c r="J105" s="11" t="n"/>
      <c r="K105">
        <f>IF(D105="","",UPPER(TRIM(C105))&amp;"|"&amp;UPPER(TRIM(D105)))</f>
        <v/>
      </c>
      <c r="L105">
        <f>IF(K105="","",IF(COUNTIF('GSTR-2B Data'!$J$5:$J$504,K105)=0,"Not in 2B — follow up",IF(ABS(SUMIF('GSTR-2B Data'!$J$5:$J$504,K105,'GSTR-2B Data'!$I$5:$I$504)-(F105+G105+H105))&gt;1,"Tax amount differs","Matched")))</f>
        <v/>
      </c>
    </row>
    <row r="106">
      <c r="A106" s="14" t="n"/>
      <c r="B106" s="11" t="n"/>
      <c r="C106" s="11" t="n"/>
      <c r="D106" s="11" t="n"/>
      <c r="E106" s="18" t="n"/>
      <c r="F106" s="18" t="n"/>
      <c r="G106" s="18" t="n"/>
      <c r="H106" s="18" t="n"/>
      <c r="I106" s="23">
        <f>IF(E106="","",E106+F106+G106+H106)</f>
        <v/>
      </c>
      <c r="J106" s="11" t="n"/>
      <c r="K106">
        <f>IF(D106="","",UPPER(TRIM(C106))&amp;"|"&amp;UPPER(TRIM(D106)))</f>
        <v/>
      </c>
      <c r="L106">
        <f>IF(K106="","",IF(COUNTIF('GSTR-2B Data'!$J$5:$J$504,K106)=0,"Not in 2B — follow up",IF(ABS(SUMIF('GSTR-2B Data'!$J$5:$J$504,K106,'GSTR-2B Data'!$I$5:$I$504)-(F106+G106+H106))&gt;1,"Tax amount differs","Matched")))</f>
        <v/>
      </c>
    </row>
    <row r="107">
      <c r="A107" s="14" t="n"/>
      <c r="B107" s="11" t="n"/>
      <c r="C107" s="11" t="n"/>
      <c r="D107" s="11" t="n"/>
      <c r="E107" s="18" t="n"/>
      <c r="F107" s="18" t="n"/>
      <c r="G107" s="18" t="n"/>
      <c r="H107" s="18" t="n"/>
      <c r="I107" s="23">
        <f>IF(E107="","",E107+F107+G107+H107)</f>
        <v/>
      </c>
      <c r="J107" s="11" t="n"/>
      <c r="K107">
        <f>IF(D107="","",UPPER(TRIM(C107))&amp;"|"&amp;UPPER(TRIM(D107)))</f>
        <v/>
      </c>
      <c r="L107">
        <f>IF(K107="","",IF(COUNTIF('GSTR-2B Data'!$J$5:$J$504,K107)=0,"Not in 2B — follow up",IF(ABS(SUMIF('GSTR-2B Data'!$J$5:$J$504,K107,'GSTR-2B Data'!$I$5:$I$504)-(F107+G107+H107))&gt;1,"Tax amount differs","Matched")))</f>
        <v/>
      </c>
    </row>
    <row r="108">
      <c r="A108" s="14" t="n"/>
      <c r="B108" s="11" t="n"/>
      <c r="C108" s="11" t="n"/>
      <c r="D108" s="11" t="n"/>
      <c r="E108" s="18" t="n"/>
      <c r="F108" s="18" t="n"/>
      <c r="G108" s="18" t="n"/>
      <c r="H108" s="18" t="n"/>
      <c r="I108" s="23">
        <f>IF(E108="","",E108+F108+G108+H108)</f>
        <v/>
      </c>
      <c r="J108" s="11" t="n"/>
      <c r="K108">
        <f>IF(D108="","",UPPER(TRIM(C108))&amp;"|"&amp;UPPER(TRIM(D108)))</f>
        <v/>
      </c>
      <c r="L108">
        <f>IF(K108="","",IF(COUNTIF('GSTR-2B Data'!$J$5:$J$504,K108)=0,"Not in 2B — follow up",IF(ABS(SUMIF('GSTR-2B Data'!$J$5:$J$504,K108,'GSTR-2B Data'!$I$5:$I$504)-(F108+G108+H108))&gt;1,"Tax amount differs","Matched")))</f>
        <v/>
      </c>
    </row>
    <row r="109">
      <c r="A109" s="14" t="n"/>
      <c r="B109" s="11" t="n"/>
      <c r="C109" s="11" t="n"/>
      <c r="D109" s="11" t="n"/>
      <c r="E109" s="18" t="n"/>
      <c r="F109" s="18" t="n"/>
      <c r="G109" s="18" t="n"/>
      <c r="H109" s="18" t="n"/>
      <c r="I109" s="23">
        <f>IF(E109="","",E109+F109+G109+H109)</f>
        <v/>
      </c>
      <c r="J109" s="11" t="n"/>
      <c r="K109">
        <f>IF(D109="","",UPPER(TRIM(C109))&amp;"|"&amp;UPPER(TRIM(D109)))</f>
        <v/>
      </c>
      <c r="L109">
        <f>IF(K109="","",IF(COUNTIF('GSTR-2B Data'!$J$5:$J$504,K109)=0,"Not in 2B — follow up",IF(ABS(SUMIF('GSTR-2B Data'!$J$5:$J$504,K109,'GSTR-2B Data'!$I$5:$I$504)-(F109+G109+H109))&gt;1,"Tax amount differs","Matched")))</f>
        <v/>
      </c>
    </row>
    <row r="110">
      <c r="A110" s="14" t="n"/>
      <c r="B110" s="11" t="n"/>
      <c r="C110" s="11" t="n"/>
      <c r="D110" s="11" t="n"/>
      <c r="E110" s="18" t="n"/>
      <c r="F110" s="18" t="n"/>
      <c r="G110" s="18" t="n"/>
      <c r="H110" s="18" t="n"/>
      <c r="I110" s="23">
        <f>IF(E110="","",E110+F110+G110+H110)</f>
        <v/>
      </c>
      <c r="J110" s="11" t="n"/>
      <c r="K110">
        <f>IF(D110="","",UPPER(TRIM(C110))&amp;"|"&amp;UPPER(TRIM(D110)))</f>
        <v/>
      </c>
      <c r="L110">
        <f>IF(K110="","",IF(COUNTIF('GSTR-2B Data'!$J$5:$J$504,K110)=0,"Not in 2B — follow up",IF(ABS(SUMIF('GSTR-2B Data'!$J$5:$J$504,K110,'GSTR-2B Data'!$I$5:$I$504)-(F110+G110+H110))&gt;1,"Tax amount differs","Matched")))</f>
        <v/>
      </c>
    </row>
    <row r="111">
      <c r="A111" s="14" t="n"/>
      <c r="B111" s="11" t="n"/>
      <c r="C111" s="11" t="n"/>
      <c r="D111" s="11" t="n"/>
      <c r="E111" s="18" t="n"/>
      <c r="F111" s="18" t="n"/>
      <c r="G111" s="18" t="n"/>
      <c r="H111" s="18" t="n"/>
      <c r="I111" s="23">
        <f>IF(E111="","",E111+F111+G111+H111)</f>
        <v/>
      </c>
      <c r="J111" s="11" t="n"/>
      <c r="K111">
        <f>IF(D111="","",UPPER(TRIM(C111))&amp;"|"&amp;UPPER(TRIM(D111)))</f>
        <v/>
      </c>
      <c r="L111">
        <f>IF(K111="","",IF(COUNTIF('GSTR-2B Data'!$J$5:$J$504,K111)=0,"Not in 2B — follow up",IF(ABS(SUMIF('GSTR-2B Data'!$J$5:$J$504,K111,'GSTR-2B Data'!$I$5:$I$504)-(F111+G111+H111))&gt;1,"Tax amount differs","Matched")))</f>
        <v/>
      </c>
    </row>
    <row r="112">
      <c r="A112" s="14" t="n"/>
      <c r="B112" s="11" t="n"/>
      <c r="C112" s="11" t="n"/>
      <c r="D112" s="11" t="n"/>
      <c r="E112" s="18" t="n"/>
      <c r="F112" s="18" t="n"/>
      <c r="G112" s="18" t="n"/>
      <c r="H112" s="18" t="n"/>
      <c r="I112" s="23">
        <f>IF(E112="","",E112+F112+G112+H112)</f>
        <v/>
      </c>
      <c r="J112" s="11" t="n"/>
      <c r="K112">
        <f>IF(D112="","",UPPER(TRIM(C112))&amp;"|"&amp;UPPER(TRIM(D112)))</f>
        <v/>
      </c>
      <c r="L112">
        <f>IF(K112="","",IF(COUNTIF('GSTR-2B Data'!$J$5:$J$504,K112)=0,"Not in 2B — follow up",IF(ABS(SUMIF('GSTR-2B Data'!$J$5:$J$504,K112,'GSTR-2B Data'!$I$5:$I$504)-(F112+G112+H112))&gt;1,"Tax amount differs","Matched")))</f>
        <v/>
      </c>
    </row>
    <row r="113">
      <c r="A113" s="14" t="n"/>
      <c r="B113" s="11" t="n"/>
      <c r="C113" s="11" t="n"/>
      <c r="D113" s="11" t="n"/>
      <c r="E113" s="18" t="n"/>
      <c r="F113" s="18" t="n"/>
      <c r="G113" s="18" t="n"/>
      <c r="H113" s="18" t="n"/>
      <c r="I113" s="23">
        <f>IF(E113="","",E113+F113+G113+H113)</f>
        <v/>
      </c>
      <c r="J113" s="11" t="n"/>
      <c r="K113">
        <f>IF(D113="","",UPPER(TRIM(C113))&amp;"|"&amp;UPPER(TRIM(D113)))</f>
        <v/>
      </c>
      <c r="L113">
        <f>IF(K113="","",IF(COUNTIF('GSTR-2B Data'!$J$5:$J$504,K113)=0,"Not in 2B — follow up",IF(ABS(SUMIF('GSTR-2B Data'!$J$5:$J$504,K113,'GSTR-2B Data'!$I$5:$I$504)-(F113+G113+H113))&gt;1,"Tax amount differs","Matched")))</f>
        <v/>
      </c>
    </row>
    <row r="114">
      <c r="A114" s="14" t="n"/>
      <c r="B114" s="11" t="n"/>
      <c r="C114" s="11" t="n"/>
      <c r="D114" s="11" t="n"/>
      <c r="E114" s="18" t="n"/>
      <c r="F114" s="18" t="n"/>
      <c r="G114" s="18" t="n"/>
      <c r="H114" s="18" t="n"/>
      <c r="I114" s="23">
        <f>IF(E114="","",E114+F114+G114+H114)</f>
        <v/>
      </c>
      <c r="J114" s="11" t="n"/>
      <c r="K114">
        <f>IF(D114="","",UPPER(TRIM(C114))&amp;"|"&amp;UPPER(TRIM(D114)))</f>
        <v/>
      </c>
      <c r="L114">
        <f>IF(K114="","",IF(COUNTIF('GSTR-2B Data'!$J$5:$J$504,K114)=0,"Not in 2B — follow up",IF(ABS(SUMIF('GSTR-2B Data'!$J$5:$J$504,K114,'GSTR-2B Data'!$I$5:$I$504)-(F114+G114+H114))&gt;1,"Tax amount differs","Matched")))</f>
        <v/>
      </c>
    </row>
    <row r="115">
      <c r="A115" s="14" t="n"/>
      <c r="B115" s="11" t="n"/>
      <c r="C115" s="11" t="n"/>
      <c r="D115" s="11" t="n"/>
      <c r="E115" s="18" t="n"/>
      <c r="F115" s="18" t="n"/>
      <c r="G115" s="18" t="n"/>
      <c r="H115" s="18" t="n"/>
      <c r="I115" s="23">
        <f>IF(E115="","",E115+F115+G115+H115)</f>
        <v/>
      </c>
      <c r="J115" s="11" t="n"/>
      <c r="K115">
        <f>IF(D115="","",UPPER(TRIM(C115))&amp;"|"&amp;UPPER(TRIM(D115)))</f>
        <v/>
      </c>
      <c r="L115">
        <f>IF(K115="","",IF(COUNTIF('GSTR-2B Data'!$J$5:$J$504,K115)=0,"Not in 2B — follow up",IF(ABS(SUMIF('GSTR-2B Data'!$J$5:$J$504,K115,'GSTR-2B Data'!$I$5:$I$504)-(F115+G115+H115))&gt;1,"Tax amount differs","Matched")))</f>
        <v/>
      </c>
    </row>
    <row r="116">
      <c r="A116" s="14" t="n"/>
      <c r="B116" s="11" t="n"/>
      <c r="C116" s="11" t="n"/>
      <c r="D116" s="11" t="n"/>
      <c r="E116" s="18" t="n"/>
      <c r="F116" s="18" t="n"/>
      <c r="G116" s="18" t="n"/>
      <c r="H116" s="18" t="n"/>
      <c r="I116" s="23">
        <f>IF(E116="","",E116+F116+G116+H116)</f>
        <v/>
      </c>
      <c r="J116" s="11" t="n"/>
      <c r="K116">
        <f>IF(D116="","",UPPER(TRIM(C116))&amp;"|"&amp;UPPER(TRIM(D116)))</f>
        <v/>
      </c>
      <c r="L116">
        <f>IF(K116="","",IF(COUNTIF('GSTR-2B Data'!$J$5:$J$504,K116)=0,"Not in 2B — follow up",IF(ABS(SUMIF('GSTR-2B Data'!$J$5:$J$504,K116,'GSTR-2B Data'!$I$5:$I$504)-(F116+G116+H116))&gt;1,"Tax amount differs","Matched")))</f>
        <v/>
      </c>
    </row>
    <row r="117">
      <c r="A117" s="14" t="n"/>
      <c r="B117" s="11" t="n"/>
      <c r="C117" s="11" t="n"/>
      <c r="D117" s="11" t="n"/>
      <c r="E117" s="18" t="n"/>
      <c r="F117" s="18" t="n"/>
      <c r="G117" s="18" t="n"/>
      <c r="H117" s="18" t="n"/>
      <c r="I117" s="23">
        <f>IF(E117="","",E117+F117+G117+H117)</f>
        <v/>
      </c>
      <c r="J117" s="11" t="n"/>
      <c r="K117">
        <f>IF(D117="","",UPPER(TRIM(C117))&amp;"|"&amp;UPPER(TRIM(D117)))</f>
        <v/>
      </c>
      <c r="L117">
        <f>IF(K117="","",IF(COUNTIF('GSTR-2B Data'!$J$5:$J$504,K117)=0,"Not in 2B — follow up",IF(ABS(SUMIF('GSTR-2B Data'!$J$5:$J$504,K117,'GSTR-2B Data'!$I$5:$I$504)-(F117+G117+H117))&gt;1,"Tax amount differs","Matched")))</f>
        <v/>
      </c>
    </row>
    <row r="118">
      <c r="A118" s="14" t="n"/>
      <c r="B118" s="11" t="n"/>
      <c r="C118" s="11" t="n"/>
      <c r="D118" s="11" t="n"/>
      <c r="E118" s="18" t="n"/>
      <c r="F118" s="18" t="n"/>
      <c r="G118" s="18" t="n"/>
      <c r="H118" s="18" t="n"/>
      <c r="I118" s="23">
        <f>IF(E118="","",E118+F118+G118+H118)</f>
        <v/>
      </c>
      <c r="J118" s="11" t="n"/>
      <c r="K118">
        <f>IF(D118="","",UPPER(TRIM(C118))&amp;"|"&amp;UPPER(TRIM(D118)))</f>
        <v/>
      </c>
      <c r="L118">
        <f>IF(K118="","",IF(COUNTIF('GSTR-2B Data'!$J$5:$J$504,K118)=0,"Not in 2B — follow up",IF(ABS(SUMIF('GSTR-2B Data'!$J$5:$J$504,K118,'GSTR-2B Data'!$I$5:$I$504)-(F118+G118+H118))&gt;1,"Tax amount differs","Matched")))</f>
        <v/>
      </c>
    </row>
    <row r="119">
      <c r="A119" s="14" t="n"/>
      <c r="B119" s="11" t="n"/>
      <c r="C119" s="11" t="n"/>
      <c r="D119" s="11" t="n"/>
      <c r="E119" s="18" t="n"/>
      <c r="F119" s="18" t="n"/>
      <c r="G119" s="18" t="n"/>
      <c r="H119" s="18" t="n"/>
      <c r="I119" s="23">
        <f>IF(E119="","",E119+F119+G119+H119)</f>
        <v/>
      </c>
      <c r="J119" s="11" t="n"/>
      <c r="K119">
        <f>IF(D119="","",UPPER(TRIM(C119))&amp;"|"&amp;UPPER(TRIM(D119)))</f>
        <v/>
      </c>
      <c r="L119">
        <f>IF(K119="","",IF(COUNTIF('GSTR-2B Data'!$J$5:$J$504,K119)=0,"Not in 2B — follow up",IF(ABS(SUMIF('GSTR-2B Data'!$J$5:$J$504,K119,'GSTR-2B Data'!$I$5:$I$504)-(F119+G119+H119))&gt;1,"Tax amount differs","Matched")))</f>
        <v/>
      </c>
    </row>
    <row r="120">
      <c r="A120" s="14" t="n"/>
      <c r="B120" s="11" t="n"/>
      <c r="C120" s="11" t="n"/>
      <c r="D120" s="11" t="n"/>
      <c r="E120" s="18" t="n"/>
      <c r="F120" s="18" t="n"/>
      <c r="G120" s="18" t="n"/>
      <c r="H120" s="18" t="n"/>
      <c r="I120" s="23">
        <f>IF(E120="","",E120+F120+G120+H120)</f>
        <v/>
      </c>
      <c r="J120" s="11" t="n"/>
      <c r="K120">
        <f>IF(D120="","",UPPER(TRIM(C120))&amp;"|"&amp;UPPER(TRIM(D120)))</f>
        <v/>
      </c>
      <c r="L120">
        <f>IF(K120="","",IF(COUNTIF('GSTR-2B Data'!$J$5:$J$504,K120)=0,"Not in 2B — follow up",IF(ABS(SUMIF('GSTR-2B Data'!$J$5:$J$504,K120,'GSTR-2B Data'!$I$5:$I$504)-(F120+G120+H120))&gt;1,"Tax amount differs","Matched")))</f>
        <v/>
      </c>
    </row>
    <row r="121">
      <c r="A121" s="14" t="n"/>
      <c r="B121" s="11" t="n"/>
      <c r="C121" s="11" t="n"/>
      <c r="D121" s="11" t="n"/>
      <c r="E121" s="18" t="n"/>
      <c r="F121" s="18" t="n"/>
      <c r="G121" s="18" t="n"/>
      <c r="H121" s="18" t="n"/>
      <c r="I121" s="23">
        <f>IF(E121="","",E121+F121+G121+H121)</f>
        <v/>
      </c>
      <c r="J121" s="11" t="n"/>
      <c r="K121">
        <f>IF(D121="","",UPPER(TRIM(C121))&amp;"|"&amp;UPPER(TRIM(D121)))</f>
        <v/>
      </c>
      <c r="L121">
        <f>IF(K121="","",IF(COUNTIF('GSTR-2B Data'!$J$5:$J$504,K121)=0,"Not in 2B — follow up",IF(ABS(SUMIF('GSTR-2B Data'!$J$5:$J$504,K121,'GSTR-2B Data'!$I$5:$I$504)-(F121+G121+H121))&gt;1,"Tax amount differs","Matched")))</f>
        <v/>
      </c>
    </row>
    <row r="122">
      <c r="A122" s="14" t="n"/>
      <c r="B122" s="11" t="n"/>
      <c r="C122" s="11" t="n"/>
      <c r="D122" s="11" t="n"/>
      <c r="E122" s="18" t="n"/>
      <c r="F122" s="18" t="n"/>
      <c r="G122" s="18" t="n"/>
      <c r="H122" s="18" t="n"/>
      <c r="I122" s="23">
        <f>IF(E122="","",E122+F122+G122+H122)</f>
        <v/>
      </c>
      <c r="J122" s="11" t="n"/>
      <c r="K122">
        <f>IF(D122="","",UPPER(TRIM(C122))&amp;"|"&amp;UPPER(TRIM(D122)))</f>
        <v/>
      </c>
      <c r="L122">
        <f>IF(K122="","",IF(COUNTIF('GSTR-2B Data'!$J$5:$J$504,K122)=0,"Not in 2B — follow up",IF(ABS(SUMIF('GSTR-2B Data'!$J$5:$J$504,K122,'GSTR-2B Data'!$I$5:$I$504)-(F122+G122+H122))&gt;1,"Tax amount differs","Matched")))</f>
        <v/>
      </c>
    </row>
    <row r="123">
      <c r="A123" s="14" t="n"/>
      <c r="B123" s="11" t="n"/>
      <c r="C123" s="11" t="n"/>
      <c r="D123" s="11" t="n"/>
      <c r="E123" s="18" t="n"/>
      <c r="F123" s="18" t="n"/>
      <c r="G123" s="18" t="n"/>
      <c r="H123" s="18" t="n"/>
      <c r="I123" s="23">
        <f>IF(E123="","",E123+F123+G123+H123)</f>
        <v/>
      </c>
      <c r="J123" s="11" t="n"/>
      <c r="K123">
        <f>IF(D123="","",UPPER(TRIM(C123))&amp;"|"&amp;UPPER(TRIM(D123)))</f>
        <v/>
      </c>
      <c r="L123">
        <f>IF(K123="","",IF(COUNTIF('GSTR-2B Data'!$J$5:$J$504,K123)=0,"Not in 2B — follow up",IF(ABS(SUMIF('GSTR-2B Data'!$J$5:$J$504,K123,'GSTR-2B Data'!$I$5:$I$504)-(F123+G123+H123))&gt;1,"Tax amount differs","Matched")))</f>
        <v/>
      </c>
    </row>
    <row r="124">
      <c r="A124" s="14" t="n"/>
      <c r="B124" s="11" t="n"/>
      <c r="C124" s="11" t="n"/>
      <c r="D124" s="11" t="n"/>
      <c r="E124" s="18" t="n"/>
      <c r="F124" s="18" t="n"/>
      <c r="G124" s="18" t="n"/>
      <c r="H124" s="18" t="n"/>
      <c r="I124" s="23">
        <f>IF(E124="","",E124+F124+G124+H124)</f>
        <v/>
      </c>
      <c r="J124" s="11" t="n"/>
      <c r="K124">
        <f>IF(D124="","",UPPER(TRIM(C124))&amp;"|"&amp;UPPER(TRIM(D124)))</f>
        <v/>
      </c>
      <c r="L124">
        <f>IF(K124="","",IF(COUNTIF('GSTR-2B Data'!$J$5:$J$504,K124)=0,"Not in 2B — follow up",IF(ABS(SUMIF('GSTR-2B Data'!$J$5:$J$504,K124,'GSTR-2B Data'!$I$5:$I$504)-(F124+G124+H124))&gt;1,"Tax amount differs","Matched")))</f>
        <v/>
      </c>
    </row>
    <row r="125">
      <c r="A125" s="14" t="n"/>
      <c r="B125" s="11" t="n"/>
      <c r="C125" s="11" t="n"/>
      <c r="D125" s="11" t="n"/>
      <c r="E125" s="18" t="n"/>
      <c r="F125" s="18" t="n"/>
      <c r="G125" s="18" t="n"/>
      <c r="H125" s="18" t="n"/>
      <c r="I125" s="23">
        <f>IF(E125="","",E125+F125+G125+H125)</f>
        <v/>
      </c>
      <c r="J125" s="11" t="n"/>
      <c r="K125">
        <f>IF(D125="","",UPPER(TRIM(C125))&amp;"|"&amp;UPPER(TRIM(D125)))</f>
        <v/>
      </c>
      <c r="L125">
        <f>IF(K125="","",IF(COUNTIF('GSTR-2B Data'!$J$5:$J$504,K125)=0,"Not in 2B — follow up",IF(ABS(SUMIF('GSTR-2B Data'!$J$5:$J$504,K125,'GSTR-2B Data'!$I$5:$I$504)-(F125+G125+H125))&gt;1,"Tax amount differs","Matched")))</f>
        <v/>
      </c>
    </row>
    <row r="126">
      <c r="A126" s="14" t="n"/>
      <c r="B126" s="11" t="n"/>
      <c r="C126" s="11" t="n"/>
      <c r="D126" s="11" t="n"/>
      <c r="E126" s="18" t="n"/>
      <c r="F126" s="18" t="n"/>
      <c r="G126" s="18" t="n"/>
      <c r="H126" s="18" t="n"/>
      <c r="I126" s="23">
        <f>IF(E126="","",E126+F126+G126+H126)</f>
        <v/>
      </c>
      <c r="J126" s="11" t="n"/>
      <c r="K126">
        <f>IF(D126="","",UPPER(TRIM(C126))&amp;"|"&amp;UPPER(TRIM(D126)))</f>
        <v/>
      </c>
      <c r="L126">
        <f>IF(K126="","",IF(COUNTIF('GSTR-2B Data'!$J$5:$J$504,K126)=0,"Not in 2B — follow up",IF(ABS(SUMIF('GSTR-2B Data'!$J$5:$J$504,K126,'GSTR-2B Data'!$I$5:$I$504)-(F126+G126+H126))&gt;1,"Tax amount differs","Matched")))</f>
        <v/>
      </c>
    </row>
    <row r="127">
      <c r="A127" s="14" t="n"/>
      <c r="B127" s="11" t="n"/>
      <c r="C127" s="11" t="n"/>
      <c r="D127" s="11" t="n"/>
      <c r="E127" s="18" t="n"/>
      <c r="F127" s="18" t="n"/>
      <c r="G127" s="18" t="n"/>
      <c r="H127" s="18" t="n"/>
      <c r="I127" s="23">
        <f>IF(E127="","",E127+F127+G127+H127)</f>
        <v/>
      </c>
      <c r="J127" s="11" t="n"/>
      <c r="K127">
        <f>IF(D127="","",UPPER(TRIM(C127))&amp;"|"&amp;UPPER(TRIM(D127)))</f>
        <v/>
      </c>
      <c r="L127">
        <f>IF(K127="","",IF(COUNTIF('GSTR-2B Data'!$J$5:$J$504,K127)=0,"Not in 2B — follow up",IF(ABS(SUMIF('GSTR-2B Data'!$J$5:$J$504,K127,'GSTR-2B Data'!$I$5:$I$504)-(F127+G127+H127))&gt;1,"Tax amount differs","Matched")))</f>
        <v/>
      </c>
    </row>
    <row r="128">
      <c r="A128" s="14" t="n"/>
      <c r="B128" s="11" t="n"/>
      <c r="C128" s="11" t="n"/>
      <c r="D128" s="11" t="n"/>
      <c r="E128" s="18" t="n"/>
      <c r="F128" s="18" t="n"/>
      <c r="G128" s="18" t="n"/>
      <c r="H128" s="18" t="n"/>
      <c r="I128" s="23">
        <f>IF(E128="","",E128+F128+G128+H128)</f>
        <v/>
      </c>
      <c r="J128" s="11" t="n"/>
      <c r="K128">
        <f>IF(D128="","",UPPER(TRIM(C128))&amp;"|"&amp;UPPER(TRIM(D128)))</f>
        <v/>
      </c>
      <c r="L128">
        <f>IF(K128="","",IF(COUNTIF('GSTR-2B Data'!$J$5:$J$504,K128)=0,"Not in 2B — follow up",IF(ABS(SUMIF('GSTR-2B Data'!$J$5:$J$504,K128,'GSTR-2B Data'!$I$5:$I$504)-(F128+G128+H128))&gt;1,"Tax amount differs","Matched")))</f>
        <v/>
      </c>
    </row>
    <row r="129">
      <c r="A129" s="14" t="n"/>
      <c r="B129" s="11" t="n"/>
      <c r="C129" s="11" t="n"/>
      <c r="D129" s="11" t="n"/>
      <c r="E129" s="18" t="n"/>
      <c r="F129" s="18" t="n"/>
      <c r="G129" s="18" t="n"/>
      <c r="H129" s="18" t="n"/>
      <c r="I129" s="23">
        <f>IF(E129="","",E129+F129+G129+H129)</f>
        <v/>
      </c>
      <c r="J129" s="11" t="n"/>
      <c r="K129">
        <f>IF(D129="","",UPPER(TRIM(C129))&amp;"|"&amp;UPPER(TRIM(D129)))</f>
        <v/>
      </c>
      <c r="L129">
        <f>IF(K129="","",IF(COUNTIF('GSTR-2B Data'!$J$5:$J$504,K129)=0,"Not in 2B — follow up",IF(ABS(SUMIF('GSTR-2B Data'!$J$5:$J$504,K129,'GSTR-2B Data'!$I$5:$I$504)-(F129+G129+H129))&gt;1,"Tax amount differs","Matched")))</f>
        <v/>
      </c>
    </row>
    <row r="130">
      <c r="A130" s="14" t="n"/>
      <c r="B130" s="11" t="n"/>
      <c r="C130" s="11" t="n"/>
      <c r="D130" s="11" t="n"/>
      <c r="E130" s="18" t="n"/>
      <c r="F130" s="18" t="n"/>
      <c r="G130" s="18" t="n"/>
      <c r="H130" s="18" t="n"/>
      <c r="I130" s="23">
        <f>IF(E130="","",E130+F130+G130+H130)</f>
        <v/>
      </c>
      <c r="J130" s="11" t="n"/>
      <c r="K130">
        <f>IF(D130="","",UPPER(TRIM(C130))&amp;"|"&amp;UPPER(TRIM(D130)))</f>
        <v/>
      </c>
      <c r="L130">
        <f>IF(K130="","",IF(COUNTIF('GSTR-2B Data'!$J$5:$J$504,K130)=0,"Not in 2B — follow up",IF(ABS(SUMIF('GSTR-2B Data'!$J$5:$J$504,K130,'GSTR-2B Data'!$I$5:$I$504)-(F130+G130+H130))&gt;1,"Tax amount differs","Matched")))</f>
        <v/>
      </c>
    </row>
    <row r="131">
      <c r="A131" s="14" t="n"/>
      <c r="B131" s="11" t="n"/>
      <c r="C131" s="11" t="n"/>
      <c r="D131" s="11" t="n"/>
      <c r="E131" s="18" t="n"/>
      <c r="F131" s="18" t="n"/>
      <c r="G131" s="18" t="n"/>
      <c r="H131" s="18" t="n"/>
      <c r="I131" s="23">
        <f>IF(E131="","",E131+F131+G131+H131)</f>
        <v/>
      </c>
      <c r="J131" s="11" t="n"/>
      <c r="K131">
        <f>IF(D131="","",UPPER(TRIM(C131))&amp;"|"&amp;UPPER(TRIM(D131)))</f>
        <v/>
      </c>
      <c r="L131">
        <f>IF(K131="","",IF(COUNTIF('GSTR-2B Data'!$J$5:$J$504,K131)=0,"Not in 2B — follow up",IF(ABS(SUMIF('GSTR-2B Data'!$J$5:$J$504,K131,'GSTR-2B Data'!$I$5:$I$504)-(F131+G131+H131))&gt;1,"Tax amount differs","Matched")))</f>
        <v/>
      </c>
    </row>
    <row r="132">
      <c r="A132" s="14" t="n"/>
      <c r="B132" s="11" t="n"/>
      <c r="C132" s="11" t="n"/>
      <c r="D132" s="11" t="n"/>
      <c r="E132" s="18" t="n"/>
      <c r="F132" s="18" t="n"/>
      <c r="G132" s="18" t="n"/>
      <c r="H132" s="18" t="n"/>
      <c r="I132" s="23">
        <f>IF(E132="","",E132+F132+G132+H132)</f>
        <v/>
      </c>
      <c r="J132" s="11" t="n"/>
      <c r="K132">
        <f>IF(D132="","",UPPER(TRIM(C132))&amp;"|"&amp;UPPER(TRIM(D132)))</f>
        <v/>
      </c>
      <c r="L132">
        <f>IF(K132="","",IF(COUNTIF('GSTR-2B Data'!$J$5:$J$504,K132)=0,"Not in 2B — follow up",IF(ABS(SUMIF('GSTR-2B Data'!$J$5:$J$504,K132,'GSTR-2B Data'!$I$5:$I$504)-(F132+G132+H132))&gt;1,"Tax amount differs","Matched")))</f>
        <v/>
      </c>
    </row>
    <row r="133">
      <c r="A133" s="14" t="n"/>
      <c r="B133" s="11" t="n"/>
      <c r="C133" s="11" t="n"/>
      <c r="D133" s="11" t="n"/>
      <c r="E133" s="18" t="n"/>
      <c r="F133" s="18" t="n"/>
      <c r="G133" s="18" t="n"/>
      <c r="H133" s="18" t="n"/>
      <c r="I133" s="23">
        <f>IF(E133="","",E133+F133+G133+H133)</f>
        <v/>
      </c>
      <c r="J133" s="11" t="n"/>
      <c r="K133">
        <f>IF(D133="","",UPPER(TRIM(C133))&amp;"|"&amp;UPPER(TRIM(D133)))</f>
        <v/>
      </c>
      <c r="L133">
        <f>IF(K133="","",IF(COUNTIF('GSTR-2B Data'!$J$5:$J$504,K133)=0,"Not in 2B — follow up",IF(ABS(SUMIF('GSTR-2B Data'!$J$5:$J$504,K133,'GSTR-2B Data'!$I$5:$I$504)-(F133+G133+H133))&gt;1,"Tax amount differs","Matched")))</f>
        <v/>
      </c>
    </row>
    <row r="134">
      <c r="A134" s="14" t="n"/>
      <c r="B134" s="11" t="n"/>
      <c r="C134" s="11" t="n"/>
      <c r="D134" s="11" t="n"/>
      <c r="E134" s="18" t="n"/>
      <c r="F134" s="18" t="n"/>
      <c r="G134" s="18" t="n"/>
      <c r="H134" s="18" t="n"/>
      <c r="I134" s="23">
        <f>IF(E134="","",E134+F134+G134+H134)</f>
        <v/>
      </c>
      <c r="J134" s="11" t="n"/>
      <c r="K134">
        <f>IF(D134="","",UPPER(TRIM(C134))&amp;"|"&amp;UPPER(TRIM(D134)))</f>
        <v/>
      </c>
      <c r="L134">
        <f>IF(K134="","",IF(COUNTIF('GSTR-2B Data'!$J$5:$J$504,K134)=0,"Not in 2B — follow up",IF(ABS(SUMIF('GSTR-2B Data'!$J$5:$J$504,K134,'GSTR-2B Data'!$I$5:$I$504)-(F134+G134+H134))&gt;1,"Tax amount differs","Matched")))</f>
        <v/>
      </c>
    </row>
    <row r="135">
      <c r="A135" s="14" t="n"/>
      <c r="B135" s="11" t="n"/>
      <c r="C135" s="11" t="n"/>
      <c r="D135" s="11" t="n"/>
      <c r="E135" s="18" t="n"/>
      <c r="F135" s="18" t="n"/>
      <c r="G135" s="18" t="n"/>
      <c r="H135" s="18" t="n"/>
      <c r="I135" s="23">
        <f>IF(E135="","",E135+F135+G135+H135)</f>
        <v/>
      </c>
      <c r="J135" s="11" t="n"/>
      <c r="K135">
        <f>IF(D135="","",UPPER(TRIM(C135))&amp;"|"&amp;UPPER(TRIM(D135)))</f>
        <v/>
      </c>
      <c r="L135">
        <f>IF(K135="","",IF(COUNTIF('GSTR-2B Data'!$J$5:$J$504,K135)=0,"Not in 2B — follow up",IF(ABS(SUMIF('GSTR-2B Data'!$J$5:$J$504,K135,'GSTR-2B Data'!$I$5:$I$504)-(F135+G135+H135))&gt;1,"Tax amount differs","Matched")))</f>
        <v/>
      </c>
    </row>
    <row r="136">
      <c r="A136" s="14" t="n"/>
      <c r="B136" s="11" t="n"/>
      <c r="C136" s="11" t="n"/>
      <c r="D136" s="11" t="n"/>
      <c r="E136" s="18" t="n"/>
      <c r="F136" s="18" t="n"/>
      <c r="G136" s="18" t="n"/>
      <c r="H136" s="18" t="n"/>
      <c r="I136" s="23">
        <f>IF(E136="","",E136+F136+G136+H136)</f>
        <v/>
      </c>
      <c r="J136" s="11" t="n"/>
      <c r="K136">
        <f>IF(D136="","",UPPER(TRIM(C136))&amp;"|"&amp;UPPER(TRIM(D136)))</f>
        <v/>
      </c>
      <c r="L136">
        <f>IF(K136="","",IF(COUNTIF('GSTR-2B Data'!$J$5:$J$504,K136)=0,"Not in 2B — follow up",IF(ABS(SUMIF('GSTR-2B Data'!$J$5:$J$504,K136,'GSTR-2B Data'!$I$5:$I$504)-(F136+G136+H136))&gt;1,"Tax amount differs","Matched")))</f>
        <v/>
      </c>
    </row>
    <row r="137">
      <c r="A137" s="14" t="n"/>
      <c r="B137" s="11" t="n"/>
      <c r="C137" s="11" t="n"/>
      <c r="D137" s="11" t="n"/>
      <c r="E137" s="18" t="n"/>
      <c r="F137" s="18" t="n"/>
      <c r="G137" s="18" t="n"/>
      <c r="H137" s="18" t="n"/>
      <c r="I137" s="23">
        <f>IF(E137="","",E137+F137+G137+H137)</f>
        <v/>
      </c>
      <c r="J137" s="11" t="n"/>
      <c r="K137">
        <f>IF(D137="","",UPPER(TRIM(C137))&amp;"|"&amp;UPPER(TRIM(D137)))</f>
        <v/>
      </c>
      <c r="L137">
        <f>IF(K137="","",IF(COUNTIF('GSTR-2B Data'!$J$5:$J$504,K137)=0,"Not in 2B — follow up",IF(ABS(SUMIF('GSTR-2B Data'!$J$5:$J$504,K137,'GSTR-2B Data'!$I$5:$I$504)-(F137+G137+H137))&gt;1,"Tax amount differs","Matched")))</f>
        <v/>
      </c>
    </row>
    <row r="138">
      <c r="A138" s="14" t="n"/>
      <c r="B138" s="11" t="n"/>
      <c r="C138" s="11" t="n"/>
      <c r="D138" s="11" t="n"/>
      <c r="E138" s="18" t="n"/>
      <c r="F138" s="18" t="n"/>
      <c r="G138" s="18" t="n"/>
      <c r="H138" s="18" t="n"/>
      <c r="I138" s="23">
        <f>IF(E138="","",E138+F138+G138+H138)</f>
        <v/>
      </c>
      <c r="J138" s="11" t="n"/>
      <c r="K138">
        <f>IF(D138="","",UPPER(TRIM(C138))&amp;"|"&amp;UPPER(TRIM(D138)))</f>
        <v/>
      </c>
      <c r="L138">
        <f>IF(K138="","",IF(COUNTIF('GSTR-2B Data'!$J$5:$J$504,K138)=0,"Not in 2B — follow up",IF(ABS(SUMIF('GSTR-2B Data'!$J$5:$J$504,K138,'GSTR-2B Data'!$I$5:$I$504)-(F138+G138+H138))&gt;1,"Tax amount differs","Matched")))</f>
        <v/>
      </c>
    </row>
    <row r="139">
      <c r="A139" s="14" t="n"/>
      <c r="B139" s="11" t="n"/>
      <c r="C139" s="11" t="n"/>
      <c r="D139" s="11" t="n"/>
      <c r="E139" s="18" t="n"/>
      <c r="F139" s="18" t="n"/>
      <c r="G139" s="18" t="n"/>
      <c r="H139" s="18" t="n"/>
      <c r="I139" s="23">
        <f>IF(E139="","",E139+F139+G139+H139)</f>
        <v/>
      </c>
      <c r="J139" s="11" t="n"/>
      <c r="K139">
        <f>IF(D139="","",UPPER(TRIM(C139))&amp;"|"&amp;UPPER(TRIM(D139)))</f>
        <v/>
      </c>
      <c r="L139">
        <f>IF(K139="","",IF(COUNTIF('GSTR-2B Data'!$J$5:$J$504,K139)=0,"Not in 2B — follow up",IF(ABS(SUMIF('GSTR-2B Data'!$J$5:$J$504,K139,'GSTR-2B Data'!$I$5:$I$504)-(F139+G139+H139))&gt;1,"Tax amount differs","Matched")))</f>
        <v/>
      </c>
    </row>
    <row r="140">
      <c r="A140" s="14" t="n"/>
      <c r="B140" s="11" t="n"/>
      <c r="C140" s="11" t="n"/>
      <c r="D140" s="11" t="n"/>
      <c r="E140" s="18" t="n"/>
      <c r="F140" s="18" t="n"/>
      <c r="G140" s="18" t="n"/>
      <c r="H140" s="18" t="n"/>
      <c r="I140" s="23">
        <f>IF(E140="","",E140+F140+G140+H140)</f>
        <v/>
      </c>
      <c r="J140" s="11" t="n"/>
      <c r="K140">
        <f>IF(D140="","",UPPER(TRIM(C140))&amp;"|"&amp;UPPER(TRIM(D140)))</f>
        <v/>
      </c>
      <c r="L140">
        <f>IF(K140="","",IF(COUNTIF('GSTR-2B Data'!$J$5:$J$504,K140)=0,"Not in 2B — follow up",IF(ABS(SUMIF('GSTR-2B Data'!$J$5:$J$504,K140,'GSTR-2B Data'!$I$5:$I$504)-(F140+G140+H140))&gt;1,"Tax amount differs","Matched")))</f>
        <v/>
      </c>
    </row>
    <row r="141">
      <c r="A141" s="14" t="n"/>
      <c r="B141" s="11" t="n"/>
      <c r="C141" s="11" t="n"/>
      <c r="D141" s="11" t="n"/>
      <c r="E141" s="18" t="n"/>
      <c r="F141" s="18" t="n"/>
      <c r="G141" s="18" t="n"/>
      <c r="H141" s="18" t="n"/>
      <c r="I141" s="23">
        <f>IF(E141="","",E141+F141+G141+H141)</f>
        <v/>
      </c>
      <c r="J141" s="11" t="n"/>
      <c r="K141">
        <f>IF(D141="","",UPPER(TRIM(C141))&amp;"|"&amp;UPPER(TRIM(D141)))</f>
        <v/>
      </c>
      <c r="L141">
        <f>IF(K141="","",IF(COUNTIF('GSTR-2B Data'!$J$5:$J$504,K141)=0,"Not in 2B — follow up",IF(ABS(SUMIF('GSTR-2B Data'!$J$5:$J$504,K141,'GSTR-2B Data'!$I$5:$I$504)-(F141+G141+H141))&gt;1,"Tax amount differs","Matched")))</f>
        <v/>
      </c>
    </row>
    <row r="142">
      <c r="A142" s="14" t="n"/>
      <c r="B142" s="11" t="n"/>
      <c r="C142" s="11" t="n"/>
      <c r="D142" s="11" t="n"/>
      <c r="E142" s="18" t="n"/>
      <c r="F142" s="18" t="n"/>
      <c r="G142" s="18" t="n"/>
      <c r="H142" s="18" t="n"/>
      <c r="I142" s="23">
        <f>IF(E142="","",E142+F142+G142+H142)</f>
        <v/>
      </c>
      <c r="J142" s="11" t="n"/>
      <c r="K142">
        <f>IF(D142="","",UPPER(TRIM(C142))&amp;"|"&amp;UPPER(TRIM(D142)))</f>
        <v/>
      </c>
      <c r="L142">
        <f>IF(K142="","",IF(COUNTIF('GSTR-2B Data'!$J$5:$J$504,K142)=0,"Not in 2B — follow up",IF(ABS(SUMIF('GSTR-2B Data'!$J$5:$J$504,K142,'GSTR-2B Data'!$I$5:$I$504)-(F142+G142+H142))&gt;1,"Tax amount differs","Matched")))</f>
        <v/>
      </c>
    </row>
    <row r="143">
      <c r="A143" s="14" t="n"/>
      <c r="B143" s="11" t="n"/>
      <c r="C143" s="11" t="n"/>
      <c r="D143" s="11" t="n"/>
      <c r="E143" s="18" t="n"/>
      <c r="F143" s="18" t="n"/>
      <c r="G143" s="18" t="n"/>
      <c r="H143" s="18" t="n"/>
      <c r="I143" s="23">
        <f>IF(E143="","",E143+F143+G143+H143)</f>
        <v/>
      </c>
      <c r="J143" s="11" t="n"/>
      <c r="K143">
        <f>IF(D143="","",UPPER(TRIM(C143))&amp;"|"&amp;UPPER(TRIM(D143)))</f>
        <v/>
      </c>
      <c r="L143">
        <f>IF(K143="","",IF(COUNTIF('GSTR-2B Data'!$J$5:$J$504,K143)=0,"Not in 2B — follow up",IF(ABS(SUMIF('GSTR-2B Data'!$J$5:$J$504,K143,'GSTR-2B Data'!$I$5:$I$504)-(F143+G143+H143))&gt;1,"Tax amount differs","Matched")))</f>
        <v/>
      </c>
    </row>
    <row r="144">
      <c r="A144" s="14" t="n"/>
      <c r="B144" s="11" t="n"/>
      <c r="C144" s="11" t="n"/>
      <c r="D144" s="11" t="n"/>
      <c r="E144" s="18" t="n"/>
      <c r="F144" s="18" t="n"/>
      <c r="G144" s="18" t="n"/>
      <c r="H144" s="18" t="n"/>
      <c r="I144" s="23">
        <f>IF(E144="","",E144+F144+G144+H144)</f>
        <v/>
      </c>
      <c r="J144" s="11" t="n"/>
      <c r="K144">
        <f>IF(D144="","",UPPER(TRIM(C144))&amp;"|"&amp;UPPER(TRIM(D144)))</f>
        <v/>
      </c>
      <c r="L144">
        <f>IF(K144="","",IF(COUNTIF('GSTR-2B Data'!$J$5:$J$504,K144)=0,"Not in 2B — follow up",IF(ABS(SUMIF('GSTR-2B Data'!$J$5:$J$504,K144,'GSTR-2B Data'!$I$5:$I$504)-(F144+G144+H144))&gt;1,"Tax amount differs","Matched")))</f>
        <v/>
      </c>
    </row>
    <row r="145">
      <c r="A145" s="14" t="n"/>
      <c r="B145" s="11" t="n"/>
      <c r="C145" s="11" t="n"/>
      <c r="D145" s="11" t="n"/>
      <c r="E145" s="18" t="n"/>
      <c r="F145" s="18" t="n"/>
      <c r="G145" s="18" t="n"/>
      <c r="H145" s="18" t="n"/>
      <c r="I145" s="23">
        <f>IF(E145="","",E145+F145+G145+H145)</f>
        <v/>
      </c>
      <c r="J145" s="11" t="n"/>
      <c r="K145">
        <f>IF(D145="","",UPPER(TRIM(C145))&amp;"|"&amp;UPPER(TRIM(D145)))</f>
        <v/>
      </c>
      <c r="L145">
        <f>IF(K145="","",IF(COUNTIF('GSTR-2B Data'!$J$5:$J$504,K145)=0,"Not in 2B — follow up",IF(ABS(SUMIF('GSTR-2B Data'!$J$5:$J$504,K145,'GSTR-2B Data'!$I$5:$I$504)-(F145+G145+H145))&gt;1,"Tax amount differs","Matched")))</f>
        <v/>
      </c>
    </row>
    <row r="146">
      <c r="A146" s="14" t="n"/>
      <c r="B146" s="11" t="n"/>
      <c r="C146" s="11" t="n"/>
      <c r="D146" s="11" t="n"/>
      <c r="E146" s="18" t="n"/>
      <c r="F146" s="18" t="n"/>
      <c r="G146" s="18" t="n"/>
      <c r="H146" s="18" t="n"/>
      <c r="I146" s="23">
        <f>IF(E146="","",E146+F146+G146+H146)</f>
        <v/>
      </c>
      <c r="J146" s="11" t="n"/>
      <c r="K146">
        <f>IF(D146="","",UPPER(TRIM(C146))&amp;"|"&amp;UPPER(TRIM(D146)))</f>
        <v/>
      </c>
      <c r="L146">
        <f>IF(K146="","",IF(COUNTIF('GSTR-2B Data'!$J$5:$J$504,K146)=0,"Not in 2B — follow up",IF(ABS(SUMIF('GSTR-2B Data'!$J$5:$J$504,K146,'GSTR-2B Data'!$I$5:$I$504)-(F146+G146+H146))&gt;1,"Tax amount differs","Matched")))</f>
        <v/>
      </c>
    </row>
    <row r="147">
      <c r="A147" s="14" t="n"/>
      <c r="B147" s="11" t="n"/>
      <c r="C147" s="11" t="n"/>
      <c r="D147" s="11" t="n"/>
      <c r="E147" s="18" t="n"/>
      <c r="F147" s="18" t="n"/>
      <c r="G147" s="18" t="n"/>
      <c r="H147" s="18" t="n"/>
      <c r="I147" s="23">
        <f>IF(E147="","",E147+F147+G147+H147)</f>
        <v/>
      </c>
      <c r="J147" s="11" t="n"/>
      <c r="K147">
        <f>IF(D147="","",UPPER(TRIM(C147))&amp;"|"&amp;UPPER(TRIM(D147)))</f>
        <v/>
      </c>
      <c r="L147">
        <f>IF(K147="","",IF(COUNTIF('GSTR-2B Data'!$J$5:$J$504,K147)=0,"Not in 2B — follow up",IF(ABS(SUMIF('GSTR-2B Data'!$J$5:$J$504,K147,'GSTR-2B Data'!$I$5:$I$504)-(F147+G147+H147))&gt;1,"Tax amount differs","Matched")))</f>
        <v/>
      </c>
    </row>
    <row r="148">
      <c r="A148" s="14" t="n"/>
      <c r="B148" s="11" t="n"/>
      <c r="C148" s="11" t="n"/>
      <c r="D148" s="11" t="n"/>
      <c r="E148" s="18" t="n"/>
      <c r="F148" s="18" t="n"/>
      <c r="G148" s="18" t="n"/>
      <c r="H148" s="18" t="n"/>
      <c r="I148" s="23">
        <f>IF(E148="","",E148+F148+G148+H148)</f>
        <v/>
      </c>
      <c r="J148" s="11" t="n"/>
      <c r="K148">
        <f>IF(D148="","",UPPER(TRIM(C148))&amp;"|"&amp;UPPER(TRIM(D148)))</f>
        <v/>
      </c>
      <c r="L148">
        <f>IF(K148="","",IF(COUNTIF('GSTR-2B Data'!$J$5:$J$504,K148)=0,"Not in 2B — follow up",IF(ABS(SUMIF('GSTR-2B Data'!$J$5:$J$504,K148,'GSTR-2B Data'!$I$5:$I$504)-(F148+G148+H148))&gt;1,"Tax amount differs","Matched")))</f>
        <v/>
      </c>
    </row>
    <row r="149">
      <c r="A149" s="14" t="n"/>
      <c r="B149" s="11" t="n"/>
      <c r="C149" s="11" t="n"/>
      <c r="D149" s="11" t="n"/>
      <c r="E149" s="18" t="n"/>
      <c r="F149" s="18" t="n"/>
      <c r="G149" s="18" t="n"/>
      <c r="H149" s="18" t="n"/>
      <c r="I149" s="23">
        <f>IF(E149="","",E149+F149+G149+H149)</f>
        <v/>
      </c>
      <c r="J149" s="11" t="n"/>
      <c r="K149">
        <f>IF(D149="","",UPPER(TRIM(C149))&amp;"|"&amp;UPPER(TRIM(D149)))</f>
        <v/>
      </c>
      <c r="L149">
        <f>IF(K149="","",IF(COUNTIF('GSTR-2B Data'!$J$5:$J$504,K149)=0,"Not in 2B — follow up",IF(ABS(SUMIF('GSTR-2B Data'!$J$5:$J$504,K149,'GSTR-2B Data'!$I$5:$I$504)-(F149+G149+H149))&gt;1,"Tax amount differs","Matched")))</f>
        <v/>
      </c>
    </row>
    <row r="150">
      <c r="A150" s="14" t="n"/>
      <c r="B150" s="11" t="n"/>
      <c r="C150" s="11" t="n"/>
      <c r="D150" s="11" t="n"/>
      <c r="E150" s="18" t="n"/>
      <c r="F150" s="18" t="n"/>
      <c r="G150" s="18" t="n"/>
      <c r="H150" s="18" t="n"/>
      <c r="I150" s="23">
        <f>IF(E150="","",E150+F150+G150+H150)</f>
        <v/>
      </c>
      <c r="J150" s="11" t="n"/>
      <c r="K150">
        <f>IF(D150="","",UPPER(TRIM(C150))&amp;"|"&amp;UPPER(TRIM(D150)))</f>
        <v/>
      </c>
      <c r="L150">
        <f>IF(K150="","",IF(COUNTIF('GSTR-2B Data'!$J$5:$J$504,K150)=0,"Not in 2B — follow up",IF(ABS(SUMIF('GSTR-2B Data'!$J$5:$J$504,K150,'GSTR-2B Data'!$I$5:$I$504)-(F150+G150+H150))&gt;1,"Tax amount differs","Matched")))</f>
        <v/>
      </c>
    </row>
    <row r="151">
      <c r="A151" s="14" t="n"/>
      <c r="B151" s="11" t="n"/>
      <c r="C151" s="11" t="n"/>
      <c r="D151" s="11" t="n"/>
      <c r="E151" s="18" t="n"/>
      <c r="F151" s="18" t="n"/>
      <c r="G151" s="18" t="n"/>
      <c r="H151" s="18" t="n"/>
      <c r="I151" s="23">
        <f>IF(E151="","",E151+F151+G151+H151)</f>
        <v/>
      </c>
      <c r="J151" s="11" t="n"/>
      <c r="K151">
        <f>IF(D151="","",UPPER(TRIM(C151))&amp;"|"&amp;UPPER(TRIM(D151)))</f>
        <v/>
      </c>
      <c r="L151">
        <f>IF(K151="","",IF(COUNTIF('GSTR-2B Data'!$J$5:$J$504,K151)=0,"Not in 2B — follow up",IF(ABS(SUMIF('GSTR-2B Data'!$J$5:$J$504,K151,'GSTR-2B Data'!$I$5:$I$504)-(F151+G151+H151))&gt;1,"Tax amount differs","Matched")))</f>
        <v/>
      </c>
    </row>
    <row r="152">
      <c r="A152" s="14" t="n"/>
      <c r="B152" s="11" t="n"/>
      <c r="C152" s="11" t="n"/>
      <c r="D152" s="11" t="n"/>
      <c r="E152" s="18" t="n"/>
      <c r="F152" s="18" t="n"/>
      <c r="G152" s="18" t="n"/>
      <c r="H152" s="18" t="n"/>
      <c r="I152" s="23">
        <f>IF(E152="","",E152+F152+G152+H152)</f>
        <v/>
      </c>
      <c r="J152" s="11" t="n"/>
      <c r="K152">
        <f>IF(D152="","",UPPER(TRIM(C152))&amp;"|"&amp;UPPER(TRIM(D152)))</f>
        <v/>
      </c>
      <c r="L152">
        <f>IF(K152="","",IF(COUNTIF('GSTR-2B Data'!$J$5:$J$504,K152)=0,"Not in 2B — follow up",IF(ABS(SUMIF('GSTR-2B Data'!$J$5:$J$504,K152,'GSTR-2B Data'!$I$5:$I$504)-(F152+G152+H152))&gt;1,"Tax amount differs","Matched")))</f>
        <v/>
      </c>
    </row>
    <row r="153">
      <c r="A153" s="14" t="n"/>
      <c r="B153" s="11" t="n"/>
      <c r="C153" s="11" t="n"/>
      <c r="D153" s="11" t="n"/>
      <c r="E153" s="18" t="n"/>
      <c r="F153" s="18" t="n"/>
      <c r="G153" s="18" t="n"/>
      <c r="H153" s="18" t="n"/>
      <c r="I153" s="23">
        <f>IF(E153="","",E153+F153+G153+H153)</f>
        <v/>
      </c>
      <c r="J153" s="11" t="n"/>
      <c r="K153">
        <f>IF(D153="","",UPPER(TRIM(C153))&amp;"|"&amp;UPPER(TRIM(D153)))</f>
        <v/>
      </c>
      <c r="L153">
        <f>IF(K153="","",IF(COUNTIF('GSTR-2B Data'!$J$5:$J$504,K153)=0,"Not in 2B — follow up",IF(ABS(SUMIF('GSTR-2B Data'!$J$5:$J$504,K153,'GSTR-2B Data'!$I$5:$I$504)-(F153+G153+H153))&gt;1,"Tax amount differs","Matched")))</f>
        <v/>
      </c>
    </row>
    <row r="154">
      <c r="A154" s="14" t="n"/>
      <c r="B154" s="11" t="n"/>
      <c r="C154" s="11" t="n"/>
      <c r="D154" s="11" t="n"/>
      <c r="E154" s="18" t="n"/>
      <c r="F154" s="18" t="n"/>
      <c r="G154" s="18" t="n"/>
      <c r="H154" s="18" t="n"/>
      <c r="I154" s="23">
        <f>IF(E154="","",E154+F154+G154+H154)</f>
        <v/>
      </c>
      <c r="J154" s="11" t="n"/>
      <c r="K154">
        <f>IF(D154="","",UPPER(TRIM(C154))&amp;"|"&amp;UPPER(TRIM(D154)))</f>
        <v/>
      </c>
      <c r="L154">
        <f>IF(K154="","",IF(COUNTIF('GSTR-2B Data'!$J$5:$J$504,K154)=0,"Not in 2B — follow up",IF(ABS(SUMIF('GSTR-2B Data'!$J$5:$J$504,K154,'GSTR-2B Data'!$I$5:$I$504)-(F154+G154+H154))&gt;1,"Tax amount differs","Matched")))</f>
        <v/>
      </c>
    </row>
    <row r="155">
      <c r="A155" s="14" t="n"/>
      <c r="B155" s="11" t="n"/>
      <c r="C155" s="11" t="n"/>
      <c r="D155" s="11" t="n"/>
      <c r="E155" s="18" t="n"/>
      <c r="F155" s="18" t="n"/>
      <c r="G155" s="18" t="n"/>
      <c r="H155" s="18" t="n"/>
      <c r="I155" s="23">
        <f>IF(E155="","",E155+F155+G155+H155)</f>
        <v/>
      </c>
      <c r="J155" s="11" t="n"/>
      <c r="K155">
        <f>IF(D155="","",UPPER(TRIM(C155))&amp;"|"&amp;UPPER(TRIM(D155)))</f>
        <v/>
      </c>
      <c r="L155">
        <f>IF(K155="","",IF(COUNTIF('GSTR-2B Data'!$J$5:$J$504,K155)=0,"Not in 2B — follow up",IF(ABS(SUMIF('GSTR-2B Data'!$J$5:$J$504,K155,'GSTR-2B Data'!$I$5:$I$504)-(F155+G155+H155))&gt;1,"Tax amount differs","Matched")))</f>
        <v/>
      </c>
    </row>
    <row r="156">
      <c r="A156" s="14" t="n"/>
      <c r="B156" s="11" t="n"/>
      <c r="C156" s="11" t="n"/>
      <c r="D156" s="11" t="n"/>
      <c r="E156" s="18" t="n"/>
      <c r="F156" s="18" t="n"/>
      <c r="G156" s="18" t="n"/>
      <c r="H156" s="18" t="n"/>
      <c r="I156" s="23">
        <f>IF(E156="","",E156+F156+G156+H156)</f>
        <v/>
      </c>
      <c r="J156" s="11" t="n"/>
      <c r="K156">
        <f>IF(D156="","",UPPER(TRIM(C156))&amp;"|"&amp;UPPER(TRIM(D156)))</f>
        <v/>
      </c>
      <c r="L156">
        <f>IF(K156="","",IF(COUNTIF('GSTR-2B Data'!$J$5:$J$504,K156)=0,"Not in 2B — follow up",IF(ABS(SUMIF('GSTR-2B Data'!$J$5:$J$504,K156,'GSTR-2B Data'!$I$5:$I$504)-(F156+G156+H156))&gt;1,"Tax amount differs","Matched")))</f>
        <v/>
      </c>
    </row>
    <row r="157">
      <c r="A157" s="14" t="n"/>
      <c r="B157" s="11" t="n"/>
      <c r="C157" s="11" t="n"/>
      <c r="D157" s="11" t="n"/>
      <c r="E157" s="18" t="n"/>
      <c r="F157" s="18" t="n"/>
      <c r="G157" s="18" t="n"/>
      <c r="H157" s="18" t="n"/>
      <c r="I157" s="23">
        <f>IF(E157="","",E157+F157+G157+H157)</f>
        <v/>
      </c>
      <c r="J157" s="11" t="n"/>
      <c r="K157">
        <f>IF(D157="","",UPPER(TRIM(C157))&amp;"|"&amp;UPPER(TRIM(D157)))</f>
        <v/>
      </c>
      <c r="L157">
        <f>IF(K157="","",IF(COUNTIF('GSTR-2B Data'!$J$5:$J$504,K157)=0,"Not in 2B — follow up",IF(ABS(SUMIF('GSTR-2B Data'!$J$5:$J$504,K157,'GSTR-2B Data'!$I$5:$I$504)-(F157+G157+H157))&gt;1,"Tax amount differs","Matched")))</f>
        <v/>
      </c>
    </row>
    <row r="158">
      <c r="A158" s="14" t="n"/>
      <c r="B158" s="11" t="n"/>
      <c r="C158" s="11" t="n"/>
      <c r="D158" s="11" t="n"/>
      <c r="E158" s="18" t="n"/>
      <c r="F158" s="18" t="n"/>
      <c r="G158" s="18" t="n"/>
      <c r="H158" s="18" t="n"/>
      <c r="I158" s="23">
        <f>IF(E158="","",E158+F158+G158+H158)</f>
        <v/>
      </c>
      <c r="J158" s="11" t="n"/>
      <c r="K158">
        <f>IF(D158="","",UPPER(TRIM(C158))&amp;"|"&amp;UPPER(TRIM(D158)))</f>
        <v/>
      </c>
      <c r="L158">
        <f>IF(K158="","",IF(COUNTIF('GSTR-2B Data'!$J$5:$J$504,K158)=0,"Not in 2B — follow up",IF(ABS(SUMIF('GSTR-2B Data'!$J$5:$J$504,K158,'GSTR-2B Data'!$I$5:$I$504)-(F158+G158+H158))&gt;1,"Tax amount differs","Matched")))</f>
        <v/>
      </c>
    </row>
    <row r="159">
      <c r="A159" s="14" t="n"/>
      <c r="B159" s="11" t="n"/>
      <c r="C159" s="11" t="n"/>
      <c r="D159" s="11" t="n"/>
      <c r="E159" s="18" t="n"/>
      <c r="F159" s="18" t="n"/>
      <c r="G159" s="18" t="n"/>
      <c r="H159" s="18" t="n"/>
      <c r="I159" s="23">
        <f>IF(E159="","",E159+F159+G159+H159)</f>
        <v/>
      </c>
      <c r="J159" s="11" t="n"/>
      <c r="K159">
        <f>IF(D159="","",UPPER(TRIM(C159))&amp;"|"&amp;UPPER(TRIM(D159)))</f>
        <v/>
      </c>
      <c r="L159">
        <f>IF(K159="","",IF(COUNTIF('GSTR-2B Data'!$J$5:$J$504,K159)=0,"Not in 2B — follow up",IF(ABS(SUMIF('GSTR-2B Data'!$J$5:$J$504,K159,'GSTR-2B Data'!$I$5:$I$504)-(F159+G159+H159))&gt;1,"Tax amount differs","Matched")))</f>
        <v/>
      </c>
    </row>
    <row r="160">
      <c r="A160" s="14" t="n"/>
      <c r="B160" s="11" t="n"/>
      <c r="C160" s="11" t="n"/>
      <c r="D160" s="11" t="n"/>
      <c r="E160" s="18" t="n"/>
      <c r="F160" s="18" t="n"/>
      <c r="G160" s="18" t="n"/>
      <c r="H160" s="18" t="n"/>
      <c r="I160" s="23">
        <f>IF(E160="","",E160+F160+G160+H160)</f>
        <v/>
      </c>
      <c r="J160" s="11" t="n"/>
      <c r="K160">
        <f>IF(D160="","",UPPER(TRIM(C160))&amp;"|"&amp;UPPER(TRIM(D160)))</f>
        <v/>
      </c>
      <c r="L160">
        <f>IF(K160="","",IF(COUNTIF('GSTR-2B Data'!$J$5:$J$504,K160)=0,"Not in 2B — follow up",IF(ABS(SUMIF('GSTR-2B Data'!$J$5:$J$504,K160,'GSTR-2B Data'!$I$5:$I$504)-(F160+G160+H160))&gt;1,"Tax amount differs","Matched")))</f>
        <v/>
      </c>
    </row>
    <row r="161">
      <c r="A161" s="14" t="n"/>
      <c r="B161" s="11" t="n"/>
      <c r="C161" s="11" t="n"/>
      <c r="D161" s="11" t="n"/>
      <c r="E161" s="18" t="n"/>
      <c r="F161" s="18" t="n"/>
      <c r="G161" s="18" t="n"/>
      <c r="H161" s="18" t="n"/>
      <c r="I161" s="23">
        <f>IF(E161="","",E161+F161+G161+H161)</f>
        <v/>
      </c>
      <c r="J161" s="11" t="n"/>
      <c r="K161">
        <f>IF(D161="","",UPPER(TRIM(C161))&amp;"|"&amp;UPPER(TRIM(D161)))</f>
        <v/>
      </c>
      <c r="L161">
        <f>IF(K161="","",IF(COUNTIF('GSTR-2B Data'!$J$5:$J$504,K161)=0,"Not in 2B — follow up",IF(ABS(SUMIF('GSTR-2B Data'!$J$5:$J$504,K161,'GSTR-2B Data'!$I$5:$I$504)-(F161+G161+H161))&gt;1,"Tax amount differs","Matched")))</f>
        <v/>
      </c>
    </row>
    <row r="162">
      <c r="A162" s="14" t="n"/>
      <c r="B162" s="11" t="n"/>
      <c r="C162" s="11" t="n"/>
      <c r="D162" s="11" t="n"/>
      <c r="E162" s="18" t="n"/>
      <c r="F162" s="18" t="n"/>
      <c r="G162" s="18" t="n"/>
      <c r="H162" s="18" t="n"/>
      <c r="I162" s="23">
        <f>IF(E162="","",E162+F162+G162+H162)</f>
        <v/>
      </c>
      <c r="J162" s="11" t="n"/>
      <c r="K162">
        <f>IF(D162="","",UPPER(TRIM(C162))&amp;"|"&amp;UPPER(TRIM(D162)))</f>
        <v/>
      </c>
      <c r="L162">
        <f>IF(K162="","",IF(COUNTIF('GSTR-2B Data'!$J$5:$J$504,K162)=0,"Not in 2B — follow up",IF(ABS(SUMIF('GSTR-2B Data'!$J$5:$J$504,K162,'GSTR-2B Data'!$I$5:$I$504)-(F162+G162+H162))&gt;1,"Tax amount differs","Matched")))</f>
        <v/>
      </c>
    </row>
    <row r="163">
      <c r="A163" s="14" t="n"/>
      <c r="B163" s="11" t="n"/>
      <c r="C163" s="11" t="n"/>
      <c r="D163" s="11" t="n"/>
      <c r="E163" s="18" t="n"/>
      <c r="F163" s="18" t="n"/>
      <c r="G163" s="18" t="n"/>
      <c r="H163" s="18" t="n"/>
      <c r="I163" s="23">
        <f>IF(E163="","",E163+F163+G163+H163)</f>
        <v/>
      </c>
      <c r="J163" s="11" t="n"/>
      <c r="K163">
        <f>IF(D163="","",UPPER(TRIM(C163))&amp;"|"&amp;UPPER(TRIM(D163)))</f>
        <v/>
      </c>
      <c r="L163">
        <f>IF(K163="","",IF(COUNTIF('GSTR-2B Data'!$J$5:$J$504,K163)=0,"Not in 2B — follow up",IF(ABS(SUMIF('GSTR-2B Data'!$J$5:$J$504,K163,'GSTR-2B Data'!$I$5:$I$504)-(F163+G163+H163))&gt;1,"Tax amount differs","Matched")))</f>
        <v/>
      </c>
    </row>
    <row r="164">
      <c r="A164" s="14" t="n"/>
      <c r="B164" s="11" t="n"/>
      <c r="C164" s="11" t="n"/>
      <c r="D164" s="11" t="n"/>
      <c r="E164" s="18" t="n"/>
      <c r="F164" s="18" t="n"/>
      <c r="G164" s="18" t="n"/>
      <c r="H164" s="18" t="n"/>
      <c r="I164" s="23">
        <f>IF(E164="","",E164+F164+G164+H164)</f>
        <v/>
      </c>
      <c r="J164" s="11" t="n"/>
      <c r="K164">
        <f>IF(D164="","",UPPER(TRIM(C164))&amp;"|"&amp;UPPER(TRIM(D164)))</f>
        <v/>
      </c>
      <c r="L164">
        <f>IF(K164="","",IF(COUNTIF('GSTR-2B Data'!$J$5:$J$504,K164)=0,"Not in 2B — follow up",IF(ABS(SUMIF('GSTR-2B Data'!$J$5:$J$504,K164,'GSTR-2B Data'!$I$5:$I$504)-(F164+G164+H164))&gt;1,"Tax amount differs","Matched")))</f>
        <v/>
      </c>
    </row>
    <row r="165">
      <c r="A165" s="14" t="n"/>
      <c r="B165" s="11" t="n"/>
      <c r="C165" s="11" t="n"/>
      <c r="D165" s="11" t="n"/>
      <c r="E165" s="18" t="n"/>
      <c r="F165" s="18" t="n"/>
      <c r="G165" s="18" t="n"/>
      <c r="H165" s="18" t="n"/>
      <c r="I165" s="23">
        <f>IF(E165="","",E165+F165+G165+H165)</f>
        <v/>
      </c>
      <c r="J165" s="11" t="n"/>
      <c r="K165">
        <f>IF(D165="","",UPPER(TRIM(C165))&amp;"|"&amp;UPPER(TRIM(D165)))</f>
        <v/>
      </c>
      <c r="L165">
        <f>IF(K165="","",IF(COUNTIF('GSTR-2B Data'!$J$5:$J$504,K165)=0,"Not in 2B — follow up",IF(ABS(SUMIF('GSTR-2B Data'!$J$5:$J$504,K165,'GSTR-2B Data'!$I$5:$I$504)-(F165+G165+H165))&gt;1,"Tax amount differs","Matched")))</f>
        <v/>
      </c>
    </row>
    <row r="166">
      <c r="A166" s="14" t="n"/>
      <c r="B166" s="11" t="n"/>
      <c r="C166" s="11" t="n"/>
      <c r="D166" s="11" t="n"/>
      <c r="E166" s="18" t="n"/>
      <c r="F166" s="18" t="n"/>
      <c r="G166" s="18" t="n"/>
      <c r="H166" s="18" t="n"/>
      <c r="I166" s="23">
        <f>IF(E166="","",E166+F166+G166+H166)</f>
        <v/>
      </c>
      <c r="J166" s="11" t="n"/>
      <c r="K166">
        <f>IF(D166="","",UPPER(TRIM(C166))&amp;"|"&amp;UPPER(TRIM(D166)))</f>
        <v/>
      </c>
      <c r="L166">
        <f>IF(K166="","",IF(COUNTIF('GSTR-2B Data'!$J$5:$J$504,K166)=0,"Not in 2B — follow up",IF(ABS(SUMIF('GSTR-2B Data'!$J$5:$J$504,K166,'GSTR-2B Data'!$I$5:$I$504)-(F166+G166+H166))&gt;1,"Tax amount differs","Matched")))</f>
        <v/>
      </c>
    </row>
    <row r="167">
      <c r="A167" s="14" t="n"/>
      <c r="B167" s="11" t="n"/>
      <c r="C167" s="11" t="n"/>
      <c r="D167" s="11" t="n"/>
      <c r="E167" s="18" t="n"/>
      <c r="F167" s="18" t="n"/>
      <c r="G167" s="18" t="n"/>
      <c r="H167" s="18" t="n"/>
      <c r="I167" s="23">
        <f>IF(E167="","",E167+F167+G167+H167)</f>
        <v/>
      </c>
      <c r="J167" s="11" t="n"/>
      <c r="K167">
        <f>IF(D167="","",UPPER(TRIM(C167))&amp;"|"&amp;UPPER(TRIM(D167)))</f>
        <v/>
      </c>
      <c r="L167">
        <f>IF(K167="","",IF(COUNTIF('GSTR-2B Data'!$J$5:$J$504,K167)=0,"Not in 2B — follow up",IF(ABS(SUMIF('GSTR-2B Data'!$J$5:$J$504,K167,'GSTR-2B Data'!$I$5:$I$504)-(F167+G167+H167))&gt;1,"Tax amount differs","Matched")))</f>
        <v/>
      </c>
    </row>
    <row r="168">
      <c r="A168" s="14" t="n"/>
      <c r="B168" s="11" t="n"/>
      <c r="C168" s="11" t="n"/>
      <c r="D168" s="11" t="n"/>
      <c r="E168" s="18" t="n"/>
      <c r="F168" s="18" t="n"/>
      <c r="G168" s="18" t="n"/>
      <c r="H168" s="18" t="n"/>
      <c r="I168" s="23">
        <f>IF(E168="","",E168+F168+G168+H168)</f>
        <v/>
      </c>
      <c r="J168" s="11" t="n"/>
      <c r="K168">
        <f>IF(D168="","",UPPER(TRIM(C168))&amp;"|"&amp;UPPER(TRIM(D168)))</f>
        <v/>
      </c>
      <c r="L168">
        <f>IF(K168="","",IF(COUNTIF('GSTR-2B Data'!$J$5:$J$504,K168)=0,"Not in 2B — follow up",IF(ABS(SUMIF('GSTR-2B Data'!$J$5:$J$504,K168,'GSTR-2B Data'!$I$5:$I$504)-(F168+G168+H168))&gt;1,"Tax amount differs","Matched")))</f>
        <v/>
      </c>
    </row>
    <row r="169">
      <c r="A169" s="14" t="n"/>
      <c r="B169" s="11" t="n"/>
      <c r="C169" s="11" t="n"/>
      <c r="D169" s="11" t="n"/>
      <c r="E169" s="18" t="n"/>
      <c r="F169" s="18" t="n"/>
      <c r="G169" s="18" t="n"/>
      <c r="H169" s="18" t="n"/>
      <c r="I169" s="23">
        <f>IF(E169="","",E169+F169+G169+H169)</f>
        <v/>
      </c>
      <c r="J169" s="11" t="n"/>
      <c r="K169">
        <f>IF(D169="","",UPPER(TRIM(C169))&amp;"|"&amp;UPPER(TRIM(D169)))</f>
        <v/>
      </c>
      <c r="L169">
        <f>IF(K169="","",IF(COUNTIF('GSTR-2B Data'!$J$5:$J$504,K169)=0,"Not in 2B — follow up",IF(ABS(SUMIF('GSTR-2B Data'!$J$5:$J$504,K169,'GSTR-2B Data'!$I$5:$I$504)-(F169+G169+H169))&gt;1,"Tax amount differs","Matched")))</f>
        <v/>
      </c>
    </row>
    <row r="170">
      <c r="A170" s="14" t="n"/>
      <c r="B170" s="11" t="n"/>
      <c r="C170" s="11" t="n"/>
      <c r="D170" s="11" t="n"/>
      <c r="E170" s="18" t="n"/>
      <c r="F170" s="18" t="n"/>
      <c r="G170" s="18" t="n"/>
      <c r="H170" s="18" t="n"/>
      <c r="I170" s="23">
        <f>IF(E170="","",E170+F170+G170+H170)</f>
        <v/>
      </c>
      <c r="J170" s="11" t="n"/>
      <c r="K170">
        <f>IF(D170="","",UPPER(TRIM(C170))&amp;"|"&amp;UPPER(TRIM(D170)))</f>
        <v/>
      </c>
      <c r="L170">
        <f>IF(K170="","",IF(COUNTIF('GSTR-2B Data'!$J$5:$J$504,K170)=0,"Not in 2B — follow up",IF(ABS(SUMIF('GSTR-2B Data'!$J$5:$J$504,K170,'GSTR-2B Data'!$I$5:$I$504)-(F170+G170+H170))&gt;1,"Tax amount differs","Matched")))</f>
        <v/>
      </c>
    </row>
    <row r="171">
      <c r="A171" s="14" t="n"/>
      <c r="B171" s="11" t="n"/>
      <c r="C171" s="11" t="n"/>
      <c r="D171" s="11" t="n"/>
      <c r="E171" s="18" t="n"/>
      <c r="F171" s="18" t="n"/>
      <c r="G171" s="18" t="n"/>
      <c r="H171" s="18" t="n"/>
      <c r="I171" s="23">
        <f>IF(E171="","",E171+F171+G171+H171)</f>
        <v/>
      </c>
      <c r="J171" s="11" t="n"/>
      <c r="K171">
        <f>IF(D171="","",UPPER(TRIM(C171))&amp;"|"&amp;UPPER(TRIM(D171)))</f>
        <v/>
      </c>
      <c r="L171">
        <f>IF(K171="","",IF(COUNTIF('GSTR-2B Data'!$J$5:$J$504,K171)=0,"Not in 2B — follow up",IF(ABS(SUMIF('GSTR-2B Data'!$J$5:$J$504,K171,'GSTR-2B Data'!$I$5:$I$504)-(F171+G171+H171))&gt;1,"Tax amount differs","Matched")))</f>
        <v/>
      </c>
    </row>
    <row r="172">
      <c r="A172" s="14" t="n"/>
      <c r="B172" s="11" t="n"/>
      <c r="C172" s="11" t="n"/>
      <c r="D172" s="11" t="n"/>
      <c r="E172" s="18" t="n"/>
      <c r="F172" s="18" t="n"/>
      <c r="G172" s="18" t="n"/>
      <c r="H172" s="18" t="n"/>
      <c r="I172" s="23">
        <f>IF(E172="","",E172+F172+G172+H172)</f>
        <v/>
      </c>
      <c r="J172" s="11" t="n"/>
      <c r="K172">
        <f>IF(D172="","",UPPER(TRIM(C172))&amp;"|"&amp;UPPER(TRIM(D172)))</f>
        <v/>
      </c>
      <c r="L172">
        <f>IF(K172="","",IF(COUNTIF('GSTR-2B Data'!$J$5:$J$504,K172)=0,"Not in 2B — follow up",IF(ABS(SUMIF('GSTR-2B Data'!$J$5:$J$504,K172,'GSTR-2B Data'!$I$5:$I$504)-(F172+G172+H172))&gt;1,"Tax amount differs","Matched")))</f>
        <v/>
      </c>
    </row>
    <row r="173">
      <c r="A173" s="14" t="n"/>
      <c r="B173" s="11" t="n"/>
      <c r="C173" s="11" t="n"/>
      <c r="D173" s="11" t="n"/>
      <c r="E173" s="18" t="n"/>
      <c r="F173" s="18" t="n"/>
      <c r="G173" s="18" t="n"/>
      <c r="H173" s="18" t="n"/>
      <c r="I173" s="23">
        <f>IF(E173="","",E173+F173+G173+H173)</f>
        <v/>
      </c>
      <c r="J173" s="11" t="n"/>
      <c r="K173">
        <f>IF(D173="","",UPPER(TRIM(C173))&amp;"|"&amp;UPPER(TRIM(D173)))</f>
        <v/>
      </c>
      <c r="L173">
        <f>IF(K173="","",IF(COUNTIF('GSTR-2B Data'!$J$5:$J$504,K173)=0,"Not in 2B — follow up",IF(ABS(SUMIF('GSTR-2B Data'!$J$5:$J$504,K173,'GSTR-2B Data'!$I$5:$I$504)-(F173+G173+H173))&gt;1,"Tax amount differs","Matched")))</f>
        <v/>
      </c>
    </row>
    <row r="174">
      <c r="A174" s="14" t="n"/>
      <c r="B174" s="11" t="n"/>
      <c r="C174" s="11" t="n"/>
      <c r="D174" s="11" t="n"/>
      <c r="E174" s="18" t="n"/>
      <c r="F174" s="18" t="n"/>
      <c r="G174" s="18" t="n"/>
      <c r="H174" s="18" t="n"/>
      <c r="I174" s="23">
        <f>IF(E174="","",E174+F174+G174+H174)</f>
        <v/>
      </c>
      <c r="J174" s="11" t="n"/>
      <c r="K174">
        <f>IF(D174="","",UPPER(TRIM(C174))&amp;"|"&amp;UPPER(TRIM(D174)))</f>
        <v/>
      </c>
      <c r="L174">
        <f>IF(K174="","",IF(COUNTIF('GSTR-2B Data'!$J$5:$J$504,K174)=0,"Not in 2B — follow up",IF(ABS(SUMIF('GSTR-2B Data'!$J$5:$J$504,K174,'GSTR-2B Data'!$I$5:$I$504)-(F174+G174+H174))&gt;1,"Tax amount differs","Matched")))</f>
        <v/>
      </c>
    </row>
    <row r="175">
      <c r="A175" s="14" t="n"/>
      <c r="B175" s="11" t="n"/>
      <c r="C175" s="11" t="n"/>
      <c r="D175" s="11" t="n"/>
      <c r="E175" s="18" t="n"/>
      <c r="F175" s="18" t="n"/>
      <c r="G175" s="18" t="n"/>
      <c r="H175" s="18" t="n"/>
      <c r="I175" s="23">
        <f>IF(E175="","",E175+F175+G175+H175)</f>
        <v/>
      </c>
      <c r="J175" s="11" t="n"/>
      <c r="K175">
        <f>IF(D175="","",UPPER(TRIM(C175))&amp;"|"&amp;UPPER(TRIM(D175)))</f>
        <v/>
      </c>
      <c r="L175">
        <f>IF(K175="","",IF(COUNTIF('GSTR-2B Data'!$J$5:$J$504,K175)=0,"Not in 2B — follow up",IF(ABS(SUMIF('GSTR-2B Data'!$J$5:$J$504,K175,'GSTR-2B Data'!$I$5:$I$504)-(F175+G175+H175))&gt;1,"Tax amount differs","Matched")))</f>
        <v/>
      </c>
    </row>
    <row r="176">
      <c r="A176" s="14" t="n"/>
      <c r="B176" s="11" t="n"/>
      <c r="C176" s="11" t="n"/>
      <c r="D176" s="11" t="n"/>
      <c r="E176" s="18" t="n"/>
      <c r="F176" s="18" t="n"/>
      <c r="G176" s="18" t="n"/>
      <c r="H176" s="18" t="n"/>
      <c r="I176" s="23">
        <f>IF(E176="","",E176+F176+G176+H176)</f>
        <v/>
      </c>
      <c r="J176" s="11" t="n"/>
      <c r="K176">
        <f>IF(D176="","",UPPER(TRIM(C176))&amp;"|"&amp;UPPER(TRIM(D176)))</f>
        <v/>
      </c>
      <c r="L176">
        <f>IF(K176="","",IF(COUNTIF('GSTR-2B Data'!$J$5:$J$504,K176)=0,"Not in 2B — follow up",IF(ABS(SUMIF('GSTR-2B Data'!$J$5:$J$504,K176,'GSTR-2B Data'!$I$5:$I$504)-(F176+G176+H176))&gt;1,"Tax amount differs","Matched")))</f>
        <v/>
      </c>
    </row>
    <row r="177">
      <c r="A177" s="14" t="n"/>
      <c r="B177" s="11" t="n"/>
      <c r="C177" s="11" t="n"/>
      <c r="D177" s="11" t="n"/>
      <c r="E177" s="18" t="n"/>
      <c r="F177" s="18" t="n"/>
      <c r="G177" s="18" t="n"/>
      <c r="H177" s="18" t="n"/>
      <c r="I177" s="23">
        <f>IF(E177="","",E177+F177+G177+H177)</f>
        <v/>
      </c>
      <c r="J177" s="11" t="n"/>
      <c r="K177">
        <f>IF(D177="","",UPPER(TRIM(C177))&amp;"|"&amp;UPPER(TRIM(D177)))</f>
        <v/>
      </c>
      <c r="L177">
        <f>IF(K177="","",IF(COUNTIF('GSTR-2B Data'!$J$5:$J$504,K177)=0,"Not in 2B — follow up",IF(ABS(SUMIF('GSTR-2B Data'!$J$5:$J$504,K177,'GSTR-2B Data'!$I$5:$I$504)-(F177+G177+H177))&gt;1,"Tax amount differs","Matched")))</f>
        <v/>
      </c>
    </row>
    <row r="178">
      <c r="A178" s="14" t="n"/>
      <c r="B178" s="11" t="n"/>
      <c r="C178" s="11" t="n"/>
      <c r="D178" s="11" t="n"/>
      <c r="E178" s="18" t="n"/>
      <c r="F178" s="18" t="n"/>
      <c r="G178" s="18" t="n"/>
      <c r="H178" s="18" t="n"/>
      <c r="I178" s="23">
        <f>IF(E178="","",E178+F178+G178+H178)</f>
        <v/>
      </c>
      <c r="J178" s="11" t="n"/>
      <c r="K178">
        <f>IF(D178="","",UPPER(TRIM(C178))&amp;"|"&amp;UPPER(TRIM(D178)))</f>
        <v/>
      </c>
      <c r="L178">
        <f>IF(K178="","",IF(COUNTIF('GSTR-2B Data'!$J$5:$J$504,K178)=0,"Not in 2B — follow up",IF(ABS(SUMIF('GSTR-2B Data'!$J$5:$J$504,K178,'GSTR-2B Data'!$I$5:$I$504)-(F178+G178+H178))&gt;1,"Tax amount differs","Matched")))</f>
        <v/>
      </c>
    </row>
    <row r="179">
      <c r="A179" s="14" t="n"/>
      <c r="B179" s="11" t="n"/>
      <c r="C179" s="11" t="n"/>
      <c r="D179" s="11" t="n"/>
      <c r="E179" s="18" t="n"/>
      <c r="F179" s="18" t="n"/>
      <c r="G179" s="18" t="n"/>
      <c r="H179" s="18" t="n"/>
      <c r="I179" s="23">
        <f>IF(E179="","",E179+F179+G179+H179)</f>
        <v/>
      </c>
      <c r="J179" s="11" t="n"/>
      <c r="K179">
        <f>IF(D179="","",UPPER(TRIM(C179))&amp;"|"&amp;UPPER(TRIM(D179)))</f>
        <v/>
      </c>
      <c r="L179">
        <f>IF(K179="","",IF(COUNTIF('GSTR-2B Data'!$J$5:$J$504,K179)=0,"Not in 2B — follow up",IF(ABS(SUMIF('GSTR-2B Data'!$J$5:$J$504,K179,'GSTR-2B Data'!$I$5:$I$504)-(F179+G179+H179))&gt;1,"Tax amount differs","Matched")))</f>
        <v/>
      </c>
    </row>
    <row r="180">
      <c r="A180" s="14" t="n"/>
      <c r="B180" s="11" t="n"/>
      <c r="C180" s="11" t="n"/>
      <c r="D180" s="11" t="n"/>
      <c r="E180" s="18" t="n"/>
      <c r="F180" s="18" t="n"/>
      <c r="G180" s="18" t="n"/>
      <c r="H180" s="18" t="n"/>
      <c r="I180" s="23">
        <f>IF(E180="","",E180+F180+G180+H180)</f>
        <v/>
      </c>
      <c r="J180" s="11" t="n"/>
      <c r="K180">
        <f>IF(D180="","",UPPER(TRIM(C180))&amp;"|"&amp;UPPER(TRIM(D180)))</f>
        <v/>
      </c>
      <c r="L180">
        <f>IF(K180="","",IF(COUNTIF('GSTR-2B Data'!$J$5:$J$504,K180)=0,"Not in 2B — follow up",IF(ABS(SUMIF('GSTR-2B Data'!$J$5:$J$504,K180,'GSTR-2B Data'!$I$5:$I$504)-(F180+G180+H180))&gt;1,"Tax amount differs","Matched")))</f>
        <v/>
      </c>
    </row>
    <row r="181">
      <c r="A181" s="14" t="n"/>
      <c r="B181" s="11" t="n"/>
      <c r="C181" s="11" t="n"/>
      <c r="D181" s="11" t="n"/>
      <c r="E181" s="18" t="n"/>
      <c r="F181" s="18" t="n"/>
      <c r="G181" s="18" t="n"/>
      <c r="H181" s="18" t="n"/>
      <c r="I181" s="23">
        <f>IF(E181="","",E181+F181+G181+H181)</f>
        <v/>
      </c>
      <c r="J181" s="11" t="n"/>
      <c r="K181">
        <f>IF(D181="","",UPPER(TRIM(C181))&amp;"|"&amp;UPPER(TRIM(D181)))</f>
        <v/>
      </c>
      <c r="L181">
        <f>IF(K181="","",IF(COUNTIF('GSTR-2B Data'!$J$5:$J$504,K181)=0,"Not in 2B — follow up",IF(ABS(SUMIF('GSTR-2B Data'!$J$5:$J$504,K181,'GSTR-2B Data'!$I$5:$I$504)-(F181+G181+H181))&gt;1,"Tax amount differs","Matched")))</f>
        <v/>
      </c>
    </row>
    <row r="182">
      <c r="A182" s="14" t="n"/>
      <c r="B182" s="11" t="n"/>
      <c r="C182" s="11" t="n"/>
      <c r="D182" s="11" t="n"/>
      <c r="E182" s="18" t="n"/>
      <c r="F182" s="18" t="n"/>
      <c r="G182" s="18" t="n"/>
      <c r="H182" s="18" t="n"/>
      <c r="I182" s="23">
        <f>IF(E182="","",E182+F182+G182+H182)</f>
        <v/>
      </c>
      <c r="J182" s="11" t="n"/>
      <c r="K182">
        <f>IF(D182="","",UPPER(TRIM(C182))&amp;"|"&amp;UPPER(TRIM(D182)))</f>
        <v/>
      </c>
      <c r="L182">
        <f>IF(K182="","",IF(COUNTIF('GSTR-2B Data'!$J$5:$J$504,K182)=0,"Not in 2B — follow up",IF(ABS(SUMIF('GSTR-2B Data'!$J$5:$J$504,K182,'GSTR-2B Data'!$I$5:$I$504)-(F182+G182+H182))&gt;1,"Tax amount differs","Matched")))</f>
        <v/>
      </c>
    </row>
    <row r="183">
      <c r="A183" s="14" t="n"/>
      <c r="B183" s="11" t="n"/>
      <c r="C183" s="11" t="n"/>
      <c r="D183" s="11" t="n"/>
      <c r="E183" s="18" t="n"/>
      <c r="F183" s="18" t="n"/>
      <c r="G183" s="18" t="n"/>
      <c r="H183" s="18" t="n"/>
      <c r="I183" s="23">
        <f>IF(E183="","",E183+F183+G183+H183)</f>
        <v/>
      </c>
      <c r="J183" s="11" t="n"/>
      <c r="K183">
        <f>IF(D183="","",UPPER(TRIM(C183))&amp;"|"&amp;UPPER(TRIM(D183)))</f>
        <v/>
      </c>
      <c r="L183">
        <f>IF(K183="","",IF(COUNTIF('GSTR-2B Data'!$J$5:$J$504,K183)=0,"Not in 2B — follow up",IF(ABS(SUMIF('GSTR-2B Data'!$J$5:$J$504,K183,'GSTR-2B Data'!$I$5:$I$504)-(F183+G183+H183))&gt;1,"Tax amount differs","Matched")))</f>
        <v/>
      </c>
    </row>
    <row r="184">
      <c r="A184" s="14" t="n"/>
      <c r="B184" s="11" t="n"/>
      <c r="C184" s="11" t="n"/>
      <c r="D184" s="11" t="n"/>
      <c r="E184" s="18" t="n"/>
      <c r="F184" s="18" t="n"/>
      <c r="G184" s="18" t="n"/>
      <c r="H184" s="18" t="n"/>
      <c r="I184" s="23">
        <f>IF(E184="","",E184+F184+G184+H184)</f>
        <v/>
      </c>
      <c r="J184" s="11" t="n"/>
      <c r="K184">
        <f>IF(D184="","",UPPER(TRIM(C184))&amp;"|"&amp;UPPER(TRIM(D184)))</f>
        <v/>
      </c>
      <c r="L184">
        <f>IF(K184="","",IF(COUNTIF('GSTR-2B Data'!$J$5:$J$504,K184)=0,"Not in 2B — follow up",IF(ABS(SUMIF('GSTR-2B Data'!$J$5:$J$504,K184,'GSTR-2B Data'!$I$5:$I$504)-(F184+G184+H184))&gt;1,"Tax amount differs","Matched")))</f>
        <v/>
      </c>
    </row>
    <row r="185">
      <c r="A185" s="14" t="n"/>
      <c r="B185" s="11" t="n"/>
      <c r="C185" s="11" t="n"/>
      <c r="D185" s="11" t="n"/>
      <c r="E185" s="18" t="n"/>
      <c r="F185" s="18" t="n"/>
      <c r="G185" s="18" t="n"/>
      <c r="H185" s="18" t="n"/>
      <c r="I185" s="23">
        <f>IF(E185="","",E185+F185+G185+H185)</f>
        <v/>
      </c>
      <c r="J185" s="11" t="n"/>
      <c r="K185">
        <f>IF(D185="","",UPPER(TRIM(C185))&amp;"|"&amp;UPPER(TRIM(D185)))</f>
        <v/>
      </c>
      <c r="L185">
        <f>IF(K185="","",IF(COUNTIF('GSTR-2B Data'!$J$5:$J$504,K185)=0,"Not in 2B — follow up",IF(ABS(SUMIF('GSTR-2B Data'!$J$5:$J$504,K185,'GSTR-2B Data'!$I$5:$I$504)-(F185+G185+H185))&gt;1,"Tax amount differs","Matched")))</f>
        <v/>
      </c>
    </row>
    <row r="186">
      <c r="A186" s="14" t="n"/>
      <c r="B186" s="11" t="n"/>
      <c r="C186" s="11" t="n"/>
      <c r="D186" s="11" t="n"/>
      <c r="E186" s="18" t="n"/>
      <c r="F186" s="18" t="n"/>
      <c r="G186" s="18" t="n"/>
      <c r="H186" s="18" t="n"/>
      <c r="I186" s="23">
        <f>IF(E186="","",E186+F186+G186+H186)</f>
        <v/>
      </c>
      <c r="J186" s="11" t="n"/>
      <c r="K186">
        <f>IF(D186="","",UPPER(TRIM(C186))&amp;"|"&amp;UPPER(TRIM(D186)))</f>
        <v/>
      </c>
      <c r="L186">
        <f>IF(K186="","",IF(COUNTIF('GSTR-2B Data'!$J$5:$J$504,K186)=0,"Not in 2B — follow up",IF(ABS(SUMIF('GSTR-2B Data'!$J$5:$J$504,K186,'GSTR-2B Data'!$I$5:$I$504)-(F186+G186+H186))&gt;1,"Tax amount differs","Matched")))</f>
        <v/>
      </c>
    </row>
    <row r="187">
      <c r="A187" s="14" t="n"/>
      <c r="B187" s="11" t="n"/>
      <c r="C187" s="11" t="n"/>
      <c r="D187" s="11" t="n"/>
      <c r="E187" s="18" t="n"/>
      <c r="F187" s="18" t="n"/>
      <c r="G187" s="18" t="n"/>
      <c r="H187" s="18" t="n"/>
      <c r="I187" s="23">
        <f>IF(E187="","",E187+F187+G187+H187)</f>
        <v/>
      </c>
      <c r="J187" s="11" t="n"/>
      <c r="K187">
        <f>IF(D187="","",UPPER(TRIM(C187))&amp;"|"&amp;UPPER(TRIM(D187)))</f>
        <v/>
      </c>
      <c r="L187">
        <f>IF(K187="","",IF(COUNTIF('GSTR-2B Data'!$J$5:$J$504,K187)=0,"Not in 2B — follow up",IF(ABS(SUMIF('GSTR-2B Data'!$J$5:$J$504,K187,'GSTR-2B Data'!$I$5:$I$504)-(F187+G187+H187))&gt;1,"Tax amount differs","Matched")))</f>
        <v/>
      </c>
    </row>
    <row r="188">
      <c r="A188" s="14" t="n"/>
      <c r="B188" s="11" t="n"/>
      <c r="C188" s="11" t="n"/>
      <c r="D188" s="11" t="n"/>
      <c r="E188" s="18" t="n"/>
      <c r="F188" s="18" t="n"/>
      <c r="G188" s="18" t="n"/>
      <c r="H188" s="18" t="n"/>
      <c r="I188" s="23">
        <f>IF(E188="","",E188+F188+G188+H188)</f>
        <v/>
      </c>
      <c r="J188" s="11" t="n"/>
      <c r="K188">
        <f>IF(D188="","",UPPER(TRIM(C188))&amp;"|"&amp;UPPER(TRIM(D188)))</f>
        <v/>
      </c>
      <c r="L188">
        <f>IF(K188="","",IF(COUNTIF('GSTR-2B Data'!$J$5:$J$504,K188)=0,"Not in 2B — follow up",IF(ABS(SUMIF('GSTR-2B Data'!$J$5:$J$504,K188,'GSTR-2B Data'!$I$5:$I$504)-(F188+G188+H188))&gt;1,"Tax amount differs","Matched")))</f>
        <v/>
      </c>
    </row>
    <row r="189">
      <c r="A189" s="14" t="n"/>
      <c r="B189" s="11" t="n"/>
      <c r="C189" s="11" t="n"/>
      <c r="D189" s="11" t="n"/>
      <c r="E189" s="18" t="n"/>
      <c r="F189" s="18" t="n"/>
      <c r="G189" s="18" t="n"/>
      <c r="H189" s="18" t="n"/>
      <c r="I189" s="23">
        <f>IF(E189="","",E189+F189+G189+H189)</f>
        <v/>
      </c>
      <c r="J189" s="11" t="n"/>
      <c r="K189">
        <f>IF(D189="","",UPPER(TRIM(C189))&amp;"|"&amp;UPPER(TRIM(D189)))</f>
        <v/>
      </c>
      <c r="L189">
        <f>IF(K189="","",IF(COUNTIF('GSTR-2B Data'!$J$5:$J$504,K189)=0,"Not in 2B — follow up",IF(ABS(SUMIF('GSTR-2B Data'!$J$5:$J$504,K189,'GSTR-2B Data'!$I$5:$I$504)-(F189+G189+H189))&gt;1,"Tax amount differs","Matched")))</f>
        <v/>
      </c>
    </row>
    <row r="190">
      <c r="A190" s="14" t="n"/>
      <c r="B190" s="11" t="n"/>
      <c r="C190" s="11" t="n"/>
      <c r="D190" s="11" t="n"/>
      <c r="E190" s="18" t="n"/>
      <c r="F190" s="18" t="n"/>
      <c r="G190" s="18" t="n"/>
      <c r="H190" s="18" t="n"/>
      <c r="I190" s="23">
        <f>IF(E190="","",E190+F190+G190+H190)</f>
        <v/>
      </c>
      <c r="J190" s="11" t="n"/>
      <c r="K190">
        <f>IF(D190="","",UPPER(TRIM(C190))&amp;"|"&amp;UPPER(TRIM(D190)))</f>
        <v/>
      </c>
      <c r="L190">
        <f>IF(K190="","",IF(COUNTIF('GSTR-2B Data'!$J$5:$J$504,K190)=0,"Not in 2B — follow up",IF(ABS(SUMIF('GSTR-2B Data'!$J$5:$J$504,K190,'GSTR-2B Data'!$I$5:$I$504)-(F190+G190+H190))&gt;1,"Tax amount differs","Matched")))</f>
        <v/>
      </c>
    </row>
    <row r="191">
      <c r="A191" s="14" t="n"/>
      <c r="B191" s="11" t="n"/>
      <c r="C191" s="11" t="n"/>
      <c r="D191" s="11" t="n"/>
      <c r="E191" s="18" t="n"/>
      <c r="F191" s="18" t="n"/>
      <c r="G191" s="18" t="n"/>
      <c r="H191" s="18" t="n"/>
      <c r="I191" s="23">
        <f>IF(E191="","",E191+F191+G191+H191)</f>
        <v/>
      </c>
      <c r="J191" s="11" t="n"/>
      <c r="K191">
        <f>IF(D191="","",UPPER(TRIM(C191))&amp;"|"&amp;UPPER(TRIM(D191)))</f>
        <v/>
      </c>
      <c r="L191">
        <f>IF(K191="","",IF(COUNTIF('GSTR-2B Data'!$J$5:$J$504,K191)=0,"Not in 2B — follow up",IF(ABS(SUMIF('GSTR-2B Data'!$J$5:$J$504,K191,'GSTR-2B Data'!$I$5:$I$504)-(F191+G191+H191))&gt;1,"Tax amount differs","Matched")))</f>
        <v/>
      </c>
    </row>
    <row r="192">
      <c r="A192" s="14" t="n"/>
      <c r="B192" s="11" t="n"/>
      <c r="C192" s="11" t="n"/>
      <c r="D192" s="11" t="n"/>
      <c r="E192" s="18" t="n"/>
      <c r="F192" s="18" t="n"/>
      <c r="G192" s="18" t="n"/>
      <c r="H192" s="18" t="n"/>
      <c r="I192" s="23">
        <f>IF(E192="","",E192+F192+G192+H192)</f>
        <v/>
      </c>
      <c r="J192" s="11" t="n"/>
      <c r="K192">
        <f>IF(D192="","",UPPER(TRIM(C192))&amp;"|"&amp;UPPER(TRIM(D192)))</f>
        <v/>
      </c>
      <c r="L192">
        <f>IF(K192="","",IF(COUNTIF('GSTR-2B Data'!$J$5:$J$504,K192)=0,"Not in 2B — follow up",IF(ABS(SUMIF('GSTR-2B Data'!$J$5:$J$504,K192,'GSTR-2B Data'!$I$5:$I$504)-(F192+G192+H192))&gt;1,"Tax amount differs","Matched")))</f>
        <v/>
      </c>
    </row>
    <row r="193">
      <c r="A193" s="14" t="n"/>
      <c r="B193" s="11" t="n"/>
      <c r="C193" s="11" t="n"/>
      <c r="D193" s="11" t="n"/>
      <c r="E193" s="18" t="n"/>
      <c r="F193" s="18" t="n"/>
      <c r="G193" s="18" t="n"/>
      <c r="H193" s="18" t="n"/>
      <c r="I193" s="23">
        <f>IF(E193="","",E193+F193+G193+H193)</f>
        <v/>
      </c>
      <c r="J193" s="11" t="n"/>
      <c r="K193">
        <f>IF(D193="","",UPPER(TRIM(C193))&amp;"|"&amp;UPPER(TRIM(D193)))</f>
        <v/>
      </c>
      <c r="L193">
        <f>IF(K193="","",IF(COUNTIF('GSTR-2B Data'!$J$5:$J$504,K193)=0,"Not in 2B — follow up",IF(ABS(SUMIF('GSTR-2B Data'!$J$5:$J$504,K193,'GSTR-2B Data'!$I$5:$I$504)-(F193+G193+H193))&gt;1,"Tax amount differs","Matched")))</f>
        <v/>
      </c>
    </row>
    <row r="194">
      <c r="A194" s="14" t="n"/>
      <c r="B194" s="11" t="n"/>
      <c r="C194" s="11" t="n"/>
      <c r="D194" s="11" t="n"/>
      <c r="E194" s="18" t="n"/>
      <c r="F194" s="18" t="n"/>
      <c r="G194" s="18" t="n"/>
      <c r="H194" s="18" t="n"/>
      <c r="I194" s="23">
        <f>IF(E194="","",E194+F194+G194+H194)</f>
        <v/>
      </c>
      <c r="J194" s="11" t="n"/>
      <c r="K194">
        <f>IF(D194="","",UPPER(TRIM(C194))&amp;"|"&amp;UPPER(TRIM(D194)))</f>
        <v/>
      </c>
      <c r="L194">
        <f>IF(K194="","",IF(COUNTIF('GSTR-2B Data'!$J$5:$J$504,K194)=0,"Not in 2B — follow up",IF(ABS(SUMIF('GSTR-2B Data'!$J$5:$J$504,K194,'GSTR-2B Data'!$I$5:$I$504)-(F194+G194+H194))&gt;1,"Tax amount differs","Matched")))</f>
        <v/>
      </c>
    </row>
    <row r="195">
      <c r="A195" s="14" t="n"/>
      <c r="B195" s="11" t="n"/>
      <c r="C195" s="11" t="n"/>
      <c r="D195" s="11" t="n"/>
      <c r="E195" s="18" t="n"/>
      <c r="F195" s="18" t="n"/>
      <c r="G195" s="18" t="n"/>
      <c r="H195" s="18" t="n"/>
      <c r="I195" s="23">
        <f>IF(E195="","",E195+F195+G195+H195)</f>
        <v/>
      </c>
      <c r="J195" s="11" t="n"/>
      <c r="K195">
        <f>IF(D195="","",UPPER(TRIM(C195))&amp;"|"&amp;UPPER(TRIM(D195)))</f>
        <v/>
      </c>
      <c r="L195">
        <f>IF(K195="","",IF(COUNTIF('GSTR-2B Data'!$J$5:$J$504,K195)=0,"Not in 2B — follow up",IF(ABS(SUMIF('GSTR-2B Data'!$J$5:$J$504,K195,'GSTR-2B Data'!$I$5:$I$504)-(F195+G195+H195))&gt;1,"Tax amount differs","Matched")))</f>
        <v/>
      </c>
    </row>
    <row r="196">
      <c r="A196" s="14" t="n"/>
      <c r="B196" s="11" t="n"/>
      <c r="C196" s="11" t="n"/>
      <c r="D196" s="11" t="n"/>
      <c r="E196" s="18" t="n"/>
      <c r="F196" s="18" t="n"/>
      <c r="G196" s="18" t="n"/>
      <c r="H196" s="18" t="n"/>
      <c r="I196" s="23">
        <f>IF(E196="","",E196+F196+G196+H196)</f>
        <v/>
      </c>
      <c r="J196" s="11" t="n"/>
      <c r="K196">
        <f>IF(D196="","",UPPER(TRIM(C196))&amp;"|"&amp;UPPER(TRIM(D196)))</f>
        <v/>
      </c>
      <c r="L196">
        <f>IF(K196="","",IF(COUNTIF('GSTR-2B Data'!$J$5:$J$504,K196)=0,"Not in 2B — follow up",IF(ABS(SUMIF('GSTR-2B Data'!$J$5:$J$504,K196,'GSTR-2B Data'!$I$5:$I$504)-(F196+G196+H196))&gt;1,"Tax amount differs","Matched")))</f>
        <v/>
      </c>
    </row>
    <row r="197">
      <c r="A197" s="14" t="n"/>
      <c r="B197" s="11" t="n"/>
      <c r="C197" s="11" t="n"/>
      <c r="D197" s="11" t="n"/>
      <c r="E197" s="18" t="n"/>
      <c r="F197" s="18" t="n"/>
      <c r="G197" s="18" t="n"/>
      <c r="H197" s="18" t="n"/>
      <c r="I197" s="23">
        <f>IF(E197="","",E197+F197+G197+H197)</f>
        <v/>
      </c>
      <c r="J197" s="11" t="n"/>
      <c r="K197">
        <f>IF(D197="","",UPPER(TRIM(C197))&amp;"|"&amp;UPPER(TRIM(D197)))</f>
        <v/>
      </c>
      <c r="L197">
        <f>IF(K197="","",IF(COUNTIF('GSTR-2B Data'!$J$5:$J$504,K197)=0,"Not in 2B — follow up",IF(ABS(SUMIF('GSTR-2B Data'!$J$5:$J$504,K197,'GSTR-2B Data'!$I$5:$I$504)-(F197+G197+H197))&gt;1,"Tax amount differs","Matched")))</f>
        <v/>
      </c>
    </row>
    <row r="198">
      <c r="A198" s="14" t="n"/>
      <c r="B198" s="11" t="n"/>
      <c r="C198" s="11" t="n"/>
      <c r="D198" s="11" t="n"/>
      <c r="E198" s="18" t="n"/>
      <c r="F198" s="18" t="n"/>
      <c r="G198" s="18" t="n"/>
      <c r="H198" s="18" t="n"/>
      <c r="I198" s="23">
        <f>IF(E198="","",E198+F198+G198+H198)</f>
        <v/>
      </c>
      <c r="J198" s="11" t="n"/>
      <c r="K198">
        <f>IF(D198="","",UPPER(TRIM(C198))&amp;"|"&amp;UPPER(TRIM(D198)))</f>
        <v/>
      </c>
      <c r="L198">
        <f>IF(K198="","",IF(COUNTIF('GSTR-2B Data'!$J$5:$J$504,K198)=0,"Not in 2B — follow up",IF(ABS(SUMIF('GSTR-2B Data'!$J$5:$J$504,K198,'GSTR-2B Data'!$I$5:$I$504)-(F198+G198+H198))&gt;1,"Tax amount differs","Matched")))</f>
        <v/>
      </c>
    </row>
    <row r="199">
      <c r="A199" s="14" t="n"/>
      <c r="B199" s="11" t="n"/>
      <c r="C199" s="11" t="n"/>
      <c r="D199" s="11" t="n"/>
      <c r="E199" s="18" t="n"/>
      <c r="F199" s="18" t="n"/>
      <c r="G199" s="18" t="n"/>
      <c r="H199" s="18" t="n"/>
      <c r="I199" s="23">
        <f>IF(E199="","",E199+F199+G199+H199)</f>
        <v/>
      </c>
      <c r="J199" s="11" t="n"/>
      <c r="K199">
        <f>IF(D199="","",UPPER(TRIM(C199))&amp;"|"&amp;UPPER(TRIM(D199)))</f>
        <v/>
      </c>
      <c r="L199">
        <f>IF(K199="","",IF(COUNTIF('GSTR-2B Data'!$J$5:$J$504,K199)=0,"Not in 2B — follow up",IF(ABS(SUMIF('GSTR-2B Data'!$J$5:$J$504,K199,'GSTR-2B Data'!$I$5:$I$504)-(F199+G199+H199))&gt;1,"Tax amount differs","Matched")))</f>
        <v/>
      </c>
    </row>
    <row r="200">
      <c r="A200" s="14" t="n"/>
      <c r="B200" s="11" t="n"/>
      <c r="C200" s="11" t="n"/>
      <c r="D200" s="11" t="n"/>
      <c r="E200" s="18" t="n"/>
      <c r="F200" s="18" t="n"/>
      <c r="G200" s="18" t="n"/>
      <c r="H200" s="18" t="n"/>
      <c r="I200" s="23">
        <f>IF(E200="","",E200+F200+G200+H200)</f>
        <v/>
      </c>
      <c r="J200" s="11" t="n"/>
      <c r="K200">
        <f>IF(D200="","",UPPER(TRIM(C200))&amp;"|"&amp;UPPER(TRIM(D200)))</f>
        <v/>
      </c>
      <c r="L200">
        <f>IF(K200="","",IF(COUNTIF('GSTR-2B Data'!$J$5:$J$504,K200)=0,"Not in 2B — follow up",IF(ABS(SUMIF('GSTR-2B Data'!$J$5:$J$504,K200,'GSTR-2B Data'!$I$5:$I$504)-(F200+G200+H200))&gt;1,"Tax amount differs","Matched")))</f>
        <v/>
      </c>
    </row>
    <row r="201">
      <c r="A201" s="14" t="n"/>
      <c r="B201" s="11" t="n"/>
      <c r="C201" s="11" t="n"/>
      <c r="D201" s="11" t="n"/>
      <c r="E201" s="18" t="n"/>
      <c r="F201" s="18" t="n"/>
      <c r="G201" s="18" t="n"/>
      <c r="H201" s="18" t="n"/>
      <c r="I201" s="23">
        <f>IF(E201="","",E201+F201+G201+H201)</f>
        <v/>
      </c>
      <c r="J201" s="11" t="n"/>
      <c r="K201">
        <f>IF(D201="","",UPPER(TRIM(C201))&amp;"|"&amp;UPPER(TRIM(D201)))</f>
        <v/>
      </c>
      <c r="L201">
        <f>IF(K201="","",IF(COUNTIF('GSTR-2B Data'!$J$5:$J$504,K201)=0,"Not in 2B — follow up",IF(ABS(SUMIF('GSTR-2B Data'!$J$5:$J$504,K201,'GSTR-2B Data'!$I$5:$I$504)-(F201+G201+H201))&gt;1,"Tax amount differs","Matched")))</f>
        <v/>
      </c>
    </row>
    <row r="202">
      <c r="A202" s="14" t="n"/>
      <c r="B202" s="11" t="n"/>
      <c r="C202" s="11" t="n"/>
      <c r="D202" s="11" t="n"/>
      <c r="E202" s="18" t="n"/>
      <c r="F202" s="18" t="n"/>
      <c r="G202" s="18" t="n"/>
      <c r="H202" s="18" t="n"/>
      <c r="I202" s="23">
        <f>IF(E202="","",E202+F202+G202+H202)</f>
        <v/>
      </c>
      <c r="J202" s="11" t="n"/>
      <c r="K202">
        <f>IF(D202="","",UPPER(TRIM(C202))&amp;"|"&amp;UPPER(TRIM(D202)))</f>
        <v/>
      </c>
      <c r="L202">
        <f>IF(K202="","",IF(COUNTIF('GSTR-2B Data'!$J$5:$J$504,K202)=0,"Not in 2B — follow up",IF(ABS(SUMIF('GSTR-2B Data'!$J$5:$J$504,K202,'GSTR-2B Data'!$I$5:$I$504)-(F202+G202+H202))&gt;1,"Tax amount differs","Matched")))</f>
        <v/>
      </c>
    </row>
    <row r="203">
      <c r="A203" s="14" t="n"/>
      <c r="B203" s="11" t="n"/>
      <c r="C203" s="11" t="n"/>
      <c r="D203" s="11" t="n"/>
      <c r="E203" s="18" t="n"/>
      <c r="F203" s="18" t="n"/>
      <c r="G203" s="18" t="n"/>
      <c r="H203" s="18" t="n"/>
      <c r="I203" s="23">
        <f>IF(E203="","",E203+F203+G203+H203)</f>
        <v/>
      </c>
      <c r="J203" s="11" t="n"/>
      <c r="K203">
        <f>IF(D203="","",UPPER(TRIM(C203))&amp;"|"&amp;UPPER(TRIM(D203)))</f>
        <v/>
      </c>
      <c r="L203">
        <f>IF(K203="","",IF(COUNTIF('GSTR-2B Data'!$J$5:$J$504,K203)=0,"Not in 2B — follow up",IF(ABS(SUMIF('GSTR-2B Data'!$J$5:$J$504,K203,'GSTR-2B Data'!$I$5:$I$504)-(F203+G203+H203))&gt;1,"Tax amount differs","Matched")))</f>
        <v/>
      </c>
    </row>
    <row r="204">
      <c r="A204" s="14" t="n"/>
      <c r="B204" s="11" t="n"/>
      <c r="C204" s="11" t="n"/>
      <c r="D204" s="11" t="n"/>
      <c r="E204" s="18" t="n"/>
      <c r="F204" s="18" t="n"/>
      <c r="G204" s="18" t="n"/>
      <c r="H204" s="18" t="n"/>
      <c r="I204" s="23">
        <f>IF(E204="","",E204+F204+G204+H204)</f>
        <v/>
      </c>
      <c r="J204" s="11" t="n"/>
      <c r="K204">
        <f>IF(D204="","",UPPER(TRIM(C204))&amp;"|"&amp;UPPER(TRIM(D204)))</f>
        <v/>
      </c>
      <c r="L204">
        <f>IF(K204="","",IF(COUNTIF('GSTR-2B Data'!$J$5:$J$504,K204)=0,"Not in 2B — follow up",IF(ABS(SUMIF('GSTR-2B Data'!$J$5:$J$504,K204,'GSTR-2B Data'!$I$5:$I$504)-(F204+G204+H204))&gt;1,"Tax amount differs","Matched")))</f>
        <v/>
      </c>
    </row>
    <row r="205">
      <c r="A205" s="14" t="n"/>
      <c r="B205" s="11" t="n"/>
      <c r="C205" s="11" t="n"/>
      <c r="D205" s="11" t="n"/>
      <c r="E205" s="18" t="n"/>
      <c r="F205" s="18" t="n"/>
      <c r="G205" s="18" t="n"/>
      <c r="H205" s="18" t="n"/>
      <c r="I205" s="23">
        <f>IF(E205="","",E205+F205+G205+H205)</f>
        <v/>
      </c>
      <c r="J205" s="11" t="n"/>
      <c r="K205">
        <f>IF(D205="","",UPPER(TRIM(C205))&amp;"|"&amp;UPPER(TRIM(D205)))</f>
        <v/>
      </c>
      <c r="L205">
        <f>IF(K205="","",IF(COUNTIF('GSTR-2B Data'!$J$5:$J$504,K205)=0,"Not in 2B — follow up",IF(ABS(SUMIF('GSTR-2B Data'!$J$5:$J$504,K205,'GSTR-2B Data'!$I$5:$I$504)-(F205+G205+H205))&gt;1,"Tax amount differs","Matched")))</f>
        <v/>
      </c>
    </row>
    <row r="206">
      <c r="A206" s="14" t="n"/>
      <c r="B206" s="11" t="n"/>
      <c r="C206" s="11" t="n"/>
      <c r="D206" s="11" t="n"/>
      <c r="E206" s="18" t="n"/>
      <c r="F206" s="18" t="n"/>
      <c r="G206" s="18" t="n"/>
      <c r="H206" s="18" t="n"/>
      <c r="I206" s="23">
        <f>IF(E206="","",E206+F206+G206+H206)</f>
        <v/>
      </c>
      <c r="J206" s="11" t="n"/>
      <c r="K206">
        <f>IF(D206="","",UPPER(TRIM(C206))&amp;"|"&amp;UPPER(TRIM(D206)))</f>
        <v/>
      </c>
      <c r="L206">
        <f>IF(K206="","",IF(COUNTIF('GSTR-2B Data'!$J$5:$J$504,K206)=0,"Not in 2B — follow up",IF(ABS(SUMIF('GSTR-2B Data'!$J$5:$J$504,K206,'GSTR-2B Data'!$I$5:$I$504)-(F206+G206+H206))&gt;1,"Tax amount differs","Matched")))</f>
        <v/>
      </c>
    </row>
    <row r="207">
      <c r="A207" s="14" t="n"/>
      <c r="B207" s="11" t="n"/>
      <c r="C207" s="11" t="n"/>
      <c r="D207" s="11" t="n"/>
      <c r="E207" s="18" t="n"/>
      <c r="F207" s="18" t="n"/>
      <c r="G207" s="18" t="n"/>
      <c r="H207" s="18" t="n"/>
      <c r="I207" s="23">
        <f>IF(E207="","",E207+F207+G207+H207)</f>
        <v/>
      </c>
      <c r="J207" s="11" t="n"/>
      <c r="K207">
        <f>IF(D207="","",UPPER(TRIM(C207))&amp;"|"&amp;UPPER(TRIM(D207)))</f>
        <v/>
      </c>
      <c r="L207">
        <f>IF(K207="","",IF(COUNTIF('GSTR-2B Data'!$J$5:$J$504,K207)=0,"Not in 2B — follow up",IF(ABS(SUMIF('GSTR-2B Data'!$J$5:$J$504,K207,'GSTR-2B Data'!$I$5:$I$504)-(F207+G207+H207))&gt;1,"Tax amount differs","Matched")))</f>
        <v/>
      </c>
    </row>
    <row r="208">
      <c r="A208" s="14" t="n"/>
      <c r="B208" s="11" t="n"/>
      <c r="C208" s="11" t="n"/>
      <c r="D208" s="11" t="n"/>
      <c r="E208" s="18" t="n"/>
      <c r="F208" s="18" t="n"/>
      <c r="G208" s="18" t="n"/>
      <c r="H208" s="18" t="n"/>
      <c r="I208" s="23">
        <f>IF(E208="","",E208+F208+G208+H208)</f>
        <v/>
      </c>
      <c r="J208" s="11" t="n"/>
      <c r="K208">
        <f>IF(D208="","",UPPER(TRIM(C208))&amp;"|"&amp;UPPER(TRIM(D208)))</f>
        <v/>
      </c>
      <c r="L208">
        <f>IF(K208="","",IF(COUNTIF('GSTR-2B Data'!$J$5:$J$504,K208)=0,"Not in 2B — follow up",IF(ABS(SUMIF('GSTR-2B Data'!$J$5:$J$504,K208,'GSTR-2B Data'!$I$5:$I$504)-(F208+G208+H208))&gt;1,"Tax amount differs","Matched")))</f>
        <v/>
      </c>
    </row>
    <row r="209">
      <c r="A209" s="14" t="n"/>
      <c r="B209" s="11" t="n"/>
      <c r="C209" s="11" t="n"/>
      <c r="D209" s="11" t="n"/>
      <c r="E209" s="18" t="n"/>
      <c r="F209" s="18" t="n"/>
      <c r="G209" s="18" t="n"/>
      <c r="H209" s="18" t="n"/>
      <c r="I209" s="23">
        <f>IF(E209="","",E209+F209+G209+H209)</f>
        <v/>
      </c>
      <c r="J209" s="11" t="n"/>
      <c r="K209">
        <f>IF(D209="","",UPPER(TRIM(C209))&amp;"|"&amp;UPPER(TRIM(D209)))</f>
        <v/>
      </c>
      <c r="L209">
        <f>IF(K209="","",IF(COUNTIF('GSTR-2B Data'!$J$5:$J$504,K209)=0,"Not in 2B — follow up",IF(ABS(SUMIF('GSTR-2B Data'!$J$5:$J$504,K209,'GSTR-2B Data'!$I$5:$I$504)-(F209+G209+H209))&gt;1,"Tax amount differs","Matched")))</f>
        <v/>
      </c>
    </row>
    <row r="210">
      <c r="A210" s="14" t="n"/>
      <c r="B210" s="11" t="n"/>
      <c r="C210" s="11" t="n"/>
      <c r="D210" s="11" t="n"/>
      <c r="E210" s="18" t="n"/>
      <c r="F210" s="18" t="n"/>
      <c r="G210" s="18" t="n"/>
      <c r="H210" s="18" t="n"/>
      <c r="I210" s="23">
        <f>IF(E210="","",E210+F210+G210+H210)</f>
        <v/>
      </c>
      <c r="J210" s="11" t="n"/>
      <c r="K210">
        <f>IF(D210="","",UPPER(TRIM(C210))&amp;"|"&amp;UPPER(TRIM(D210)))</f>
        <v/>
      </c>
      <c r="L210">
        <f>IF(K210="","",IF(COUNTIF('GSTR-2B Data'!$J$5:$J$504,K210)=0,"Not in 2B — follow up",IF(ABS(SUMIF('GSTR-2B Data'!$J$5:$J$504,K210,'GSTR-2B Data'!$I$5:$I$504)-(F210+G210+H210))&gt;1,"Tax amount differs","Matched")))</f>
        <v/>
      </c>
    </row>
    <row r="211">
      <c r="A211" s="14" t="n"/>
      <c r="B211" s="11" t="n"/>
      <c r="C211" s="11" t="n"/>
      <c r="D211" s="11" t="n"/>
      <c r="E211" s="18" t="n"/>
      <c r="F211" s="18" t="n"/>
      <c r="G211" s="18" t="n"/>
      <c r="H211" s="18" t="n"/>
      <c r="I211" s="23">
        <f>IF(E211="","",E211+F211+G211+H211)</f>
        <v/>
      </c>
      <c r="J211" s="11" t="n"/>
      <c r="K211">
        <f>IF(D211="","",UPPER(TRIM(C211))&amp;"|"&amp;UPPER(TRIM(D211)))</f>
        <v/>
      </c>
      <c r="L211">
        <f>IF(K211="","",IF(COUNTIF('GSTR-2B Data'!$J$5:$J$504,K211)=0,"Not in 2B — follow up",IF(ABS(SUMIF('GSTR-2B Data'!$J$5:$J$504,K211,'GSTR-2B Data'!$I$5:$I$504)-(F211+G211+H211))&gt;1,"Tax amount differs","Matched")))</f>
        <v/>
      </c>
    </row>
    <row r="212">
      <c r="A212" s="14" t="n"/>
      <c r="B212" s="11" t="n"/>
      <c r="C212" s="11" t="n"/>
      <c r="D212" s="11" t="n"/>
      <c r="E212" s="18" t="n"/>
      <c r="F212" s="18" t="n"/>
      <c r="G212" s="18" t="n"/>
      <c r="H212" s="18" t="n"/>
      <c r="I212" s="23">
        <f>IF(E212="","",E212+F212+G212+H212)</f>
        <v/>
      </c>
      <c r="J212" s="11" t="n"/>
      <c r="K212">
        <f>IF(D212="","",UPPER(TRIM(C212))&amp;"|"&amp;UPPER(TRIM(D212)))</f>
        <v/>
      </c>
      <c r="L212">
        <f>IF(K212="","",IF(COUNTIF('GSTR-2B Data'!$J$5:$J$504,K212)=0,"Not in 2B — follow up",IF(ABS(SUMIF('GSTR-2B Data'!$J$5:$J$504,K212,'GSTR-2B Data'!$I$5:$I$504)-(F212+G212+H212))&gt;1,"Tax amount differs","Matched")))</f>
        <v/>
      </c>
    </row>
    <row r="213">
      <c r="A213" s="14" t="n"/>
      <c r="B213" s="11" t="n"/>
      <c r="C213" s="11" t="n"/>
      <c r="D213" s="11" t="n"/>
      <c r="E213" s="18" t="n"/>
      <c r="F213" s="18" t="n"/>
      <c r="G213" s="18" t="n"/>
      <c r="H213" s="18" t="n"/>
      <c r="I213" s="23">
        <f>IF(E213="","",E213+F213+G213+H213)</f>
        <v/>
      </c>
      <c r="J213" s="11" t="n"/>
      <c r="K213">
        <f>IF(D213="","",UPPER(TRIM(C213))&amp;"|"&amp;UPPER(TRIM(D213)))</f>
        <v/>
      </c>
      <c r="L213">
        <f>IF(K213="","",IF(COUNTIF('GSTR-2B Data'!$J$5:$J$504,K213)=0,"Not in 2B — follow up",IF(ABS(SUMIF('GSTR-2B Data'!$J$5:$J$504,K213,'GSTR-2B Data'!$I$5:$I$504)-(F213+G213+H213))&gt;1,"Tax amount differs","Matched")))</f>
        <v/>
      </c>
    </row>
    <row r="214">
      <c r="A214" s="14" t="n"/>
      <c r="B214" s="11" t="n"/>
      <c r="C214" s="11" t="n"/>
      <c r="D214" s="11" t="n"/>
      <c r="E214" s="18" t="n"/>
      <c r="F214" s="18" t="n"/>
      <c r="G214" s="18" t="n"/>
      <c r="H214" s="18" t="n"/>
      <c r="I214" s="23">
        <f>IF(E214="","",E214+F214+G214+H214)</f>
        <v/>
      </c>
      <c r="J214" s="11" t="n"/>
      <c r="K214">
        <f>IF(D214="","",UPPER(TRIM(C214))&amp;"|"&amp;UPPER(TRIM(D214)))</f>
        <v/>
      </c>
      <c r="L214">
        <f>IF(K214="","",IF(COUNTIF('GSTR-2B Data'!$J$5:$J$504,K214)=0,"Not in 2B — follow up",IF(ABS(SUMIF('GSTR-2B Data'!$J$5:$J$504,K214,'GSTR-2B Data'!$I$5:$I$504)-(F214+G214+H214))&gt;1,"Tax amount differs","Matched")))</f>
        <v/>
      </c>
    </row>
    <row r="215">
      <c r="A215" s="14" t="n"/>
      <c r="B215" s="11" t="n"/>
      <c r="C215" s="11" t="n"/>
      <c r="D215" s="11" t="n"/>
      <c r="E215" s="18" t="n"/>
      <c r="F215" s="18" t="n"/>
      <c r="G215" s="18" t="n"/>
      <c r="H215" s="18" t="n"/>
      <c r="I215" s="23">
        <f>IF(E215="","",E215+F215+G215+H215)</f>
        <v/>
      </c>
      <c r="J215" s="11" t="n"/>
      <c r="K215">
        <f>IF(D215="","",UPPER(TRIM(C215))&amp;"|"&amp;UPPER(TRIM(D215)))</f>
        <v/>
      </c>
      <c r="L215">
        <f>IF(K215="","",IF(COUNTIF('GSTR-2B Data'!$J$5:$J$504,K215)=0,"Not in 2B — follow up",IF(ABS(SUMIF('GSTR-2B Data'!$J$5:$J$504,K215,'GSTR-2B Data'!$I$5:$I$504)-(F215+G215+H215))&gt;1,"Tax amount differs","Matched")))</f>
        <v/>
      </c>
    </row>
    <row r="216">
      <c r="A216" s="14" t="n"/>
      <c r="B216" s="11" t="n"/>
      <c r="C216" s="11" t="n"/>
      <c r="D216" s="11" t="n"/>
      <c r="E216" s="18" t="n"/>
      <c r="F216" s="18" t="n"/>
      <c r="G216" s="18" t="n"/>
      <c r="H216" s="18" t="n"/>
      <c r="I216" s="23">
        <f>IF(E216="","",E216+F216+G216+H216)</f>
        <v/>
      </c>
      <c r="J216" s="11" t="n"/>
      <c r="K216">
        <f>IF(D216="","",UPPER(TRIM(C216))&amp;"|"&amp;UPPER(TRIM(D216)))</f>
        <v/>
      </c>
      <c r="L216">
        <f>IF(K216="","",IF(COUNTIF('GSTR-2B Data'!$J$5:$J$504,K216)=0,"Not in 2B — follow up",IF(ABS(SUMIF('GSTR-2B Data'!$J$5:$J$504,K216,'GSTR-2B Data'!$I$5:$I$504)-(F216+G216+H216))&gt;1,"Tax amount differs","Matched")))</f>
        <v/>
      </c>
    </row>
    <row r="217">
      <c r="A217" s="14" t="n"/>
      <c r="B217" s="11" t="n"/>
      <c r="C217" s="11" t="n"/>
      <c r="D217" s="11" t="n"/>
      <c r="E217" s="18" t="n"/>
      <c r="F217" s="18" t="n"/>
      <c r="G217" s="18" t="n"/>
      <c r="H217" s="18" t="n"/>
      <c r="I217" s="23">
        <f>IF(E217="","",E217+F217+G217+H217)</f>
        <v/>
      </c>
      <c r="J217" s="11" t="n"/>
      <c r="K217">
        <f>IF(D217="","",UPPER(TRIM(C217))&amp;"|"&amp;UPPER(TRIM(D217)))</f>
        <v/>
      </c>
      <c r="L217">
        <f>IF(K217="","",IF(COUNTIF('GSTR-2B Data'!$J$5:$J$504,K217)=0,"Not in 2B — follow up",IF(ABS(SUMIF('GSTR-2B Data'!$J$5:$J$504,K217,'GSTR-2B Data'!$I$5:$I$504)-(F217+G217+H217))&gt;1,"Tax amount differs","Matched")))</f>
        <v/>
      </c>
    </row>
    <row r="218">
      <c r="A218" s="14" t="n"/>
      <c r="B218" s="11" t="n"/>
      <c r="C218" s="11" t="n"/>
      <c r="D218" s="11" t="n"/>
      <c r="E218" s="18" t="n"/>
      <c r="F218" s="18" t="n"/>
      <c r="G218" s="18" t="n"/>
      <c r="H218" s="18" t="n"/>
      <c r="I218" s="23">
        <f>IF(E218="","",E218+F218+G218+H218)</f>
        <v/>
      </c>
      <c r="J218" s="11" t="n"/>
      <c r="K218">
        <f>IF(D218="","",UPPER(TRIM(C218))&amp;"|"&amp;UPPER(TRIM(D218)))</f>
        <v/>
      </c>
      <c r="L218">
        <f>IF(K218="","",IF(COUNTIF('GSTR-2B Data'!$J$5:$J$504,K218)=0,"Not in 2B — follow up",IF(ABS(SUMIF('GSTR-2B Data'!$J$5:$J$504,K218,'GSTR-2B Data'!$I$5:$I$504)-(F218+G218+H218))&gt;1,"Tax amount differs","Matched")))</f>
        <v/>
      </c>
    </row>
    <row r="219">
      <c r="A219" s="14" t="n"/>
      <c r="B219" s="11" t="n"/>
      <c r="C219" s="11" t="n"/>
      <c r="D219" s="11" t="n"/>
      <c r="E219" s="18" t="n"/>
      <c r="F219" s="18" t="n"/>
      <c r="G219" s="18" t="n"/>
      <c r="H219" s="18" t="n"/>
      <c r="I219" s="23">
        <f>IF(E219="","",E219+F219+G219+H219)</f>
        <v/>
      </c>
      <c r="J219" s="11" t="n"/>
      <c r="K219">
        <f>IF(D219="","",UPPER(TRIM(C219))&amp;"|"&amp;UPPER(TRIM(D219)))</f>
        <v/>
      </c>
      <c r="L219">
        <f>IF(K219="","",IF(COUNTIF('GSTR-2B Data'!$J$5:$J$504,K219)=0,"Not in 2B — follow up",IF(ABS(SUMIF('GSTR-2B Data'!$J$5:$J$504,K219,'GSTR-2B Data'!$I$5:$I$504)-(F219+G219+H219))&gt;1,"Tax amount differs","Matched")))</f>
        <v/>
      </c>
    </row>
    <row r="220">
      <c r="A220" s="14" t="n"/>
      <c r="B220" s="11" t="n"/>
      <c r="C220" s="11" t="n"/>
      <c r="D220" s="11" t="n"/>
      <c r="E220" s="18" t="n"/>
      <c r="F220" s="18" t="n"/>
      <c r="G220" s="18" t="n"/>
      <c r="H220" s="18" t="n"/>
      <c r="I220" s="23">
        <f>IF(E220="","",E220+F220+G220+H220)</f>
        <v/>
      </c>
      <c r="J220" s="11" t="n"/>
      <c r="K220">
        <f>IF(D220="","",UPPER(TRIM(C220))&amp;"|"&amp;UPPER(TRIM(D220)))</f>
        <v/>
      </c>
      <c r="L220">
        <f>IF(K220="","",IF(COUNTIF('GSTR-2B Data'!$J$5:$J$504,K220)=0,"Not in 2B — follow up",IF(ABS(SUMIF('GSTR-2B Data'!$J$5:$J$504,K220,'GSTR-2B Data'!$I$5:$I$504)-(F220+G220+H220))&gt;1,"Tax amount differs","Matched")))</f>
        <v/>
      </c>
    </row>
    <row r="221">
      <c r="A221" s="14" t="n"/>
      <c r="B221" s="11" t="n"/>
      <c r="C221" s="11" t="n"/>
      <c r="D221" s="11" t="n"/>
      <c r="E221" s="18" t="n"/>
      <c r="F221" s="18" t="n"/>
      <c r="G221" s="18" t="n"/>
      <c r="H221" s="18" t="n"/>
      <c r="I221" s="23">
        <f>IF(E221="","",E221+F221+G221+H221)</f>
        <v/>
      </c>
      <c r="J221" s="11" t="n"/>
      <c r="K221">
        <f>IF(D221="","",UPPER(TRIM(C221))&amp;"|"&amp;UPPER(TRIM(D221)))</f>
        <v/>
      </c>
      <c r="L221">
        <f>IF(K221="","",IF(COUNTIF('GSTR-2B Data'!$J$5:$J$504,K221)=0,"Not in 2B — follow up",IF(ABS(SUMIF('GSTR-2B Data'!$J$5:$J$504,K221,'GSTR-2B Data'!$I$5:$I$504)-(F221+G221+H221))&gt;1,"Tax amount differs","Matched")))</f>
        <v/>
      </c>
    </row>
    <row r="222">
      <c r="A222" s="14" t="n"/>
      <c r="B222" s="11" t="n"/>
      <c r="C222" s="11" t="n"/>
      <c r="D222" s="11" t="n"/>
      <c r="E222" s="18" t="n"/>
      <c r="F222" s="18" t="n"/>
      <c r="G222" s="18" t="n"/>
      <c r="H222" s="18" t="n"/>
      <c r="I222" s="23">
        <f>IF(E222="","",E222+F222+G222+H222)</f>
        <v/>
      </c>
      <c r="J222" s="11" t="n"/>
      <c r="K222">
        <f>IF(D222="","",UPPER(TRIM(C222))&amp;"|"&amp;UPPER(TRIM(D222)))</f>
        <v/>
      </c>
      <c r="L222">
        <f>IF(K222="","",IF(COUNTIF('GSTR-2B Data'!$J$5:$J$504,K222)=0,"Not in 2B — follow up",IF(ABS(SUMIF('GSTR-2B Data'!$J$5:$J$504,K222,'GSTR-2B Data'!$I$5:$I$504)-(F222+G222+H222))&gt;1,"Tax amount differs","Matched")))</f>
        <v/>
      </c>
    </row>
    <row r="223">
      <c r="A223" s="14" t="n"/>
      <c r="B223" s="11" t="n"/>
      <c r="C223" s="11" t="n"/>
      <c r="D223" s="11" t="n"/>
      <c r="E223" s="18" t="n"/>
      <c r="F223" s="18" t="n"/>
      <c r="G223" s="18" t="n"/>
      <c r="H223" s="18" t="n"/>
      <c r="I223" s="23">
        <f>IF(E223="","",E223+F223+G223+H223)</f>
        <v/>
      </c>
      <c r="J223" s="11" t="n"/>
      <c r="K223">
        <f>IF(D223="","",UPPER(TRIM(C223))&amp;"|"&amp;UPPER(TRIM(D223)))</f>
        <v/>
      </c>
      <c r="L223">
        <f>IF(K223="","",IF(COUNTIF('GSTR-2B Data'!$J$5:$J$504,K223)=0,"Not in 2B — follow up",IF(ABS(SUMIF('GSTR-2B Data'!$J$5:$J$504,K223,'GSTR-2B Data'!$I$5:$I$504)-(F223+G223+H223))&gt;1,"Tax amount differs","Matched")))</f>
        <v/>
      </c>
    </row>
    <row r="224">
      <c r="A224" s="14" t="n"/>
      <c r="B224" s="11" t="n"/>
      <c r="C224" s="11" t="n"/>
      <c r="D224" s="11" t="n"/>
      <c r="E224" s="18" t="n"/>
      <c r="F224" s="18" t="n"/>
      <c r="G224" s="18" t="n"/>
      <c r="H224" s="18" t="n"/>
      <c r="I224" s="23">
        <f>IF(E224="","",E224+F224+G224+H224)</f>
        <v/>
      </c>
      <c r="J224" s="11" t="n"/>
      <c r="K224">
        <f>IF(D224="","",UPPER(TRIM(C224))&amp;"|"&amp;UPPER(TRIM(D224)))</f>
        <v/>
      </c>
      <c r="L224">
        <f>IF(K224="","",IF(COUNTIF('GSTR-2B Data'!$J$5:$J$504,K224)=0,"Not in 2B — follow up",IF(ABS(SUMIF('GSTR-2B Data'!$J$5:$J$504,K224,'GSTR-2B Data'!$I$5:$I$504)-(F224+G224+H224))&gt;1,"Tax amount differs","Matched")))</f>
        <v/>
      </c>
    </row>
    <row r="225">
      <c r="A225" s="14" t="n"/>
      <c r="B225" s="11" t="n"/>
      <c r="C225" s="11" t="n"/>
      <c r="D225" s="11" t="n"/>
      <c r="E225" s="18" t="n"/>
      <c r="F225" s="18" t="n"/>
      <c r="G225" s="18" t="n"/>
      <c r="H225" s="18" t="n"/>
      <c r="I225" s="23">
        <f>IF(E225="","",E225+F225+G225+H225)</f>
        <v/>
      </c>
      <c r="J225" s="11" t="n"/>
      <c r="K225">
        <f>IF(D225="","",UPPER(TRIM(C225))&amp;"|"&amp;UPPER(TRIM(D225)))</f>
        <v/>
      </c>
      <c r="L225">
        <f>IF(K225="","",IF(COUNTIF('GSTR-2B Data'!$J$5:$J$504,K225)=0,"Not in 2B — follow up",IF(ABS(SUMIF('GSTR-2B Data'!$J$5:$J$504,K225,'GSTR-2B Data'!$I$5:$I$504)-(F225+G225+H225))&gt;1,"Tax amount differs","Matched")))</f>
        <v/>
      </c>
    </row>
    <row r="226">
      <c r="A226" s="14" t="n"/>
      <c r="B226" s="11" t="n"/>
      <c r="C226" s="11" t="n"/>
      <c r="D226" s="11" t="n"/>
      <c r="E226" s="18" t="n"/>
      <c r="F226" s="18" t="n"/>
      <c r="G226" s="18" t="n"/>
      <c r="H226" s="18" t="n"/>
      <c r="I226" s="23">
        <f>IF(E226="","",E226+F226+G226+H226)</f>
        <v/>
      </c>
      <c r="J226" s="11" t="n"/>
      <c r="K226">
        <f>IF(D226="","",UPPER(TRIM(C226))&amp;"|"&amp;UPPER(TRIM(D226)))</f>
        <v/>
      </c>
      <c r="L226">
        <f>IF(K226="","",IF(COUNTIF('GSTR-2B Data'!$J$5:$J$504,K226)=0,"Not in 2B — follow up",IF(ABS(SUMIF('GSTR-2B Data'!$J$5:$J$504,K226,'GSTR-2B Data'!$I$5:$I$504)-(F226+G226+H226))&gt;1,"Tax amount differs","Matched")))</f>
        <v/>
      </c>
    </row>
    <row r="227">
      <c r="A227" s="14" t="n"/>
      <c r="B227" s="11" t="n"/>
      <c r="C227" s="11" t="n"/>
      <c r="D227" s="11" t="n"/>
      <c r="E227" s="18" t="n"/>
      <c r="F227" s="18" t="n"/>
      <c r="G227" s="18" t="n"/>
      <c r="H227" s="18" t="n"/>
      <c r="I227" s="23">
        <f>IF(E227="","",E227+F227+G227+H227)</f>
        <v/>
      </c>
      <c r="J227" s="11" t="n"/>
      <c r="K227">
        <f>IF(D227="","",UPPER(TRIM(C227))&amp;"|"&amp;UPPER(TRIM(D227)))</f>
        <v/>
      </c>
      <c r="L227">
        <f>IF(K227="","",IF(COUNTIF('GSTR-2B Data'!$J$5:$J$504,K227)=0,"Not in 2B — follow up",IF(ABS(SUMIF('GSTR-2B Data'!$J$5:$J$504,K227,'GSTR-2B Data'!$I$5:$I$504)-(F227+G227+H227))&gt;1,"Tax amount differs","Matched")))</f>
        <v/>
      </c>
    </row>
    <row r="228">
      <c r="A228" s="14" t="n"/>
      <c r="B228" s="11" t="n"/>
      <c r="C228" s="11" t="n"/>
      <c r="D228" s="11" t="n"/>
      <c r="E228" s="18" t="n"/>
      <c r="F228" s="18" t="n"/>
      <c r="G228" s="18" t="n"/>
      <c r="H228" s="18" t="n"/>
      <c r="I228" s="23">
        <f>IF(E228="","",E228+F228+G228+H228)</f>
        <v/>
      </c>
      <c r="J228" s="11" t="n"/>
      <c r="K228">
        <f>IF(D228="","",UPPER(TRIM(C228))&amp;"|"&amp;UPPER(TRIM(D228)))</f>
        <v/>
      </c>
      <c r="L228">
        <f>IF(K228="","",IF(COUNTIF('GSTR-2B Data'!$J$5:$J$504,K228)=0,"Not in 2B — follow up",IF(ABS(SUMIF('GSTR-2B Data'!$J$5:$J$504,K228,'GSTR-2B Data'!$I$5:$I$504)-(F228+G228+H228))&gt;1,"Tax amount differs","Matched")))</f>
        <v/>
      </c>
    </row>
    <row r="229">
      <c r="A229" s="14" t="n"/>
      <c r="B229" s="11" t="n"/>
      <c r="C229" s="11" t="n"/>
      <c r="D229" s="11" t="n"/>
      <c r="E229" s="18" t="n"/>
      <c r="F229" s="18" t="n"/>
      <c r="G229" s="18" t="n"/>
      <c r="H229" s="18" t="n"/>
      <c r="I229" s="23">
        <f>IF(E229="","",E229+F229+G229+H229)</f>
        <v/>
      </c>
      <c r="J229" s="11" t="n"/>
      <c r="K229">
        <f>IF(D229="","",UPPER(TRIM(C229))&amp;"|"&amp;UPPER(TRIM(D229)))</f>
        <v/>
      </c>
      <c r="L229">
        <f>IF(K229="","",IF(COUNTIF('GSTR-2B Data'!$J$5:$J$504,K229)=0,"Not in 2B — follow up",IF(ABS(SUMIF('GSTR-2B Data'!$J$5:$J$504,K229,'GSTR-2B Data'!$I$5:$I$504)-(F229+G229+H229))&gt;1,"Tax amount differs","Matched")))</f>
        <v/>
      </c>
    </row>
    <row r="230">
      <c r="A230" s="14" t="n"/>
      <c r="B230" s="11" t="n"/>
      <c r="C230" s="11" t="n"/>
      <c r="D230" s="11" t="n"/>
      <c r="E230" s="18" t="n"/>
      <c r="F230" s="18" t="n"/>
      <c r="G230" s="18" t="n"/>
      <c r="H230" s="18" t="n"/>
      <c r="I230" s="23">
        <f>IF(E230="","",E230+F230+G230+H230)</f>
        <v/>
      </c>
      <c r="J230" s="11" t="n"/>
      <c r="K230">
        <f>IF(D230="","",UPPER(TRIM(C230))&amp;"|"&amp;UPPER(TRIM(D230)))</f>
        <v/>
      </c>
      <c r="L230">
        <f>IF(K230="","",IF(COUNTIF('GSTR-2B Data'!$J$5:$J$504,K230)=0,"Not in 2B — follow up",IF(ABS(SUMIF('GSTR-2B Data'!$J$5:$J$504,K230,'GSTR-2B Data'!$I$5:$I$504)-(F230+G230+H230))&gt;1,"Tax amount differs","Matched")))</f>
        <v/>
      </c>
    </row>
    <row r="231">
      <c r="A231" s="14" t="n"/>
      <c r="B231" s="11" t="n"/>
      <c r="C231" s="11" t="n"/>
      <c r="D231" s="11" t="n"/>
      <c r="E231" s="18" t="n"/>
      <c r="F231" s="18" t="n"/>
      <c r="G231" s="18" t="n"/>
      <c r="H231" s="18" t="n"/>
      <c r="I231" s="23">
        <f>IF(E231="","",E231+F231+G231+H231)</f>
        <v/>
      </c>
      <c r="J231" s="11" t="n"/>
      <c r="K231">
        <f>IF(D231="","",UPPER(TRIM(C231))&amp;"|"&amp;UPPER(TRIM(D231)))</f>
        <v/>
      </c>
      <c r="L231">
        <f>IF(K231="","",IF(COUNTIF('GSTR-2B Data'!$J$5:$J$504,K231)=0,"Not in 2B — follow up",IF(ABS(SUMIF('GSTR-2B Data'!$J$5:$J$504,K231,'GSTR-2B Data'!$I$5:$I$504)-(F231+G231+H231))&gt;1,"Tax amount differs","Matched")))</f>
        <v/>
      </c>
    </row>
    <row r="232">
      <c r="A232" s="14" t="n"/>
      <c r="B232" s="11" t="n"/>
      <c r="C232" s="11" t="n"/>
      <c r="D232" s="11" t="n"/>
      <c r="E232" s="18" t="n"/>
      <c r="F232" s="18" t="n"/>
      <c r="G232" s="18" t="n"/>
      <c r="H232" s="18" t="n"/>
      <c r="I232" s="23">
        <f>IF(E232="","",E232+F232+G232+H232)</f>
        <v/>
      </c>
      <c r="J232" s="11" t="n"/>
      <c r="K232">
        <f>IF(D232="","",UPPER(TRIM(C232))&amp;"|"&amp;UPPER(TRIM(D232)))</f>
        <v/>
      </c>
      <c r="L232">
        <f>IF(K232="","",IF(COUNTIF('GSTR-2B Data'!$J$5:$J$504,K232)=0,"Not in 2B — follow up",IF(ABS(SUMIF('GSTR-2B Data'!$J$5:$J$504,K232,'GSTR-2B Data'!$I$5:$I$504)-(F232+G232+H232))&gt;1,"Tax amount differs","Matched")))</f>
        <v/>
      </c>
    </row>
    <row r="233">
      <c r="A233" s="14" t="n"/>
      <c r="B233" s="11" t="n"/>
      <c r="C233" s="11" t="n"/>
      <c r="D233" s="11" t="n"/>
      <c r="E233" s="18" t="n"/>
      <c r="F233" s="18" t="n"/>
      <c r="G233" s="18" t="n"/>
      <c r="H233" s="18" t="n"/>
      <c r="I233" s="23">
        <f>IF(E233="","",E233+F233+G233+H233)</f>
        <v/>
      </c>
      <c r="J233" s="11" t="n"/>
      <c r="K233">
        <f>IF(D233="","",UPPER(TRIM(C233))&amp;"|"&amp;UPPER(TRIM(D233)))</f>
        <v/>
      </c>
      <c r="L233">
        <f>IF(K233="","",IF(COUNTIF('GSTR-2B Data'!$J$5:$J$504,K233)=0,"Not in 2B — follow up",IF(ABS(SUMIF('GSTR-2B Data'!$J$5:$J$504,K233,'GSTR-2B Data'!$I$5:$I$504)-(F233+G233+H233))&gt;1,"Tax amount differs","Matched")))</f>
        <v/>
      </c>
    </row>
    <row r="234">
      <c r="A234" s="14" t="n"/>
      <c r="B234" s="11" t="n"/>
      <c r="C234" s="11" t="n"/>
      <c r="D234" s="11" t="n"/>
      <c r="E234" s="18" t="n"/>
      <c r="F234" s="18" t="n"/>
      <c r="G234" s="18" t="n"/>
      <c r="H234" s="18" t="n"/>
      <c r="I234" s="23">
        <f>IF(E234="","",E234+F234+G234+H234)</f>
        <v/>
      </c>
      <c r="J234" s="11" t="n"/>
      <c r="K234">
        <f>IF(D234="","",UPPER(TRIM(C234))&amp;"|"&amp;UPPER(TRIM(D234)))</f>
        <v/>
      </c>
      <c r="L234">
        <f>IF(K234="","",IF(COUNTIF('GSTR-2B Data'!$J$5:$J$504,K234)=0,"Not in 2B — follow up",IF(ABS(SUMIF('GSTR-2B Data'!$J$5:$J$504,K234,'GSTR-2B Data'!$I$5:$I$504)-(F234+G234+H234))&gt;1,"Tax amount differs","Matched")))</f>
        <v/>
      </c>
    </row>
    <row r="235">
      <c r="A235" s="14" t="n"/>
      <c r="B235" s="11" t="n"/>
      <c r="C235" s="11" t="n"/>
      <c r="D235" s="11" t="n"/>
      <c r="E235" s="18" t="n"/>
      <c r="F235" s="18" t="n"/>
      <c r="G235" s="18" t="n"/>
      <c r="H235" s="18" t="n"/>
      <c r="I235" s="23">
        <f>IF(E235="","",E235+F235+G235+H235)</f>
        <v/>
      </c>
      <c r="J235" s="11" t="n"/>
      <c r="K235">
        <f>IF(D235="","",UPPER(TRIM(C235))&amp;"|"&amp;UPPER(TRIM(D235)))</f>
        <v/>
      </c>
      <c r="L235">
        <f>IF(K235="","",IF(COUNTIF('GSTR-2B Data'!$J$5:$J$504,K235)=0,"Not in 2B — follow up",IF(ABS(SUMIF('GSTR-2B Data'!$J$5:$J$504,K235,'GSTR-2B Data'!$I$5:$I$504)-(F235+G235+H235))&gt;1,"Tax amount differs","Matched")))</f>
        <v/>
      </c>
    </row>
    <row r="236">
      <c r="A236" s="14" t="n"/>
      <c r="B236" s="11" t="n"/>
      <c r="C236" s="11" t="n"/>
      <c r="D236" s="11" t="n"/>
      <c r="E236" s="18" t="n"/>
      <c r="F236" s="18" t="n"/>
      <c r="G236" s="18" t="n"/>
      <c r="H236" s="18" t="n"/>
      <c r="I236" s="23">
        <f>IF(E236="","",E236+F236+G236+H236)</f>
        <v/>
      </c>
      <c r="J236" s="11" t="n"/>
      <c r="K236">
        <f>IF(D236="","",UPPER(TRIM(C236))&amp;"|"&amp;UPPER(TRIM(D236)))</f>
        <v/>
      </c>
      <c r="L236">
        <f>IF(K236="","",IF(COUNTIF('GSTR-2B Data'!$J$5:$J$504,K236)=0,"Not in 2B — follow up",IF(ABS(SUMIF('GSTR-2B Data'!$J$5:$J$504,K236,'GSTR-2B Data'!$I$5:$I$504)-(F236+G236+H236))&gt;1,"Tax amount differs","Matched")))</f>
        <v/>
      </c>
    </row>
    <row r="237">
      <c r="A237" s="14" t="n"/>
      <c r="B237" s="11" t="n"/>
      <c r="C237" s="11" t="n"/>
      <c r="D237" s="11" t="n"/>
      <c r="E237" s="18" t="n"/>
      <c r="F237" s="18" t="n"/>
      <c r="G237" s="18" t="n"/>
      <c r="H237" s="18" t="n"/>
      <c r="I237" s="23">
        <f>IF(E237="","",E237+F237+G237+H237)</f>
        <v/>
      </c>
      <c r="J237" s="11" t="n"/>
      <c r="K237">
        <f>IF(D237="","",UPPER(TRIM(C237))&amp;"|"&amp;UPPER(TRIM(D237)))</f>
        <v/>
      </c>
      <c r="L237">
        <f>IF(K237="","",IF(COUNTIF('GSTR-2B Data'!$J$5:$J$504,K237)=0,"Not in 2B — follow up",IF(ABS(SUMIF('GSTR-2B Data'!$J$5:$J$504,K237,'GSTR-2B Data'!$I$5:$I$504)-(F237+G237+H237))&gt;1,"Tax amount differs","Matched")))</f>
        <v/>
      </c>
    </row>
    <row r="238">
      <c r="A238" s="14" t="n"/>
      <c r="B238" s="11" t="n"/>
      <c r="C238" s="11" t="n"/>
      <c r="D238" s="11" t="n"/>
      <c r="E238" s="18" t="n"/>
      <c r="F238" s="18" t="n"/>
      <c r="G238" s="18" t="n"/>
      <c r="H238" s="18" t="n"/>
      <c r="I238" s="23">
        <f>IF(E238="","",E238+F238+G238+H238)</f>
        <v/>
      </c>
      <c r="J238" s="11" t="n"/>
      <c r="K238">
        <f>IF(D238="","",UPPER(TRIM(C238))&amp;"|"&amp;UPPER(TRIM(D238)))</f>
        <v/>
      </c>
      <c r="L238">
        <f>IF(K238="","",IF(COUNTIF('GSTR-2B Data'!$J$5:$J$504,K238)=0,"Not in 2B — follow up",IF(ABS(SUMIF('GSTR-2B Data'!$J$5:$J$504,K238,'GSTR-2B Data'!$I$5:$I$504)-(F238+G238+H238))&gt;1,"Tax amount differs","Matched")))</f>
        <v/>
      </c>
    </row>
    <row r="239">
      <c r="A239" s="14" t="n"/>
      <c r="B239" s="11" t="n"/>
      <c r="C239" s="11" t="n"/>
      <c r="D239" s="11" t="n"/>
      <c r="E239" s="18" t="n"/>
      <c r="F239" s="18" t="n"/>
      <c r="G239" s="18" t="n"/>
      <c r="H239" s="18" t="n"/>
      <c r="I239" s="23">
        <f>IF(E239="","",E239+F239+G239+H239)</f>
        <v/>
      </c>
      <c r="J239" s="11" t="n"/>
      <c r="K239">
        <f>IF(D239="","",UPPER(TRIM(C239))&amp;"|"&amp;UPPER(TRIM(D239)))</f>
        <v/>
      </c>
      <c r="L239">
        <f>IF(K239="","",IF(COUNTIF('GSTR-2B Data'!$J$5:$J$504,K239)=0,"Not in 2B — follow up",IF(ABS(SUMIF('GSTR-2B Data'!$J$5:$J$504,K239,'GSTR-2B Data'!$I$5:$I$504)-(F239+G239+H239))&gt;1,"Tax amount differs","Matched")))</f>
        <v/>
      </c>
    </row>
    <row r="240">
      <c r="A240" s="14" t="n"/>
      <c r="B240" s="11" t="n"/>
      <c r="C240" s="11" t="n"/>
      <c r="D240" s="11" t="n"/>
      <c r="E240" s="18" t="n"/>
      <c r="F240" s="18" t="n"/>
      <c r="G240" s="18" t="n"/>
      <c r="H240" s="18" t="n"/>
      <c r="I240" s="23">
        <f>IF(E240="","",E240+F240+G240+H240)</f>
        <v/>
      </c>
      <c r="J240" s="11" t="n"/>
      <c r="K240">
        <f>IF(D240="","",UPPER(TRIM(C240))&amp;"|"&amp;UPPER(TRIM(D240)))</f>
        <v/>
      </c>
      <c r="L240">
        <f>IF(K240="","",IF(COUNTIF('GSTR-2B Data'!$J$5:$J$504,K240)=0,"Not in 2B — follow up",IF(ABS(SUMIF('GSTR-2B Data'!$J$5:$J$504,K240,'GSTR-2B Data'!$I$5:$I$504)-(F240+G240+H240))&gt;1,"Tax amount differs","Matched")))</f>
        <v/>
      </c>
    </row>
    <row r="241">
      <c r="A241" s="14" t="n"/>
      <c r="B241" s="11" t="n"/>
      <c r="C241" s="11" t="n"/>
      <c r="D241" s="11" t="n"/>
      <c r="E241" s="18" t="n"/>
      <c r="F241" s="18" t="n"/>
      <c r="G241" s="18" t="n"/>
      <c r="H241" s="18" t="n"/>
      <c r="I241" s="23">
        <f>IF(E241="","",E241+F241+G241+H241)</f>
        <v/>
      </c>
      <c r="J241" s="11" t="n"/>
      <c r="K241">
        <f>IF(D241="","",UPPER(TRIM(C241))&amp;"|"&amp;UPPER(TRIM(D241)))</f>
        <v/>
      </c>
      <c r="L241">
        <f>IF(K241="","",IF(COUNTIF('GSTR-2B Data'!$J$5:$J$504,K241)=0,"Not in 2B — follow up",IF(ABS(SUMIF('GSTR-2B Data'!$J$5:$J$504,K241,'GSTR-2B Data'!$I$5:$I$504)-(F241+G241+H241))&gt;1,"Tax amount differs","Matched")))</f>
        <v/>
      </c>
    </row>
    <row r="242">
      <c r="A242" s="14" t="n"/>
      <c r="B242" s="11" t="n"/>
      <c r="C242" s="11" t="n"/>
      <c r="D242" s="11" t="n"/>
      <c r="E242" s="18" t="n"/>
      <c r="F242" s="18" t="n"/>
      <c r="G242" s="18" t="n"/>
      <c r="H242" s="18" t="n"/>
      <c r="I242" s="23">
        <f>IF(E242="","",E242+F242+G242+H242)</f>
        <v/>
      </c>
      <c r="J242" s="11" t="n"/>
      <c r="K242">
        <f>IF(D242="","",UPPER(TRIM(C242))&amp;"|"&amp;UPPER(TRIM(D242)))</f>
        <v/>
      </c>
      <c r="L242">
        <f>IF(K242="","",IF(COUNTIF('GSTR-2B Data'!$J$5:$J$504,K242)=0,"Not in 2B — follow up",IF(ABS(SUMIF('GSTR-2B Data'!$J$5:$J$504,K242,'GSTR-2B Data'!$I$5:$I$504)-(F242+G242+H242))&gt;1,"Tax amount differs","Matched")))</f>
        <v/>
      </c>
    </row>
    <row r="243">
      <c r="A243" s="14" t="n"/>
      <c r="B243" s="11" t="n"/>
      <c r="C243" s="11" t="n"/>
      <c r="D243" s="11" t="n"/>
      <c r="E243" s="18" t="n"/>
      <c r="F243" s="18" t="n"/>
      <c r="G243" s="18" t="n"/>
      <c r="H243" s="18" t="n"/>
      <c r="I243" s="23">
        <f>IF(E243="","",E243+F243+G243+H243)</f>
        <v/>
      </c>
      <c r="J243" s="11" t="n"/>
      <c r="K243">
        <f>IF(D243="","",UPPER(TRIM(C243))&amp;"|"&amp;UPPER(TRIM(D243)))</f>
        <v/>
      </c>
      <c r="L243">
        <f>IF(K243="","",IF(COUNTIF('GSTR-2B Data'!$J$5:$J$504,K243)=0,"Not in 2B — follow up",IF(ABS(SUMIF('GSTR-2B Data'!$J$5:$J$504,K243,'GSTR-2B Data'!$I$5:$I$504)-(F243+G243+H243))&gt;1,"Tax amount differs","Matched")))</f>
        <v/>
      </c>
    </row>
    <row r="244">
      <c r="A244" s="14" t="n"/>
      <c r="B244" s="11" t="n"/>
      <c r="C244" s="11" t="n"/>
      <c r="D244" s="11" t="n"/>
      <c r="E244" s="18" t="n"/>
      <c r="F244" s="18" t="n"/>
      <c r="G244" s="18" t="n"/>
      <c r="H244" s="18" t="n"/>
      <c r="I244" s="23">
        <f>IF(E244="","",E244+F244+G244+H244)</f>
        <v/>
      </c>
      <c r="J244" s="11" t="n"/>
      <c r="K244">
        <f>IF(D244="","",UPPER(TRIM(C244))&amp;"|"&amp;UPPER(TRIM(D244)))</f>
        <v/>
      </c>
      <c r="L244">
        <f>IF(K244="","",IF(COUNTIF('GSTR-2B Data'!$J$5:$J$504,K244)=0,"Not in 2B — follow up",IF(ABS(SUMIF('GSTR-2B Data'!$J$5:$J$504,K244,'GSTR-2B Data'!$I$5:$I$504)-(F244+G244+H244))&gt;1,"Tax amount differs","Matched")))</f>
        <v/>
      </c>
    </row>
    <row r="245">
      <c r="A245" s="14" t="n"/>
      <c r="B245" s="11" t="n"/>
      <c r="C245" s="11" t="n"/>
      <c r="D245" s="11" t="n"/>
      <c r="E245" s="18" t="n"/>
      <c r="F245" s="18" t="n"/>
      <c r="G245" s="18" t="n"/>
      <c r="H245" s="18" t="n"/>
      <c r="I245" s="23">
        <f>IF(E245="","",E245+F245+G245+H245)</f>
        <v/>
      </c>
      <c r="J245" s="11" t="n"/>
      <c r="K245">
        <f>IF(D245="","",UPPER(TRIM(C245))&amp;"|"&amp;UPPER(TRIM(D245)))</f>
        <v/>
      </c>
      <c r="L245">
        <f>IF(K245="","",IF(COUNTIF('GSTR-2B Data'!$J$5:$J$504,K245)=0,"Not in 2B — follow up",IF(ABS(SUMIF('GSTR-2B Data'!$J$5:$J$504,K245,'GSTR-2B Data'!$I$5:$I$504)-(F245+G245+H245))&gt;1,"Tax amount differs","Matched")))</f>
        <v/>
      </c>
    </row>
    <row r="246">
      <c r="A246" s="14" t="n"/>
      <c r="B246" s="11" t="n"/>
      <c r="C246" s="11" t="n"/>
      <c r="D246" s="11" t="n"/>
      <c r="E246" s="18" t="n"/>
      <c r="F246" s="18" t="n"/>
      <c r="G246" s="18" t="n"/>
      <c r="H246" s="18" t="n"/>
      <c r="I246" s="23">
        <f>IF(E246="","",E246+F246+G246+H246)</f>
        <v/>
      </c>
      <c r="J246" s="11" t="n"/>
      <c r="K246">
        <f>IF(D246="","",UPPER(TRIM(C246))&amp;"|"&amp;UPPER(TRIM(D246)))</f>
        <v/>
      </c>
      <c r="L246">
        <f>IF(K246="","",IF(COUNTIF('GSTR-2B Data'!$J$5:$J$504,K246)=0,"Not in 2B — follow up",IF(ABS(SUMIF('GSTR-2B Data'!$J$5:$J$504,K246,'GSTR-2B Data'!$I$5:$I$504)-(F246+G246+H246))&gt;1,"Tax amount differs","Matched")))</f>
        <v/>
      </c>
    </row>
    <row r="247">
      <c r="A247" s="14" t="n"/>
      <c r="B247" s="11" t="n"/>
      <c r="C247" s="11" t="n"/>
      <c r="D247" s="11" t="n"/>
      <c r="E247" s="18" t="n"/>
      <c r="F247" s="18" t="n"/>
      <c r="G247" s="18" t="n"/>
      <c r="H247" s="18" t="n"/>
      <c r="I247" s="23">
        <f>IF(E247="","",E247+F247+G247+H247)</f>
        <v/>
      </c>
      <c r="J247" s="11" t="n"/>
      <c r="K247">
        <f>IF(D247="","",UPPER(TRIM(C247))&amp;"|"&amp;UPPER(TRIM(D247)))</f>
        <v/>
      </c>
      <c r="L247">
        <f>IF(K247="","",IF(COUNTIF('GSTR-2B Data'!$J$5:$J$504,K247)=0,"Not in 2B — follow up",IF(ABS(SUMIF('GSTR-2B Data'!$J$5:$J$504,K247,'GSTR-2B Data'!$I$5:$I$504)-(F247+G247+H247))&gt;1,"Tax amount differs","Matched")))</f>
        <v/>
      </c>
    </row>
    <row r="248">
      <c r="A248" s="14" t="n"/>
      <c r="B248" s="11" t="n"/>
      <c r="C248" s="11" t="n"/>
      <c r="D248" s="11" t="n"/>
      <c r="E248" s="18" t="n"/>
      <c r="F248" s="18" t="n"/>
      <c r="G248" s="18" t="n"/>
      <c r="H248" s="18" t="n"/>
      <c r="I248" s="23">
        <f>IF(E248="","",E248+F248+G248+H248)</f>
        <v/>
      </c>
      <c r="J248" s="11" t="n"/>
      <c r="K248">
        <f>IF(D248="","",UPPER(TRIM(C248))&amp;"|"&amp;UPPER(TRIM(D248)))</f>
        <v/>
      </c>
      <c r="L248">
        <f>IF(K248="","",IF(COUNTIF('GSTR-2B Data'!$J$5:$J$504,K248)=0,"Not in 2B — follow up",IF(ABS(SUMIF('GSTR-2B Data'!$J$5:$J$504,K248,'GSTR-2B Data'!$I$5:$I$504)-(F248+G248+H248))&gt;1,"Tax amount differs","Matched")))</f>
        <v/>
      </c>
    </row>
    <row r="249">
      <c r="A249" s="14" t="n"/>
      <c r="B249" s="11" t="n"/>
      <c r="C249" s="11" t="n"/>
      <c r="D249" s="11" t="n"/>
      <c r="E249" s="18" t="n"/>
      <c r="F249" s="18" t="n"/>
      <c r="G249" s="18" t="n"/>
      <c r="H249" s="18" t="n"/>
      <c r="I249" s="23">
        <f>IF(E249="","",E249+F249+G249+H249)</f>
        <v/>
      </c>
      <c r="J249" s="11" t="n"/>
      <c r="K249">
        <f>IF(D249="","",UPPER(TRIM(C249))&amp;"|"&amp;UPPER(TRIM(D249)))</f>
        <v/>
      </c>
      <c r="L249">
        <f>IF(K249="","",IF(COUNTIF('GSTR-2B Data'!$J$5:$J$504,K249)=0,"Not in 2B — follow up",IF(ABS(SUMIF('GSTR-2B Data'!$J$5:$J$504,K249,'GSTR-2B Data'!$I$5:$I$504)-(F249+G249+H249))&gt;1,"Tax amount differs","Matched")))</f>
        <v/>
      </c>
    </row>
    <row r="250">
      <c r="A250" s="14" t="n"/>
      <c r="B250" s="11" t="n"/>
      <c r="C250" s="11" t="n"/>
      <c r="D250" s="11" t="n"/>
      <c r="E250" s="18" t="n"/>
      <c r="F250" s="18" t="n"/>
      <c r="G250" s="18" t="n"/>
      <c r="H250" s="18" t="n"/>
      <c r="I250" s="23">
        <f>IF(E250="","",E250+F250+G250+H250)</f>
        <v/>
      </c>
      <c r="J250" s="11" t="n"/>
      <c r="K250">
        <f>IF(D250="","",UPPER(TRIM(C250))&amp;"|"&amp;UPPER(TRIM(D250)))</f>
        <v/>
      </c>
      <c r="L250">
        <f>IF(K250="","",IF(COUNTIF('GSTR-2B Data'!$J$5:$J$504,K250)=0,"Not in 2B — follow up",IF(ABS(SUMIF('GSTR-2B Data'!$J$5:$J$504,K250,'GSTR-2B Data'!$I$5:$I$504)-(F250+G250+H250))&gt;1,"Tax amount differs","Matched")))</f>
        <v/>
      </c>
    </row>
    <row r="251">
      <c r="A251" s="14" t="n"/>
      <c r="B251" s="11" t="n"/>
      <c r="C251" s="11" t="n"/>
      <c r="D251" s="11" t="n"/>
      <c r="E251" s="18" t="n"/>
      <c r="F251" s="18" t="n"/>
      <c r="G251" s="18" t="n"/>
      <c r="H251" s="18" t="n"/>
      <c r="I251" s="23">
        <f>IF(E251="","",E251+F251+G251+H251)</f>
        <v/>
      </c>
      <c r="J251" s="11" t="n"/>
      <c r="K251">
        <f>IF(D251="","",UPPER(TRIM(C251))&amp;"|"&amp;UPPER(TRIM(D251)))</f>
        <v/>
      </c>
      <c r="L251">
        <f>IF(K251="","",IF(COUNTIF('GSTR-2B Data'!$J$5:$J$504,K251)=0,"Not in 2B — follow up",IF(ABS(SUMIF('GSTR-2B Data'!$J$5:$J$504,K251,'GSTR-2B Data'!$I$5:$I$504)-(F251+G251+H251))&gt;1,"Tax amount differs","Matched")))</f>
        <v/>
      </c>
    </row>
    <row r="252">
      <c r="A252" s="14" t="n"/>
      <c r="B252" s="11" t="n"/>
      <c r="C252" s="11" t="n"/>
      <c r="D252" s="11" t="n"/>
      <c r="E252" s="18" t="n"/>
      <c r="F252" s="18" t="n"/>
      <c r="G252" s="18" t="n"/>
      <c r="H252" s="18" t="n"/>
      <c r="I252" s="23">
        <f>IF(E252="","",E252+F252+G252+H252)</f>
        <v/>
      </c>
      <c r="J252" s="11" t="n"/>
      <c r="K252">
        <f>IF(D252="","",UPPER(TRIM(C252))&amp;"|"&amp;UPPER(TRIM(D252)))</f>
        <v/>
      </c>
      <c r="L252">
        <f>IF(K252="","",IF(COUNTIF('GSTR-2B Data'!$J$5:$J$504,K252)=0,"Not in 2B — follow up",IF(ABS(SUMIF('GSTR-2B Data'!$J$5:$J$504,K252,'GSTR-2B Data'!$I$5:$I$504)-(F252+G252+H252))&gt;1,"Tax amount differs","Matched")))</f>
        <v/>
      </c>
    </row>
    <row r="253">
      <c r="A253" s="14" t="n"/>
      <c r="B253" s="11" t="n"/>
      <c r="C253" s="11" t="n"/>
      <c r="D253" s="11" t="n"/>
      <c r="E253" s="18" t="n"/>
      <c r="F253" s="18" t="n"/>
      <c r="G253" s="18" t="n"/>
      <c r="H253" s="18" t="n"/>
      <c r="I253" s="23">
        <f>IF(E253="","",E253+F253+G253+H253)</f>
        <v/>
      </c>
      <c r="J253" s="11" t="n"/>
      <c r="K253">
        <f>IF(D253="","",UPPER(TRIM(C253))&amp;"|"&amp;UPPER(TRIM(D253)))</f>
        <v/>
      </c>
      <c r="L253">
        <f>IF(K253="","",IF(COUNTIF('GSTR-2B Data'!$J$5:$J$504,K253)=0,"Not in 2B — follow up",IF(ABS(SUMIF('GSTR-2B Data'!$J$5:$J$504,K253,'GSTR-2B Data'!$I$5:$I$504)-(F253+G253+H253))&gt;1,"Tax amount differs","Matched")))</f>
        <v/>
      </c>
    </row>
    <row r="254">
      <c r="A254" s="14" t="n"/>
      <c r="B254" s="11" t="n"/>
      <c r="C254" s="11" t="n"/>
      <c r="D254" s="11" t="n"/>
      <c r="E254" s="18" t="n"/>
      <c r="F254" s="18" t="n"/>
      <c r="G254" s="18" t="n"/>
      <c r="H254" s="18" t="n"/>
      <c r="I254" s="23">
        <f>IF(E254="","",E254+F254+G254+H254)</f>
        <v/>
      </c>
      <c r="J254" s="11" t="n"/>
      <c r="K254">
        <f>IF(D254="","",UPPER(TRIM(C254))&amp;"|"&amp;UPPER(TRIM(D254)))</f>
        <v/>
      </c>
      <c r="L254">
        <f>IF(K254="","",IF(COUNTIF('GSTR-2B Data'!$J$5:$J$504,K254)=0,"Not in 2B — follow up",IF(ABS(SUMIF('GSTR-2B Data'!$J$5:$J$504,K254,'GSTR-2B Data'!$I$5:$I$504)-(F254+G254+H254))&gt;1,"Tax amount differs","Matched")))</f>
        <v/>
      </c>
    </row>
    <row r="255">
      <c r="A255" s="14" t="n"/>
      <c r="B255" s="11" t="n"/>
      <c r="C255" s="11" t="n"/>
      <c r="D255" s="11" t="n"/>
      <c r="E255" s="18" t="n"/>
      <c r="F255" s="18" t="n"/>
      <c r="G255" s="18" t="n"/>
      <c r="H255" s="18" t="n"/>
      <c r="I255" s="23">
        <f>IF(E255="","",E255+F255+G255+H255)</f>
        <v/>
      </c>
      <c r="J255" s="11" t="n"/>
      <c r="K255">
        <f>IF(D255="","",UPPER(TRIM(C255))&amp;"|"&amp;UPPER(TRIM(D255)))</f>
        <v/>
      </c>
      <c r="L255">
        <f>IF(K255="","",IF(COUNTIF('GSTR-2B Data'!$J$5:$J$504,K255)=0,"Not in 2B — follow up",IF(ABS(SUMIF('GSTR-2B Data'!$J$5:$J$504,K255,'GSTR-2B Data'!$I$5:$I$504)-(F255+G255+H255))&gt;1,"Tax amount differs","Matched")))</f>
        <v/>
      </c>
    </row>
    <row r="256">
      <c r="A256" s="14" t="n"/>
      <c r="B256" s="11" t="n"/>
      <c r="C256" s="11" t="n"/>
      <c r="D256" s="11" t="n"/>
      <c r="E256" s="18" t="n"/>
      <c r="F256" s="18" t="n"/>
      <c r="G256" s="18" t="n"/>
      <c r="H256" s="18" t="n"/>
      <c r="I256" s="23">
        <f>IF(E256="","",E256+F256+G256+H256)</f>
        <v/>
      </c>
      <c r="J256" s="11" t="n"/>
      <c r="K256">
        <f>IF(D256="","",UPPER(TRIM(C256))&amp;"|"&amp;UPPER(TRIM(D256)))</f>
        <v/>
      </c>
      <c r="L256">
        <f>IF(K256="","",IF(COUNTIF('GSTR-2B Data'!$J$5:$J$504,K256)=0,"Not in 2B — follow up",IF(ABS(SUMIF('GSTR-2B Data'!$J$5:$J$504,K256,'GSTR-2B Data'!$I$5:$I$504)-(F256+G256+H256))&gt;1,"Tax amount differs","Matched")))</f>
        <v/>
      </c>
    </row>
    <row r="257">
      <c r="A257" s="14" t="n"/>
      <c r="B257" s="11" t="n"/>
      <c r="C257" s="11" t="n"/>
      <c r="D257" s="11" t="n"/>
      <c r="E257" s="18" t="n"/>
      <c r="F257" s="18" t="n"/>
      <c r="G257" s="18" t="n"/>
      <c r="H257" s="18" t="n"/>
      <c r="I257" s="23">
        <f>IF(E257="","",E257+F257+G257+H257)</f>
        <v/>
      </c>
      <c r="J257" s="11" t="n"/>
      <c r="K257">
        <f>IF(D257="","",UPPER(TRIM(C257))&amp;"|"&amp;UPPER(TRIM(D257)))</f>
        <v/>
      </c>
      <c r="L257">
        <f>IF(K257="","",IF(COUNTIF('GSTR-2B Data'!$J$5:$J$504,K257)=0,"Not in 2B — follow up",IF(ABS(SUMIF('GSTR-2B Data'!$J$5:$J$504,K257,'GSTR-2B Data'!$I$5:$I$504)-(F257+G257+H257))&gt;1,"Tax amount differs","Matched")))</f>
        <v/>
      </c>
    </row>
    <row r="258">
      <c r="A258" s="14" t="n"/>
      <c r="B258" s="11" t="n"/>
      <c r="C258" s="11" t="n"/>
      <c r="D258" s="11" t="n"/>
      <c r="E258" s="18" t="n"/>
      <c r="F258" s="18" t="n"/>
      <c r="G258" s="18" t="n"/>
      <c r="H258" s="18" t="n"/>
      <c r="I258" s="23">
        <f>IF(E258="","",E258+F258+G258+H258)</f>
        <v/>
      </c>
      <c r="J258" s="11" t="n"/>
      <c r="K258">
        <f>IF(D258="","",UPPER(TRIM(C258))&amp;"|"&amp;UPPER(TRIM(D258)))</f>
        <v/>
      </c>
      <c r="L258">
        <f>IF(K258="","",IF(COUNTIF('GSTR-2B Data'!$J$5:$J$504,K258)=0,"Not in 2B — follow up",IF(ABS(SUMIF('GSTR-2B Data'!$J$5:$J$504,K258,'GSTR-2B Data'!$I$5:$I$504)-(F258+G258+H258))&gt;1,"Tax amount differs","Matched")))</f>
        <v/>
      </c>
    </row>
    <row r="259">
      <c r="A259" s="14" t="n"/>
      <c r="B259" s="11" t="n"/>
      <c r="C259" s="11" t="n"/>
      <c r="D259" s="11" t="n"/>
      <c r="E259" s="18" t="n"/>
      <c r="F259" s="18" t="n"/>
      <c r="G259" s="18" t="n"/>
      <c r="H259" s="18" t="n"/>
      <c r="I259" s="23">
        <f>IF(E259="","",E259+F259+G259+H259)</f>
        <v/>
      </c>
      <c r="J259" s="11" t="n"/>
      <c r="K259">
        <f>IF(D259="","",UPPER(TRIM(C259))&amp;"|"&amp;UPPER(TRIM(D259)))</f>
        <v/>
      </c>
      <c r="L259">
        <f>IF(K259="","",IF(COUNTIF('GSTR-2B Data'!$J$5:$J$504,K259)=0,"Not in 2B — follow up",IF(ABS(SUMIF('GSTR-2B Data'!$J$5:$J$504,K259,'GSTR-2B Data'!$I$5:$I$504)-(F259+G259+H259))&gt;1,"Tax amount differs","Matched")))</f>
        <v/>
      </c>
    </row>
    <row r="260">
      <c r="A260" s="14" t="n"/>
      <c r="B260" s="11" t="n"/>
      <c r="C260" s="11" t="n"/>
      <c r="D260" s="11" t="n"/>
      <c r="E260" s="18" t="n"/>
      <c r="F260" s="18" t="n"/>
      <c r="G260" s="18" t="n"/>
      <c r="H260" s="18" t="n"/>
      <c r="I260" s="23">
        <f>IF(E260="","",E260+F260+G260+H260)</f>
        <v/>
      </c>
      <c r="J260" s="11" t="n"/>
      <c r="K260">
        <f>IF(D260="","",UPPER(TRIM(C260))&amp;"|"&amp;UPPER(TRIM(D260)))</f>
        <v/>
      </c>
      <c r="L260">
        <f>IF(K260="","",IF(COUNTIF('GSTR-2B Data'!$J$5:$J$504,K260)=0,"Not in 2B — follow up",IF(ABS(SUMIF('GSTR-2B Data'!$J$5:$J$504,K260,'GSTR-2B Data'!$I$5:$I$504)-(F260+G260+H260))&gt;1,"Tax amount differs","Matched")))</f>
        <v/>
      </c>
    </row>
    <row r="261">
      <c r="A261" s="14" t="n"/>
      <c r="B261" s="11" t="n"/>
      <c r="C261" s="11" t="n"/>
      <c r="D261" s="11" t="n"/>
      <c r="E261" s="18" t="n"/>
      <c r="F261" s="18" t="n"/>
      <c r="G261" s="18" t="n"/>
      <c r="H261" s="18" t="n"/>
      <c r="I261" s="23">
        <f>IF(E261="","",E261+F261+G261+H261)</f>
        <v/>
      </c>
      <c r="J261" s="11" t="n"/>
      <c r="K261">
        <f>IF(D261="","",UPPER(TRIM(C261))&amp;"|"&amp;UPPER(TRIM(D261)))</f>
        <v/>
      </c>
      <c r="L261">
        <f>IF(K261="","",IF(COUNTIF('GSTR-2B Data'!$J$5:$J$504,K261)=0,"Not in 2B — follow up",IF(ABS(SUMIF('GSTR-2B Data'!$J$5:$J$504,K261,'GSTR-2B Data'!$I$5:$I$504)-(F261+G261+H261))&gt;1,"Tax amount differs","Matched")))</f>
        <v/>
      </c>
    </row>
    <row r="262">
      <c r="A262" s="14" t="n"/>
      <c r="B262" s="11" t="n"/>
      <c r="C262" s="11" t="n"/>
      <c r="D262" s="11" t="n"/>
      <c r="E262" s="18" t="n"/>
      <c r="F262" s="18" t="n"/>
      <c r="G262" s="18" t="n"/>
      <c r="H262" s="18" t="n"/>
      <c r="I262" s="23">
        <f>IF(E262="","",E262+F262+G262+H262)</f>
        <v/>
      </c>
      <c r="J262" s="11" t="n"/>
      <c r="K262">
        <f>IF(D262="","",UPPER(TRIM(C262))&amp;"|"&amp;UPPER(TRIM(D262)))</f>
        <v/>
      </c>
      <c r="L262">
        <f>IF(K262="","",IF(COUNTIF('GSTR-2B Data'!$J$5:$J$504,K262)=0,"Not in 2B — follow up",IF(ABS(SUMIF('GSTR-2B Data'!$J$5:$J$504,K262,'GSTR-2B Data'!$I$5:$I$504)-(F262+G262+H262))&gt;1,"Tax amount differs","Matched")))</f>
        <v/>
      </c>
    </row>
    <row r="263">
      <c r="A263" s="14" t="n"/>
      <c r="B263" s="11" t="n"/>
      <c r="C263" s="11" t="n"/>
      <c r="D263" s="11" t="n"/>
      <c r="E263" s="18" t="n"/>
      <c r="F263" s="18" t="n"/>
      <c r="G263" s="18" t="n"/>
      <c r="H263" s="18" t="n"/>
      <c r="I263" s="23">
        <f>IF(E263="","",E263+F263+G263+H263)</f>
        <v/>
      </c>
      <c r="J263" s="11" t="n"/>
      <c r="K263">
        <f>IF(D263="","",UPPER(TRIM(C263))&amp;"|"&amp;UPPER(TRIM(D263)))</f>
        <v/>
      </c>
      <c r="L263">
        <f>IF(K263="","",IF(COUNTIF('GSTR-2B Data'!$J$5:$J$504,K263)=0,"Not in 2B — follow up",IF(ABS(SUMIF('GSTR-2B Data'!$J$5:$J$504,K263,'GSTR-2B Data'!$I$5:$I$504)-(F263+G263+H263))&gt;1,"Tax amount differs","Matched")))</f>
        <v/>
      </c>
    </row>
    <row r="264">
      <c r="A264" s="14" t="n"/>
      <c r="B264" s="11" t="n"/>
      <c r="C264" s="11" t="n"/>
      <c r="D264" s="11" t="n"/>
      <c r="E264" s="18" t="n"/>
      <c r="F264" s="18" t="n"/>
      <c r="G264" s="18" t="n"/>
      <c r="H264" s="18" t="n"/>
      <c r="I264" s="23">
        <f>IF(E264="","",E264+F264+G264+H264)</f>
        <v/>
      </c>
      <c r="J264" s="11" t="n"/>
      <c r="K264">
        <f>IF(D264="","",UPPER(TRIM(C264))&amp;"|"&amp;UPPER(TRIM(D264)))</f>
        <v/>
      </c>
      <c r="L264">
        <f>IF(K264="","",IF(COUNTIF('GSTR-2B Data'!$J$5:$J$504,K264)=0,"Not in 2B — follow up",IF(ABS(SUMIF('GSTR-2B Data'!$J$5:$J$504,K264,'GSTR-2B Data'!$I$5:$I$504)-(F264+G264+H264))&gt;1,"Tax amount differs","Matched")))</f>
        <v/>
      </c>
    </row>
    <row r="265">
      <c r="A265" s="14" t="n"/>
      <c r="B265" s="11" t="n"/>
      <c r="C265" s="11" t="n"/>
      <c r="D265" s="11" t="n"/>
      <c r="E265" s="18" t="n"/>
      <c r="F265" s="18" t="n"/>
      <c r="G265" s="18" t="n"/>
      <c r="H265" s="18" t="n"/>
      <c r="I265" s="23">
        <f>IF(E265="","",E265+F265+G265+H265)</f>
        <v/>
      </c>
      <c r="J265" s="11" t="n"/>
      <c r="K265">
        <f>IF(D265="","",UPPER(TRIM(C265))&amp;"|"&amp;UPPER(TRIM(D265)))</f>
        <v/>
      </c>
      <c r="L265">
        <f>IF(K265="","",IF(COUNTIF('GSTR-2B Data'!$J$5:$J$504,K265)=0,"Not in 2B — follow up",IF(ABS(SUMIF('GSTR-2B Data'!$J$5:$J$504,K265,'GSTR-2B Data'!$I$5:$I$504)-(F265+G265+H265))&gt;1,"Tax amount differs","Matched")))</f>
        <v/>
      </c>
    </row>
    <row r="266">
      <c r="A266" s="14" t="n"/>
      <c r="B266" s="11" t="n"/>
      <c r="C266" s="11" t="n"/>
      <c r="D266" s="11" t="n"/>
      <c r="E266" s="18" t="n"/>
      <c r="F266" s="18" t="n"/>
      <c r="G266" s="18" t="n"/>
      <c r="H266" s="18" t="n"/>
      <c r="I266" s="23">
        <f>IF(E266="","",E266+F266+G266+H266)</f>
        <v/>
      </c>
      <c r="J266" s="11" t="n"/>
      <c r="K266">
        <f>IF(D266="","",UPPER(TRIM(C266))&amp;"|"&amp;UPPER(TRIM(D266)))</f>
        <v/>
      </c>
      <c r="L266">
        <f>IF(K266="","",IF(COUNTIF('GSTR-2B Data'!$J$5:$J$504,K266)=0,"Not in 2B — follow up",IF(ABS(SUMIF('GSTR-2B Data'!$J$5:$J$504,K266,'GSTR-2B Data'!$I$5:$I$504)-(F266+G266+H266))&gt;1,"Tax amount differs","Matched")))</f>
        <v/>
      </c>
    </row>
    <row r="267">
      <c r="A267" s="14" t="n"/>
      <c r="B267" s="11" t="n"/>
      <c r="C267" s="11" t="n"/>
      <c r="D267" s="11" t="n"/>
      <c r="E267" s="18" t="n"/>
      <c r="F267" s="18" t="n"/>
      <c r="G267" s="18" t="n"/>
      <c r="H267" s="18" t="n"/>
      <c r="I267" s="23">
        <f>IF(E267="","",E267+F267+G267+H267)</f>
        <v/>
      </c>
      <c r="J267" s="11" t="n"/>
      <c r="K267">
        <f>IF(D267="","",UPPER(TRIM(C267))&amp;"|"&amp;UPPER(TRIM(D267)))</f>
        <v/>
      </c>
      <c r="L267">
        <f>IF(K267="","",IF(COUNTIF('GSTR-2B Data'!$J$5:$J$504,K267)=0,"Not in 2B — follow up",IF(ABS(SUMIF('GSTR-2B Data'!$J$5:$J$504,K267,'GSTR-2B Data'!$I$5:$I$504)-(F267+G267+H267))&gt;1,"Tax amount differs","Matched")))</f>
        <v/>
      </c>
    </row>
    <row r="268">
      <c r="A268" s="14" t="n"/>
      <c r="B268" s="11" t="n"/>
      <c r="C268" s="11" t="n"/>
      <c r="D268" s="11" t="n"/>
      <c r="E268" s="18" t="n"/>
      <c r="F268" s="18" t="n"/>
      <c r="G268" s="18" t="n"/>
      <c r="H268" s="18" t="n"/>
      <c r="I268" s="23">
        <f>IF(E268="","",E268+F268+G268+H268)</f>
        <v/>
      </c>
      <c r="J268" s="11" t="n"/>
      <c r="K268">
        <f>IF(D268="","",UPPER(TRIM(C268))&amp;"|"&amp;UPPER(TRIM(D268)))</f>
        <v/>
      </c>
      <c r="L268">
        <f>IF(K268="","",IF(COUNTIF('GSTR-2B Data'!$J$5:$J$504,K268)=0,"Not in 2B — follow up",IF(ABS(SUMIF('GSTR-2B Data'!$J$5:$J$504,K268,'GSTR-2B Data'!$I$5:$I$504)-(F268+G268+H268))&gt;1,"Tax amount differs","Matched")))</f>
        <v/>
      </c>
    </row>
    <row r="269">
      <c r="A269" s="14" t="n"/>
      <c r="B269" s="11" t="n"/>
      <c r="C269" s="11" t="n"/>
      <c r="D269" s="11" t="n"/>
      <c r="E269" s="18" t="n"/>
      <c r="F269" s="18" t="n"/>
      <c r="G269" s="18" t="n"/>
      <c r="H269" s="18" t="n"/>
      <c r="I269" s="23">
        <f>IF(E269="","",E269+F269+G269+H269)</f>
        <v/>
      </c>
      <c r="J269" s="11" t="n"/>
      <c r="K269">
        <f>IF(D269="","",UPPER(TRIM(C269))&amp;"|"&amp;UPPER(TRIM(D269)))</f>
        <v/>
      </c>
      <c r="L269">
        <f>IF(K269="","",IF(COUNTIF('GSTR-2B Data'!$J$5:$J$504,K269)=0,"Not in 2B — follow up",IF(ABS(SUMIF('GSTR-2B Data'!$J$5:$J$504,K269,'GSTR-2B Data'!$I$5:$I$504)-(F269+G269+H269))&gt;1,"Tax amount differs","Matched")))</f>
        <v/>
      </c>
    </row>
    <row r="270">
      <c r="A270" s="14" t="n"/>
      <c r="B270" s="11" t="n"/>
      <c r="C270" s="11" t="n"/>
      <c r="D270" s="11" t="n"/>
      <c r="E270" s="18" t="n"/>
      <c r="F270" s="18" t="n"/>
      <c r="G270" s="18" t="n"/>
      <c r="H270" s="18" t="n"/>
      <c r="I270" s="23">
        <f>IF(E270="","",E270+F270+G270+H270)</f>
        <v/>
      </c>
      <c r="J270" s="11" t="n"/>
      <c r="K270">
        <f>IF(D270="","",UPPER(TRIM(C270))&amp;"|"&amp;UPPER(TRIM(D270)))</f>
        <v/>
      </c>
      <c r="L270">
        <f>IF(K270="","",IF(COUNTIF('GSTR-2B Data'!$J$5:$J$504,K270)=0,"Not in 2B — follow up",IF(ABS(SUMIF('GSTR-2B Data'!$J$5:$J$504,K270,'GSTR-2B Data'!$I$5:$I$504)-(F270+G270+H270))&gt;1,"Tax amount differs","Matched")))</f>
        <v/>
      </c>
    </row>
    <row r="271">
      <c r="A271" s="14" t="n"/>
      <c r="B271" s="11" t="n"/>
      <c r="C271" s="11" t="n"/>
      <c r="D271" s="11" t="n"/>
      <c r="E271" s="18" t="n"/>
      <c r="F271" s="18" t="n"/>
      <c r="G271" s="18" t="n"/>
      <c r="H271" s="18" t="n"/>
      <c r="I271" s="23">
        <f>IF(E271="","",E271+F271+G271+H271)</f>
        <v/>
      </c>
      <c r="J271" s="11" t="n"/>
      <c r="K271">
        <f>IF(D271="","",UPPER(TRIM(C271))&amp;"|"&amp;UPPER(TRIM(D271)))</f>
        <v/>
      </c>
      <c r="L271">
        <f>IF(K271="","",IF(COUNTIF('GSTR-2B Data'!$J$5:$J$504,K271)=0,"Not in 2B — follow up",IF(ABS(SUMIF('GSTR-2B Data'!$J$5:$J$504,K271,'GSTR-2B Data'!$I$5:$I$504)-(F271+G271+H271))&gt;1,"Tax amount differs","Matched")))</f>
        <v/>
      </c>
    </row>
    <row r="272">
      <c r="A272" s="14" t="n"/>
      <c r="B272" s="11" t="n"/>
      <c r="C272" s="11" t="n"/>
      <c r="D272" s="11" t="n"/>
      <c r="E272" s="18" t="n"/>
      <c r="F272" s="18" t="n"/>
      <c r="G272" s="18" t="n"/>
      <c r="H272" s="18" t="n"/>
      <c r="I272" s="23">
        <f>IF(E272="","",E272+F272+G272+H272)</f>
        <v/>
      </c>
      <c r="J272" s="11" t="n"/>
      <c r="K272">
        <f>IF(D272="","",UPPER(TRIM(C272))&amp;"|"&amp;UPPER(TRIM(D272)))</f>
        <v/>
      </c>
      <c r="L272">
        <f>IF(K272="","",IF(COUNTIF('GSTR-2B Data'!$J$5:$J$504,K272)=0,"Not in 2B — follow up",IF(ABS(SUMIF('GSTR-2B Data'!$J$5:$J$504,K272,'GSTR-2B Data'!$I$5:$I$504)-(F272+G272+H272))&gt;1,"Tax amount differs","Matched")))</f>
        <v/>
      </c>
    </row>
    <row r="273">
      <c r="A273" s="14" t="n"/>
      <c r="B273" s="11" t="n"/>
      <c r="C273" s="11" t="n"/>
      <c r="D273" s="11" t="n"/>
      <c r="E273" s="18" t="n"/>
      <c r="F273" s="18" t="n"/>
      <c r="G273" s="18" t="n"/>
      <c r="H273" s="18" t="n"/>
      <c r="I273" s="23">
        <f>IF(E273="","",E273+F273+G273+H273)</f>
        <v/>
      </c>
      <c r="J273" s="11" t="n"/>
      <c r="K273">
        <f>IF(D273="","",UPPER(TRIM(C273))&amp;"|"&amp;UPPER(TRIM(D273)))</f>
        <v/>
      </c>
      <c r="L273">
        <f>IF(K273="","",IF(COUNTIF('GSTR-2B Data'!$J$5:$J$504,K273)=0,"Not in 2B — follow up",IF(ABS(SUMIF('GSTR-2B Data'!$J$5:$J$504,K273,'GSTR-2B Data'!$I$5:$I$504)-(F273+G273+H273))&gt;1,"Tax amount differs","Matched")))</f>
        <v/>
      </c>
    </row>
    <row r="274">
      <c r="A274" s="14" t="n"/>
      <c r="B274" s="11" t="n"/>
      <c r="C274" s="11" t="n"/>
      <c r="D274" s="11" t="n"/>
      <c r="E274" s="18" t="n"/>
      <c r="F274" s="18" t="n"/>
      <c r="G274" s="18" t="n"/>
      <c r="H274" s="18" t="n"/>
      <c r="I274" s="23">
        <f>IF(E274="","",E274+F274+G274+H274)</f>
        <v/>
      </c>
      <c r="J274" s="11" t="n"/>
      <c r="K274">
        <f>IF(D274="","",UPPER(TRIM(C274))&amp;"|"&amp;UPPER(TRIM(D274)))</f>
        <v/>
      </c>
      <c r="L274">
        <f>IF(K274="","",IF(COUNTIF('GSTR-2B Data'!$J$5:$J$504,K274)=0,"Not in 2B — follow up",IF(ABS(SUMIF('GSTR-2B Data'!$J$5:$J$504,K274,'GSTR-2B Data'!$I$5:$I$504)-(F274+G274+H274))&gt;1,"Tax amount differs","Matched")))</f>
        <v/>
      </c>
    </row>
    <row r="275">
      <c r="A275" s="14" t="n"/>
      <c r="B275" s="11" t="n"/>
      <c r="C275" s="11" t="n"/>
      <c r="D275" s="11" t="n"/>
      <c r="E275" s="18" t="n"/>
      <c r="F275" s="18" t="n"/>
      <c r="G275" s="18" t="n"/>
      <c r="H275" s="18" t="n"/>
      <c r="I275" s="23">
        <f>IF(E275="","",E275+F275+G275+H275)</f>
        <v/>
      </c>
      <c r="J275" s="11" t="n"/>
      <c r="K275">
        <f>IF(D275="","",UPPER(TRIM(C275))&amp;"|"&amp;UPPER(TRIM(D275)))</f>
        <v/>
      </c>
      <c r="L275">
        <f>IF(K275="","",IF(COUNTIF('GSTR-2B Data'!$J$5:$J$504,K275)=0,"Not in 2B — follow up",IF(ABS(SUMIF('GSTR-2B Data'!$J$5:$J$504,K275,'GSTR-2B Data'!$I$5:$I$504)-(F275+G275+H275))&gt;1,"Tax amount differs","Matched")))</f>
        <v/>
      </c>
    </row>
    <row r="276">
      <c r="A276" s="14" t="n"/>
      <c r="B276" s="11" t="n"/>
      <c r="C276" s="11" t="n"/>
      <c r="D276" s="11" t="n"/>
      <c r="E276" s="18" t="n"/>
      <c r="F276" s="18" t="n"/>
      <c r="G276" s="18" t="n"/>
      <c r="H276" s="18" t="n"/>
      <c r="I276" s="23">
        <f>IF(E276="","",E276+F276+G276+H276)</f>
        <v/>
      </c>
      <c r="J276" s="11" t="n"/>
      <c r="K276">
        <f>IF(D276="","",UPPER(TRIM(C276))&amp;"|"&amp;UPPER(TRIM(D276)))</f>
        <v/>
      </c>
      <c r="L276">
        <f>IF(K276="","",IF(COUNTIF('GSTR-2B Data'!$J$5:$J$504,K276)=0,"Not in 2B — follow up",IF(ABS(SUMIF('GSTR-2B Data'!$J$5:$J$504,K276,'GSTR-2B Data'!$I$5:$I$504)-(F276+G276+H276))&gt;1,"Tax amount differs","Matched")))</f>
        <v/>
      </c>
    </row>
    <row r="277">
      <c r="A277" s="14" t="n"/>
      <c r="B277" s="11" t="n"/>
      <c r="C277" s="11" t="n"/>
      <c r="D277" s="11" t="n"/>
      <c r="E277" s="18" t="n"/>
      <c r="F277" s="18" t="n"/>
      <c r="G277" s="18" t="n"/>
      <c r="H277" s="18" t="n"/>
      <c r="I277" s="23">
        <f>IF(E277="","",E277+F277+G277+H277)</f>
        <v/>
      </c>
      <c r="J277" s="11" t="n"/>
      <c r="K277">
        <f>IF(D277="","",UPPER(TRIM(C277))&amp;"|"&amp;UPPER(TRIM(D277)))</f>
        <v/>
      </c>
      <c r="L277">
        <f>IF(K277="","",IF(COUNTIF('GSTR-2B Data'!$J$5:$J$504,K277)=0,"Not in 2B — follow up",IF(ABS(SUMIF('GSTR-2B Data'!$J$5:$J$504,K277,'GSTR-2B Data'!$I$5:$I$504)-(F277+G277+H277))&gt;1,"Tax amount differs","Matched")))</f>
        <v/>
      </c>
    </row>
    <row r="278">
      <c r="A278" s="14" t="n"/>
      <c r="B278" s="11" t="n"/>
      <c r="C278" s="11" t="n"/>
      <c r="D278" s="11" t="n"/>
      <c r="E278" s="18" t="n"/>
      <c r="F278" s="18" t="n"/>
      <c r="G278" s="18" t="n"/>
      <c r="H278" s="18" t="n"/>
      <c r="I278" s="23">
        <f>IF(E278="","",E278+F278+G278+H278)</f>
        <v/>
      </c>
      <c r="J278" s="11" t="n"/>
      <c r="K278">
        <f>IF(D278="","",UPPER(TRIM(C278))&amp;"|"&amp;UPPER(TRIM(D278)))</f>
        <v/>
      </c>
      <c r="L278">
        <f>IF(K278="","",IF(COUNTIF('GSTR-2B Data'!$J$5:$J$504,K278)=0,"Not in 2B — follow up",IF(ABS(SUMIF('GSTR-2B Data'!$J$5:$J$504,K278,'GSTR-2B Data'!$I$5:$I$504)-(F278+G278+H278))&gt;1,"Tax amount differs","Matched")))</f>
        <v/>
      </c>
    </row>
    <row r="279">
      <c r="A279" s="14" t="n"/>
      <c r="B279" s="11" t="n"/>
      <c r="C279" s="11" t="n"/>
      <c r="D279" s="11" t="n"/>
      <c r="E279" s="18" t="n"/>
      <c r="F279" s="18" t="n"/>
      <c r="G279" s="18" t="n"/>
      <c r="H279" s="18" t="n"/>
      <c r="I279" s="23">
        <f>IF(E279="","",E279+F279+G279+H279)</f>
        <v/>
      </c>
      <c r="J279" s="11" t="n"/>
      <c r="K279">
        <f>IF(D279="","",UPPER(TRIM(C279))&amp;"|"&amp;UPPER(TRIM(D279)))</f>
        <v/>
      </c>
      <c r="L279">
        <f>IF(K279="","",IF(COUNTIF('GSTR-2B Data'!$J$5:$J$504,K279)=0,"Not in 2B — follow up",IF(ABS(SUMIF('GSTR-2B Data'!$J$5:$J$504,K279,'GSTR-2B Data'!$I$5:$I$504)-(F279+G279+H279))&gt;1,"Tax amount differs","Matched")))</f>
        <v/>
      </c>
    </row>
    <row r="280">
      <c r="A280" s="14" t="n"/>
      <c r="B280" s="11" t="n"/>
      <c r="C280" s="11" t="n"/>
      <c r="D280" s="11" t="n"/>
      <c r="E280" s="18" t="n"/>
      <c r="F280" s="18" t="n"/>
      <c r="G280" s="18" t="n"/>
      <c r="H280" s="18" t="n"/>
      <c r="I280" s="23">
        <f>IF(E280="","",E280+F280+G280+H280)</f>
        <v/>
      </c>
      <c r="J280" s="11" t="n"/>
      <c r="K280">
        <f>IF(D280="","",UPPER(TRIM(C280))&amp;"|"&amp;UPPER(TRIM(D280)))</f>
        <v/>
      </c>
      <c r="L280">
        <f>IF(K280="","",IF(COUNTIF('GSTR-2B Data'!$J$5:$J$504,K280)=0,"Not in 2B — follow up",IF(ABS(SUMIF('GSTR-2B Data'!$J$5:$J$504,K280,'GSTR-2B Data'!$I$5:$I$504)-(F280+G280+H280))&gt;1,"Tax amount differs","Matched")))</f>
        <v/>
      </c>
    </row>
    <row r="281">
      <c r="A281" s="14" t="n"/>
      <c r="B281" s="11" t="n"/>
      <c r="C281" s="11" t="n"/>
      <c r="D281" s="11" t="n"/>
      <c r="E281" s="18" t="n"/>
      <c r="F281" s="18" t="n"/>
      <c r="G281" s="18" t="n"/>
      <c r="H281" s="18" t="n"/>
      <c r="I281" s="23">
        <f>IF(E281="","",E281+F281+G281+H281)</f>
        <v/>
      </c>
      <c r="J281" s="11" t="n"/>
      <c r="K281">
        <f>IF(D281="","",UPPER(TRIM(C281))&amp;"|"&amp;UPPER(TRIM(D281)))</f>
        <v/>
      </c>
      <c r="L281">
        <f>IF(K281="","",IF(COUNTIF('GSTR-2B Data'!$J$5:$J$504,K281)=0,"Not in 2B — follow up",IF(ABS(SUMIF('GSTR-2B Data'!$J$5:$J$504,K281,'GSTR-2B Data'!$I$5:$I$504)-(F281+G281+H281))&gt;1,"Tax amount differs","Matched")))</f>
        <v/>
      </c>
    </row>
    <row r="282">
      <c r="A282" s="14" t="n"/>
      <c r="B282" s="11" t="n"/>
      <c r="C282" s="11" t="n"/>
      <c r="D282" s="11" t="n"/>
      <c r="E282" s="18" t="n"/>
      <c r="F282" s="18" t="n"/>
      <c r="G282" s="18" t="n"/>
      <c r="H282" s="18" t="n"/>
      <c r="I282" s="23">
        <f>IF(E282="","",E282+F282+G282+H282)</f>
        <v/>
      </c>
      <c r="J282" s="11" t="n"/>
      <c r="K282">
        <f>IF(D282="","",UPPER(TRIM(C282))&amp;"|"&amp;UPPER(TRIM(D282)))</f>
        <v/>
      </c>
      <c r="L282">
        <f>IF(K282="","",IF(COUNTIF('GSTR-2B Data'!$J$5:$J$504,K282)=0,"Not in 2B — follow up",IF(ABS(SUMIF('GSTR-2B Data'!$J$5:$J$504,K282,'GSTR-2B Data'!$I$5:$I$504)-(F282+G282+H282))&gt;1,"Tax amount differs","Matched")))</f>
        <v/>
      </c>
    </row>
    <row r="283">
      <c r="A283" s="14" t="n"/>
      <c r="B283" s="11" t="n"/>
      <c r="C283" s="11" t="n"/>
      <c r="D283" s="11" t="n"/>
      <c r="E283" s="18" t="n"/>
      <c r="F283" s="18" t="n"/>
      <c r="G283" s="18" t="n"/>
      <c r="H283" s="18" t="n"/>
      <c r="I283" s="23">
        <f>IF(E283="","",E283+F283+G283+H283)</f>
        <v/>
      </c>
      <c r="J283" s="11" t="n"/>
      <c r="K283">
        <f>IF(D283="","",UPPER(TRIM(C283))&amp;"|"&amp;UPPER(TRIM(D283)))</f>
        <v/>
      </c>
      <c r="L283">
        <f>IF(K283="","",IF(COUNTIF('GSTR-2B Data'!$J$5:$J$504,K283)=0,"Not in 2B — follow up",IF(ABS(SUMIF('GSTR-2B Data'!$J$5:$J$504,K283,'GSTR-2B Data'!$I$5:$I$504)-(F283+G283+H283))&gt;1,"Tax amount differs","Matched")))</f>
        <v/>
      </c>
    </row>
    <row r="284">
      <c r="A284" s="14" t="n"/>
      <c r="B284" s="11" t="n"/>
      <c r="C284" s="11" t="n"/>
      <c r="D284" s="11" t="n"/>
      <c r="E284" s="18" t="n"/>
      <c r="F284" s="18" t="n"/>
      <c r="G284" s="18" t="n"/>
      <c r="H284" s="18" t="n"/>
      <c r="I284" s="23">
        <f>IF(E284="","",E284+F284+G284+H284)</f>
        <v/>
      </c>
      <c r="J284" s="11" t="n"/>
      <c r="K284">
        <f>IF(D284="","",UPPER(TRIM(C284))&amp;"|"&amp;UPPER(TRIM(D284)))</f>
        <v/>
      </c>
      <c r="L284">
        <f>IF(K284="","",IF(COUNTIF('GSTR-2B Data'!$J$5:$J$504,K284)=0,"Not in 2B — follow up",IF(ABS(SUMIF('GSTR-2B Data'!$J$5:$J$504,K284,'GSTR-2B Data'!$I$5:$I$504)-(F284+G284+H284))&gt;1,"Tax amount differs","Matched")))</f>
        <v/>
      </c>
    </row>
    <row r="285">
      <c r="A285" s="14" t="n"/>
      <c r="B285" s="11" t="n"/>
      <c r="C285" s="11" t="n"/>
      <c r="D285" s="11" t="n"/>
      <c r="E285" s="18" t="n"/>
      <c r="F285" s="18" t="n"/>
      <c r="G285" s="18" t="n"/>
      <c r="H285" s="18" t="n"/>
      <c r="I285" s="23">
        <f>IF(E285="","",E285+F285+G285+H285)</f>
        <v/>
      </c>
      <c r="J285" s="11" t="n"/>
      <c r="K285">
        <f>IF(D285="","",UPPER(TRIM(C285))&amp;"|"&amp;UPPER(TRIM(D285)))</f>
        <v/>
      </c>
      <c r="L285">
        <f>IF(K285="","",IF(COUNTIF('GSTR-2B Data'!$J$5:$J$504,K285)=0,"Not in 2B — follow up",IF(ABS(SUMIF('GSTR-2B Data'!$J$5:$J$504,K285,'GSTR-2B Data'!$I$5:$I$504)-(F285+G285+H285))&gt;1,"Tax amount differs","Matched")))</f>
        <v/>
      </c>
    </row>
    <row r="286">
      <c r="A286" s="14" t="n"/>
      <c r="B286" s="11" t="n"/>
      <c r="C286" s="11" t="n"/>
      <c r="D286" s="11" t="n"/>
      <c r="E286" s="18" t="n"/>
      <c r="F286" s="18" t="n"/>
      <c r="G286" s="18" t="n"/>
      <c r="H286" s="18" t="n"/>
      <c r="I286" s="23">
        <f>IF(E286="","",E286+F286+G286+H286)</f>
        <v/>
      </c>
      <c r="J286" s="11" t="n"/>
      <c r="K286">
        <f>IF(D286="","",UPPER(TRIM(C286))&amp;"|"&amp;UPPER(TRIM(D286)))</f>
        <v/>
      </c>
      <c r="L286">
        <f>IF(K286="","",IF(COUNTIF('GSTR-2B Data'!$J$5:$J$504,K286)=0,"Not in 2B — follow up",IF(ABS(SUMIF('GSTR-2B Data'!$J$5:$J$504,K286,'GSTR-2B Data'!$I$5:$I$504)-(F286+G286+H286))&gt;1,"Tax amount differs","Matched")))</f>
        <v/>
      </c>
    </row>
    <row r="287">
      <c r="A287" s="14" t="n"/>
      <c r="B287" s="11" t="n"/>
      <c r="C287" s="11" t="n"/>
      <c r="D287" s="11" t="n"/>
      <c r="E287" s="18" t="n"/>
      <c r="F287" s="18" t="n"/>
      <c r="G287" s="18" t="n"/>
      <c r="H287" s="18" t="n"/>
      <c r="I287" s="23">
        <f>IF(E287="","",E287+F287+G287+H287)</f>
        <v/>
      </c>
      <c r="J287" s="11" t="n"/>
      <c r="K287">
        <f>IF(D287="","",UPPER(TRIM(C287))&amp;"|"&amp;UPPER(TRIM(D287)))</f>
        <v/>
      </c>
      <c r="L287">
        <f>IF(K287="","",IF(COUNTIF('GSTR-2B Data'!$J$5:$J$504,K287)=0,"Not in 2B — follow up",IF(ABS(SUMIF('GSTR-2B Data'!$J$5:$J$504,K287,'GSTR-2B Data'!$I$5:$I$504)-(F287+G287+H287))&gt;1,"Tax amount differs","Matched")))</f>
        <v/>
      </c>
    </row>
    <row r="288">
      <c r="A288" s="14" t="n"/>
      <c r="B288" s="11" t="n"/>
      <c r="C288" s="11" t="n"/>
      <c r="D288" s="11" t="n"/>
      <c r="E288" s="18" t="n"/>
      <c r="F288" s="18" t="n"/>
      <c r="G288" s="18" t="n"/>
      <c r="H288" s="18" t="n"/>
      <c r="I288" s="23">
        <f>IF(E288="","",E288+F288+G288+H288)</f>
        <v/>
      </c>
      <c r="J288" s="11" t="n"/>
      <c r="K288">
        <f>IF(D288="","",UPPER(TRIM(C288))&amp;"|"&amp;UPPER(TRIM(D288)))</f>
        <v/>
      </c>
      <c r="L288">
        <f>IF(K288="","",IF(COUNTIF('GSTR-2B Data'!$J$5:$J$504,K288)=0,"Not in 2B — follow up",IF(ABS(SUMIF('GSTR-2B Data'!$J$5:$J$504,K288,'GSTR-2B Data'!$I$5:$I$504)-(F288+G288+H288))&gt;1,"Tax amount differs","Matched")))</f>
        <v/>
      </c>
    </row>
    <row r="289">
      <c r="A289" s="14" t="n"/>
      <c r="B289" s="11" t="n"/>
      <c r="C289" s="11" t="n"/>
      <c r="D289" s="11" t="n"/>
      <c r="E289" s="18" t="n"/>
      <c r="F289" s="18" t="n"/>
      <c r="G289" s="18" t="n"/>
      <c r="H289" s="18" t="n"/>
      <c r="I289" s="23">
        <f>IF(E289="","",E289+F289+G289+H289)</f>
        <v/>
      </c>
      <c r="J289" s="11" t="n"/>
      <c r="K289">
        <f>IF(D289="","",UPPER(TRIM(C289))&amp;"|"&amp;UPPER(TRIM(D289)))</f>
        <v/>
      </c>
      <c r="L289">
        <f>IF(K289="","",IF(COUNTIF('GSTR-2B Data'!$J$5:$J$504,K289)=0,"Not in 2B — follow up",IF(ABS(SUMIF('GSTR-2B Data'!$J$5:$J$504,K289,'GSTR-2B Data'!$I$5:$I$504)-(F289+G289+H289))&gt;1,"Tax amount differs","Matched")))</f>
        <v/>
      </c>
    </row>
    <row r="290">
      <c r="A290" s="14" t="n"/>
      <c r="B290" s="11" t="n"/>
      <c r="C290" s="11" t="n"/>
      <c r="D290" s="11" t="n"/>
      <c r="E290" s="18" t="n"/>
      <c r="F290" s="18" t="n"/>
      <c r="G290" s="18" t="n"/>
      <c r="H290" s="18" t="n"/>
      <c r="I290" s="23">
        <f>IF(E290="","",E290+F290+G290+H290)</f>
        <v/>
      </c>
      <c r="J290" s="11" t="n"/>
      <c r="K290">
        <f>IF(D290="","",UPPER(TRIM(C290))&amp;"|"&amp;UPPER(TRIM(D290)))</f>
        <v/>
      </c>
      <c r="L290">
        <f>IF(K290="","",IF(COUNTIF('GSTR-2B Data'!$J$5:$J$504,K290)=0,"Not in 2B — follow up",IF(ABS(SUMIF('GSTR-2B Data'!$J$5:$J$504,K290,'GSTR-2B Data'!$I$5:$I$504)-(F290+G290+H290))&gt;1,"Tax amount differs","Matched")))</f>
        <v/>
      </c>
    </row>
    <row r="291">
      <c r="A291" s="14" t="n"/>
      <c r="B291" s="11" t="n"/>
      <c r="C291" s="11" t="n"/>
      <c r="D291" s="11" t="n"/>
      <c r="E291" s="18" t="n"/>
      <c r="F291" s="18" t="n"/>
      <c r="G291" s="18" t="n"/>
      <c r="H291" s="18" t="n"/>
      <c r="I291" s="23">
        <f>IF(E291="","",E291+F291+G291+H291)</f>
        <v/>
      </c>
      <c r="J291" s="11" t="n"/>
      <c r="K291">
        <f>IF(D291="","",UPPER(TRIM(C291))&amp;"|"&amp;UPPER(TRIM(D291)))</f>
        <v/>
      </c>
      <c r="L291">
        <f>IF(K291="","",IF(COUNTIF('GSTR-2B Data'!$J$5:$J$504,K291)=0,"Not in 2B — follow up",IF(ABS(SUMIF('GSTR-2B Data'!$J$5:$J$504,K291,'GSTR-2B Data'!$I$5:$I$504)-(F291+G291+H291))&gt;1,"Tax amount differs","Matched")))</f>
        <v/>
      </c>
    </row>
    <row r="292">
      <c r="A292" s="14" t="n"/>
      <c r="B292" s="11" t="n"/>
      <c r="C292" s="11" t="n"/>
      <c r="D292" s="11" t="n"/>
      <c r="E292" s="18" t="n"/>
      <c r="F292" s="18" t="n"/>
      <c r="G292" s="18" t="n"/>
      <c r="H292" s="18" t="n"/>
      <c r="I292" s="23">
        <f>IF(E292="","",E292+F292+G292+H292)</f>
        <v/>
      </c>
      <c r="J292" s="11" t="n"/>
      <c r="K292">
        <f>IF(D292="","",UPPER(TRIM(C292))&amp;"|"&amp;UPPER(TRIM(D292)))</f>
        <v/>
      </c>
      <c r="L292">
        <f>IF(K292="","",IF(COUNTIF('GSTR-2B Data'!$J$5:$J$504,K292)=0,"Not in 2B — follow up",IF(ABS(SUMIF('GSTR-2B Data'!$J$5:$J$504,K292,'GSTR-2B Data'!$I$5:$I$504)-(F292+G292+H292))&gt;1,"Tax amount differs","Matched")))</f>
        <v/>
      </c>
    </row>
    <row r="293">
      <c r="A293" s="14" t="n"/>
      <c r="B293" s="11" t="n"/>
      <c r="C293" s="11" t="n"/>
      <c r="D293" s="11" t="n"/>
      <c r="E293" s="18" t="n"/>
      <c r="F293" s="18" t="n"/>
      <c r="G293" s="18" t="n"/>
      <c r="H293" s="18" t="n"/>
      <c r="I293" s="23">
        <f>IF(E293="","",E293+F293+G293+H293)</f>
        <v/>
      </c>
      <c r="J293" s="11" t="n"/>
      <c r="K293">
        <f>IF(D293="","",UPPER(TRIM(C293))&amp;"|"&amp;UPPER(TRIM(D293)))</f>
        <v/>
      </c>
      <c r="L293">
        <f>IF(K293="","",IF(COUNTIF('GSTR-2B Data'!$J$5:$J$504,K293)=0,"Not in 2B — follow up",IF(ABS(SUMIF('GSTR-2B Data'!$J$5:$J$504,K293,'GSTR-2B Data'!$I$5:$I$504)-(F293+G293+H293))&gt;1,"Tax amount differs","Matched")))</f>
        <v/>
      </c>
    </row>
    <row r="294">
      <c r="A294" s="14" t="n"/>
      <c r="B294" s="11" t="n"/>
      <c r="C294" s="11" t="n"/>
      <c r="D294" s="11" t="n"/>
      <c r="E294" s="18" t="n"/>
      <c r="F294" s="18" t="n"/>
      <c r="G294" s="18" t="n"/>
      <c r="H294" s="18" t="n"/>
      <c r="I294" s="23">
        <f>IF(E294="","",E294+F294+G294+H294)</f>
        <v/>
      </c>
      <c r="J294" s="11" t="n"/>
      <c r="K294">
        <f>IF(D294="","",UPPER(TRIM(C294))&amp;"|"&amp;UPPER(TRIM(D294)))</f>
        <v/>
      </c>
      <c r="L294">
        <f>IF(K294="","",IF(COUNTIF('GSTR-2B Data'!$J$5:$J$504,K294)=0,"Not in 2B — follow up",IF(ABS(SUMIF('GSTR-2B Data'!$J$5:$J$504,K294,'GSTR-2B Data'!$I$5:$I$504)-(F294+G294+H294))&gt;1,"Tax amount differs","Matched")))</f>
        <v/>
      </c>
    </row>
    <row r="295">
      <c r="A295" s="14" t="n"/>
      <c r="B295" s="11" t="n"/>
      <c r="C295" s="11" t="n"/>
      <c r="D295" s="11" t="n"/>
      <c r="E295" s="18" t="n"/>
      <c r="F295" s="18" t="n"/>
      <c r="G295" s="18" t="n"/>
      <c r="H295" s="18" t="n"/>
      <c r="I295" s="23">
        <f>IF(E295="","",E295+F295+G295+H295)</f>
        <v/>
      </c>
      <c r="J295" s="11" t="n"/>
      <c r="K295">
        <f>IF(D295="","",UPPER(TRIM(C295))&amp;"|"&amp;UPPER(TRIM(D295)))</f>
        <v/>
      </c>
      <c r="L295">
        <f>IF(K295="","",IF(COUNTIF('GSTR-2B Data'!$J$5:$J$504,K295)=0,"Not in 2B — follow up",IF(ABS(SUMIF('GSTR-2B Data'!$J$5:$J$504,K295,'GSTR-2B Data'!$I$5:$I$504)-(F295+G295+H295))&gt;1,"Tax amount differs","Matched")))</f>
        <v/>
      </c>
    </row>
    <row r="296">
      <c r="A296" s="14" t="n"/>
      <c r="B296" s="11" t="n"/>
      <c r="C296" s="11" t="n"/>
      <c r="D296" s="11" t="n"/>
      <c r="E296" s="18" t="n"/>
      <c r="F296" s="18" t="n"/>
      <c r="G296" s="18" t="n"/>
      <c r="H296" s="18" t="n"/>
      <c r="I296" s="23">
        <f>IF(E296="","",E296+F296+G296+H296)</f>
        <v/>
      </c>
      <c r="J296" s="11" t="n"/>
      <c r="K296">
        <f>IF(D296="","",UPPER(TRIM(C296))&amp;"|"&amp;UPPER(TRIM(D296)))</f>
        <v/>
      </c>
      <c r="L296">
        <f>IF(K296="","",IF(COUNTIF('GSTR-2B Data'!$J$5:$J$504,K296)=0,"Not in 2B — follow up",IF(ABS(SUMIF('GSTR-2B Data'!$J$5:$J$504,K296,'GSTR-2B Data'!$I$5:$I$504)-(F296+G296+H296))&gt;1,"Tax amount differs","Matched")))</f>
        <v/>
      </c>
    </row>
    <row r="297">
      <c r="A297" s="14" t="n"/>
      <c r="B297" s="11" t="n"/>
      <c r="C297" s="11" t="n"/>
      <c r="D297" s="11" t="n"/>
      <c r="E297" s="18" t="n"/>
      <c r="F297" s="18" t="n"/>
      <c r="G297" s="18" t="n"/>
      <c r="H297" s="18" t="n"/>
      <c r="I297" s="23">
        <f>IF(E297="","",E297+F297+G297+H297)</f>
        <v/>
      </c>
      <c r="J297" s="11" t="n"/>
      <c r="K297">
        <f>IF(D297="","",UPPER(TRIM(C297))&amp;"|"&amp;UPPER(TRIM(D297)))</f>
        <v/>
      </c>
      <c r="L297">
        <f>IF(K297="","",IF(COUNTIF('GSTR-2B Data'!$J$5:$J$504,K297)=0,"Not in 2B — follow up",IF(ABS(SUMIF('GSTR-2B Data'!$J$5:$J$504,K297,'GSTR-2B Data'!$I$5:$I$504)-(F297+G297+H297))&gt;1,"Tax amount differs","Matched")))</f>
        <v/>
      </c>
    </row>
    <row r="298">
      <c r="A298" s="14" t="n"/>
      <c r="B298" s="11" t="n"/>
      <c r="C298" s="11" t="n"/>
      <c r="D298" s="11" t="n"/>
      <c r="E298" s="18" t="n"/>
      <c r="F298" s="18" t="n"/>
      <c r="G298" s="18" t="n"/>
      <c r="H298" s="18" t="n"/>
      <c r="I298" s="23">
        <f>IF(E298="","",E298+F298+G298+H298)</f>
        <v/>
      </c>
      <c r="J298" s="11" t="n"/>
      <c r="K298">
        <f>IF(D298="","",UPPER(TRIM(C298))&amp;"|"&amp;UPPER(TRIM(D298)))</f>
        <v/>
      </c>
      <c r="L298">
        <f>IF(K298="","",IF(COUNTIF('GSTR-2B Data'!$J$5:$J$504,K298)=0,"Not in 2B — follow up",IF(ABS(SUMIF('GSTR-2B Data'!$J$5:$J$504,K298,'GSTR-2B Data'!$I$5:$I$504)-(F298+G298+H298))&gt;1,"Tax amount differs","Matched")))</f>
        <v/>
      </c>
    </row>
    <row r="299">
      <c r="A299" s="14" t="n"/>
      <c r="B299" s="11" t="n"/>
      <c r="C299" s="11" t="n"/>
      <c r="D299" s="11" t="n"/>
      <c r="E299" s="18" t="n"/>
      <c r="F299" s="18" t="n"/>
      <c r="G299" s="18" t="n"/>
      <c r="H299" s="18" t="n"/>
      <c r="I299" s="23">
        <f>IF(E299="","",E299+F299+G299+H299)</f>
        <v/>
      </c>
      <c r="J299" s="11" t="n"/>
      <c r="K299">
        <f>IF(D299="","",UPPER(TRIM(C299))&amp;"|"&amp;UPPER(TRIM(D299)))</f>
        <v/>
      </c>
      <c r="L299">
        <f>IF(K299="","",IF(COUNTIF('GSTR-2B Data'!$J$5:$J$504,K299)=0,"Not in 2B — follow up",IF(ABS(SUMIF('GSTR-2B Data'!$J$5:$J$504,K299,'GSTR-2B Data'!$I$5:$I$504)-(F299+G299+H299))&gt;1,"Tax amount differs","Matched")))</f>
        <v/>
      </c>
    </row>
    <row r="300">
      <c r="A300" s="14" t="n"/>
      <c r="B300" s="11" t="n"/>
      <c r="C300" s="11" t="n"/>
      <c r="D300" s="11" t="n"/>
      <c r="E300" s="18" t="n"/>
      <c r="F300" s="18" t="n"/>
      <c r="G300" s="18" t="n"/>
      <c r="H300" s="18" t="n"/>
      <c r="I300" s="23">
        <f>IF(E300="","",E300+F300+G300+H300)</f>
        <v/>
      </c>
      <c r="J300" s="11" t="n"/>
      <c r="K300">
        <f>IF(D300="","",UPPER(TRIM(C300))&amp;"|"&amp;UPPER(TRIM(D300)))</f>
        <v/>
      </c>
      <c r="L300">
        <f>IF(K300="","",IF(COUNTIF('GSTR-2B Data'!$J$5:$J$504,K300)=0,"Not in 2B — follow up",IF(ABS(SUMIF('GSTR-2B Data'!$J$5:$J$504,K300,'GSTR-2B Data'!$I$5:$I$504)-(F300+G300+H300))&gt;1,"Tax amount differs","Matched")))</f>
        <v/>
      </c>
    </row>
    <row r="301">
      <c r="A301" s="14" t="n"/>
      <c r="B301" s="11" t="n"/>
      <c r="C301" s="11" t="n"/>
      <c r="D301" s="11" t="n"/>
      <c r="E301" s="18" t="n"/>
      <c r="F301" s="18" t="n"/>
      <c r="G301" s="18" t="n"/>
      <c r="H301" s="18" t="n"/>
      <c r="I301" s="23">
        <f>IF(E301="","",E301+F301+G301+H301)</f>
        <v/>
      </c>
      <c r="J301" s="11" t="n"/>
      <c r="K301">
        <f>IF(D301="","",UPPER(TRIM(C301))&amp;"|"&amp;UPPER(TRIM(D301)))</f>
        <v/>
      </c>
      <c r="L301">
        <f>IF(K301="","",IF(COUNTIF('GSTR-2B Data'!$J$5:$J$504,K301)=0,"Not in 2B — follow up",IF(ABS(SUMIF('GSTR-2B Data'!$J$5:$J$504,K301,'GSTR-2B Data'!$I$5:$I$504)-(F301+G301+H301))&gt;1,"Tax amount differs","Matched")))</f>
        <v/>
      </c>
    </row>
    <row r="302">
      <c r="A302" s="14" t="n"/>
      <c r="B302" s="11" t="n"/>
      <c r="C302" s="11" t="n"/>
      <c r="D302" s="11" t="n"/>
      <c r="E302" s="18" t="n"/>
      <c r="F302" s="18" t="n"/>
      <c r="G302" s="18" t="n"/>
      <c r="H302" s="18" t="n"/>
      <c r="I302" s="23">
        <f>IF(E302="","",E302+F302+G302+H302)</f>
        <v/>
      </c>
      <c r="J302" s="11" t="n"/>
      <c r="K302">
        <f>IF(D302="","",UPPER(TRIM(C302))&amp;"|"&amp;UPPER(TRIM(D302)))</f>
        <v/>
      </c>
      <c r="L302">
        <f>IF(K302="","",IF(COUNTIF('GSTR-2B Data'!$J$5:$J$504,K302)=0,"Not in 2B — follow up",IF(ABS(SUMIF('GSTR-2B Data'!$J$5:$J$504,K302,'GSTR-2B Data'!$I$5:$I$504)-(F302+G302+H302))&gt;1,"Tax amount differs","Matched")))</f>
        <v/>
      </c>
    </row>
    <row r="303">
      <c r="A303" s="14" t="n"/>
      <c r="B303" s="11" t="n"/>
      <c r="C303" s="11" t="n"/>
      <c r="D303" s="11" t="n"/>
      <c r="E303" s="18" t="n"/>
      <c r="F303" s="18" t="n"/>
      <c r="G303" s="18" t="n"/>
      <c r="H303" s="18" t="n"/>
      <c r="I303" s="23">
        <f>IF(E303="","",E303+F303+G303+H303)</f>
        <v/>
      </c>
      <c r="J303" s="11" t="n"/>
      <c r="K303">
        <f>IF(D303="","",UPPER(TRIM(C303))&amp;"|"&amp;UPPER(TRIM(D303)))</f>
        <v/>
      </c>
      <c r="L303">
        <f>IF(K303="","",IF(COUNTIF('GSTR-2B Data'!$J$5:$J$504,K303)=0,"Not in 2B — follow up",IF(ABS(SUMIF('GSTR-2B Data'!$J$5:$J$504,K303,'GSTR-2B Data'!$I$5:$I$504)-(F303+G303+H303))&gt;1,"Tax amount differs","Matched")))</f>
        <v/>
      </c>
    </row>
    <row r="304">
      <c r="A304" s="14" t="n"/>
      <c r="B304" s="11" t="n"/>
      <c r="C304" s="11" t="n"/>
      <c r="D304" s="11" t="n"/>
      <c r="E304" s="18" t="n"/>
      <c r="F304" s="18" t="n"/>
      <c r="G304" s="18" t="n"/>
      <c r="H304" s="18" t="n"/>
      <c r="I304" s="23">
        <f>IF(E304="","",E304+F304+G304+H304)</f>
        <v/>
      </c>
      <c r="J304" s="11" t="n"/>
      <c r="K304">
        <f>IF(D304="","",UPPER(TRIM(C304))&amp;"|"&amp;UPPER(TRIM(D304)))</f>
        <v/>
      </c>
      <c r="L304">
        <f>IF(K304="","",IF(COUNTIF('GSTR-2B Data'!$J$5:$J$504,K304)=0,"Not in 2B — follow up",IF(ABS(SUMIF('GSTR-2B Data'!$J$5:$J$504,K304,'GSTR-2B Data'!$I$5:$I$504)-(F304+G304+H304))&gt;1,"Tax amount differs","Matched")))</f>
        <v/>
      </c>
    </row>
    <row r="305">
      <c r="A305" s="14" t="n"/>
      <c r="B305" s="11" t="n"/>
      <c r="C305" s="11" t="n"/>
      <c r="D305" s="11" t="n"/>
      <c r="E305" s="18" t="n"/>
      <c r="F305" s="18" t="n"/>
      <c r="G305" s="18" t="n"/>
      <c r="H305" s="18" t="n"/>
      <c r="I305" s="23">
        <f>IF(E305="","",E305+F305+G305+H305)</f>
        <v/>
      </c>
      <c r="J305" s="11" t="n"/>
      <c r="K305">
        <f>IF(D305="","",UPPER(TRIM(C305))&amp;"|"&amp;UPPER(TRIM(D305)))</f>
        <v/>
      </c>
      <c r="L305">
        <f>IF(K305="","",IF(COUNTIF('GSTR-2B Data'!$J$5:$J$504,K305)=0,"Not in 2B — follow up",IF(ABS(SUMIF('GSTR-2B Data'!$J$5:$J$504,K305,'GSTR-2B Data'!$I$5:$I$504)-(F305+G305+H305))&gt;1,"Tax amount differs","Matched")))</f>
        <v/>
      </c>
    </row>
    <row r="306">
      <c r="A306" s="14" t="n"/>
      <c r="B306" s="11" t="n"/>
      <c r="C306" s="11" t="n"/>
      <c r="D306" s="11" t="n"/>
      <c r="E306" s="18" t="n"/>
      <c r="F306" s="18" t="n"/>
      <c r="G306" s="18" t="n"/>
      <c r="H306" s="18" t="n"/>
      <c r="I306" s="23">
        <f>IF(E306="","",E306+F306+G306+H306)</f>
        <v/>
      </c>
      <c r="J306" s="11" t="n"/>
      <c r="K306">
        <f>IF(D306="","",UPPER(TRIM(C306))&amp;"|"&amp;UPPER(TRIM(D306)))</f>
        <v/>
      </c>
      <c r="L306">
        <f>IF(K306="","",IF(COUNTIF('GSTR-2B Data'!$J$5:$J$504,K306)=0,"Not in 2B — follow up",IF(ABS(SUMIF('GSTR-2B Data'!$J$5:$J$504,K306,'GSTR-2B Data'!$I$5:$I$504)-(F306+G306+H306))&gt;1,"Tax amount differs","Matched")))</f>
        <v/>
      </c>
    </row>
    <row r="307">
      <c r="A307" s="14" t="n"/>
      <c r="B307" s="11" t="n"/>
      <c r="C307" s="11" t="n"/>
      <c r="D307" s="11" t="n"/>
      <c r="E307" s="18" t="n"/>
      <c r="F307" s="18" t="n"/>
      <c r="G307" s="18" t="n"/>
      <c r="H307" s="18" t="n"/>
      <c r="I307" s="23">
        <f>IF(E307="","",E307+F307+G307+H307)</f>
        <v/>
      </c>
      <c r="J307" s="11" t="n"/>
      <c r="K307">
        <f>IF(D307="","",UPPER(TRIM(C307))&amp;"|"&amp;UPPER(TRIM(D307)))</f>
        <v/>
      </c>
      <c r="L307">
        <f>IF(K307="","",IF(COUNTIF('GSTR-2B Data'!$J$5:$J$504,K307)=0,"Not in 2B — follow up",IF(ABS(SUMIF('GSTR-2B Data'!$J$5:$J$504,K307,'GSTR-2B Data'!$I$5:$I$504)-(F307+G307+H307))&gt;1,"Tax amount differs","Matched")))</f>
        <v/>
      </c>
    </row>
    <row r="308">
      <c r="A308" s="14" t="n"/>
      <c r="B308" s="11" t="n"/>
      <c r="C308" s="11" t="n"/>
      <c r="D308" s="11" t="n"/>
      <c r="E308" s="18" t="n"/>
      <c r="F308" s="18" t="n"/>
      <c r="G308" s="18" t="n"/>
      <c r="H308" s="18" t="n"/>
      <c r="I308" s="23">
        <f>IF(E308="","",E308+F308+G308+H308)</f>
        <v/>
      </c>
      <c r="J308" s="11" t="n"/>
      <c r="K308">
        <f>IF(D308="","",UPPER(TRIM(C308))&amp;"|"&amp;UPPER(TRIM(D308)))</f>
        <v/>
      </c>
      <c r="L308">
        <f>IF(K308="","",IF(COUNTIF('GSTR-2B Data'!$J$5:$J$504,K308)=0,"Not in 2B — follow up",IF(ABS(SUMIF('GSTR-2B Data'!$J$5:$J$504,K308,'GSTR-2B Data'!$I$5:$I$504)-(F308+G308+H308))&gt;1,"Tax amount differs","Matched")))</f>
        <v/>
      </c>
    </row>
    <row r="309">
      <c r="A309" s="14" t="n"/>
      <c r="B309" s="11" t="n"/>
      <c r="C309" s="11" t="n"/>
      <c r="D309" s="11" t="n"/>
      <c r="E309" s="18" t="n"/>
      <c r="F309" s="18" t="n"/>
      <c r="G309" s="18" t="n"/>
      <c r="H309" s="18" t="n"/>
      <c r="I309" s="23">
        <f>IF(E309="","",E309+F309+G309+H309)</f>
        <v/>
      </c>
      <c r="J309" s="11" t="n"/>
      <c r="K309">
        <f>IF(D309="","",UPPER(TRIM(C309))&amp;"|"&amp;UPPER(TRIM(D309)))</f>
        <v/>
      </c>
      <c r="L309">
        <f>IF(K309="","",IF(COUNTIF('GSTR-2B Data'!$J$5:$J$504,K309)=0,"Not in 2B — follow up",IF(ABS(SUMIF('GSTR-2B Data'!$J$5:$J$504,K309,'GSTR-2B Data'!$I$5:$I$504)-(F309+G309+H309))&gt;1,"Tax amount differs","Matched")))</f>
        <v/>
      </c>
    </row>
    <row r="310">
      <c r="A310" s="14" t="n"/>
      <c r="B310" s="11" t="n"/>
      <c r="C310" s="11" t="n"/>
      <c r="D310" s="11" t="n"/>
      <c r="E310" s="18" t="n"/>
      <c r="F310" s="18" t="n"/>
      <c r="G310" s="18" t="n"/>
      <c r="H310" s="18" t="n"/>
      <c r="I310" s="23">
        <f>IF(E310="","",E310+F310+G310+H310)</f>
        <v/>
      </c>
      <c r="J310" s="11" t="n"/>
      <c r="K310">
        <f>IF(D310="","",UPPER(TRIM(C310))&amp;"|"&amp;UPPER(TRIM(D310)))</f>
        <v/>
      </c>
      <c r="L310">
        <f>IF(K310="","",IF(COUNTIF('GSTR-2B Data'!$J$5:$J$504,K310)=0,"Not in 2B — follow up",IF(ABS(SUMIF('GSTR-2B Data'!$J$5:$J$504,K310,'GSTR-2B Data'!$I$5:$I$504)-(F310+G310+H310))&gt;1,"Tax amount differs","Matched")))</f>
        <v/>
      </c>
    </row>
    <row r="311">
      <c r="A311" s="14" t="n"/>
      <c r="B311" s="11" t="n"/>
      <c r="C311" s="11" t="n"/>
      <c r="D311" s="11" t="n"/>
      <c r="E311" s="18" t="n"/>
      <c r="F311" s="18" t="n"/>
      <c r="G311" s="18" t="n"/>
      <c r="H311" s="18" t="n"/>
      <c r="I311" s="23">
        <f>IF(E311="","",E311+F311+G311+H311)</f>
        <v/>
      </c>
      <c r="J311" s="11" t="n"/>
      <c r="K311">
        <f>IF(D311="","",UPPER(TRIM(C311))&amp;"|"&amp;UPPER(TRIM(D311)))</f>
        <v/>
      </c>
      <c r="L311">
        <f>IF(K311="","",IF(COUNTIF('GSTR-2B Data'!$J$5:$J$504,K311)=0,"Not in 2B — follow up",IF(ABS(SUMIF('GSTR-2B Data'!$J$5:$J$504,K311,'GSTR-2B Data'!$I$5:$I$504)-(F311+G311+H311))&gt;1,"Tax amount differs","Matched")))</f>
        <v/>
      </c>
    </row>
    <row r="312">
      <c r="A312" s="14" t="n"/>
      <c r="B312" s="11" t="n"/>
      <c r="C312" s="11" t="n"/>
      <c r="D312" s="11" t="n"/>
      <c r="E312" s="18" t="n"/>
      <c r="F312" s="18" t="n"/>
      <c r="G312" s="18" t="n"/>
      <c r="H312" s="18" t="n"/>
      <c r="I312" s="23">
        <f>IF(E312="","",E312+F312+G312+H312)</f>
        <v/>
      </c>
      <c r="J312" s="11" t="n"/>
      <c r="K312">
        <f>IF(D312="","",UPPER(TRIM(C312))&amp;"|"&amp;UPPER(TRIM(D312)))</f>
        <v/>
      </c>
      <c r="L312">
        <f>IF(K312="","",IF(COUNTIF('GSTR-2B Data'!$J$5:$J$504,K312)=0,"Not in 2B — follow up",IF(ABS(SUMIF('GSTR-2B Data'!$J$5:$J$504,K312,'GSTR-2B Data'!$I$5:$I$504)-(F312+G312+H312))&gt;1,"Tax amount differs","Matched")))</f>
        <v/>
      </c>
    </row>
    <row r="313">
      <c r="A313" s="14" t="n"/>
      <c r="B313" s="11" t="n"/>
      <c r="C313" s="11" t="n"/>
      <c r="D313" s="11" t="n"/>
      <c r="E313" s="18" t="n"/>
      <c r="F313" s="18" t="n"/>
      <c r="G313" s="18" t="n"/>
      <c r="H313" s="18" t="n"/>
      <c r="I313" s="23">
        <f>IF(E313="","",E313+F313+G313+H313)</f>
        <v/>
      </c>
      <c r="J313" s="11" t="n"/>
      <c r="K313">
        <f>IF(D313="","",UPPER(TRIM(C313))&amp;"|"&amp;UPPER(TRIM(D313)))</f>
        <v/>
      </c>
      <c r="L313">
        <f>IF(K313="","",IF(COUNTIF('GSTR-2B Data'!$J$5:$J$504,K313)=0,"Not in 2B — follow up",IF(ABS(SUMIF('GSTR-2B Data'!$J$5:$J$504,K313,'GSTR-2B Data'!$I$5:$I$504)-(F313+G313+H313))&gt;1,"Tax amount differs","Matched")))</f>
        <v/>
      </c>
    </row>
    <row r="314">
      <c r="A314" s="14" t="n"/>
      <c r="B314" s="11" t="n"/>
      <c r="C314" s="11" t="n"/>
      <c r="D314" s="11" t="n"/>
      <c r="E314" s="18" t="n"/>
      <c r="F314" s="18" t="n"/>
      <c r="G314" s="18" t="n"/>
      <c r="H314" s="18" t="n"/>
      <c r="I314" s="23">
        <f>IF(E314="","",E314+F314+G314+H314)</f>
        <v/>
      </c>
      <c r="J314" s="11" t="n"/>
      <c r="K314">
        <f>IF(D314="","",UPPER(TRIM(C314))&amp;"|"&amp;UPPER(TRIM(D314)))</f>
        <v/>
      </c>
      <c r="L314">
        <f>IF(K314="","",IF(COUNTIF('GSTR-2B Data'!$J$5:$J$504,K314)=0,"Not in 2B — follow up",IF(ABS(SUMIF('GSTR-2B Data'!$J$5:$J$504,K314,'GSTR-2B Data'!$I$5:$I$504)-(F314+G314+H314))&gt;1,"Tax amount differs","Matched")))</f>
        <v/>
      </c>
    </row>
    <row r="315">
      <c r="A315" s="14" t="n"/>
      <c r="B315" s="11" t="n"/>
      <c r="C315" s="11" t="n"/>
      <c r="D315" s="11" t="n"/>
      <c r="E315" s="18" t="n"/>
      <c r="F315" s="18" t="n"/>
      <c r="G315" s="18" t="n"/>
      <c r="H315" s="18" t="n"/>
      <c r="I315" s="23">
        <f>IF(E315="","",E315+F315+G315+H315)</f>
        <v/>
      </c>
      <c r="J315" s="11" t="n"/>
      <c r="K315">
        <f>IF(D315="","",UPPER(TRIM(C315))&amp;"|"&amp;UPPER(TRIM(D315)))</f>
        <v/>
      </c>
      <c r="L315">
        <f>IF(K315="","",IF(COUNTIF('GSTR-2B Data'!$J$5:$J$504,K315)=0,"Not in 2B — follow up",IF(ABS(SUMIF('GSTR-2B Data'!$J$5:$J$504,K315,'GSTR-2B Data'!$I$5:$I$504)-(F315+G315+H315))&gt;1,"Tax amount differs","Matched")))</f>
        <v/>
      </c>
    </row>
    <row r="316">
      <c r="A316" s="14" t="n"/>
      <c r="B316" s="11" t="n"/>
      <c r="C316" s="11" t="n"/>
      <c r="D316" s="11" t="n"/>
      <c r="E316" s="18" t="n"/>
      <c r="F316" s="18" t="n"/>
      <c r="G316" s="18" t="n"/>
      <c r="H316" s="18" t="n"/>
      <c r="I316" s="23">
        <f>IF(E316="","",E316+F316+G316+H316)</f>
        <v/>
      </c>
      <c r="J316" s="11" t="n"/>
      <c r="K316">
        <f>IF(D316="","",UPPER(TRIM(C316))&amp;"|"&amp;UPPER(TRIM(D316)))</f>
        <v/>
      </c>
      <c r="L316">
        <f>IF(K316="","",IF(COUNTIF('GSTR-2B Data'!$J$5:$J$504,K316)=0,"Not in 2B — follow up",IF(ABS(SUMIF('GSTR-2B Data'!$J$5:$J$504,K316,'GSTR-2B Data'!$I$5:$I$504)-(F316+G316+H316))&gt;1,"Tax amount differs","Matched")))</f>
        <v/>
      </c>
    </row>
    <row r="317">
      <c r="A317" s="14" t="n"/>
      <c r="B317" s="11" t="n"/>
      <c r="C317" s="11" t="n"/>
      <c r="D317" s="11" t="n"/>
      <c r="E317" s="18" t="n"/>
      <c r="F317" s="18" t="n"/>
      <c r="G317" s="18" t="n"/>
      <c r="H317" s="18" t="n"/>
      <c r="I317" s="23">
        <f>IF(E317="","",E317+F317+G317+H317)</f>
        <v/>
      </c>
      <c r="J317" s="11" t="n"/>
      <c r="K317">
        <f>IF(D317="","",UPPER(TRIM(C317))&amp;"|"&amp;UPPER(TRIM(D317)))</f>
        <v/>
      </c>
      <c r="L317">
        <f>IF(K317="","",IF(COUNTIF('GSTR-2B Data'!$J$5:$J$504,K317)=0,"Not in 2B — follow up",IF(ABS(SUMIF('GSTR-2B Data'!$J$5:$J$504,K317,'GSTR-2B Data'!$I$5:$I$504)-(F317+G317+H317))&gt;1,"Tax amount differs","Matched")))</f>
        <v/>
      </c>
    </row>
    <row r="318">
      <c r="A318" s="14" t="n"/>
      <c r="B318" s="11" t="n"/>
      <c r="C318" s="11" t="n"/>
      <c r="D318" s="11" t="n"/>
      <c r="E318" s="18" t="n"/>
      <c r="F318" s="18" t="n"/>
      <c r="G318" s="18" t="n"/>
      <c r="H318" s="18" t="n"/>
      <c r="I318" s="23">
        <f>IF(E318="","",E318+F318+G318+H318)</f>
        <v/>
      </c>
      <c r="J318" s="11" t="n"/>
      <c r="K318">
        <f>IF(D318="","",UPPER(TRIM(C318))&amp;"|"&amp;UPPER(TRIM(D318)))</f>
        <v/>
      </c>
      <c r="L318">
        <f>IF(K318="","",IF(COUNTIF('GSTR-2B Data'!$J$5:$J$504,K318)=0,"Not in 2B — follow up",IF(ABS(SUMIF('GSTR-2B Data'!$J$5:$J$504,K318,'GSTR-2B Data'!$I$5:$I$504)-(F318+G318+H318))&gt;1,"Tax amount differs","Matched")))</f>
        <v/>
      </c>
    </row>
    <row r="319">
      <c r="A319" s="14" t="n"/>
      <c r="B319" s="11" t="n"/>
      <c r="C319" s="11" t="n"/>
      <c r="D319" s="11" t="n"/>
      <c r="E319" s="18" t="n"/>
      <c r="F319" s="18" t="n"/>
      <c r="G319" s="18" t="n"/>
      <c r="H319" s="18" t="n"/>
      <c r="I319" s="23">
        <f>IF(E319="","",E319+F319+G319+H319)</f>
        <v/>
      </c>
      <c r="J319" s="11" t="n"/>
      <c r="K319">
        <f>IF(D319="","",UPPER(TRIM(C319))&amp;"|"&amp;UPPER(TRIM(D319)))</f>
        <v/>
      </c>
      <c r="L319">
        <f>IF(K319="","",IF(COUNTIF('GSTR-2B Data'!$J$5:$J$504,K319)=0,"Not in 2B — follow up",IF(ABS(SUMIF('GSTR-2B Data'!$J$5:$J$504,K319,'GSTR-2B Data'!$I$5:$I$504)-(F319+G319+H319))&gt;1,"Tax amount differs","Matched")))</f>
        <v/>
      </c>
    </row>
    <row r="320">
      <c r="A320" s="14" t="n"/>
      <c r="B320" s="11" t="n"/>
      <c r="C320" s="11" t="n"/>
      <c r="D320" s="11" t="n"/>
      <c r="E320" s="18" t="n"/>
      <c r="F320" s="18" t="n"/>
      <c r="G320" s="18" t="n"/>
      <c r="H320" s="18" t="n"/>
      <c r="I320" s="23">
        <f>IF(E320="","",E320+F320+G320+H320)</f>
        <v/>
      </c>
      <c r="J320" s="11" t="n"/>
      <c r="K320">
        <f>IF(D320="","",UPPER(TRIM(C320))&amp;"|"&amp;UPPER(TRIM(D320)))</f>
        <v/>
      </c>
      <c r="L320">
        <f>IF(K320="","",IF(COUNTIF('GSTR-2B Data'!$J$5:$J$504,K320)=0,"Not in 2B — follow up",IF(ABS(SUMIF('GSTR-2B Data'!$J$5:$J$504,K320,'GSTR-2B Data'!$I$5:$I$504)-(F320+G320+H320))&gt;1,"Tax amount differs","Matched")))</f>
        <v/>
      </c>
    </row>
    <row r="321">
      <c r="A321" s="14" t="n"/>
      <c r="B321" s="11" t="n"/>
      <c r="C321" s="11" t="n"/>
      <c r="D321" s="11" t="n"/>
      <c r="E321" s="18" t="n"/>
      <c r="F321" s="18" t="n"/>
      <c r="G321" s="18" t="n"/>
      <c r="H321" s="18" t="n"/>
      <c r="I321" s="23">
        <f>IF(E321="","",E321+F321+G321+H321)</f>
        <v/>
      </c>
      <c r="J321" s="11" t="n"/>
      <c r="K321">
        <f>IF(D321="","",UPPER(TRIM(C321))&amp;"|"&amp;UPPER(TRIM(D321)))</f>
        <v/>
      </c>
      <c r="L321">
        <f>IF(K321="","",IF(COUNTIF('GSTR-2B Data'!$J$5:$J$504,K321)=0,"Not in 2B — follow up",IF(ABS(SUMIF('GSTR-2B Data'!$J$5:$J$504,K321,'GSTR-2B Data'!$I$5:$I$504)-(F321+G321+H321))&gt;1,"Tax amount differs","Matched")))</f>
        <v/>
      </c>
    </row>
    <row r="322">
      <c r="A322" s="14" t="n"/>
      <c r="B322" s="11" t="n"/>
      <c r="C322" s="11" t="n"/>
      <c r="D322" s="11" t="n"/>
      <c r="E322" s="18" t="n"/>
      <c r="F322" s="18" t="n"/>
      <c r="G322" s="18" t="n"/>
      <c r="H322" s="18" t="n"/>
      <c r="I322" s="23">
        <f>IF(E322="","",E322+F322+G322+H322)</f>
        <v/>
      </c>
      <c r="J322" s="11" t="n"/>
      <c r="K322">
        <f>IF(D322="","",UPPER(TRIM(C322))&amp;"|"&amp;UPPER(TRIM(D322)))</f>
        <v/>
      </c>
      <c r="L322">
        <f>IF(K322="","",IF(COUNTIF('GSTR-2B Data'!$J$5:$J$504,K322)=0,"Not in 2B — follow up",IF(ABS(SUMIF('GSTR-2B Data'!$J$5:$J$504,K322,'GSTR-2B Data'!$I$5:$I$504)-(F322+G322+H322))&gt;1,"Tax amount differs","Matched")))</f>
        <v/>
      </c>
    </row>
    <row r="323">
      <c r="A323" s="14" t="n"/>
      <c r="B323" s="11" t="n"/>
      <c r="C323" s="11" t="n"/>
      <c r="D323" s="11" t="n"/>
      <c r="E323" s="18" t="n"/>
      <c r="F323" s="18" t="n"/>
      <c r="G323" s="18" t="n"/>
      <c r="H323" s="18" t="n"/>
      <c r="I323" s="23">
        <f>IF(E323="","",E323+F323+G323+H323)</f>
        <v/>
      </c>
      <c r="J323" s="11" t="n"/>
      <c r="K323">
        <f>IF(D323="","",UPPER(TRIM(C323))&amp;"|"&amp;UPPER(TRIM(D323)))</f>
        <v/>
      </c>
      <c r="L323">
        <f>IF(K323="","",IF(COUNTIF('GSTR-2B Data'!$J$5:$J$504,K323)=0,"Not in 2B — follow up",IF(ABS(SUMIF('GSTR-2B Data'!$J$5:$J$504,K323,'GSTR-2B Data'!$I$5:$I$504)-(F323+G323+H323))&gt;1,"Tax amount differs","Matched")))</f>
        <v/>
      </c>
    </row>
    <row r="324">
      <c r="A324" s="14" t="n"/>
      <c r="B324" s="11" t="n"/>
      <c r="C324" s="11" t="n"/>
      <c r="D324" s="11" t="n"/>
      <c r="E324" s="18" t="n"/>
      <c r="F324" s="18" t="n"/>
      <c r="G324" s="18" t="n"/>
      <c r="H324" s="18" t="n"/>
      <c r="I324" s="23">
        <f>IF(E324="","",E324+F324+G324+H324)</f>
        <v/>
      </c>
      <c r="J324" s="11" t="n"/>
      <c r="K324">
        <f>IF(D324="","",UPPER(TRIM(C324))&amp;"|"&amp;UPPER(TRIM(D324)))</f>
        <v/>
      </c>
      <c r="L324">
        <f>IF(K324="","",IF(COUNTIF('GSTR-2B Data'!$J$5:$J$504,K324)=0,"Not in 2B — follow up",IF(ABS(SUMIF('GSTR-2B Data'!$J$5:$J$504,K324,'GSTR-2B Data'!$I$5:$I$504)-(F324+G324+H324))&gt;1,"Tax amount differs","Matched")))</f>
        <v/>
      </c>
    </row>
    <row r="325">
      <c r="A325" s="14" t="n"/>
      <c r="B325" s="11" t="n"/>
      <c r="C325" s="11" t="n"/>
      <c r="D325" s="11" t="n"/>
      <c r="E325" s="18" t="n"/>
      <c r="F325" s="18" t="n"/>
      <c r="G325" s="18" t="n"/>
      <c r="H325" s="18" t="n"/>
      <c r="I325" s="23">
        <f>IF(E325="","",E325+F325+G325+H325)</f>
        <v/>
      </c>
      <c r="J325" s="11" t="n"/>
      <c r="K325">
        <f>IF(D325="","",UPPER(TRIM(C325))&amp;"|"&amp;UPPER(TRIM(D325)))</f>
        <v/>
      </c>
      <c r="L325">
        <f>IF(K325="","",IF(COUNTIF('GSTR-2B Data'!$J$5:$J$504,K325)=0,"Not in 2B — follow up",IF(ABS(SUMIF('GSTR-2B Data'!$J$5:$J$504,K325,'GSTR-2B Data'!$I$5:$I$504)-(F325+G325+H325))&gt;1,"Tax amount differs","Matched")))</f>
        <v/>
      </c>
    </row>
    <row r="326">
      <c r="A326" s="14" t="n"/>
      <c r="B326" s="11" t="n"/>
      <c r="C326" s="11" t="n"/>
      <c r="D326" s="11" t="n"/>
      <c r="E326" s="18" t="n"/>
      <c r="F326" s="18" t="n"/>
      <c r="G326" s="18" t="n"/>
      <c r="H326" s="18" t="n"/>
      <c r="I326" s="23">
        <f>IF(E326="","",E326+F326+G326+H326)</f>
        <v/>
      </c>
      <c r="J326" s="11" t="n"/>
      <c r="K326">
        <f>IF(D326="","",UPPER(TRIM(C326))&amp;"|"&amp;UPPER(TRIM(D326)))</f>
        <v/>
      </c>
      <c r="L326">
        <f>IF(K326="","",IF(COUNTIF('GSTR-2B Data'!$J$5:$J$504,K326)=0,"Not in 2B — follow up",IF(ABS(SUMIF('GSTR-2B Data'!$J$5:$J$504,K326,'GSTR-2B Data'!$I$5:$I$504)-(F326+G326+H326))&gt;1,"Tax amount differs","Matched")))</f>
        <v/>
      </c>
    </row>
    <row r="327">
      <c r="A327" s="14" t="n"/>
      <c r="B327" s="11" t="n"/>
      <c r="C327" s="11" t="n"/>
      <c r="D327" s="11" t="n"/>
      <c r="E327" s="18" t="n"/>
      <c r="F327" s="18" t="n"/>
      <c r="G327" s="18" t="n"/>
      <c r="H327" s="18" t="n"/>
      <c r="I327" s="23">
        <f>IF(E327="","",E327+F327+G327+H327)</f>
        <v/>
      </c>
      <c r="J327" s="11" t="n"/>
      <c r="K327">
        <f>IF(D327="","",UPPER(TRIM(C327))&amp;"|"&amp;UPPER(TRIM(D327)))</f>
        <v/>
      </c>
      <c r="L327">
        <f>IF(K327="","",IF(COUNTIF('GSTR-2B Data'!$J$5:$J$504,K327)=0,"Not in 2B — follow up",IF(ABS(SUMIF('GSTR-2B Data'!$J$5:$J$504,K327,'GSTR-2B Data'!$I$5:$I$504)-(F327+G327+H327))&gt;1,"Tax amount differs","Matched")))</f>
        <v/>
      </c>
    </row>
    <row r="328">
      <c r="A328" s="14" t="n"/>
      <c r="B328" s="11" t="n"/>
      <c r="C328" s="11" t="n"/>
      <c r="D328" s="11" t="n"/>
      <c r="E328" s="18" t="n"/>
      <c r="F328" s="18" t="n"/>
      <c r="G328" s="18" t="n"/>
      <c r="H328" s="18" t="n"/>
      <c r="I328" s="23">
        <f>IF(E328="","",E328+F328+G328+H328)</f>
        <v/>
      </c>
      <c r="J328" s="11" t="n"/>
      <c r="K328">
        <f>IF(D328="","",UPPER(TRIM(C328))&amp;"|"&amp;UPPER(TRIM(D328)))</f>
        <v/>
      </c>
      <c r="L328">
        <f>IF(K328="","",IF(COUNTIF('GSTR-2B Data'!$J$5:$J$504,K328)=0,"Not in 2B — follow up",IF(ABS(SUMIF('GSTR-2B Data'!$J$5:$J$504,K328,'GSTR-2B Data'!$I$5:$I$504)-(F328+G328+H328))&gt;1,"Tax amount differs","Matched")))</f>
        <v/>
      </c>
    </row>
    <row r="329">
      <c r="A329" s="14" t="n"/>
      <c r="B329" s="11" t="n"/>
      <c r="C329" s="11" t="n"/>
      <c r="D329" s="11" t="n"/>
      <c r="E329" s="18" t="n"/>
      <c r="F329" s="18" t="n"/>
      <c r="G329" s="18" t="n"/>
      <c r="H329" s="18" t="n"/>
      <c r="I329" s="23">
        <f>IF(E329="","",E329+F329+G329+H329)</f>
        <v/>
      </c>
      <c r="J329" s="11" t="n"/>
      <c r="K329">
        <f>IF(D329="","",UPPER(TRIM(C329))&amp;"|"&amp;UPPER(TRIM(D329)))</f>
        <v/>
      </c>
      <c r="L329">
        <f>IF(K329="","",IF(COUNTIF('GSTR-2B Data'!$J$5:$J$504,K329)=0,"Not in 2B — follow up",IF(ABS(SUMIF('GSTR-2B Data'!$J$5:$J$504,K329,'GSTR-2B Data'!$I$5:$I$504)-(F329+G329+H329))&gt;1,"Tax amount differs","Matched")))</f>
        <v/>
      </c>
    </row>
    <row r="330">
      <c r="A330" s="14" t="n"/>
      <c r="B330" s="11" t="n"/>
      <c r="C330" s="11" t="n"/>
      <c r="D330" s="11" t="n"/>
      <c r="E330" s="18" t="n"/>
      <c r="F330" s="18" t="n"/>
      <c r="G330" s="18" t="n"/>
      <c r="H330" s="18" t="n"/>
      <c r="I330" s="23">
        <f>IF(E330="","",E330+F330+G330+H330)</f>
        <v/>
      </c>
      <c r="J330" s="11" t="n"/>
      <c r="K330">
        <f>IF(D330="","",UPPER(TRIM(C330))&amp;"|"&amp;UPPER(TRIM(D330)))</f>
        <v/>
      </c>
      <c r="L330">
        <f>IF(K330="","",IF(COUNTIF('GSTR-2B Data'!$J$5:$J$504,K330)=0,"Not in 2B — follow up",IF(ABS(SUMIF('GSTR-2B Data'!$J$5:$J$504,K330,'GSTR-2B Data'!$I$5:$I$504)-(F330+G330+H330))&gt;1,"Tax amount differs","Matched")))</f>
        <v/>
      </c>
    </row>
    <row r="331">
      <c r="A331" s="14" t="n"/>
      <c r="B331" s="11" t="n"/>
      <c r="C331" s="11" t="n"/>
      <c r="D331" s="11" t="n"/>
      <c r="E331" s="18" t="n"/>
      <c r="F331" s="18" t="n"/>
      <c r="G331" s="18" t="n"/>
      <c r="H331" s="18" t="n"/>
      <c r="I331" s="23">
        <f>IF(E331="","",E331+F331+G331+H331)</f>
        <v/>
      </c>
      <c r="J331" s="11" t="n"/>
      <c r="K331">
        <f>IF(D331="","",UPPER(TRIM(C331))&amp;"|"&amp;UPPER(TRIM(D331)))</f>
        <v/>
      </c>
      <c r="L331">
        <f>IF(K331="","",IF(COUNTIF('GSTR-2B Data'!$J$5:$J$504,K331)=0,"Not in 2B — follow up",IF(ABS(SUMIF('GSTR-2B Data'!$J$5:$J$504,K331,'GSTR-2B Data'!$I$5:$I$504)-(F331+G331+H331))&gt;1,"Tax amount differs","Matched")))</f>
        <v/>
      </c>
    </row>
    <row r="332">
      <c r="A332" s="14" t="n"/>
      <c r="B332" s="11" t="n"/>
      <c r="C332" s="11" t="n"/>
      <c r="D332" s="11" t="n"/>
      <c r="E332" s="18" t="n"/>
      <c r="F332" s="18" t="n"/>
      <c r="G332" s="18" t="n"/>
      <c r="H332" s="18" t="n"/>
      <c r="I332" s="23">
        <f>IF(E332="","",E332+F332+G332+H332)</f>
        <v/>
      </c>
      <c r="J332" s="11" t="n"/>
      <c r="K332">
        <f>IF(D332="","",UPPER(TRIM(C332))&amp;"|"&amp;UPPER(TRIM(D332)))</f>
        <v/>
      </c>
      <c r="L332">
        <f>IF(K332="","",IF(COUNTIF('GSTR-2B Data'!$J$5:$J$504,K332)=0,"Not in 2B — follow up",IF(ABS(SUMIF('GSTR-2B Data'!$J$5:$J$504,K332,'GSTR-2B Data'!$I$5:$I$504)-(F332+G332+H332))&gt;1,"Tax amount differs","Matched")))</f>
        <v/>
      </c>
    </row>
    <row r="333">
      <c r="A333" s="14" t="n"/>
      <c r="B333" s="11" t="n"/>
      <c r="C333" s="11" t="n"/>
      <c r="D333" s="11" t="n"/>
      <c r="E333" s="18" t="n"/>
      <c r="F333" s="18" t="n"/>
      <c r="G333" s="18" t="n"/>
      <c r="H333" s="18" t="n"/>
      <c r="I333" s="23">
        <f>IF(E333="","",E333+F333+G333+H333)</f>
        <v/>
      </c>
      <c r="J333" s="11" t="n"/>
      <c r="K333">
        <f>IF(D333="","",UPPER(TRIM(C333))&amp;"|"&amp;UPPER(TRIM(D333)))</f>
        <v/>
      </c>
      <c r="L333">
        <f>IF(K333="","",IF(COUNTIF('GSTR-2B Data'!$J$5:$J$504,K333)=0,"Not in 2B — follow up",IF(ABS(SUMIF('GSTR-2B Data'!$J$5:$J$504,K333,'GSTR-2B Data'!$I$5:$I$504)-(F333+G333+H333))&gt;1,"Tax amount differs","Matched")))</f>
        <v/>
      </c>
    </row>
    <row r="334">
      <c r="A334" s="14" t="n"/>
      <c r="B334" s="11" t="n"/>
      <c r="C334" s="11" t="n"/>
      <c r="D334" s="11" t="n"/>
      <c r="E334" s="18" t="n"/>
      <c r="F334" s="18" t="n"/>
      <c r="G334" s="18" t="n"/>
      <c r="H334" s="18" t="n"/>
      <c r="I334" s="23">
        <f>IF(E334="","",E334+F334+G334+H334)</f>
        <v/>
      </c>
      <c r="J334" s="11" t="n"/>
      <c r="K334">
        <f>IF(D334="","",UPPER(TRIM(C334))&amp;"|"&amp;UPPER(TRIM(D334)))</f>
        <v/>
      </c>
      <c r="L334">
        <f>IF(K334="","",IF(COUNTIF('GSTR-2B Data'!$J$5:$J$504,K334)=0,"Not in 2B — follow up",IF(ABS(SUMIF('GSTR-2B Data'!$J$5:$J$504,K334,'GSTR-2B Data'!$I$5:$I$504)-(F334+G334+H334))&gt;1,"Tax amount differs","Matched")))</f>
        <v/>
      </c>
    </row>
    <row r="335">
      <c r="A335" s="14" t="n"/>
      <c r="B335" s="11" t="n"/>
      <c r="C335" s="11" t="n"/>
      <c r="D335" s="11" t="n"/>
      <c r="E335" s="18" t="n"/>
      <c r="F335" s="18" t="n"/>
      <c r="G335" s="18" t="n"/>
      <c r="H335" s="18" t="n"/>
      <c r="I335" s="23">
        <f>IF(E335="","",E335+F335+G335+H335)</f>
        <v/>
      </c>
      <c r="J335" s="11" t="n"/>
      <c r="K335">
        <f>IF(D335="","",UPPER(TRIM(C335))&amp;"|"&amp;UPPER(TRIM(D335)))</f>
        <v/>
      </c>
      <c r="L335">
        <f>IF(K335="","",IF(COUNTIF('GSTR-2B Data'!$J$5:$J$504,K335)=0,"Not in 2B — follow up",IF(ABS(SUMIF('GSTR-2B Data'!$J$5:$J$504,K335,'GSTR-2B Data'!$I$5:$I$504)-(F335+G335+H335))&gt;1,"Tax amount differs","Matched")))</f>
        <v/>
      </c>
    </row>
    <row r="336">
      <c r="A336" s="14" t="n"/>
      <c r="B336" s="11" t="n"/>
      <c r="C336" s="11" t="n"/>
      <c r="D336" s="11" t="n"/>
      <c r="E336" s="18" t="n"/>
      <c r="F336" s="18" t="n"/>
      <c r="G336" s="18" t="n"/>
      <c r="H336" s="18" t="n"/>
      <c r="I336" s="23">
        <f>IF(E336="","",E336+F336+G336+H336)</f>
        <v/>
      </c>
      <c r="J336" s="11" t="n"/>
      <c r="K336">
        <f>IF(D336="","",UPPER(TRIM(C336))&amp;"|"&amp;UPPER(TRIM(D336)))</f>
        <v/>
      </c>
      <c r="L336">
        <f>IF(K336="","",IF(COUNTIF('GSTR-2B Data'!$J$5:$J$504,K336)=0,"Not in 2B — follow up",IF(ABS(SUMIF('GSTR-2B Data'!$J$5:$J$504,K336,'GSTR-2B Data'!$I$5:$I$504)-(F336+G336+H336))&gt;1,"Tax amount differs","Matched")))</f>
        <v/>
      </c>
    </row>
    <row r="337">
      <c r="A337" s="14" t="n"/>
      <c r="B337" s="11" t="n"/>
      <c r="C337" s="11" t="n"/>
      <c r="D337" s="11" t="n"/>
      <c r="E337" s="18" t="n"/>
      <c r="F337" s="18" t="n"/>
      <c r="G337" s="18" t="n"/>
      <c r="H337" s="18" t="n"/>
      <c r="I337" s="23">
        <f>IF(E337="","",E337+F337+G337+H337)</f>
        <v/>
      </c>
      <c r="J337" s="11" t="n"/>
      <c r="K337">
        <f>IF(D337="","",UPPER(TRIM(C337))&amp;"|"&amp;UPPER(TRIM(D337)))</f>
        <v/>
      </c>
      <c r="L337">
        <f>IF(K337="","",IF(COUNTIF('GSTR-2B Data'!$J$5:$J$504,K337)=0,"Not in 2B — follow up",IF(ABS(SUMIF('GSTR-2B Data'!$J$5:$J$504,K337,'GSTR-2B Data'!$I$5:$I$504)-(F337+G337+H337))&gt;1,"Tax amount differs","Matched")))</f>
        <v/>
      </c>
    </row>
    <row r="338">
      <c r="A338" s="14" t="n"/>
      <c r="B338" s="11" t="n"/>
      <c r="C338" s="11" t="n"/>
      <c r="D338" s="11" t="n"/>
      <c r="E338" s="18" t="n"/>
      <c r="F338" s="18" t="n"/>
      <c r="G338" s="18" t="n"/>
      <c r="H338" s="18" t="n"/>
      <c r="I338" s="23">
        <f>IF(E338="","",E338+F338+G338+H338)</f>
        <v/>
      </c>
      <c r="J338" s="11" t="n"/>
      <c r="K338">
        <f>IF(D338="","",UPPER(TRIM(C338))&amp;"|"&amp;UPPER(TRIM(D338)))</f>
        <v/>
      </c>
      <c r="L338">
        <f>IF(K338="","",IF(COUNTIF('GSTR-2B Data'!$J$5:$J$504,K338)=0,"Not in 2B — follow up",IF(ABS(SUMIF('GSTR-2B Data'!$J$5:$J$504,K338,'GSTR-2B Data'!$I$5:$I$504)-(F338+G338+H338))&gt;1,"Tax amount differs","Matched")))</f>
        <v/>
      </c>
    </row>
    <row r="339">
      <c r="A339" s="14" t="n"/>
      <c r="B339" s="11" t="n"/>
      <c r="C339" s="11" t="n"/>
      <c r="D339" s="11" t="n"/>
      <c r="E339" s="18" t="n"/>
      <c r="F339" s="18" t="n"/>
      <c r="G339" s="18" t="n"/>
      <c r="H339" s="18" t="n"/>
      <c r="I339" s="23">
        <f>IF(E339="","",E339+F339+G339+H339)</f>
        <v/>
      </c>
      <c r="J339" s="11" t="n"/>
      <c r="K339">
        <f>IF(D339="","",UPPER(TRIM(C339))&amp;"|"&amp;UPPER(TRIM(D339)))</f>
        <v/>
      </c>
      <c r="L339">
        <f>IF(K339="","",IF(COUNTIF('GSTR-2B Data'!$J$5:$J$504,K339)=0,"Not in 2B — follow up",IF(ABS(SUMIF('GSTR-2B Data'!$J$5:$J$504,K339,'GSTR-2B Data'!$I$5:$I$504)-(F339+G339+H339))&gt;1,"Tax amount differs","Matched")))</f>
        <v/>
      </c>
    </row>
    <row r="340">
      <c r="A340" s="14" t="n"/>
      <c r="B340" s="11" t="n"/>
      <c r="C340" s="11" t="n"/>
      <c r="D340" s="11" t="n"/>
      <c r="E340" s="18" t="n"/>
      <c r="F340" s="18" t="n"/>
      <c r="G340" s="18" t="n"/>
      <c r="H340" s="18" t="n"/>
      <c r="I340" s="23">
        <f>IF(E340="","",E340+F340+G340+H340)</f>
        <v/>
      </c>
      <c r="J340" s="11" t="n"/>
      <c r="K340">
        <f>IF(D340="","",UPPER(TRIM(C340))&amp;"|"&amp;UPPER(TRIM(D340)))</f>
        <v/>
      </c>
      <c r="L340">
        <f>IF(K340="","",IF(COUNTIF('GSTR-2B Data'!$J$5:$J$504,K340)=0,"Not in 2B — follow up",IF(ABS(SUMIF('GSTR-2B Data'!$J$5:$J$504,K340,'GSTR-2B Data'!$I$5:$I$504)-(F340+G340+H340))&gt;1,"Tax amount differs","Matched")))</f>
        <v/>
      </c>
    </row>
    <row r="341">
      <c r="A341" s="14" t="n"/>
      <c r="B341" s="11" t="n"/>
      <c r="C341" s="11" t="n"/>
      <c r="D341" s="11" t="n"/>
      <c r="E341" s="18" t="n"/>
      <c r="F341" s="18" t="n"/>
      <c r="G341" s="18" t="n"/>
      <c r="H341" s="18" t="n"/>
      <c r="I341" s="23">
        <f>IF(E341="","",E341+F341+G341+H341)</f>
        <v/>
      </c>
      <c r="J341" s="11" t="n"/>
      <c r="K341">
        <f>IF(D341="","",UPPER(TRIM(C341))&amp;"|"&amp;UPPER(TRIM(D341)))</f>
        <v/>
      </c>
      <c r="L341">
        <f>IF(K341="","",IF(COUNTIF('GSTR-2B Data'!$J$5:$J$504,K341)=0,"Not in 2B — follow up",IF(ABS(SUMIF('GSTR-2B Data'!$J$5:$J$504,K341,'GSTR-2B Data'!$I$5:$I$504)-(F341+G341+H341))&gt;1,"Tax amount differs","Matched")))</f>
        <v/>
      </c>
    </row>
    <row r="342">
      <c r="A342" s="14" t="n"/>
      <c r="B342" s="11" t="n"/>
      <c r="C342" s="11" t="n"/>
      <c r="D342" s="11" t="n"/>
      <c r="E342" s="18" t="n"/>
      <c r="F342" s="18" t="n"/>
      <c r="G342" s="18" t="n"/>
      <c r="H342" s="18" t="n"/>
      <c r="I342" s="23">
        <f>IF(E342="","",E342+F342+G342+H342)</f>
        <v/>
      </c>
      <c r="J342" s="11" t="n"/>
      <c r="K342">
        <f>IF(D342="","",UPPER(TRIM(C342))&amp;"|"&amp;UPPER(TRIM(D342)))</f>
        <v/>
      </c>
      <c r="L342">
        <f>IF(K342="","",IF(COUNTIF('GSTR-2B Data'!$J$5:$J$504,K342)=0,"Not in 2B — follow up",IF(ABS(SUMIF('GSTR-2B Data'!$J$5:$J$504,K342,'GSTR-2B Data'!$I$5:$I$504)-(F342+G342+H342))&gt;1,"Tax amount differs","Matched")))</f>
        <v/>
      </c>
    </row>
    <row r="343">
      <c r="A343" s="14" t="n"/>
      <c r="B343" s="11" t="n"/>
      <c r="C343" s="11" t="n"/>
      <c r="D343" s="11" t="n"/>
      <c r="E343" s="18" t="n"/>
      <c r="F343" s="18" t="n"/>
      <c r="G343" s="18" t="n"/>
      <c r="H343" s="18" t="n"/>
      <c r="I343" s="23">
        <f>IF(E343="","",E343+F343+G343+H343)</f>
        <v/>
      </c>
      <c r="J343" s="11" t="n"/>
      <c r="K343">
        <f>IF(D343="","",UPPER(TRIM(C343))&amp;"|"&amp;UPPER(TRIM(D343)))</f>
        <v/>
      </c>
      <c r="L343">
        <f>IF(K343="","",IF(COUNTIF('GSTR-2B Data'!$J$5:$J$504,K343)=0,"Not in 2B — follow up",IF(ABS(SUMIF('GSTR-2B Data'!$J$5:$J$504,K343,'GSTR-2B Data'!$I$5:$I$504)-(F343+G343+H343))&gt;1,"Tax amount differs","Matched")))</f>
        <v/>
      </c>
    </row>
    <row r="344">
      <c r="A344" s="14" t="n"/>
      <c r="B344" s="11" t="n"/>
      <c r="C344" s="11" t="n"/>
      <c r="D344" s="11" t="n"/>
      <c r="E344" s="18" t="n"/>
      <c r="F344" s="18" t="n"/>
      <c r="G344" s="18" t="n"/>
      <c r="H344" s="18" t="n"/>
      <c r="I344" s="23">
        <f>IF(E344="","",E344+F344+G344+H344)</f>
        <v/>
      </c>
      <c r="J344" s="11" t="n"/>
      <c r="K344">
        <f>IF(D344="","",UPPER(TRIM(C344))&amp;"|"&amp;UPPER(TRIM(D344)))</f>
        <v/>
      </c>
      <c r="L344">
        <f>IF(K344="","",IF(COUNTIF('GSTR-2B Data'!$J$5:$J$504,K344)=0,"Not in 2B — follow up",IF(ABS(SUMIF('GSTR-2B Data'!$J$5:$J$504,K344,'GSTR-2B Data'!$I$5:$I$504)-(F344+G344+H344))&gt;1,"Tax amount differs","Matched")))</f>
        <v/>
      </c>
    </row>
    <row r="345">
      <c r="A345" s="14" t="n"/>
      <c r="B345" s="11" t="n"/>
      <c r="C345" s="11" t="n"/>
      <c r="D345" s="11" t="n"/>
      <c r="E345" s="18" t="n"/>
      <c r="F345" s="18" t="n"/>
      <c r="G345" s="18" t="n"/>
      <c r="H345" s="18" t="n"/>
      <c r="I345" s="23">
        <f>IF(E345="","",E345+F345+G345+H345)</f>
        <v/>
      </c>
      <c r="J345" s="11" t="n"/>
      <c r="K345">
        <f>IF(D345="","",UPPER(TRIM(C345))&amp;"|"&amp;UPPER(TRIM(D345)))</f>
        <v/>
      </c>
      <c r="L345">
        <f>IF(K345="","",IF(COUNTIF('GSTR-2B Data'!$J$5:$J$504,K345)=0,"Not in 2B — follow up",IF(ABS(SUMIF('GSTR-2B Data'!$J$5:$J$504,K345,'GSTR-2B Data'!$I$5:$I$504)-(F345+G345+H345))&gt;1,"Tax amount differs","Matched")))</f>
        <v/>
      </c>
    </row>
    <row r="346">
      <c r="A346" s="14" t="n"/>
      <c r="B346" s="11" t="n"/>
      <c r="C346" s="11" t="n"/>
      <c r="D346" s="11" t="n"/>
      <c r="E346" s="18" t="n"/>
      <c r="F346" s="18" t="n"/>
      <c r="G346" s="18" t="n"/>
      <c r="H346" s="18" t="n"/>
      <c r="I346" s="23">
        <f>IF(E346="","",E346+F346+G346+H346)</f>
        <v/>
      </c>
      <c r="J346" s="11" t="n"/>
      <c r="K346">
        <f>IF(D346="","",UPPER(TRIM(C346))&amp;"|"&amp;UPPER(TRIM(D346)))</f>
        <v/>
      </c>
      <c r="L346">
        <f>IF(K346="","",IF(COUNTIF('GSTR-2B Data'!$J$5:$J$504,K346)=0,"Not in 2B — follow up",IF(ABS(SUMIF('GSTR-2B Data'!$J$5:$J$504,K346,'GSTR-2B Data'!$I$5:$I$504)-(F346+G346+H346))&gt;1,"Tax amount differs","Matched")))</f>
        <v/>
      </c>
    </row>
    <row r="347">
      <c r="A347" s="14" t="n"/>
      <c r="B347" s="11" t="n"/>
      <c r="C347" s="11" t="n"/>
      <c r="D347" s="11" t="n"/>
      <c r="E347" s="18" t="n"/>
      <c r="F347" s="18" t="n"/>
      <c r="G347" s="18" t="n"/>
      <c r="H347" s="18" t="n"/>
      <c r="I347" s="23">
        <f>IF(E347="","",E347+F347+G347+H347)</f>
        <v/>
      </c>
      <c r="J347" s="11" t="n"/>
      <c r="K347">
        <f>IF(D347="","",UPPER(TRIM(C347))&amp;"|"&amp;UPPER(TRIM(D347)))</f>
        <v/>
      </c>
      <c r="L347">
        <f>IF(K347="","",IF(COUNTIF('GSTR-2B Data'!$J$5:$J$504,K347)=0,"Not in 2B — follow up",IF(ABS(SUMIF('GSTR-2B Data'!$J$5:$J$504,K347,'GSTR-2B Data'!$I$5:$I$504)-(F347+G347+H347))&gt;1,"Tax amount differs","Matched")))</f>
        <v/>
      </c>
    </row>
    <row r="348">
      <c r="A348" s="14" t="n"/>
      <c r="B348" s="11" t="n"/>
      <c r="C348" s="11" t="n"/>
      <c r="D348" s="11" t="n"/>
      <c r="E348" s="18" t="n"/>
      <c r="F348" s="18" t="n"/>
      <c r="G348" s="18" t="n"/>
      <c r="H348" s="18" t="n"/>
      <c r="I348" s="23">
        <f>IF(E348="","",E348+F348+G348+H348)</f>
        <v/>
      </c>
      <c r="J348" s="11" t="n"/>
      <c r="K348">
        <f>IF(D348="","",UPPER(TRIM(C348))&amp;"|"&amp;UPPER(TRIM(D348)))</f>
        <v/>
      </c>
      <c r="L348">
        <f>IF(K348="","",IF(COUNTIF('GSTR-2B Data'!$J$5:$J$504,K348)=0,"Not in 2B — follow up",IF(ABS(SUMIF('GSTR-2B Data'!$J$5:$J$504,K348,'GSTR-2B Data'!$I$5:$I$504)-(F348+G348+H348))&gt;1,"Tax amount differs","Matched")))</f>
        <v/>
      </c>
    </row>
    <row r="349">
      <c r="A349" s="14" t="n"/>
      <c r="B349" s="11" t="n"/>
      <c r="C349" s="11" t="n"/>
      <c r="D349" s="11" t="n"/>
      <c r="E349" s="18" t="n"/>
      <c r="F349" s="18" t="n"/>
      <c r="G349" s="18" t="n"/>
      <c r="H349" s="18" t="n"/>
      <c r="I349" s="23">
        <f>IF(E349="","",E349+F349+G349+H349)</f>
        <v/>
      </c>
      <c r="J349" s="11" t="n"/>
      <c r="K349">
        <f>IF(D349="","",UPPER(TRIM(C349))&amp;"|"&amp;UPPER(TRIM(D349)))</f>
        <v/>
      </c>
      <c r="L349">
        <f>IF(K349="","",IF(COUNTIF('GSTR-2B Data'!$J$5:$J$504,K349)=0,"Not in 2B — follow up",IF(ABS(SUMIF('GSTR-2B Data'!$J$5:$J$504,K349,'GSTR-2B Data'!$I$5:$I$504)-(F349+G349+H349))&gt;1,"Tax amount differs","Matched")))</f>
        <v/>
      </c>
    </row>
    <row r="350">
      <c r="A350" s="14" t="n"/>
      <c r="B350" s="11" t="n"/>
      <c r="C350" s="11" t="n"/>
      <c r="D350" s="11" t="n"/>
      <c r="E350" s="18" t="n"/>
      <c r="F350" s="18" t="n"/>
      <c r="G350" s="18" t="n"/>
      <c r="H350" s="18" t="n"/>
      <c r="I350" s="23">
        <f>IF(E350="","",E350+F350+G350+H350)</f>
        <v/>
      </c>
      <c r="J350" s="11" t="n"/>
      <c r="K350">
        <f>IF(D350="","",UPPER(TRIM(C350))&amp;"|"&amp;UPPER(TRIM(D350)))</f>
        <v/>
      </c>
      <c r="L350">
        <f>IF(K350="","",IF(COUNTIF('GSTR-2B Data'!$J$5:$J$504,K350)=0,"Not in 2B — follow up",IF(ABS(SUMIF('GSTR-2B Data'!$J$5:$J$504,K350,'GSTR-2B Data'!$I$5:$I$504)-(F350+G350+H350))&gt;1,"Tax amount differs","Matched")))</f>
        <v/>
      </c>
    </row>
    <row r="351">
      <c r="A351" s="14" t="n"/>
      <c r="B351" s="11" t="n"/>
      <c r="C351" s="11" t="n"/>
      <c r="D351" s="11" t="n"/>
      <c r="E351" s="18" t="n"/>
      <c r="F351" s="18" t="n"/>
      <c r="G351" s="18" t="n"/>
      <c r="H351" s="18" t="n"/>
      <c r="I351" s="23">
        <f>IF(E351="","",E351+F351+G351+H351)</f>
        <v/>
      </c>
      <c r="J351" s="11" t="n"/>
      <c r="K351">
        <f>IF(D351="","",UPPER(TRIM(C351))&amp;"|"&amp;UPPER(TRIM(D351)))</f>
        <v/>
      </c>
      <c r="L351">
        <f>IF(K351="","",IF(COUNTIF('GSTR-2B Data'!$J$5:$J$504,K351)=0,"Not in 2B — follow up",IF(ABS(SUMIF('GSTR-2B Data'!$J$5:$J$504,K351,'GSTR-2B Data'!$I$5:$I$504)-(F351+G351+H351))&gt;1,"Tax amount differs","Matched")))</f>
        <v/>
      </c>
    </row>
    <row r="352">
      <c r="A352" s="14" t="n"/>
      <c r="B352" s="11" t="n"/>
      <c r="C352" s="11" t="n"/>
      <c r="D352" s="11" t="n"/>
      <c r="E352" s="18" t="n"/>
      <c r="F352" s="18" t="n"/>
      <c r="G352" s="18" t="n"/>
      <c r="H352" s="18" t="n"/>
      <c r="I352" s="23">
        <f>IF(E352="","",E352+F352+G352+H352)</f>
        <v/>
      </c>
      <c r="J352" s="11" t="n"/>
      <c r="K352">
        <f>IF(D352="","",UPPER(TRIM(C352))&amp;"|"&amp;UPPER(TRIM(D352)))</f>
        <v/>
      </c>
      <c r="L352">
        <f>IF(K352="","",IF(COUNTIF('GSTR-2B Data'!$J$5:$J$504,K352)=0,"Not in 2B — follow up",IF(ABS(SUMIF('GSTR-2B Data'!$J$5:$J$504,K352,'GSTR-2B Data'!$I$5:$I$504)-(F352+G352+H352))&gt;1,"Tax amount differs","Matched")))</f>
        <v/>
      </c>
    </row>
    <row r="353">
      <c r="A353" s="14" t="n"/>
      <c r="B353" s="11" t="n"/>
      <c r="C353" s="11" t="n"/>
      <c r="D353" s="11" t="n"/>
      <c r="E353" s="18" t="n"/>
      <c r="F353" s="18" t="n"/>
      <c r="G353" s="18" t="n"/>
      <c r="H353" s="18" t="n"/>
      <c r="I353" s="23">
        <f>IF(E353="","",E353+F353+G353+H353)</f>
        <v/>
      </c>
      <c r="J353" s="11" t="n"/>
      <c r="K353">
        <f>IF(D353="","",UPPER(TRIM(C353))&amp;"|"&amp;UPPER(TRIM(D353)))</f>
        <v/>
      </c>
      <c r="L353">
        <f>IF(K353="","",IF(COUNTIF('GSTR-2B Data'!$J$5:$J$504,K353)=0,"Not in 2B — follow up",IF(ABS(SUMIF('GSTR-2B Data'!$J$5:$J$504,K353,'GSTR-2B Data'!$I$5:$I$504)-(F353+G353+H353))&gt;1,"Tax amount differs","Matched")))</f>
        <v/>
      </c>
    </row>
    <row r="354">
      <c r="A354" s="14" t="n"/>
      <c r="B354" s="11" t="n"/>
      <c r="C354" s="11" t="n"/>
      <c r="D354" s="11" t="n"/>
      <c r="E354" s="18" t="n"/>
      <c r="F354" s="18" t="n"/>
      <c r="G354" s="18" t="n"/>
      <c r="H354" s="18" t="n"/>
      <c r="I354" s="23">
        <f>IF(E354="","",E354+F354+G354+H354)</f>
        <v/>
      </c>
      <c r="J354" s="11" t="n"/>
      <c r="K354">
        <f>IF(D354="","",UPPER(TRIM(C354))&amp;"|"&amp;UPPER(TRIM(D354)))</f>
        <v/>
      </c>
      <c r="L354">
        <f>IF(K354="","",IF(COUNTIF('GSTR-2B Data'!$J$5:$J$504,K354)=0,"Not in 2B — follow up",IF(ABS(SUMIF('GSTR-2B Data'!$J$5:$J$504,K354,'GSTR-2B Data'!$I$5:$I$504)-(F354+G354+H354))&gt;1,"Tax amount differs","Matched")))</f>
        <v/>
      </c>
    </row>
    <row r="355">
      <c r="A355" s="14" t="n"/>
      <c r="B355" s="11" t="n"/>
      <c r="C355" s="11" t="n"/>
      <c r="D355" s="11" t="n"/>
      <c r="E355" s="18" t="n"/>
      <c r="F355" s="18" t="n"/>
      <c r="G355" s="18" t="n"/>
      <c r="H355" s="18" t="n"/>
      <c r="I355" s="23">
        <f>IF(E355="","",E355+F355+G355+H355)</f>
        <v/>
      </c>
      <c r="J355" s="11" t="n"/>
      <c r="K355">
        <f>IF(D355="","",UPPER(TRIM(C355))&amp;"|"&amp;UPPER(TRIM(D355)))</f>
        <v/>
      </c>
      <c r="L355">
        <f>IF(K355="","",IF(COUNTIF('GSTR-2B Data'!$J$5:$J$504,K355)=0,"Not in 2B — follow up",IF(ABS(SUMIF('GSTR-2B Data'!$J$5:$J$504,K355,'GSTR-2B Data'!$I$5:$I$504)-(F355+G355+H355))&gt;1,"Tax amount differs","Matched")))</f>
        <v/>
      </c>
    </row>
    <row r="356">
      <c r="A356" s="14" t="n"/>
      <c r="B356" s="11" t="n"/>
      <c r="C356" s="11" t="n"/>
      <c r="D356" s="11" t="n"/>
      <c r="E356" s="18" t="n"/>
      <c r="F356" s="18" t="n"/>
      <c r="G356" s="18" t="n"/>
      <c r="H356" s="18" t="n"/>
      <c r="I356" s="23">
        <f>IF(E356="","",E356+F356+G356+H356)</f>
        <v/>
      </c>
      <c r="J356" s="11" t="n"/>
      <c r="K356">
        <f>IF(D356="","",UPPER(TRIM(C356))&amp;"|"&amp;UPPER(TRIM(D356)))</f>
        <v/>
      </c>
      <c r="L356">
        <f>IF(K356="","",IF(COUNTIF('GSTR-2B Data'!$J$5:$J$504,K356)=0,"Not in 2B — follow up",IF(ABS(SUMIF('GSTR-2B Data'!$J$5:$J$504,K356,'GSTR-2B Data'!$I$5:$I$504)-(F356+G356+H356))&gt;1,"Tax amount differs","Matched")))</f>
        <v/>
      </c>
    </row>
    <row r="357">
      <c r="A357" s="14" t="n"/>
      <c r="B357" s="11" t="n"/>
      <c r="C357" s="11" t="n"/>
      <c r="D357" s="11" t="n"/>
      <c r="E357" s="18" t="n"/>
      <c r="F357" s="18" t="n"/>
      <c r="G357" s="18" t="n"/>
      <c r="H357" s="18" t="n"/>
      <c r="I357" s="23">
        <f>IF(E357="","",E357+F357+G357+H357)</f>
        <v/>
      </c>
      <c r="J357" s="11" t="n"/>
      <c r="K357">
        <f>IF(D357="","",UPPER(TRIM(C357))&amp;"|"&amp;UPPER(TRIM(D357)))</f>
        <v/>
      </c>
      <c r="L357">
        <f>IF(K357="","",IF(COUNTIF('GSTR-2B Data'!$J$5:$J$504,K357)=0,"Not in 2B — follow up",IF(ABS(SUMIF('GSTR-2B Data'!$J$5:$J$504,K357,'GSTR-2B Data'!$I$5:$I$504)-(F357+G357+H357))&gt;1,"Tax amount differs","Matched")))</f>
        <v/>
      </c>
    </row>
    <row r="358">
      <c r="A358" s="14" t="n"/>
      <c r="B358" s="11" t="n"/>
      <c r="C358" s="11" t="n"/>
      <c r="D358" s="11" t="n"/>
      <c r="E358" s="18" t="n"/>
      <c r="F358" s="18" t="n"/>
      <c r="G358" s="18" t="n"/>
      <c r="H358" s="18" t="n"/>
      <c r="I358" s="23">
        <f>IF(E358="","",E358+F358+G358+H358)</f>
        <v/>
      </c>
      <c r="J358" s="11" t="n"/>
      <c r="K358">
        <f>IF(D358="","",UPPER(TRIM(C358))&amp;"|"&amp;UPPER(TRIM(D358)))</f>
        <v/>
      </c>
      <c r="L358">
        <f>IF(K358="","",IF(COUNTIF('GSTR-2B Data'!$J$5:$J$504,K358)=0,"Not in 2B — follow up",IF(ABS(SUMIF('GSTR-2B Data'!$J$5:$J$504,K358,'GSTR-2B Data'!$I$5:$I$504)-(F358+G358+H358))&gt;1,"Tax amount differs","Matched")))</f>
        <v/>
      </c>
    </row>
    <row r="359">
      <c r="A359" s="14" t="n"/>
      <c r="B359" s="11" t="n"/>
      <c r="C359" s="11" t="n"/>
      <c r="D359" s="11" t="n"/>
      <c r="E359" s="18" t="n"/>
      <c r="F359" s="18" t="n"/>
      <c r="G359" s="18" t="n"/>
      <c r="H359" s="18" t="n"/>
      <c r="I359" s="23">
        <f>IF(E359="","",E359+F359+G359+H359)</f>
        <v/>
      </c>
      <c r="J359" s="11" t="n"/>
      <c r="K359">
        <f>IF(D359="","",UPPER(TRIM(C359))&amp;"|"&amp;UPPER(TRIM(D359)))</f>
        <v/>
      </c>
      <c r="L359">
        <f>IF(K359="","",IF(COUNTIF('GSTR-2B Data'!$J$5:$J$504,K359)=0,"Not in 2B — follow up",IF(ABS(SUMIF('GSTR-2B Data'!$J$5:$J$504,K359,'GSTR-2B Data'!$I$5:$I$504)-(F359+G359+H359))&gt;1,"Tax amount differs","Matched")))</f>
        <v/>
      </c>
    </row>
    <row r="360">
      <c r="A360" s="14" t="n"/>
      <c r="B360" s="11" t="n"/>
      <c r="C360" s="11" t="n"/>
      <c r="D360" s="11" t="n"/>
      <c r="E360" s="18" t="n"/>
      <c r="F360" s="18" t="n"/>
      <c r="G360" s="18" t="n"/>
      <c r="H360" s="18" t="n"/>
      <c r="I360" s="23">
        <f>IF(E360="","",E360+F360+G360+H360)</f>
        <v/>
      </c>
      <c r="J360" s="11" t="n"/>
      <c r="K360">
        <f>IF(D360="","",UPPER(TRIM(C360))&amp;"|"&amp;UPPER(TRIM(D360)))</f>
        <v/>
      </c>
      <c r="L360">
        <f>IF(K360="","",IF(COUNTIF('GSTR-2B Data'!$J$5:$J$504,K360)=0,"Not in 2B — follow up",IF(ABS(SUMIF('GSTR-2B Data'!$J$5:$J$504,K360,'GSTR-2B Data'!$I$5:$I$504)-(F360+G360+H360))&gt;1,"Tax amount differs","Matched")))</f>
        <v/>
      </c>
    </row>
    <row r="361">
      <c r="A361" s="14" t="n"/>
      <c r="B361" s="11" t="n"/>
      <c r="C361" s="11" t="n"/>
      <c r="D361" s="11" t="n"/>
      <c r="E361" s="18" t="n"/>
      <c r="F361" s="18" t="n"/>
      <c r="G361" s="18" t="n"/>
      <c r="H361" s="18" t="n"/>
      <c r="I361" s="23">
        <f>IF(E361="","",E361+F361+G361+H361)</f>
        <v/>
      </c>
      <c r="J361" s="11" t="n"/>
      <c r="K361">
        <f>IF(D361="","",UPPER(TRIM(C361))&amp;"|"&amp;UPPER(TRIM(D361)))</f>
        <v/>
      </c>
      <c r="L361">
        <f>IF(K361="","",IF(COUNTIF('GSTR-2B Data'!$J$5:$J$504,K361)=0,"Not in 2B — follow up",IF(ABS(SUMIF('GSTR-2B Data'!$J$5:$J$504,K361,'GSTR-2B Data'!$I$5:$I$504)-(F361+G361+H361))&gt;1,"Tax amount differs","Matched")))</f>
        <v/>
      </c>
    </row>
    <row r="362">
      <c r="A362" s="14" t="n"/>
      <c r="B362" s="11" t="n"/>
      <c r="C362" s="11" t="n"/>
      <c r="D362" s="11" t="n"/>
      <c r="E362" s="18" t="n"/>
      <c r="F362" s="18" t="n"/>
      <c r="G362" s="18" t="n"/>
      <c r="H362" s="18" t="n"/>
      <c r="I362" s="23">
        <f>IF(E362="","",E362+F362+G362+H362)</f>
        <v/>
      </c>
      <c r="J362" s="11" t="n"/>
      <c r="K362">
        <f>IF(D362="","",UPPER(TRIM(C362))&amp;"|"&amp;UPPER(TRIM(D362)))</f>
        <v/>
      </c>
      <c r="L362">
        <f>IF(K362="","",IF(COUNTIF('GSTR-2B Data'!$J$5:$J$504,K362)=0,"Not in 2B — follow up",IF(ABS(SUMIF('GSTR-2B Data'!$J$5:$J$504,K362,'GSTR-2B Data'!$I$5:$I$504)-(F362+G362+H362))&gt;1,"Tax amount differs","Matched")))</f>
        <v/>
      </c>
    </row>
    <row r="363">
      <c r="A363" s="14" t="n"/>
      <c r="B363" s="11" t="n"/>
      <c r="C363" s="11" t="n"/>
      <c r="D363" s="11" t="n"/>
      <c r="E363" s="18" t="n"/>
      <c r="F363" s="18" t="n"/>
      <c r="G363" s="18" t="n"/>
      <c r="H363" s="18" t="n"/>
      <c r="I363" s="23">
        <f>IF(E363="","",E363+F363+G363+H363)</f>
        <v/>
      </c>
      <c r="J363" s="11" t="n"/>
      <c r="K363">
        <f>IF(D363="","",UPPER(TRIM(C363))&amp;"|"&amp;UPPER(TRIM(D363)))</f>
        <v/>
      </c>
      <c r="L363">
        <f>IF(K363="","",IF(COUNTIF('GSTR-2B Data'!$J$5:$J$504,K363)=0,"Not in 2B — follow up",IF(ABS(SUMIF('GSTR-2B Data'!$J$5:$J$504,K363,'GSTR-2B Data'!$I$5:$I$504)-(F363+G363+H363))&gt;1,"Tax amount differs","Matched")))</f>
        <v/>
      </c>
    </row>
    <row r="364">
      <c r="A364" s="14" t="n"/>
      <c r="B364" s="11" t="n"/>
      <c r="C364" s="11" t="n"/>
      <c r="D364" s="11" t="n"/>
      <c r="E364" s="18" t="n"/>
      <c r="F364" s="18" t="n"/>
      <c r="G364" s="18" t="n"/>
      <c r="H364" s="18" t="n"/>
      <c r="I364" s="23">
        <f>IF(E364="","",E364+F364+G364+H364)</f>
        <v/>
      </c>
      <c r="J364" s="11" t="n"/>
      <c r="K364">
        <f>IF(D364="","",UPPER(TRIM(C364))&amp;"|"&amp;UPPER(TRIM(D364)))</f>
        <v/>
      </c>
      <c r="L364">
        <f>IF(K364="","",IF(COUNTIF('GSTR-2B Data'!$J$5:$J$504,K364)=0,"Not in 2B — follow up",IF(ABS(SUMIF('GSTR-2B Data'!$J$5:$J$504,K364,'GSTR-2B Data'!$I$5:$I$504)-(F364+G364+H364))&gt;1,"Tax amount differs","Matched")))</f>
        <v/>
      </c>
    </row>
    <row r="365">
      <c r="A365" s="14" t="n"/>
      <c r="B365" s="11" t="n"/>
      <c r="C365" s="11" t="n"/>
      <c r="D365" s="11" t="n"/>
      <c r="E365" s="18" t="n"/>
      <c r="F365" s="18" t="n"/>
      <c r="G365" s="18" t="n"/>
      <c r="H365" s="18" t="n"/>
      <c r="I365" s="23">
        <f>IF(E365="","",E365+F365+G365+H365)</f>
        <v/>
      </c>
      <c r="J365" s="11" t="n"/>
      <c r="K365">
        <f>IF(D365="","",UPPER(TRIM(C365))&amp;"|"&amp;UPPER(TRIM(D365)))</f>
        <v/>
      </c>
      <c r="L365">
        <f>IF(K365="","",IF(COUNTIF('GSTR-2B Data'!$J$5:$J$504,K365)=0,"Not in 2B — follow up",IF(ABS(SUMIF('GSTR-2B Data'!$J$5:$J$504,K365,'GSTR-2B Data'!$I$5:$I$504)-(F365+G365+H365))&gt;1,"Tax amount differs","Matched")))</f>
        <v/>
      </c>
    </row>
    <row r="366">
      <c r="A366" s="14" t="n"/>
      <c r="B366" s="11" t="n"/>
      <c r="C366" s="11" t="n"/>
      <c r="D366" s="11" t="n"/>
      <c r="E366" s="18" t="n"/>
      <c r="F366" s="18" t="n"/>
      <c r="G366" s="18" t="n"/>
      <c r="H366" s="18" t="n"/>
      <c r="I366" s="23">
        <f>IF(E366="","",E366+F366+G366+H366)</f>
        <v/>
      </c>
      <c r="J366" s="11" t="n"/>
      <c r="K366">
        <f>IF(D366="","",UPPER(TRIM(C366))&amp;"|"&amp;UPPER(TRIM(D366)))</f>
        <v/>
      </c>
      <c r="L366">
        <f>IF(K366="","",IF(COUNTIF('GSTR-2B Data'!$J$5:$J$504,K366)=0,"Not in 2B — follow up",IF(ABS(SUMIF('GSTR-2B Data'!$J$5:$J$504,K366,'GSTR-2B Data'!$I$5:$I$504)-(F366+G366+H366))&gt;1,"Tax amount differs","Matched")))</f>
        <v/>
      </c>
    </row>
    <row r="367">
      <c r="A367" s="14" t="n"/>
      <c r="B367" s="11" t="n"/>
      <c r="C367" s="11" t="n"/>
      <c r="D367" s="11" t="n"/>
      <c r="E367" s="18" t="n"/>
      <c r="F367" s="18" t="n"/>
      <c r="G367" s="18" t="n"/>
      <c r="H367" s="18" t="n"/>
      <c r="I367" s="23">
        <f>IF(E367="","",E367+F367+G367+H367)</f>
        <v/>
      </c>
      <c r="J367" s="11" t="n"/>
      <c r="K367">
        <f>IF(D367="","",UPPER(TRIM(C367))&amp;"|"&amp;UPPER(TRIM(D367)))</f>
        <v/>
      </c>
      <c r="L367">
        <f>IF(K367="","",IF(COUNTIF('GSTR-2B Data'!$J$5:$J$504,K367)=0,"Not in 2B — follow up",IF(ABS(SUMIF('GSTR-2B Data'!$J$5:$J$504,K367,'GSTR-2B Data'!$I$5:$I$504)-(F367+G367+H367))&gt;1,"Tax amount differs","Matched")))</f>
        <v/>
      </c>
    </row>
    <row r="368">
      <c r="A368" s="14" t="n"/>
      <c r="B368" s="11" t="n"/>
      <c r="C368" s="11" t="n"/>
      <c r="D368" s="11" t="n"/>
      <c r="E368" s="18" t="n"/>
      <c r="F368" s="18" t="n"/>
      <c r="G368" s="18" t="n"/>
      <c r="H368" s="18" t="n"/>
      <c r="I368" s="23">
        <f>IF(E368="","",E368+F368+G368+H368)</f>
        <v/>
      </c>
      <c r="J368" s="11" t="n"/>
      <c r="K368">
        <f>IF(D368="","",UPPER(TRIM(C368))&amp;"|"&amp;UPPER(TRIM(D368)))</f>
        <v/>
      </c>
      <c r="L368">
        <f>IF(K368="","",IF(COUNTIF('GSTR-2B Data'!$J$5:$J$504,K368)=0,"Not in 2B — follow up",IF(ABS(SUMIF('GSTR-2B Data'!$J$5:$J$504,K368,'GSTR-2B Data'!$I$5:$I$504)-(F368+G368+H368))&gt;1,"Tax amount differs","Matched")))</f>
        <v/>
      </c>
    </row>
    <row r="369">
      <c r="A369" s="14" t="n"/>
      <c r="B369" s="11" t="n"/>
      <c r="C369" s="11" t="n"/>
      <c r="D369" s="11" t="n"/>
      <c r="E369" s="18" t="n"/>
      <c r="F369" s="18" t="n"/>
      <c r="G369" s="18" t="n"/>
      <c r="H369" s="18" t="n"/>
      <c r="I369" s="23">
        <f>IF(E369="","",E369+F369+G369+H369)</f>
        <v/>
      </c>
      <c r="J369" s="11" t="n"/>
      <c r="K369">
        <f>IF(D369="","",UPPER(TRIM(C369))&amp;"|"&amp;UPPER(TRIM(D369)))</f>
        <v/>
      </c>
      <c r="L369">
        <f>IF(K369="","",IF(COUNTIF('GSTR-2B Data'!$J$5:$J$504,K369)=0,"Not in 2B — follow up",IF(ABS(SUMIF('GSTR-2B Data'!$J$5:$J$504,K369,'GSTR-2B Data'!$I$5:$I$504)-(F369+G369+H369))&gt;1,"Tax amount differs","Matched")))</f>
        <v/>
      </c>
    </row>
    <row r="370">
      <c r="A370" s="14" t="n"/>
      <c r="B370" s="11" t="n"/>
      <c r="C370" s="11" t="n"/>
      <c r="D370" s="11" t="n"/>
      <c r="E370" s="18" t="n"/>
      <c r="F370" s="18" t="n"/>
      <c r="G370" s="18" t="n"/>
      <c r="H370" s="18" t="n"/>
      <c r="I370" s="23">
        <f>IF(E370="","",E370+F370+G370+H370)</f>
        <v/>
      </c>
      <c r="J370" s="11" t="n"/>
      <c r="K370">
        <f>IF(D370="","",UPPER(TRIM(C370))&amp;"|"&amp;UPPER(TRIM(D370)))</f>
        <v/>
      </c>
      <c r="L370">
        <f>IF(K370="","",IF(COUNTIF('GSTR-2B Data'!$J$5:$J$504,K370)=0,"Not in 2B — follow up",IF(ABS(SUMIF('GSTR-2B Data'!$J$5:$J$504,K370,'GSTR-2B Data'!$I$5:$I$504)-(F370+G370+H370))&gt;1,"Tax amount differs","Matched")))</f>
        <v/>
      </c>
    </row>
    <row r="371">
      <c r="A371" s="14" t="n"/>
      <c r="B371" s="11" t="n"/>
      <c r="C371" s="11" t="n"/>
      <c r="D371" s="11" t="n"/>
      <c r="E371" s="18" t="n"/>
      <c r="F371" s="18" t="n"/>
      <c r="G371" s="18" t="n"/>
      <c r="H371" s="18" t="n"/>
      <c r="I371" s="23">
        <f>IF(E371="","",E371+F371+G371+H371)</f>
        <v/>
      </c>
      <c r="J371" s="11" t="n"/>
      <c r="K371">
        <f>IF(D371="","",UPPER(TRIM(C371))&amp;"|"&amp;UPPER(TRIM(D371)))</f>
        <v/>
      </c>
      <c r="L371">
        <f>IF(K371="","",IF(COUNTIF('GSTR-2B Data'!$J$5:$J$504,K371)=0,"Not in 2B — follow up",IF(ABS(SUMIF('GSTR-2B Data'!$J$5:$J$504,K371,'GSTR-2B Data'!$I$5:$I$504)-(F371+G371+H371))&gt;1,"Tax amount differs","Matched")))</f>
        <v/>
      </c>
    </row>
    <row r="372">
      <c r="A372" s="14" t="n"/>
      <c r="B372" s="11" t="n"/>
      <c r="C372" s="11" t="n"/>
      <c r="D372" s="11" t="n"/>
      <c r="E372" s="18" t="n"/>
      <c r="F372" s="18" t="n"/>
      <c r="G372" s="18" t="n"/>
      <c r="H372" s="18" t="n"/>
      <c r="I372" s="23">
        <f>IF(E372="","",E372+F372+G372+H372)</f>
        <v/>
      </c>
      <c r="J372" s="11" t="n"/>
      <c r="K372">
        <f>IF(D372="","",UPPER(TRIM(C372))&amp;"|"&amp;UPPER(TRIM(D372)))</f>
        <v/>
      </c>
      <c r="L372">
        <f>IF(K372="","",IF(COUNTIF('GSTR-2B Data'!$J$5:$J$504,K372)=0,"Not in 2B — follow up",IF(ABS(SUMIF('GSTR-2B Data'!$J$5:$J$504,K372,'GSTR-2B Data'!$I$5:$I$504)-(F372+G372+H372))&gt;1,"Tax amount differs","Matched")))</f>
        <v/>
      </c>
    </row>
    <row r="373">
      <c r="A373" s="14" t="n"/>
      <c r="B373" s="11" t="n"/>
      <c r="C373" s="11" t="n"/>
      <c r="D373" s="11" t="n"/>
      <c r="E373" s="18" t="n"/>
      <c r="F373" s="18" t="n"/>
      <c r="G373" s="18" t="n"/>
      <c r="H373" s="18" t="n"/>
      <c r="I373" s="23">
        <f>IF(E373="","",E373+F373+G373+H373)</f>
        <v/>
      </c>
      <c r="J373" s="11" t="n"/>
      <c r="K373">
        <f>IF(D373="","",UPPER(TRIM(C373))&amp;"|"&amp;UPPER(TRIM(D373)))</f>
        <v/>
      </c>
      <c r="L373">
        <f>IF(K373="","",IF(COUNTIF('GSTR-2B Data'!$J$5:$J$504,K373)=0,"Not in 2B — follow up",IF(ABS(SUMIF('GSTR-2B Data'!$J$5:$J$504,K373,'GSTR-2B Data'!$I$5:$I$504)-(F373+G373+H373))&gt;1,"Tax amount differs","Matched")))</f>
        <v/>
      </c>
    </row>
    <row r="374">
      <c r="A374" s="14" t="n"/>
      <c r="B374" s="11" t="n"/>
      <c r="C374" s="11" t="n"/>
      <c r="D374" s="11" t="n"/>
      <c r="E374" s="18" t="n"/>
      <c r="F374" s="18" t="n"/>
      <c r="G374" s="18" t="n"/>
      <c r="H374" s="18" t="n"/>
      <c r="I374" s="23">
        <f>IF(E374="","",E374+F374+G374+H374)</f>
        <v/>
      </c>
      <c r="J374" s="11" t="n"/>
      <c r="K374">
        <f>IF(D374="","",UPPER(TRIM(C374))&amp;"|"&amp;UPPER(TRIM(D374)))</f>
        <v/>
      </c>
      <c r="L374">
        <f>IF(K374="","",IF(COUNTIF('GSTR-2B Data'!$J$5:$J$504,K374)=0,"Not in 2B — follow up",IF(ABS(SUMIF('GSTR-2B Data'!$J$5:$J$504,K374,'GSTR-2B Data'!$I$5:$I$504)-(F374+G374+H374))&gt;1,"Tax amount differs","Matched")))</f>
        <v/>
      </c>
    </row>
    <row r="375">
      <c r="A375" s="14" t="n"/>
      <c r="B375" s="11" t="n"/>
      <c r="C375" s="11" t="n"/>
      <c r="D375" s="11" t="n"/>
      <c r="E375" s="18" t="n"/>
      <c r="F375" s="18" t="n"/>
      <c r="G375" s="18" t="n"/>
      <c r="H375" s="18" t="n"/>
      <c r="I375" s="23">
        <f>IF(E375="","",E375+F375+G375+H375)</f>
        <v/>
      </c>
      <c r="J375" s="11" t="n"/>
      <c r="K375">
        <f>IF(D375="","",UPPER(TRIM(C375))&amp;"|"&amp;UPPER(TRIM(D375)))</f>
        <v/>
      </c>
      <c r="L375">
        <f>IF(K375="","",IF(COUNTIF('GSTR-2B Data'!$J$5:$J$504,K375)=0,"Not in 2B — follow up",IF(ABS(SUMIF('GSTR-2B Data'!$J$5:$J$504,K375,'GSTR-2B Data'!$I$5:$I$504)-(F375+G375+H375))&gt;1,"Tax amount differs","Matched")))</f>
        <v/>
      </c>
    </row>
    <row r="376">
      <c r="A376" s="14" t="n"/>
      <c r="B376" s="11" t="n"/>
      <c r="C376" s="11" t="n"/>
      <c r="D376" s="11" t="n"/>
      <c r="E376" s="18" t="n"/>
      <c r="F376" s="18" t="n"/>
      <c r="G376" s="18" t="n"/>
      <c r="H376" s="18" t="n"/>
      <c r="I376" s="23">
        <f>IF(E376="","",E376+F376+G376+H376)</f>
        <v/>
      </c>
      <c r="J376" s="11" t="n"/>
      <c r="K376">
        <f>IF(D376="","",UPPER(TRIM(C376))&amp;"|"&amp;UPPER(TRIM(D376)))</f>
        <v/>
      </c>
      <c r="L376">
        <f>IF(K376="","",IF(COUNTIF('GSTR-2B Data'!$J$5:$J$504,K376)=0,"Not in 2B — follow up",IF(ABS(SUMIF('GSTR-2B Data'!$J$5:$J$504,K376,'GSTR-2B Data'!$I$5:$I$504)-(F376+G376+H376))&gt;1,"Tax amount differs","Matched")))</f>
        <v/>
      </c>
    </row>
    <row r="377">
      <c r="A377" s="14" t="n"/>
      <c r="B377" s="11" t="n"/>
      <c r="C377" s="11" t="n"/>
      <c r="D377" s="11" t="n"/>
      <c r="E377" s="18" t="n"/>
      <c r="F377" s="18" t="n"/>
      <c r="G377" s="18" t="n"/>
      <c r="H377" s="18" t="n"/>
      <c r="I377" s="23">
        <f>IF(E377="","",E377+F377+G377+H377)</f>
        <v/>
      </c>
      <c r="J377" s="11" t="n"/>
      <c r="K377">
        <f>IF(D377="","",UPPER(TRIM(C377))&amp;"|"&amp;UPPER(TRIM(D377)))</f>
        <v/>
      </c>
      <c r="L377">
        <f>IF(K377="","",IF(COUNTIF('GSTR-2B Data'!$J$5:$J$504,K377)=0,"Not in 2B — follow up",IF(ABS(SUMIF('GSTR-2B Data'!$J$5:$J$504,K377,'GSTR-2B Data'!$I$5:$I$504)-(F377+G377+H377))&gt;1,"Tax amount differs","Matched")))</f>
        <v/>
      </c>
    </row>
    <row r="378">
      <c r="A378" s="14" t="n"/>
      <c r="B378" s="11" t="n"/>
      <c r="C378" s="11" t="n"/>
      <c r="D378" s="11" t="n"/>
      <c r="E378" s="18" t="n"/>
      <c r="F378" s="18" t="n"/>
      <c r="G378" s="18" t="n"/>
      <c r="H378" s="18" t="n"/>
      <c r="I378" s="23">
        <f>IF(E378="","",E378+F378+G378+H378)</f>
        <v/>
      </c>
      <c r="J378" s="11" t="n"/>
      <c r="K378">
        <f>IF(D378="","",UPPER(TRIM(C378))&amp;"|"&amp;UPPER(TRIM(D378)))</f>
        <v/>
      </c>
      <c r="L378">
        <f>IF(K378="","",IF(COUNTIF('GSTR-2B Data'!$J$5:$J$504,K378)=0,"Not in 2B — follow up",IF(ABS(SUMIF('GSTR-2B Data'!$J$5:$J$504,K378,'GSTR-2B Data'!$I$5:$I$504)-(F378+G378+H378))&gt;1,"Tax amount differs","Matched")))</f>
        <v/>
      </c>
    </row>
    <row r="379">
      <c r="A379" s="14" t="n"/>
      <c r="B379" s="11" t="n"/>
      <c r="C379" s="11" t="n"/>
      <c r="D379" s="11" t="n"/>
      <c r="E379" s="18" t="n"/>
      <c r="F379" s="18" t="n"/>
      <c r="G379" s="18" t="n"/>
      <c r="H379" s="18" t="n"/>
      <c r="I379" s="23">
        <f>IF(E379="","",E379+F379+G379+H379)</f>
        <v/>
      </c>
      <c r="J379" s="11" t="n"/>
      <c r="K379">
        <f>IF(D379="","",UPPER(TRIM(C379))&amp;"|"&amp;UPPER(TRIM(D379)))</f>
        <v/>
      </c>
      <c r="L379">
        <f>IF(K379="","",IF(COUNTIF('GSTR-2B Data'!$J$5:$J$504,K379)=0,"Not in 2B — follow up",IF(ABS(SUMIF('GSTR-2B Data'!$J$5:$J$504,K379,'GSTR-2B Data'!$I$5:$I$504)-(F379+G379+H379))&gt;1,"Tax amount differs","Matched")))</f>
        <v/>
      </c>
    </row>
    <row r="380">
      <c r="A380" s="14" t="n"/>
      <c r="B380" s="11" t="n"/>
      <c r="C380" s="11" t="n"/>
      <c r="D380" s="11" t="n"/>
      <c r="E380" s="18" t="n"/>
      <c r="F380" s="18" t="n"/>
      <c r="G380" s="18" t="n"/>
      <c r="H380" s="18" t="n"/>
      <c r="I380" s="23">
        <f>IF(E380="","",E380+F380+G380+H380)</f>
        <v/>
      </c>
      <c r="J380" s="11" t="n"/>
      <c r="K380">
        <f>IF(D380="","",UPPER(TRIM(C380))&amp;"|"&amp;UPPER(TRIM(D380)))</f>
        <v/>
      </c>
      <c r="L380">
        <f>IF(K380="","",IF(COUNTIF('GSTR-2B Data'!$J$5:$J$504,K380)=0,"Not in 2B — follow up",IF(ABS(SUMIF('GSTR-2B Data'!$J$5:$J$504,K380,'GSTR-2B Data'!$I$5:$I$504)-(F380+G380+H380))&gt;1,"Tax amount differs","Matched")))</f>
        <v/>
      </c>
    </row>
    <row r="381">
      <c r="A381" s="14" t="n"/>
      <c r="B381" s="11" t="n"/>
      <c r="C381" s="11" t="n"/>
      <c r="D381" s="11" t="n"/>
      <c r="E381" s="18" t="n"/>
      <c r="F381" s="18" t="n"/>
      <c r="G381" s="18" t="n"/>
      <c r="H381" s="18" t="n"/>
      <c r="I381" s="23">
        <f>IF(E381="","",E381+F381+G381+H381)</f>
        <v/>
      </c>
      <c r="J381" s="11" t="n"/>
      <c r="K381">
        <f>IF(D381="","",UPPER(TRIM(C381))&amp;"|"&amp;UPPER(TRIM(D381)))</f>
        <v/>
      </c>
      <c r="L381">
        <f>IF(K381="","",IF(COUNTIF('GSTR-2B Data'!$J$5:$J$504,K381)=0,"Not in 2B — follow up",IF(ABS(SUMIF('GSTR-2B Data'!$J$5:$J$504,K381,'GSTR-2B Data'!$I$5:$I$504)-(F381+G381+H381))&gt;1,"Tax amount differs","Matched")))</f>
        <v/>
      </c>
    </row>
    <row r="382">
      <c r="A382" s="14" t="n"/>
      <c r="B382" s="11" t="n"/>
      <c r="C382" s="11" t="n"/>
      <c r="D382" s="11" t="n"/>
      <c r="E382" s="18" t="n"/>
      <c r="F382" s="18" t="n"/>
      <c r="G382" s="18" t="n"/>
      <c r="H382" s="18" t="n"/>
      <c r="I382" s="23">
        <f>IF(E382="","",E382+F382+G382+H382)</f>
        <v/>
      </c>
      <c r="J382" s="11" t="n"/>
      <c r="K382">
        <f>IF(D382="","",UPPER(TRIM(C382))&amp;"|"&amp;UPPER(TRIM(D382)))</f>
        <v/>
      </c>
      <c r="L382">
        <f>IF(K382="","",IF(COUNTIF('GSTR-2B Data'!$J$5:$J$504,K382)=0,"Not in 2B — follow up",IF(ABS(SUMIF('GSTR-2B Data'!$J$5:$J$504,K382,'GSTR-2B Data'!$I$5:$I$504)-(F382+G382+H382))&gt;1,"Tax amount differs","Matched")))</f>
        <v/>
      </c>
    </row>
    <row r="383">
      <c r="A383" s="14" t="n"/>
      <c r="B383" s="11" t="n"/>
      <c r="C383" s="11" t="n"/>
      <c r="D383" s="11" t="n"/>
      <c r="E383" s="18" t="n"/>
      <c r="F383" s="18" t="n"/>
      <c r="G383" s="18" t="n"/>
      <c r="H383" s="18" t="n"/>
      <c r="I383" s="23">
        <f>IF(E383="","",E383+F383+G383+H383)</f>
        <v/>
      </c>
      <c r="J383" s="11" t="n"/>
      <c r="K383">
        <f>IF(D383="","",UPPER(TRIM(C383))&amp;"|"&amp;UPPER(TRIM(D383)))</f>
        <v/>
      </c>
      <c r="L383">
        <f>IF(K383="","",IF(COUNTIF('GSTR-2B Data'!$J$5:$J$504,K383)=0,"Not in 2B — follow up",IF(ABS(SUMIF('GSTR-2B Data'!$J$5:$J$504,K383,'GSTR-2B Data'!$I$5:$I$504)-(F383+G383+H383))&gt;1,"Tax amount differs","Matched")))</f>
        <v/>
      </c>
    </row>
    <row r="384">
      <c r="A384" s="14" t="n"/>
      <c r="B384" s="11" t="n"/>
      <c r="C384" s="11" t="n"/>
      <c r="D384" s="11" t="n"/>
      <c r="E384" s="18" t="n"/>
      <c r="F384" s="18" t="n"/>
      <c r="G384" s="18" t="n"/>
      <c r="H384" s="18" t="n"/>
      <c r="I384" s="23">
        <f>IF(E384="","",E384+F384+G384+H384)</f>
        <v/>
      </c>
      <c r="J384" s="11" t="n"/>
      <c r="K384">
        <f>IF(D384="","",UPPER(TRIM(C384))&amp;"|"&amp;UPPER(TRIM(D384)))</f>
        <v/>
      </c>
      <c r="L384">
        <f>IF(K384="","",IF(COUNTIF('GSTR-2B Data'!$J$5:$J$504,K384)=0,"Not in 2B — follow up",IF(ABS(SUMIF('GSTR-2B Data'!$J$5:$J$504,K384,'GSTR-2B Data'!$I$5:$I$504)-(F384+G384+H384))&gt;1,"Tax amount differs","Matched")))</f>
        <v/>
      </c>
    </row>
    <row r="385">
      <c r="A385" s="14" t="n"/>
      <c r="B385" s="11" t="n"/>
      <c r="C385" s="11" t="n"/>
      <c r="D385" s="11" t="n"/>
      <c r="E385" s="18" t="n"/>
      <c r="F385" s="18" t="n"/>
      <c r="G385" s="18" t="n"/>
      <c r="H385" s="18" t="n"/>
      <c r="I385" s="23">
        <f>IF(E385="","",E385+F385+G385+H385)</f>
        <v/>
      </c>
      <c r="J385" s="11" t="n"/>
      <c r="K385">
        <f>IF(D385="","",UPPER(TRIM(C385))&amp;"|"&amp;UPPER(TRIM(D385)))</f>
        <v/>
      </c>
      <c r="L385">
        <f>IF(K385="","",IF(COUNTIF('GSTR-2B Data'!$J$5:$J$504,K385)=0,"Not in 2B — follow up",IF(ABS(SUMIF('GSTR-2B Data'!$J$5:$J$504,K385,'GSTR-2B Data'!$I$5:$I$504)-(F385+G385+H385))&gt;1,"Tax amount differs","Matched")))</f>
        <v/>
      </c>
    </row>
    <row r="386">
      <c r="A386" s="14" t="n"/>
      <c r="B386" s="11" t="n"/>
      <c r="C386" s="11" t="n"/>
      <c r="D386" s="11" t="n"/>
      <c r="E386" s="18" t="n"/>
      <c r="F386" s="18" t="n"/>
      <c r="G386" s="18" t="n"/>
      <c r="H386" s="18" t="n"/>
      <c r="I386" s="23">
        <f>IF(E386="","",E386+F386+G386+H386)</f>
        <v/>
      </c>
      <c r="J386" s="11" t="n"/>
      <c r="K386">
        <f>IF(D386="","",UPPER(TRIM(C386))&amp;"|"&amp;UPPER(TRIM(D386)))</f>
        <v/>
      </c>
      <c r="L386">
        <f>IF(K386="","",IF(COUNTIF('GSTR-2B Data'!$J$5:$J$504,K386)=0,"Not in 2B — follow up",IF(ABS(SUMIF('GSTR-2B Data'!$J$5:$J$504,K386,'GSTR-2B Data'!$I$5:$I$504)-(F386+G386+H386))&gt;1,"Tax amount differs","Matched")))</f>
        <v/>
      </c>
    </row>
    <row r="387">
      <c r="A387" s="14" t="n"/>
      <c r="B387" s="11" t="n"/>
      <c r="C387" s="11" t="n"/>
      <c r="D387" s="11" t="n"/>
      <c r="E387" s="18" t="n"/>
      <c r="F387" s="18" t="n"/>
      <c r="G387" s="18" t="n"/>
      <c r="H387" s="18" t="n"/>
      <c r="I387" s="23">
        <f>IF(E387="","",E387+F387+G387+H387)</f>
        <v/>
      </c>
      <c r="J387" s="11" t="n"/>
      <c r="K387">
        <f>IF(D387="","",UPPER(TRIM(C387))&amp;"|"&amp;UPPER(TRIM(D387)))</f>
        <v/>
      </c>
      <c r="L387">
        <f>IF(K387="","",IF(COUNTIF('GSTR-2B Data'!$J$5:$J$504,K387)=0,"Not in 2B — follow up",IF(ABS(SUMIF('GSTR-2B Data'!$J$5:$J$504,K387,'GSTR-2B Data'!$I$5:$I$504)-(F387+G387+H387))&gt;1,"Tax amount differs","Matched")))</f>
        <v/>
      </c>
    </row>
    <row r="388">
      <c r="A388" s="14" t="n"/>
      <c r="B388" s="11" t="n"/>
      <c r="C388" s="11" t="n"/>
      <c r="D388" s="11" t="n"/>
      <c r="E388" s="18" t="n"/>
      <c r="F388" s="18" t="n"/>
      <c r="G388" s="18" t="n"/>
      <c r="H388" s="18" t="n"/>
      <c r="I388" s="23">
        <f>IF(E388="","",E388+F388+G388+H388)</f>
        <v/>
      </c>
      <c r="J388" s="11" t="n"/>
      <c r="K388">
        <f>IF(D388="","",UPPER(TRIM(C388))&amp;"|"&amp;UPPER(TRIM(D388)))</f>
        <v/>
      </c>
      <c r="L388">
        <f>IF(K388="","",IF(COUNTIF('GSTR-2B Data'!$J$5:$J$504,K388)=0,"Not in 2B — follow up",IF(ABS(SUMIF('GSTR-2B Data'!$J$5:$J$504,K388,'GSTR-2B Data'!$I$5:$I$504)-(F388+G388+H388))&gt;1,"Tax amount differs","Matched")))</f>
        <v/>
      </c>
    </row>
    <row r="389">
      <c r="A389" s="14" t="n"/>
      <c r="B389" s="11" t="n"/>
      <c r="C389" s="11" t="n"/>
      <c r="D389" s="11" t="n"/>
      <c r="E389" s="18" t="n"/>
      <c r="F389" s="18" t="n"/>
      <c r="G389" s="18" t="n"/>
      <c r="H389" s="18" t="n"/>
      <c r="I389" s="23">
        <f>IF(E389="","",E389+F389+G389+H389)</f>
        <v/>
      </c>
      <c r="J389" s="11" t="n"/>
      <c r="K389">
        <f>IF(D389="","",UPPER(TRIM(C389))&amp;"|"&amp;UPPER(TRIM(D389)))</f>
        <v/>
      </c>
      <c r="L389">
        <f>IF(K389="","",IF(COUNTIF('GSTR-2B Data'!$J$5:$J$504,K389)=0,"Not in 2B — follow up",IF(ABS(SUMIF('GSTR-2B Data'!$J$5:$J$504,K389,'GSTR-2B Data'!$I$5:$I$504)-(F389+G389+H389))&gt;1,"Tax amount differs","Matched")))</f>
        <v/>
      </c>
    </row>
    <row r="390">
      <c r="A390" s="14" t="n"/>
      <c r="B390" s="11" t="n"/>
      <c r="C390" s="11" t="n"/>
      <c r="D390" s="11" t="n"/>
      <c r="E390" s="18" t="n"/>
      <c r="F390" s="18" t="n"/>
      <c r="G390" s="18" t="n"/>
      <c r="H390" s="18" t="n"/>
      <c r="I390" s="23">
        <f>IF(E390="","",E390+F390+G390+H390)</f>
        <v/>
      </c>
      <c r="J390" s="11" t="n"/>
      <c r="K390">
        <f>IF(D390="","",UPPER(TRIM(C390))&amp;"|"&amp;UPPER(TRIM(D390)))</f>
        <v/>
      </c>
      <c r="L390">
        <f>IF(K390="","",IF(COUNTIF('GSTR-2B Data'!$J$5:$J$504,K390)=0,"Not in 2B — follow up",IF(ABS(SUMIF('GSTR-2B Data'!$J$5:$J$504,K390,'GSTR-2B Data'!$I$5:$I$504)-(F390+G390+H390))&gt;1,"Tax amount differs","Matched")))</f>
        <v/>
      </c>
    </row>
    <row r="391">
      <c r="A391" s="14" t="n"/>
      <c r="B391" s="11" t="n"/>
      <c r="C391" s="11" t="n"/>
      <c r="D391" s="11" t="n"/>
      <c r="E391" s="18" t="n"/>
      <c r="F391" s="18" t="n"/>
      <c r="G391" s="18" t="n"/>
      <c r="H391" s="18" t="n"/>
      <c r="I391" s="23">
        <f>IF(E391="","",E391+F391+G391+H391)</f>
        <v/>
      </c>
      <c r="J391" s="11" t="n"/>
      <c r="K391">
        <f>IF(D391="","",UPPER(TRIM(C391))&amp;"|"&amp;UPPER(TRIM(D391)))</f>
        <v/>
      </c>
      <c r="L391">
        <f>IF(K391="","",IF(COUNTIF('GSTR-2B Data'!$J$5:$J$504,K391)=0,"Not in 2B — follow up",IF(ABS(SUMIF('GSTR-2B Data'!$J$5:$J$504,K391,'GSTR-2B Data'!$I$5:$I$504)-(F391+G391+H391))&gt;1,"Tax amount differs","Matched")))</f>
        <v/>
      </c>
    </row>
    <row r="392">
      <c r="A392" s="14" t="n"/>
      <c r="B392" s="11" t="n"/>
      <c r="C392" s="11" t="n"/>
      <c r="D392" s="11" t="n"/>
      <c r="E392" s="18" t="n"/>
      <c r="F392" s="18" t="n"/>
      <c r="G392" s="18" t="n"/>
      <c r="H392" s="18" t="n"/>
      <c r="I392" s="23">
        <f>IF(E392="","",E392+F392+G392+H392)</f>
        <v/>
      </c>
      <c r="J392" s="11" t="n"/>
      <c r="K392">
        <f>IF(D392="","",UPPER(TRIM(C392))&amp;"|"&amp;UPPER(TRIM(D392)))</f>
        <v/>
      </c>
      <c r="L392">
        <f>IF(K392="","",IF(COUNTIF('GSTR-2B Data'!$J$5:$J$504,K392)=0,"Not in 2B — follow up",IF(ABS(SUMIF('GSTR-2B Data'!$J$5:$J$504,K392,'GSTR-2B Data'!$I$5:$I$504)-(F392+G392+H392))&gt;1,"Tax amount differs","Matched")))</f>
        <v/>
      </c>
    </row>
    <row r="393">
      <c r="A393" s="14" t="n"/>
      <c r="B393" s="11" t="n"/>
      <c r="C393" s="11" t="n"/>
      <c r="D393" s="11" t="n"/>
      <c r="E393" s="18" t="n"/>
      <c r="F393" s="18" t="n"/>
      <c r="G393" s="18" t="n"/>
      <c r="H393" s="18" t="n"/>
      <c r="I393" s="23">
        <f>IF(E393="","",E393+F393+G393+H393)</f>
        <v/>
      </c>
      <c r="J393" s="11" t="n"/>
      <c r="K393">
        <f>IF(D393="","",UPPER(TRIM(C393))&amp;"|"&amp;UPPER(TRIM(D393)))</f>
        <v/>
      </c>
      <c r="L393">
        <f>IF(K393="","",IF(COUNTIF('GSTR-2B Data'!$J$5:$J$504,K393)=0,"Not in 2B — follow up",IF(ABS(SUMIF('GSTR-2B Data'!$J$5:$J$504,K393,'GSTR-2B Data'!$I$5:$I$504)-(F393+G393+H393))&gt;1,"Tax amount differs","Matched")))</f>
        <v/>
      </c>
    </row>
    <row r="394">
      <c r="A394" s="14" t="n"/>
      <c r="B394" s="11" t="n"/>
      <c r="C394" s="11" t="n"/>
      <c r="D394" s="11" t="n"/>
      <c r="E394" s="18" t="n"/>
      <c r="F394" s="18" t="n"/>
      <c r="G394" s="18" t="n"/>
      <c r="H394" s="18" t="n"/>
      <c r="I394" s="23">
        <f>IF(E394="","",E394+F394+G394+H394)</f>
        <v/>
      </c>
      <c r="J394" s="11" t="n"/>
      <c r="K394">
        <f>IF(D394="","",UPPER(TRIM(C394))&amp;"|"&amp;UPPER(TRIM(D394)))</f>
        <v/>
      </c>
      <c r="L394">
        <f>IF(K394="","",IF(COUNTIF('GSTR-2B Data'!$J$5:$J$504,K394)=0,"Not in 2B — follow up",IF(ABS(SUMIF('GSTR-2B Data'!$J$5:$J$504,K394,'GSTR-2B Data'!$I$5:$I$504)-(F394+G394+H394))&gt;1,"Tax amount differs","Matched")))</f>
        <v/>
      </c>
    </row>
    <row r="395">
      <c r="A395" s="14" t="n"/>
      <c r="B395" s="11" t="n"/>
      <c r="C395" s="11" t="n"/>
      <c r="D395" s="11" t="n"/>
      <c r="E395" s="18" t="n"/>
      <c r="F395" s="18" t="n"/>
      <c r="G395" s="18" t="n"/>
      <c r="H395" s="18" t="n"/>
      <c r="I395" s="23">
        <f>IF(E395="","",E395+F395+G395+H395)</f>
        <v/>
      </c>
      <c r="J395" s="11" t="n"/>
      <c r="K395">
        <f>IF(D395="","",UPPER(TRIM(C395))&amp;"|"&amp;UPPER(TRIM(D395)))</f>
        <v/>
      </c>
      <c r="L395">
        <f>IF(K395="","",IF(COUNTIF('GSTR-2B Data'!$J$5:$J$504,K395)=0,"Not in 2B — follow up",IF(ABS(SUMIF('GSTR-2B Data'!$J$5:$J$504,K395,'GSTR-2B Data'!$I$5:$I$504)-(F395+G395+H395))&gt;1,"Tax amount differs","Matched")))</f>
        <v/>
      </c>
    </row>
    <row r="396">
      <c r="A396" s="14" t="n"/>
      <c r="B396" s="11" t="n"/>
      <c r="C396" s="11" t="n"/>
      <c r="D396" s="11" t="n"/>
      <c r="E396" s="18" t="n"/>
      <c r="F396" s="18" t="n"/>
      <c r="G396" s="18" t="n"/>
      <c r="H396" s="18" t="n"/>
      <c r="I396" s="23">
        <f>IF(E396="","",E396+F396+G396+H396)</f>
        <v/>
      </c>
      <c r="J396" s="11" t="n"/>
      <c r="K396">
        <f>IF(D396="","",UPPER(TRIM(C396))&amp;"|"&amp;UPPER(TRIM(D396)))</f>
        <v/>
      </c>
      <c r="L396">
        <f>IF(K396="","",IF(COUNTIF('GSTR-2B Data'!$J$5:$J$504,K396)=0,"Not in 2B — follow up",IF(ABS(SUMIF('GSTR-2B Data'!$J$5:$J$504,K396,'GSTR-2B Data'!$I$5:$I$504)-(F396+G396+H396))&gt;1,"Tax amount differs","Matched")))</f>
        <v/>
      </c>
    </row>
    <row r="397">
      <c r="A397" s="14" t="n"/>
      <c r="B397" s="11" t="n"/>
      <c r="C397" s="11" t="n"/>
      <c r="D397" s="11" t="n"/>
      <c r="E397" s="18" t="n"/>
      <c r="F397" s="18" t="n"/>
      <c r="G397" s="18" t="n"/>
      <c r="H397" s="18" t="n"/>
      <c r="I397" s="23">
        <f>IF(E397="","",E397+F397+G397+H397)</f>
        <v/>
      </c>
      <c r="J397" s="11" t="n"/>
      <c r="K397">
        <f>IF(D397="","",UPPER(TRIM(C397))&amp;"|"&amp;UPPER(TRIM(D397)))</f>
        <v/>
      </c>
      <c r="L397">
        <f>IF(K397="","",IF(COUNTIF('GSTR-2B Data'!$J$5:$J$504,K397)=0,"Not in 2B — follow up",IF(ABS(SUMIF('GSTR-2B Data'!$J$5:$J$504,K397,'GSTR-2B Data'!$I$5:$I$504)-(F397+G397+H397))&gt;1,"Tax amount differs","Matched")))</f>
        <v/>
      </c>
    </row>
    <row r="398">
      <c r="A398" s="14" t="n"/>
      <c r="B398" s="11" t="n"/>
      <c r="C398" s="11" t="n"/>
      <c r="D398" s="11" t="n"/>
      <c r="E398" s="18" t="n"/>
      <c r="F398" s="18" t="n"/>
      <c r="G398" s="18" t="n"/>
      <c r="H398" s="18" t="n"/>
      <c r="I398" s="23">
        <f>IF(E398="","",E398+F398+G398+H398)</f>
        <v/>
      </c>
      <c r="J398" s="11" t="n"/>
      <c r="K398">
        <f>IF(D398="","",UPPER(TRIM(C398))&amp;"|"&amp;UPPER(TRIM(D398)))</f>
        <v/>
      </c>
      <c r="L398">
        <f>IF(K398="","",IF(COUNTIF('GSTR-2B Data'!$J$5:$J$504,K398)=0,"Not in 2B — follow up",IF(ABS(SUMIF('GSTR-2B Data'!$J$5:$J$504,K398,'GSTR-2B Data'!$I$5:$I$504)-(F398+G398+H398))&gt;1,"Tax amount differs","Matched")))</f>
        <v/>
      </c>
    </row>
    <row r="399">
      <c r="A399" s="14" t="n"/>
      <c r="B399" s="11" t="n"/>
      <c r="C399" s="11" t="n"/>
      <c r="D399" s="11" t="n"/>
      <c r="E399" s="18" t="n"/>
      <c r="F399" s="18" t="n"/>
      <c r="G399" s="18" t="n"/>
      <c r="H399" s="18" t="n"/>
      <c r="I399" s="23">
        <f>IF(E399="","",E399+F399+G399+H399)</f>
        <v/>
      </c>
      <c r="J399" s="11" t="n"/>
      <c r="K399">
        <f>IF(D399="","",UPPER(TRIM(C399))&amp;"|"&amp;UPPER(TRIM(D399)))</f>
        <v/>
      </c>
      <c r="L399">
        <f>IF(K399="","",IF(COUNTIF('GSTR-2B Data'!$J$5:$J$504,K399)=0,"Not in 2B — follow up",IF(ABS(SUMIF('GSTR-2B Data'!$J$5:$J$504,K399,'GSTR-2B Data'!$I$5:$I$504)-(F399+G399+H399))&gt;1,"Tax amount differs","Matched")))</f>
        <v/>
      </c>
    </row>
    <row r="400">
      <c r="A400" s="14" t="n"/>
      <c r="B400" s="11" t="n"/>
      <c r="C400" s="11" t="n"/>
      <c r="D400" s="11" t="n"/>
      <c r="E400" s="18" t="n"/>
      <c r="F400" s="18" t="n"/>
      <c r="G400" s="18" t="n"/>
      <c r="H400" s="18" t="n"/>
      <c r="I400" s="23">
        <f>IF(E400="","",E400+F400+G400+H400)</f>
        <v/>
      </c>
      <c r="J400" s="11" t="n"/>
      <c r="K400">
        <f>IF(D400="","",UPPER(TRIM(C400))&amp;"|"&amp;UPPER(TRIM(D400)))</f>
        <v/>
      </c>
      <c r="L400">
        <f>IF(K400="","",IF(COUNTIF('GSTR-2B Data'!$J$5:$J$504,K400)=0,"Not in 2B — follow up",IF(ABS(SUMIF('GSTR-2B Data'!$J$5:$J$504,K400,'GSTR-2B Data'!$I$5:$I$504)-(F400+G400+H400))&gt;1,"Tax amount differs","Matched")))</f>
        <v/>
      </c>
    </row>
    <row r="401">
      <c r="A401" s="14" t="n"/>
      <c r="B401" s="11" t="n"/>
      <c r="C401" s="11" t="n"/>
      <c r="D401" s="11" t="n"/>
      <c r="E401" s="18" t="n"/>
      <c r="F401" s="18" t="n"/>
      <c r="G401" s="18" t="n"/>
      <c r="H401" s="18" t="n"/>
      <c r="I401" s="23">
        <f>IF(E401="","",E401+F401+G401+H401)</f>
        <v/>
      </c>
      <c r="J401" s="11" t="n"/>
      <c r="K401">
        <f>IF(D401="","",UPPER(TRIM(C401))&amp;"|"&amp;UPPER(TRIM(D401)))</f>
        <v/>
      </c>
      <c r="L401">
        <f>IF(K401="","",IF(COUNTIF('GSTR-2B Data'!$J$5:$J$504,K401)=0,"Not in 2B — follow up",IF(ABS(SUMIF('GSTR-2B Data'!$J$5:$J$504,K401,'GSTR-2B Data'!$I$5:$I$504)-(F401+G401+H401))&gt;1,"Tax amount differs","Matched")))</f>
        <v/>
      </c>
    </row>
    <row r="402">
      <c r="A402" s="14" t="n"/>
      <c r="B402" s="11" t="n"/>
      <c r="C402" s="11" t="n"/>
      <c r="D402" s="11" t="n"/>
      <c r="E402" s="18" t="n"/>
      <c r="F402" s="18" t="n"/>
      <c r="G402" s="18" t="n"/>
      <c r="H402" s="18" t="n"/>
      <c r="I402" s="23">
        <f>IF(E402="","",E402+F402+G402+H402)</f>
        <v/>
      </c>
      <c r="J402" s="11" t="n"/>
      <c r="K402">
        <f>IF(D402="","",UPPER(TRIM(C402))&amp;"|"&amp;UPPER(TRIM(D402)))</f>
        <v/>
      </c>
      <c r="L402">
        <f>IF(K402="","",IF(COUNTIF('GSTR-2B Data'!$J$5:$J$504,K402)=0,"Not in 2B — follow up",IF(ABS(SUMIF('GSTR-2B Data'!$J$5:$J$504,K402,'GSTR-2B Data'!$I$5:$I$504)-(F402+G402+H402))&gt;1,"Tax amount differs","Matched")))</f>
        <v/>
      </c>
    </row>
    <row r="403">
      <c r="A403" s="14" t="n"/>
      <c r="B403" s="11" t="n"/>
      <c r="C403" s="11" t="n"/>
      <c r="D403" s="11" t="n"/>
      <c r="E403" s="18" t="n"/>
      <c r="F403" s="18" t="n"/>
      <c r="G403" s="18" t="n"/>
      <c r="H403" s="18" t="n"/>
      <c r="I403" s="23">
        <f>IF(E403="","",E403+F403+G403+H403)</f>
        <v/>
      </c>
      <c r="J403" s="11" t="n"/>
      <c r="K403">
        <f>IF(D403="","",UPPER(TRIM(C403))&amp;"|"&amp;UPPER(TRIM(D403)))</f>
        <v/>
      </c>
      <c r="L403">
        <f>IF(K403="","",IF(COUNTIF('GSTR-2B Data'!$J$5:$J$504,K403)=0,"Not in 2B — follow up",IF(ABS(SUMIF('GSTR-2B Data'!$J$5:$J$504,K403,'GSTR-2B Data'!$I$5:$I$504)-(F403+G403+H403))&gt;1,"Tax amount differs","Matched")))</f>
        <v/>
      </c>
    </row>
    <row r="404">
      <c r="A404" s="14" t="n"/>
      <c r="B404" s="11" t="n"/>
      <c r="C404" s="11" t="n"/>
      <c r="D404" s="11" t="n"/>
      <c r="E404" s="18" t="n"/>
      <c r="F404" s="18" t="n"/>
      <c r="G404" s="18" t="n"/>
      <c r="H404" s="18" t="n"/>
      <c r="I404" s="23">
        <f>IF(E404="","",E404+F404+G404+H404)</f>
        <v/>
      </c>
      <c r="J404" s="11" t="n"/>
      <c r="K404">
        <f>IF(D404="","",UPPER(TRIM(C404))&amp;"|"&amp;UPPER(TRIM(D404)))</f>
        <v/>
      </c>
      <c r="L404">
        <f>IF(K404="","",IF(COUNTIF('GSTR-2B Data'!$J$5:$J$504,K404)=0,"Not in 2B — follow up",IF(ABS(SUMIF('GSTR-2B Data'!$J$5:$J$504,K404,'GSTR-2B Data'!$I$5:$I$504)-(F404+G404+H404))&gt;1,"Tax amount differs","Matched")))</f>
        <v/>
      </c>
    </row>
    <row r="405">
      <c r="A405" s="14" t="n"/>
      <c r="B405" s="11" t="n"/>
      <c r="C405" s="11" t="n"/>
      <c r="D405" s="11" t="n"/>
      <c r="E405" s="18" t="n"/>
      <c r="F405" s="18" t="n"/>
      <c r="G405" s="18" t="n"/>
      <c r="H405" s="18" t="n"/>
      <c r="I405" s="23">
        <f>IF(E405="","",E405+F405+G405+H405)</f>
        <v/>
      </c>
      <c r="J405" s="11" t="n"/>
      <c r="K405">
        <f>IF(D405="","",UPPER(TRIM(C405))&amp;"|"&amp;UPPER(TRIM(D405)))</f>
        <v/>
      </c>
      <c r="L405">
        <f>IF(K405="","",IF(COUNTIF('GSTR-2B Data'!$J$5:$J$504,K405)=0,"Not in 2B — follow up",IF(ABS(SUMIF('GSTR-2B Data'!$J$5:$J$504,K405,'GSTR-2B Data'!$I$5:$I$504)-(F405+G405+H405))&gt;1,"Tax amount differs","Matched")))</f>
        <v/>
      </c>
    </row>
    <row r="406">
      <c r="A406" s="14" t="n"/>
      <c r="B406" s="11" t="n"/>
      <c r="C406" s="11" t="n"/>
      <c r="D406" s="11" t="n"/>
      <c r="E406" s="18" t="n"/>
      <c r="F406" s="18" t="n"/>
      <c r="G406" s="18" t="n"/>
      <c r="H406" s="18" t="n"/>
      <c r="I406" s="23">
        <f>IF(E406="","",E406+F406+G406+H406)</f>
        <v/>
      </c>
      <c r="J406" s="11" t="n"/>
      <c r="K406">
        <f>IF(D406="","",UPPER(TRIM(C406))&amp;"|"&amp;UPPER(TRIM(D406)))</f>
        <v/>
      </c>
      <c r="L406">
        <f>IF(K406="","",IF(COUNTIF('GSTR-2B Data'!$J$5:$J$504,K406)=0,"Not in 2B — follow up",IF(ABS(SUMIF('GSTR-2B Data'!$J$5:$J$504,K406,'GSTR-2B Data'!$I$5:$I$504)-(F406+G406+H406))&gt;1,"Tax amount differs","Matched")))</f>
        <v/>
      </c>
    </row>
    <row r="407">
      <c r="A407" s="14" t="n"/>
      <c r="B407" s="11" t="n"/>
      <c r="C407" s="11" t="n"/>
      <c r="D407" s="11" t="n"/>
      <c r="E407" s="18" t="n"/>
      <c r="F407" s="18" t="n"/>
      <c r="G407" s="18" t="n"/>
      <c r="H407" s="18" t="n"/>
      <c r="I407" s="23">
        <f>IF(E407="","",E407+F407+G407+H407)</f>
        <v/>
      </c>
      <c r="J407" s="11" t="n"/>
      <c r="K407">
        <f>IF(D407="","",UPPER(TRIM(C407))&amp;"|"&amp;UPPER(TRIM(D407)))</f>
        <v/>
      </c>
      <c r="L407">
        <f>IF(K407="","",IF(COUNTIF('GSTR-2B Data'!$J$5:$J$504,K407)=0,"Not in 2B — follow up",IF(ABS(SUMIF('GSTR-2B Data'!$J$5:$J$504,K407,'GSTR-2B Data'!$I$5:$I$504)-(F407+G407+H407))&gt;1,"Tax amount differs","Matched")))</f>
        <v/>
      </c>
    </row>
    <row r="408">
      <c r="A408" s="14" t="n"/>
      <c r="B408" s="11" t="n"/>
      <c r="C408" s="11" t="n"/>
      <c r="D408" s="11" t="n"/>
      <c r="E408" s="18" t="n"/>
      <c r="F408" s="18" t="n"/>
      <c r="G408" s="18" t="n"/>
      <c r="H408" s="18" t="n"/>
      <c r="I408" s="23">
        <f>IF(E408="","",E408+F408+G408+H408)</f>
        <v/>
      </c>
      <c r="J408" s="11" t="n"/>
      <c r="K408">
        <f>IF(D408="","",UPPER(TRIM(C408))&amp;"|"&amp;UPPER(TRIM(D408)))</f>
        <v/>
      </c>
      <c r="L408">
        <f>IF(K408="","",IF(COUNTIF('GSTR-2B Data'!$J$5:$J$504,K408)=0,"Not in 2B — follow up",IF(ABS(SUMIF('GSTR-2B Data'!$J$5:$J$504,K408,'GSTR-2B Data'!$I$5:$I$504)-(F408+G408+H408))&gt;1,"Tax amount differs","Matched")))</f>
        <v/>
      </c>
    </row>
    <row r="409">
      <c r="A409" s="14" t="n"/>
      <c r="B409" s="11" t="n"/>
      <c r="C409" s="11" t="n"/>
      <c r="D409" s="11" t="n"/>
      <c r="E409" s="18" t="n"/>
      <c r="F409" s="18" t="n"/>
      <c r="G409" s="18" t="n"/>
      <c r="H409" s="18" t="n"/>
      <c r="I409" s="23">
        <f>IF(E409="","",E409+F409+G409+H409)</f>
        <v/>
      </c>
      <c r="J409" s="11" t="n"/>
      <c r="K409">
        <f>IF(D409="","",UPPER(TRIM(C409))&amp;"|"&amp;UPPER(TRIM(D409)))</f>
        <v/>
      </c>
      <c r="L409">
        <f>IF(K409="","",IF(COUNTIF('GSTR-2B Data'!$J$5:$J$504,K409)=0,"Not in 2B — follow up",IF(ABS(SUMIF('GSTR-2B Data'!$J$5:$J$504,K409,'GSTR-2B Data'!$I$5:$I$504)-(F409+G409+H409))&gt;1,"Tax amount differs","Matched")))</f>
        <v/>
      </c>
    </row>
    <row r="410">
      <c r="A410" s="14" t="n"/>
      <c r="B410" s="11" t="n"/>
      <c r="C410" s="11" t="n"/>
      <c r="D410" s="11" t="n"/>
      <c r="E410" s="18" t="n"/>
      <c r="F410" s="18" t="n"/>
      <c r="G410" s="18" t="n"/>
      <c r="H410" s="18" t="n"/>
      <c r="I410" s="23">
        <f>IF(E410="","",E410+F410+G410+H410)</f>
        <v/>
      </c>
      <c r="J410" s="11" t="n"/>
      <c r="K410">
        <f>IF(D410="","",UPPER(TRIM(C410))&amp;"|"&amp;UPPER(TRIM(D410)))</f>
        <v/>
      </c>
      <c r="L410">
        <f>IF(K410="","",IF(COUNTIF('GSTR-2B Data'!$J$5:$J$504,K410)=0,"Not in 2B — follow up",IF(ABS(SUMIF('GSTR-2B Data'!$J$5:$J$504,K410,'GSTR-2B Data'!$I$5:$I$504)-(F410+G410+H410))&gt;1,"Tax amount differs","Matched")))</f>
        <v/>
      </c>
    </row>
    <row r="411">
      <c r="A411" s="14" t="n"/>
      <c r="B411" s="11" t="n"/>
      <c r="C411" s="11" t="n"/>
      <c r="D411" s="11" t="n"/>
      <c r="E411" s="18" t="n"/>
      <c r="F411" s="18" t="n"/>
      <c r="G411" s="18" t="n"/>
      <c r="H411" s="18" t="n"/>
      <c r="I411" s="23">
        <f>IF(E411="","",E411+F411+G411+H411)</f>
        <v/>
      </c>
      <c r="J411" s="11" t="n"/>
      <c r="K411">
        <f>IF(D411="","",UPPER(TRIM(C411))&amp;"|"&amp;UPPER(TRIM(D411)))</f>
        <v/>
      </c>
      <c r="L411">
        <f>IF(K411="","",IF(COUNTIF('GSTR-2B Data'!$J$5:$J$504,K411)=0,"Not in 2B — follow up",IF(ABS(SUMIF('GSTR-2B Data'!$J$5:$J$504,K411,'GSTR-2B Data'!$I$5:$I$504)-(F411+G411+H411))&gt;1,"Tax amount differs","Matched")))</f>
        <v/>
      </c>
    </row>
    <row r="412">
      <c r="A412" s="14" t="n"/>
      <c r="B412" s="11" t="n"/>
      <c r="C412" s="11" t="n"/>
      <c r="D412" s="11" t="n"/>
      <c r="E412" s="18" t="n"/>
      <c r="F412" s="18" t="n"/>
      <c r="G412" s="18" t="n"/>
      <c r="H412" s="18" t="n"/>
      <c r="I412" s="23">
        <f>IF(E412="","",E412+F412+G412+H412)</f>
        <v/>
      </c>
      <c r="J412" s="11" t="n"/>
      <c r="K412">
        <f>IF(D412="","",UPPER(TRIM(C412))&amp;"|"&amp;UPPER(TRIM(D412)))</f>
        <v/>
      </c>
      <c r="L412">
        <f>IF(K412="","",IF(COUNTIF('GSTR-2B Data'!$J$5:$J$504,K412)=0,"Not in 2B — follow up",IF(ABS(SUMIF('GSTR-2B Data'!$J$5:$J$504,K412,'GSTR-2B Data'!$I$5:$I$504)-(F412+G412+H412))&gt;1,"Tax amount differs","Matched")))</f>
        <v/>
      </c>
    </row>
    <row r="413">
      <c r="A413" s="14" t="n"/>
      <c r="B413" s="11" t="n"/>
      <c r="C413" s="11" t="n"/>
      <c r="D413" s="11" t="n"/>
      <c r="E413" s="18" t="n"/>
      <c r="F413" s="18" t="n"/>
      <c r="G413" s="18" t="n"/>
      <c r="H413" s="18" t="n"/>
      <c r="I413" s="23">
        <f>IF(E413="","",E413+F413+G413+H413)</f>
        <v/>
      </c>
      <c r="J413" s="11" t="n"/>
      <c r="K413">
        <f>IF(D413="","",UPPER(TRIM(C413))&amp;"|"&amp;UPPER(TRIM(D413)))</f>
        <v/>
      </c>
      <c r="L413">
        <f>IF(K413="","",IF(COUNTIF('GSTR-2B Data'!$J$5:$J$504,K413)=0,"Not in 2B — follow up",IF(ABS(SUMIF('GSTR-2B Data'!$J$5:$J$504,K413,'GSTR-2B Data'!$I$5:$I$504)-(F413+G413+H413))&gt;1,"Tax amount differs","Matched")))</f>
        <v/>
      </c>
    </row>
    <row r="414">
      <c r="A414" s="14" t="n"/>
      <c r="B414" s="11" t="n"/>
      <c r="C414" s="11" t="n"/>
      <c r="D414" s="11" t="n"/>
      <c r="E414" s="18" t="n"/>
      <c r="F414" s="18" t="n"/>
      <c r="G414" s="18" t="n"/>
      <c r="H414" s="18" t="n"/>
      <c r="I414" s="23">
        <f>IF(E414="","",E414+F414+G414+H414)</f>
        <v/>
      </c>
      <c r="J414" s="11" t="n"/>
      <c r="K414">
        <f>IF(D414="","",UPPER(TRIM(C414))&amp;"|"&amp;UPPER(TRIM(D414)))</f>
        <v/>
      </c>
      <c r="L414">
        <f>IF(K414="","",IF(COUNTIF('GSTR-2B Data'!$J$5:$J$504,K414)=0,"Not in 2B — follow up",IF(ABS(SUMIF('GSTR-2B Data'!$J$5:$J$504,K414,'GSTR-2B Data'!$I$5:$I$504)-(F414+G414+H414))&gt;1,"Tax amount differs","Matched")))</f>
        <v/>
      </c>
    </row>
    <row r="415">
      <c r="A415" s="14" t="n"/>
      <c r="B415" s="11" t="n"/>
      <c r="C415" s="11" t="n"/>
      <c r="D415" s="11" t="n"/>
      <c r="E415" s="18" t="n"/>
      <c r="F415" s="18" t="n"/>
      <c r="G415" s="18" t="n"/>
      <c r="H415" s="18" t="n"/>
      <c r="I415" s="23">
        <f>IF(E415="","",E415+F415+G415+H415)</f>
        <v/>
      </c>
      <c r="J415" s="11" t="n"/>
      <c r="K415">
        <f>IF(D415="","",UPPER(TRIM(C415))&amp;"|"&amp;UPPER(TRIM(D415)))</f>
        <v/>
      </c>
      <c r="L415">
        <f>IF(K415="","",IF(COUNTIF('GSTR-2B Data'!$J$5:$J$504,K415)=0,"Not in 2B — follow up",IF(ABS(SUMIF('GSTR-2B Data'!$J$5:$J$504,K415,'GSTR-2B Data'!$I$5:$I$504)-(F415+G415+H415))&gt;1,"Tax amount differs","Matched")))</f>
        <v/>
      </c>
    </row>
    <row r="416">
      <c r="A416" s="14" t="n"/>
      <c r="B416" s="11" t="n"/>
      <c r="C416" s="11" t="n"/>
      <c r="D416" s="11" t="n"/>
      <c r="E416" s="18" t="n"/>
      <c r="F416" s="18" t="n"/>
      <c r="G416" s="18" t="n"/>
      <c r="H416" s="18" t="n"/>
      <c r="I416" s="23">
        <f>IF(E416="","",E416+F416+G416+H416)</f>
        <v/>
      </c>
      <c r="J416" s="11" t="n"/>
      <c r="K416">
        <f>IF(D416="","",UPPER(TRIM(C416))&amp;"|"&amp;UPPER(TRIM(D416)))</f>
        <v/>
      </c>
      <c r="L416">
        <f>IF(K416="","",IF(COUNTIF('GSTR-2B Data'!$J$5:$J$504,K416)=0,"Not in 2B — follow up",IF(ABS(SUMIF('GSTR-2B Data'!$J$5:$J$504,K416,'GSTR-2B Data'!$I$5:$I$504)-(F416+G416+H416))&gt;1,"Tax amount differs","Matched")))</f>
        <v/>
      </c>
    </row>
    <row r="417">
      <c r="A417" s="14" t="n"/>
      <c r="B417" s="11" t="n"/>
      <c r="C417" s="11" t="n"/>
      <c r="D417" s="11" t="n"/>
      <c r="E417" s="18" t="n"/>
      <c r="F417" s="18" t="n"/>
      <c r="G417" s="18" t="n"/>
      <c r="H417" s="18" t="n"/>
      <c r="I417" s="23">
        <f>IF(E417="","",E417+F417+G417+H417)</f>
        <v/>
      </c>
      <c r="J417" s="11" t="n"/>
      <c r="K417">
        <f>IF(D417="","",UPPER(TRIM(C417))&amp;"|"&amp;UPPER(TRIM(D417)))</f>
        <v/>
      </c>
      <c r="L417">
        <f>IF(K417="","",IF(COUNTIF('GSTR-2B Data'!$J$5:$J$504,K417)=0,"Not in 2B — follow up",IF(ABS(SUMIF('GSTR-2B Data'!$J$5:$J$504,K417,'GSTR-2B Data'!$I$5:$I$504)-(F417+G417+H417))&gt;1,"Tax amount differs","Matched")))</f>
        <v/>
      </c>
    </row>
    <row r="418">
      <c r="A418" s="14" t="n"/>
      <c r="B418" s="11" t="n"/>
      <c r="C418" s="11" t="n"/>
      <c r="D418" s="11" t="n"/>
      <c r="E418" s="18" t="n"/>
      <c r="F418" s="18" t="n"/>
      <c r="G418" s="18" t="n"/>
      <c r="H418" s="18" t="n"/>
      <c r="I418" s="23">
        <f>IF(E418="","",E418+F418+G418+H418)</f>
        <v/>
      </c>
      <c r="J418" s="11" t="n"/>
      <c r="K418">
        <f>IF(D418="","",UPPER(TRIM(C418))&amp;"|"&amp;UPPER(TRIM(D418)))</f>
        <v/>
      </c>
      <c r="L418">
        <f>IF(K418="","",IF(COUNTIF('GSTR-2B Data'!$J$5:$J$504,K418)=0,"Not in 2B — follow up",IF(ABS(SUMIF('GSTR-2B Data'!$J$5:$J$504,K418,'GSTR-2B Data'!$I$5:$I$504)-(F418+G418+H418))&gt;1,"Tax amount differs","Matched")))</f>
        <v/>
      </c>
    </row>
    <row r="419">
      <c r="A419" s="14" t="n"/>
      <c r="B419" s="11" t="n"/>
      <c r="C419" s="11" t="n"/>
      <c r="D419" s="11" t="n"/>
      <c r="E419" s="18" t="n"/>
      <c r="F419" s="18" t="n"/>
      <c r="G419" s="18" t="n"/>
      <c r="H419" s="18" t="n"/>
      <c r="I419" s="23">
        <f>IF(E419="","",E419+F419+G419+H419)</f>
        <v/>
      </c>
      <c r="J419" s="11" t="n"/>
      <c r="K419">
        <f>IF(D419="","",UPPER(TRIM(C419))&amp;"|"&amp;UPPER(TRIM(D419)))</f>
        <v/>
      </c>
      <c r="L419">
        <f>IF(K419="","",IF(COUNTIF('GSTR-2B Data'!$J$5:$J$504,K419)=0,"Not in 2B — follow up",IF(ABS(SUMIF('GSTR-2B Data'!$J$5:$J$504,K419,'GSTR-2B Data'!$I$5:$I$504)-(F419+G419+H419))&gt;1,"Tax amount differs","Matched")))</f>
        <v/>
      </c>
    </row>
    <row r="420">
      <c r="A420" s="14" t="n"/>
      <c r="B420" s="11" t="n"/>
      <c r="C420" s="11" t="n"/>
      <c r="D420" s="11" t="n"/>
      <c r="E420" s="18" t="n"/>
      <c r="F420" s="18" t="n"/>
      <c r="G420" s="18" t="n"/>
      <c r="H420" s="18" t="n"/>
      <c r="I420" s="23">
        <f>IF(E420="","",E420+F420+G420+H420)</f>
        <v/>
      </c>
      <c r="J420" s="11" t="n"/>
      <c r="K420">
        <f>IF(D420="","",UPPER(TRIM(C420))&amp;"|"&amp;UPPER(TRIM(D420)))</f>
        <v/>
      </c>
      <c r="L420">
        <f>IF(K420="","",IF(COUNTIF('GSTR-2B Data'!$J$5:$J$504,K420)=0,"Not in 2B — follow up",IF(ABS(SUMIF('GSTR-2B Data'!$J$5:$J$504,K420,'GSTR-2B Data'!$I$5:$I$504)-(F420+G420+H420))&gt;1,"Tax amount differs","Matched")))</f>
        <v/>
      </c>
    </row>
    <row r="421">
      <c r="A421" s="14" t="n"/>
      <c r="B421" s="11" t="n"/>
      <c r="C421" s="11" t="n"/>
      <c r="D421" s="11" t="n"/>
      <c r="E421" s="18" t="n"/>
      <c r="F421" s="18" t="n"/>
      <c r="G421" s="18" t="n"/>
      <c r="H421" s="18" t="n"/>
      <c r="I421" s="23">
        <f>IF(E421="","",E421+F421+G421+H421)</f>
        <v/>
      </c>
      <c r="J421" s="11" t="n"/>
      <c r="K421">
        <f>IF(D421="","",UPPER(TRIM(C421))&amp;"|"&amp;UPPER(TRIM(D421)))</f>
        <v/>
      </c>
      <c r="L421">
        <f>IF(K421="","",IF(COUNTIF('GSTR-2B Data'!$J$5:$J$504,K421)=0,"Not in 2B — follow up",IF(ABS(SUMIF('GSTR-2B Data'!$J$5:$J$504,K421,'GSTR-2B Data'!$I$5:$I$504)-(F421+G421+H421))&gt;1,"Tax amount differs","Matched")))</f>
        <v/>
      </c>
    </row>
    <row r="422">
      <c r="A422" s="14" t="n"/>
      <c r="B422" s="11" t="n"/>
      <c r="C422" s="11" t="n"/>
      <c r="D422" s="11" t="n"/>
      <c r="E422" s="18" t="n"/>
      <c r="F422" s="18" t="n"/>
      <c r="G422" s="18" t="n"/>
      <c r="H422" s="18" t="n"/>
      <c r="I422" s="23">
        <f>IF(E422="","",E422+F422+G422+H422)</f>
        <v/>
      </c>
      <c r="J422" s="11" t="n"/>
      <c r="K422">
        <f>IF(D422="","",UPPER(TRIM(C422))&amp;"|"&amp;UPPER(TRIM(D422)))</f>
        <v/>
      </c>
      <c r="L422">
        <f>IF(K422="","",IF(COUNTIF('GSTR-2B Data'!$J$5:$J$504,K422)=0,"Not in 2B — follow up",IF(ABS(SUMIF('GSTR-2B Data'!$J$5:$J$504,K422,'GSTR-2B Data'!$I$5:$I$504)-(F422+G422+H422))&gt;1,"Tax amount differs","Matched")))</f>
        <v/>
      </c>
    </row>
    <row r="423">
      <c r="A423" s="14" t="n"/>
      <c r="B423" s="11" t="n"/>
      <c r="C423" s="11" t="n"/>
      <c r="D423" s="11" t="n"/>
      <c r="E423" s="18" t="n"/>
      <c r="F423" s="18" t="n"/>
      <c r="G423" s="18" t="n"/>
      <c r="H423" s="18" t="n"/>
      <c r="I423" s="23">
        <f>IF(E423="","",E423+F423+G423+H423)</f>
        <v/>
      </c>
      <c r="J423" s="11" t="n"/>
      <c r="K423">
        <f>IF(D423="","",UPPER(TRIM(C423))&amp;"|"&amp;UPPER(TRIM(D423)))</f>
        <v/>
      </c>
      <c r="L423">
        <f>IF(K423="","",IF(COUNTIF('GSTR-2B Data'!$J$5:$J$504,K423)=0,"Not in 2B — follow up",IF(ABS(SUMIF('GSTR-2B Data'!$J$5:$J$504,K423,'GSTR-2B Data'!$I$5:$I$504)-(F423+G423+H423))&gt;1,"Tax amount differs","Matched")))</f>
        <v/>
      </c>
    </row>
    <row r="424">
      <c r="A424" s="14" t="n"/>
      <c r="B424" s="11" t="n"/>
      <c r="C424" s="11" t="n"/>
      <c r="D424" s="11" t="n"/>
      <c r="E424" s="18" t="n"/>
      <c r="F424" s="18" t="n"/>
      <c r="G424" s="18" t="n"/>
      <c r="H424" s="18" t="n"/>
      <c r="I424" s="23">
        <f>IF(E424="","",E424+F424+G424+H424)</f>
        <v/>
      </c>
      <c r="J424" s="11" t="n"/>
      <c r="K424">
        <f>IF(D424="","",UPPER(TRIM(C424))&amp;"|"&amp;UPPER(TRIM(D424)))</f>
        <v/>
      </c>
      <c r="L424">
        <f>IF(K424="","",IF(COUNTIF('GSTR-2B Data'!$J$5:$J$504,K424)=0,"Not in 2B — follow up",IF(ABS(SUMIF('GSTR-2B Data'!$J$5:$J$504,K424,'GSTR-2B Data'!$I$5:$I$504)-(F424+G424+H424))&gt;1,"Tax amount differs","Matched")))</f>
        <v/>
      </c>
    </row>
    <row r="425">
      <c r="A425" s="14" t="n"/>
      <c r="B425" s="11" t="n"/>
      <c r="C425" s="11" t="n"/>
      <c r="D425" s="11" t="n"/>
      <c r="E425" s="18" t="n"/>
      <c r="F425" s="18" t="n"/>
      <c r="G425" s="18" t="n"/>
      <c r="H425" s="18" t="n"/>
      <c r="I425" s="23">
        <f>IF(E425="","",E425+F425+G425+H425)</f>
        <v/>
      </c>
      <c r="J425" s="11" t="n"/>
      <c r="K425">
        <f>IF(D425="","",UPPER(TRIM(C425))&amp;"|"&amp;UPPER(TRIM(D425)))</f>
        <v/>
      </c>
      <c r="L425">
        <f>IF(K425="","",IF(COUNTIF('GSTR-2B Data'!$J$5:$J$504,K425)=0,"Not in 2B — follow up",IF(ABS(SUMIF('GSTR-2B Data'!$J$5:$J$504,K425,'GSTR-2B Data'!$I$5:$I$504)-(F425+G425+H425))&gt;1,"Tax amount differs","Matched")))</f>
        <v/>
      </c>
    </row>
    <row r="426">
      <c r="A426" s="14" t="n"/>
      <c r="B426" s="11" t="n"/>
      <c r="C426" s="11" t="n"/>
      <c r="D426" s="11" t="n"/>
      <c r="E426" s="18" t="n"/>
      <c r="F426" s="18" t="n"/>
      <c r="G426" s="18" t="n"/>
      <c r="H426" s="18" t="n"/>
      <c r="I426" s="23">
        <f>IF(E426="","",E426+F426+G426+H426)</f>
        <v/>
      </c>
      <c r="J426" s="11" t="n"/>
      <c r="K426">
        <f>IF(D426="","",UPPER(TRIM(C426))&amp;"|"&amp;UPPER(TRIM(D426)))</f>
        <v/>
      </c>
      <c r="L426">
        <f>IF(K426="","",IF(COUNTIF('GSTR-2B Data'!$J$5:$J$504,K426)=0,"Not in 2B — follow up",IF(ABS(SUMIF('GSTR-2B Data'!$J$5:$J$504,K426,'GSTR-2B Data'!$I$5:$I$504)-(F426+G426+H426))&gt;1,"Tax amount differs","Matched")))</f>
        <v/>
      </c>
    </row>
    <row r="427">
      <c r="A427" s="14" t="n"/>
      <c r="B427" s="11" t="n"/>
      <c r="C427" s="11" t="n"/>
      <c r="D427" s="11" t="n"/>
      <c r="E427" s="18" t="n"/>
      <c r="F427" s="18" t="n"/>
      <c r="G427" s="18" t="n"/>
      <c r="H427" s="18" t="n"/>
      <c r="I427" s="23">
        <f>IF(E427="","",E427+F427+G427+H427)</f>
        <v/>
      </c>
      <c r="J427" s="11" t="n"/>
      <c r="K427">
        <f>IF(D427="","",UPPER(TRIM(C427))&amp;"|"&amp;UPPER(TRIM(D427)))</f>
        <v/>
      </c>
      <c r="L427">
        <f>IF(K427="","",IF(COUNTIF('GSTR-2B Data'!$J$5:$J$504,K427)=0,"Not in 2B — follow up",IF(ABS(SUMIF('GSTR-2B Data'!$J$5:$J$504,K427,'GSTR-2B Data'!$I$5:$I$504)-(F427+G427+H427))&gt;1,"Tax amount differs","Matched")))</f>
        <v/>
      </c>
    </row>
    <row r="428">
      <c r="A428" s="14" t="n"/>
      <c r="B428" s="11" t="n"/>
      <c r="C428" s="11" t="n"/>
      <c r="D428" s="11" t="n"/>
      <c r="E428" s="18" t="n"/>
      <c r="F428" s="18" t="n"/>
      <c r="G428" s="18" t="n"/>
      <c r="H428" s="18" t="n"/>
      <c r="I428" s="23">
        <f>IF(E428="","",E428+F428+G428+H428)</f>
        <v/>
      </c>
      <c r="J428" s="11" t="n"/>
      <c r="K428">
        <f>IF(D428="","",UPPER(TRIM(C428))&amp;"|"&amp;UPPER(TRIM(D428)))</f>
        <v/>
      </c>
      <c r="L428">
        <f>IF(K428="","",IF(COUNTIF('GSTR-2B Data'!$J$5:$J$504,K428)=0,"Not in 2B — follow up",IF(ABS(SUMIF('GSTR-2B Data'!$J$5:$J$504,K428,'GSTR-2B Data'!$I$5:$I$504)-(F428+G428+H428))&gt;1,"Tax amount differs","Matched")))</f>
        <v/>
      </c>
    </row>
    <row r="429">
      <c r="A429" s="14" t="n"/>
      <c r="B429" s="11" t="n"/>
      <c r="C429" s="11" t="n"/>
      <c r="D429" s="11" t="n"/>
      <c r="E429" s="18" t="n"/>
      <c r="F429" s="18" t="n"/>
      <c r="G429" s="18" t="n"/>
      <c r="H429" s="18" t="n"/>
      <c r="I429" s="23">
        <f>IF(E429="","",E429+F429+G429+H429)</f>
        <v/>
      </c>
      <c r="J429" s="11" t="n"/>
      <c r="K429">
        <f>IF(D429="","",UPPER(TRIM(C429))&amp;"|"&amp;UPPER(TRIM(D429)))</f>
        <v/>
      </c>
      <c r="L429">
        <f>IF(K429="","",IF(COUNTIF('GSTR-2B Data'!$J$5:$J$504,K429)=0,"Not in 2B — follow up",IF(ABS(SUMIF('GSTR-2B Data'!$J$5:$J$504,K429,'GSTR-2B Data'!$I$5:$I$504)-(F429+G429+H429))&gt;1,"Tax amount differs","Matched")))</f>
        <v/>
      </c>
    </row>
    <row r="430">
      <c r="A430" s="14" t="n"/>
      <c r="B430" s="11" t="n"/>
      <c r="C430" s="11" t="n"/>
      <c r="D430" s="11" t="n"/>
      <c r="E430" s="18" t="n"/>
      <c r="F430" s="18" t="n"/>
      <c r="G430" s="18" t="n"/>
      <c r="H430" s="18" t="n"/>
      <c r="I430" s="23">
        <f>IF(E430="","",E430+F430+G430+H430)</f>
        <v/>
      </c>
      <c r="J430" s="11" t="n"/>
      <c r="K430">
        <f>IF(D430="","",UPPER(TRIM(C430))&amp;"|"&amp;UPPER(TRIM(D430)))</f>
        <v/>
      </c>
      <c r="L430">
        <f>IF(K430="","",IF(COUNTIF('GSTR-2B Data'!$J$5:$J$504,K430)=0,"Not in 2B — follow up",IF(ABS(SUMIF('GSTR-2B Data'!$J$5:$J$504,K430,'GSTR-2B Data'!$I$5:$I$504)-(F430+G430+H430))&gt;1,"Tax amount differs","Matched")))</f>
        <v/>
      </c>
    </row>
    <row r="431">
      <c r="A431" s="14" t="n"/>
      <c r="B431" s="11" t="n"/>
      <c r="C431" s="11" t="n"/>
      <c r="D431" s="11" t="n"/>
      <c r="E431" s="18" t="n"/>
      <c r="F431" s="18" t="n"/>
      <c r="G431" s="18" t="n"/>
      <c r="H431" s="18" t="n"/>
      <c r="I431" s="23">
        <f>IF(E431="","",E431+F431+G431+H431)</f>
        <v/>
      </c>
      <c r="J431" s="11" t="n"/>
      <c r="K431">
        <f>IF(D431="","",UPPER(TRIM(C431))&amp;"|"&amp;UPPER(TRIM(D431)))</f>
        <v/>
      </c>
      <c r="L431">
        <f>IF(K431="","",IF(COUNTIF('GSTR-2B Data'!$J$5:$J$504,K431)=0,"Not in 2B — follow up",IF(ABS(SUMIF('GSTR-2B Data'!$J$5:$J$504,K431,'GSTR-2B Data'!$I$5:$I$504)-(F431+G431+H431))&gt;1,"Tax amount differs","Matched")))</f>
        <v/>
      </c>
    </row>
    <row r="432">
      <c r="A432" s="14" t="n"/>
      <c r="B432" s="11" t="n"/>
      <c r="C432" s="11" t="n"/>
      <c r="D432" s="11" t="n"/>
      <c r="E432" s="18" t="n"/>
      <c r="F432" s="18" t="n"/>
      <c r="G432" s="18" t="n"/>
      <c r="H432" s="18" t="n"/>
      <c r="I432" s="23">
        <f>IF(E432="","",E432+F432+G432+H432)</f>
        <v/>
      </c>
      <c r="J432" s="11" t="n"/>
      <c r="K432">
        <f>IF(D432="","",UPPER(TRIM(C432))&amp;"|"&amp;UPPER(TRIM(D432)))</f>
        <v/>
      </c>
      <c r="L432">
        <f>IF(K432="","",IF(COUNTIF('GSTR-2B Data'!$J$5:$J$504,K432)=0,"Not in 2B — follow up",IF(ABS(SUMIF('GSTR-2B Data'!$J$5:$J$504,K432,'GSTR-2B Data'!$I$5:$I$504)-(F432+G432+H432))&gt;1,"Tax amount differs","Matched")))</f>
        <v/>
      </c>
    </row>
    <row r="433">
      <c r="A433" s="14" t="n"/>
      <c r="B433" s="11" t="n"/>
      <c r="C433" s="11" t="n"/>
      <c r="D433" s="11" t="n"/>
      <c r="E433" s="18" t="n"/>
      <c r="F433" s="18" t="n"/>
      <c r="G433" s="18" t="n"/>
      <c r="H433" s="18" t="n"/>
      <c r="I433" s="23">
        <f>IF(E433="","",E433+F433+G433+H433)</f>
        <v/>
      </c>
      <c r="J433" s="11" t="n"/>
      <c r="K433">
        <f>IF(D433="","",UPPER(TRIM(C433))&amp;"|"&amp;UPPER(TRIM(D433)))</f>
        <v/>
      </c>
      <c r="L433">
        <f>IF(K433="","",IF(COUNTIF('GSTR-2B Data'!$J$5:$J$504,K433)=0,"Not in 2B — follow up",IF(ABS(SUMIF('GSTR-2B Data'!$J$5:$J$504,K433,'GSTR-2B Data'!$I$5:$I$504)-(F433+G433+H433))&gt;1,"Tax amount differs","Matched")))</f>
        <v/>
      </c>
    </row>
    <row r="434">
      <c r="A434" s="14" t="n"/>
      <c r="B434" s="11" t="n"/>
      <c r="C434" s="11" t="n"/>
      <c r="D434" s="11" t="n"/>
      <c r="E434" s="18" t="n"/>
      <c r="F434" s="18" t="n"/>
      <c r="G434" s="18" t="n"/>
      <c r="H434" s="18" t="n"/>
      <c r="I434" s="23">
        <f>IF(E434="","",E434+F434+G434+H434)</f>
        <v/>
      </c>
      <c r="J434" s="11" t="n"/>
      <c r="K434">
        <f>IF(D434="","",UPPER(TRIM(C434))&amp;"|"&amp;UPPER(TRIM(D434)))</f>
        <v/>
      </c>
      <c r="L434">
        <f>IF(K434="","",IF(COUNTIF('GSTR-2B Data'!$J$5:$J$504,K434)=0,"Not in 2B — follow up",IF(ABS(SUMIF('GSTR-2B Data'!$J$5:$J$504,K434,'GSTR-2B Data'!$I$5:$I$504)-(F434+G434+H434))&gt;1,"Tax amount differs","Matched")))</f>
        <v/>
      </c>
    </row>
    <row r="435">
      <c r="A435" s="14" t="n"/>
      <c r="B435" s="11" t="n"/>
      <c r="C435" s="11" t="n"/>
      <c r="D435" s="11" t="n"/>
      <c r="E435" s="18" t="n"/>
      <c r="F435" s="18" t="n"/>
      <c r="G435" s="18" t="n"/>
      <c r="H435" s="18" t="n"/>
      <c r="I435" s="23">
        <f>IF(E435="","",E435+F435+G435+H435)</f>
        <v/>
      </c>
      <c r="J435" s="11" t="n"/>
      <c r="K435">
        <f>IF(D435="","",UPPER(TRIM(C435))&amp;"|"&amp;UPPER(TRIM(D435)))</f>
        <v/>
      </c>
      <c r="L435">
        <f>IF(K435="","",IF(COUNTIF('GSTR-2B Data'!$J$5:$J$504,K435)=0,"Not in 2B — follow up",IF(ABS(SUMIF('GSTR-2B Data'!$J$5:$J$504,K435,'GSTR-2B Data'!$I$5:$I$504)-(F435+G435+H435))&gt;1,"Tax amount differs","Matched")))</f>
        <v/>
      </c>
    </row>
    <row r="436">
      <c r="A436" s="14" t="n"/>
      <c r="B436" s="11" t="n"/>
      <c r="C436" s="11" t="n"/>
      <c r="D436" s="11" t="n"/>
      <c r="E436" s="18" t="n"/>
      <c r="F436" s="18" t="n"/>
      <c r="G436" s="18" t="n"/>
      <c r="H436" s="18" t="n"/>
      <c r="I436" s="23">
        <f>IF(E436="","",E436+F436+G436+H436)</f>
        <v/>
      </c>
      <c r="J436" s="11" t="n"/>
      <c r="K436">
        <f>IF(D436="","",UPPER(TRIM(C436))&amp;"|"&amp;UPPER(TRIM(D436)))</f>
        <v/>
      </c>
      <c r="L436">
        <f>IF(K436="","",IF(COUNTIF('GSTR-2B Data'!$J$5:$J$504,K436)=0,"Not in 2B — follow up",IF(ABS(SUMIF('GSTR-2B Data'!$J$5:$J$504,K436,'GSTR-2B Data'!$I$5:$I$504)-(F436+G436+H436))&gt;1,"Tax amount differs","Matched")))</f>
        <v/>
      </c>
    </row>
    <row r="437">
      <c r="A437" s="14" t="n"/>
      <c r="B437" s="11" t="n"/>
      <c r="C437" s="11" t="n"/>
      <c r="D437" s="11" t="n"/>
      <c r="E437" s="18" t="n"/>
      <c r="F437" s="18" t="n"/>
      <c r="G437" s="18" t="n"/>
      <c r="H437" s="18" t="n"/>
      <c r="I437" s="23">
        <f>IF(E437="","",E437+F437+G437+H437)</f>
        <v/>
      </c>
      <c r="J437" s="11" t="n"/>
      <c r="K437">
        <f>IF(D437="","",UPPER(TRIM(C437))&amp;"|"&amp;UPPER(TRIM(D437)))</f>
        <v/>
      </c>
      <c r="L437">
        <f>IF(K437="","",IF(COUNTIF('GSTR-2B Data'!$J$5:$J$504,K437)=0,"Not in 2B — follow up",IF(ABS(SUMIF('GSTR-2B Data'!$J$5:$J$504,K437,'GSTR-2B Data'!$I$5:$I$504)-(F437+G437+H437))&gt;1,"Tax amount differs","Matched")))</f>
        <v/>
      </c>
    </row>
    <row r="438">
      <c r="A438" s="14" t="n"/>
      <c r="B438" s="11" t="n"/>
      <c r="C438" s="11" t="n"/>
      <c r="D438" s="11" t="n"/>
      <c r="E438" s="18" t="n"/>
      <c r="F438" s="18" t="n"/>
      <c r="G438" s="18" t="n"/>
      <c r="H438" s="18" t="n"/>
      <c r="I438" s="23">
        <f>IF(E438="","",E438+F438+G438+H438)</f>
        <v/>
      </c>
      <c r="J438" s="11" t="n"/>
      <c r="K438">
        <f>IF(D438="","",UPPER(TRIM(C438))&amp;"|"&amp;UPPER(TRIM(D438)))</f>
        <v/>
      </c>
      <c r="L438">
        <f>IF(K438="","",IF(COUNTIF('GSTR-2B Data'!$J$5:$J$504,K438)=0,"Not in 2B — follow up",IF(ABS(SUMIF('GSTR-2B Data'!$J$5:$J$504,K438,'GSTR-2B Data'!$I$5:$I$504)-(F438+G438+H438))&gt;1,"Tax amount differs","Matched")))</f>
        <v/>
      </c>
    </row>
    <row r="439">
      <c r="A439" s="14" t="n"/>
      <c r="B439" s="11" t="n"/>
      <c r="C439" s="11" t="n"/>
      <c r="D439" s="11" t="n"/>
      <c r="E439" s="18" t="n"/>
      <c r="F439" s="18" t="n"/>
      <c r="G439" s="18" t="n"/>
      <c r="H439" s="18" t="n"/>
      <c r="I439" s="23">
        <f>IF(E439="","",E439+F439+G439+H439)</f>
        <v/>
      </c>
      <c r="J439" s="11" t="n"/>
      <c r="K439">
        <f>IF(D439="","",UPPER(TRIM(C439))&amp;"|"&amp;UPPER(TRIM(D439)))</f>
        <v/>
      </c>
      <c r="L439">
        <f>IF(K439="","",IF(COUNTIF('GSTR-2B Data'!$J$5:$J$504,K439)=0,"Not in 2B — follow up",IF(ABS(SUMIF('GSTR-2B Data'!$J$5:$J$504,K439,'GSTR-2B Data'!$I$5:$I$504)-(F439+G439+H439))&gt;1,"Tax amount differs","Matched")))</f>
        <v/>
      </c>
    </row>
    <row r="440">
      <c r="A440" s="14" t="n"/>
      <c r="B440" s="11" t="n"/>
      <c r="C440" s="11" t="n"/>
      <c r="D440" s="11" t="n"/>
      <c r="E440" s="18" t="n"/>
      <c r="F440" s="18" t="n"/>
      <c r="G440" s="18" t="n"/>
      <c r="H440" s="18" t="n"/>
      <c r="I440" s="23">
        <f>IF(E440="","",E440+F440+G440+H440)</f>
        <v/>
      </c>
      <c r="J440" s="11" t="n"/>
      <c r="K440">
        <f>IF(D440="","",UPPER(TRIM(C440))&amp;"|"&amp;UPPER(TRIM(D440)))</f>
        <v/>
      </c>
      <c r="L440">
        <f>IF(K440="","",IF(COUNTIF('GSTR-2B Data'!$J$5:$J$504,K440)=0,"Not in 2B — follow up",IF(ABS(SUMIF('GSTR-2B Data'!$J$5:$J$504,K440,'GSTR-2B Data'!$I$5:$I$504)-(F440+G440+H440))&gt;1,"Tax amount differs","Matched")))</f>
        <v/>
      </c>
    </row>
    <row r="441">
      <c r="A441" s="14" t="n"/>
      <c r="B441" s="11" t="n"/>
      <c r="C441" s="11" t="n"/>
      <c r="D441" s="11" t="n"/>
      <c r="E441" s="18" t="n"/>
      <c r="F441" s="18" t="n"/>
      <c r="G441" s="18" t="n"/>
      <c r="H441" s="18" t="n"/>
      <c r="I441" s="23">
        <f>IF(E441="","",E441+F441+G441+H441)</f>
        <v/>
      </c>
      <c r="J441" s="11" t="n"/>
      <c r="K441">
        <f>IF(D441="","",UPPER(TRIM(C441))&amp;"|"&amp;UPPER(TRIM(D441)))</f>
        <v/>
      </c>
      <c r="L441">
        <f>IF(K441="","",IF(COUNTIF('GSTR-2B Data'!$J$5:$J$504,K441)=0,"Not in 2B — follow up",IF(ABS(SUMIF('GSTR-2B Data'!$J$5:$J$504,K441,'GSTR-2B Data'!$I$5:$I$504)-(F441+G441+H441))&gt;1,"Tax amount differs","Matched")))</f>
        <v/>
      </c>
    </row>
    <row r="442">
      <c r="A442" s="14" t="n"/>
      <c r="B442" s="11" t="n"/>
      <c r="C442" s="11" t="n"/>
      <c r="D442" s="11" t="n"/>
      <c r="E442" s="18" t="n"/>
      <c r="F442" s="18" t="n"/>
      <c r="G442" s="18" t="n"/>
      <c r="H442" s="18" t="n"/>
      <c r="I442" s="23">
        <f>IF(E442="","",E442+F442+G442+H442)</f>
        <v/>
      </c>
      <c r="J442" s="11" t="n"/>
      <c r="K442">
        <f>IF(D442="","",UPPER(TRIM(C442))&amp;"|"&amp;UPPER(TRIM(D442)))</f>
        <v/>
      </c>
      <c r="L442">
        <f>IF(K442="","",IF(COUNTIF('GSTR-2B Data'!$J$5:$J$504,K442)=0,"Not in 2B — follow up",IF(ABS(SUMIF('GSTR-2B Data'!$J$5:$J$504,K442,'GSTR-2B Data'!$I$5:$I$504)-(F442+G442+H442))&gt;1,"Tax amount differs","Matched")))</f>
        <v/>
      </c>
    </row>
    <row r="443">
      <c r="A443" s="14" t="n"/>
      <c r="B443" s="11" t="n"/>
      <c r="C443" s="11" t="n"/>
      <c r="D443" s="11" t="n"/>
      <c r="E443" s="18" t="n"/>
      <c r="F443" s="18" t="n"/>
      <c r="G443" s="18" t="n"/>
      <c r="H443" s="18" t="n"/>
      <c r="I443" s="23">
        <f>IF(E443="","",E443+F443+G443+H443)</f>
        <v/>
      </c>
      <c r="J443" s="11" t="n"/>
      <c r="K443">
        <f>IF(D443="","",UPPER(TRIM(C443))&amp;"|"&amp;UPPER(TRIM(D443)))</f>
        <v/>
      </c>
      <c r="L443">
        <f>IF(K443="","",IF(COUNTIF('GSTR-2B Data'!$J$5:$J$504,K443)=0,"Not in 2B — follow up",IF(ABS(SUMIF('GSTR-2B Data'!$J$5:$J$504,K443,'GSTR-2B Data'!$I$5:$I$504)-(F443+G443+H443))&gt;1,"Tax amount differs","Matched")))</f>
        <v/>
      </c>
    </row>
    <row r="444">
      <c r="A444" s="14" t="n"/>
      <c r="B444" s="11" t="n"/>
      <c r="C444" s="11" t="n"/>
      <c r="D444" s="11" t="n"/>
      <c r="E444" s="18" t="n"/>
      <c r="F444" s="18" t="n"/>
      <c r="G444" s="18" t="n"/>
      <c r="H444" s="18" t="n"/>
      <c r="I444" s="23">
        <f>IF(E444="","",E444+F444+G444+H444)</f>
        <v/>
      </c>
      <c r="J444" s="11" t="n"/>
      <c r="K444">
        <f>IF(D444="","",UPPER(TRIM(C444))&amp;"|"&amp;UPPER(TRIM(D444)))</f>
        <v/>
      </c>
      <c r="L444">
        <f>IF(K444="","",IF(COUNTIF('GSTR-2B Data'!$J$5:$J$504,K444)=0,"Not in 2B — follow up",IF(ABS(SUMIF('GSTR-2B Data'!$J$5:$J$504,K444,'GSTR-2B Data'!$I$5:$I$504)-(F444+G444+H444))&gt;1,"Tax amount differs","Matched")))</f>
        <v/>
      </c>
    </row>
    <row r="445">
      <c r="A445" s="14" t="n"/>
      <c r="B445" s="11" t="n"/>
      <c r="C445" s="11" t="n"/>
      <c r="D445" s="11" t="n"/>
      <c r="E445" s="18" t="n"/>
      <c r="F445" s="18" t="n"/>
      <c r="G445" s="18" t="n"/>
      <c r="H445" s="18" t="n"/>
      <c r="I445" s="23">
        <f>IF(E445="","",E445+F445+G445+H445)</f>
        <v/>
      </c>
      <c r="J445" s="11" t="n"/>
      <c r="K445">
        <f>IF(D445="","",UPPER(TRIM(C445))&amp;"|"&amp;UPPER(TRIM(D445)))</f>
        <v/>
      </c>
      <c r="L445">
        <f>IF(K445="","",IF(COUNTIF('GSTR-2B Data'!$J$5:$J$504,K445)=0,"Not in 2B — follow up",IF(ABS(SUMIF('GSTR-2B Data'!$J$5:$J$504,K445,'GSTR-2B Data'!$I$5:$I$504)-(F445+G445+H445))&gt;1,"Tax amount differs","Matched")))</f>
        <v/>
      </c>
    </row>
    <row r="446">
      <c r="A446" s="14" t="n"/>
      <c r="B446" s="11" t="n"/>
      <c r="C446" s="11" t="n"/>
      <c r="D446" s="11" t="n"/>
      <c r="E446" s="18" t="n"/>
      <c r="F446" s="18" t="n"/>
      <c r="G446" s="18" t="n"/>
      <c r="H446" s="18" t="n"/>
      <c r="I446" s="23">
        <f>IF(E446="","",E446+F446+G446+H446)</f>
        <v/>
      </c>
      <c r="J446" s="11" t="n"/>
      <c r="K446">
        <f>IF(D446="","",UPPER(TRIM(C446))&amp;"|"&amp;UPPER(TRIM(D446)))</f>
        <v/>
      </c>
      <c r="L446">
        <f>IF(K446="","",IF(COUNTIF('GSTR-2B Data'!$J$5:$J$504,K446)=0,"Not in 2B — follow up",IF(ABS(SUMIF('GSTR-2B Data'!$J$5:$J$504,K446,'GSTR-2B Data'!$I$5:$I$504)-(F446+G446+H446))&gt;1,"Tax amount differs","Matched")))</f>
        <v/>
      </c>
    </row>
    <row r="447">
      <c r="A447" s="14" t="n"/>
      <c r="B447" s="11" t="n"/>
      <c r="C447" s="11" t="n"/>
      <c r="D447" s="11" t="n"/>
      <c r="E447" s="18" t="n"/>
      <c r="F447" s="18" t="n"/>
      <c r="G447" s="18" t="n"/>
      <c r="H447" s="18" t="n"/>
      <c r="I447" s="23">
        <f>IF(E447="","",E447+F447+G447+H447)</f>
        <v/>
      </c>
      <c r="J447" s="11" t="n"/>
      <c r="K447">
        <f>IF(D447="","",UPPER(TRIM(C447))&amp;"|"&amp;UPPER(TRIM(D447)))</f>
        <v/>
      </c>
      <c r="L447">
        <f>IF(K447="","",IF(COUNTIF('GSTR-2B Data'!$J$5:$J$504,K447)=0,"Not in 2B — follow up",IF(ABS(SUMIF('GSTR-2B Data'!$J$5:$J$504,K447,'GSTR-2B Data'!$I$5:$I$504)-(F447+G447+H447))&gt;1,"Tax amount differs","Matched")))</f>
        <v/>
      </c>
    </row>
    <row r="448">
      <c r="A448" s="14" t="n"/>
      <c r="B448" s="11" t="n"/>
      <c r="C448" s="11" t="n"/>
      <c r="D448" s="11" t="n"/>
      <c r="E448" s="18" t="n"/>
      <c r="F448" s="18" t="n"/>
      <c r="G448" s="18" t="n"/>
      <c r="H448" s="18" t="n"/>
      <c r="I448" s="23">
        <f>IF(E448="","",E448+F448+G448+H448)</f>
        <v/>
      </c>
      <c r="J448" s="11" t="n"/>
      <c r="K448">
        <f>IF(D448="","",UPPER(TRIM(C448))&amp;"|"&amp;UPPER(TRIM(D448)))</f>
        <v/>
      </c>
      <c r="L448">
        <f>IF(K448="","",IF(COUNTIF('GSTR-2B Data'!$J$5:$J$504,K448)=0,"Not in 2B — follow up",IF(ABS(SUMIF('GSTR-2B Data'!$J$5:$J$504,K448,'GSTR-2B Data'!$I$5:$I$504)-(F448+G448+H448))&gt;1,"Tax amount differs","Matched")))</f>
        <v/>
      </c>
    </row>
    <row r="449">
      <c r="A449" s="14" t="n"/>
      <c r="B449" s="11" t="n"/>
      <c r="C449" s="11" t="n"/>
      <c r="D449" s="11" t="n"/>
      <c r="E449" s="18" t="n"/>
      <c r="F449" s="18" t="n"/>
      <c r="G449" s="18" t="n"/>
      <c r="H449" s="18" t="n"/>
      <c r="I449" s="23">
        <f>IF(E449="","",E449+F449+G449+H449)</f>
        <v/>
      </c>
      <c r="J449" s="11" t="n"/>
      <c r="K449">
        <f>IF(D449="","",UPPER(TRIM(C449))&amp;"|"&amp;UPPER(TRIM(D449)))</f>
        <v/>
      </c>
      <c r="L449">
        <f>IF(K449="","",IF(COUNTIF('GSTR-2B Data'!$J$5:$J$504,K449)=0,"Not in 2B — follow up",IF(ABS(SUMIF('GSTR-2B Data'!$J$5:$J$504,K449,'GSTR-2B Data'!$I$5:$I$504)-(F449+G449+H449))&gt;1,"Tax amount differs","Matched")))</f>
        <v/>
      </c>
    </row>
    <row r="450">
      <c r="A450" s="14" t="n"/>
      <c r="B450" s="11" t="n"/>
      <c r="C450" s="11" t="n"/>
      <c r="D450" s="11" t="n"/>
      <c r="E450" s="18" t="n"/>
      <c r="F450" s="18" t="n"/>
      <c r="G450" s="18" t="n"/>
      <c r="H450" s="18" t="n"/>
      <c r="I450" s="23">
        <f>IF(E450="","",E450+F450+G450+H450)</f>
        <v/>
      </c>
      <c r="J450" s="11" t="n"/>
      <c r="K450">
        <f>IF(D450="","",UPPER(TRIM(C450))&amp;"|"&amp;UPPER(TRIM(D450)))</f>
        <v/>
      </c>
      <c r="L450">
        <f>IF(K450="","",IF(COUNTIF('GSTR-2B Data'!$J$5:$J$504,K450)=0,"Not in 2B — follow up",IF(ABS(SUMIF('GSTR-2B Data'!$J$5:$J$504,K450,'GSTR-2B Data'!$I$5:$I$504)-(F450+G450+H450))&gt;1,"Tax amount differs","Matched")))</f>
        <v/>
      </c>
    </row>
    <row r="451">
      <c r="A451" s="14" t="n"/>
      <c r="B451" s="11" t="n"/>
      <c r="C451" s="11" t="n"/>
      <c r="D451" s="11" t="n"/>
      <c r="E451" s="18" t="n"/>
      <c r="F451" s="18" t="n"/>
      <c r="G451" s="18" t="n"/>
      <c r="H451" s="18" t="n"/>
      <c r="I451" s="23">
        <f>IF(E451="","",E451+F451+G451+H451)</f>
        <v/>
      </c>
      <c r="J451" s="11" t="n"/>
      <c r="K451">
        <f>IF(D451="","",UPPER(TRIM(C451))&amp;"|"&amp;UPPER(TRIM(D451)))</f>
        <v/>
      </c>
      <c r="L451">
        <f>IF(K451="","",IF(COUNTIF('GSTR-2B Data'!$J$5:$J$504,K451)=0,"Not in 2B — follow up",IF(ABS(SUMIF('GSTR-2B Data'!$J$5:$J$504,K451,'GSTR-2B Data'!$I$5:$I$504)-(F451+G451+H451))&gt;1,"Tax amount differs","Matched")))</f>
        <v/>
      </c>
    </row>
    <row r="452">
      <c r="A452" s="14" t="n"/>
      <c r="B452" s="11" t="n"/>
      <c r="C452" s="11" t="n"/>
      <c r="D452" s="11" t="n"/>
      <c r="E452" s="18" t="n"/>
      <c r="F452" s="18" t="n"/>
      <c r="G452" s="18" t="n"/>
      <c r="H452" s="18" t="n"/>
      <c r="I452" s="23">
        <f>IF(E452="","",E452+F452+G452+H452)</f>
        <v/>
      </c>
      <c r="J452" s="11" t="n"/>
      <c r="K452">
        <f>IF(D452="","",UPPER(TRIM(C452))&amp;"|"&amp;UPPER(TRIM(D452)))</f>
        <v/>
      </c>
      <c r="L452">
        <f>IF(K452="","",IF(COUNTIF('GSTR-2B Data'!$J$5:$J$504,K452)=0,"Not in 2B — follow up",IF(ABS(SUMIF('GSTR-2B Data'!$J$5:$J$504,K452,'GSTR-2B Data'!$I$5:$I$504)-(F452+G452+H452))&gt;1,"Tax amount differs","Matched")))</f>
        <v/>
      </c>
    </row>
    <row r="453">
      <c r="A453" s="14" t="n"/>
      <c r="B453" s="11" t="n"/>
      <c r="C453" s="11" t="n"/>
      <c r="D453" s="11" t="n"/>
      <c r="E453" s="18" t="n"/>
      <c r="F453" s="18" t="n"/>
      <c r="G453" s="18" t="n"/>
      <c r="H453" s="18" t="n"/>
      <c r="I453" s="23">
        <f>IF(E453="","",E453+F453+G453+H453)</f>
        <v/>
      </c>
      <c r="J453" s="11" t="n"/>
      <c r="K453">
        <f>IF(D453="","",UPPER(TRIM(C453))&amp;"|"&amp;UPPER(TRIM(D453)))</f>
        <v/>
      </c>
      <c r="L453">
        <f>IF(K453="","",IF(COUNTIF('GSTR-2B Data'!$J$5:$J$504,K453)=0,"Not in 2B — follow up",IF(ABS(SUMIF('GSTR-2B Data'!$J$5:$J$504,K453,'GSTR-2B Data'!$I$5:$I$504)-(F453+G453+H453))&gt;1,"Tax amount differs","Matched")))</f>
        <v/>
      </c>
    </row>
    <row r="454">
      <c r="A454" s="14" t="n"/>
      <c r="B454" s="11" t="n"/>
      <c r="C454" s="11" t="n"/>
      <c r="D454" s="11" t="n"/>
      <c r="E454" s="18" t="n"/>
      <c r="F454" s="18" t="n"/>
      <c r="G454" s="18" t="n"/>
      <c r="H454" s="18" t="n"/>
      <c r="I454" s="23">
        <f>IF(E454="","",E454+F454+G454+H454)</f>
        <v/>
      </c>
      <c r="J454" s="11" t="n"/>
      <c r="K454">
        <f>IF(D454="","",UPPER(TRIM(C454))&amp;"|"&amp;UPPER(TRIM(D454)))</f>
        <v/>
      </c>
      <c r="L454">
        <f>IF(K454="","",IF(COUNTIF('GSTR-2B Data'!$J$5:$J$504,K454)=0,"Not in 2B — follow up",IF(ABS(SUMIF('GSTR-2B Data'!$J$5:$J$504,K454,'GSTR-2B Data'!$I$5:$I$504)-(F454+G454+H454))&gt;1,"Tax amount differs","Matched")))</f>
        <v/>
      </c>
    </row>
    <row r="455">
      <c r="A455" s="14" t="n"/>
      <c r="B455" s="11" t="n"/>
      <c r="C455" s="11" t="n"/>
      <c r="D455" s="11" t="n"/>
      <c r="E455" s="18" t="n"/>
      <c r="F455" s="18" t="n"/>
      <c r="G455" s="18" t="n"/>
      <c r="H455" s="18" t="n"/>
      <c r="I455" s="23">
        <f>IF(E455="","",E455+F455+G455+H455)</f>
        <v/>
      </c>
      <c r="J455" s="11" t="n"/>
      <c r="K455">
        <f>IF(D455="","",UPPER(TRIM(C455))&amp;"|"&amp;UPPER(TRIM(D455)))</f>
        <v/>
      </c>
      <c r="L455">
        <f>IF(K455="","",IF(COUNTIF('GSTR-2B Data'!$J$5:$J$504,K455)=0,"Not in 2B — follow up",IF(ABS(SUMIF('GSTR-2B Data'!$J$5:$J$504,K455,'GSTR-2B Data'!$I$5:$I$504)-(F455+G455+H455))&gt;1,"Tax amount differs","Matched")))</f>
        <v/>
      </c>
    </row>
    <row r="456">
      <c r="A456" s="14" t="n"/>
      <c r="B456" s="11" t="n"/>
      <c r="C456" s="11" t="n"/>
      <c r="D456" s="11" t="n"/>
      <c r="E456" s="18" t="n"/>
      <c r="F456" s="18" t="n"/>
      <c r="G456" s="18" t="n"/>
      <c r="H456" s="18" t="n"/>
      <c r="I456" s="23">
        <f>IF(E456="","",E456+F456+G456+H456)</f>
        <v/>
      </c>
      <c r="J456" s="11" t="n"/>
      <c r="K456">
        <f>IF(D456="","",UPPER(TRIM(C456))&amp;"|"&amp;UPPER(TRIM(D456)))</f>
        <v/>
      </c>
      <c r="L456">
        <f>IF(K456="","",IF(COUNTIF('GSTR-2B Data'!$J$5:$J$504,K456)=0,"Not in 2B — follow up",IF(ABS(SUMIF('GSTR-2B Data'!$J$5:$J$504,K456,'GSTR-2B Data'!$I$5:$I$504)-(F456+G456+H456))&gt;1,"Tax amount differs","Matched")))</f>
        <v/>
      </c>
    </row>
    <row r="457">
      <c r="A457" s="14" t="n"/>
      <c r="B457" s="11" t="n"/>
      <c r="C457" s="11" t="n"/>
      <c r="D457" s="11" t="n"/>
      <c r="E457" s="18" t="n"/>
      <c r="F457" s="18" t="n"/>
      <c r="G457" s="18" t="n"/>
      <c r="H457" s="18" t="n"/>
      <c r="I457" s="23">
        <f>IF(E457="","",E457+F457+G457+H457)</f>
        <v/>
      </c>
      <c r="J457" s="11" t="n"/>
      <c r="K457">
        <f>IF(D457="","",UPPER(TRIM(C457))&amp;"|"&amp;UPPER(TRIM(D457)))</f>
        <v/>
      </c>
      <c r="L457">
        <f>IF(K457="","",IF(COUNTIF('GSTR-2B Data'!$J$5:$J$504,K457)=0,"Not in 2B — follow up",IF(ABS(SUMIF('GSTR-2B Data'!$J$5:$J$504,K457,'GSTR-2B Data'!$I$5:$I$504)-(F457+G457+H457))&gt;1,"Tax amount differs","Matched")))</f>
        <v/>
      </c>
    </row>
    <row r="458">
      <c r="A458" s="14" t="n"/>
      <c r="B458" s="11" t="n"/>
      <c r="C458" s="11" t="n"/>
      <c r="D458" s="11" t="n"/>
      <c r="E458" s="18" t="n"/>
      <c r="F458" s="18" t="n"/>
      <c r="G458" s="18" t="n"/>
      <c r="H458" s="18" t="n"/>
      <c r="I458" s="23">
        <f>IF(E458="","",E458+F458+G458+H458)</f>
        <v/>
      </c>
      <c r="J458" s="11" t="n"/>
      <c r="K458">
        <f>IF(D458="","",UPPER(TRIM(C458))&amp;"|"&amp;UPPER(TRIM(D458)))</f>
        <v/>
      </c>
      <c r="L458">
        <f>IF(K458="","",IF(COUNTIF('GSTR-2B Data'!$J$5:$J$504,K458)=0,"Not in 2B — follow up",IF(ABS(SUMIF('GSTR-2B Data'!$J$5:$J$504,K458,'GSTR-2B Data'!$I$5:$I$504)-(F458+G458+H458))&gt;1,"Tax amount differs","Matched")))</f>
        <v/>
      </c>
    </row>
    <row r="459">
      <c r="A459" s="14" t="n"/>
      <c r="B459" s="11" t="n"/>
      <c r="C459" s="11" t="n"/>
      <c r="D459" s="11" t="n"/>
      <c r="E459" s="18" t="n"/>
      <c r="F459" s="18" t="n"/>
      <c r="G459" s="18" t="n"/>
      <c r="H459" s="18" t="n"/>
      <c r="I459" s="23">
        <f>IF(E459="","",E459+F459+G459+H459)</f>
        <v/>
      </c>
      <c r="J459" s="11" t="n"/>
      <c r="K459">
        <f>IF(D459="","",UPPER(TRIM(C459))&amp;"|"&amp;UPPER(TRIM(D459)))</f>
        <v/>
      </c>
      <c r="L459">
        <f>IF(K459="","",IF(COUNTIF('GSTR-2B Data'!$J$5:$J$504,K459)=0,"Not in 2B — follow up",IF(ABS(SUMIF('GSTR-2B Data'!$J$5:$J$504,K459,'GSTR-2B Data'!$I$5:$I$504)-(F459+G459+H459))&gt;1,"Tax amount differs","Matched")))</f>
        <v/>
      </c>
    </row>
    <row r="460">
      <c r="A460" s="14" t="n"/>
      <c r="B460" s="11" t="n"/>
      <c r="C460" s="11" t="n"/>
      <c r="D460" s="11" t="n"/>
      <c r="E460" s="18" t="n"/>
      <c r="F460" s="18" t="n"/>
      <c r="G460" s="18" t="n"/>
      <c r="H460" s="18" t="n"/>
      <c r="I460" s="23">
        <f>IF(E460="","",E460+F460+G460+H460)</f>
        <v/>
      </c>
      <c r="J460" s="11" t="n"/>
      <c r="K460">
        <f>IF(D460="","",UPPER(TRIM(C460))&amp;"|"&amp;UPPER(TRIM(D460)))</f>
        <v/>
      </c>
      <c r="L460">
        <f>IF(K460="","",IF(COUNTIF('GSTR-2B Data'!$J$5:$J$504,K460)=0,"Not in 2B — follow up",IF(ABS(SUMIF('GSTR-2B Data'!$J$5:$J$504,K460,'GSTR-2B Data'!$I$5:$I$504)-(F460+G460+H460))&gt;1,"Tax amount differs","Matched")))</f>
        <v/>
      </c>
    </row>
    <row r="461">
      <c r="A461" s="14" t="n"/>
      <c r="B461" s="11" t="n"/>
      <c r="C461" s="11" t="n"/>
      <c r="D461" s="11" t="n"/>
      <c r="E461" s="18" t="n"/>
      <c r="F461" s="18" t="n"/>
      <c r="G461" s="18" t="n"/>
      <c r="H461" s="18" t="n"/>
      <c r="I461" s="23">
        <f>IF(E461="","",E461+F461+G461+H461)</f>
        <v/>
      </c>
      <c r="J461" s="11" t="n"/>
      <c r="K461">
        <f>IF(D461="","",UPPER(TRIM(C461))&amp;"|"&amp;UPPER(TRIM(D461)))</f>
        <v/>
      </c>
      <c r="L461">
        <f>IF(K461="","",IF(COUNTIF('GSTR-2B Data'!$J$5:$J$504,K461)=0,"Not in 2B — follow up",IF(ABS(SUMIF('GSTR-2B Data'!$J$5:$J$504,K461,'GSTR-2B Data'!$I$5:$I$504)-(F461+G461+H461))&gt;1,"Tax amount differs","Matched")))</f>
        <v/>
      </c>
    </row>
    <row r="462">
      <c r="A462" s="14" t="n"/>
      <c r="B462" s="11" t="n"/>
      <c r="C462" s="11" t="n"/>
      <c r="D462" s="11" t="n"/>
      <c r="E462" s="18" t="n"/>
      <c r="F462" s="18" t="n"/>
      <c r="G462" s="18" t="n"/>
      <c r="H462" s="18" t="n"/>
      <c r="I462" s="23">
        <f>IF(E462="","",E462+F462+G462+H462)</f>
        <v/>
      </c>
      <c r="J462" s="11" t="n"/>
      <c r="K462">
        <f>IF(D462="","",UPPER(TRIM(C462))&amp;"|"&amp;UPPER(TRIM(D462)))</f>
        <v/>
      </c>
      <c r="L462">
        <f>IF(K462="","",IF(COUNTIF('GSTR-2B Data'!$J$5:$J$504,K462)=0,"Not in 2B — follow up",IF(ABS(SUMIF('GSTR-2B Data'!$J$5:$J$504,K462,'GSTR-2B Data'!$I$5:$I$504)-(F462+G462+H462))&gt;1,"Tax amount differs","Matched")))</f>
        <v/>
      </c>
    </row>
    <row r="463">
      <c r="A463" s="14" t="n"/>
      <c r="B463" s="11" t="n"/>
      <c r="C463" s="11" t="n"/>
      <c r="D463" s="11" t="n"/>
      <c r="E463" s="18" t="n"/>
      <c r="F463" s="18" t="n"/>
      <c r="G463" s="18" t="n"/>
      <c r="H463" s="18" t="n"/>
      <c r="I463" s="23">
        <f>IF(E463="","",E463+F463+G463+H463)</f>
        <v/>
      </c>
      <c r="J463" s="11" t="n"/>
      <c r="K463">
        <f>IF(D463="","",UPPER(TRIM(C463))&amp;"|"&amp;UPPER(TRIM(D463)))</f>
        <v/>
      </c>
      <c r="L463">
        <f>IF(K463="","",IF(COUNTIF('GSTR-2B Data'!$J$5:$J$504,K463)=0,"Not in 2B — follow up",IF(ABS(SUMIF('GSTR-2B Data'!$J$5:$J$504,K463,'GSTR-2B Data'!$I$5:$I$504)-(F463+G463+H463))&gt;1,"Tax amount differs","Matched")))</f>
        <v/>
      </c>
    </row>
    <row r="464">
      <c r="A464" s="14" t="n"/>
      <c r="B464" s="11" t="n"/>
      <c r="C464" s="11" t="n"/>
      <c r="D464" s="11" t="n"/>
      <c r="E464" s="18" t="n"/>
      <c r="F464" s="18" t="n"/>
      <c r="G464" s="18" t="n"/>
      <c r="H464" s="18" t="n"/>
      <c r="I464" s="23">
        <f>IF(E464="","",E464+F464+G464+H464)</f>
        <v/>
      </c>
      <c r="J464" s="11" t="n"/>
      <c r="K464">
        <f>IF(D464="","",UPPER(TRIM(C464))&amp;"|"&amp;UPPER(TRIM(D464)))</f>
        <v/>
      </c>
      <c r="L464">
        <f>IF(K464="","",IF(COUNTIF('GSTR-2B Data'!$J$5:$J$504,K464)=0,"Not in 2B — follow up",IF(ABS(SUMIF('GSTR-2B Data'!$J$5:$J$504,K464,'GSTR-2B Data'!$I$5:$I$504)-(F464+G464+H464))&gt;1,"Tax amount differs","Matched")))</f>
        <v/>
      </c>
    </row>
    <row r="465">
      <c r="A465" s="14" t="n"/>
      <c r="B465" s="11" t="n"/>
      <c r="C465" s="11" t="n"/>
      <c r="D465" s="11" t="n"/>
      <c r="E465" s="18" t="n"/>
      <c r="F465" s="18" t="n"/>
      <c r="G465" s="18" t="n"/>
      <c r="H465" s="18" t="n"/>
      <c r="I465" s="23">
        <f>IF(E465="","",E465+F465+G465+H465)</f>
        <v/>
      </c>
      <c r="J465" s="11" t="n"/>
      <c r="K465">
        <f>IF(D465="","",UPPER(TRIM(C465))&amp;"|"&amp;UPPER(TRIM(D465)))</f>
        <v/>
      </c>
      <c r="L465">
        <f>IF(K465="","",IF(COUNTIF('GSTR-2B Data'!$J$5:$J$504,K465)=0,"Not in 2B — follow up",IF(ABS(SUMIF('GSTR-2B Data'!$J$5:$J$504,K465,'GSTR-2B Data'!$I$5:$I$504)-(F465+G465+H465))&gt;1,"Tax amount differs","Matched")))</f>
        <v/>
      </c>
    </row>
    <row r="466">
      <c r="A466" s="14" t="n"/>
      <c r="B466" s="11" t="n"/>
      <c r="C466" s="11" t="n"/>
      <c r="D466" s="11" t="n"/>
      <c r="E466" s="18" t="n"/>
      <c r="F466" s="18" t="n"/>
      <c r="G466" s="18" t="n"/>
      <c r="H466" s="18" t="n"/>
      <c r="I466" s="23">
        <f>IF(E466="","",E466+F466+G466+H466)</f>
        <v/>
      </c>
      <c r="J466" s="11" t="n"/>
      <c r="K466">
        <f>IF(D466="","",UPPER(TRIM(C466))&amp;"|"&amp;UPPER(TRIM(D466)))</f>
        <v/>
      </c>
      <c r="L466">
        <f>IF(K466="","",IF(COUNTIF('GSTR-2B Data'!$J$5:$J$504,K466)=0,"Not in 2B — follow up",IF(ABS(SUMIF('GSTR-2B Data'!$J$5:$J$504,K466,'GSTR-2B Data'!$I$5:$I$504)-(F466+G466+H466))&gt;1,"Tax amount differs","Matched")))</f>
        <v/>
      </c>
    </row>
    <row r="467">
      <c r="A467" s="14" t="n"/>
      <c r="B467" s="11" t="n"/>
      <c r="C467" s="11" t="n"/>
      <c r="D467" s="11" t="n"/>
      <c r="E467" s="18" t="n"/>
      <c r="F467" s="18" t="n"/>
      <c r="G467" s="18" t="n"/>
      <c r="H467" s="18" t="n"/>
      <c r="I467" s="23">
        <f>IF(E467="","",E467+F467+G467+H467)</f>
        <v/>
      </c>
      <c r="J467" s="11" t="n"/>
      <c r="K467">
        <f>IF(D467="","",UPPER(TRIM(C467))&amp;"|"&amp;UPPER(TRIM(D467)))</f>
        <v/>
      </c>
      <c r="L467">
        <f>IF(K467="","",IF(COUNTIF('GSTR-2B Data'!$J$5:$J$504,K467)=0,"Not in 2B — follow up",IF(ABS(SUMIF('GSTR-2B Data'!$J$5:$J$504,K467,'GSTR-2B Data'!$I$5:$I$504)-(F467+G467+H467))&gt;1,"Tax amount differs","Matched")))</f>
        <v/>
      </c>
    </row>
    <row r="468">
      <c r="A468" s="14" t="n"/>
      <c r="B468" s="11" t="n"/>
      <c r="C468" s="11" t="n"/>
      <c r="D468" s="11" t="n"/>
      <c r="E468" s="18" t="n"/>
      <c r="F468" s="18" t="n"/>
      <c r="G468" s="18" t="n"/>
      <c r="H468" s="18" t="n"/>
      <c r="I468" s="23">
        <f>IF(E468="","",E468+F468+G468+H468)</f>
        <v/>
      </c>
      <c r="J468" s="11" t="n"/>
      <c r="K468">
        <f>IF(D468="","",UPPER(TRIM(C468))&amp;"|"&amp;UPPER(TRIM(D468)))</f>
        <v/>
      </c>
      <c r="L468">
        <f>IF(K468="","",IF(COUNTIF('GSTR-2B Data'!$J$5:$J$504,K468)=0,"Not in 2B — follow up",IF(ABS(SUMIF('GSTR-2B Data'!$J$5:$J$504,K468,'GSTR-2B Data'!$I$5:$I$504)-(F468+G468+H468))&gt;1,"Tax amount differs","Matched")))</f>
        <v/>
      </c>
    </row>
    <row r="469">
      <c r="A469" s="14" t="n"/>
      <c r="B469" s="11" t="n"/>
      <c r="C469" s="11" t="n"/>
      <c r="D469" s="11" t="n"/>
      <c r="E469" s="18" t="n"/>
      <c r="F469" s="18" t="n"/>
      <c r="G469" s="18" t="n"/>
      <c r="H469" s="18" t="n"/>
      <c r="I469" s="23">
        <f>IF(E469="","",E469+F469+G469+H469)</f>
        <v/>
      </c>
      <c r="J469" s="11" t="n"/>
      <c r="K469">
        <f>IF(D469="","",UPPER(TRIM(C469))&amp;"|"&amp;UPPER(TRIM(D469)))</f>
        <v/>
      </c>
      <c r="L469">
        <f>IF(K469="","",IF(COUNTIF('GSTR-2B Data'!$J$5:$J$504,K469)=0,"Not in 2B — follow up",IF(ABS(SUMIF('GSTR-2B Data'!$J$5:$J$504,K469,'GSTR-2B Data'!$I$5:$I$504)-(F469+G469+H469))&gt;1,"Tax amount differs","Matched")))</f>
        <v/>
      </c>
    </row>
    <row r="470">
      <c r="A470" s="14" t="n"/>
      <c r="B470" s="11" t="n"/>
      <c r="C470" s="11" t="n"/>
      <c r="D470" s="11" t="n"/>
      <c r="E470" s="18" t="n"/>
      <c r="F470" s="18" t="n"/>
      <c r="G470" s="18" t="n"/>
      <c r="H470" s="18" t="n"/>
      <c r="I470" s="23">
        <f>IF(E470="","",E470+F470+G470+H470)</f>
        <v/>
      </c>
      <c r="J470" s="11" t="n"/>
      <c r="K470">
        <f>IF(D470="","",UPPER(TRIM(C470))&amp;"|"&amp;UPPER(TRIM(D470)))</f>
        <v/>
      </c>
      <c r="L470">
        <f>IF(K470="","",IF(COUNTIF('GSTR-2B Data'!$J$5:$J$504,K470)=0,"Not in 2B — follow up",IF(ABS(SUMIF('GSTR-2B Data'!$J$5:$J$504,K470,'GSTR-2B Data'!$I$5:$I$504)-(F470+G470+H470))&gt;1,"Tax amount differs","Matched")))</f>
        <v/>
      </c>
    </row>
    <row r="471">
      <c r="A471" s="14" t="n"/>
      <c r="B471" s="11" t="n"/>
      <c r="C471" s="11" t="n"/>
      <c r="D471" s="11" t="n"/>
      <c r="E471" s="18" t="n"/>
      <c r="F471" s="18" t="n"/>
      <c r="G471" s="18" t="n"/>
      <c r="H471" s="18" t="n"/>
      <c r="I471" s="23">
        <f>IF(E471="","",E471+F471+G471+H471)</f>
        <v/>
      </c>
      <c r="J471" s="11" t="n"/>
      <c r="K471">
        <f>IF(D471="","",UPPER(TRIM(C471))&amp;"|"&amp;UPPER(TRIM(D471)))</f>
        <v/>
      </c>
      <c r="L471">
        <f>IF(K471="","",IF(COUNTIF('GSTR-2B Data'!$J$5:$J$504,K471)=0,"Not in 2B — follow up",IF(ABS(SUMIF('GSTR-2B Data'!$J$5:$J$504,K471,'GSTR-2B Data'!$I$5:$I$504)-(F471+G471+H471))&gt;1,"Tax amount differs","Matched")))</f>
        <v/>
      </c>
    </row>
    <row r="472">
      <c r="A472" s="14" t="n"/>
      <c r="B472" s="11" t="n"/>
      <c r="C472" s="11" t="n"/>
      <c r="D472" s="11" t="n"/>
      <c r="E472" s="18" t="n"/>
      <c r="F472" s="18" t="n"/>
      <c r="G472" s="18" t="n"/>
      <c r="H472" s="18" t="n"/>
      <c r="I472" s="23">
        <f>IF(E472="","",E472+F472+G472+H472)</f>
        <v/>
      </c>
      <c r="J472" s="11" t="n"/>
      <c r="K472">
        <f>IF(D472="","",UPPER(TRIM(C472))&amp;"|"&amp;UPPER(TRIM(D472)))</f>
        <v/>
      </c>
      <c r="L472">
        <f>IF(K472="","",IF(COUNTIF('GSTR-2B Data'!$J$5:$J$504,K472)=0,"Not in 2B — follow up",IF(ABS(SUMIF('GSTR-2B Data'!$J$5:$J$504,K472,'GSTR-2B Data'!$I$5:$I$504)-(F472+G472+H472))&gt;1,"Tax amount differs","Matched")))</f>
        <v/>
      </c>
    </row>
    <row r="473">
      <c r="A473" s="14" t="n"/>
      <c r="B473" s="11" t="n"/>
      <c r="C473" s="11" t="n"/>
      <c r="D473" s="11" t="n"/>
      <c r="E473" s="18" t="n"/>
      <c r="F473" s="18" t="n"/>
      <c r="G473" s="18" t="n"/>
      <c r="H473" s="18" t="n"/>
      <c r="I473" s="23">
        <f>IF(E473="","",E473+F473+G473+H473)</f>
        <v/>
      </c>
      <c r="J473" s="11" t="n"/>
      <c r="K473">
        <f>IF(D473="","",UPPER(TRIM(C473))&amp;"|"&amp;UPPER(TRIM(D473)))</f>
        <v/>
      </c>
      <c r="L473">
        <f>IF(K473="","",IF(COUNTIF('GSTR-2B Data'!$J$5:$J$504,K473)=0,"Not in 2B — follow up",IF(ABS(SUMIF('GSTR-2B Data'!$J$5:$J$504,K473,'GSTR-2B Data'!$I$5:$I$504)-(F473+G473+H473))&gt;1,"Tax amount differs","Matched")))</f>
        <v/>
      </c>
    </row>
    <row r="474">
      <c r="A474" s="14" t="n"/>
      <c r="B474" s="11" t="n"/>
      <c r="C474" s="11" t="n"/>
      <c r="D474" s="11" t="n"/>
      <c r="E474" s="18" t="n"/>
      <c r="F474" s="18" t="n"/>
      <c r="G474" s="18" t="n"/>
      <c r="H474" s="18" t="n"/>
      <c r="I474" s="23">
        <f>IF(E474="","",E474+F474+G474+H474)</f>
        <v/>
      </c>
      <c r="J474" s="11" t="n"/>
      <c r="K474">
        <f>IF(D474="","",UPPER(TRIM(C474))&amp;"|"&amp;UPPER(TRIM(D474)))</f>
        <v/>
      </c>
      <c r="L474">
        <f>IF(K474="","",IF(COUNTIF('GSTR-2B Data'!$J$5:$J$504,K474)=0,"Not in 2B — follow up",IF(ABS(SUMIF('GSTR-2B Data'!$J$5:$J$504,K474,'GSTR-2B Data'!$I$5:$I$504)-(F474+G474+H474))&gt;1,"Tax amount differs","Matched")))</f>
        <v/>
      </c>
    </row>
    <row r="475">
      <c r="A475" s="14" t="n"/>
      <c r="B475" s="11" t="n"/>
      <c r="C475" s="11" t="n"/>
      <c r="D475" s="11" t="n"/>
      <c r="E475" s="18" t="n"/>
      <c r="F475" s="18" t="n"/>
      <c r="G475" s="18" t="n"/>
      <c r="H475" s="18" t="n"/>
      <c r="I475" s="23">
        <f>IF(E475="","",E475+F475+G475+H475)</f>
        <v/>
      </c>
      <c r="J475" s="11" t="n"/>
      <c r="K475">
        <f>IF(D475="","",UPPER(TRIM(C475))&amp;"|"&amp;UPPER(TRIM(D475)))</f>
        <v/>
      </c>
      <c r="L475">
        <f>IF(K475="","",IF(COUNTIF('GSTR-2B Data'!$J$5:$J$504,K475)=0,"Not in 2B — follow up",IF(ABS(SUMIF('GSTR-2B Data'!$J$5:$J$504,K475,'GSTR-2B Data'!$I$5:$I$504)-(F475+G475+H475))&gt;1,"Tax amount differs","Matched")))</f>
        <v/>
      </c>
    </row>
    <row r="476">
      <c r="A476" s="14" t="n"/>
      <c r="B476" s="11" t="n"/>
      <c r="C476" s="11" t="n"/>
      <c r="D476" s="11" t="n"/>
      <c r="E476" s="18" t="n"/>
      <c r="F476" s="18" t="n"/>
      <c r="G476" s="18" t="n"/>
      <c r="H476" s="18" t="n"/>
      <c r="I476" s="23">
        <f>IF(E476="","",E476+F476+G476+H476)</f>
        <v/>
      </c>
      <c r="J476" s="11" t="n"/>
      <c r="K476">
        <f>IF(D476="","",UPPER(TRIM(C476))&amp;"|"&amp;UPPER(TRIM(D476)))</f>
        <v/>
      </c>
      <c r="L476">
        <f>IF(K476="","",IF(COUNTIF('GSTR-2B Data'!$J$5:$J$504,K476)=0,"Not in 2B — follow up",IF(ABS(SUMIF('GSTR-2B Data'!$J$5:$J$504,K476,'GSTR-2B Data'!$I$5:$I$504)-(F476+G476+H476))&gt;1,"Tax amount differs","Matched")))</f>
        <v/>
      </c>
    </row>
    <row r="477">
      <c r="A477" s="14" t="n"/>
      <c r="B477" s="11" t="n"/>
      <c r="C477" s="11" t="n"/>
      <c r="D477" s="11" t="n"/>
      <c r="E477" s="18" t="n"/>
      <c r="F477" s="18" t="n"/>
      <c r="G477" s="18" t="n"/>
      <c r="H477" s="18" t="n"/>
      <c r="I477" s="23">
        <f>IF(E477="","",E477+F477+G477+H477)</f>
        <v/>
      </c>
      <c r="J477" s="11" t="n"/>
      <c r="K477">
        <f>IF(D477="","",UPPER(TRIM(C477))&amp;"|"&amp;UPPER(TRIM(D477)))</f>
        <v/>
      </c>
      <c r="L477">
        <f>IF(K477="","",IF(COUNTIF('GSTR-2B Data'!$J$5:$J$504,K477)=0,"Not in 2B — follow up",IF(ABS(SUMIF('GSTR-2B Data'!$J$5:$J$504,K477,'GSTR-2B Data'!$I$5:$I$504)-(F477+G477+H477))&gt;1,"Tax amount differs","Matched")))</f>
        <v/>
      </c>
    </row>
    <row r="478">
      <c r="A478" s="14" t="n"/>
      <c r="B478" s="11" t="n"/>
      <c r="C478" s="11" t="n"/>
      <c r="D478" s="11" t="n"/>
      <c r="E478" s="18" t="n"/>
      <c r="F478" s="18" t="n"/>
      <c r="G478" s="18" t="n"/>
      <c r="H478" s="18" t="n"/>
      <c r="I478" s="23">
        <f>IF(E478="","",E478+F478+G478+H478)</f>
        <v/>
      </c>
      <c r="J478" s="11" t="n"/>
      <c r="K478">
        <f>IF(D478="","",UPPER(TRIM(C478))&amp;"|"&amp;UPPER(TRIM(D478)))</f>
        <v/>
      </c>
      <c r="L478">
        <f>IF(K478="","",IF(COUNTIF('GSTR-2B Data'!$J$5:$J$504,K478)=0,"Not in 2B — follow up",IF(ABS(SUMIF('GSTR-2B Data'!$J$5:$J$504,K478,'GSTR-2B Data'!$I$5:$I$504)-(F478+G478+H478))&gt;1,"Tax amount differs","Matched")))</f>
        <v/>
      </c>
    </row>
    <row r="479">
      <c r="A479" s="14" t="n"/>
      <c r="B479" s="11" t="n"/>
      <c r="C479" s="11" t="n"/>
      <c r="D479" s="11" t="n"/>
      <c r="E479" s="18" t="n"/>
      <c r="F479" s="18" t="n"/>
      <c r="G479" s="18" t="n"/>
      <c r="H479" s="18" t="n"/>
      <c r="I479" s="23">
        <f>IF(E479="","",E479+F479+G479+H479)</f>
        <v/>
      </c>
      <c r="J479" s="11" t="n"/>
      <c r="K479">
        <f>IF(D479="","",UPPER(TRIM(C479))&amp;"|"&amp;UPPER(TRIM(D479)))</f>
        <v/>
      </c>
      <c r="L479">
        <f>IF(K479="","",IF(COUNTIF('GSTR-2B Data'!$J$5:$J$504,K479)=0,"Not in 2B — follow up",IF(ABS(SUMIF('GSTR-2B Data'!$J$5:$J$504,K479,'GSTR-2B Data'!$I$5:$I$504)-(F479+G479+H479))&gt;1,"Tax amount differs","Matched")))</f>
        <v/>
      </c>
    </row>
    <row r="480">
      <c r="A480" s="14" t="n"/>
      <c r="B480" s="11" t="n"/>
      <c r="C480" s="11" t="n"/>
      <c r="D480" s="11" t="n"/>
      <c r="E480" s="18" t="n"/>
      <c r="F480" s="18" t="n"/>
      <c r="G480" s="18" t="n"/>
      <c r="H480" s="18" t="n"/>
      <c r="I480" s="23">
        <f>IF(E480="","",E480+F480+G480+H480)</f>
        <v/>
      </c>
      <c r="J480" s="11" t="n"/>
      <c r="K480">
        <f>IF(D480="","",UPPER(TRIM(C480))&amp;"|"&amp;UPPER(TRIM(D480)))</f>
        <v/>
      </c>
      <c r="L480">
        <f>IF(K480="","",IF(COUNTIF('GSTR-2B Data'!$J$5:$J$504,K480)=0,"Not in 2B — follow up",IF(ABS(SUMIF('GSTR-2B Data'!$J$5:$J$504,K480,'GSTR-2B Data'!$I$5:$I$504)-(F480+G480+H480))&gt;1,"Tax amount differs","Matched")))</f>
        <v/>
      </c>
    </row>
    <row r="481">
      <c r="A481" s="14" t="n"/>
      <c r="B481" s="11" t="n"/>
      <c r="C481" s="11" t="n"/>
      <c r="D481" s="11" t="n"/>
      <c r="E481" s="18" t="n"/>
      <c r="F481" s="18" t="n"/>
      <c r="G481" s="18" t="n"/>
      <c r="H481" s="18" t="n"/>
      <c r="I481" s="23">
        <f>IF(E481="","",E481+F481+G481+H481)</f>
        <v/>
      </c>
      <c r="J481" s="11" t="n"/>
      <c r="K481">
        <f>IF(D481="","",UPPER(TRIM(C481))&amp;"|"&amp;UPPER(TRIM(D481)))</f>
        <v/>
      </c>
      <c r="L481">
        <f>IF(K481="","",IF(COUNTIF('GSTR-2B Data'!$J$5:$J$504,K481)=0,"Not in 2B — follow up",IF(ABS(SUMIF('GSTR-2B Data'!$J$5:$J$504,K481,'GSTR-2B Data'!$I$5:$I$504)-(F481+G481+H481))&gt;1,"Tax amount differs","Matched")))</f>
        <v/>
      </c>
    </row>
    <row r="482">
      <c r="A482" s="14" t="n"/>
      <c r="B482" s="11" t="n"/>
      <c r="C482" s="11" t="n"/>
      <c r="D482" s="11" t="n"/>
      <c r="E482" s="18" t="n"/>
      <c r="F482" s="18" t="n"/>
      <c r="G482" s="18" t="n"/>
      <c r="H482" s="18" t="n"/>
      <c r="I482" s="23">
        <f>IF(E482="","",E482+F482+G482+H482)</f>
        <v/>
      </c>
      <c r="J482" s="11" t="n"/>
      <c r="K482">
        <f>IF(D482="","",UPPER(TRIM(C482))&amp;"|"&amp;UPPER(TRIM(D482)))</f>
        <v/>
      </c>
      <c r="L482">
        <f>IF(K482="","",IF(COUNTIF('GSTR-2B Data'!$J$5:$J$504,K482)=0,"Not in 2B — follow up",IF(ABS(SUMIF('GSTR-2B Data'!$J$5:$J$504,K482,'GSTR-2B Data'!$I$5:$I$504)-(F482+G482+H482))&gt;1,"Tax amount differs","Matched")))</f>
        <v/>
      </c>
    </row>
    <row r="483">
      <c r="A483" s="14" t="n"/>
      <c r="B483" s="11" t="n"/>
      <c r="C483" s="11" t="n"/>
      <c r="D483" s="11" t="n"/>
      <c r="E483" s="18" t="n"/>
      <c r="F483" s="18" t="n"/>
      <c r="G483" s="18" t="n"/>
      <c r="H483" s="18" t="n"/>
      <c r="I483" s="23">
        <f>IF(E483="","",E483+F483+G483+H483)</f>
        <v/>
      </c>
      <c r="J483" s="11" t="n"/>
      <c r="K483">
        <f>IF(D483="","",UPPER(TRIM(C483))&amp;"|"&amp;UPPER(TRIM(D483)))</f>
        <v/>
      </c>
      <c r="L483">
        <f>IF(K483="","",IF(COUNTIF('GSTR-2B Data'!$J$5:$J$504,K483)=0,"Not in 2B — follow up",IF(ABS(SUMIF('GSTR-2B Data'!$J$5:$J$504,K483,'GSTR-2B Data'!$I$5:$I$504)-(F483+G483+H483))&gt;1,"Tax amount differs","Matched")))</f>
        <v/>
      </c>
    </row>
    <row r="484">
      <c r="A484" s="14" t="n"/>
      <c r="B484" s="11" t="n"/>
      <c r="C484" s="11" t="n"/>
      <c r="D484" s="11" t="n"/>
      <c r="E484" s="18" t="n"/>
      <c r="F484" s="18" t="n"/>
      <c r="G484" s="18" t="n"/>
      <c r="H484" s="18" t="n"/>
      <c r="I484" s="23">
        <f>IF(E484="","",E484+F484+G484+H484)</f>
        <v/>
      </c>
      <c r="J484" s="11" t="n"/>
      <c r="K484">
        <f>IF(D484="","",UPPER(TRIM(C484))&amp;"|"&amp;UPPER(TRIM(D484)))</f>
        <v/>
      </c>
      <c r="L484">
        <f>IF(K484="","",IF(COUNTIF('GSTR-2B Data'!$J$5:$J$504,K484)=0,"Not in 2B — follow up",IF(ABS(SUMIF('GSTR-2B Data'!$J$5:$J$504,K484,'GSTR-2B Data'!$I$5:$I$504)-(F484+G484+H484))&gt;1,"Tax amount differs","Matched")))</f>
        <v/>
      </c>
    </row>
    <row r="485">
      <c r="A485" s="14" t="n"/>
      <c r="B485" s="11" t="n"/>
      <c r="C485" s="11" t="n"/>
      <c r="D485" s="11" t="n"/>
      <c r="E485" s="18" t="n"/>
      <c r="F485" s="18" t="n"/>
      <c r="G485" s="18" t="n"/>
      <c r="H485" s="18" t="n"/>
      <c r="I485" s="23">
        <f>IF(E485="","",E485+F485+G485+H485)</f>
        <v/>
      </c>
      <c r="J485" s="11" t="n"/>
      <c r="K485">
        <f>IF(D485="","",UPPER(TRIM(C485))&amp;"|"&amp;UPPER(TRIM(D485)))</f>
        <v/>
      </c>
      <c r="L485">
        <f>IF(K485="","",IF(COUNTIF('GSTR-2B Data'!$J$5:$J$504,K485)=0,"Not in 2B — follow up",IF(ABS(SUMIF('GSTR-2B Data'!$J$5:$J$504,K485,'GSTR-2B Data'!$I$5:$I$504)-(F485+G485+H485))&gt;1,"Tax amount differs","Matched")))</f>
        <v/>
      </c>
    </row>
    <row r="486">
      <c r="A486" s="14" t="n"/>
      <c r="B486" s="11" t="n"/>
      <c r="C486" s="11" t="n"/>
      <c r="D486" s="11" t="n"/>
      <c r="E486" s="18" t="n"/>
      <c r="F486" s="18" t="n"/>
      <c r="G486" s="18" t="n"/>
      <c r="H486" s="18" t="n"/>
      <c r="I486" s="23">
        <f>IF(E486="","",E486+F486+G486+H486)</f>
        <v/>
      </c>
      <c r="J486" s="11" t="n"/>
      <c r="K486">
        <f>IF(D486="","",UPPER(TRIM(C486))&amp;"|"&amp;UPPER(TRIM(D486)))</f>
        <v/>
      </c>
      <c r="L486">
        <f>IF(K486="","",IF(COUNTIF('GSTR-2B Data'!$J$5:$J$504,K486)=0,"Not in 2B — follow up",IF(ABS(SUMIF('GSTR-2B Data'!$J$5:$J$504,K486,'GSTR-2B Data'!$I$5:$I$504)-(F486+G486+H486))&gt;1,"Tax amount differs","Matched")))</f>
        <v/>
      </c>
    </row>
    <row r="487">
      <c r="A487" s="14" t="n"/>
      <c r="B487" s="11" t="n"/>
      <c r="C487" s="11" t="n"/>
      <c r="D487" s="11" t="n"/>
      <c r="E487" s="18" t="n"/>
      <c r="F487" s="18" t="n"/>
      <c r="G487" s="18" t="n"/>
      <c r="H487" s="18" t="n"/>
      <c r="I487" s="23">
        <f>IF(E487="","",E487+F487+G487+H487)</f>
        <v/>
      </c>
      <c r="J487" s="11" t="n"/>
      <c r="K487">
        <f>IF(D487="","",UPPER(TRIM(C487))&amp;"|"&amp;UPPER(TRIM(D487)))</f>
        <v/>
      </c>
      <c r="L487">
        <f>IF(K487="","",IF(COUNTIF('GSTR-2B Data'!$J$5:$J$504,K487)=0,"Not in 2B — follow up",IF(ABS(SUMIF('GSTR-2B Data'!$J$5:$J$504,K487,'GSTR-2B Data'!$I$5:$I$504)-(F487+G487+H487))&gt;1,"Tax amount differs","Matched")))</f>
        <v/>
      </c>
    </row>
    <row r="488">
      <c r="A488" s="14" t="n"/>
      <c r="B488" s="11" t="n"/>
      <c r="C488" s="11" t="n"/>
      <c r="D488" s="11" t="n"/>
      <c r="E488" s="18" t="n"/>
      <c r="F488" s="18" t="n"/>
      <c r="G488" s="18" t="n"/>
      <c r="H488" s="18" t="n"/>
      <c r="I488" s="23">
        <f>IF(E488="","",E488+F488+G488+H488)</f>
        <v/>
      </c>
      <c r="J488" s="11" t="n"/>
      <c r="K488">
        <f>IF(D488="","",UPPER(TRIM(C488))&amp;"|"&amp;UPPER(TRIM(D488)))</f>
        <v/>
      </c>
      <c r="L488">
        <f>IF(K488="","",IF(COUNTIF('GSTR-2B Data'!$J$5:$J$504,K488)=0,"Not in 2B — follow up",IF(ABS(SUMIF('GSTR-2B Data'!$J$5:$J$504,K488,'GSTR-2B Data'!$I$5:$I$504)-(F488+G488+H488))&gt;1,"Tax amount differs","Matched")))</f>
        <v/>
      </c>
    </row>
    <row r="489">
      <c r="A489" s="14" t="n"/>
      <c r="B489" s="11" t="n"/>
      <c r="C489" s="11" t="n"/>
      <c r="D489" s="11" t="n"/>
      <c r="E489" s="18" t="n"/>
      <c r="F489" s="18" t="n"/>
      <c r="G489" s="18" t="n"/>
      <c r="H489" s="18" t="n"/>
      <c r="I489" s="23">
        <f>IF(E489="","",E489+F489+G489+H489)</f>
        <v/>
      </c>
      <c r="J489" s="11" t="n"/>
      <c r="K489">
        <f>IF(D489="","",UPPER(TRIM(C489))&amp;"|"&amp;UPPER(TRIM(D489)))</f>
        <v/>
      </c>
      <c r="L489">
        <f>IF(K489="","",IF(COUNTIF('GSTR-2B Data'!$J$5:$J$504,K489)=0,"Not in 2B — follow up",IF(ABS(SUMIF('GSTR-2B Data'!$J$5:$J$504,K489,'GSTR-2B Data'!$I$5:$I$504)-(F489+G489+H489))&gt;1,"Tax amount differs","Matched")))</f>
        <v/>
      </c>
    </row>
    <row r="490">
      <c r="A490" s="14" t="n"/>
      <c r="B490" s="11" t="n"/>
      <c r="C490" s="11" t="n"/>
      <c r="D490" s="11" t="n"/>
      <c r="E490" s="18" t="n"/>
      <c r="F490" s="18" t="n"/>
      <c r="G490" s="18" t="n"/>
      <c r="H490" s="18" t="n"/>
      <c r="I490" s="23">
        <f>IF(E490="","",E490+F490+G490+H490)</f>
        <v/>
      </c>
      <c r="J490" s="11" t="n"/>
      <c r="K490">
        <f>IF(D490="","",UPPER(TRIM(C490))&amp;"|"&amp;UPPER(TRIM(D490)))</f>
        <v/>
      </c>
      <c r="L490">
        <f>IF(K490="","",IF(COUNTIF('GSTR-2B Data'!$J$5:$J$504,K490)=0,"Not in 2B — follow up",IF(ABS(SUMIF('GSTR-2B Data'!$J$5:$J$504,K490,'GSTR-2B Data'!$I$5:$I$504)-(F490+G490+H490))&gt;1,"Tax amount differs","Matched")))</f>
        <v/>
      </c>
    </row>
    <row r="491">
      <c r="A491" s="14" t="n"/>
      <c r="B491" s="11" t="n"/>
      <c r="C491" s="11" t="n"/>
      <c r="D491" s="11" t="n"/>
      <c r="E491" s="18" t="n"/>
      <c r="F491" s="18" t="n"/>
      <c r="G491" s="18" t="n"/>
      <c r="H491" s="18" t="n"/>
      <c r="I491" s="23">
        <f>IF(E491="","",E491+F491+G491+H491)</f>
        <v/>
      </c>
      <c r="J491" s="11" t="n"/>
      <c r="K491">
        <f>IF(D491="","",UPPER(TRIM(C491))&amp;"|"&amp;UPPER(TRIM(D491)))</f>
        <v/>
      </c>
      <c r="L491">
        <f>IF(K491="","",IF(COUNTIF('GSTR-2B Data'!$J$5:$J$504,K491)=0,"Not in 2B — follow up",IF(ABS(SUMIF('GSTR-2B Data'!$J$5:$J$504,K491,'GSTR-2B Data'!$I$5:$I$504)-(F491+G491+H491))&gt;1,"Tax amount differs","Matched")))</f>
        <v/>
      </c>
    </row>
    <row r="492">
      <c r="A492" s="14" t="n"/>
      <c r="B492" s="11" t="n"/>
      <c r="C492" s="11" t="n"/>
      <c r="D492" s="11" t="n"/>
      <c r="E492" s="18" t="n"/>
      <c r="F492" s="18" t="n"/>
      <c r="G492" s="18" t="n"/>
      <c r="H492" s="18" t="n"/>
      <c r="I492" s="23">
        <f>IF(E492="","",E492+F492+G492+H492)</f>
        <v/>
      </c>
      <c r="J492" s="11" t="n"/>
      <c r="K492">
        <f>IF(D492="","",UPPER(TRIM(C492))&amp;"|"&amp;UPPER(TRIM(D492)))</f>
        <v/>
      </c>
      <c r="L492">
        <f>IF(K492="","",IF(COUNTIF('GSTR-2B Data'!$J$5:$J$504,K492)=0,"Not in 2B — follow up",IF(ABS(SUMIF('GSTR-2B Data'!$J$5:$J$504,K492,'GSTR-2B Data'!$I$5:$I$504)-(F492+G492+H492))&gt;1,"Tax amount differs","Matched")))</f>
        <v/>
      </c>
    </row>
    <row r="493">
      <c r="A493" s="14" t="n"/>
      <c r="B493" s="11" t="n"/>
      <c r="C493" s="11" t="n"/>
      <c r="D493" s="11" t="n"/>
      <c r="E493" s="18" t="n"/>
      <c r="F493" s="18" t="n"/>
      <c r="G493" s="18" t="n"/>
      <c r="H493" s="18" t="n"/>
      <c r="I493" s="23">
        <f>IF(E493="","",E493+F493+G493+H493)</f>
        <v/>
      </c>
      <c r="J493" s="11" t="n"/>
      <c r="K493">
        <f>IF(D493="","",UPPER(TRIM(C493))&amp;"|"&amp;UPPER(TRIM(D493)))</f>
        <v/>
      </c>
      <c r="L493">
        <f>IF(K493="","",IF(COUNTIF('GSTR-2B Data'!$J$5:$J$504,K493)=0,"Not in 2B — follow up",IF(ABS(SUMIF('GSTR-2B Data'!$J$5:$J$504,K493,'GSTR-2B Data'!$I$5:$I$504)-(F493+G493+H493))&gt;1,"Tax amount differs","Matched")))</f>
        <v/>
      </c>
    </row>
    <row r="494">
      <c r="A494" s="14" t="n"/>
      <c r="B494" s="11" t="n"/>
      <c r="C494" s="11" t="n"/>
      <c r="D494" s="11" t="n"/>
      <c r="E494" s="18" t="n"/>
      <c r="F494" s="18" t="n"/>
      <c r="G494" s="18" t="n"/>
      <c r="H494" s="18" t="n"/>
      <c r="I494" s="23">
        <f>IF(E494="","",E494+F494+G494+H494)</f>
        <v/>
      </c>
      <c r="J494" s="11" t="n"/>
      <c r="K494">
        <f>IF(D494="","",UPPER(TRIM(C494))&amp;"|"&amp;UPPER(TRIM(D494)))</f>
        <v/>
      </c>
      <c r="L494">
        <f>IF(K494="","",IF(COUNTIF('GSTR-2B Data'!$J$5:$J$504,K494)=0,"Not in 2B — follow up",IF(ABS(SUMIF('GSTR-2B Data'!$J$5:$J$504,K494,'GSTR-2B Data'!$I$5:$I$504)-(F494+G494+H494))&gt;1,"Tax amount differs","Matched")))</f>
        <v/>
      </c>
    </row>
    <row r="495">
      <c r="A495" s="14" t="n"/>
      <c r="B495" s="11" t="n"/>
      <c r="C495" s="11" t="n"/>
      <c r="D495" s="11" t="n"/>
      <c r="E495" s="18" t="n"/>
      <c r="F495" s="18" t="n"/>
      <c r="G495" s="18" t="n"/>
      <c r="H495" s="18" t="n"/>
      <c r="I495" s="23">
        <f>IF(E495="","",E495+F495+G495+H495)</f>
        <v/>
      </c>
      <c r="J495" s="11" t="n"/>
      <c r="K495">
        <f>IF(D495="","",UPPER(TRIM(C495))&amp;"|"&amp;UPPER(TRIM(D495)))</f>
        <v/>
      </c>
      <c r="L495">
        <f>IF(K495="","",IF(COUNTIF('GSTR-2B Data'!$J$5:$J$504,K495)=0,"Not in 2B — follow up",IF(ABS(SUMIF('GSTR-2B Data'!$J$5:$J$504,K495,'GSTR-2B Data'!$I$5:$I$504)-(F495+G495+H495))&gt;1,"Tax amount differs","Matched")))</f>
        <v/>
      </c>
    </row>
    <row r="496">
      <c r="A496" s="14" t="n"/>
      <c r="B496" s="11" t="n"/>
      <c r="C496" s="11" t="n"/>
      <c r="D496" s="11" t="n"/>
      <c r="E496" s="18" t="n"/>
      <c r="F496" s="18" t="n"/>
      <c r="G496" s="18" t="n"/>
      <c r="H496" s="18" t="n"/>
      <c r="I496" s="23">
        <f>IF(E496="","",E496+F496+G496+H496)</f>
        <v/>
      </c>
      <c r="J496" s="11" t="n"/>
      <c r="K496">
        <f>IF(D496="","",UPPER(TRIM(C496))&amp;"|"&amp;UPPER(TRIM(D496)))</f>
        <v/>
      </c>
      <c r="L496">
        <f>IF(K496="","",IF(COUNTIF('GSTR-2B Data'!$J$5:$J$504,K496)=0,"Not in 2B — follow up",IF(ABS(SUMIF('GSTR-2B Data'!$J$5:$J$504,K496,'GSTR-2B Data'!$I$5:$I$504)-(F496+G496+H496))&gt;1,"Tax amount differs","Matched")))</f>
        <v/>
      </c>
    </row>
    <row r="497">
      <c r="A497" s="14" t="n"/>
      <c r="B497" s="11" t="n"/>
      <c r="C497" s="11" t="n"/>
      <c r="D497" s="11" t="n"/>
      <c r="E497" s="18" t="n"/>
      <c r="F497" s="18" t="n"/>
      <c r="G497" s="18" t="n"/>
      <c r="H497" s="18" t="n"/>
      <c r="I497" s="23">
        <f>IF(E497="","",E497+F497+G497+H497)</f>
        <v/>
      </c>
      <c r="J497" s="11" t="n"/>
      <c r="K497">
        <f>IF(D497="","",UPPER(TRIM(C497))&amp;"|"&amp;UPPER(TRIM(D497)))</f>
        <v/>
      </c>
      <c r="L497">
        <f>IF(K497="","",IF(COUNTIF('GSTR-2B Data'!$J$5:$J$504,K497)=0,"Not in 2B — follow up",IF(ABS(SUMIF('GSTR-2B Data'!$J$5:$J$504,K497,'GSTR-2B Data'!$I$5:$I$504)-(F497+G497+H497))&gt;1,"Tax amount differs","Matched")))</f>
        <v/>
      </c>
    </row>
    <row r="498">
      <c r="A498" s="14" t="n"/>
      <c r="B498" s="11" t="n"/>
      <c r="C498" s="11" t="n"/>
      <c r="D498" s="11" t="n"/>
      <c r="E498" s="18" t="n"/>
      <c r="F498" s="18" t="n"/>
      <c r="G498" s="18" t="n"/>
      <c r="H498" s="18" t="n"/>
      <c r="I498" s="23">
        <f>IF(E498="","",E498+F498+G498+H498)</f>
        <v/>
      </c>
      <c r="J498" s="11" t="n"/>
      <c r="K498">
        <f>IF(D498="","",UPPER(TRIM(C498))&amp;"|"&amp;UPPER(TRIM(D498)))</f>
        <v/>
      </c>
      <c r="L498">
        <f>IF(K498="","",IF(COUNTIF('GSTR-2B Data'!$J$5:$J$504,K498)=0,"Not in 2B — follow up",IF(ABS(SUMIF('GSTR-2B Data'!$J$5:$J$504,K498,'GSTR-2B Data'!$I$5:$I$504)-(F498+G498+H498))&gt;1,"Tax amount differs","Matched")))</f>
        <v/>
      </c>
    </row>
    <row r="499">
      <c r="A499" s="14" t="n"/>
      <c r="B499" s="11" t="n"/>
      <c r="C499" s="11" t="n"/>
      <c r="D499" s="11" t="n"/>
      <c r="E499" s="18" t="n"/>
      <c r="F499" s="18" t="n"/>
      <c r="G499" s="18" t="n"/>
      <c r="H499" s="18" t="n"/>
      <c r="I499" s="23">
        <f>IF(E499="","",E499+F499+G499+H499)</f>
        <v/>
      </c>
      <c r="J499" s="11" t="n"/>
      <c r="K499">
        <f>IF(D499="","",UPPER(TRIM(C499))&amp;"|"&amp;UPPER(TRIM(D499)))</f>
        <v/>
      </c>
      <c r="L499">
        <f>IF(K499="","",IF(COUNTIF('GSTR-2B Data'!$J$5:$J$504,K499)=0,"Not in 2B — follow up",IF(ABS(SUMIF('GSTR-2B Data'!$J$5:$J$504,K499,'GSTR-2B Data'!$I$5:$I$504)-(F499+G499+H499))&gt;1,"Tax amount differs","Matched")))</f>
        <v/>
      </c>
    </row>
    <row r="500">
      <c r="A500" s="14" t="n"/>
      <c r="B500" s="11" t="n"/>
      <c r="C500" s="11" t="n"/>
      <c r="D500" s="11" t="n"/>
      <c r="E500" s="18" t="n"/>
      <c r="F500" s="18" t="n"/>
      <c r="G500" s="18" t="n"/>
      <c r="H500" s="18" t="n"/>
      <c r="I500" s="23">
        <f>IF(E500="","",E500+F500+G500+H500)</f>
        <v/>
      </c>
      <c r="J500" s="11" t="n"/>
      <c r="K500">
        <f>IF(D500="","",UPPER(TRIM(C500))&amp;"|"&amp;UPPER(TRIM(D500)))</f>
        <v/>
      </c>
      <c r="L500">
        <f>IF(K500="","",IF(COUNTIF('GSTR-2B Data'!$J$5:$J$504,K500)=0,"Not in 2B — follow up",IF(ABS(SUMIF('GSTR-2B Data'!$J$5:$J$504,K500,'GSTR-2B Data'!$I$5:$I$504)-(F500+G500+H500))&gt;1,"Tax amount differs","Matched")))</f>
        <v/>
      </c>
    </row>
    <row r="501">
      <c r="A501" s="14" t="n"/>
      <c r="B501" s="11" t="n"/>
      <c r="C501" s="11" t="n"/>
      <c r="D501" s="11" t="n"/>
      <c r="E501" s="18" t="n"/>
      <c r="F501" s="18" t="n"/>
      <c r="G501" s="18" t="n"/>
      <c r="H501" s="18" t="n"/>
      <c r="I501" s="23">
        <f>IF(E501="","",E501+F501+G501+H501)</f>
        <v/>
      </c>
      <c r="J501" s="11" t="n"/>
      <c r="K501">
        <f>IF(D501="","",UPPER(TRIM(C501))&amp;"|"&amp;UPPER(TRIM(D501)))</f>
        <v/>
      </c>
      <c r="L501">
        <f>IF(K501="","",IF(COUNTIF('GSTR-2B Data'!$J$5:$J$504,K501)=0,"Not in 2B — follow up",IF(ABS(SUMIF('GSTR-2B Data'!$J$5:$J$504,K501,'GSTR-2B Data'!$I$5:$I$504)-(F501+G501+H501))&gt;1,"Tax amount differs","Matched")))</f>
        <v/>
      </c>
    </row>
    <row r="502">
      <c r="A502" s="14" t="n"/>
      <c r="B502" s="11" t="n"/>
      <c r="C502" s="11" t="n"/>
      <c r="D502" s="11" t="n"/>
      <c r="E502" s="18" t="n"/>
      <c r="F502" s="18" t="n"/>
      <c r="G502" s="18" t="n"/>
      <c r="H502" s="18" t="n"/>
      <c r="I502" s="23">
        <f>IF(E502="","",E502+F502+G502+H502)</f>
        <v/>
      </c>
      <c r="J502" s="11" t="n"/>
      <c r="K502">
        <f>IF(D502="","",UPPER(TRIM(C502))&amp;"|"&amp;UPPER(TRIM(D502)))</f>
        <v/>
      </c>
      <c r="L502">
        <f>IF(K502="","",IF(COUNTIF('GSTR-2B Data'!$J$5:$J$504,K502)=0,"Not in 2B — follow up",IF(ABS(SUMIF('GSTR-2B Data'!$J$5:$J$504,K502,'GSTR-2B Data'!$I$5:$I$504)-(F502+G502+H502))&gt;1,"Tax amount differs","Matched")))</f>
        <v/>
      </c>
    </row>
    <row r="503">
      <c r="A503" s="14" t="n"/>
      <c r="B503" s="11" t="n"/>
      <c r="C503" s="11" t="n"/>
      <c r="D503" s="11" t="n"/>
      <c r="E503" s="18" t="n"/>
      <c r="F503" s="18" t="n"/>
      <c r="G503" s="18" t="n"/>
      <c r="H503" s="18" t="n"/>
      <c r="I503" s="23">
        <f>IF(E503="","",E503+F503+G503+H503)</f>
        <v/>
      </c>
      <c r="J503" s="11" t="n"/>
      <c r="K503">
        <f>IF(D503="","",UPPER(TRIM(C503))&amp;"|"&amp;UPPER(TRIM(D503)))</f>
        <v/>
      </c>
      <c r="L503">
        <f>IF(K503="","",IF(COUNTIF('GSTR-2B Data'!$J$5:$J$504,K503)=0,"Not in 2B — follow up",IF(ABS(SUMIF('GSTR-2B Data'!$J$5:$J$504,K503,'GSTR-2B Data'!$I$5:$I$504)-(F503+G503+H503))&gt;1,"Tax amount differs","Matched")))</f>
        <v/>
      </c>
    </row>
    <row r="504">
      <c r="A504" s="14" t="n"/>
      <c r="B504" s="11" t="n"/>
      <c r="C504" s="11" t="n"/>
      <c r="D504" s="11" t="n"/>
      <c r="E504" s="18" t="n"/>
      <c r="F504" s="18" t="n"/>
      <c r="G504" s="18" t="n"/>
      <c r="H504" s="18" t="n"/>
      <c r="I504" s="23">
        <f>IF(E504="","",E504+F504+G504+H504)</f>
        <v/>
      </c>
      <c r="J504" s="11" t="n"/>
      <c r="K504">
        <f>IF(D504="","",UPPER(TRIM(C504))&amp;"|"&amp;UPPER(TRIM(D504)))</f>
        <v/>
      </c>
      <c r="L504">
        <f>IF(K504="","",IF(COUNTIF('GSTR-2B Data'!$J$5:$J$504,K504)=0,"Not in 2B — follow up",IF(ABS(SUMIF('GSTR-2B Data'!$J$5:$J$504,K504,'GSTR-2B Data'!$I$5:$I$504)-(F504+G504+H504))&gt;1,"Tax amount differs","Matched")))</f>
        <v/>
      </c>
    </row>
  </sheetData>
  <mergeCells count="2">
    <mergeCell ref="A2:L2"/>
    <mergeCell ref="A1:L1"/>
  </mergeCells>
  <dataValidations count="1">
    <dataValidation sqref="J5:J50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26" customWidth="1" min="10" max="10"/>
    <col width="26" customWidth="1" min="11" max="11"/>
  </cols>
  <sheetData>
    <row r="1">
      <c r="A1" s="8" t="inlineStr">
        <is>
          <t>GSTR-2B Data (paste from the portal)</t>
        </is>
      </c>
    </row>
    <row r="2">
      <c r="A2" s="9" t="inlineStr">
        <is>
          <t>GST portal → Returns → GSTR-2B → Download (Excel) → 'B2B' tab. Paste supplier GSTIN, name, invoice no., date, taxable value and tax into the yellow columns.</t>
        </is>
      </c>
    </row>
    <row r="4" ht="32" customHeight="1">
      <c r="A4" s="17" t="inlineStr">
        <is>
          <t>Supplier GSTIN</t>
        </is>
      </c>
      <c r="B4" s="17" t="inlineStr">
        <is>
          <t>Supplier name</t>
        </is>
      </c>
      <c r="C4" s="17" t="inlineStr">
        <is>
          <t>Invoice No.</t>
        </is>
      </c>
      <c r="D4" s="17" t="inlineStr">
        <is>
          <t>Invoice date</t>
        </is>
      </c>
      <c r="E4" s="17" t="inlineStr">
        <is>
          <t>Taxable value</t>
        </is>
      </c>
      <c r="F4" s="17" t="inlineStr">
        <is>
          <t>CGST</t>
        </is>
      </c>
      <c r="G4" s="17" t="inlineStr">
        <is>
          <t>SGST</t>
        </is>
      </c>
      <c r="H4" s="17" t="inlineStr">
        <is>
          <t>IGST</t>
        </is>
      </c>
      <c r="I4" s="17" t="inlineStr">
        <is>
          <t>Total tax</t>
        </is>
      </c>
      <c r="J4" s="17" t="inlineStr">
        <is>
          <t>Match key</t>
        </is>
      </c>
      <c r="K4" s="17" t="inlineStr">
        <is>
          <t>In your books?</t>
        </is>
      </c>
    </row>
    <row r="5">
      <c r="A5" s="11" t="n"/>
      <c r="B5" s="11" t="n"/>
      <c r="C5" s="11" t="n"/>
      <c r="D5" s="14" t="n"/>
      <c r="E5" s="18" t="n"/>
      <c r="F5" s="18" t="n"/>
      <c r="G5" s="18" t="n"/>
      <c r="H5" s="18" t="n"/>
      <c r="I5" s="23">
        <f>IF(C5="","",F5+G5+H5)</f>
        <v/>
      </c>
      <c r="J5">
        <f>IF(C5="","",UPPER(TRIM(A5))&amp;"|"&amp;UPPER(TRIM(C5)))</f>
        <v/>
      </c>
      <c r="K5">
        <f>IF(J5="","",IF(COUNTIF('Purchase Register'!$K$5:$K$504,J5)=0,"In 2B, not in your books","In books"))</f>
        <v/>
      </c>
    </row>
    <row r="6">
      <c r="A6" s="11" t="n"/>
      <c r="B6" s="11" t="n"/>
      <c r="C6" s="11" t="n"/>
      <c r="D6" s="14" t="n"/>
      <c r="E6" s="18" t="n"/>
      <c r="F6" s="18" t="n"/>
      <c r="G6" s="18" t="n"/>
      <c r="H6" s="18" t="n"/>
      <c r="I6" s="23">
        <f>IF(C6="","",F6+G6+H6)</f>
        <v/>
      </c>
      <c r="J6">
        <f>IF(C6="","",UPPER(TRIM(A6))&amp;"|"&amp;UPPER(TRIM(C6)))</f>
        <v/>
      </c>
      <c r="K6">
        <f>IF(J6="","",IF(COUNTIF('Purchase Register'!$K$5:$K$504,J6)=0,"In 2B, not in your books","In books"))</f>
        <v/>
      </c>
    </row>
    <row r="7">
      <c r="A7" s="11" t="n"/>
      <c r="B7" s="11" t="n"/>
      <c r="C7" s="11" t="n"/>
      <c r="D7" s="14" t="n"/>
      <c r="E7" s="18" t="n"/>
      <c r="F7" s="18" t="n"/>
      <c r="G7" s="18" t="n"/>
      <c r="H7" s="18" t="n"/>
      <c r="I7" s="23">
        <f>IF(C7="","",F7+G7+H7)</f>
        <v/>
      </c>
      <c r="J7">
        <f>IF(C7="","",UPPER(TRIM(A7))&amp;"|"&amp;UPPER(TRIM(C7)))</f>
        <v/>
      </c>
      <c r="K7">
        <f>IF(J7="","",IF(COUNTIF('Purchase Register'!$K$5:$K$504,J7)=0,"In 2B, not in your books","In books"))</f>
        <v/>
      </c>
    </row>
    <row r="8">
      <c r="A8" s="11" t="n"/>
      <c r="B8" s="11" t="n"/>
      <c r="C8" s="11" t="n"/>
      <c r="D8" s="14" t="n"/>
      <c r="E8" s="18" t="n"/>
      <c r="F8" s="18" t="n"/>
      <c r="G8" s="18" t="n"/>
      <c r="H8" s="18" t="n"/>
      <c r="I8" s="23">
        <f>IF(C8="","",F8+G8+H8)</f>
        <v/>
      </c>
      <c r="J8">
        <f>IF(C8="","",UPPER(TRIM(A8))&amp;"|"&amp;UPPER(TRIM(C8)))</f>
        <v/>
      </c>
      <c r="K8">
        <f>IF(J8="","",IF(COUNTIF('Purchase Register'!$K$5:$K$504,J8)=0,"In 2B, not in your books","In books"))</f>
        <v/>
      </c>
    </row>
    <row r="9">
      <c r="A9" s="11" t="n"/>
      <c r="B9" s="11" t="n"/>
      <c r="C9" s="11" t="n"/>
      <c r="D9" s="14" t="n"/>
      <c r="E9" s="18" t="n"/>
      <c r="F9" s="18" t="n"/>
      <c r="G9" s="18" t="n"/>
      <c r="H9" s="18" t="n"/>
      <c r="I9" s="23">
        <f>IF(C9="","",F9+G9+H9)</f>
        <v/>
      </c>
      <c r="J9">
        <f>IF(C9="","",UPPER(TRIM(A9))&amp;"|"&amp;UPPER(TRIM(C9)))</f>
        <v/>
      </c>
      <c r="K9">
        <f>IF(J9="","",IF(COUNTIF('Purchase Register'!$K$5:$K$504,J9)=0,"In 2B, not in your books","In books"))</f>
        <v/>
      </c>
    </row>
    <row r="10">
      <c r="A10" s="11" t="n"/>
      <c r="B10" s="11" t="n"/>
      <c r="C10" s="11" t="n"/>
      <c r="D10" s="14" t="n"/>
      <c r="E10" s="18" t="n"/>
      <c r="F10" s="18" t="n"/>
      <c r="G10" s="18" t="n"/>
      <c r="H10" s="18" t="n"/>
      <c r="I10" s="23">
        <f>IF(C10="","",F10+G10+H10)</f>
        <v/>
      </c>
      <c r="J10">
        <f>IF(C10="","",UPPER(TRIM(A10))&amp;"|"&amp;UPPER(TRIM(C10)))</f>
        <v/>
      </c>
      <c r="K10">
        <f>IF(J10="","",IF(COUNTIF('Purchase Register'!$K$5:$K$504,J10)=0,"In 2B, not in your books","In books"))</f>
        <v/>
      </c>
    </row>
    <row r="11">
      <c r="A11" s="11" t="n"/>
      <c r="B11" s="11" t="n"/>
      <c r="C11" s="11" t="n"/>
      <c r="D11" s="14" t="n"/>
      <c r="E11" s="18" t="n"/>
      <c r="F11" s="18" t="n"/>
      <c r="G11" s="18" t="n"/>
      <c r="H11" s="18" t="n"/>
      <c r="I11" s="23">
        <f>IF(C11="","",F11+G11+H11)</f>
        <v/>
      </c>
      <c r="J11">
        <f>IF(C11="","",UPPER(TRIM(A11))&amp;"|"&amp;UPPER(TRIM(C11)))</f>
        <v/>
      </c>
      <c r="K11">
        <f>IF(J11="","",IF(COUNTIF('Purchase Register'!$K$5:$K$504,J11)=0,"In 2B, not in your books","In books"))</f>
        <v/>
      </c>
    </row>
    <row r="12">
      <c r="A12" s="11" t="n"/>
      <c r="B12" s="11" t="n"/>
      <c r="C12" s="11" t="n"/>
      <c r="D12" s="14" t="n"/>
      <c r="E12" s="18" t="n"/>
      <c r="F12" s="18" t="n"/>
      <c r="G12" s="18" t="n"/>
      <c r="H12" s="18" t="n"/>
      <c r="I12" s="23">
        <f>IF(C12="","",F12+G12+H12)</f>
        <v/>
      </c>
      <c r="J12">
        <f>IF(C12="","",UPPER(TRIM(A12))&amp;"|"&amp;UPPER(TRIM(C12)))</f>
        <v/>
      </c>
      <c r="K12">
        <f>IF(J12="","",IF(COUNTIF('Purchase Register'!$K$5:$K$504,J12)=0,"In 2B, not in your books","In books"))</f>
        <v/>
      </c>
    </row>
    <row r="13">
      <c r="A13" s="11" t="n"/>
      <c r="B13" s="11" t="n"/>
      <c r="C13" s="11" t="n"/>
      <c r="D13" s="14" t="n"/>
      <c r="E13" s="18" t="n"/>
      <c r="F13" s="18" t="n"/>
      <c r="G13" s="18" t="n"/>
      <c r="H13" s="18" t="n"/>
      <c r="I13" s="23">
        <f>IF(C13="","",F13+G13+H13)</f>
        <v/>
      </c>
      <c r="J13">
        <f>IF(C13="","",UPPER(TRIM(A13))&amp;"|"&amp;UPPER(TRIM(C13)))</f>
        <v/>
      </c>
      <c r="K13">
        <f>IF(J13="","",IF(COUNTIF('Purchase Register'!$K$5:$K$504,J13)=0,"In 2B, not in your books","In books"))</f>
        <v/>
      </c>
    </row>
    <row r="14">
      <c r="A14" s="11" t="n"/>
      <c r="B14" s="11" t="n"/>
      <c r="C14" s="11" t="n"/>
      <c r="D14" s="14" t="n"/>
      <c r="E14" s="18" t="n"/>
      <c r="F14" s="18" t="n"/>
      <c r="G14" s="18" t="n"/>
      <c r="H14" s="18" t="n"/>
      <c r="I14" s="23">
        <f>IF(C14="","",F14+G14+H14)</f>
        <v/>
      </c>
      <c r="J14">
        <f>IF(C14="","",UPPER(TRIM(A14))&amp;"|"&amp;UPPER(TRIM(C14)))</f>
        <v/>
      </c>
      <c r="K14">
        <f>IF(J14="","",IF(COUNTIF('Purchase Register'!$K$5:$K$504,J14)=0,"In 2B, not in your books","In books"))</f>
        <v/>
      </c>
    </row>
    <row r="15">
      <c r="A15" s="11" t="n"/>
      <c r="B15" s="11" t="n"/>
      <c r="C15" s="11" t="n"/>
      <c r="D15" s="14" t="n"/>
      <c r="E15" s="18" t="n"/>
      <c r="F15" s="18" t="n"/>
      <c r="G15" s="18" t="n"/>
      <c r="H15" s="18" t="n"/>
      <c r="I15" s="23">
        <f>IF(C15="","",F15+G15+H15)</f>
        <v/>
      </c>
      <c r="J15">
        <f>IF(C15="","",UPPER(TRIM(A15))&amp;"|"&amp;UPPER(TRIM(C15)))</f>
        <v/>
      </c>
      <c r="K15">
        <f>IF(J15="","",IF(COUNTIF('Purchase Register'!$K$5:$K$504,J15)=0,"In 2B, not in your books","In books"))</f>
        <v/>
      </c>
    </row>
    <row r="16">
      <c r="A16" s="11" t="n"/>
      <c r="B16" s="11" t="n"/>
      <c r="C16" s="11" t="n"/>
      <c r="D16" s="14" t="n"/>
      <c r="E16" s="18" t="n"/>
      <c r="F16" s="18" t="n"/>
      <c r="G16" s="18" t="n"/>
      <c r="H16" s="18" t="n"/>
      <c r="I16" s="23">
        <f>IF(C16="","",F16+G16+H16)</f>
        <v/>
      </c>
      <c r="J16">
        <f>IF(C16="","",UPPER(TRIM(A16))&amp;"|"&amp;UPPER(TRIM(C16)))</f>
        <v/>
      </c>
      <c r="K16">
        <f>IF(J16="","",IF(COUNTIF('Purchase Register'!$K$5:$K$504,J16)=0,"In 2B, not in your books","In books"))</f>
        <v/>
      </c>
    </row>
    <row r="17">
      <c r="A17" s="11" t="n"/>
      <c r="B17" s="11" t="n"/>
      <c r="C17" s="11" t="n"/>
      <c r="D17" s="14" t="n"/>
      <c r="E17" s="18" t="n"/>
      <c r="F17" s="18" t="n"/>
      <c r="G17" s="18" t="n"/>
      <c r="H17" s="18" t="n"/>
      <c r="I17" s="23">
        <f>IF(C17="","",F17+G17+H17)</f>
        <v/>
      </c>
      <c r="J17">
        <f>IF(C17="","",UPPER(TRIM(A17))&amp;"|"&amp;UPPER(TRIM(C17)))</f>
        <v/>
      </c>
      <c r="K17">
        <f>IF(J17="","",IF(COUNTIF('Purchase Register'!$K$5:$K$504,J17)=0,"In 2B, not in your books","In books"))</f>
        <v/>
      </c>
    </row>
    <row r="18">
      <c r="A18" s="11" t="n"/>
      <c r="B18" s="11" t="n"/>
      <c r="C18" s="11" t="n"/>
      <c r="D18" s="14" t="n"/>
      <c r="E18" s="18" t="n"/>
      <c r="F18" s="18" t="n"/>
      <c r="G18" s="18" t="n"/>
      <c r="H18" s="18" t="n"/>
      <c r="I18" s="23">
        <f>IF(C18="","",F18+G18+H18)</f>
        <v/>
      </c>
      <c r="J18">
        <f>IF(C18="","",UPPER(TRIM(A18))&amp;"|"&amp;UPPER(TRIM(C18)))</f>
        <v/>
      </c>
      <c r="K18">
        <f>IF(J18="","",IF(COUNTIF('Purchase Register'!$K$5:$K$504,J18)=0,"In 2B, not in your books","In books"))</f>
        <v/>
      </c>
    </row>
    <row r="19">
      <c r="A19" s="11" t="n"/>
      <c r="B19" s="11" t="n"/>
      <c r="C19" s="11" t="n"/>
      <c r="D19" s="14" t="n"/>
      <c r="E19" s="18" t="n"/>
      <c r="F19" s="18" t="n"/>
      <c r="G19" s="18" t="n"/>
      <c r="H19" s="18" t="n"/>
      <c r="I19" s="23">
        <f>IF(C19="","",F19+G19+H19)</f>
        <v/>
      </c>
      <c r="J19">
        <f>IF(C19="","",UPPER(TRIM(A19))&amp;"|"&amp;UPPER(TRIM(C19)))</f>
        <v/>
      </c>
      <c r="K19">
        <f>IF(J19="","",IF(COUNTIF('Purchase Register'!$K$5:$K$504,J19)=0,"In 2B, not in your books","In books"))</f>
        <v/>
      </c>
    </row>
    <row r="20">
      <c r="A20" s="11" t="n"/>
      <c r="B20" s="11" t="n"/>
      <c r="C20" s="11" t="n"/>
      <c r="D20" s="14" t="n"/>
      <c r="E20" s="18" t="n"/>
      <c r="F20" s="18" t="n"/>
      <c r="G20" s="18" t="n"/>
      <c r="H20" s="18" t="n"/>
      <c r="I20" s="23">
        <f>IF(C20="","",F20+G20+H20)</f>
        <v/>
      </c>
      <c r="J20">
        <f>IF(C20="","",UPPER(TRIM(A20))&amp;"|"&amp;UPPER(TRIM(C20)))</f>
        <v/>
      </c>
      <c r="K20">
        <f>IF(J20="","",IF(COUNTIF('Purchase Register'!$K$5:$K$504,J20)=0,"In 2B, not in your books","In books"))</f>
        <v/>
      </c>
    </row>
    <row r="21">
      <c r="A21" s="11" t="n"/>
      <c r="B21" s="11" t="n"/>
      <c r="C21" s="11" t="n"/>
      <c r="D21" s="14" t="n"/>
      <c r="E21" s="18" t="n"/>
      <c r="F21" s="18" t="n"/>
      <c r="G21" s="18" t="n"/>
      <c r="H21" s="18" t="n"/>
      <c r="I21" s="23">
        <f>IF(C21="","",F21+G21+H21)</f>
        <v/>
      </c>
      <c r="J21">
        <f>IF(C21="","",UPPER(TRIM(A21))&amp;"|"&amp;UPPER(TRIM(C21)))</f>
        <v/>
      </c>
      <c r="K21">
        <f>IF(J21="","",IF(COUNTIF('Purchase Register'!$K$5:$K$504,J21)=0,"In 2B, not in your books","In books"))</f>
        <v/>
      </c>
    </row>
    <row r="22">
      <c r="A22" s="11" t="n"/>
      <c r="B22" s="11" t="n"/>
      <c r="C22" s="11" t="n"/>
      <c r="D22" s="14" t="n"/>
      <c r="E22" s="18" t="n"/>
      <c r="F22" s="18" t="n"/>
      <c r="G22" s="18" t="n"/>
      <c r="H22" s="18" t="n"/>
      <c r="I22" s="23">
        <f>IF(C22="","",F22+G22+H22)</f>
        <v/>
      </c>
      <c r="J22">
        <f>IF(C22="","",UPPER(TRIM(A22))&amp;"|"&amp;UPPER(TRIM(C22)))</f>
        <v/>
      </c>
      <c r="K22">
        <f>IF(J22="","",IF(COUNTIF('Purchase Register'!$K$5:$K$504,J22)=0,"In 2B, not in your books","In books"))</f>
        <v/>
      </c>
    </row>
    <row r="23">
      <c r="A23" s="11" t="n"/>
      <c r="B23" s="11" t="n"/>
      <c r="C23" s="11" t="n"/>
      <c r="D23" s="14" t="n"/>
      <c r="E23" s="18" t="n"/>
      <c r="F23" s="18" t="n"/>
      <c r="G23" s="18" t="n"/>
      <c r="H23" s="18" t="n"/>
      <c r="I23" s="23">
        <f>IF(C23="","",F23+G23+H23)</f>
        <v/>
      </c>
      <c r="J23">
        <f>IF(C23="","",UPPER(TRIM(A23))&amp;"|"&amp;UPPER(TRIM(C23)))</f>
        <v/>
      </c>
      <c r="K23">
        <f>IF(J23="","",IF(COUNTIF('Purchase Register'!$K$5:$K$504,J23)=0,"In 2B, not in your books","In books"))</f>
        <v/>
      </c>
    </row>
    <row r="24">
      <c r="A24" s="11" t="n"/>
      <c r="B24" s="11" t="n"/>
      <c r="C24" s="11" t="n"/>
      <c r="D24" s="14" t="n"/>
      <c r="E24" s="18" t="n"/>
      <c r="F24" s="18" t="n"/>
      <c r="G24" s="18" t="n"/>
      <c r="H24" s="18" t="n"/>
      <c r="I24" s="23">
        <f>IF(C24="","",F24+G24+H24)</f>
        <v/>
      </c>
      <c r="J24">
        <f>IF(C24="","",UPPER(TRIM(A24))&amp;"|"&amp;UPPER(TRIM(C24)))</f>
        <v/>
      </c>
      <c r="K24">
        <f>IF(J24="","",IF(COUNTIF('Purchase Register'!$K$5:$K$504,J24)=0,"In 2B, not in your books","In books"))</f>
        <v/>
      </c>
    </row>
    <row r="25">
      <c r="A25" s="11" t="n"/>
      <c r="B25" s="11" t="n"/>
      <c r="C25" s="11" t="n"/>
      <c r="D25" s="14" t="n"/>
      <c r="E25" s="18" t="n"/>
      <c r="F25" s="18" t="n"/>
      <c r="G25" s="18" t="n"/>
      <c r="H25" s="18" t="n"/>
      <c r="I25" s="23">
        <f>IF(C25="","",F25+G25+H25)</f>
        <v/>
      </c>
      <c r="J25">
        <f>IF(C25="","",UPPER(TRIM(A25))&amp;"|"&amp;UPPER(TRIM(C25)))</f>
        <v/>
      </c>
      <c r="K25">
        <f>IF(J25="","",IF(COUNTIF('Purchase Register'!$K$5:$K$504,J25)=0,"In 2B, not in your books","In books"))</f>
        <v/>
      </c>
    </row>
    <row r="26">
      <c r="A26" s="11" t="n"/>
      <c r="B26" s="11" t="n"/>
      <c r="C26" s="11" t="n"/>
      <c r="D26" s="14" t="n"/>
      <c r="E26" s="18" t="n"/>
      <c r="F26" s="18" t="n"/>
      <c r="G26" s="18" t="n"/>
      <c r="H26" s="18" t="n"/>
      <c r="I26" s="23">
        <f>IF(C26="","",F26+G26+H26)</f>
        <v/>
      </c>
      <c r="J26">
        <f>IF(C26="","",UPPER(TRIM(A26))&amp;"|"&amp;UPPER(TRIM(C26)))</f>
        <v/>
      </c>
      <c r="K26">
        <f>IF(J26="","",IF(COUNTIF('Purchase Register'!$K$5:$K$504,J26)=0,"In 2B, not in your books","In books"))</f>
        <v/>
      </c>
    </row>
    <row r="27">
      <c r="A27" s="11" t="n"/>
      <c r="B27" s="11" t="n"/>
      <c r="C27" s="11" t="n"/>
      <c r="D27" s="14" t="n"/>
      <c r="E27" s="18" t="n"/>
      <c r="F27" s="18" t="n"/>
      <c r="G27" s="18" t="n"/>
      <c r="H27" s="18" t="n"/>
      <c r="I27" s="23">
        <f>IF(C27="","",F27+G27+H27)</f>
        <v/>
      </c>
      <c r="J27">
        <f>IF(C27="","",UPPER(TRIM(A27))&amp;"|"&amp;UPPER(TRIM(C27)))</f>
        <v/>
      </c>
      <c r="K27">
        <f>IF(J27="","",IF(COUNTIF('Purchase Register'!$K$5:$K$504,J27)=0,"In 2B, not in your books","In books"))</f>
        <v/>
      </c>
    </row>
    <row r="28">
      <c r="A28" s="11" t="n"/>
      <c r="B28" s="11" t="n"/>
      <c r="C28" s="11" t="n"/>
      <c r="D28" s="14" t="n"/>
      <c r="E28" s="18" t="n"/>
      <c r="F28" s="18" t="n"/>
      <c r="G28" s="18" t="n"/>
      <c r="H28" s="18" t="n"/>
      <c r="I28" s="23">
        <f>IF(C28="","",F28+G28+H28)</f>
        <v/>
      </c>
      <c r="J28">
        <f>IF(C28="","",UPPER(TRIM(A28))&amp;"|"&amp;UPPER(TRIM(C28)))</f>
        <v/>
      </c>
      <c r="K28">
        <f>IF(J28="","",IF(COUNTIF('Purchase Register'!$K$5:$K$504,J28)=0,"In 2B, not in your books","In books"))</f>
        <v/>
      </c>
    </row>
    <row r="29">
      <c r="A29" s="11" t="n"/>
      <c r="B29" s="11" t="n"/>
      <c r="C29" s="11" t="n"/>
      <c r="D29" s="14" t="n"/>
      <c r="E29" s="18" t="n"/>
      <c r="F29" s="18" t="n"/>
      <c r="G29" s="18" t="n"/>
      <c r="H29" s="18" t="n"/>
      <c r="I29" s="23">
        <f>IF(C29="","",F29+G29+H29)</f>
        <v/>
      </c>
      <c r="J29">
        <f>IF(C29="","",UPPER(TRIM(A29))&amp;"|"&amp;UPPER(TRIM(C29)))</f>
        <v/>
      </c>
      <c r="K29">
        <f>IF(J29="","",IF(COUNTIF('Purchase Register'!$K$5:$K$504,J29)=0,"In 2B, not in your books","In books"))</f>
        <v/>
      </c>
    </row>
    <row r="30">
      <c r="A30" s="11" t="n"/>
      <c r="B30" s="11" t="n"/>
      <c r="C30" s="11" t="n"/>
      <c r="D30" s="14" t="n"/>
      <c r="E30" s="18" t="n"/>
      <c r="F30" s="18" t="n"/>
      <c r="G30" s="18" t="n"/>
      <c r="H30" s="18" t="n"/>
      <c r="I30" s="23">
        <f>IF(C30="","",F30+G30+H30)</f>
        <v/>
      </c>
      <c r="J30">
        <f>IF(C30="","",UPPER(TRIM(A30))&amp;"|"&amp;UPPER(TRIM(C30)))</f>
        <v/>
      </c>
      <c r="K30">
        <f>IF(J30="","",IF(COUNTIF('Purchase Register'!$K$5:$K$504,J30)=0,"In 2B, not in your books","In books"))</f>
        <v/>
      </c>
    </row>
    <row r="31">
      <c r="A31" s="11" t="n"/>
      <c r="B31" s="11" t="n"/>
      <c r="C31" s="11" t="n"/>
      <c r="D31" s="14" t="n"/>
      <c r="E31" s="18" t="n"/>
      <c r="F31" s="18" t="n"/>
      <c r="G31" s="18" t="n"/>
      <c r="H31" s="18" t="n"/>
      <c r="I31" s="23">
        <f>IF(C31="","",F31+G31+H31)</f>
        <v/>
      </c>
      <c r="J31">
        <f>IF(C31="","",UPPER(TRIM(A31))&amp;"|"&amp;UPPER(TRIM(C31)))</f>
        <v/>
      </c>
      <c r="K31">
        <f>IF(J31="","",IF(COUNTIF('Purchase Register'!$K$5:$K$504,J31)=0,"In 2B, not in your books","In books"))</f>
        <v/>
      </c>
    </row>
    <row r="32">
      <c r="A32" s="11" t="n"/>
      <c r="B32" s="11" t="n"/>
      <c r="C32" s="11" t="n"/>
      <c r="D32" s="14" t="n"/>
      <c r="E32" s="18" t="n"/>
      <c r="F32" s="18" t="n"/>
      <c r="G32" s="18" t="n"/>
      <c r="H32" s="18" t="n"/>
      <c r="I32" s="23">
        <f>IF(C32="","",F32+G32+H32)</f>
        <v/>
      </c>
      <c r="J32">
        <f>IF(C32="","",UPPER(TRIM(A32))&amp;"|"&amp;UPPER(TRIM(C32)))</f>
        <v/>
      </c>
      <c r="K32">
        <f>IF(J32="","",IF(COUNTIF('Purchase Register'!$K$5:$K$504,J32)=0,"In 2B, not in your books","In books"))</f>
        <v/>
      </c>
    </row>
    <row r="33">
      <c r="A33" s="11" t="n"/>
      <c r="B33" s="11" t="n"/>
      <c r="C33" s="11" t="n"/>
      <c r="D33" s="14" t="n"/>
      <c r="E33" s="18" t="n"/>
      <c r="F33" s="18" t="n"/>
      <c r="G33" s="18" t="n"/>
      <c r="H33" s="18" t="n"/>
      <c r="I33" s="23">
        <f>IF(C33="","",F33+G33+H33)</f>
        <v/>
      </c>
      <c r="J33">
        <f>IF(C33="","",UPPER(TRIM(A33))&amp;"|"&amp;UPPER(TRIM(C33)))</f>
        <v/>
      </c>
      <c r="K33">
        <f>IF(J33="","",IF(COUNTIF('Purchase Register'!$K$5:$K$504,J33)=0,"In 2B, not in your books","In books"))</f>
        <v/>
      </c>
    </row>
    <row r="34">
      <c r="A34" s="11" t="n"/>
      <c r="B34" s="11" t="n"/>
      <c r="C34" s="11" t="n"/>
      <c r="D34" s="14" t="n"/>
      <c r="E34" s="18" t="n"/>
      <c r="F34" s="18" t="n"/>
      <c r="G34" s="18" t="n"/>
      <c r="H34" s="18" t="n"/>
      <c r="I34" s="23">
        <f>IF(C34="","",F34+G34+H34)</f>
        <v/>
      </c>
      <c r="J34">
        <f>IF(C34="","",UPPER(TRIM(A34))&amp;"|"&amp;UPPER(TRIM(C34)))</f>
        <v/>
      </c>
      <c r="K34">
        <f>IF(J34="","",IF(COUNTIF('Purchase Register'!$K$5:$K$504,J34)=0,"In 2B, not in your books","In books"))</f>
        <v/>
      </c>
    </row>
    <row r="35">
      <c r="A35" s="11" t="n"/>
      <c r="B35" s="11" t="n"/>
      <c r="C35" s="11" t="n"/>
      <c r="D35" s="14" t="n"/>
      <c r="E35" s="18" t="n"/>
      <c r="F35" s="18" t="n"/>
      <c r="G35" s="18" t="n"/>
      <c r="H35" s="18" t="n"/>
      <c r="I35" s="23">
        <f>IF(C35="","",F35+G35+H35)</f>
        <v/>
      </c>
      <c r="J35">
        <f>IF(C35="","",UPPER(TRIM(A35))&amp;"|"&amp;UPPER(TRIM(C35)))</f>
        <v/>
      </c>
      <c r="K35">
        <f>IF(J35="","",IF(COUNTIF('Purchase Register'!$K$5:$K$504,J35)=0,"In 2B, not in your books","In books"))</f>
        <v/>
      </c>
    </row>
    <row r="36">
      <c r="A36" s="11" t="n"/>
      <c r="B36" s="11" t="n"/>
      <c r="C36" s="11" t="n"/>
      <c r="D36" s="14" t="n"/>
      <c r="E36" s="18" t="n"/>
      <c r="F36" s="18" t="n"/>
      <c r="G36" s="18" t="n"/>
      <c r="H36" s="18" t="n"/>
      <c r="I36" s="23">
        <f>IF(C36="","",F36+G36+H36)</f>
        <v/>
      </c>
      <c r="J36">
        <f>IF(C36="","",UPPER(TRIM(A36))&amp;"|"&amp;UPPER(TRIM(C36)))</f>
        <v/>
      </c>
      <c r="K36">
        <f>IF(J36="","",IF(COUNTIF('Purchase Register'!$K$5:$K$504,J36)=0,"In 2B, not in your books","In books"))</f>
        <v/>
      </c>
    </row>
    <row r="37">
      <c r="A37" s="11" t="n"/>
      <c r="B37" s="11" t="n"/>
      <c r="C37" s="11" t="n"/>
      <c r="D37" s="14" t="n"/>
      <c r="E37" s="18" t="n"/>
      <c r="F37" s="18" t="n"/>
      <c r="G37" s="18" t="n"/>
      <c r="H37" s="18" t="n"/>
      <c r="I37" s="23">
        <f>IF(C37="","",F37+G37+H37)</f>
        <v/>
      </c>
      <c r="J37">
        <f>IF(C37="","",UPPER(TRIM(A37))&amp;"|"&amp;UPPER(TRIM(C37)))</f>
        <v/>
      </c>
      <c r="K37">
        <f>IF(J37="","",IF(COUNTIF('Purchase Register'!$K$5:$K$504,J37)=0,"In 2B, not in your books","In books"))</f>
        <v/>
      </c>
    </row>
    <row r="38">
      <c r="A38" s="11" t="n"/>
      <c r="B38" s="11" t="n"/>
      <c r="C38" s="11" t="n"/>
      <c r="D38" s="14" t="n"/>
      <c r="E38" s="18" t="n"/>
      <c r="F38" s="18" t="n"/>
      <c r="G38" s="18" t="n"/>
      <c r="H38" s="18" t="n"/>
      <c r="I38" s="23">
        <f>IF(C38="","",F38+G38+H38)</f>
        <v/>
      </c>
      <c r="J38">
        <f>IF(C38="","",UPPER(TRIM(A38))&amp;"|"&amp;UPPER(TRIM(C38)))</f>
        <v/>
      </c>
      <c r="K38">
        <f>IF(J38="","",IF(COUNTIF('Purchase Register'!$K$5:$K$504,J38)=0,"In 2B, not in your books","In books"))</f>
        <v/>
      </c>
    </row>
    <row r="39">
      <c r="A39" s="11" t="n"/>
      <c r="B39" s="11" t="n"/>
      <c r="C39" s="11" t="n"/>
      <c r="D39" s="14" t="n"/>
      <c r="E39" s="18" t="n"/>
      <c r="F39" s="18" t="n"/>
      <c r="G39" s="18" t="n"/>
      <c r="H39" s="18" t="n"/>
      <c r="I39" s="23">
        <f>IF(C39="","",F39+G39+H39)</f>
        <v/>
      </c>
      <c r="J39">
        <f>IF(C39="","",UPPER(TRIM(A39))&amp;"|"&amp;UPPER(TRIM(C39)))</f>
        <v/>
      </c>
      <c r="K39">
        <f>IF(J39="","",IF(COUNTIF('Purchase Register'!$K$5:$K$504,J39)=0,"In 2B, not in your books","In books"))</f>
        <v/>
      </c>
    </row>
    <row r="40">
      <c r="A40" s="11" t="n"/>
      <c r="B40" s="11" t="n"/>
      <c r="C40" s="11" t="n"/>
      <c r="D40" s="14" t="n"/>
      <c r="E40" s="18" t="n"/>
      <c r="F40" s="18" t="n"/>
      <c r="G40" s="18" t="n"/>
      <c r="H40" s="18" t="n"/>
      <c r="I40" s="23">
        <f>IF(C40="","",F40+G40+H40)</f>
        <v/>
      </c>
      <c r="J40">
        <f>IF(C40="","",UPPER(TRIM(A40))&amp;"|"&amp;UPPER(TRIM(C40)))</f>
        <v/>
      </c>
      <c r="K40">
        <f>IF(J40="","",IF(COUNTIF('Purchase Register'!$K$5:$K$504,J40)=0,"In 2B, not in your books","In books"))</f>
        <v/>
      </c>
    </row>
    <row r="41">
      <c r="A41" s="11" t="n"/>
      <c r="B41" s="11" t="n"/>
      <c r="C41" s="11" t="n"/>
      <c r="D41" s="14" t="n"/>
      <c r="E41" s="18" t="n"/>
      <c r="F41" s="18" t="n"/>
      <c r="G41" s="18" t="n"/>
      <c r="H41" s="18" t="n"/>
      <c r="I41" s="23">
        <f>IF(C41="","",F41+G41+H41)</f>
        <v/>
      </c>
      <c r="J41">
        <f>IF(C41="","",UPPER(TRIM(A41))&amp;"|"&amp;UPPER(TRIM(C41)))</f>
        <v/>
      </c>
      <c r="K41">
        <f>IF(J41="","",IF(COUNTIF('Purchase Register'!$K$5:$K$504,J41)=0,"In 2B, not in your books","In books"))</f>
        <v/>
      </c>
    </row>
    <row r="42">
      <c r="A42" s="11" t="n"/>
      <c r="B42" s="11" t="n"/>
      <c r="C42" s="11" t="n"/>
      <c r="D42" s="14" t="n"/>
      <c r="E42" s="18" t="n"/>
      <c r="F42" s="18" t="n"/>
      <c r="G42" s="18" t="n"/>
      <c r="H42" s="18" t="n"/>
      <c r="I42" s="23">
        <f>IF(C42="","",F42+G42+H42)</f>
        <v/>
      </c>
      <c r="J42">
        <f>IF(C42="","",UPPER(TRIM(A42))&amp;"|"&amp;UPPER(TRIM(C42)))</f>
        <v/>
      </c>
      <c r="K42">
        <f>IF(J42="","",IF(COUNTIF('Purchase Register'!$K$5:$K$504,J42)=0,"In 2B, not in your books","In books"))</f>
        <v/>
      </c>
    </row>
    <row r="43">
      <c r="A43" s="11" t="n"/>
      <c r="B43" s="11" t="n"/>
      <c r="C43" s="11" t="n"/>
      <c r="D43" s="14" t="n"/>
      <c r="E43" s="18" t="n"/>
      <c r="F43" s="18" t="n"/>
      <c r="G43" s="18" t="n"/>
      <c r="H43" s="18" t="n"/>
      <c r="I43" s="23">
        <f>IF(C43="","",F43+G43+H43)</f>
        <v/>
      </c>
      <c r="J43">
        <f>IF(C43="","",UPPER(TRIM(A43))&amp;"|"&amp;UPPER(TRIM(C43)))</f>
        <v/>
      </c>
      <c r="K43">
        <f>IF(J43="","",IF(COUNTIF('Purchase Register'!$K$5:$K$504,J43)=0,"In 2B, not in your books","In books"))</f>
        <v/>
      </c>
    </row>
    <row r="44">
      <c r="A44" s="11" t="n"/>
      <c r="B44" s="11" t="n"/>
      <c r="C44" s="11" t="n"/>
      <c r="D44" s="14" t="n"/>
      <c r="E44" s="18" t="n"/>
      <c r="F44" s="18" t="n"/>
      <c r="G44" s="18" t="n"/>
      <c r="H44" s="18" t="n"/>
      <c r="I44" s="23">
        <f>IF(C44="","",F44+G44+H44)</f>
        <v/>
      </c>
      <c r="J44">
        <f>IF(C44="","",UPPER(TRIM(A44))&amp;"|"&amp;UPPER(TRIM(C44)))</f>
        <v/>
      </c>
      <c r="K44">
        <f>IF(J44="","",IF(COUNTIF('Purchase Register'!$K$5:$K$504,J44)=0,"In 2B, not in your books","In books"))</f>
        <v/>
      </c>
    </row>
    <row r="45">
      <c r="A45" s="11" t="n"/>
      <c r="B45" s="11" t="n"/>
      <c r="C45" s="11" t="n"/>
      <c r="D45" s="14" t="n"/>
      <c r="E45" s="18" t="n"/>
      <c r="F45" s="18" t="n"/>
      <c r="G45" s="18" t="n"/>
      <c r="H45" s="18" t="n"/>
      <c r="I45" s="23">
        <f>IF(C45="","",F45+G45+H45)</f>
        <v/>
      </c>
      <c r="J45">
        <f>IF(C45="","",UPPER(TRIM(A45))&amp;"|"&amp;UPPER(TRIM(C45)))</f>
        <v/>
      </c>
      <c r="K45">
        <f>IF(J45="","",IF(COUNTIF('Purchase Register'!$K$5:$K$504,J45)=0,"In 2B, not in your books","In books"))</f>
        <v/>
      </c>
    </row>
    <row r="46">
      <c r="A46" s="11" t="n"/>
      <c r="B46" s="11" t="n"/>
      <c r="C46" s="11" t="n"/>
      <c r="D46" s="14" t="n"/>
      <c r="E46" s="18" t="n"/>
      <c r="F46" s="18" t="n"/>
      <c r="G46" s="18" t="n"/>
      <c r="H46" s="18" t="n"/>
      <c r="I46" s="23">
        <f>IF(C46="","",F46+G46+H46)</f>
        <v/>
      </c>
      <c r="J46">
        <f>IF(C46="","",UPPER(TRIM(A46))&amp;"|"&amp;UPPER(TRIM(C46)))</f>
        <v/>
      </c>
      <c r="K46">
        <f>IF(J46="","",IF(COUNTIF('Purchase Register'!$K$5:$K$504,J46)=0,"In 2B, not in your books","In books"))</f>
        <v/>
      </c>
    </row>
    <row r="47">
      <c r="A47" s="11" t="n"/>
      <c r="B47" s="11" t="n"/>
      <c r="C47" s="11" t="n"/>
      <c r="D47" s="14" t="n"/>
      <c r="E47" s="18" t="n"/>
      <c r="F47" s="18" t="n"/>
      <c r="G47" s="18" t="n"/>
      <c r="H47" s="18" t="n"/>
      <c r="I47" s="23">
        <f>IF(C47="","",F47+G47+H47)</f>
        <v/>
      </c>
      <c r="J47">
        <f>IF(C47="","",UPPER(TRIM(A47))&amp;"|"&amp;UPPER(TRIM(C47)))</f>
        <v/>
      </c>
      <c r="K47">
        <f>IF(J47="","",IF(COUNTIF('Purchase Register'!$K$5:$K$504,J47)=0,"In 2B, not in your books","In books"))</f>
        <v/>
      </c>
    </row>
    <row r="48">
      <c r="A48" s="11" t="n"/>
      <c r="B48" s="11" t="n"/>
      <c r="C48" s="11" t="n"/>
      <c r="D48" s="14" t="n"/>
      <c r="E48" s="18" t="n"/>
      <c r="F48" s="18" t="n"/>
      <c r="G48" s="18" t="n"/>
      <c r="H48" s="18" t="n"/>
      <c r="I48" s="23">
        <f>IF(C48="","",F48+G48+H48)</f>
        <v/>
      </c>
      <c r="J48">
        <f>IF(C48="","",UPPER(TRIM(A48))&amp;"|"&amp;UPPER(TRIM(C48)))</f>
        <v/>
      </c>
      <c r="K48">
        <f>IF(J48="","",IF(COUNTIF('Purchase Register'!$K$5:$K$504,J48)=0,"In 2B, not in your books","In books"))</f>
        <v/>
      </c>
    </row>
    <row r="49">
      <c r="A49" s="11" t="n"/>
      <c r="B49" s="11" t="n"/>
      <c r="C49" s="11" t="n"/>
      <c r="D49" s="14" t="n"/>
      <c r="E49" s="18" t="n"/>
      <c r="F49" s="18" t="n"/>
      <c r="G49" s="18" t="n"/>
      <c r="H49" s="18" t="n"/>
      <c r="I49" s="23">
        <f>IF(C49="","",F49+G49+H49)</f>
        <v/>
      </c>
      <c r="J49">
        <f>IF(C49="","",UPPER(TRIM(A49))&amp;"|"&amp;UPPER(TRIM(C49)))</f>
        <v/>
      </c>
      <c r="K49">
        <f>IF(J49="","",IF(COUNTIF('Purchase Register'!$K$5:$K$504,J49)=0,"In 2B, not in your books","In books"))</f>
        <v/>
      </c>
    </row>
    <row r="50">
      <c r="A50" s="11" t="n"/>
      <c r="B50" s="11" t="n"/>
      <c r="C50" s="11" t="n"/>
      <c r="D50" s="14" t="n"/>
      <c r="E50" s="18" t="n"/>
      <c r="F50" s="18" t="n"/>
      <c r="G50" s="18" t="n"/>
      <c r="H50" s="18" t="n"/>
      <c r="I50" s="23">
        <f>IF(C50="","",F50+G50+H50)</f>
        <v/>
      </c>
      <c r="J50">
        <f>IF(C50="","",UPPER(TRIM(A50))&amp;"|"&amp;UPPER(TRIM(C50)))</f>
        <v/>
      </c>
      <c r="K50">
        <f>IF(J50="","",IF(COUNTIF('Purchase Register'!$K$5:$K$504,J50)=0,"In 2B, not in your books","In books"))</f>
        <v/>
      </c>
    </row>
    <row r="51">
      <c r="A51" s="11" t="n"/>
      <c r="B51" s="11" t="n"/>
      <c r="C51" s="11" t="n"/>
      <c r="D51" s="14" t="n"/>
      <c r="E51" s="18" t="n"/>
      <c r="F51" s="18" t="n"/>
      <c r="G51" s="18" t="n"/>
      <c r="H51" s="18" t="n"/>
      <c r="I51" s="23">
        <f>IF(C51="","",F51+G51+H51)</f>
        <v/>
      </c>
      <c r="J51">
        <f>IF(C51="","",UPPER(TRIM(A51))&amp;"|"&amp;UPPER(TRIM(C51)))</f>
        <v/>
      </c>
      <c r="K51">
        <f>IF(J51="","",IF(COUNTIF('Purchase Register'!$K$5:$K$504,J51)=0,"In 2B, not in your books","In books"))</f>
        <v/>
      </c>
    </row>
    <row r="52">
      <c r="A52" s="11" t="n"/>
      <c r="B52" s="11" t="n"/>
      <c r="C52" s="11" t="n"/>
      <c r="D52" s="14" t="n"/>
      <c r="E52" s="18" t="n"/>
      <c r="F52" s="18" t="n"/>
      <c r="G52" s="18" t="n"/>
      <c r="H52" s="18" t="n"/>
      <c r="I52" s="23">
        <f>IF(C52="","",F52+G52+H52)</f>
        <v/>
      </c>
      <c r="J52">
        <f>IF(C52="","",UPPER(TRIM(A52))&amp;"|"&amp;UPPER(TRIM(C52)))</f>
        <v/>
      </c>
      <c r="K52">
        <f>IF(J52="","",IF(COUNTIF('Purchase Register'!$K$5:$K$504,J52)=0,"In 2B, not in your books","In books"))</f>
        <v/>
      </c>
    </row>
    <row r="53">
      <c r="A53" s="11" t="n"/>
      <c r="B53" s="11" t="n"/>
      <c r="C53" s="11" t="n"/>
      <c r="D53" s="14" t="n"/>
      <c r="E53" s="18" t="n"/>
      <c r="F53" s="18" t="n"/>
      <c r="G53" s="18" t="n"/>
      <c r="H53" s="18" t="n"/>
      <c r="I53" s="23">
        <f>IF(C53="","",F53+G53+H53)</f>
        <v/>
      </c>
      <c r="J53">
        <f>IF(C53="","",UPPER(TRIM(A53))&amp;"|"&amp;UPPER(TRIM(C53)))</f>
        <v/>
      </c>
      <c r="K53">
        <f>IF(J53="","",IF(COUNTIF('Purchase Register'!$K$5:$K$504,J53)=0,"In 2B, not in your books","In books"))</f>
        <v/>
      </c>
    </row>
    <row r="54">
      <c r="A54" s="11" t="n"/>
      <c r="B54" s="11" t="n"/>
      <c r="C54" s="11" t="n"/>
      <c r="D54" s="14" t="n"/>
      <c r="E54" s="18" t="n"/>
      <c r="F54" s="18" t="n"/>
      <c r="G54" s="18" t="n"/>
      <c r="H54" s="18" t="n"/>
      <c r="I54" s="23">
        <f>IF(C54="","",F54+G54+H54)</f>
        <v/>
      </c>
      <c r="J54">
        <f>IF(C54="","",UPPER(TRIM(A54))&amp;"|"&amp;UPPER(TRIM(C54)))</f>
        <v/>
      </c>
      <c r="K54">
        <f>IF(J54="","",IF(COUNTIF('Purchase Register'!$K$5:$K$504,J54)=0,"In 2B, not in your books","In books"))</f>
        <v/>
      </c>
    </row>
    <row r="55">
      <c r="A55" s="11" t="n"/>
      <c r="B55" s="11" t="n"/>
      <c r="C55" s="11" t="n"/>
      <c r="D55" s="14" t="n"/>
      <c r="E55" s="18" t="n"/>
      <c r="F55" s="18" t="n"/>
      <c r="G55" s="18" t="n"/>
      <c r="H55" s="18" t="n"/>
      <c r="I55" s="23">
        <f>IF(C55="","",F55+G55+H55)</f>
        <v/>
      </c>
      <c r="J55">
        <f>IF(C55="","",UPPER(TRIM(A55))&amp;"|"&amp;UPPER(TRIM(C55)))</f>
        <v/>
      </c>
      <c r="K55">
        <f>IF(J55="","",IF(COUNTIF('Purchase Register'!$K$5:$K$504,J55)=0,"In 2B, not in your books","In books"))</f>
        <v/>
      </c>
    </row>
    <row r="56">
      <c r="A56" s="11" t="n"/>
      <c r="B56" s="11" t="n"/>
      <c r="C56" s="11" t="n"/>
      <c r="D56" s="14" t="n"/>
      <c r="E56" s="18" t="n"/>
      <c r="F56" s="18" t="n"/>
      <c r="G56" s="18" t="n"/>
      <c r="H56" s="18" t="n"/>
      <c r="I56" s="23">
        <f>IF(C56="","",F56+G56+H56)</f>
        <v/>
      </c>
      <c r="J56">
        <f>IF(C56="","",UPPER(TRIM(A56))&amp;"|"&amp;UPPER(TRIM(C56)))</f>
        <v/>
      </c>
      <c r="K56">
        <f>IF(J56="","",IF(COUNTIF('Purchase Register'!$K$5:$K$504,J56)=0,"In 2B, not in your books","In books"))</f>
        <v/>
      </c>
    </row>
    <row r="57">
      <c r="A57" s="11" t="n"/>
      <c r="B57" s="11" t="n"/>
      <c r="C57" s="11" t="n"/>
      <c r="D57" s="14" t="n"/>
      <c r="E57" s="18" t="n"/>
      <c r="F57" s="18" t="n"/>
      <c r="G57" s="18" t="n"/>
      <c r="H57" s="18" t="n"/>
      <c r="I57" s="23">
        <f>IF(C57="","",F57+G57+H57)</f>
        <v/>
      </c>
      <c r="J57">
        <f>IF(C57="","",UPPER(TRIM(A57))&amp;"|"&amp;UPPER(TRIM(C57)))</f>
        <v/>
      </c>
      <c r="K57">
        <f>IF(J57="","",IF(COUNTIF('Purchase Register'!$K$5:$K$504,J57)=0,"In 2B, not in your books","In books"))</f>
        <v/>
      </c>
    </row>
    <row r="58">
      <c r="A58" s="11" t="n"/>
      <c r="B58" s="11" t="n"/>
      <c r="C58" s="11" t="n"/>
      <c r="D58" s="14" t="n"/>
      <c r="E58" s="18" t="n"/>
      <c r="F58" s="18" t="n"/>
      <c r="G58" s="18" t="n"/>
      <c r="H58" s="18" t="n"/>
      <c r="I58" s="23">
        <f>IF(C58="","",F58+G58+H58)</f>
        <v/>
      </c>
      <c r="J58">
        <f>IF(C58="","",UPPER(TRIM(A58))&amp;"|"&amp;UPPER(TRIM(C58)))</f>
        <v/>
      </c>
      <c r="K58">
        <f>IF(J58="","",IF(COUNTIF('Purchase Register'!$K$5:$K$504,J58)=0,"In 2B, not in your books","In books"))</f>
        <v/>
      </c>
    </row>
    <row r="59">
      <c r="A59" s="11" t="n"/>
      <c r="B59" s="11" t="n"/>
      <c r="C59" s="11" t="n"/>
      <c r="D59" s="14" t="n"/>
      <c r="E59" s="18" t="n"/>
      <c r="F59" s="18" t="n"/>
      <c r="G59" s="18" t="n"/>
      <c r="H59" s="18" t="n"/>
      <c r="I59" s="23">
        <f>IF(C59="","",F59+G59+H59)</f>
        <v/>
      </c>
      <c r="J59">
        <f>IF(C59="","",UPPER(TRIM(A59))&amp;"|"&amp;UPPER(TRIM(C59)))</f>
        <v/>
      </c>
      <c r="K59">
        <f>IF(J59="","",IF(COUNTIF('Purchase Register'!$K$5:$K$504,J59)=0,"In 2B, not in your books","In books"))</f>
        <v/>
      </c>
    </row>
    <row r="60">
      <c r="A60" s="11" t="n"/>
      <c r="B60" s="11" t="n"/>
      <c r="C60" s="11" t="n"/>
      <c r="D60" s="14" t="n"/>
      <c r="E60" s="18" t="n"/>
      <c r="F60" s="18" t="n"/>
      <c r="G60" s="18" t="n"/>
      <c r="H60" s="18" t="n"/>
      <c r="I60" s="23">
        <f>IF(C60="","",F60+G60+H60)</f>
        <v/>
      </c>
      <c r="J60">
        <f>IF(C60="","",UPPER(TRIM(A60))&amp;"|"&amp;UPPER(TRIM(C60)))</f>
        <v/>
      </c>
      <c r="K60">
        <f>IF(J60="","",IF(COUNTIF('Purchase Register'!$K$5:$K$504,J60)=0,"In 2B, not in your books","In books"))</f>
        <v/>
      </c>
    </row>
    <row r="61">
      <c r="A61" s="11" t="n"/>
      <c r="B61" s="11" t="n"/>
      <c r="C61" s="11" t="n"/>
      <c r="D61" s="14" t="n"/>
      <c r="E61" s="18" t="n"/>
      <c r="F61" s="18" t="n"/>
      <c r="G61" s="18" t="n"/>
      <c r="H61" s="18" t="n"/>
      <c r="I61" s="23">
        <f>IF(C61="","",F61+G61+H61)</f>
        <v/>
      </c>
      <c r="J61">
        <f>IF(C61="","",UPPER(TRIM(A61))&amp;"|"&amp;UPPER(TRIM(C61)))</f>
        <v/>
      </c>
      <c r="K61">
        <f>IF(J61="","",IF(COUNTIF('Purchase Register'!$K$5:$K$504,J61)=0,"In 2B, not in your books","In books"))</f>
        <v/>
      </c>
    </row>
    <row r="62">
      <c r="A62" s="11" t="n"/>
      <c r="B62" s="11" t="n"/>
      <c r="C62" s="11" t="n"/>
      <c r="D62" s="14" t="n"/>
      <c r="E62" s="18" t="n"/>
      <c r="F62" s="18" t="n"/>
      <c r="G62" s="18" t="n"/>
      <c r="H62" s="18" t="n"/>
      <c r="I62" s="23">
        <f>IF(C62="","",F62+G62+H62)</f>
        <v/>
      </c>
      <c r="J62">
        <f>IF(C62="","",UPPER(TRIM(A62))&amp;"|"&amp;UPPER(TRIM(C62)))</f>
        <v/>
      </c>
      <c r="K62">
        <f>IF(J62="","",IF(COUNTIF('Purchase Register'!$K$5:$K$504,J62)=0,"In 2B, not in your books","In books"))</f>
        <v/>
      </c>
    </row>
    <row r="63">
      <c r="A63" s="11" t="n"/>
      <c r="B63" s="11" t="n"/>
      <c r="C63" s="11" t="n"/>
      <c r="D63" s="14" t="n"/>
      <c r="E63" s="18" t="n"/>
      <c r="F63" s="18" t="n"/>
      <c r="G63" s="18" t="n"/>
      <c r="H63" s="18" t="n"/>
      <c r="I63" s="23">
        <f>IF(C63="","",F63+G63+H63)</f>
        <v/>
      </c>
      <c r="J63">
        <f>IF(C63="","",UPPER(TRIM(A63))&amp;"|"&amp;UPPER(TRIM(C63)))</f>
        <v/>
      </c>
      <c r="K63">
        <f>IF(J63="","",IF(COUNTIF('Purchase Register'!$K$5:$K$504,J63)=0,"In 2B, not in your books","In books"))</f>
        <v/>
      </c>
    </row>
    <row r="64">
      <c r="A64" s="11" t="n"/>
      <c r="B64" s="11" t="n"/>
      <c r="C64" s="11" t="n"/>
      <c r="D64" s="14" t="n"/>
      <c r="E64" s="18" t="n"/>
      <c r="F64" s="18" t="n"/>
      <c r="G64" s="18" t="n"/>
      <c r="H64" s="18" t="n"/>
      <c r="I64" s="23">
        <f>IF(C64="","",F64+G64+H64)</f>
        <v/>
      </c>
      <c r="J64">
        <f>IF(C64="","",UPPER(TRIM(A64))&amp;"|"&amp;UPPER(TRIM(C64)))</f>
        <v/>
      </c>
      <c r="K64">
        <f>IF(J64="","",IF(COUNTIF('Purchase Register'!$K$5:$K$504,J64)=0,"In 2B, not in your books","In books"))</f>
        <v/>
      </c>
    </row>
    <row r="65">
      <c r="A65" s="11" t="n"/>
      <c r="B65" s="11" t="n"/>
      <c r="C65" s="11" t="n"/>
      <c r="D65" s="14" t="n"/>
      <c r="E65" s="18" t="n"/>
      <c r="F65" s="18" t="n"/>
      <c r="G65" s="18" t="n"/>
      <c r="H65" s="18" t="n"/>
      <c r="I65" s="23">
        <f>IF(C65="","",F65+G65+H65)</f>
        <v/>
      </c>
      <c r="J65">
        <f>IF(C65="","",UPPER(TRIM(A65))&amp;"|"&amp;UPPER(TRIM(C65)))</f>
        <v/>
      </c>
      <c r="K65">
        <f>IF(J65="","",IF(COUNTIF('Purchase Register'!$K$5:$K$504,J65)=0,"In 2B, not in your books","In books"))</f>
        <v/>
      </c>
    </row>
    <row r="66">
      <c r="A66" s="11" t="n"/>
      <c r="B66" s="11" t="n"/>
      <c r="C66" s="11" t="n"/>
      <c r="D66" s="14" t="n"/>
      <c r="E66" s="18" t="n"/>
      <c r="F66" s="18" t="n"/>
      <c r="G66" s="18" t="n"/>
      <c r="H66" s="18" t="n"/>
      <c r="I66" s="23">
        <f>IF(C66="","",F66+G66+H66)</f>
        <v/>
      </c>
      <c r="J66">
        <f>IF(C66="","",UPPER(TRIM(A66))&amp;"|"&amp;UPPER(TRIM(C66)))</f>
        <v/>
      </c>
      <c r="K66">
        <f>IF(J66="","",IF(COUNTIF('Purchase Register'!$K$5:$K$504,J66)=0,"In 2B, not in your books","In books"))</f>
        <v/>
      </c>
    </row>
    <row r="67">
      <c r="A67" s="11" t="n"/>
      <c r="B67" s="11" t="n"/>
      <c r="C67" s="11" t="n"/>
      <c r="D67" s="14" t="n"/>
      <c r="E67" s="18" t="n"/>
      <c r="F67" s="18" t="n"/>
      <c r="G67" s="18" t="n"/>
      <c r="H67" s="18" t="n"/>
      <c r="I67" s="23">
        <f>IF(C67="","",F67+G67+H67)</f>
        <v/>
      </c>
      <c r="J67">
        <f>IF(C67="","",UPPER(TRIM(A67))&amp;"|"&amp;UPPER(TRIM(C67)))</f>
        <v/>
      </c>
      <c r="K67">
        <f>IF(J67="","",IF(COUNTIF('Purchase Register'!$K$5:$K$504,J67)=0,"In 2B, not in your books","In books"))</f>
        <v/>
      </c>
    </row>
    <row r="68">
      <c r="A68" s="11" t="n"/>
      <c r="B68" s="11" t="n"/>
      <c r="C68" s="11" t="n"/>
      <c r="D68" s="14" t="n"/>
      <c r="E68" s="18" t="n"/>
      <c r="F68" s="18" t="n"/>
      <c r="G68" s="18" t="n"/>
      <c r="H68" s="18" t="n"/>
      <c r="I68" s="23">
        <f>IF(C68="","",F68+G68+H68)</f>
        <v/>
      </c>
      <c r="J68">
        <f>IF(C68="","",UPPER(TRIM(A68))&amp;"|"&amp;UPPER(TRIM(C68)))</f>
        <v/>
      </c>
      <c r="K68">
        <f>IF(J68="","",IF(COUNTIF('Purchase Register'!$K$5:$K$504,J68)=0,"In 2B, not in your books","In books"))</f>
        <v/>
      </c>
    </row>
    <row r="69">
      <c r="A69" s="11" t="n"/>
      <c r="B69" s="11" t="n"/>
      <c r="C69" s="11" t="n"/>
      <c r="D69" s="14" t="n"/>
      <c r="E69" s="18" t="n"/>
      <c r="F69" s="18" t="n"/>
      <c r="G69" s="18" t="n"/>
      <c r="H69" s="18" t="n"/>
      <c r="I69" s="23">
        <f>IF(C69="","",F69+G69+H69)</f>
        <v/>
      </c>
      <c r="J69">
        <f>IF(C69="","",UPPER(TRIM(A69))&amp;"|"&amp;UPPER(TRIM(C69)))</f>
        <v/>
      </c>
      <c r="K69">
        <f>IF(J69="","",IF(COUNTIF('Purchase Register'!$K$5:$K$504,J69)=0,"In 2B, not in your books","In books"))</f>
        <v/>
      </c>
    </row>
    <row r="70">
      <c r="A70" s="11" t="n"/>
      <c r="B70" s="11" t="n"/>
      <c r="C70" s="11" t="n"/>
      <c r="D70" s="14" t="n"/>
      <c r="E70" s="18" t="n"/>
      <c r="F70" s="18" t="n"/>
      <c r="G70" s="18" t="n"/>
      <c r="H70" s="18" t="n"/>
      <c r="I70" s="23">
        <f>IF(C70="","",F70+G70+H70)</f>
        <v/>
      </c>
      <c r="J70">
        <f>IF(C70="","",UPPER(TRIM(A70))&amp;"|"&amp;UPPER(TRIM(C70)))</f>
        <v/>
      </c>
      <c r="K70">
        <f>IF(J70="","",IF(COUNTIF('Purchase Register'!$K$5:$K$504,J70)=0,"In 2B, not in your books","In books"))</f>
        <v/>
      </c>
    </row>
    <row r="71">
      <c r="A71" s="11" t="n"/>
      <c r="B71" s="11" t="n"/>
      <c r="C71" s="11" t="n"/>
      <c r="D71" s="14" t="n"/>
      <c r="E71" s="18" t="n"/>
      <c r="F71" s="18" t="n"/>
      <c r="G71" s="18" t="n"/>
      <c r="H71" s="18" t="n"/>
      <c r="I71" s="23">
        <f>IF(C71="","",F71+G71+H71)</f>
        <v/>
      </c>
      <c r="J71">
        <f>IF(C71="","",UPPER(TRIM(A71))&amp;"|"&amp;UPPER(TRIM(C71)))</f>
        <v/>
      </c>
      <c r="K71">
        <f>IF(J71="","",IF(COUNTIF('Purchase Register'!$K$5:$K$504,J71)=0,"In 2B, not in your books","In books"))</f>
        <v/>
      </c>
    </row>
    <row r="72">
      <c r="A72" s="11" t="n"/>
      <c r="B72" s="11" t="n"/>
      <c r="C72" s="11" t="n"/>
      <c r="D72" s="14" t="n"/>
      <c r="E72" s="18" t="n"/>
      <c r="F72" s="18" t="n"/>
      <c r="G72" s="18" t="n"/>
      <c r="H72" s="18" t="n"/>
      <c r="I72" s="23">
        <f>IF(C72="","",F72+G72+H72)</f>
        <v/>
      </c>
      <c r="J72">
        <f>IF(C72="","",UPPER(TRIM(A72))&amp;"|"&amp;UPPER(TRIM(C72)))</f>
        <v/>
      </c>
      <c r="K72">
        <f>IF(J72="","",IF(COUNTIF('Purchase Register'!$K$5:$K$504,J72)=0,"In 2B, not in your books","In books"))</f>
        <v/>
      </c>
    </row>
    <row r="73">
      <c r="A73" s="11" t="n"/>
      <c r="B73" s="11" t="n"/>
      <c r="C73" s="11" t="n"/>
      <c r="D73" s="14" t="n"/>
      <c r="E73" s="18" t="n"/>
      <c r="F73" s="18" t="n"/>
      <c r="G73" s="18" t="n"/>
      <c r="H73" s="18" t="n"/>
      <c r="I73" s="23">
        <f>IF(C73="","",F73+G73+H73)</f>
        <v/>
      </c>
      <c r="J73">
        <f>IF(C73="","",UPPER(TRIM(A73))&amp;"|"&amp;UPPER(TRIM(C73)))</f>
        <v/>
      </c>
      <c r="K73">
        <f>IF(J73="","",IF(COUNTIF('Purchase Register'!$K$5:$K$504,J73)=0,"In 2B, not in your books","In books"))</f>
        <v/>
      </c>
    </row>
    <row r="74">
      <c r="A74" s="11" t="n"/>
      <c r="B74" s="11" t="n"/>
      <c r="C74" s="11" t="n"/>
      <c r="D74" s="14" t="n"/>
      <c r="E74" s="18" t="n"/>
      <c r="F74" s="18" t="n"/>
      <c r="G74" s="18" t="n"/>
      <c r="H74" s="18" t="n"/>
      <c r="I74" s="23">
        <f>IF(C74="","",F74+G74+H74)</f>
        <v/>
      </c>
      <c r="J74">
        <f>IF(C74="","",UPPER(TRIM(A74))&amp;"|"&amp;UPPER(TRIM(C74)))</f>
        <v/>
      </c>
      <c r="K74">
        <f>IF(J74="","",IF(COUNTIF('Purchase Register'!$K$5:$K$504,J74)=0,"In 2B, not in your books","In books"))</f>
        <v/>
      </c>
    </row>
    <row r="75">
      <c r="A75" s="11" t="n"/>
      <c r="B75" s="11" t="n"/>
      <c r="C75" s="11" t="n"/>
      <c r="D75" s="14" t="n"/>
      <c r="E75" s="18" t="n"/>
      <c r="F75" s="18" t="n"/>
      <c r="G75" s="18" t="n"/>
      <c r="H75" s="18" t="n"/>
      <c r="I75" s="23">
        <f>IF(C75="","",F75+G75+H75)</f>
        <v/>
      </c>
      <c r="J75">
        <f>IF(C75="","",UPPER(TRIM(A75))&amp;"|"&amp;UPPER(TRIM(C75)))</f>
        <v/>
      </c>
      <c r="K75">
        <f>IF(J75="","",IF(COUNTIF('Purchase Register'!$K$5:$K$504,J75)=0,"In 2B, not in your books","In books"))</f>
        <v/>
      </c>
    </row>
    <row r="76">
      <c r="A76" s="11" t="n"/>
      <c r="B76" s="11" t="n"/>
      <c r="C76" s="11" t="n"/>
      <c r="D76" s="14" t="n"/>
      <c r="E76" s="18" t="n"/>
      <c r="F76" s="18" t="n"/>
      <c r="G76" s="18" t="n"/>
      <c r="H76" s="18" t="n"/>
      <c r="I76" s="23">
        <f>IF(C76="","",F76+G76+H76)</f>
        <v/>
      </c>
      <c r="J76">
        <f>IF(C76="","",UPPER(TRIM(A76))&amp;"|"&amp;UPPER(TRIM(C76)))</f>
        <v/>
      </c>
      <c r="K76">
        <f>IF(J76="","",IF(COUNTIF('Purchase Register'!$K$5:$K$504,J76)=0,"In 2B, not in your books","In books"))</f>
        <v/>
      </c>
    </row>
    <row r="77">
      <c r="A77" s="11" t="n"/>
      <c r="B77" s="11" t="n"/>
      <c r="C77" s="11" t="n"/>
      <c r="D77" s="14" t="n"/>
      <c r="E77" s="18" t="n"/>
      <c r="F77" s="18" t="n"/>
      <c r="G77" s="18" t="n"/>
      <c r="H77" s="18" t="n"/>
      <c r="I77" s="23">
        <f>IF(C77="","",F77+G77+H77)</f>
        <v/>
      </c>
      <c r="J77">
        <f>IF(C77="","",UPPER(TRIM(A77))&amp;"|"&amp;UPPER(TRIM(C77)))</f>
        <v/>
      </c>
      <c r="K77">
        <f>IF(J77="","",IF(COUNTIF('Purchase Register'!$K$5:$K$504,J77)=0,"In 2B, not in your books","In books"))</f>
        <v/>
      </c>
    </row>
    <row r="78">
      <c r="A78" s="11" t="n"/>
      <c r="B78" s="11" t="n"/>
      <c r="C78" s="11" t="n"/>
      <c r="D78" s="14" t="n"/>
      <c r="E78" s="18" t="n"/>
      <c r="F78" s="18" t="n"/>
      <c r="G78" s="18" t="n"/>
      <c r="H78" s="18" t="n"/>
      <c r="I78" s="23">
        <f>IF(C78="","",F78+G78+H78)</f>
        <v/>
      </c>
      <c r="J78">
        <f>IF(C78="","",UPPER(TRIM(A78))&amp;"|"&amp;UPPER(TRIM(C78)))</f>
        <v/>
      </c>
      <c r="K78">
        <f>IF(J78="","",IF(COUNTIF('Purchase Register'!$K$5:$K$504,J78)=0,"In 2B, not in your books","In books"))</f>
        <v/>
      </c>
    </row>
    <row r="79">
      <c r="A79" s="11" t="n"/>
      <c r="B79" s="11" t="n"/>
      <c r="C79" s="11" t="n"/>
      <c r="D79" s="14" t="n"/>
      <c r="E79" s="18" t="n"/>
      <c r="F79" s="18" t="n"/>
      <c r="G79" s="18" t="n"/>
      <c r="H79" s="18" t="n"/>
      <c r="I79" s="23">
        <f>IF(C79="","",F79+G79+H79)</f>
        <v/>
      </c>
      <c r="J79">
        <f>IF(C79="","",UPPER(TRIM(A79))&amp;"|"&amp;UPPER(TRIM(C79)))</f>
        <v/>
      </c>
      <c r="K79">
        <f>IF(J79="","",IF(COUNTIF('Purchase Register'!$K$5:$K$504,J79)=0,"In 2B, not in your books","In books"))</f>
        <v/>
      </c>
    </row>
    <row r="80">
      <c r="A80" s="11" t="n"/>
      <c r="B80" s="11" t="n"/>
      <c r="C80" s="11" t="n"/>
      <c r="D80" s="14" t="n"/>
      <c r="E80" s="18" t="n"/>
      <c r="F80" s="18" t="n"/>
      <c r="G80" s="18" t="n"/>
      <c r="H80" s="18" t="n"/>
      <c r="I80" s="23">
        <f>IF(C80="","",F80+G80+H80)</f>
        <v/>
      </c>
      <c r="J80">
        <f>IF(C80="","",UPPER(TRIM(A80))&amp;"|"&amp;UPPER(TRIM(C80)))</f>
        <v/>
      </c>
      <c r="K80">
        <f>IF(J80="","",IF(COUNTIF('Purchase Register'!$K$5:$K$504,J80)=0,"In 2B, not in your books","In books"))</f>
        <v/>
      </c>
    </row>
    <row r="81">
      <c r="A81" s="11" t="n"/>
      <c r="B81" s="11" t="n"/>
      <c r="C81" s="11" t="n"/>
      <c r="D81" s="14" t="n"/>
      <c r="E81" s="18" t="n"/>
      <c r="F81" s="18" t="n"/>
      <c r="G81" s="18" t="n"/>
      <c r="H81" s="18" t="n"/>
      <c r="I81" s="23">
        <f>IF(C81="","",F81+G81+H81)</f>
        <v/>
      </c>
      <c r="J81">
        <f>IF(C81="","",UPPER(TRIM(A81))&amp;"|"&amp;UPPER(TRIM(C81)))</f>
        <v/>
      </c>
      <c r="K81">
        <f>IF(J81="","",IF(COUNTIF('Purchase Register'!$K$5:$K$504,J81)=0,"In 2B, not in your books","In books"))</f>
        <v/>
      </c>
    </row>
    <row r="82">
      <c r="A82" s="11" t="n"/>
      <c r="B82" s="11" t="n"/>
      <c r="C82" s="11" t="n"/>
      <c r="D82" s="14" t="n"/>
      <c r="E82" s="18" t="n"/>
      <c r="F82" s="18" t="n"/>
      <c r="G82" s="18" t="n"/>
      <c r="H82" s="18" t="n"/>
      <c r="I82" s="23">
        <f>IF(C82="","",F82+G82+H82)</f>
        <v/>
      </c>
      <c r="J82">
        <f>IF(C82="","",UPPER(TRIM(A82))&amp;"|"&amp;UPPER(TRIM(C82)))</f>
        <v/>
      </c>
      <c r="K82">
        <f>IF(J82="","",IF(COUNTIF('Purchase Register'!$K$5:$K$504,J82)=0,"In 2B, not in your books","In books"))</f>
        <v/>
      </c>
    </row>
    <row r="83">
      <c r="A83" s="11" t="n"/>
      <c r="B83" s="11" t="n"/>
      <c r="C83" s="11" t="n"/>
      <c r="D83" s="14" t="n"/>
      <c r="E83" s="18" t="n"/>
      <c r="F83" s="18" t="n"/>
      <c r="G83" s="18" t="n"/>
      <c r="H83" s="18" t="n"/>
      <c r="I83" s="23">
        <f>IF(C83="","",F83+G83+H83)</f>
        <v/>
      </c>
      <c r="J83">
        <f>IF(C83="","",UPPER(TRIM(A83))&amp;"|"&amp;UPPER(TRIM(C83)))</f>
        <v/>
      </c>
      <c r="K83">
        <f>IF(J83="","",IF(COUNTIF('Purchase Register'!$K$5:$K$504,J83)=0,"In 2B, not in your books","In books"))</f>
        <v/>
      </c>
    </row>
    <row r="84">
      <c r="A84" s="11" t="n"/>
      <c r="B84" s="11" t="n"/>
      <c r="C84" s="11" t="n"/>
      <c r="D84" s="14" t="n"/>
      <c r="E84" s="18" t="n"/>
      <c r="F84" s="18" t="n"/>
      <c r="G84" s="18" t="n"/>
      <c r="H84" s="18" t="n"/>
      <c r="I84" s="23">
        <f>IF(C84="","",F84+G84+H84)</f>
        <v/>
      </c>
      <c r="J84">
        <f>IF(C84="","",UPPER(TRIM(A84))&amp;"|"&amp;UPPER(TRIM(C84)))</f>
        <v/>
      </c>
      <c r="K84">
        <f>IF(J84="","",IF(COUNTIF('Purchase Register'!$K$5:$K$504,J84)=0,"In 2B, not in your books","In books"))</f>
        <v/>
      </c>
    </row>
    <row r="85">
      <c r="A85" s="11" t="n"/>
      <c r="B85" s="11" t="n"/>
      <c r="C85" s="11" t="n"/>
      <c r="D85" s="14" t="n"/>
      <c r="E85" s="18" t="n"/>
      <c r="F85" s="18" t="n"/>
      <c r="G85" s="18" t="n"/>
      <c r="H85" s="18" t="n"/>
      <c r="I85" s="23">
        <f>IF(C85="","",F85+G85+H85)</f>
        <v/>
      </c>
      <c r="J85">
        <f>IF(C85="","",UPPER(TRIM(A85))&amp;"|"&amp;UPPER(TRIM(C85)))</f>
        <v/>
      </c>
      <c r="K85">
        <f>IF(J85="","",IF(COUNTIF('Purchase Register'!$K$5:$K$504,J85)=0,"In 2B, not in your books","In books"))</f>
        <v/>
      </c>
    </row>
    <row r="86">
      <c r="A86" s="11" t="n"/>
      <c r="B86" s="11" t="n"/>
      <c r="C86" s="11" t="n"/>
      <c r="D86" s="14" t="n"/>
      <c r="E86" s="18" t="n"/>
      <c r="F86" s="18" t="n"/>
      <c r="G86" s="18" t="n"/>
      <c r="H86" s="18" t="n"/>
      <c r="I86" s="23">
        <f>IF(C86="","",F86+G86+H86)</f>
        <v/>
      </c>
      <c r="J86">
        <f>IF(C86="","",UPPER(TRIM(A86))&amp;"|"&amp;UPPER(TRIM(C86)))</f>
        <v/>
      </c>
      <c r="K86">
        <f>IF(J86="","",IF(COUNTIF('Purchase Register'!$K$5:$K$504,J86)=0,"In 2B, not in your books","In books"))</f>
        <v/>
      </c>
    </row>
    <row r="87">
      <c r="A87" s="11" t="n"/>
      <c r="B87" s="11" t="n"/>
      <c r="C87" s="11" t="n"/>
      <c r="D87" s="14" t="n"/>
      <c r="E87" s="18" t="n"/>
      <c r="F87" s="18" t="n"/>
      <c r="G87" s="18" t="n"/>
      <c r="H87" s="18" t="n"/>
      <c r="I87" s="23">
        <f>IF(C87="","",F87+G87+H87)</f>
        <v/>
      </c>
      <c r="J87">
        <f>IF(C87="","",UPPER(TRIM(A87))&amp;"|"&amp;UPPER(TRIM(C87)))</f>
        <v/>
      </c>
      <c r="K87">
        <f>IF(J87="","",IF(COUNTIF('Purchase Register'!$K$5:$K$504,J87)=0,"In 2B, not in your books","In books"))</f>
        <v/>
      </c>
    </row>
    <row r="88">
      <c r="A88" s="11" t="n"/>
      <c r="B88" s="11" t="n"/>
      <c r="C88" s="11" t="n"/>
      <c r="D88" s="14" t="n"/>
      <c r="E88" s="18" t="n"/>
      <c r="F88" s="18" t="n"/>
      <c r="G88" s="18" t="n"/>
      <c r="H88" s="18" t="n"/>
      <c r="I88" s="23">
        <f>IF(C88="","",F88+G88+H88)</f>
        <v/>
      </c>
      <c r="J88">
        <f>IF(C88="","",UPPER(TRIM(A88))&amp;"|"&amp;UPPER(TRIM(C88)))</f>
        <v/>
      </c>
      <c r="K88">
        <f>IF(J88="","",IF(COUNTIF('Purchase Register'!$K$5:$K$504,J88)=0,"In 2B, not in your books","In books"))</f>
        <v/>
      </c>
    </row>
    <row r="89">
      <c r="A89" s="11" t="n"/>
      <c r="B89" s="11" t="n"/>
      <c r="C89" s="11" t="n"/>
      <c r="D89" s="14" t="n"/>
      <c r="E89" s="18" t="n"/>
      <c r="F89" s="18" t="n"/>
      <c r="G89" s="18" t="n"/>
      <c r="H89" s="18" t="n"/>
      <c r="I89" s="23">
        <f>IF(C89="","",F89+G89+H89)</f>
        <v/>
      </c>
      <c r="J89">
        <f>IF(C89="","",UPPER(TRIM(A89))&amp;"|"&amp;UPPER(TRIM(C89)))</f>
        <v/>
      </c>
      <c r="K89">
        <f>IF(J89="","",IF(COUNTIF('Purchase Register'!$K$5:$K$504,J89)=0,"In 2B, not in your books","In books"))</f>
        <v/>
      </c>
    </row>
    <row r="90">
      <c r="A90" s="11" t="n"/>
      <c r="B90" s="11" t="n"/>
      <c r="C90" s="11" t="n"/>
      <c r="D90" s="14" t="n"/>
      <c r="E90" s="18" t="n"/>
      <c r="F90" s="18" t="n"/>
      <c r="G90" s="18" t="n"/>
      <c r="H90" s="18" t="n"/>
      <c r="I90" s="23">
        <f>IF(C90="","",F90+G90+H90)</f>
        <v/>
      </c>
      <c r="J90">
        <f>IF(C90="","",UPPER(TRIM(A90))&amp;"|"&amp;UPPER(TRIM(C90)))</f>
        <v/>
      </c>
      <c r="K90">
        <f>IF(J90="","",IF(COUNTIF('Purchase Register'!$K$5:$K$504,J90)=0,"In 2B, not in your books","In books"))</f>
        <v/>
      </c>
    </row>
    <row r="91">
      <c r="A91" s="11" t="n"/>
      <c r="B91" s="11" t="n"/>
      <c r="C91" s="11" t="n"/>
      <c r="D91" s="14" t="n"/>
      <c r="E91" s="18" t="n"/>
      <c r="F91" s="18" t="n"/>
      <c r="G91" s="18" t="n"/>
      <c r="H91" s="18" t="n"/>
      <c r="I91" s="23">
        <f>IF(C91="","",F91+G91+H91)</f>
        <v/>
      </c>
      <c r="J91">
        <f>IF(C91="","",UPPER(TRIM(A91))&amp;"|"&amp;UPPER(TRIM(C91)))</f>
        <v/>
      </c>
      <c r="K91">
        <f>IF(J91="","",IF(COUNTIF('Purchase Register'!$K$5:$K$504,J91)=0,"In 2B, not in your books","In books"))</f>
        <v/>
      </c>
    </row>
    <row r="92">
      <c r="A92" s="11" t="n"/>
      <c r="B92" s="11" t="n"/>
      <c r="C92" s="11" t="n"/>
      <c r="D92" s="14" t="n"/>
      <c r="E92" s="18" t="n"/>
      <c r="F92" s="18" t="n"/>
      <c r="G92" s="18" t="n"/>
      <c r="H92" s="18" t="n"/>
      <c r="I92" s="23">
        <f>IF(C92="","",F92+G92+H92)</f>
        <v/>
      </c>
      <c r="J92">
        <f>IF(C92="","",UPPER(TRIM(A92))&amp;"|"&amp;UPPER(TRIM(C92)))</f>
        <v/>
      </c>
      <c r="K92">
        <f>IF(J92="","",IF(COUNTIF('Purchase Register'!$K$5:$K$504,J92)=0,"In 2B, not in your books","In books"))</f>
        <v/>
      </c>
    </row>
    <row r="93">
      <c r="A93" s="11" t="n"/>
      <c r="B93" s="11" t="n"/>
      <c r="C93" s="11" t="n"/>
      <c r="D93" s="14" t="n"/>
      <c r="E93" s="18" t="n"/>
      <c r="F93" s="18" t="n"/>
      <c r="G93" s="18" t="n"/>
      <c r="H93" s="18" t="n"/>
      <c r="I93" s="23">
        <f>IF(C93="","",F93+G93+H93)</f>
        <v/>
      </c>
      <c r="J93">
        <f>IF(C93="","",UPPER(TRIM(A93))&amp;"|"&amp;UPPER(TRIM(C93)))</f>
        <v/>
      </c>
      <c r="K93">
        <f>IF(J93="","",IF(COUNTIF('Purchase Register'!$K$5:$K$504,J93)=0,"In 2B, not in your books","In books"))</f>
        <v/>
      </c>
    </row>
    <row r="94">
      <c r="A94" s="11" t="n"/>
      <c r="B94" s="11" t="n"/>
      <c r="C94" s="11" t="n"/>
      <c r="D94" s="14" t="n"/>
      <c r="E94" s="18" t="n"/>
      <c r="F94" s="18" t="n"/>
      <c r="G94" s="18" t="n"/>
      <c r="H94" s="18" t="n"/>
      <c r="I94" s="23">
        <f>IF(C94="","",F94+G94+H94)</f>
        <v/>
      </c>
      <c r="J94">
        <f>IF(C94="","",UPPER(TRIM(A94))&amp;"|"&amp;UPPER(TRIM(C94)))</f>
        <v/>
      </c>
      <c r="K94">
        <f>IF(J94="","",IF(COUNTIF('Purchase Register'!$K$5:$K$504,J94)=0,"In 2B, not in your books","In books"))</f>
        <v/>
      </c>
    </row>
    <row r="95">
      <c r="A95" s="11" t="n"/>
      <c r="B95" s="11" t="n"/>
      <c r="C95" s="11" t="n"/>
      <c r="D95" s="14" t="n"/>
      <c r="E95" s="18" t="n"/>
      <c r="F95" s="18" t="n"/>
      <c r="G95" s="18" t="n"/>
      <c r="H95" s="18" t="n"/>
      <c r="I95" s="23">
        <f>IF(C95="","",F95+G95+H95)</f>
        <v/>
      </c>
      <c r="J95">
        <f>IF(C95="","",UPPER(TRIM(A95))&amp;"|"&amp;UPPER(TRIM(C95)))</f>
        <v/>
      </c>
      <c r="K95">
        <f>IF(J95="","",IF(COUNTIF('Purchase Register'!$K$5:$K$504,J95)=0,"In 2B, not in your books","In books"))</f>
        <v/>
      </c>
    </row>
    <row r="96">
      <c r="A96" s="11" t="n"/>
      <c r="B96" s="11" t="n"/>
      <c r="C96" s="11" t="n"/>
      <c r="D96" s="14" t="n"/>
      <c r="E96" s="18" t="n"/>
      <c r="F96" s="18" t="n"/>
      <c r="G96" s="18" t="n"/>
      <c r="H96" s="18" t="n"/>
      <c r="I96" s="23">
        <f>IF(C96="","",F96+G96+H96)</f>
        <v/>
      </c>
      <c r="J96">
        <f>IF(C96="","",UPPER(TRIM(A96))&amp;"|"&amp;UPPER(TRIM(C96)))</f>
        <v/>
      </c>
      <c r="K96">
        <f>IF(J96="","",IF(COUNTIF('Purchase Register'!$K$5:$K$504,J96)=0,"In 2B, not in your books","In books"))</f>
        <v/>
      </c>
    </row>
    <row r="97">
      <c r="A97" s="11" t="n"/>
      <c r="B97" s="11" t="n"/>
      <c r="C97" s="11" t="n"/>
      <c r="D97" s="14" t="n"/>
      <c r="E97" s="18" t="n"/>
      <c r="F97" s="18" t="n"/>
      <c r="G97" s="18" t="n"/>
      <c r="H97" s="18" t="n"/>
      <c r="I97" s="23">
        <f>IF(C97="","",F97+G97+H97)</f>
        <v/>
      </c>
      <c r="J97">
        <f>IF(C97="","",UPPER(TRIM(A97))&amp;"|"&amp;UPPER(TRIM(C97)))</f>
        <v/>
      </c>
      <c r="K97">
        <f>IF(J97="","",IF(COUNTIF('Purchase Register'!$K$5:$K$504,J97)=0,"In 2B, not in your books","In books"))</f>
        <v/>
      </c>
    </row>
    <row r="98">
      <c r="A98" s="11" t="n"/>
      <c r="B98" s="11" t="n"/>
      <c r="C98" s="11" t="n"/>
      <c r="D98" s="14" t="n"/>
      <c r="E98" s="18" t="n"/>
      <c r="F98" s="18" t="n"/>
      <c r="G98" s="18" t="n"/>
      <c r="H98" s="18" t="n"/>
      <c r="I98" s="23">
        <f>IF(C98="","",F98+G98+H98)</f>
        <v/>
      </c>
      <c r="J98">
        <f>IF(C98="","",UPPER(TRIM(A98))&amp;"|"&amp;UPPER(TRIM(C98)))</f>
        <v/>
      </c>
      <c r="K98">
        <f>IF(J98="","",IF(COUNTIF('Purchase Register'!$K$5:$K$504,J98)=0,"In 2B, not in your books","In books"))</f>
        <v/>
      </c>
    </row>
    <row r="99">
      <c r="A99" s="11" t="n"/>
      <c r="B99" s="11" t="n"/>
      <c r="C99" s="11" t="n"/>
      <c r="D99" s="14" t="n"/>
      <c r="E99" s="18" t="n"/>
      <c r="F99" s="18" t="n"/>
      <c r="G99" s="18" t="n"/>
      <c r="H99" s="18" t="n"/>
      <c r="I99" s="23">
        <f>IF(C99="","",F99+G99+H99)</f>
        <v/>
      </c>
      <c r="J99">
        <f>IF(C99="","",UPPER(TRIM(A99))&amp;"|"&amp;UPPER(TRIM(C99)))</f>
        <v/>
      </c>
      <c r="K99">
        <f>IF(J99="","",IF(COUNTIF('Purchase Register'!$K$5:$K$504,J99)=0,"In 2B, not in your books","In books"))</f>
        <v/>
      </c>
    </row>
    <row r="100">
      <c r="A100" s="11" t="n"/>
      <c r="B100" s="11" t="n"/>
      <c r="C100" s="11" t="n"/>
      <c r="D100" s="14" t="n"/>
      <c r="E100" s="18" t="n"/>
      <c r="F100" s="18" t="n"/>
      <c r="G100" s="18" t="n"/>
      <c r="H100" s="18" t="n"/>
      <c r="I100" s="23">
        <f>IF(C100="","",F100+G100+H100)</f>
        <v/>
      </c>
      <c r="J100">
        <f>IF(C100="","",UPPER(TRIM(A100))&amp;"|"&amp;UPPER(TRIM(C100)))</f>
        <v/>
      </c>
      <c r="K100">
        <f>IF(J100="","",IF(COUNTIF('Purchase Register'!$K$5:$K$504,J100)=0,"In 2B, not in your books","In books"))</f>
        <v/>
      </c>
    </row>
    <row r="101">
      <c r="A101" s="11" t="n"/>
      <c r="B101" s="11" t="n"/>
      <c r="C101" s="11" t="n"/>
      <c r="D101" s="14" t="n"/>
      <c r="E101" s="18" t="n"/>
      <c r="F101" s="18" t="n"/>
      <c r="G101" s="18" t="n"/>
      <c r="H101" s="18" t="n"/>
      <c r="I101" s="23">
        <f>IF(C101="","",F101+G101+H101)</f>
        <v/>
      </c>
      <c r="J101">
        <f>IF(C101="","",UPPER(TRIM(A101))&amp;"|"&amp;UPPER(TRIM(C101)))</f>
        <v/>
      </c>
      <c r="K101">
        <f>IF(J101="","",IF(COUNTIF('Purchase Register'!$K$5:$K$504,J101)=0,"In 2B, not in your books","In books"))</f>
        <v/>
      </c>
    </row>
    <row r="102">
      <c r="A102" s="11" t="n"/>
      <c r="B102" s="11" t="n"/>
      <c r="C102" s="11" t="n"/>
      <c r="D102" s="14" t="n"/>
      <c r="E102" s="18" t="n"/>
      <c r="F102" s="18" t="n"/>
      <c r="G102" s="18" t="n"/>
      <c r="H102" s="18" t="n"/>
      <c r="I102" s="23">
        <f>IF(C102="","",F102+G102+H102)</f>
        <v/>
      </c>
      <c r="J102">
        <f>IF(C102="","",UPPER(TRIM(A102))&amp;"|"&amp;UPPER(TRIM(C102)))</f>
        <v/>
      </c>
      <c r="K102">
        <f>IF(J102="","",IF(COUNTIF('Purchase Register'!$K$5:$K$504,J102)=0,"In 2B, not in your books","In books"))</f>
        <v/>
      </c>
    </row>
    <row r="103">
      <c r="A103" s="11" t="n"/>
      <c r="B103" s="11" t="n"/>
      <c r="C103" s="11" t="n"/>
      <c r="D103" s="14" t="n"/>
      <c r="E103" s="18" t="n"/>
      <c r="F103" s="18" t="n"/>
      <c r="G103" s="18" t="n"/>
      <c r="H103" s="18" t="n"/>
      <c r="I103" s="23">
        <f>IF(C103="","",F103+G103+H103)</f>
        <v/>
      </c>
      <c r="J103">
        <f>IF(C103="","",UPPER(TRIM(A103))&amp;"|"&amp;UPPER(TRIM(C103)))</f>
        <v/>
      </c>
      <c r="K103">
        <f>IF(J103="","",IF(COUNTIF('Purchase Register'!$K$5:$K$504,J103)=0,"In 2B, not in your books","In books"))</f>
        <v/>
      </c>
    </row>
    <row r="104">
      <c r="A104" s="11" t="n"/>
      <c r="B104" s="11" t="n"/>
      <c r="C104" s="11" t="n"/>
      <c r="D104" s="14" t="n"/>
      <c r="E104" s="18" t="n"/>
      <c r="F104" s="18" t="n"/>
      <c r="G104" s="18" t="n"/>
      <c r="H104" s="18" t="n"/>
      <c r="I104" s="23">
        <f>IF(C104="","",F104+G104+H104)</f>
        <v/>
      </c>
      <c r="J104">
        <f>IF(C104="","",UPPER(TRIM(A104))&amp;"|"&amp;UPPER(TRIM(C104)))</f>
        <v/>
      </c>
      <c r="K104">
        <f>IF(J104="","",IF(COUNTIF('Purchase Register'!$K$5:$K$504,J104)=0,"In 2B, not in your books","In books"))</f>
        <v/>
      </c>
    </row>
    <row r="105">
      <c r="A105" s="11" t="n"/>
      <c r="B105" s="11" t="n"/>
      <c r="C105" s="11" t="n"/>
      <c r="D105" s="14" t="n"/>
      <c r="E105" s="18" t="n"/>
      <c r="F105" s="18" t="n"/>
      <c r="G105" s="18" t="n"/>
      <c r="H105" s="18" t="n"/>
      <c r="I105" s="23">
        <f>IF(C105="","",F105+G105+H105)</f>
        <v/>
      </c>
      <c r="J105">
        <f>IF(C105="","",UPPER(TRIM(A105))&amp;"|"&amp;UPPER(TRIM(C105)))</f>
        <v/>
      </c>
      <c r="K105">
        <f>IF(J105="","",IF(COUNTIF('Purchase Register'!$K$5:$K$504,J105)=0,"In 2B, not in your books","In books"))</f>
        <v/>
      </c>
    </row>
    <row r="106">
      <c r="A106" s="11" t="n"/>
      <c r="B106" s="11" t="n"/>
      <c r="C106" s="11" t="n"/>
      <c r="D106" s="14" t="n"/>
      <c r="E106" s="18" t="n"/>
      <c r="F106" s="18" t="n"/>
      <c r="G106" s="18" t="n"/>
      <c r="H106" s="18" t="n"/>
      <c r="I106" s="23">
        <f>IF(C106="","",F106+G106+H106)</f>
        <v/>
      </c>
      <c r="J106">
        <f>IF(C106="","",UPPER(TRIM(A106))&amp;"|"&amp;UPPER(TRIM(C106)))</f>
        <v/>
      </c>
      <c r="K106">
        <f>IF(J106="","",IF(COUNTIF('Purchase Register'!$K$5:$K$504,J106)=0,"In 2B, not in your books","In books"))</f>
        <v/>
      </c>
    </row>
    <row r="107">
      <c r="A107" s="11" t="n"/>
      <c r="B107" s="11" t="n"/>
      <c r="C107" s="11" t="n"/>
      <c r="D107" s="14" t="n"/>
      <c r="E107" s="18" t="n"/>
      <c r="F107" s="18" t="n"/>
      <c r="G107" s="18" t="n"/>
      <c r="H107" s="18" t="n"/>
      <c r="I107" s="23">
        <f>IF(C107="","",F107+G107+H107)</f>
        <v/>
      </c>
      <c r="J107">
        <f>IF(C107="","",UPPER(TRIM(A107))&amp;"|"&amp;UPPER(TRIM(C107)))</f>
        <v/>
      </c>
      <c r="K107">
        <f>IF(J107="","",IF(COUNTIF('Purchase Register'!$K$5:$K$504,J107)=0,"In 2B, not in your books","In books"))</f>
        <v/>
      </c>
    </row>
    <row r="108">
      <c r="A108" s="11" t="n"/>
      <c r="B108" s="11" t="n"/>
      <c r="C108" s="11" t="n"/>
      <c r="D108" s="14" t="n"/>
      <c r="E108" s="18" t="n"/>
      <c r="F108" s="18" t="n"/>
      <c r="G108" s="18" t="n"/>
      <c r="H108" s="18" t="n"/>
      <c r="I108" s="23">
        <f>IF(C108="","",F108+G108+H108)</f>
        <v/>
      </c>
      <c r="J108">
        <f>IF(C108="","",UPPER(TRIM(A108))&amp;"|"&amp;UPPER(TRIM(C108)))</f>
        <v/>
      </c>
      <c r="K108">
        <f>IF(J108="","",IF(COUNTIF('Purchase Register'!$K$5:$K$504,J108)=0,"In 2B, not in your books","In books"))</f>
        <v/>
      </c>
    </row>
    <row r="109">
      <c r="A109" s="11" t="n"/>
      <c r="B109" s="11" t="n"/>
      <c r="C109" s="11" t="n"/>
      <c r="D109" s="14" t="n"/>
      <c r="E109" s="18" t="n"/>
      <c r="F109" s="18" t="n"/>
      <c r="G109" s="18" t="n"/>
      <c r="H109" s="18" t="n"/>
      <c r="I109" s="23">
        <f>IF(C109="","",F109+G109+H109)</f>
        <v/>
      </c>
      <c r="J109">
        <f>IF(C109="","",UPPER(TRIM(A109))&amp;"|"&amp;UPPER(TRIM(C109)))</f>
        <v/>
      </c>
      <c r="K109">
        <f>IF(J109="","",IF(COUNTIF('Purchase Register'!$K$5:$K$504,J109)=0,"In 2B, not in your books","In books"))</f>
        <v/>
      </c>
    </row>
    <row r="110">
      <c r="A110" s="11" t="n"/>
      <c r="B110" s="11" t="n"/>
      <c r="C110" s="11" t="n"/>
      <c r="D110" s="14" t="n"/>
      <c r="E110" s="18" t="n"/>
      <c r="F110" s="18" t="n"/>
      <c r="G110" s="18" t="n"/>
      <c r="H110" s="18" t="n"/>
      <c r="I110" s="23">
        <f>IF(C110="","",F110+G110+H110)</f>
        <v/>
      </c>
      <c r="J110">
        <f>IF(C110="","",UPPER(TRIM(A110))&amp;"|"&amp;UPPER(TRIM(C110)))</f>
        <v/>
      </c>
      <c r="K110">
        <f>IF(J110="","",IF(COUNTIF('Purchase Register'!$K$5:$K$504,J110)=0,"In 2B, not in your books","In books"))</f>
        <v/>
      </c>
    </row>
    <row r="111">
      <c r="A111" s="11" t="n"/>
      <c r="B111" s="11" t="n"/>
      <c r="C111" s="11" t="n"/>
      <c r="D111" s="14" t="n"/>
      <c r="E111" s="18" t="n"/>
      <c r="F111" s="18" t="n"/>
      <c r="G111" s="18" t="n"/>
      <c r="H111" s="18" t="n"/>
      <c r="I111" s="23">
        <f>IF(C111="","",F111+G111+H111)</f>
        <v/>
      </c>
      <c r="J111">
        <f>IF(C111="","",UPPER(TRIM(A111))&amp;"|"&amp;UPPER(TRIM(C111)))</f>
        <v/>
      </c>
      <c r="K111">
        <f>IF(J111="","",IF(COUNTIF('Purchase Register'!$K$5:$K$504,J111)=0,"In 2B, not in your books","In books"))</f>
        <v/>
      </c>
    </row>
    <row r="112">
      <c r="A112" s="11" t="n"/>
      <c r="B112" s="11" t="n"/>
      <c r="C112" s="11" t="n"/>
      <c r="D112" s="14" t="n"/>
      <c r="E112" s="18" t="n"/>
      <c r="F112" s="18" t="n"/>
      <c r="G112" s="18" t="n"/>
      <c r="H112" s="18" t="n"/>
      <c r="I112" s="23">
        <f>IF(C112="","",F112+G112+H112)</f>
        <v/>
      </c>
      <c r="J112">
        <f>IF(C112="","",UPPER(TRIM(A112))&amp;"|"&amp;UPPER(TRIM(C112)))</f>
        <v/>
      </c>
      <c r="K112">
        <f>IF(J112="","",IF(COUNTIF('Purchase Register'!$K$5:$K$504,J112)=0,"In 2B, not in your books","In books"))</f>
        <v/>
      </c>
    </row>
    <row r="113">
      <c r="A113" s="11" t="n"/>
      <c r="B113" s="11" t="n"/>
      <c r="C113" s="11" t="n"/>
      <c r="D113" s="14" t="n"/>
      <c r="E113" s="18" t="n"/>
      <c r="F113" s="18" t="n"/>
      <c r="G113" s="18" t="n"/>
      <c r="H113" s="18" t="n"/>
      <c r="I113" s="23">
        <f>IF(C113="","",F113+G113+H113)</f>
        <v/>
      </c>
      <c r="J113">
        <f>IF(C113="","",UPPER(TRIM(A113))&amp;"|"&amp;UPPER(TRIM(C113)))</f>
        <v/>
      </c>
      <c r="K113">
        <f>IF(J113="","",IF(COUNTIF('Purchase Register'!$K$5:$K$504,J113)=0,"In 2B, not in your books","In books"))</f>
        <v/>
      </c>
    </row>
    <row r="114">
      <c r="A114" s="11" t="n"/>
      <c r="B114" s="11" t="n"/>
      <c r="C114" s="11" t="n"/>
      <c r="D114" s="14" t="n"/>
      <c r="E114" s="18" t="n"/>
      <c r="F114" s="18" t="n"/>
      <c r="G114" s="18" t="n"/>
      <c r="H114" s="18" t="n"/>
      <c r="I114" s="23">
        <f>IF(C114="","",F114+G114+H114)</f>
        <v/>
      </c>
      <c r="J114">
        <f>IF(C114="","",UPPER(TRIM(A114))&amp;"|"&amp;UPPER(TRIM(C114)))</f>
        <v/>
      </c>
      <c r="K114">
        <f>IF(J114="","",IF(COUNTIF('Purchase Register'!$K$5:$K$504,J114)=0,"In 2B, not in your books","In books"))</f>
        <v/>
      </c>
    </row>
    <row r="115">
      <c r="A115" s="11" t="n"/>
      <c r="B115" s="11" t="n"/>
      <c r="C115" s="11" t="n"/>
      <c r="D115" s="14" t="n"/>
      <c r="E115" s="18" t="n"/>
      <c r="F115" s="18" t="n"/>
      <c r="G115" s="18" t="n"/>
      <c r="H115" s="18" t="n"/>
      <c r="I115" s="23">
        <f>IF(C115="","",F115+G115+H115)</f>
        <v/>
      </c>
      <c r="J115">
        <f>IF(C115="","",UPPER(TRIM(A115))&amp;"|"&amp;UPPER(TRIM(C115)))</f>
        <v/>
      </c>
      <c r="K115">
        <f>IF(J115="","",IF(COUNTIF('Purchase Register'!$K$5:$K$504,J115)=0,"In 2B, not in your books","In books"))</f>
        <v/>
      </c>
    </row>
    <row r="116">
      <c r="A116" s="11" t="n"/>
      <c r="B116" s="11" t="n"/>
      <c r="C116" s="11" t="n"/>
      <c r="D116" s="14" t="n"/>
      <c r="E116" s="18" t="n"/>
      <c r="F116" s="18" t="n"/>
      <c r="G116" s="18" t="n"/>
      <c r="H116" s="18" t="n"/>
      <c r="I116" s="23">
        <f>IF(C116="","",F116+G116+H116)</f>
        <v/>
      </c>
      <c r="J116">
        <f>IF(C116="","",UPPER(TRIM(A116))&amp;"|"&amp;UPPER(TRIM(C116)))</f>
        <v/>
      </c>
      <c r="K116">
        <f>IF(J116="","",IF(COUNTIF('Purchase Register'!$K$5:$K$504,J116)=0,"In 2B, not in your books","In books"))</f>
        <v/>
      </c>
    </row>
    <row r="117">
      <c r="A117" s="11" t="n"/>
      <c r="B117" s="11" t="n"/>
      <c r="C117" s="11" t="n"/>
      <c r="D117" s="14" t="n"/>
      <c r="E117" s="18" t="n"/>
      <c r="F117" s="18" t="n"/>
      <c r="G117" s="18" t="n"/>
      <c r="H117" s="18" t="n"/>
      <c r="I117" s="23">
        <f>IF(C117="","",F117+G117+H117)</f>
        <v/>
      </c>
      <c r="J117">
        <f>IF(C117="","",UPPER(TRIM(A117))&amp;"|"&amp;UPPER(TRIM(C117)))</f>
        <v/>
      </c>
      <c r="K117">
        <f>IF(J117="","",IF(COUNTIF('Purchase Register'!$K$5:$K$504,J117)=0,"In 2B, not in your books","In books"))</f>
        <v/>
      </c>
    </row>
    <row r="118">
      <c r="A118" s="11" t="n"/>
      <c r="B118" s="11" t="n"/>
      <c r="C118" s="11" t="n"/>
      <c r="D118" s="14" t="n"/>
      <c r="E118" s="18" t="n"/>
      <c r="F118" s="18" t="n"/>
      <c r="G118" s="18" t="n"/>
      <c r="H118" s="18" t="n"/>
      <c r="I118" s="23">
        <f>IF(C118="","",F118+G118+H118)</f>
        <v/>
      </c>
      <c r="J118">
        <f>IF(C118="","",UPPER(TRIM(A118))&amp;"|"&amp;UPPER(TRIM(C118)))</f>
        <v/>
      </c>
      <c r="K118">
        <f>IF(J118="","",IF(COUNTIF('Purchase Register'!$K$5:$K$504,J118)=0,"In 2B, not in your books","In books"))</f>
        <v/>
      </c>
    </row>
    <row r="119">
      <c r="A119" s="11" t="n"/>
      <c r="B119" s="11" t="n"/>
      <c r="C119" s="11" t="n"/>
      <c r="D119" s="14" t="n"/>
      <c r="E119" s="18" t="n"/>
      <c r="F119" s="18" t="n"/>
      <c r="G119" s="18" t="n"/>
      <c r="H119" s="18" t="n"/>
      <c r="I119" s="23">
        <f>IF(C119="","",F119+G119+H119)</f>
        <v/>
      </c>
      <c r="J119">
        <f>IF(C119="","",UPPER(TRIM(A119))&amp;"|"&amp;UPPER(TRIM(C119)))</f>
        <v/>
      </c>
      <c r="K119">
        <f>IF(J119="","",IF(COUNTIF('Purchase Register'!$K$5:$K$504,J119)=0,"In 2B, not in your books","In books"))</f>
        <v/>
      </c>
    </row>
    <row r="120">
      <c r="A120" s="11" t="n"/>
      <c r="B120" s="11" t="n"/>
      <c r="C120" s="11" t="n"/>
      <c r="D120" s="14" t="n"/>
      <c r="E120" s="18" t="n"/>
      <c r="F120" s="18" t="n"/>
      <c r="G120" s="18" t="n"/>
      <c r="H120" s="18" t="n"/>
      <c r="I120" s="23">
        <f>IF(C120="","",F120+G120+H120)</f>
        <v/>
      </c>
      <c r="J120">
        <f>IF(C120="","",UPPER(TRIM(A120))&amp;"|"&amp;UPPER(TRIM(C120)))</f>
        <v/>
      </c>
      <c r="K120">
        <f>IF(J120="","",IF(COUNTIF('Purchase Register'!$K$5:$K$504,J120)=0,"In 2B, not in your books","In books"))</f>
        <v/>
      </c>
    </row>
    <row r="121">
      <c r="A121" s="11" t="n"/>
      <c r="B121" s="11" t="n"/>
      <c r="C121" s="11" t="n"/>
      <c r="D121" s="14" t="n"/>
      <c r="E121" s="18" t="n"/>
      <c r="F121" s="18" t="n"/>
      <c r="G121" s="18" t="n"/>
      <c r="H121" s="18" t="n"/>
      <c r="I121" s="23">
        <f>IF(C121="","",F121+G121+H121)</f>
        <v/>
      </c>
      <c r="J121">
        <f>IF(C121="","",UPPER(TRIM(A121))&amp;"|"&amp;UPPER(TRIM(C121)))</f>
        <v/>
      </c>
      <c r="K121">
        <f>IF(J121="","",IF(COUNTIF('Purchase Register'!$K$5:$K$504,J121)=0,"In 2B, not in your books","In books"))</f>
        <v/>
      </c>
    </row>
    <row r="122">
      <c r="A122" s="11" t="n"/>
      <c r="B122" s="11" t="n"/>
      <c r="C122" s="11" t="n"/>
      <c r="D122" s="14" t="n"/>
      <c r="E122" s="18" t="n"/>
      <c r="F122" s="18" t="n"/>
      <c r="G122" s="18" t="n"/>
      <c r="H122" s="18" t="n"/>
      <c r="I122" s="23">
        <f>IF(C122="","",F122+G122+H122)</f>
        <v/>
      </c>
      <c r="J122">
        <f>IF(C122="","",UPPER(TRIM(A122))&amp;"|"&amp;UPPER(TRIM(C122)))</f>
        <v/>
      </c>
      <c r="K122">
        <f>IF(J122="","",IF(COUNTIF('Purchase Register'!$K$5:$K$504,J122)=0,"In 2B, not in your books","In books"))</f>
        <v/>
      </c>
    </row>
    <row r="123">
      <c r="A123" s="11" t="n"/>
      <c r="B123" s="11" t="n"/>
      <c r="C123" s="11" t="n"/>
      <c r="D123" s="14" t="n"/>
      <c r="E123" s="18" t="n"/>
      <c r="F123" s="18" t="n"/>
      <c r="G123" s="18" t="n"/>
      <c r="H123" s="18" t="n"/>
      <c r="I123" s="23">
        <f>IF(C123="","",F123+G123+H123)</f>
        <v/>
      </c>
      <c r="J123">
        <f>IF(C123="","",UPPER(TRIM(A123))&amp;"|"&amp;UPPER(TRIM(C123)))</f>
        <v/>
      </c>
      <c r="K123">
        <f>IF(J123="","",IF(COUNTIF('Purchase Register'!$K$5:$K$504,J123)=0,"In 2B, not in your books","In books"))</f>
        <v/>
      </c>
    </row>
    <row r="124">
      <c r="A124" s="11" t="n"/>
      <c r="B124" s="11" t="n"/>
      <c r="C124" s="11" t="n"/>
      <c r="D124" s="14" t="n"/>
      <c r="E124" s="18" t="n"/>
      <c r="F124" s="18" t="n"/>
      <c r="G124" s="18" t="n"/>
      <c r="H124" s="18" t="n"/>
      <c r="I124" s="23">
        <f>IF(C124="","",F124+G124+H124)</f>
        <v/>
      </c>
      <c r="J124">
        <f>IF(C124="","",UPPER(TRIM(A124))&amp;"|"&amp;UPPER(TRIM(C124)))</f>
        <v/>
      </c>
      <c r="K124">
        <f>IF(J124="","",IF(COUNTIF('Purchase Register'!$K$5:$K$504,J124)=0,"In 2B, not in your books","In books"))</f>
        <v/>
      </c>
    </row>
    <row r="125">
      <c r="A125" s="11" t="n"/>
      <c r="B125" s="11" t="n"/>
      <c r="C125" s="11" t="n"/>
      <c r="D125" s="14" t="n"/>
      <c r="E125" s="18" t="n"/>
      <c r="F125" s="18" t="n"/>
      <c r="G125" s="18" t="n"/>
      <c r="H125" s="18" t="n"/>
      <c r="I125" s="23">
        <f>IF(C125="","",F125+G125+H125)</f>
        <v/>
      </c>
      <c r="J125">
        <f>IF(C125="","",UPPER(TRIM(A125))&amp;"|"&amp;UPPER(TRIM(C125)))</f>
        <v/>
      </c>
      <c r="K125">
        <f>IF(J125="","",IF(COUNTIF('Purchase Register'!$K$5:$K$504,J125)=0,"In 2B, not in your books","In books"))</f>
        <v/>
      </c>
    </row>
    <row r="126">
      <c r="A126" s="11" t="n"/>
      <c r="B126" s="11" t="n"/>
      <c r="C126" s="11" t="n"/>
      <c r="D126" s="14" t="n"/>
      <c r="E126" s="18" t="n"/>
      <c r="F126" s="18" t="n"/>
      <c r="G126" s="18" t="n"/>
      <c r="H126" s="18" t="n"/>
      <c r="I126" s="23">
        <f>IF(C126="","",F126+G126+H126)</f>
        <v/>
      </c>
      <c r="J126">
        <f>IF(C126="","",UPPER(TRIM(A126))&amp;"|"&amp;UPPER(TRIM(C126)))</f>
        <v/>
      </c>
      <c r="K126">
        <f>IF(J126="","",IF(COUNTIF('Purchase Register'!$K$5:$K$504,J126)=0,"In 2B, not in your books","In books"))</f>
        <v/>
      </c>
    </row>
    <row r="127">
      <c r="A127" s="11" t="n"/>
      <c r="B127" s="11" t="n"/>
      <c r="C127" s="11" t="n"/>
      <c r="D127" s="14" t="n"/>
      <c r="E127" s="18" t="n"/>
      <c r="F127" s="18" t="n"/>
      <c r="G127" s="18" t="n"/>
      <c r="H127" s="18" t="n"/>
      <c r="I127" s="23">
        <f>IF(C127="","",F127+G127+H127)</f>
        <v/>
      </c>
      <c r="J127">
        <f>IF(C127="","",UPPER(TRIM(A127))&amp;"|"&amp;UPPER(TRIM(C127)))</f>
        <v/>
      </c>
      <c r="K127">
        <f>IF(J127="","",IF(COUNTIF('Purchase Register'!$K$5:$K$504,J127)=0,"In 2B, not in your books","In books"))</f>
        <v/>
      </c>
    </row>
    <row r="128">
      <c r="A128" s="11" t="n"/>
      <c r="B128" s="11" t="n"/>
      <c r="C128" s="11" t="n"/>
      <c r="D128" s="14" t="n"/>
      <c r="E128" s="18" t="n"/>
      <c r="F128" s="18" t="n"/>
      <c r="G128" s="18" t="n"/>
      <c r="H128" s="18" t="n"/>
      <c r="I128" s="23">
        <f>IF(C128="","",F128+G128+H128)</f>
        <v/>
      </c>
      <c r="J128">
        <f>IF(C128="","",UPPER(TRIM(A128))&amp;"|"&amp;UPPER(TRIM(C128)))</f>
        <v/>
      </c>
      <c r="K128">
        <f>IF(J128="","",IF(COUNTIF('Purchase Register'!$K$5:$K$504,J128)=0,"In 2B, not in your books","In books"))</f>
        <v/>
      </c>
    </row>
    <row r="129">
      <c r="A129" s="11" t="n"/>
      <c r="B129" s="11" t="n"/>
      <c r="C129" s="11" t="n"/>
      <c r="D129" s="14" t="n"/>
      <c r="E129" s="18" t="n"/>
      <c r="F129" s="18" t="n"/>
      <c r="G129" s="18" t="n"/>
      <c r="H129" s="18" t="n"/>
      <c r="I129" s="23">
        <f>IF(C129="","",F129+G129+H129)</f>
        <v/>
      </c>
      <c r="J129">
        <f>IF(C129="","",UPPER(TRIM(A129))&amp;"|"&amp;UPPER(TRIM(C129)))</f>
        <v/>
      </c>
      <c r="K129">
        <f>IF(J129="","",IF(COUNTIF('Purchase Register'!$K$5:$K$504,J129)=0,"In 2B, not in your books","In books"))</f>
        <v/>
      </c>
    </row>
    <row r="130">
      <c r="A130" s="11" t="n"/>
      <c r="B130" s="11" t="n"/>
      <c r="C130" s="11" t="n"/>
      <c r="D130" s="14" t="n"/>
      <c r="E130" s="18" t="n"/>
      <c r="F130" s="18" t="n"/>
      <c r="G130" s="18" t="n"/>
      <c r="H130" s="18" t="n"/>
      <c r="I130" s="23">
        <f>IF(C130="","",F130+G130+H130)</f>
        <v/>
      </c>
      <c r="J130">
        <f>IF(C130="","",UPPER(TRIM(A130))&amp;"|"&amp;UPPER(TRIM(C130)))</f>
        <v/>
      </c>
      <c r="K130">
        <f>IF(J130="","",IF(COUNTIF('Purchase Register'!$K$5:$K$504,J130)=0,"In 2B, not in your books","In books"))</f>
        <v/>
      </c>
    </row>
    <row r="131">
      <c r="A131" s="11" t="n"/>
      <c r="B131" s="11" t="n"/>
      <c r="C131" s="11" t="n"/>
      <c r="D131" s="14" t="n"/>
      <c r="E131" s="18" t="n"/>
      <c r="F131" s="18" t="n"/>
      <c r="G131" s="18" t="n"/>
      <c r="H131" s="18" t="n"/>
      <c r="I131" s="23">
        <f>IF(C131="","",F131+G131+H131)</f>
        <v/>
      </c>
      <c r="J131">
        <f>IF(C131="","",UPPER(TRIM(A131))&amp;"|"&amp;UPPER(TRIM(C131)))</f>
        <v/>
      </c>
      <c r="K131">
        <f>IF(J131="","",IF(COUNTIF('Purchase Register'!$K$5:$K$504,J131)=0,"In 2B, not in your books","In books"))</f>
        <v/>
      </c>
    </row>
    <row r="132">
      <c r="A132" s="11" t="n"/>
      <c r="B132" s="11" t="n"/>
      <c r="C132" s="11" t="n"/>
      <c r="D132" s="14" t="n"/>
      <c r="E132" s="18" t="n"/>
      <c r="F132" s="18" t="n"/>
      <c r="G132" s="18" t="n"/>
      <c r="H132" s="18" t="n"/>
      <c r="I132" s="23">
        <f>IF(C132="","",F132+G132+H132)</f>
        <v/>
      </c>
      <c r="J132">
        <f>IF(C132="","",UPPER(TRIM(A132))&amp;"|"&amp;UPPER(TRIM(C132)))</f>
        <v/>
      </c>
      <c r="K132">
        <f>IF(J132="","",IF(COUNTIF('Purchase Register'!$K$5:$K$504,J132)=0,"In 2B, not in your books","In books"))</f>
        <v/>
      </c>
    </row>
    <row r="133">
      <c r="A133" s="11" t="n"/>
      <c r="B133" s="11" t="n"/>
      <c r="C133" s="11" t="n"/>
      <c r="D133" s="14" t="n"/>
      <c r="E133" s="18" t="n"/>
      <c r="F133" s="18" t="n"/>
      <c r="G133" s="18" t="n"/>
      <c r="H133" s="18" t="n"/>
      <c r="I133" s="23">
        <f>IF(C133="","",F133+G133+H133)</f>
        <v/>
      </c>
      <c r="J133">
        <f>IF(C133="","",UPPER(TRIM(A133))&amp;"|"&amp;UPPER(TRIM(C133)))</f>
        <v/>
      </c>
      <c r="K133">
        <f>IF(J133="","",IF(COUNTIF('Purchase Register'!$K$5:$K$504,J133)=0,"In 2B, not in your books","In books"))</f>
        <v/>
      </c>
    </row>
    <row r="134">
      <c r="A134" s="11" t="n"/>
      <c r="B134" s="11" t="n"/>
      <c r="C134" s="11" t="n"/>
      <c r="D134" s="14" t="n"/>
      <c r="E134" s="18" t="n"/>
      <c r="F134" s="18" t="n"/>
      <c r="G134" s="18" t="n"/>
      <c r="H134" s="18" t="n"/>
      <c r="I134" s="23">
        <f>IF(C134="","",F134+G134+H134)</f>
        <v/>
      </c>
      <c r="J134">
        <f>IF(C134="","",UPPER(TRIM(A134))&amp;"|"&amp;UPPER(TRIM(C134)))</f>
        <v/>
      </c>
      <c r="K134">
        <f>IF(J134="","",IF(COUNTIF('Purchase Register'!$K$5:$K$504,J134)=0,"In 2B, not in your books","In books"))</f>
        <v/>
      </c>
    </row>
    <row r="135">
      <c r="A135" s="11" t="n"/>
      <c r="B135" s="11" t="n"/>
      <c r="C135" s="11" t="n"/>
      <c r="D135" s="14" t="n"/>
      <c r="E135" s="18" t="n"/>
      <c r="F135" s="18" t="n"/>
      <c r="G135" s="18" t="n"/>
      <c r="H135" s="18" t="n"/>
      <c r="I135" s="23">
        <f>IF(C135="","",F135+G135+H135)</f>
        <v/>
      </c>
      <c r="J135">
        <f>IF(C135="","",UPPER(TRIM(A135))&amp;"|"&amp;UPPER(TRIM(C135)))</f>
        <v/>
      </c>
      <c r="K135">
        <f>IF(J135="","",IF(COUNTIF('Purchase Register'!$K$5:$K$504,J135)=0,"In 2B, not in your books","In books"))</f>
        <v/>
      </c>
    </row>
    <row r="136">
      <c r="A136" s="11" t="n"/>
      <c r="B136" s="11" t="n"/>
      <c r="C136" s="11" t="n"/>
      <c r="D136" s="14" t="n"/>
      <c r="E136" s="18" t="n"/>
      <c r="F136" s="18" t="n"/>
      <c r="G136" s="18" t="n"/>
      <c r="H136" s="18" t="n"/>
      <c r="I136" s="23">
        <f>IF(C136="","",F136+G136+H136)</f>
        <v/>
      </c>
      <c r="J136">
        <f>IF(C136="","",UPPER(TRIM(A136))&amp;"|"&amp;UPPER(TRIM(C136)))</f>
        <v/>
      </c>
      <c r="K136">
        <f>IF(J136="","",IF(COUNTIF('Purchase Register'!$K$5:$K$504,J136)=0,"In 2B, not in your books","In books"))</f>
        <v/>
      </c>
    </row>
    <row r="137">
      <c r="A137" s="11" t="n"/>
      <c r="B137" s="11" t="n"/>
      <c r="C137" s="11" t="n"/>
      <c r="D137" s="14" t="n"/>
      <c r="E137" s="18" t="n"/>
      <c r="F137" s="18" t="n"/>
      <c r="G137" s="18" t="n"/>
      <c r="H137" s="18" t="n"/>
      <c r="I137" s="23">
        <f>IF(C137="","",F137+G137+H137)</f>
        <v/>
      </c>
      <c r="J137">
        <f>IF(C137="","",UPPER(TRIM(A137))&amp;"|"&amp;UPPER(TRIM(C137)))</f>
        <v/>
      </c>
      <c r="K137">
        <f>IF(J137="","",IF(COUNTIF('Purchase Register'!$K$5:$K$504,J137)=0,"In 2B, not in your books","In books"))</f>
        <v/>
      </c>
    </row>
    <row r="138">
      <c r="A138" s="11" t="n"/>
      <c r="B138" s="11" t="n"/>
      <c r="C138" s="11" t="n"/>
      <c r="D138" s="14" t="n"/>
      <c r="E138" s="18" t="n"/>
      <c r="F138" s="18" t="n"/>
      <c r="G138" s="18" t="n"/>
      <c r="H138" s="18" t="n"/>
      <c r="I138" s="23">
        <f>IF(C138="","",F138+G138+H138)</f>
        <v/>
      </c>
      <c r="J138">
        <f>IF(C138="","",UPPER(TRIM(A138))&amp;"|"&amp;UPPER(TRIM(C138)))</f>
        <v/>
      </c>
      <c r="K138">
        <f>IF(J138="","",IF(COUNTIF('Purchase Register'!$K$5:$K$504,J138)=0,"In 2B, not in your books","In books"))</f>
        <v/>
      </c>
    </row>
    <row r="139">
      <c r="A139" s="11" t="n"/>
      <c r="B139" s="11" t="n"/>
      <c r="C139" s="11" t="n"/>
      <c r="D139" s="14" t="n"/>
      <c r="E139" s="18" t="n"/>
      <c r="F139" s="18" t="n"/>
      <c r="G139" s="18" t="n"/>
      <c r="H139" s="18" t="n"/>
      <c r="I139" s="23">
        <f>IF(C139="","",F139+G139+H139)</f>
        <v/>
      </c>
      <c r="J139">
        <f>IF(C139="","",UPPER(TRIM(A139))&amp;"|"&amp;UPPER(TRIM(C139)))</f>
        <v/>
      </c>
      <c r="K139">
        <f>IF(J139="","",IF(COUNTIF('Purchase Register'!$K$5:$K$504,J139)=0,"In 2B, not in your books","In books"))</f>
        <v/>
      </c>
    </row>
    <row r="140">
      <c r="A140" s="11" t="n"/>
      <c r="B140" s="11" t="n"/>
      <c r="C140" s="11" t="n"/>
      <c r="D140" s="14" t="n"/>
      <c r="E140" s="18" t="n"/>
      <c r="F140" s="18" t="n"/>
      <c r="G140" s="18" t="n"/>
      <c r="H140" s="18" t="n"/>
      <c r="I140" s="23">
        <f>IF(C140="","",F140+G140+H140)</f>
        <v/>
      </c>
      <c r="J140">
        <f>IF(C140="","",UPPER(TRIM(A140))&amp;"|"&amp;UPPER(TRIM(C140)))</f>
        <v/>
      </c>
      <c r="K140">
        <f>IF(J140="","",IF(COUNTIF('Purchase Register'!$K$5:$K$504,J140)=0,"In 2B, not in your books","In books"))</f>
        <v/>
      </c>
    </row>
    <row r="141">
      <c r="A141" s="11" t="n"/>
      <c r="B141" s="11" t="n"/>
      <c r="C141" s="11" t="n"/>
      <c r="D141" s="14" t="n"/>
      <c r="E141" s="18" t="n"/>
      <c r="F141" s="18" t="n"/>
      <c r="G141" s="18" t="n"/>
      <c r="H141" s="18" t="n"/>
      <c r="I141" s="23">
        <f>IF(C141="","",F141+G141+H141)</f>
        <v/>
      </c>
      <c r="J141">
        <f>IF(C141="","",UPPER(TRIM(A141))&amp;"|"&amp;UPPER(TRIM(C141)))</f>
        <v/>
      </c>
      <c r="K141">
        <f>IF(J141="","",IF(COUNTIF('Purchase Register'!$K$5:$K$504,J141)=0,"In 2B, not in your books","In books"))</f>
        <v/>
      </c>
    </row>
    <row r="142">
      <c r="A142" s="11" t="n"/>
      <c r="B142" s="11" t="n"/>
      <c r="C142" s="11" t="n"/>
      <c r="D142" s="14" t="n"/>
      <c r="E142" s="18" t="n"/>
      <c r="F142" s="18" t="n"/>
      <c r="G142" s="18" t="n"/>
      <c r="H142" s="18" t="n"/>
      <c r="I142" s="23">
        <f>IF(C142="","",F142+G142+H142)</f>
        <v/>
      </c>
      <c r="J142">
        <f>IF(C142="","",UPPER(TRIM(A142))&amp;"|"&amp;UPPER(TRIM(C142)))</f>
        <v/>
      </c>
      <c r="K142">
        <f>IF(J142="","",IF(COUNTIF('Purchase Register'!$K$5:$K$504,J142)=0,"In 2B, not in your books","In books"))</f>
        <v/>
      </c>
    </row>
    <row r="143">
      <c r="A143" s="11" t="n"/>
      <c r="B143" s="11" t="n"/>
      <c r="C143" s="11" t="n"/>
      <c r="D143" s="14" t="n"/>
      <c r="E143" s="18" t="n"/>
      <c r="F143" s="18" t="n"/>
      <c r="G143" s="18" t="n"/>
      <c r="H143" s="18" t="n"/>
      <c r="I143" s="23">
        <f>IF(C143="","",F143+G143+H143)</f>
        <v/>
      </c>
      <c r="J143">
        <f>IF(C143="","",UPPER(TRIM(A143))&amp;"|"&amp;UPPER(TRIM(C143)))</f>
        <v/>
      </c>
      <c r="K143">
        <f>IF(J143="","",IF(COUNTIF('Purchase Register'!$K$5:$K$504,J143)=0,"In 2B, not in your books","In books"))</f>
        <v/>
      </c>
    </row>
    <row r="144">
      <c r="A144" s="11" t="n"/>
      <c r="B144" s="11" t="n"/>
      <c r="C144" s="11" t="n"/>
      <c r="D144" s="14" t="n"/>
      <c r="E144" s="18" t="n"/>
      <c r="F144" s="18" t="n"/>
      <c r="G144" s="18" t="n"/>
      <c r="H144" s="18" t="n"/>
      <c r="I144" s="23">
        <f>IF(C144="","",F144+G144+H144)</f>
        <v/>
      </c>
      <c r="J144">
        <f>IF(C144="","",UPPER(TRIM(A144))&amp;"|"&amp;UPPER(TRIM(C144)))</f>
        <v/>
      </c>
      <c r="K144">
        <f>IF(J144="","",IF(COUNTIF('Purchase Register'!$K$5:$K$504,J144)=0,"In 2B, not in your books","In books"))</f>
        <v/>
      </c>
    </row>
    <row r="145">
      <c r="A145" s="11" t="n"/>
      <c r="B145" s="11" t="n"/>
      <c r="C145" s="11" t="n"/>
      <c r="D145" s="14" t="n"/>
      <c r="E145" s="18" t="n"/>
      <c r="F145" s="18" t="n"/>
      <c r="G145" s="18" t="n"/>
      <c r="H145" s="18" t="n"/>
      <c r="I145" s="23">
        <f>IF(C145="","",F145+G145+H145)</f>
        <v/>
      </c>
      <c r="J145">
        <f>IF(C145="","",UPPER(TRIM(A145))&amp;"|"&amp;UPPER(TRIM(C145)))</f>
        <v/>
      </c>
      <c r="K145">
        <f>IF(J145="","",IF(COUNTIF('Purchase Register'!$K$5:$K$504,J145)=0,"In 2B, not in your books","In books"))</f>
        <v/>
      </c>
    </row>
    <row r="146">
      <c r="A146" s="11" t="n"/>
      <c r="B146" s="11" t="n"/>
      <c r="C146" s="11" t="n"/>
      <c r="D146" s="14" t="n"/>
      <c r="E146" s="18" t="n"/>
      <c r="F146" s="18" t="n"/>
      <c r="G146" s="18" t="n"/>
      <c r="H146" s="18" t="n"/>
      <c r="I146" s="23">
        <f>IF(C146="","",F146+G146+H146)</f>
        <v/>
      </c>
      <c r="J146">
        <f>IF(C146="","",UPPER(TRIM(A146))&amp;"|"&amp;UPPER(TRIM(C146)))</f>
        <v/>
      </c>
      <c r="K146">
        <f>IF(J146="","",IF(COUNTIF('Purchase Register'!$K$5:$K$504,J146)=0,"In 2B, not in your books","In books"))</f>
        <v/>
      </c>
    </row>
    <row r="147">
      <c r="A147" s="11" t="n"/>
      <c r="B147" s="11" t="n"/>
      <c r="C147" s="11" t="n"/>
      <c r="D147" s="14" t="n"/>
      <c r="E147" s="18" t="n"/>
      <c r="F147" s="18" t="n"/>
      <c r="G147" s="18" t="n"/>
      <c r="H147" s="18" t="n"/>
      <c r="I147" s="23">
        <f>IF(C147="","",F147+G147+H147)</f>
        <v/>
      </c>
      <c r="J147">
        <f>IF(C147="","",UPPER(TRIM(A147))&amp;"|"&amp;UPPER(TRIM(C147)))</f>
        <v/>
      </c>
      <c r="K147">
        <f>IF(J147="","",IF(COUNTIF('Purchase Register'!$K$5:$K$504,J147)=0,"In 2B, not in your books","In books"))</f>
        <v/>
      </c>
    </row>
    <row r="148">
      <c r="A148" s="11" t="n"/>
      <c r="B148" s="11" t="n"/>
      <c r="C148" s="11" t="n"/>
      <c r="D148" s="14" t="n"/>
      <c r="E148" s="18" t="n"/>
      <c r="F148" s="18" t="n"/>
      <c r="G148" s="18" t="n"/>
      <c r="H148" s="18" t="n"/>
      <c r="I148" s="23">
        <f>IF(C148="","",F148+G148+H148)</f>
        <v/>
      </c>
      <c r="J148">
        <f>IF(C148="","",UPPER(TRIM(A148))&amp;"|"&amp;UPPER(TRIM(C148)))</f>
        <v/>
      </c>
      <c r="K148">
        <f>IF(J148="","",IF(COUNTIF('Purchase Register'!$K$5:$K$504,J148)=0,"In 2B, not in your books","In books"))</f>
        <v/>
      </c>
    </row>
    <row r="149">
      <c r="A149" s="11" t="n"/>
      <c r="B149" s="11" t="n"/>
      <c r="C149" s="11" t="n"/>
      <c r="D149" s="14" t="n"/>
      <c r="E149" s="18" t="n"/>
      <c r="F149" s="18" t="n"/>
      <c r="G149" s="18" t="n"/>
      <c r="H149" s="18" t="n"/>
      <c r="I149" s="23">
        <f>IF(C149="","",F149+G149+H149)</f>
        <v/>
      </c>
      <c r="J149">
        <f>IF(C149="","",UPPER(TRIM(A149))&amp;"|"&amp;UPPER(TRIM(C149)))</f>
        <v/>
      </c>
      <c r="K149">
        <f>IF(J149="","",IF(COUNTIF('Purchase Register'!$K$5:$K$504,J149)=0,"In 2B, not in your books","In books"))</f>
        <v/>
      </c>
    </row>
    <row r="150">
      <c r="A150" s="11" t="n"/>
      <c r="B150" s="11" t="n"/>
      <c r="C150" s="11" t="n"/>
      <c r="D150" s="14" t="n"/>
      <c r="E150" s="18" t="n"/>
      <c r="F150" s="18" t="n"/>
      <c r="G150" s="18" t="n"/>
      <c r="H150" s="18" t="n"/>
      <c r="I150" s="23">
        <f>IF(C150="","",F150+G150+H150)</f>
        <v/>
      </c>
      <c r="J150">
        <f>IF(C150="","",UPPER(TRIM(A150))&amp;"|"&amp;UPPER(TRIM(C150)))</f>
        <v/>
      </c>
      <c r="K150">
        <f>IF(J150="","",IF(COUNTIF('Purchase Register'!$K$5:$K$504,J150)=0,"In 2B, not in your books","In books"))</f>
        <v/>
      </c>
    </row>
    <row r="151">
      <c r="A151" s="11" t="n"/>
      <c r="B151" s="11" t="n"/>
      <c r="C151" s="11" t="n"/>
      <c r="D151" s="14" t="n"/>
      <c r="E151" s="18" t="n"/>
      <c r="F151" s="18" t="n"/>
      <c r="G151" s="18" t="n"/>
      <c r="H151" s="18" t="n"/>
      <c r="I151" s="23">
        <f>IF(C151="","",F151+G151+H151)</f>
        <v/>
      </c>
      <c r="J151">
        <f>IF(C151="","",UPPER(TRIM(A151))&amp;"|"&amp;UPPER(TRIM(C151)))</f>
        <v/>
      </c>
      <c r="K151">
        <f>IF(J151="","",IF(COUNTIF('Purchase Register'!$K$5:$K$504,J151)=0,"In 2B, not in your books","In books"))</f>
        <v/>
      </c>
    </row>
    <row r="152">
      <c r="A152" s="11" t="n"/>
      <c r="B152" s="11" t="n"/>
      <c r="C152" s="11" t="n"/>
      <c r="D152" s="14" t="n"/>
      <c r="E152" s="18" t="n"/>
      <c r="F152" s="18" t="n"/>
      <c r="G152" s="18" t="n"/>
      <c r="H152" s="18" t="n"/>
      <c r="I152" s="23">
        <f>IF(C152="","",F152+G152+H152)</f>
        <v/>
      </c>
      <c r="J152">
        <f>IF(C152="","",UPPER(TRIM(A152))&amp;"|"&amp;UPPER(TRIM(C152)))</f>
        <v/>
      </c>
      <c r="K152">
        <f>IF(J152="","",IF(COUNTIF('Purchase Register'!$K$5:$K$504,J152)=0,"In 2B, not in your books","In books"))</f>
        <v/>
      </c>
    </row>
    <row r="153">
      <c r="A153" s="11" t="n"/>
      <c r="B153" s="11" t="n"/>
      <c r="C153" s="11" t="n"/>
      <c r="D153" s="14" t="n"/>
      <c r="E153" s="18" t="n"/>
      <c r="F153" s="18" t="n"/>
      <c r="G153" s="18" t="n"/>
      <c r="H153" s="18" t="n"/>
      <c r="I153" s="23">
        <f>IF(C153="","",F153+G153+H153)</f>
        <v/>
      </c>
      <c r="J153">
        <f>IF(C153="","",UPPER(TRIM(A153))&amp;"|"&amp;UPPER(TRIM(C153)))</f>
        <v/>
      </c>
      <c r="K153">
        <f>IF(J153="","",IF(COUNTIF('Purchase Register'!$K$5:$K$504,J153)=0,"In 2B, not in your books","In books"))</f>
        <v/>
      </c>
    </row>
    <row r="154">
      <c r="A154" s="11" t="n"/>
      <c r="B154" s="11" t="n"/>
      <c r="C154" s="11" t="n"/>
      <c r="D154" s="14" t="n"/>
      <c r="E154" s="18" t="n"/>
      <c r="F154" s="18" t="n"/>
      <c r="G154" s="18" t="n"/>
      <c r="H154" s="18" t="n"/>
      <c r="I154" s="23">
        <f>IF(C154="","",F154+G154+H154)</f>
        <v/>
      </c>
      <c r="J154">
        <f>IF(C154="","",UPPER(TRIM(A154))&amp;"|"&amp;UPPER(TRIM(C154)))</f>
        <v/>
      </c>
      <c r="K154">
        <f>IF(J154="","",IF(COUNTIF('Purchase Register'!$K$5:$K$504,J154)=0,"In 2B, not in your books","In books"))</f>
        <v/>
      </c>
    </row>
    <row r="155">
      <c r="A155" s="11" t="n"/>
      <c r="B155" s="11" t="n"/>
      <c r="C155" s="11" t="n"/>
      <c r="D155" s="14" t="n"/>
      <c r="E155" s="18" t="n"/>
      <c r="F155" s="18" t="n"/>
      <c r="G155" s="18" t="n"/>
      <c r="H155" s="18" t="n"/>
      <c r="I155" s="23">
        <f>IF(C155="","",F155+G155+H155)</f>
        <v/>
      </c>
      <c r="J155">
        <f>IF(C155="","",UPPER(TRIM(A155))&amp;"|"&amp;UPPER(TRIM(C155)))</f>
        <v/>
      </c>
      <c r="K155">
        <f>IF(J155="","",IF(COUNTIF('Purchase Register'!$K$5:$K$504,J155)=0,"In 2B, not in your books","In books"))</f>
        <v/>
      </c>
    </row>
    <row r="156">
      <c r="A156" s="11" t="n"/>
      <c r="B156" s="11" t="n"/>
      <c r="C156" s="11" t="n"/>
      <c r="D156" s="14" t="n"/>
      <c r="E156" s="18" t="n"/>
      <c r="F156" s="18" t="n"/>
      <c r="G156" s="18" t="n"/>
      <c r="H156" s="18" t="n"/>
      <c r="I156" s="23">
        <f>IF(C156="","",F156+G156+H156)</f>
        <v/>
      </c>
      <c r="J156">
        <f>IF(C156="","",UPPER(TRIM(A156))&amp;"|"&amp;UPPER(TRIM(C156)))</f>
        <v/>
      </c>
      <c r="K156">
        <f>IF(J156="","",IF(COUNTIF('Purchase Register'!$K$5:$K$504,J156)=0,"In 2B, not in your books","In books"))</f>
        <v/>
      </c>
    </row>
    <row r="157">
      <c r="A157" s="11" t="n"/>
      <c r="B157" s="11" t="n"/>
      <c r="C157" s="11" t="n"/>
      <c r="D157" s="14" t="n"/>
      <c r="E157" s="18" t="n"/>
      <c r="F157" s="18" t="n"/>
      <c r="G157" s="18" t="n"/>
      <c r="H157" s="18" t="n"/>
      <c r="I157" s="23">
        <f>IF(C157="","",F157+G157+H157)</f>
        <v/>
      </c>
      <c r="J157">
        <f>IF(C157="","",UPPER(TRIM(A157))&amp;"|"&amp;UPPER(TRIM(C157)))</f>
        <v/>
      </c>
      <c r="K157">
        <f>IF(J157="","",IF(COUNTIF('Purchase Register'!$K$5:$K$504,J157)=0,"In 2B, not in your books","In books"))</f>
        <v/>
      </c>
    </row>
    <row r="158">
      <c r="A158" s="11" t="n"/>
      <c r="B158" s="11" t="n"/>
      <c r="C158" s="11" t="n"/>
      <c r="D158" s="14" t="n"/>
      <c r="E158" s="18" t="n"/>
      <c r="F158" s="18" t="n"/>
      <c r="G158" s="18" t="n"/>
      <c r="H158" s="18" t="n"/>
      <c r="I158" s="23">
        <f>IF(C158="","",F158+G158+H158)</f>
        <v/>
      </c>
      <c r="J158">
        <f>IF(C158="","",UPPER(TRIM(A158))&amp;"|"&amp;UPPER(TRIM(C158)))</f>
        <v/>
      </c>
      <c r="K158">
        <f>IF(J158="","",IF(COUNTIF('Purchase Register'!$K$5:$K$504,J158)=0,"In 2B, not in your books","In books"))</f>
        <v/>
      </c>
    </row>
    <row r="159">
      <c r="A159" s="11" t="n"/>
      <c r="B159" s="11" t="n"/>
      <c r="C159" s="11" t="n"/>
      <c r="D159" s="14" t="n"/>
      <c r="E159" s="18" t="n"/>
      <c r="F159" s="18" t="n"/>
      <c r="G159" s="18" t="n"/>
      <c r="H159" s="18" t="n"/>
      <c r="I159" s="23">
        <f>IF(C159="","",F159+G159+H159)</f>
        <v/>
      </c>
      <c r="J159">
        <f>IF(C159="","",UPPER(TRIM(A159))&amp;"|"&amp;UPPER(TRIM(C159)))</f>
        <v/>
      </c>
      <c r="K159">
        <f>IF(J159="","",IF(COUNTIF('Purchase Register'!$K$5:$K$504,J159)=0,"In 2B, not in your books","In books"))</f>
        <v/>
      </c>
    </row>
    <row r="160">
      <c r="A160" s="11" t="n"/>
      <c r="B160" s="11" t="n"/>
      <c r="C160" s="11" t="n"/>
      <c r="D160" s="14" t="n"/>
      <c r="E160" s="18" t="n"/>
      <c r="F160" s="18" t="n"/>
      <c r="G160" s="18" t="n"/>
      <c r="H160" s="18" t="n"/>
      <c r="I160" s="23">
        <f>IF(C160="","",F160+G160+H160)</f>
        <v/>
      </c>
      <c r="J160">
        <f>IF(C160="","",UPPER(TRIM(A160))&amp;"|"&amp;UPPER(TRIM(C160)))</f>
        <v/>
      </c>
      <c r="K160">
        <f>IF(J160="","",IF(COUNTIF('Purchase Register'!$K$5:$K$504,J160)=0,"In 2B, not in your books","In books"))</f>
        <v/>
      </c>
    </row>
    <row r="161">
      <c r="A161" s="11" t="n"/>
      <c r="B161" s="11" t="n"/>
      <c r="C161" s="11" t="n"/>
      <c r="D161" s="14" t="n"/>
      <c r="E161" s="18" t="n"/>
      <c r="F161" s="18" t="n"/>
      <c r="G161" s="18" t="n"/>
      <c r="H161" s="18" t="n"/>
      <c r="I161" s="23">
        <f>IF(C161="","",F161+G161+H161)</f>
        <v/>
      </c>
      <c r="J161">
        <f>IF(C161="","",UPPER(TRIM(A161))&amp;"|"&amp;UPPER(TRIM(C161)))</f>
        <v/>
      </c>
      <c r="K161">
        <f>IF(J161="","",IF(COUNTIF('Purchase Register'!$K$5:$K$504,J161)=0,"In 2B, not in your books","In books"))</f>
        <v/>
      </c>
    </row>
    <row r="162">
      <c r="A162" s="11" t="n"/>
      <c r="B162" s="11" t="n"/>
      <c r="C162" s="11" t="n"/>
      <c r="D162" s="14" t="n"/>
      <c r="E162" s="18" t="n"/>
      <c r="F162" s="18" t="n"/>
      <c r="G162" s="18" t="n"/>
      <c r="H162" s="18" t="n"/>
      <c r="I162" s="23">
        <f>IF(C162="","",F162+G162+H162)</f>
        <v/>
      </c>
      <c r="J162">
        <f>IF(C162="","",UPPER(TRIM(A162))&amp;"|"&amp;UPPER(TRIM(C162)))</f>
        <v/>
      </c>
      <c r="K162">
        <f>IF(J162="","",IF(COUNTIF('Purchase Register'!$K$5:$K$504,J162)=0,"In 2B, not in your books","In books"))</f>
        <v/>
      </c>
    </row>
    <row r="163">
      <c r="A163" s="11" t="n"/>
      <c r="B163" s="11" t="n"/>
      <c r="C163" s="11" t="n"/>
      <c r="D163" s="14" t="n"/>
      <c r="E163" s="18" t="n"/>
      <c r="F163" s="18" t="n"/>
      <c r="G163" s="18" t="n"/>
      <c r="H163" s="18" t="n"/>
      <c r="I163" s="23">
        <f>IF(C163="","",F163+G163+H163)</f>
        <v/>
      </c>
      <c r="J163">
        <f>IF(C163="","",UPPER(TRIM(A163))&amp;"|"&amp;UPPER(TRIM(C163)))</f>
        <v/>
      </c>
      <c r="K163">
        <f>IF(J163="","",IF(COUNTIF('Purchase Register'!$K$5:$K$504,J163)=0,"In 2B, not in your books","In books"))</f>
        <v/>
      </c>
    </row>
    <row r="164">
      <c r="A164" s="11" t="n"/>
      <c r="B164" s="11" t="n"/>
      <c r="C164" s="11" t="n"/>
      <c r="D164" s="14" t="n"/>
      <c r="E164" s="18" t="n"/>
      <c r="F164" s="18" t="n"/>
      <c r="G164" s="18" t="n"/>
      <c r="H164" s="18" t="n"/>
      <c r="I164" s="23">
        <f>IF(C164="","",F164+G164+H164)</f>
        <v/>
      </c>
      <c r="J164">
        <f>IF(C164="","",UPPER(TRIM(A164))&amp;"|"&amp;UPPER(TRIM(C164)))</f>
        <v/>
      </c>
      <c r="K164">
        <f>IF(J164="","",IF(COUNTIF('Purchase Register'!$K$5:$K$504,J164)=0,"In 2B, not in your books","In books"))</f>
        <v/>
      </c>
    </row>
    <row r="165">
      <c r="A165" s="11" t="n"/>
      <c r="B165" s="11" t="n"/>
      <c r="C165" s="11" t="n"/>
      <c r="D165" s="14" t="n"/>
      <c r="E165" s="18" t="n"/>
      <c r="F165" s="18" t="n"/>
      <c r="G165" s="18" t="n"/>
      <c r="H165" s="18" t="n"/>
      <c r="I165" s="23">
        <f>IF(C165="","",F165+G165+H165)</f>
        <v/>
      </c>
      <c r="J165">
        <f>IF(C165="","",UPPER(TRIM(A165))&amp;"|"&amp;UPPER(TRIM(C165)))</f>
        <v/>
      </c>
      <c r="K165">
        <f>IF(J165="","",IF(COUNTIF('Purchase Register'!$K$5:$K$504,J165)=0,"In 2B, not in your books","In books"))</f>
        <v/>
      </c>
    </row>
    <row r="166">
      <c r="A166" s="11" t="n"/>
      <c r="B166" s="11" t="n"/>
      <c r="C166" s="11" t="n"/>
      <c r="D166" s="14" t="n"/>
      <c r="E166" s="18" t="n"/>
      <c r="F166" s="18" t="n"/>
      <c r="G166" s="18" t="n"/>
      <c r="H166" s="18" t="n"/>
      <c r="I166" s="23">
        <f>IF(C166="","",F166+G166+H166)</f>
        <v/>
      </c>
      <c r="J166">
        <f>IF(C166="","",UPPER(TRIM(A166))&amp;"|"&amp;UPPER(TRIM(C166)))</f>
        <v/>
      </c>
      <c r="K166">
        <f>IF(J166="","",IF(COUNTIF('Purchase Register'!$K$5:$K$504,J166)=0,"In 2B, not in your books","In books"))</f>
        <v/>
      </c>
    </row>
    <row r="167">
      <c r="A167" s="11" t="n"/>
      <c r="B167" s="11" t="n"/>
      <c r="C167" s="11" t="n"/>
      <c r="D167" s="14" t="n"/>
      <c r="E167" s="18" t="n"/>
      <c r="F167" s="18" t="n"/>
      <c r="G167" s="18" t="n"/>
      <c r="H167" s="18" t="n"/>
      <c r="I167" s="23">
        <f>IF(C167="","",F167+G167+H167)</f>
        <v/>
      </c>
      <c r="J167">
        <f>IF(C167="","",UPPER(TRIM(A167))&amp;"|"&amp;UPPER(TRIM(C167)))</f>
        <v/>
      </c>
      <c r="K167">
        <f>IF(J167="","",IF(COUNTIF('Purchase Register'!$K$5:$K$504,J167)=0,"In 2B, not in your books","In books"))</f>
        <v/>
      </c>
    </row>
    <row r="168">
      <c r="A168" s="11" t="n"/>
      <c r="B168" s="11" t="n"/>
      <c r="C168" s="11" t="n"/>
      <c r="D168" s="14" t="n"/>
      <c r="E168" s="18" t="n"/>
      <c r="F168" s="18" t="n"/>
      <c r="G168" s="18" t="n"/>
      <c r="H168" s="18" t="n"/>
      <c r="I168" s="23">
        <f>IF(C168="","",F168+G168+H168)</f>
        <v/>
      </c>
      <c r="J168">
        <f>IF(C168="","",UPPER(TRIM(A168))&amp;"|"&amp;UPPER(TRIM(C168)))</f>
        <v/>
      </c>
      <c r="K168">
        <f>IF(J168="","",IF(COUNTIF('Purchase Register'!$K$5:$K$504,J168)=0,"In 2B, not in your books","In books"))</f>
        <v/>
      </c>
    </row>
    <row r="169">
      <c r="A169" s="11" t="n"/>
      <c r="B169" s="11" t="n"/>
      <c r="C169" s="11" t="n"/>
      <c r="D169" s="14" t="n"/>
      <c r="E169" s="18" t="n"/>
      <c r="F169" s="18" t="n"/>
      <c r="G169" s="18" t="n"/>
      <c r="H169" s="18" t="n"/>
      <c r="I169" s="23">
        <f>IF(C169="","",F169+G169+H169)</f>
        <v/>
      </c>
      <c r="J169">
        <f>IF(C169="","",UPPER(TRIM(A169))&amp;"|"&amp;UPPER(TRIM(C169)))</f>
        <v/>
      </c>
      <c r="K169">
        <f>IF(J169="","",IF(COUNTIF('Purchase Register'!$K$5:$K$504,J169)=0,"In 2B, not in your books","In books"))</f>
        <v/>
      </c>
    </row>
    <row r="170">
      <c r="A170" s="11" t="n"/>
      <c r="B170" s="11" t="n"/>
      <c r="C170" s="11" t="n"/>
      <c r="D170" s="14" t="n"/>
      <c r="E170" s="18" t="n"/>
      <c r="F170" s="18" t="n"/>
      <c r="G170" s="18" t="n"/>
      <c r="H170" s="18" t="n"/>
      <c r="I170" s="23">
        <f>IF(C170="","",F170+G170+H170)</f>
        <v/>
      </c>
      <c r="J170">
        <f>IF(C170="","",UPPER(TRIM(A170))&amp;"|"&amp;UPPER(TRIM(C170)))</f>
        <v/>
      </c>
      <c r="K170">
        <f>IF(J170="","",IF(COUNTIF('Purchase Register'!$K$5:$K$504,J170)=0,"In 2B, not in your books","In books"))</f>
        <v/>
      </c>
    </row>
    <row r="171">
      <c r="A171" s="11" t="n"/>
      <c r="B171" s="11" t="n"/>
      <c r="C171" s="11" t="n"/>
      <c r="D171" s="14" t="n"/>
      <c r="E171" s="18" t="n"/>
      <c r="F171" s="18" t="n"/>
      <c r="G171" s="18" t="n"/>
      <c r="H171" s="18" t="n"/>
      <c r="I171" s="23">
        <f>IF(C171="","",F171+G171+H171)</f>
        <v/>
      </c>
      <c r="J171">
        <f>IF(C171="","",UPPER(TRIM(A171))&amp;"|"&amp;UPPER(TRIM(C171)))</f>
        <v/>
      </c>
      <c r="K171">
        <f>IF(J171="","",IF(COUNTIF('Purchase Register'!$K$5:$K$504,J171)=0,"In 2B, not in your books","In books"))</f>
        <v/>
      </c>
    </row>
    <row r="172">
      <c r="A172" s="11" t="n"/>
      <c r="B172" s="11" t="n"/>
      <c r="C172" s="11" t="n"/>
      <c r="D172" s="14" t="n"/>
      <c r="E172" s="18" t="n"/>
      <c r="F172" s="18" t="n"/>
      <c r="G172" s="18" t="n"/>
      <c r="H172" s="18" t="n"/>
      <c r="I172" s="23">
        <f>IF(C172="","",F172+G172+H172)</f>
        <v/>
      </c>
      <c r="J172">
        <f>IF(C172="","",UPPER(TRIM(A172))&amp;"|"&amp;UPPER(TRIM(C172)))</f>
        <v/>
      </c>
      <c r="K172">
        <f>IF(J172="","",IF(COUNTIF('Purchase Register'!$K$5:$K$504,J172)=0,"In 2B, not in your books","In books"))</f>
        <v/>
      </c>
    </row>
    <row r="173">
      <c r="A173" s="11" t="n"/>
      <c r="B173" s="11" t="n"/>
      <c r="C173" s="11" t="n"/>
      <c r="D173" s="14" t="n"/>
      <c r="E173" s="18" t="n"/>
      <c r="F173" s="18" t="n"/>
      <c r="G173" s="18" t="n"/>
      <c r="H173" s="18" t="n"/>
      <c r="I173" s="23">
        <f>IF(C173="","",F173+G173+H173)</f>
        <v/>
      </c>
      <c r="J173">
        <f>IF(C173="","",UPPER(TRIM(A173))&amp;"|"&amp;UPPER(TRIM(C173)))</f>
        <v/>
      </c>
      <c r="K173">
        <f>IF(J173="","",IF(COUNTIF('Purchase Register'!$K$5:$K$504,J173)=0,"In 2B, not in your books","In books"))</f>
        <v/>
      </c>
    </row>
    <row r="174">
      <c r="A174" s="11" t="n"/>
      <c r="B174" s="11" t="n"/>
      <c r="C174" s="11" t="n"/>
      <c r="D174" s="14" t="n"/>
      <c r="E174" s="18" t="n"/>
      <c r="F174" s="18" t="n"/>
      <c r="G174" s="18" t="n"/>
      <c r="H174" s="18" t="n"/>
      <c r="I174" s="23">
        <f>IF(C174="","",F174+G174+H174)</f>
        <v/>
      </c>
      <c r="J174">
        <f>IF(C174="","",UPPER(TRIM(A174))&amp;"|"&amp;UPPER(TRIM(C174)))</f>
        <v/>
      </c>
      <c r="K174">
        <f>IF(J174="","",IF(COUNTIF('Purchase Register'!$K$5:$K$504,J174)=0,"In 2B, not in your books","In books"))</f>
        <v/>
      </c>
    </row>
    <row r="175">
      <c r="A175" s="11" t="n"/>
      <c r="B175" s="11" t="n"/>
      <c r="C175" s="11" t="n"/>
      <c r="D175" s="14" t="n"/>
      <c r="E175" s="18" t="n"/>
      <c r="F175" s="18" t="n"/>
      <c r="G175" s="18" t="n"/>
      <c r="H175" s="18" t="n"/>
      <c r="I175" s="23">
        <f>IF(C175="","",F175+G175+H175)</f>
        <v/>
      </c>
      <c r="J175">
        <f>IF(C175="","",UPPER(TRIM(A175))&amp;"|"&amp;UPPER(TRIM(C175)))</f>
        <v/>
      </c>
      <c r="K175">
        <f>IF(J175="","",IF(COUNTIF('Purchase Register'!$K$5:$K$504,J175)=0,"In 2B, not in your books","In books"))</f>
        <v/>
      </c>
    </row>
    <row r="176">
      <c r="A176" s="11" t="n"/>
      <c r="B176" s="11" t="n"/>
      <c r="C176" s="11" t="n"/>
      <c r="D176" s="14" t="n"/>
      <c r="E176" s="18" t="n"/>
      <c r="F176" s="18" t="n"/>
      <c r="G176" s="18" t="n"/>
      <c r="H176" s="18" t="n"/>
      <c r="I176" s="23">
        <f>IF(C176="","",F176+G176+H176)</f>
        <v/>
      </c>
      <c r="J176">
        <f>IF(C176="","",UPPER(TRIM(A176))&amp;"|"&amp;UPPER(TRIM(C176)))</f>
        <v/>
      </c>
      <c r="K176">
        <f>IF(J176="","",IF(COUNTIF('Purchase Register'!$K$5:$K$504,J176)=0,"In 2B, not in your books","In books"))</f>
        <v/>
      </c>
    </row>
    <row r="177">
      <c r="A177" s="11" t="n"/>
      <c r="B177" s="11" t="n"/>
      <c r="C177" s="11" t="n"/>
      <c r="D177" s="14" t="n"/>
      <c r="E177" s="18" t="n"/>
      <c r="F177" s="18" t="n"/>
      <c r="G177" s="18" t="n"/>
      <c r="H177" s="18" t="n"/>
      <c r="I177" s="23">
        <f>IF(C177="","",F177+G177+H177)</f>
        <v/>
      </c>
      <c r="J177">
        <f>IF(C177="","",UPPER(TRIM(A177))&amp;"|"&amp;UPPER(TRIM(C177)))</f>
        <v/>
      </c>
      <c r="K177">
        <f>IF(J177="","",IF(COUNTIF('Purchase Register'!$K$5:$K$504,J177)=0,"In 2B, not in your books","In books"))</f>
        <v/>
      </c>
    </row>
    <row r="178">
      <c r="A178" s="11" t="n"/>
      <c r="B178" s="11" t="n"/>
      <c r="C178" s="11" t="n"/>
      <c r="D178" s="14" t="n"/>
      <c r="E178" s="18" t="n"/>
      <c r="F178" s="18" t="n"/>
      <c r="G178" s="18" t="n"/>
      <c r="H178" s="18" t="n"/>
      <c r="I178" s="23">
        <f>IF(C178="","",F178+G178+H178)</f>
        <v/>
      </c>
      <c r="J178">
        <f>IF(C178="","",UPPER(TRIM(A178))&amp;"|"&amp;UPPER(TRIM(C178)))</f>
        <v/>
      </c>
      <c r="K178">
        <f>IF(J178="","",IF(COUNTIF('Purchase Register'!$K$5:$K$504,J178)=0,"In 2B, not in your books","In books"))</f>
        <v/>
      </c>
    </row>
    <row r="179">
      <c r="A179" s="11" t="n"/>
      <c r="B179" s="11" t="n"/>
      <c r="C179" s="11" t="n"/>
      <c r="D179" s="14" t="n"/>
      <c r="E179" s="18" t="n"/>
      <c r="F179" s="18" t="n"/>
      <c r="G179" s="18" t="n"/>
      <c r="H179" s="18" t="n"/>
      <c r="I179" s="23">
        <f>IF(C179="","",F179+G179+H179)</f>
        <v/>
      </c>
      <c r="J179">
        <f>IF(C179="","",UPPER(TRIM(A179))&amp;"|"&amp;UPPER(TRIM(C179)))</f>
        <v/>
      </c>
      <c r="K179">
        <f>IF(J179="","",IF(COUNTIF('Purchase Register'!$K$5:$K$504,J179)=0,"In 2B, not in your books","In books"))</f>
        <v/>
      </c>
    </row>
    <row r="180">
      <c r="A180" s="11" t="n"/>
      <c r="B180" s="11" t="n"/>
      <c r="C180" s="11" t="n"/>
      <c r="D180" s="14" t="n"/>
      <c r="E180" s="18" t="n"/>
      <c r="F180" s="18" t="n"/>
      <c r="G180" s="18" t="n"/>
      <c r="H180" s="18" t="n"/>
      <c r="I180" s="23">
        <f>IF(C180="","",F180+G180+H180)</f>
        <v/>
      </c>
      <c r="J180">
        <f>IF(C180="","",UPPER(TRIM(A180))&amp;"|"&amp;UPPER(TRIM(C180)))</f>
        <v/>
      </c>
      <c r="K180">
        <f>IF(J180="","",IF(COUNTIF('Purchase Register'!$K$5:$K$504,J180)=0,"In 2B, not in your books","In books"))</f>
        <v/>
      </c>
    </row>
    <row r="181">
      <c r="A181" s="11" t="n"/>
      <c r="B181" s="11" t="n"/>
      <c r="C181" s="11" t="n"/>
      <c r="D181" s="14" t="n"/>
      <c r="E181" s="18" t="n"/>
      <c r="F181" s="18" t="n"/>
      <c r="G181" s="18" t="n"/>
      <c r="H181" s="18" t="n"/>
      <c r="I181" s="23">
        <f>IF(C181="","",F181+G181+H181)</f>
        <v/>
      </c>
      <c r="J181">
        <f>IF(C181="","",UPPER(TRIM(A181))&amp;"|"&amp;UPPER(TRIM(C181)))</f>
        <v/>
      </c>
      <c r="K181">
        <f>IF(J181="","",IF(COUNTIF('Purchase Register'!$K$5:$K$504,J181)=0,"In 2B, not in your books","In books"))</f>
        <v/>
      </c>
    </row>
    <row r="182">
      <c r="A182" s="11" t="n"/>
      <c r="B182" s="11" t="n"/>
      <c r="C182" s="11" t="n"/>
      <c r="D182" s="14" t="n"/>
      <c r="E182" s="18" t="n"/>
      <c r="F182" s="18" t="n"/>
      <c r="G182" s="18" t="n"/>
      <c r="H182" s="18" t="n"/>
      <c r="I182" s="23">
        <f>IF(C182="","",F182+G182+H182)</f>
        <v/>
      </c>
      <c r="J182">
        <f>IF(C182="","",UPPER(TRIM(A182))&amp;"|"&amp;UPPER(TRIM(C182)))</f>
        <v/>
      </c>
      <c r="K182">
        <f>IF(J182="","",IF(COUNTIF('Purchase Register'!$K$5:$K$504,J182)=0,"In 2B, not in your books","In books"))</f>
        <v/>
      </c>
    </row>
    <row r="183">
      <c r="A183" s="11" t="n"/>
      <c r="B183" s="11" t="n"/>
      <c r="C183" s="11" t="n"/>
      <c r="D183" s="14" t="n"/>
      <c r="E183" s="18" t="n"/>
      <c r="F183" s="18" t="n"/>
      <c r="G183" s="18" t="n"/>
      <c r="H183" s="18" t="n"/>
      <c r="I183" s="23">
        <f>IF(C183="","",F183+G183+H183)</f>
        <v/>
      </c>
      <c r="J183">
        <f>IF(C183="","",UPPER(TRIM(A183))&amp;"|"&amp;UPPER(TRIM(C183)))</f>
        <v/>
      </c>
      <c r="K183">
        <f>IF(J183="","",IF(COUNTIF('Purchase Register'!$K$5:$K$504,J183)=0,"In 2B, not in your books","In books"))</f>
        <v/>
      </c>
    </row>
    <row r="184">
      <c r="A184" s="11" t="n"/>
      <c r="B184" s="11" t="n"/>
      <c r="C184" s="11" t="n"/>
      <c r="D184" s="14" t="n"/>
      <c r="E184" s="18" t="n"/>
      <c r="F184" s="18" t="n"/>
      <c r="G184" s="18" t="n"/>
      <c r="H184" s="18" t="n"/>
      <c r="I184" s="23">
        <f>IF(C184="","",F184+G184+H184)</f>
        <v/>
      </c>
      <c r="J184">
        <f>IF(C184="","",UPPER(TRIM(A184))&amp;"|"&amp;UPPER(TRIM(C184)))</f>
        <v/>
      </c>
      <c r="K184">
        <f>IF(J184="","",IF(COUNTIF('Purchase Register'!$K$5:$K$504,J184)=0,"In 2B, not in your books","In books"))</f>
        <v/>
      </c>
    </row>
    <row r="185">
      <c r="A185" s="11" t="n"/>
      <c r="B185" s="11" t="n"/>
      <c r="C185" s="11" t="n"/>
      <c r="D185" s="14" t="n"/>
      <c r="E185" s="18" t="n"/>
      <c r="F185" s="18" t="n"/>
      <c r="G185" s="18" t="n"/>
      <c r="H185" s="18" t="n"/>
      <c r="I185" s="23">
        <f>IF(C185="","",F185+G185+H185)</f>
        <v/>
      </c>
      <c r="J185">
        <f>IF(C185="","",UPPER(TRIM(A185))&amp;"|"&amp;UPPER(TRIM(C185)))</f>
        <v/>
      </c>
      <c r="K185">
        <f>IF(J185="","",IF(COUNTIF('Purchase Register'!$K$5:$K$504,J185)=0,"In 2B, not in your books","In books"))</f>
        <v/>
      </c>
    </row>
    <row r="186">
      <c r="A186" s="11" t="n"/>
      <c r="B186" s="11" t="n"/>
      <c r="C186" s="11" t="n"/>
      <c r="D186" s="14" t="n"/>
      <c r="E186" s="18" t="n"/>
      <c r="F186" s="18" t="n"/>
      <c r="G186" s="18" t="n"/>
      <c r="H186" s="18" t="n"/>
      <c r="I186" s="23">
        <f>IF(C186="","",F186+G186+H186)</f>
        <v/>
      </c>
      <c r="J186">
        <f>IF(C186="","",UPPER(TRIM(A186))&amp;"|"&amp;UPPER(TRIM(C186)))</f>
        <v/>
      </c>
      <c r="K186">
        <f>IF(J186="","",IF(COUNTIF('Purchase Register'!$K$5:$K$504,J186)=0,"In 2B, not in your books","In books"))</f>
        <v/>
      </c>
    </row>
    <row r="187">
      <c r="A187" s="11" t="n"/>
      <c r="B187" s="11" t="n"/>
      <c r="C187" s="11" t="n"/>
      <c r="D187" s="14" t="n"/>
      <c r="E187" s="18" t="n"/>
      <c r="F187" s="18" t="n"/>
      <c r="G187" s="18" t="n"/>
      <c r="H187" s="18" t="n"/>
      <c r="I187" s="23">
        <f>IF(C187="","",F187+G187+H187)</f>
        <v/>
      </c>
      <c r="J187">
        <f>IF(C187="","",UPPER(TRIM(A187))&amp;"|"&amp;UPPER(TRIM(C187)))</f>
        <v/>
      </c>
      <c r="K187">
        <f>IF(J187="","",IF(COUNTIF('Purchase Register'!$K$5:$K$504,J187)=0,"In 2B, not in your books","In books"))</f>
        <v/>
      </c>
    </row>
    <row r="188">
      <c r="A188" s="11" t="n"/>
      <c r="B188" s="11" t="n"/>
      <c r="C188" s="11" t="n"/>
      <c r="D188" s="14" t="n"/>
      <c r="E188" s="18" t="n"/>
      <c r="F188" s="18" t="n"/>
      <c r="G188" s="18" t="n"/>
      <c r="H188" s="18" t="n"/>
      <c r="I188" s="23">
        <f>IF(C188="","",F188+G188+H188)</f>
        <v/>
      </c>
      <c r="J188">
        <f>IF(C188="","",UPPER(TRIM(A188))&amp;"|"&amp;UPPER(TRIM(C188)))</f>
        <v/>
      </c>
      <c r="K188">
        <f>IF(J188="","",IF(COUNTIF('Purchase Register'!$K$5:$K$504,J188)=0,"In 2B, not in your books","In books"))</f>
        <v/>
      </c>
    </row>
    <row r="189">
      <c r="A189" s="11" t="n"/>
      <c r="B189" s="11" t="n"/>
      <c r="C189" s="11" t="n"/>
      <c r="D189" s="14" t="n"/>
      <c r="E189" s="18" t="n"/>
      <c r="F189" s="18" t="n"/>
      <c r="G189" s="18" t="n"/>
      <c r="H189" s="18" t="n"/>
      <c r="I189" s="23">
        <f>IF(C189="","",F189+G189+H189)</f>
        <v/>
      </c>
      <c r="J189">
        <f>IF(C189="","",UPPER(TRIM(A189))&amp;"|"&amp;UPPER(TRIM(C189)))</f>
        <v/>
      </c>
      <c r="K189">
        <f>IF(J189="","",IF(COUNTIF('Purchase Register'!$K$5:$K$504,J189)=0,"In 2B, not in your books","In books"))</f>
        <v/>
      </c>
    </row>
    <row r="190">
      <c r="A190" s="11" t="n"/>
      <c r="B190" s="11" t="n"/>
      <c r="C190" s="11" t="n"/>
      <c r="D190" s="14" t="n"/>
      <c r="E190" s="18" t="n"/>
      <c r="F190" s="18" t="n"/>
      <c r="G190" s="18" t="n"/>
      <c r="H190" s="18" t="n"/>
      <c r="I190" s="23">
        <f>IF(C190="","",F190+G190+H190)</f>
        <v/>
      </c>
      <c r="J190">
        <f>IF(C190="","",UPPER(TRIM(A190))&amp;"|"&amp;UPPER(TRIM(C190)))</f>
        <v/>
      </c>
      <c r="K190">
        <f>IF(J190="","",IF(COUNTIF('Purchase Register'!$K$5:$K$504,J190)=0,"In 2B, not in your books","In books"))</f>
        <v/>
      </c>
    </row>
    <row r="191">
      <c r="A191" s="11" t="n"/>
      <c r="B191" s="11" t="n"/>
      <c r="C191" s="11" t="n"/>
      <c r="D191" s="14" t="n"/>
      <c r="E191" s="18" t="n"/>
      <c r="F191" s="18" t="n"/>
      <c r="G191" s="18" t="n"/>
      <c r="H191" s="18" t="n"/>
      <c r="I191" s="23">
        <f>IF(C191="","",F191+G191+H191)</f>
        <v/>
      </c>
      <c r="J191">
        <f>IF(C191="","",UPPER(TRIM(A191))&amp;"|"&amp;UPPER(TRIM(C191)))</f>
        <v/>
      </c>
      <c r="K191">
        <f>IF(J191="","",IF(COUNTIF('Purchase Register'!$K$5:$K$504,J191)=0,"In 2B, not in your books","In books"))</f>
        <v/>
      </c>
    </row>
    <row r="192">
      <c r="A192" s="11" t="n"/>
      <c r="B192" s="11" t="n"/>
      <c r="C192" s="11" t="n"/>
      <c r="D192" s="14" t="n"/>
      <c r="E192" s="18" t="n"/>
      <c r="F192" s="18" t="n"/>
      <c r="G192" s="18" t="n"/>
      <c r="H192" s="18" t="n"/>
      <c r="I192" s="23">
        <f>IF(C192="","",F192+G192+H192)</f>
        <v/>
      </c>
      <c r="J192">
        <f>IF(C192="","",UPPER(TRIM(A192))&amp;"|"&amp;UPPER(TRIM(C192)))</f>
        <v/>
      </c>
      <c r="K192">
        <f>IF(J192="","",IF(COUNTIF('Purchase Register'!$K$5:$K$504,J192)=0,"In 2B, not in your books","In books"))</f>
        <v/>
      </c>
    </row>
    <row r="193">
      <c r="A193" s="11" t="n"/>
      <c r="B193" s="11" t="n"/>
      <c r="C193" s="11" t="n"/>
      <c r="D193" s="14" t="n"/>
      <c r="E193" s="18" t="n"/>
      <c r="F193" s="18" t="n"/>
      <c r="G193" s="18" t="n"/>
      <c r="H193" s="18" t="n"/>
      <c r="I193" s="23">
        <f>IF(C193="","",F193+G193+H193)</f>
        <v/>
      </c>
      <c r="J193">
        <f>IF(C193="","",UPPER(TRIM(A193))&amp;"|"&amp;UPPER(TRIM(C193)))</f>
        <v/>
      </c>
      <c r="K193">
        <f>IF(J193="","",IF(COUNTIF('Purchase Register'!$K$5:$K$504,J193)=0,"In 2B, not in your books","In books"))</f>
        <v/>
      </c>
    </row>
    <row r="194">
      <c r="A194" s="11" t="n"/>
      <c r="B194" s="11" t="n"/>
      <c r="C194" s="11" t="n"/>
      <c r="D194" s="14" t="n"/>
      <c r="E194" s="18" t="n"/>
      <c r="F194" s="18" t="n"/>
      <c r="G194" s="18" t="n"/>
      <c r="H194" s="18" t="n"/>
      <c r="I194" s="23">
        <f>IF(C194="","",F194+G194+H194)</f>
        <v/>
      </c>
      <c r="J194">
        <f>IF(C194="","",UPPER(TRIM(A194))&amp;"|"&amp;UPPER(TRIM(C194)))</f>
        <v/>
      </c>
      <c r="K194">
        <f>IF(J194="","",IF(COUNTIF('Purchase Register'!$K$5:$K$504,J194)=0,"In 2B, not in your books","In books"))</f>
        <v/>
      </c>
    </row>
    <row r="195">
      <c r="A195" s="11" t="n"/>
      <c r="B195" s="11" t="n"/>
      <c r="C195" s="11" t="n"/>
      <c r="D195" s="14" t="n"/>
      <c r="E195" s="18" t="n"/>
      <c r="F195" s="18" t="n"/>
      <c r="G195" s="18" t="n"/>
      <c r="H195" s="18" t="n"/>
      <c r="I195" s="23">
        <f>IF(C195="","",F195+G195+H195)</f>
        <v/>
      </c>
      <c r="J195">
        <f>IF(C195="","",UPPER(TRIM(A195))&amp;"|"&amp;UPPER(TRIM(C195)))</f>
        <v/>
      </c>
      <c r="K195">
        <f>IF(J195="","",IF(COUNTIF('Purchase Register'!$K$5:$K$504,J195)=0,"In 2B, not in your books","In books"))</f>
        <v/>
      </c>
    </row>
    <row r="196">
      <c r="A196" s="11" t="n"/>
      <c r="B196" s="11" t="n"/>
      <c r="C196" s="11" t="n"/>
      <c r="D196" s="14" t="n"/>
      <c r="E196" s="18" t="n"/>
      <c r="F196" s="18" t="n"/>
      <c r="G196" s="18" t="n"/>
      <c r="H196" s="18" t="n"/>
      <c r="I196" s="23">
        <f>IF(C196="","",F196+G196+H196)</f>
        <v/>
      </c>
      <c r="J196">
        <f>IF(C196="","",UPPER(TRIM(A196))&amp;"|"&amp;UPPER(TRIM(C196)))</f>
        <v/>
      </c>
      <c r="K196">
        <f>IF(J196="","",IF(COUNTIF('Purchase Register'!$K$5:$K$504,J196)=0,"In 2B, not in your books","In books"))</f>
        <v/>
      </c>
    </row>
    <row r="197">
      <c r="A197" s="11" t="n"/>
      <c r="B197" s="11" t="n"/>
      <c r="C197" s="11" t="n"/>
      <c r="D197" s="14" t="n"/>
      <c r="E197" s="18" t="n"/>
      <c r="F197" s="18" t="n"/>
      <c r="G197" s="18" t="n"/>
      <c r="H197" s="18" t="n"/>
      <c r="I197" s="23">
        <f>IF(C197="","",F197+G197+H197)</f>
        <v/>
      </c>
      <c r="J197">
        <f>IF(C197="","",UPPER(TRIM(A197))&amp;"|"&amp;UPPER(TRIM(C197)))</f>
        <v/>
      </c>
      <c r="K197">
        <f>IF(J197="","",IF(COUNTIF('Purchase Register'!$K$5:$K$504,J197)=0,"In 2B, not in your books","In books"))</f>
        <v/>
      </c>
    </row>
    <row r="198">
      <c r="A198" s="11" t="n"/>
      <c r="B198" s="11" t="n"/>
      <c r="C198" s="11" t="n"/>
      <c r="D198" s="14" t="n"/>
      <c r="E198" s="18" t="n"/>
      <c r="F198" s="18" t="n"/>
      <c r="G198" s="18" t="n"/>
      <c r="H198" s="18" t="n"/>
      <c r="I198" s="23">
        <f>IF(C198="","",F198+G198+H198)</f>
        <v/>
      </c>
      <c r="J198">
        <f>IF(C198="","",UPPER(TRIM(A198))&amp;"|"&amp;UPPER(TRIM(C198)))</f>
        <v/>
      </c>
      <c r="K198">
        <f>IF(J198="","",IF(COUNTIF('Purchase Register'!$K$5:$K$504,J198)=0,"In 2B, not in your books","In books"))</f>
        <v/>
      </c>
    </row>
    <row r="199">
      <c r="A199" s="11" t="n"/>
      <c r="B199" s="11" t="n"/>
      <c r="C199" s="11" t="n"/>
      <c r="D199" s="14" t="n"/>
      <c r="E199" s="18" t="n"/>
      <c r="F199" s="18" t="n"/>
      <c r="G199" s="18" t="n"/>
      <c r="H199" s="18" t="n"/>
      <c r="I199" s="23">
        <f>IF(C199="","",F199+G199+H199)</f>
        <v/>
      </c>
      <c r="J199">
        <f>IF(C199="","",UPPER(TRIM(A199))&amp;"|"&amp;UPPER(TRIM(C199)))</f>
        <v/>
      </c>
      <c r="K199">
        <f>IF(J199="","",IF(COUNTIF('Purchase Register'!$K$5:$K$504,J199)=0,"In 2B, not in your books","In books"))</f>
        <v/>
      </c>
    </row>
    <row r="200">
      <c r="A200" s="11" t="n"/>
      <c r="B200" s="11" t="n"/>
      <c r="C200" s="11" t="n"/>
      <c r="D200" s="14" t="n"/>
      <c r="E200" s="18" t="n"/>
      <c r="F200" s="18" t="n"/>
      <c r="G200" s="18" t="n"/>
      <c r="H200" s="18" t="n"/>
      <c r="I200" s="23">
        <f>IF(C200="","",F200+G200+H200)</f>
        <v/>
      </c>
      <c r="J200">
        <f>IF(C200="","",UPPER(TRIM(A200))&amp;"|"&amp;UPPER(TRIM(C200)))</f>
        <v/>
      </c>
      <c r="K200">
        <f>IF(J200="","",IF(COUNTIF('Purchase Register'!$K$5:$K$504,J200)=0,"In 2B, not in your books","In books"))</f>
        <v/>
      </c>
    </row>
    <row r="201">
      <c r="A201" s="11" t="n"/>
      <c r="B201" s="11" t="n"/>
      <c r="C201" s="11" t="n"/>
      <c r="D201" s="14" t="n"/>
      <c r="E201" s="18" t="n"/>
      <c r="F201" s="18" t="n"/>
      <c r="G201" s="18" t="n"/>
      <c r="H201" s="18" t="n"/>
      <c r="I201" s="23">
        <f>IF(C201="","",F201+G201+H201)</f>
        <v/>
      </c>
      <c r="J201">
        <f>IF(C201="","",UPPER(TRIM(A201))&amp;"|"&amp;UPPER(TRIM(C201)))</f>
        <v/>
      </c>
      <c r="K201">
        <f>IF(J201="","",IF(COUNTIF('Purchase Register'!$K$5:$K$504,J201)=0,"In 2B, not in your books","In books"))</f>
        <v/>
      </c>
    </row>
    <row r="202">
      <c r="A202" s="11" t="n"/>
      <c r="B202" s="11" t="n"/>
      <c r="C202" s="11" t="n"/>
      <c r="D202" s="14" t="n"/>
      <c r="E202" s="18" t="n"/>
      <c r="F202" s="18" t="n"/>
      <c r="G202" s="18" t="n"/>
      <c r="H202" s="18" t="n"/>
      <c r="I202" s="23">
        <f>IF(C202="","",F202+G202+H202)</f>
        <v/>
      </c>
      <c r="J202">
        <f>IF(C202="","",UPPER(TRIM(A202))&amp;"|"&amp;UPPER(TRIM(C202)))</f>
        <v/>
      </c>
      <c r="K202">
        <f>IF(J202="","",IF(COUNTIF('Purchase Register'!$K$5:$K$504,J202)=0,"In 2B, not in your books","In books"))</f>
        <v/>
      </c>
    </row>
    <row r="203">
      <c r="A203" s="11" t="n"/>
      <c r="B203" s="11" t="n"/>
      <c r="C203" s="11" t="n"/>
      <c r="D203" s="14" t="n"/>
      <c r="E203" s="18" t="n"/>
      <c r="F203" s="18" t="n"/>
      <c r="G203" s="18" t="n"/>
      <c r="H203" s="18" t="n"/>
      <c r="I203" s="23">
        <f>IF(C203="","",F203+G203+H203)</f>
        <v/>
      </c>
      <c r="J203">
        <f>IF(C203="","",UPPER(TRIM(A203))&amp;"|"&amp;UPPER(TRIM(C203)))</f>
        <v/>
      </c>
      <c r="K203">
        <f>IF(J203="","",IF(COUNTIF('Purchase Register'!$K$5:$K$504,J203)=0,"In 2B, not in your books","In books"))</f>
        <v/>
      </c>
    </row>
    <row r="204">
      <c r="A204" s="11" t="n"/>
      <c r="B204" s="11" t="n"/>
      <c r="C204" s="11" t="n"/>
      <c r="D204" s="14" t="n"/>
      <c r="E204" s="18" t="n"/>
      <c r="F204" s="18" t="n"/>
      <c r="G204" s="18" t="n"/>
      <c r="H204" s="18" t="n"/>
      <c r="I204" s="23">
        <f>IF(C204="","",F204+G204+H204)</f>
        <v/>
      </c>
      <c r="J204">
        <f>IF(C204="","",UPPER(TRIM(A204))&amp;"|"&amp;UPPER(TRIM(C204)))</f>
        <v/>
      </c>
      <c r="K204">
        <f>IF(J204="","",IF(COUNTIF('Purchase Register'!$K$5:$K$504,J204)=0,"In 2B, not in your books","In books"))</f>
        <v/>
      </c>
    </row>
    <row r="205">
      <c r="A205" s="11" t="n"/>
      <c r="B205" s="11" t="n"/>
      <c r="C205" s="11" t="n"/>
      <c r="D205" s="14" t="n"/>
      <c r="E205" s="18" t="n"/>
      <c r="F205" s="18" t="n"/>
      <c r="G205" s="18" t="n"/>
      <c r="H205" s="18" t="n"/>
      <c r="I205" s="23">
        <f>IF(C205="","",F205+G205+H205)</f>
        <v/>
      </c>
      <c r="J205">
        <f>IF(C205="","",UPPER(TRIM(A205))&amp;"|"&amp;UPPER(TRIM(C205)))</f>
        <v/>
      </c>
      <c r="K205">
        <f>IF(J205="","",IF(COUNTIF('Purchase Register'!$K$5:$K$504,J205)=0,"In 2B, not in your books","In books"))</f>
        <v/>
      </c>
    </row>
    <row r="206">
      <c r="A206" s="11" t="n"/>
      <c r="B206" s="11" t="n"/>
      <c r="C206" s="11" t="n"/>
      <c r="D206" s="14" t="n"/>
      <c r="E206" s="18" t="n"/>
      <c r="F206" s="18" t="n"/>
      <c r="G206" s="18" t="n"/>
      <c r="H206" s="18" t="n"/>
      <c r="I206" s="23">
        <f>IF(C206="","",F206+G206+H206)</f>
        <v/>
      </c>
      <c r="J206">
        <f>IF(C206="","",UPPER(TRIM(A206))&amp;"|"&amp;UPPER(TRIM(C206)))</f>
        <v/>
      </c>
      <c r="K206">
        <f>IF(J206="","",IF(COUNTIF('Purchase Register'!$K$5:$K$504,J206)=0,"In 2B, not in your books","In books"))</f>
        <v/>
      </c>
    </row>
    <row r="207">
      <c r="A207" s="11" t="n"/>
      <c r="B207" s="11" t="n"/>
      <c r="C207" s="11" t="n"/>
      <c r="D207" s="14" t="n"/>
      <c r="E207" s="18" t="n"/>
      <c r="F207" s="18" t="n"/>
      <c r="G207" s="18" t="n"/>
      <c r="H207" s="18" t="n"/>
      <c r="I207" s="23">
        <f>IF(C207="","",F207+G207+H207)</f>
        <v/>
      </c>
      <c r="J207">
        <f>IF(C207="","",UPPER(TRIM(A207))&amp;"|"&amp;UPPER(TRIM(C207)))</f>
        <v/>
      </c>
      <c r="K207">
        <f>IF(J207="","",IF(COUNTIF('Purchase Register'!$K$5:$K$504,J207)=0,"In 2B, not in your books","In books"))</f>
        <v/>
      </c>
    </row>
    <row r="208">
      <c r="A208" s="11" t="n"/>
      <c r="B208" s="11" t="n"/>
      <c r="C208" s="11" t="n"/>
      <c r="D208" s="14" t="n"/>
      <c r="E208" s="18" t="n"/>
      <c r="F208" s="18" t="n"/>
      <c r="G208" s="18" t="n"/>
      <c r="H208" s="18" t="n"/>
      <c r="I208" s="23">
        <f>IF(C208="","",F208+G208+H208)</f>
        <v/>
      </c>
      <c r="J208">
        <f>IF(C208="","",UPPER(TRIM(A208))&amp;"|"&amp;UPPER(TRIM(C208)))</f>
        <v/>
      </c>
      <c r="K208">
        <f>IF(J208="","",IF(COUNTIF('Purchase Register'!$K$5:$K$504,J208)=0,"In 2B, not in your books","In books"))</f>
        <v/>
      </c>
    </row>
    <row r="209">
      <c r="A209" s="11" t="n"/>
      <c r="B209" s="11" t="n"/>
      <c r="C209" s="11" t="n"/>
      <c r="D209" s="14" t="n"/>
      <c r="E209" s="18" t="n"/>
      <c r="F209" s="18" t="n"/>
      <c r="G209" s="18" t="n"/>
      <c r="H209" s="18" t="n"/>
      <c r="I209" s="23">
        <f>IF(C209="","",F209+G209+H209)</f>
        <v/>
      </c>
      <c r="J209">
        <f>IF(C209="","",UPPER(TRIM(A209))&amp;"|"&amp;UPPER(TRIM(C209)))</f>
        <v/>
      </c>
      <c r="K209">
        <f>IF(J209="","",IF(COUNTIF('Purchase Register'!$K$5:$K$504,J209)=0,"In 2B, not in your books","In books"))</f>
        <v/>
      </c>
    </row>
    <row r="210">
      <c r="A210" s="11" t="n"/>
      <c r="B210" s="11" t="n"/>
      <c r="C210" s="11" t="n"/>
      <c r="D210" s="14" t="n"/>
      <c r="E210" s="18" t="n"/>
      <c r="F210" s="18" t="n"/>
      <c r="G210" s="18" t="n"/>
      <c r="H210" s="18" t="n"/>
      <c r="I210" s="23">
        <f>IF(C210="","",F210+G210+H210)</f>
        <v/>
      </c>
      <c r="J210">
        <f>IF(C210="","",UPPER(TRIM(A210))&amp;"|"&amp;UPPER(TRIM(C210)))</f>
        <v/>
      </c>
      <c r="K210">
        <f>IF(J210="","",IF(COUNTIF('Purchase Register'!$K$5:$K$504,J210)=0,"In 2B, not in your books","In books"))</f>
        <v/>
      </c>
    </row>
    <row r="211">
      <c r="A211" s="11" t="n"/>
      <c r="B211" s="11" t="n"/>
      <c r="C211" s="11" t="n"/>
      <c r="D211" s="14" t="n"/>
      <c r="E211" s="18" t="n"/>
      <c r="F211" s="18" t="n"/>
      <c r="G211" s="18" t="n"/>
      <c r="H211" s="18" t="n"/>
      <c r="I211" s="23">
        <f>IF(C211="","",F211+G211+H211)</f>
        <v/>
      </c>
      <c r="J211">
        <f>IF(C211="","",UPPER(TRIM(A211))&amp;"|"&amp;UPPER(TRIM(C211)))</f>
        <v/>
      </c>
      <c r="K211">
        <f>IF(J211="","",IF(COUNTIF('Purchase Register'!$K$5:$K$504,J211)=0,"In 2B, not in your books","In books"))</f>
        <v/>
      </c>
    </row>
    <row r="212">
      <c r="A212" s="11" t="n"/>
      <c r="B212" s="11" t="n"/>
      <c r="C212" s="11" t="n"/>
      <c r="D212" s="14" t="n"/>
      <c r="E212" s="18" t="n"/>
      <c r="F212" s="18" t="n"/>
      <c r="G212" s="18" t="n"/>
      <c r="H212" s="18" t="n"/>
      <c r="I212" s="23">
        <f>IF(C212="","",F212+G212+H212)</f>
        <v/>
      </c>
      <c r="J212">
        <f>IF(C212="","",UPPER(TRIM(A212))&amp;"|"&amp;UPPER(TRIM(C212)))</f>
        <v/>
      </c>
      <c r="K212">
        <f>IF(J212="","",IF(COUNTIF('Purchase Register'!$K$5:$K$504,J212)=0,"In 2B, not in your books","In books"))</f>
        <v/>
      </c>
    </row>
    <row r="213">
      <c r="A213" s="11" t="n"/>
      <c r="B213" s="11" t="n"/>
      <c r="C213" s="11" t="n"/>
      <c r="D213" s="14" t="n"/>
      <c r="E213" s="18" t="n"/>
      <c r="F213" s="18" t="n"/>
      <c r="G213" s="18" t="n"/>
      <c r="H213" s="18" t="n"/>
      <c r="I213" s="23">
        <f>IF(C213="","",F213+G213+H213)</f>
        <v/>
      </c>
      <c r="J213">
        <f>IF(C213="","",UPPER(TRIM(A213))&amp;"|"&amp;UPPER(TRIM(C213)))</f>
        <v/>
      </c>
      <c r="K213">
        <f>IF(J213="","",IF(COUNTIF('Purchase Register'!$K$5:$K$504,J213)=0,"In 2B, not in your books","In books"))</f>
        <v/>
      </c>
    </row>
    <row r="214">
      <c r="A214" s="11" t="n"/>
      <c r="B214" s="11" t="n"/>
      <c r="C214" s="11" t="n"/>
      <c r="D214" s="14" t="n"/>
      <c r="E214" s="18" t="n"/>
      <c r="F214" s="18" t="n"/>
      <c r="G214" s="18" t="n"/>
      <c r="H214" s="18" t="n"/>
      <c r="I214" s="23">
        <f>IF(C214="","",F214+G214+H214)</f>
        <v/>
      </c>
      <c r="J214">
        <f>IF(C214="","",UPPER(TRIM(A214))&amp;"|"&amp;UPPER(TRIM(C214)))</f>
        <v/>
      </c>
      <c r="K214">
        <f>IF(J214="","",IF(COUNTIF('Purchase Register'!$K$5:$K$504,J214)=0,"In 2B, not in your books","In books"))</f>
        <v/>
      </c>
    </row>
    <row r="215">
      <c r="A215" s="11" t="n"/>
      <c r="B215" s="11" t="n"/>
      <c r="C215" s="11" t="n"/>
      <c r="D215" s="14" t="n"/>
      <c r="E215" s="18" t="n"/>
      <c r="F215" s="18" t="n"/>
      <c r="G215" s="18" t="n"/>
      <c r="H215" s="18" t="n"/>
      <c r="I215" s="23">
        <f>IF(C215="","",F215+G215+H215)</f>
        <v/>
      </c>
      <c r="J215">
        <f>IF(C215="","",UPPER(TRIM(A215))&amp;"|"&amp;UPPER(TRIM(C215)))</f>
        <v/>
      </c>
      <c r="K215">
        <f>IF(J215="","",IF(COUNTIF('Purchase Register'!$K$5:$K$504,J215)=0,"In 2B, not in your books","In books"))</f>
        <v/>
      </c>
    </row>
    <row r="216">
      <c r="A216" s="11" t="n"/>
      <c r="B216" s="11" t="n"/>
      <c r="C216" s="11" t="n"/>
      <c r="D216" s="14" t="n"/>
      <c r="E216" s="18" t="n"/>
      <c r="F216" s="18" t="n"/>
      <c r="G216" s="18" t="n"/>
      <c r="H216" s="18" t="n"/>
      <c r="I216" s="23">
        <f>IF(C216="","",F216+G216+H216)</f>
        <v/>
      </c>
      <c r="J216">
        <f>IF(C216="","",UPPER(TRIM(A216))&amp;"|"&amp;UPPER(TRIM(C216)))</f>
        <v/>
      </c>
      <c r="K216">
        <f>IF(J216="","",IF(COUNTIF('Purchase Register'!$K$5:$K$504,J216)=0,"In 2B, not in your books","In books"))</f>
        <v/>
      </c>
    </row>
    <row r="217">
      <c r="A217" s="11" t="n"/>
      <c r="B217" s="11" t="n"/>
      <c r="C217" s="11" t="n"/>
      <c r="D217" s="14" t="n"/>
      <c r="E217" s="18" t="n"/>
      <c r="F217" s="18" t="n"/>
      <c r="G217" s="18" t="n"/>
      <c r="H217" s="18" t="n"/>
      <c r="I217" s="23">
        <f>IF(C217="","",F217+G217+H217)</f>
        <v/>
      </c>
      <c r="J217">
        <f>IF(C217="","",UPPER(TRIM(A217))&amp;"|"&amp;UPPER(TRIM(C217)))</f>
        <v/>
      </c>
      <c r="K217">
        <f>IF(J217="","",IF(COUNTIF('Purchase Register'!$K$5:$K$504,J217)=0,"In 2B, not in your books","In books"))</f>
        <v/>
      </c>
    </row>
    <row r="218">
      <c r="A218" s="11" t="n"/>
      <c r="B218" s="11" t="n"/>
      <c r="C218" s="11" t="n"/>
      <c r="D218" s="14" t="n"/>
      <c r="E218" s="18" t="n"/>
      <c r="F218" s="18" t="n"/>
      <c r="G218" s="18" t="n"/>
      <c r="H218" s="18" t="n"/>
      <c r="I218" s="23">
        <f>IF(C218="","",F218+G218+H218)</f>
        <v/>
      </c>
      <c r="J218">
        <f>IF(C218="","",UPPER(TRIM(A218))&amp;"|"&amp;UPPER(TRIM(C218)))</f>
        <v/>
      </c>
      <c r="K218">
        <f>IF(J218="","",IF(COUNTIF('Purchase Register'!$K$5:$K$504,J218)=0,"In 2B, not in your books","In books"))</f>
        <v/>
      </c>
    </row>
    <row r="219">
      <c r="A219" s="11" t="n"/>
      <c r="B219" s="11" t="n"/>
      <c r="C219" s="11" t="n"/>
      <c r="D219" s="14" t="n"/>
      <c r="E219" s="18" t="n"/>
      <c r="F219" s="18" t="n"/>
      <c r="G219" s="18" t="n"/>
      <c r="H219" s="18" t="n"/>
      <c r="I219" s="23">
        <f>IF(C219="","",F219+G219+H219)</f>
        <v/>
      </c>
      <c r="J219">
        <f>IF(C219="","",UPPER(TRIM(A219))&amp;"|"&amp;UPPER(TRIM(C219)))</f>
        <v/>
      </c>
      <c r="K219">
        <f>IF(J219="","",IF(COUNTIF('Purchase Register'!$K$5:$K$504,J219)=0,"In 2B, not in your books","In books"))</f>
        <v/>
      </c>
    </row>
    <row r="220">
      <c r="A220" s="11" t="n"/>
      <c r="B220" s="11" t="n"/>
      <c r="C220" s="11" t="n"/>
      <c r="D220" s="14" t="n"/>
      <c r="E220" s="18" t="n"/>
      <c r="F220" s="18" t="n"/>
      <c r="G220" s="18" t="n"/>
      <c r="H220" s="18" t="n"/>
      <c r="I220" s="23">
        <f>IF(C220="","",F220+G220+H220)</f>
        <v/>
      </c>
      <c r="J220">
        <f>IF(C220="","",UPPER(TRIM(A220))&amp;"|"&amp;UPPER(TRIM(C220)))</f>
        <v/>
      </c>
      <c r="K220">
        <f>IF(J220="","",IF(COUNTIF('Purchase Register'!$K$5:$K$504,J220)=0,"In 2B, not in your books","In books"))</f>
        <v/>
      </c>
    </row>
    <row r="221">
      <c r="A221" s="11" t="n"/>
      <c r="B221" s="11" t="n"/>
      <c r="C221" s="11" t="n"/>
      <c r="D221" s="14" t="n"/>
      <c r="E221" s="18" t="n"/>
      <c r="F221" s="18" t="n"/>
      <c r="G221" s="18" t="n"/>
      <c r="H221" s="18" t="n"/>
      <c r="I221" s="23">
        <f>IF(C221="","",F221+G221+H221)</f>
        <v/>
      </c>
      <c r="J221">
        <f>IF(C221="","",UPPER(TRIM(A221))&amp;"|"&amp;UPPER(TRIM(C221)))</f>
        <v/>
      </c>
      <c r="K221">
        <f>IF(J221="","",IF(COUNTIF('Purchase Register'!$K$5:$K$504,J221)=0,"In 2B, not in your books","In books"))</f>
        <v/>
      </c>
    </row>
    <row r="222">
      <c r="A222" s="11" t="n"/>
      <c r="B222" s="11" t="n"/>
      <c r="C222" s="11" t="n"/>
      <c r="D222" s="14" t="n"/>
      <c r="E222" s="18" t="n"/>
      <c r="F222" s="18" t="n"/>
      <c r="G222" s="18" t="n"/>
      <c r="H222" s="18" t="n"/>
      <c r="I222" s="23">
        <f>IF(C222="","",F222+G222+H222)</f>
        <v/>
      </c>
      <c r="J222">
        <f>IF(C222="","",UPPER(TRIM(A222))&amp;"|"&amp;UPPER(TRIM(C222)))</f>
        <v/>
      </c>
      <c r="K222">
        <f>IF(J222="","",IF(COUNTIF('Purchase Register'!$K$5:$K$504,J222)=0,"In 2B, not in your books","In books"))</f>
        <v/>
      </c>
    </row>
    <row r="223">
      <c r="A223" s="11" t="n"/>
      <c r="B223" s="11" t="n"/>
      <c r="C223" s="11" t="n"/>
      <c r="D223" s="14" t="n"/>
      <c r="E223" s="18" t="n"/>
      <c r="F223" s="18" t="n"/>
      <c r="G223" s="18" t="n"/>
      <c r="H223" s="18" t="n"/>
      <c r="I223" s="23">
        <f>IF(C223="","",F223+G223+H223)</f>
        <v/>
      </c>
      <c r="J223">
        <f>IF(C223="","",UPPER(TRIM(A223))&amp;"|"&amp;UPPER(TRIM(C223)))</f>
        <v/>
      </c>
      <c r="K223">
        <f>IF(J223="","",IF(COUNTIF('Purchase Register'!$K$5:$K$504,J223)=0,"In 2B, not in your books","In books"))</f>
        <v/>
      </c>
    </row>
    <row r="224">
      <c r="A224" s="11" t="n"/>
      <c r="B224" s="11" t="n"/>
      <c r="C224" s="11" t="n"/>
      <c r="D224" s="14" t="n"/>
      <c r="E224" s="18" t="n"/>
      <c r="F224" s="18" t="n"/>
      <c r="G224" s="18" t="n"/>
      <c r="H224" s="18" t="n"/>
      <c r="I224" s="23">
        <f>IF(C224="","",F224+G224+H224)</f>
        <v/>
      </c>
      <c r="J224">
        <f>IF(C224="","",UPPER(TRIM(A224))&amp;"|"&amp;UPPER(TRIM(C224)))</f>
        <v/>
      </c>
      <c r="K224">
        <f>IF(J224="","",IF(COUNTIF('Purchase Register'!$K$5:$K$504,J224)=0,"In 2B, not in your books","In books"))</f>
        <v/>
      </c>
    </row>
    <row r="225">
      <c r="A225" s="11" t="n"/>
      <c r="B225" s="11" t="n"/>
      <c r="C225" s="11" t="n"/>
      <c r="D225" s="14" t="n"/>
      <c r="E225" s="18" t="n"/>
      <c r="F225" s="18" t="n"/>
      <c r="G225" s="18" t="n"/>
      <c r="H225" s="18" t="n"/>
      <c r="I225" s="23">
        <f>IF(C225="","",F225+G225+H225)</f>
        <v/>
      </c>
      <c r="J225">
        <f>IF(C225="","",UPPER(TRIM(A225))&amp;"|"&amp;UPPER(TRIM(C225)))</f>
        <v/>
      </c>
      <c r="K225">
        <f>IF(J225="","",IF(COUNTIF('Purchase Register'!$K$5:$K$504,J225)=0,"In 2B, not in your books","In books"))</f>
        <v/>
      </c>
    </row>
    <row r="226">
      <c r="A226" s="11" t="n"/>
      <c r="B226" s="11" t="n"/>
      <c r="C226" s="11" t="n"/>
      <c r="D226" s="14" t="n"/>
      <c r="E226" s="18" t="n"/>
      <c r="F226" s="18" t="n"/>
      <c r="G226" s="18" t="n"/>
      <c r="H226" s="18" t="n"/>
      <c r="I226" s="23">
        <f>IF(C226="","",F226+G226+H226)</f>
        <v/>
      </c>
      <c r="J226">
        <f>IF(C226="","",UPPER(TRIM(A226))&amp;"|"&amp;UPPER(TRIM(C226)))</f>
        <v/>
      </c>
      <c r="K226">
        <f>IF(J226="","",IF(COUNTIF('Purchase Register'!$K$5:$K$504,J226)=0,"In 2B, not in your books","In books"))</f>
        <v/>
      </c>
    </row>
    <row r="227">
      <c r="A227" s="11" t="n"/>
      <c r="B227" s="11" t="n"/>
      <c r="C227" s="11" t="n"/>
      <c r="D227" s="14" t="n"/>
      <c r="E227" s="18" t="n"/>
      <c r="F227" s="18" t="n"/>
      <c r="G227" s="18" t="n"/>
      <c r="H227" s="18" t="n"/>
      <c r="I227" s="23">
        <f>IF(C227="","",F227+G227+H227)</f>
        <v/>
      </c>
      <c r="J227">
        <f>IF(C227="","",UPPER(TRIM(A227))&amp;"|"&amp;UPPER(TRIM(C227)))</f>
        <v/>
      </c>
      <c r="K227">
        <f>IF(J227="","",IF(COUNTIF('Purchase Register'!$K$5:$K$504,J227)=0,"In 2B, not in your books","In books"))</f>
        <v/>
      </c>
    </row>
    <row r="228">
      <c r="A228" s="11" t="n"/>
      <c r="B228" s="11" t="n"/>
      <c r="C228" s="11" t="n"/>
      <c r="D228" s="14" t="n"/>
      <c r="E228" s="18" t="n"/>
      <c r="F228" s="18" t="n"/>
      <c r="G228" s="18" t="n"/>
      <c r="H228" s="18" t="n"/>
      <c r="I228" s="23">
        <f>IF(C228="","",F228+G228+H228)</f>
        <v/>
      </c>
      <c r="J228">
        <f>IF(C228="","",UPPER(TRIM(A228))&amp;"|"&amp;UPPER(TRIM(C228)))</f>
        <v/>
      </c>
      <c r="K228">
        <f>IF(J228="","",IF(COUNTIF('Purchase Register'!$K$5:$K$504,J228)=0,"In 2B, not in your books","In books"))</f>
        <v/>
      </c>
    </row>
    <row r="229">
      <c r="A229" s="11" t="n"/>
      <c r="B229" s="11" t="n"/>
      <c r="C229" s="11" t="n"/>
      <c r="D229" s="14" t="n"/>
      <c r="E229" s="18" t="n"/>
      <c r="F229" s="18" t="n"/>
      <c r="G229" s="18" t="n"/>
      <c r="H229" s="18" t="n"/>
      <c r="I229" s="23">
        <f>IF(C229="","",F229+G229+H229)</f>
        <v/>
      </c>
      <c r="J229">
        <f>IF(C229="","",UPPER(TRIM(A229))&amp;"|"&amp;UPPER(TRIM(C229)))</f>
        <v/>
      </c>
      <c r="K229">
        <f>IF(J229="","",IF(COUNTIF('Purchase Register'!$K$5:$K$504,J229)=0,"In 2B, not in your books","In books"))</f>
        <v/>
      </c>
    </row>
    <row r="230">
      <c r="A230" s="11" t="n"/>
      <c r="B230" s="11" t="n"/>
      <c r="C230" s="11" t="n"/>
      <c r="D230" s="14" t="n"/>
      <c r="E230" s="18" t="n"/>
      <c r="F230" s="18" t="n"/>
      <c r="G230" s="18" t="n"/>
      <c r="H230" s="18" t="n"/>
      <c r="I230" s="23">
        <f>IF(C230="","",F230+G230+H230)</f>
        <v/>
      </c>
      <c r="J230">
        <f>IF(C230="","",UPPER(TRIM(A230))&amp;"|"&amp;UPPER(TRIM(C230)))</f>
        <v/>
      </c>
      <c r="K230">
        <f>IF(J230="","",IF(COUNTIF('Purchase Register'!$K$5:$K$504,J230)=0,"In 2B, not in your books","In books"))</f>
        <v/>
      </c>
    </row>
    <row r="231">
      <c r="A231" s="11" t="n"/>
      <c r="B231" s="11" t="n"/>
      <c r="C231" s="11" t="n"/>
      <c r="D231" s="14" t="n"/>
      <c r="E231" s="18" t="n"/>
      <c r="F231" s="18" t="n"/>
      <c r="G231" s="18" t="n"/>
      <c r="H231" s="18" t="n"/>
      <c r="I231" s="23">
        <f>IF(C231="","",F231+G231+H231)</f>
        <v/>
      </c>
      <c r="J231">
        <f>IF(C231="","",UPPER(TRIM(A231))&amp;"|"&amp;UPPER(TRIM(C231)))</f>
        <v/>
      </c>
      <c r="K231">
        <f>IF(J231="","",IF(COUNTIF('Purchase Register'!$K$5:$K$504,J231)=0,"In 2B, not in your books","In books"))</f>
        <v/>
      </c>
    </row>
    <row r="232">
      <c r="A232" s="11" t="n"/>
      <c r="B232" s="11" t="n"/>
      <c r="C232" s="11" t="n"/>
      <c r="D232" s="14" t="n"/>
      <c r="E232" s="18" t="n"/>
      <c r="F232" s="18" t="n"/>
      <c r="G232" s="18" t="n"/>
      <c r="H232" s="18" t="n"/>
      <c r="I232" s="23">
        <f>IF(C232="","",F232+G232+H232)</f>
        <v/>
      </c>
      <c r="J232">
        <f>IF(C232="","",UPPER(TRIM(A232))&amp;"|"&amp;UPPER(TRIM(C232)))</f>
        <v/>
      </c>
      <c r="K232">
        <f>IF(J232="","",IF(COUNTIF('Purchase Register'!$K$5:$K$504,J232)=0,"In 2B, not in your books","In books"))</f>
        <v/>
      </c>
    </row>
    <row r="233">
      <c r="A233" s="11" t="n"/>
      <c r="B233" s="11" t="n"/>
      <c r="C233" s="11" t="n"/>
      <c r="D233" s="14" t="n"/>
      <c r="E233" s="18" t="n"/>
      <c r="F233" s="18" t="n"/>
      <c r="G233" s="18" t="n"/>
      <c r="H233" s="18" t="n"/>
      <c r="I233" s="23">
        <f>IF(C233="","",F233+G233+H233)</f>
        <v/>
      </c>
      <c r="J233">
        <f>IF(C233="","",UPPER(TRIM(A233))&amp;"|"&amp;UPPER(TRIM(C233)))</f>
        <v/>
      </c>
      <c r="K233">
        <f>IF(J233="","",IF(COUNTIF('Purchase Register'!$K$5:$K$504,J233)=0,"In 2B, not in your books","In books"))</f>
        <v/>
      </c>
    </row>
    <row r="234">
      <c r="A234" s="11" t="n"/>
      <c r="B234" s="11" t="n"/>
      <c r="C234" s="11" t="n"/>
      <c r="D234" s="14" t="n"/>
      <c r="E234" s="18" t="n"/>
      <c r="F234" s="18" t="n"/>
      <c r="G234" s="18" t="n"/>
      <c r="H234" s="18" t="n"/>
      <c r="I234" s="23">
        <f>IF(C234="","",F234+G234+H234)</f>
        <v/>
      </c>
      <c r="J234">
        <f>IF(C234="","",UPPER(TRIM(A234))&amp;"|"&amp;UPPER(TRIM(C234)))</f>
        <v/>
      </c>
      <c r="K234">
        <f>IF(J234="","",IF(COUNTIF('Purchase Register'!$K$5:$K$504,J234)=0,"In 2B, not in your books","In books"))</f>
        <v/>
      </c>
    </row>
    <row r="235">
      <c r="A235" s="11" t="n"/>
      <c r="B235" s="11" t="n"/>
      <c r="C235" s="11" t="n"/>
      <c r="D235" s="14" t="n"/>
      <c r="E235" s="18" t="n"/>
      <c r="F235" s="18" t="n"/>
      <c r="G235" s="18" t="n"/>
      <c r="H235" s="18" t="n"/>
      <c r="I235" s="23">
        <f>IF(C235="","",F235+G235+H235)</f>
        <v/>
      </c>
      <c r="J235">
        <f>IF(C235="","",UPPER(TRIM(A235))&amp;"|"&amp;UPPER(TRIM(C235)))</f>
        <v/>
      </c>
      <c r="K235">
        <f>IF(J235="","",IF(COUNTIF('Purchase Register'!$K$5:$K$504,J235)=0,"In 2B, not in your books","In books"))</f>
        <v/>
      </c>
    </row>
    <row r="236">
      <c r="A236" s="11" t="n"/>
      <c r="B236" s="11" t="n"/>
      <c r="C236" s="11" t="n"/>
      <c r="D236" s="14" t="n"/>
      <c r="E236" s="18" t="n"/>
      <c r="F236" s="18" t="n"/>
      <c r="G236" s="18" t="n"/>
      <c r="H236" s="18" t="n"/>
      <c r="I236" s="23">
        <f>IF(C236="","",F236+G236+H236)</f>
        <v/>
      </c>
      <c r="J236">
        <f>IF(C236="","",UPPER(TRIM(A236))&amp;"|"&amp;UPPER(TRIM(C236)))</f>
        <v/>
      </c>
      <c r="K236">
        <f>IF(J236="","",IF(COUNTIF('Purchase Register'!$K$5:$K$504,J236)=0,"In 2B, not in your books","In books"))</f>
        <v/>
      </c>
    </row>
    <row r="237">
      <c r="A237" s="11" t="n"/>
      <c r="B237" s="11" t="n"/>
      <c r="C237" s="11" t="n"/>
      <c r="D237" s="14" t="n"/>
      <c r="E237" s="18" t="n"/>
      <c r="F237" s="18" t="n"/>
      <c r="G237" s="18" t="n"/>
      <c r="H237" s="18" t="n"/>
      <c r="I237" s="23">
        <f>IF(C237="","",F237+G237+H237)</f>
        <v/>
      </c>
      <c r="J237">
        <f>IF(C237="","",UPPER(TRIM(A237))&amp;"|"&amp;UPPER(TRIM(C237)))</f>
        <v/>
      </c>
      <c r="K237">
        <f>IF(J237="","",IF(COUNTIF('Purchase Register'!$K$5:$K$504,J237)=0,"In 2B, not in your books","In books"))</f>
        <v/>
      </c>
    </row>
    <row r="238">
      <c r="A238" s="11" t="n"/>
      <c r="B238" s="11" t="n"/>
      <c r="C238" s="11" t="n"/>
      <c r="D238" s="14" t="n"/>
      <c r="E238" s="18" t="n"/>
      <c r="F238" s="18" t="n"/>
      <c r="G238" s="18" t="n"/>
      <c r="H238" s="18" t="n"/>
      <c r="I238" s="23">
        <f>IF(C238="","",F238+G238+H238)</f>
        <v/>
      </c>
      <c r="J238">
        <f>IF(C238="","",UPPER(TRIM(A238))&amp;"|"&amp;UPPER(TRIM(C238)))</f>
        <v/>
      </c>
      <c r="K238">
        <f>IF(J238="","",IF(COUNTIF('Purchase Register'!$K$5:$K$504,J238)=0,"In 2B, not in your books","In books"))</f>
        <v/>
      </c>
    </row>
    <row r="239">
      <c r="A239" s="11" t="n"/>
      <c r="B239" s="11" t="n"/>
      <c r="C239" s="11" t="n"/>
      <c r="D239" s="14" t="n"/>
      <c r="E239" s="18" t="n"/>
      <c r="F239" s="18" t="n"/>
      <c r="G239" s="18" t="n"/>
      <c r="H239" s="18" t="n"/>
      <c r="I239" s="23">
        <f>IF(C239="","",F239+G239+H239)</f>
        <v/>
      </c>
      <c r="J239">
        <f>IF(C239="","",UPPER(TRIM(A239))&amp;"|"&amp;UPPER(TRIM(C239)))</f>
        <v/>
      </c>
      <c r="K239">
        <f>IF(J239="","",IF(COUNTIF('Purchase Register'!$K$5:$K$504,J239)=0,"In 2B, not in your books","In books"))</f>
        <v/>
      </c>
    </row>
    <row r="240">
      <c r="A240" s="11" t="n"/>
      <c r="B240" s="11" t="n"/>
      <c r="C240" s="11" t="n"/>
      <c r="D240" s="14" t="n"/>
      <c r="E240" s="18" t="n"/>
      <c r="F240" s="18" t="n"/>
      <c r="G240" s="18" t="n"/>
      <c r="H240" s="18" t="n"/>
      <c r="I240" s="23">
        <f>IF(C240="","",F240+G240+H240)</f>
        <v/>
      </c>
      <c r="J240">
        <f>IF(C240="","",UPPER(TRIM(A240))&amp;"|"&amp;UPPER(TRIM(C240)))</f>
        <v/>
      </c>
      <c r="K240">
        <f>IF(J240="","",IF(COUNTIF('Purchase Register'!$K$5:$K$504,J240)=0,"In 2B, not in your books","In books"))</f>
        <v/>
      </c>
    </row>
    <row r="241">
      <c r="A241" s="11" t="n"/>
      <c r="B241" s="11" t="n"/>
      <c r="C241" s="11" t="n"/>
      <c r="D241" s="14" t="n"/>
      <c r="E241" s="18" t="n"/>
      <c r="F241" s="18" t="n"/>
      <c r="G241" s="18" t="n"/>
      <c r="H241" s="18" t="n"/>
      <c r="I241" s="23">
        <f>IF(C241="","",F241+G241+H241)</f>
        <v/>
      </c>
      <c r="J241">
        <f>IF(C241="","",UPPER(TRIM(A241))&amp;"|"&amp;UPPER(TRIM(C241)))</f>
        <v/>
      </c>
      <c r="K241">
        <f>IF(J241="","",IF(COUNTIF('Purchase Register'!$K$5:$K$504,J241)=0,"In 2B, not in your books","In books"))</f>
        <v/>
      </c>
    </row>
    <row r="242">
      <c r="A242" s="11" t="n"/>
      <c r="B242" s="11" t="n"/>
      <c r="C242" s="11" t="n"/>
      <c r="D242" s="14" t="n"/>
      <c r="E242" s="18" t="n"/>
      <c r="F242" s="18" t="n"/>
      <c r="G242" s="18" t="n"/>
      <c r="H242" s="18" t="n"/>
      <c r="I242" s="23">
        <f>IF(C242="","",F242+G242+H242)</f>
        <v/>
      </c>
      <c r="J242">
        <f>IF(C242="","",UPPER(TRIM(A242))&amp;"|"&amp;UPPER(TRIM(C242)))</f>
        <v/>
      </c>
      <c r="K242">
        <f>IF(J242="","",IF(COUNTIF('Purchase Register'!$K$5:$K$504,J242)=0,"In 2B, not in your books","In books"))</f>
        <v/>
      </c>
    </row>
    <row r="243">
      <c r="A243" s="11" t="n"/>
      <c r="B243" s="11" t="n"/>
      <c r="C243" s="11" t="n"/>
      <c r="D243" s="14" t="n"/>
      <c r="E243" s="18" t="n"/>
      <c r="F243" s="18" t="n"/>
      <c r="G243" s="18" t="n"/>
      <c r="H243" s="18" t="n"/>
      <c r="I243" s="23">
        <f>IF(C243="","",F243+G243+H243)</f>
        <v/>
      </c>
      <c r="J243">
        <f>IF(C243="","",UPPER(TRIM(A243))&amp;"|"&amp;UPPER(TRIM(C243)))</f>
        <v/>
      </c>
      <c r="K243">
        <f>IF(J243="","",IF(COUNTIF('Purchase Register'!$K$5:$K$504,J243)=0,"In 2B, not in your books","In books"))</f>
        <v/>
      </c>
    </row>
    <row r="244">
      <c r="A244" s="11" t="n"/>
      <c r="B244" s="11" t="n"/>
      <c r="C244" s="11" t="n"/>
      <c r="D244" s="14" t="n"/>
      <c r="E244" s="18" t="n"/>
      <c r="F244" s="18" t="n"/>
      <c r="G244" s="18" t="n"/>
      <c r="H244" s="18" t="n"/>
      <c r="I244" s="23">
        <f>IF(C244="","",F244+G244+H244)</f>
        <v/>
      </c>
      <c r="J244">
        <f>IF(C244="","",UPPER(TRIM(A244))&amp;"|"&amp;UPPER(TRIM(C244)))</f>
        <v/>
      </c>
      <c r="K244">
        <f>IF(J244="","",IF(COUNTIF('Purchase Register'!$K$5:$K$504,J244)=0,"In 2B, not in your books","In books"))</f>
        <v/>
      </c>
    </row>
    <row r="245">
      <c r="A245" s="11" t="n"/>
      <c r="B245" s="11" t="n"/>
      <c r="C245" s="11" t="n"/>
      <c r="D245" s="14" t="n"/>
      <c r="E245" s="18" t="n"/>
      <c r="F245" s="18" t="n"/>
      <c r="G245" s="18" t="n"/>
      <c r="H245" s="18" t="n"/>
      <c r="I245" s="23">
        <f>IF(C245="","",F245+G245+H245)</f>
        <v/>
      </c>
      <c r="J245">
        <f>IF(C245="","",UPPER(TRIM(A245))&amp;"|"&amp;UPPER(TRIM(C245)))</f>
        <v/>
      </c>
      <c r="K245">
        <f>IF(J245="","",IF(COUNTIF('Purchase Register'!$K$5:$K$504,J245)=0,"In 2B, not in your books","In books"))</f>
        <v/>
      </c>
    </row>
    <row r="246">
      <c r="A246" s="11" t="n"/>
      <c r="B246" s="11" t="n"/>
      <c r="C246" s="11" t="n"/>
      <c r="D246" s="14" t="n"/>
      <c r="E246" s="18" t="n"/>
      <c r="F246" s="18" t="n"/>
      <c r="G246" s="18" t="n"/>
      <c r="H246" s="18" t="n"/>
      <c r="I246" s="23">
        <f>IF(C246="","",F246+G246+H246)</f>
        <v/>
      </c>
      <c r="J246">
        <f>IF(C246="","",UPPER(TRIM(A246))&amp;"|"&amp;UPPER(TRIM(C246)))</f>
        <v/>
      </c>
      <c r="K246">
        <f>IF(J246="","",IF(COUNTIF('Purchase Register'!$K$5:$K$504,J246)=0,"In 2B, not in your books","In books"))</f>
        <v/>
      </c>
    </row>
    <row r="247">
      <c r="A247" s="11" t="n"/>
      <c r="B247" s="11" t="n"/>
      <c r="C247" s="11" t="n"/>
      <c r="D247" s="14" t="n"/>
      <c r="E247" s="18" t="n"/>
      <c r="F247" s="18" t="n"/>
      <c r="G247" s="18" t="n"/>
      <c r="H247" s="18" t="n"/>
      <c r="I247" s="23">
        <f>IF(C247="","",F247+G247+H247)</f>
        <v/>
      </c>
      <c r="J247">
        <f>IF(C247="","",UPPER(TRIM(A247))&amp;"|"&amp;UPPER(TRIM(C247)))</f>
        <v/>
      </c>
      <c r="K247">
        <f>IF(J247="","",IF(COUNTIF('Purchase Register'!$K$5:$K$504,J247)=0,"In 2B, not in your books","In books"))</f>
        <v/>
      </c>
    </row>
    <row r="248">
      <c r="A248" s="11" t="n"/>
      <c r="B248" s="11" t="n"/>
      <c r="C248" s="11" t="n"/>
      <c r="D248" s="14" t="n"/>
      <c r="E248" s="18" t="n"/>
      <c r="F248" s="18" t="n"/>
      <c r="G248" s="18" t="n"/>
      <c r="H248" s="18" t="n"/>
      <c r="I248" s="23">
        <f>IF(C248="","",F248+G248+H248)</f>
        <v/>
      </c>
      <c r="J248">
        <f>IF(C248="","",UPPER(TRIM(A248))&amp;"|"&amp;UPPER(TRIM(C248)))</f>
        <v/>
      </c>
      <c r="K248">
        <f>IF(J248="","",IF(COUNTIF('Purchase Register'!$K$5:$K$504,J248)=0,"In 2B, not in your books","In books"))</f>
        <v/>
      </c>
    </row>
    <row r="249">
      <c r="A249" s="11" t="n"/>
      <c r="B249" s="11" t="n"/>
      <c r="C249" s="11" t="n"/>
      <c r="D249" s="14" t="n"/>
      <c r="E249" s="18" t="n"/>
      <c r="F249" s="18" t="n"/>
      <c r="G249" s="18" t="n"/>
      <c r="H249" s="18" t="n"/>
      <c r="I249" s="23">
        <f>IF(C249="","",F249+G249+H249)</f>
        <v/>
      </c>
      <c r="J249">
        <f>IF(C249="","",UPPER(TRIM(A249))&amp;"|"&amp;UPPER(TRIM(C249)))</f>
        <v/>
      </c>
      <c r="K249">
        <f>IF(J249="","",IF(COUNTIF('Purchase Register'!$K$5:$K$504,J249)=0,"In 2B, not in your books","In books"))</f>
        <v/>
      </c>
    </row>
    <row r="250">
      <c r="A250" s="11" t="n"/>
      <c r="B250" s="11" t="n"/>
      <c r="C250" s="11" t="n"/>
      <c r="D250" s="14" t="n"/>
      <c r="E250" s="18" t="n"/>
      <c r="F250" s="18" t="n"/>
      <c r="G250" s="18" t="n"/>
      <c r="H250" s="18" t="n"/>
      <c r="I250" s="23">
        <f>IF(C250="","",F250+G250+H250)</f>
        <v/>
      </c>
      <c r="J250">
        <f>IF(C250="","",UPPER(TRIM(A250))&amp;"|"&amp;UPPER(TRIM(C250)))</f>
        <v/>
      </c>
      <c r="K250">
        <f>IF(J250="","",IF(COUNTIF('Purchase Register'!$K$5:$K$504,J250)=0,"In 2B, not in your books","In books"))</f>
        <v/>
      </c>
    </row>
    <row r="251">
      <c r="A251" s="11" t="n"/>
      <c r="B251" s="11" t="n"/>
      <c r="C251" s="11" t="n"/>
      <c r="D251" s="14" t="n"/>
      <c r="E251" s="18" t="n"/>
      <c r="F251" s="18" t="n"/>
      <c r="G251" s="18" t="n"/>
      <c r="H251" s="18" t="n"/>
      <c r="I251" s="23">
        <f>IF(C251="","",F251+G251+H251)</f>
        <v/>
      </c>
      <c r="J251">
        <f>IF(C251="","",UPPER(TRIM(A251))&amp;"|"&amp;UPPER(TRIM(C251)))</f>
        <v/>
      </c>
      <c r="K251">
        <f>IF(J251="","",IF(COUNTIF('Purchase Register'!$K$5:$K$504,J251)=0,"In 2B, not in your books","In books"))</f>
        <v/>
      </c>
    </row>
    <row r="252">
      <c r="A252" s="11" t="n"/>
      <c r="B252" s="11" t="n"/>
      <c r="C252" s="11" t="n"/>
      <c r="D252" s="14" t="n"/>
      <c r="E252" s="18" t="n"/>
      <c r="F252" s="18" t="n"/>
      <c r="G252" s="18" t="n"/>
      <c r="H252" s="18" t="n"/>
      <c r="I252" s="23">
        <f>IF(C252="","",F252+G252+H252)</f>
        <v/>
      </c>
      <c r="J252">
        <f>IF(C252="","",UPPER(TRIM(A252))&amp;"|"&amp;UPPER(TRIM(C252)))</f>
        <v/>
      </c>
      <c r="K252">
        <f>IF(J252="","",IF(COUNTIF('Purchase Register'!$K$5:$K$504,J252)=0,"In 2B, not in your books","In books"))</f>
        <v/>
      </c>
    </row>
    <row r="253">
      <c r="A253" s="11" t="n"/>
      <c r="B253" s="11" t="n"/>
      <c r="C253" s="11" t="n"/>
      <c r="D253" s="14" t="n"/>
      <c r="E253" s="18" t="n"/>
      <c r="F253" s="18" t="n"/>
      <c r="G253" s="18" t="n"/>
      <c r="H253" s="18" t="n"/>
      <c r="I253" s="23">
        <f>IF(C253="","",F253+G253+H253)</f>
        <v/>
      </c>
      <c r="J253">
        <f>IF(C253="","",UPPER(TRIM(A253))&amp;"|"&amp;UPPER(TRIM(C253)))</f>
        <v/>
      </c>
      <c r="K253">
        <f>IF(J253="","",IF(COUNTIF('Purchase Register'!$K$5:$K$504,J253)=0,"In 2B, not in your books","In books"))</f>
        <v/>
      </c>
    </row>
    <row r="254">
      <c r="A254" s="11" t="n"/>
      <c r="B254" s="11" t="n"/>
      <c r="C254" s="11" t="n"/>
      <c r="D254" s="14" t="n"/>
      <c r="E254" s="18" t="n"/>
      <c r="F254" s="18" t="n"/>
      <c r="G254" s="18" t="n"/>
      <c r="H254" s="18" t="n"/>
      <c r="I254" s="23">
        <f>IF(C254="","",F254+G254+H254)</f>
        <v/>
      </c>
      <c r="J254">
        <f>IF(C254="","",UPPER(TRIM(A254))&amp;"|"&amp;UPPER(TRIM(C254)))</f>
        <v/>
      </c>
      <c r="K254">
        <f>IF(J254="","",IF(COUNTIF('Purchase Register'!$K$5:$K$504,J254)=0,"In 2B, not in your books","In books"))</f>
        <v/>
      </c>
    </row>
    <row r="255">
      <c r="A255" s="11" t="n"/>
      <c r="B255" s="11" t="n"/>
      <c r="C255" s="11" t="n"/>
      <c r="D255" s="14" t="n"/>
      <c r="E255" s="18" t="n"/>
      <c r="F255" s="18" t="n"/>
      <c r="G255" s="18" t="n"/>
      <c r="H255" s="18" t="n"/>
      <c r="I255" s="23">
        <f>IF(C255="","",F255+G255+H255)</f>
        <v/>
      </c>
      <c r="J255">
        <f>IF(C255="","",UPPER(TRIM(A255))&amp;"|"&amp;UPPER(TRIM(C255)))</f>
        <v/>
      </c>
      <c r="K255">
        <f>IF(J255="","",IF(COUNTIF('Purchase Register'!$K$5:$K$504,J255)=0,"In 2B, not in your books","In books"))</f>
        <v/>
      </c>
    </row>
    <row r="256">
      <c r="A256" s="11" t="n"/>
      <c r="B256" s="11" t="n"/>
      <c r="C256" s="11" t="n"/>
      <c r="D256" s="14" t="n"/>
      <c r="E256" s="18" t="n"/>
      <c r="F256" s="18" t="n"/>
      <c r="G256" s="18" t="n"/>
      <c r="H256" s="18" t="n"/>
      <c r="I256" s="23">
        <f>IF(C256="","",F256+G256+H256)</f>
        <v/>
      </c>
      <c r="J256">
        <f>IF(C256="","",UPPER(TRIM(A256))&amp;"|"&amp;UPPER(TRIM(C256)))</f>
        <v/>
      </c>
      <c r="K256">
        <f>IF(J256="","",IF(COUNTIF('Purchase Register'!$K$5:$K$504,J256)=0,"In 2B, not in your books","In books"))</f>
        <v/>
      </c>
    </row>
    <row r="257">
      <c r="A257" s="11" t="n"/>
      <c r="B257" s="11" t="n"/>
      <c r="C257" s="11" t="n"/>
      <c r="D257" s="14" t="n"/>
      <c r="E257" s="18" t="n"/>
      <c r="F257" s="18" t="n"/>
      <c r="G257" s="18" t="n"/>
      <c r="H257" s="18" t="n"/>
      <c r="I257" s="23">
        <f>IF(C257="","",F257+G257+H257)</f>
        <v/>
      </c>
      <c r="J257">
        <f>IF(C257="","",UPPER(TRIM(A257))&amp;"|"&amp;UPPER(TRIM(C257)))</f>
        <v/>
      </c>
      <c r="K257">
        <f>IF(J257="","",IF(COUNTIF('Purchase Register'!$K$5:$K$504,J257)=0,"In 2B, not in your books","In books"))</f>
        <v/>
      </c>
    </row>
    <row r="258">
      <c r="A258" s="11" t="n"/>
      <c r="B258" s="11" t="n"/>
      <c r="C258" s="11" t="n"/>
      <c r="D258" s="14" t="n"/>
      <c r="E258" s="18" t="n"/>
      <c r="F258" s="18" t="n"/>
      <c r="G258" s="18" t="n"/>
      <c r="H258" s="18" t="n"/>
      <c r="I258" s="23">
        <f>IF(C258="","",F258+G258+H258)</f>
        <v/>
      </c>
      <c r="J258">
        <f>IF(C258="","",UPPER(TRIM(A258))&amp;"|"&amp;UPPER(TRIM(C258)))</f>
        <v/>
      </c>
      <c r="K258">
        <f>IF(J258="","",IF(COUNTIF('Purchase Register'!$K$5:$K$504,J258)=0,"In 2B, not in your books","In books"))</f>
        <v/>
      </c>
    </row>
    <row r="259">
      <c r="A259" s="11" t="n"/>
      <c r="B259" s="11" t="n"/>
      <c r="C259" s="11" t="n"/>
      <c r="D259" s="14" t="n"/>
      <c r="E259" s="18" t="n"/>
      <c r="F259" s="18" t="n"/>
      <c r="G259" s="18" t="n"/>
      <c r="H259" s="18" t="n"/>
      <c r="I259" s="23">
        <f>IF(C259="","",F259+G259+H259)</f>
        <v/>
      </c>
      <c r="J259">
        <f>IF(C259="","",UPPER(TRIM(A259))&amp;"|"&amp;UPPER(TRIM(C259)))</f>
        <v/>
      </c>
      <c r="K259">
        <f>IF(J259="","",IF(COUNTIF('Purchase Register'!$K$5:$K$504,J259)=0,"In 2B, not in your books","In books"))</f>
        <v/>
      </c>
    </row>
    <row r="260">
      <c r="A260" s="11" t="n"/>
      <c r="B260" s="11" t="n"/>
      <c r="C260" s="11" t="n"/>
      <c r="D260" s="14" t="n"/>
      <c r="E260" s="18" t="n"/>
      <c r="F260" s="18" t="n"/>
      <c r="G260" s="18" t="n"/>
      <c r="H260" s="18" t="n"/>
      <c r="I260" s="23">
        <f>IF(C260="","",F260+G260+H260)</f>
        <v/>
      </c>
      <c r="J260">
        <f>IF(C260="","",UPPER(TRIM(A260))&amp;"|"&amp;UPPER(TRIM(C260)))</f>
        <v/>
      </c>
      <c r="K260">
        <f>IF(J260="","",IF(COUNTIF('Purchase Register'!$K$5:$K$504,J260)=0,"In 2B, not in your books","In books"))</f>
        <v/>
      </c>
    </row>
    <row r="261">
      <c r="A261" s="11" t="n"/>
      <c r="B261" s="11" t="n"/>
      <c r="C261" s="11" t="n"/>
      <c r="D261" s="14" t="n"/>
      <c r="E261" s="18" t="n"/>
      <c r="F261" s="18" t="n"/>
      <c r="G261" s="18" t="n"/>
      <c r="H261" s="18" t="n"/>
      <c r="I261" s="23">
        <f>IF(C261="","",F261+G261+H261)</f>
        <v/>
      </c>
      <c r="J261">
        <f>IF(C261="","",UPPER(TRIM(A261))&amp;"|"&amp;UPPER(TRIM(C261)))</f>
        <v/>
      </c>
      <c r="K261">
        <f>IF(J261="","",IF(COUNTIF('Purchase Register'!$K$5:$K$504,J261)=0,"In 2B, not in your books","In books"))</f>
        <v/>
      </c>
    </row>
    <row r="262">
      <c r="A262" s="11" t="n"/>
      <c r="B262" s="11" t="n"/>
      <c r="C262" s="11" t="n"/>
      <c r="D262" s="14" t="n"/>
      <c r="E262" s="18" t="n"/>
      <c r="F262" s="18" t="n"/>
      <c r="G262" s="18" t="n"/>
      <c r="H262" s="18" t="n"/>
      <c r="I262" s="23">
        <f>IF(C262="","",F262+G262+H262)</f>
        <v/>
      </c>
      <c r="J262">
        <f>IF(C262="","",UPPER(TRIM(A262))&amp;"|"&amp;UPPER(TRIM(C262)))</f>
        <v/>
      </c>
      <c r="K262">
        <f>IF(J262="","",IF(COUNTIF('Purchase Register'!$K$5:$K$504,J262)=0,"In 2B, not in your books","In books"))</f>
        <v/>
      </c>
    </row>
    <row r="263">
      <c r="A263" s="11" t="n"/>
      <c r="B263" s="11" t="n"/>
      <c r="C263" s="11" t="n"/>
      <c r="D263" s="14" t="n"/>
      <c r="E263" s="18" t="n"/>
      <c r="F263" s="18" t="n"/>
      <c r="G263" s="18" t="n"/>
      <c r="H263" s="18" t="n"/>
      <c r="I263" s="23">
        <f>IF(C263="","",F263+G263+H263)</f>
        <v/>
      </c>
      <c r="J263">
        <f>IF(C263="","",UPPER(TRIM(A263))&amp;"|"&amp;UPPER(TRIM(C263)))</f>
        <v/>
      </c>
      <c r="K263">
        <f>IF(J263="","",IF(COUNTIF('Purchase Register'!$K$5:$K$504,J263)=0,"In 2B, not in your books","In books"))</f>
        <v/>
      </c>
    </row>
    <row r="264">
      <c r="A264" s="11" t="n"/>
      <c r="B264" s="11" t="n"/>
      <c r="C264" s="11" t="n"/>
      <c r="D264" s="14" t="n"/>
      <c r="E264" s="18" t="n"/>
      <c r="F264" s="18" t="n"/>
      <c r="G264" s="18" t="n"/>
      <c r="H264" s="18" t="n"/>
      <c r="I264" s="23">
        <f>IF(C264="","",F264+G264+H264)</f>
        <v/>
      </c>
      <c r="J264">
        <f>IF(C264="","",UPPER(TRIM(A264))&amp;"|"&amp;UPPER(TRIM(C264)))</f>
        <v/>
      </c>
      <c r="K264">
        <f>IF(J264="","",IF(COUNTIF('Purchase Register'!$K$5:$K$504,J264)=0,"In 2B, not in your books","In books"))</f>
        <v/>
      </c>
    </row>
    <row r="265">
      <c r="A265" s="11" t="n"/>
      <c r="B265" s="11" t="n"/>
      <c r="C265" s="11" t="n"/>
      <c r="D265" s="14" t="n"/>
      <c r="E265" s="18" t="n"/>
      <c r="F265" s="18" t="n"/>
      <c r="G265" s="18" t="n"/>
      <c r="H265" s="18" t="n"/>
      <c r="I265" s="23">
        <f>IF(C265="","",F265+G265+H265)</f>
        <v/>
      </c>
      <c r="J265">
        <f>IF(C265="","",UPPER(TRIM(A265))&amp;"|"&amp;UPPER(TRIM(C265)))</f>
        <v/>
      </c>
      <c r="K265">
        <f>IF(J265="","",IF(COUNTIF('Purchase Register'!$K$5:$K$504,J265)=0,"In 2B, not in your books","In books"))</f>
        <v/>
      </c>
    </row>
    <row r="266">
      <c r="A266" s="11" t="n"/>
      <c r="B266" s="11" t="n"/>
      <c r="C266" s="11" t="n"/>
      <c r="D266" s="14" t="n"/>
      <c r="E266" s="18" t="n"/>
      <c r="F266" s="18" t="n"/>
      <c r="G266" s="18" t="n"/>
      <c r="H266" s="18" t="n"/>
      <c r="I266" s="23">
        <f>IF(C266="","",F266+G266+H266)</f>
        <v/>
      </c>
      <c r="J266">
        <f>IF(C266="","",UPPER(TRIM(A266))&amp;"|"&amp;UPPER(TRIM(C266)))</f>
        <v/>
      </c>
      <c r="K266">
        <f>IF(J266="","",IF(COUNTIF('Purchase Register'!$K$5:$K$504,J266)=0,"In 2B, not in your books","In books"))</f>
        <v/>
      </c>
    </row>
    <row r="267">
      <c r="A267" s="11" t="n"/>
      <c r="B267" s="11" t="n"/>
      <c r="C267" s="11" t="n"/>
      <c r="D267" s="14" t="n"/>
      <c r="E267" s="18" t="n"/>
      <c r="F267" s="18" t="n"/>
      <c r="G267" s="18" t="n"/>
      <c r="H267" s="18" t="n"/>
      <c r="I267" s="23">
        <f>IF(C267="","",F267+G267+H267)</f>
        <v/>
      </c>
      <c r="J267">
        <f>IF(C267="","",UPPER(TRIM(A267))&amp;"|"&amp;UPPER(TRIM(C267)))</f>
        <v/>
      </c>
      <c r="K267">
        <f>IF(J267="","",IF(COUNTIF('Purchase Register'!$K$5:$K$504,J267)=0,"In 2B, not in your books","In books"))</f>
        <v/>
      </c>
    </row>
    <row r="268">
      <c r="A268" s="11" t="n"/>
      <c r="B268" s="11" t="n"/>
      <c r="C268" s="11" t="n"/>
      <c r="D268" s="14" t="n"/>
      <c r="E268" s="18" t="n"/>
      <c r="F268" s="18" t="n"/>
      <c r="G268" s="18" t="n"/>
      <c r="H268" s="18" t="n"/>
      <c r="I268" s="23">
        <f>IF(C268="","",F268+G268+H268)</f>
        <v/>
      </c>
      <c r="J268">
        <f>IF(C268="","",UPPER(TRIM(A268))&amp;"|"&amp;UPPER(TRIM(C268)))</f>
        <v/>
      </c>
      <c r="K268">
        <f>IF(J268="","",IF(COUNTIF('Purchase Register'!$K$5:$K$504,J268)=0,"In 2B, not in your books","In books"))</f>
        <v/>
      </c>
    </row>
    <row r="269">
      <c r="A269" s="11" t="n"/>
      <c r="B269" s="11" t="n"/>
      <c r="C269" s="11" t="n"/>
      <c r="D269" s="14" t="n"/>
      <c r="E269" s="18" t="n"/>
      <c r="F269" s="18" t="n"/>
      <c r="G269" s="18" t="n"/>
      <c r="H269" s="18" t="n"/>
      <c r="I269" s="23">
        <f>IF(C269="","",F269+G269+H269)</f>
        <v/>
      </c>
      <c r="J269">
        <f>IF(C269="","",UPPER(TRIM(A269))&amp;"|"&amp;UPPER(TRIM(C269)))</f>
        <v/>
      </c>
      <c r="K269">
        <f>IF(J269="","",IF(COUNTIF('Purchase Register'!$K$5:$K$504,J269)=0,"In 2B, not in your books","In books"))</f>
        <v/>
      </c>
    </row>
    <row r="270">
      <c r="A270" s="11" t="n"/>
      <c r="B270" s="11" t="n"/>
      <c r="C270" s="11" t="n"/>
      <c r="D270" s="14" t="n"/>
      <c r="E270" s="18" t="n"/>
      <c r="F270" s="18" t="n"/>
      <c r="G270" s="18" t="n"/>
      <c r="H270" s="18" t="n"/>
      <c r="I270" s="23">
        <f>IF(C270="","",F270+G270+H270)</f>
        <v/>
      </c>
      <c r="J270">
        <f>IF(C270="","",UPPER(TRIM(A270))&amp;"|"&amp;UPPER(TRIM(C270)))</f>
        <v/>
      </c>
      <c r="K270">
        <f>IF(J270="","",IF(COUNTIF('Purchase Register'!$K$5:$K$504,J270)=0,"In 2B, not in your books","In books"))</f>
        <v/>
      </c>
    </row>
    <row r="271">
      <c r="A271" s="11" t="n"/>
      <c r="B271" s="11" t="n"/>
      <c r="C271" s="11" t="n"/>
      <c r="D271" s="14" t="n"/>
      <c r="E271" s="18" t="n"/>
      <c r="F271" s="18" t="n"/>
      <c r="G271" s="18" t="n"/>
      <c r="H271" s="18" t="n"/>
      <c r="I271" s="23">
        <f>IF(C271="","",F271+G271+H271)</f>
        <v/>
      </c>
      <c r="J271">
        <f>IF(C271="","",UPPER(TRIM(A271))&amp;"|"&amp;UPPER(TRIM(C271)))</f>
        <v/>
      </c>
      <c r="K271">
        <f>IF(J271="","",IF(COUNTIF('Purchase Register'!$K$5:$K$504,J271)=0,"In 2B, not in your books","In books"))</f>
        <v/>
      </c>
    </row>
    <row r="272">
      <c r="A272" s="11" t="n"/>
      <c r="B272" s="11" t="n"/>
      <c r="C272" s="11" t="n"/>
      <c r="D272" s="14" t="n"/>
      <c r="E272" s="18" t="n"/>
      <c r="F272" s="18" t="n"/>
      <c r="G272" s="18" t="n"/>
      <c r="H272" s="18" t="n"/>
      <c r="I272" s="23">
        <f>IF(C272="","",F272+G272+H272)</f>
        <v/>
      </c>
      <c r="J272">
        <f>IF(C272="","",UPPER(TRIM(A272))&amp;"|"&amp;UPPER(TRIM(C272)))</f>
        <v/>
      </c>
      <c r="K272">
        <f>IF(J272="","",IF(COUNTIF('Purchase Register'!$K$5:$K$504,J272)=0,"In 2B, not in your books","In books"))</f>
        <v/>
      </c>
    </row>
    <row r="273">
      <c r="A273" s="11" t="n"/>
      <c r="B273" s="11" t="n"/>
      <c r="C273" s="11" t="n"/>
      <c r="D273" s="14" t="n"/>
      <c r="E273" s="18" t="n"/>
      <c r="F273" s="18" t="n"/>
      <c r="G273" s="18" t="n"/>
      <c r="H273" s="18" t="n"/>
      <c r="I273" s="23">
        <f>IF(C273="","",F273+G273+H273)</f>
        <v/>
      </c>
      <c r="J273">
        <f>IF(C273="","",UPPER(TRIM(A273))&amp;"|"&amp;UPPER(TRIM(C273)))</f>
        <v/>
      </c>
      <c r="K273">
        <f>IF(J273="","",IF(COUNTIF('Purchase Register'!$K$5:$K$504,J273)=0,"In 2B, not in your books","In books"))</f>
        <v/>
      </c>
    </row>
    <row r="274">
      <c r="A274" s="11" t="n"/>
      <c r="B274" s="11" t="n"/>
      <c r="C274" s="11" t="n"/>
      <c r="D274" s="14" t="n"/>
      <c r="E274" s="18" t="n"/>
      <c r="F274" s="18" t="n"/>
      <c r="G274" s="18" t="n"/>
      <c r="H274" s="18" t="n"/>
      <c r="I274" s="23">
        <f>IF(C274="","",F274+G274+H274)</f>
        <v/>
      </c>
      <c r="J274">
        <f>IF(C274="","",UPPER(TRIM(A274))&amp;"|"&amp;UPPER(TRIM(C274)))</f>
        <v/>
      </c>
      <c r="K274">
        <f>IF(J274="","",IF(COUNTIF('Purchase Register'!$K$5:$K$504,J274)=0,"In 2B, not in your books","In books"))</f>
        <v/>
      </c>
    </row>
    <row r="275">
      <c r="A275" s="11" t="n"/>
      <c r="B275" s="11" t="n"/>
      <c r="C275" s="11" t="n"/>
      <c r="D275" s="14" t="n"/>
      <c r="E275" s="18" t="n"/>
      <c r="F275" s="18" t="n"/>
      <c r="G275" s="18" t="n"/>
      <c r="H275" s="18" t="n"/>
      <c r="I275" s="23">
        <f>IF(C275="","",F275+G275+H275)</f>
        <v/>
      </c>
      <c r="J275">
        <f>IF(C275="","",UPPER(TRIM(A275))&amp;"|"&amp;UPPER(TRIM(C275)))</f>
        <v/>
      </c>
      <c r="K275">
        <f>IF(J275="","",IF(COUNTIF('Purchase Register'!$K$5:$K$504,J275)=0,"In 2B, not in your books","In books"))</f>
        <v/>
      </c>
    </row>
    <row r="276">
      <c r="A276" s="11" t="n"/>
      <c r="B276" s="11" t="n"/>
      <c r="C276" s="11" t="n"/>
      <c r="D276" s="14" t="n"/>
      <c r="E276" s="18" t="n"/>
      <c r="F276" s="18" t="n"/>
      <c r="G276" s="18" t="n"/>
      <c r="H276" s="18" t="n"/>
      <c r="I276" s="23">
        <f>IF(C276="","",F276+G276+H276)</f>
        <v/>
      </c>
      <c r="J276">
        <f>IF(C276="","",UPPER(TRIM(A276))&amp;"|"&amp;UPPER(TRIM(C276)))</f>
        <v/>
      </c>
      <c r="K276">
        <f>IF(J276="","",IF(COUNTIF('Purchase Register'!$K$5:$K$504,J276)=0,"In 2B, not in your books","In books"))</f>
        <v/>
      </c>
    </row>
    <row r="277">
      <c r="A277" s="11" t="n"/>
      <c r="B277" s="11" t="n"/>
      <c r="C277" s="11" t="n"/>
      <c r="D277" s="14" t="n"/>
      <c r="E277" s="18" t="n"/>
      <c r="F277" s="18" t="n"/>
      <c r="G277" s="18" t="n"/>
      <c r="H277" s="18" t="n"/>
      <c r="I277" s="23">
        <f>IF(C277="","",F277+G277+H277)</f>
        <v/>
      </c>
      <c r="J277">
        <f>IF(C277="","",UPPER(TRIM(A277))&amp;"|"&amp;UPPER(TRIM(C277)))</f>
        <v/>
      </c>
      <c r="K277">
        <f>IF(J277="","",IF(COUNTIF('Purchase Register'!$K$5:$K$504,J277)=0,"In 2B, not in your books","In books"))</f>
        <v/>
      </c>
    </row>
    <row r="278">
      <c r="A278" s="11" t="n"/>
      <c r="B278" s="11" t="n"/>
      <c r="C278" s="11" t="n"/>
      <c r="D278" s="14" t="n"/>
      <c r="E278" s="18" t="n"/>
      <c r="F278" s="18" t="n"/>
      <c r="G278" s="18" t="n"/>
      <c r="H278" s="18" t="n"/>
      <c r="I278" s="23">
        <f>IF(C278="","",F278+G278+H278)</f>
        <v/>
      </c>
      <c r="J278">
        <f>IF(C278="","",UPPER(TRIM(A278))&amp;"|"&amp;UPPER(TRIM(C278)))</f>
        <v/>
      </c>
      <c r="K278">
        <f>IF(J278="","",IF(COUNTIF('Purchase Register'!$K$5:$K$504,J278)=0,"In 2B, not in your books","In books"))</f>
        <v/>
      </c>
    </row>
    <row r="279">
      <c r="A279" s="11" t="n"/>
      <c r="B279" s="11" t="n"/>
      <c r="C279" s="11" t="n"/>
      <c r="D279" s="14" t="n"/>
      <c r="E279" s="18" t="n"/>
      <c r="F279" s="18" t="n"/>
      <c r="G279" s="18" t="n"/>
      <c r="H279" s="18" t="n"/>
      <c r="I279" s="23">
        <f>IF(C279="","",F279+G279+H279)</f>
        <v/>
      </c>
      <c r="J279">
        <f>IF(C279="","",UPPER(TRIM(A279))&amp;"|"&amp;UPPER(TRIM(C279)))</f>
        <v/>
      </c>
      <c r="K279">
        <f>IF(J279="","",IF(COUNTIF('Purchase Register'!$K$5:$K$504,J279)=0,"In 2B, not in your books","In books"))</f>
        <v/>
      </c>
    </row>
    <row r="280">
      <c r="A280" s="11" t="n"/>
      <c r="B280" s="11" t="n"/>
      <c r="C280" s="11" t="n"/>
      <c r="D280" s="14" t="n"/>
      <c r="E280" s="18" t="n"/>
      <c r="F280" s="18" t="n"/>
      <c r="G280" s="18" t="n"/>
      <c r="H280" s="18" t="n"/>
      <c r="I280" s="23">
        <f>IF(C280="","",F280+G280+H280)</f>
        <v/>
      </c>
      <c r="J280">
        <f>IF(C280="","",UPPER(TRIM(A280))&amp;"|"&amp;UPPER(TRIM(C280)))</f>
        <v/>
      </c>
      <c r="K280">
        <f>IF(J280="","",IF(COUNTIF('Purchase Register'!$K$5:$K$504,J280)=0,"In 2B, not in your books","In books"))</f>
        <v/>
      </c>
    </row>
    <row r="281">
      <c r="A281" s="11" t="n"/>
      <c r="B281" s="11" t="n"/>
      <c r="C281" s="11" t="n"/>
      <c r="D281" s="14" t="n"/>
      <c r="E281" s="18" t="n"/>
      <c r="F281" s="18" t="n"/>
      <c r="G281" s="18" t="n"/>
      <c r="H281" s="18" t="n"/>
      <c r="I281" s="23">
        <f>IF(C281="","",F281+G281+H281)</f>
        <v/>
      </c>
      <c r="J281">
        <f>IF(C281="","",UPPER(TRIM(A281))&amp;"|"&amp;UPPER(TRIM(C281)))</f>
        <v/>
      </c>
      <c r="K281">
        <f>IF(J281="","",IF(COUNTIF('Purchase Register'!$K$5:$K$504,J281)=0,"In 2B, not in your books","In books"))</f>
        <v/>
      </c>
    </row>
    <row r="282">
      <c r="A282" s="11" t="n"/>
      <c r="B282" s="11" t="n"/>
      <c r="C282" s="11" t="n"/>
      <c r="D282" s="14" t="n"/>
      <c r="E282" s="18" t="n"/>
      <c r="F282" s="18" t="n"/>
      <c r="G282" s="18" t="n"/>
      <c r="H282" s="18" t="n"/>
      <c r="I282" s="23">
        <f>IF(C282="","",F282+G282+H282)</f>
        <v/>
      </c>
      <c r="J282">
        <f>IF(C282="","",UPPER(TRIM(A282))&amp;"|"&amp;UPPER(TRIM(C282)))</f>
        <v/>
      </c>
      <c r="K282">
        <f>IF(J282="","",IF(COUNTIF('Purchase Register'!$K$5:$K$504,J282)=0,"In 2B, not in your books","In books"))</f>
        <v/>
      </c>
    </row>
    <row r="283">
      <c r="A283" s="11" t="n"/>
      <c r="B283" s="11" t="n"/>
      <c r="C283" s="11" t="n"/>
      <c r="D283" s="14" t="n"/>
      <c r="E283" s="18" t="n"/>
      <c r="F283" s="18" t="n"/>
      <c r="G283" s="18" t="n"/>
      <c r="H283" s="18" t="n"/>
      <c r="I283" s="23">
        <f>IF(C283="","",F283+G283+H283)</f>
        <v/>
      </c>
      <c r="J283">
        <f>IF(C283="","",UPPER(TRIM(A283))&amp;"|"&amp;UPPER(TRIM(C283)))</f>
        <v/>
      </c>
      <c r="K283">
        <f>IF(J283="","",IF(COUNTIF('Purchase Register'!$K$5:$K$504,J283)=0,"In 2B, not in your books","In books"))</f>
        <v/>
      </c>
    </row>
    <row r="284">
      <c r="A284" s="11" t="n"/>
      <c r="B284" s="11" t="n"/>
      <c r="C284" s="11" t="n"/>
      <c r="D284" s="14" t="n"/>
      <c r="E284" s="18" t="n"/>
      <c r="F284" s="18" t="n"/>
      <c r="G284" s="18" t="n"/>
      <c r="H284" s="18" t="n"/>
      <c r="I284" s="23">
        <f>IF(C284="","",F284+G284+H284)</f>
        <v/>
      </c>
      <c r="J284">
        <f>IF(C284="","",UPPER(TRIM(A284))&amp;"|"&amp;UPPER(TRIM(C284)))</f>
        <v/>
      </c>
      <c r="K284">
        <f>IF(J284="","",IF(COUNTIF('Purchase Register'!$K$5:$K$504,J284)=0,"In 2B, not in your books","In books"))</f>
        <v/>
      </c>
    </row>
    <row r="285">
      <c r="A285" s="11" t="n"/>
      <c r="B285" s="11" t="n"/>
      <c r="C285" s="11" t="n"/>
      <c r="D285" s="14" t="n"/>
      <c r="E285" s="18" t="n"/>
      <c r="F285" s="18" t="n"/>
      <c r="G285" s="18" t="n"/>
      <c r="H285" s="18" t="n"/>
      <c r="I285" s="23">
        <f>IF(C285="","",F285+G285+H285)</f>
        <v/>
      </c>
      <c r="J285">
        <f>IF(C285="","",UPPER(TRIM(A285))&amp;"|"&amp;UPPER(TRIM(C285)))</f>
        <v/>
      </c>
      <c r="K285">
        <f>IF(J285="","",IF(COUNTIF('Purchase Register'!$K$5:$K$504,J285)=0,"In 2B, not in your books","In books"))</f>
        <v/>
      </c>
    </row>
    <row r="286">
      <c r="A286" s="11" t="n"/>
      <c r="B286" s="11" t="n"/>
      <c r="C286" s="11" t="n"/>
      <c r="D286" s="14" t="n"/>
      <c r="E286" s="18" t="n"/>
      <c r="F286" s="18" t="n"/>
      <c r="G286" s="18" t="n"/>
      <c r="H286" s="18" t="n"/>
      <c r="I286" s="23">
        <f>IF(C286="","",F286+G286+H286)</f>
        <v/>
      </c>
      <c r="J286">
        <f>IF(C286="","",UPPER(TRIM(A286))&amp;"|"&amp;UPPER(TRIM(C286)))</f>
        <v/>
      </c>
      <c r="K286">
        <f>IF(J286="","",IF(COUNTIF('Purchase Register'!$K$5:$K$504,J286)=0,"In 2B, not in your books","In books"))</f>
        <v/>
      </c>
    </row>
    <row r="287">
      <c r="A287" s="11" t="n"/>
      <c r="B287" s="11" t="n"/>
      <c r="C287" s="11" t="n"/>
      <c r="D287" s="14" t="n"/>
      <c r="E287" s="18" t="n"/>
      <c r="F287" s="18" t="n"/>
      <c r="G287" s="18" t="n"/>
      <c r="H287" s="18" t="n"/>
      <c r="I287" s="23">
        <f>IF(C287="","",F287+G287+H287)</f>
        <v/>
      </c>
      <c r="J287">
        <f>IF(C287="","",UPPER(TRIM(A287))&amp;"|"&amp;UPPER(TRIM(C287)))</f>
        <v/>
      </c>
      <c r="K287">
        <f>IF(J287="","",IF(COUNTIF('Purchase Register'!$K$5:$K$504,J287)=0,"In 2B, not in your books","In books"))</f>
        <v/>
      </c>
    </row>
    <row r="288">
      <c r="A288" s="11" t="n"/>
      <c r="B288" s="11" t="n"/>
      <c r="C288" s="11" t="n"/>
      <c r="D288" s="14" t="n"/>
      <c r="E288" s="18" t="n"/>
      <c r="F288" s="18" t="n"/>
      <c r="G288" s="18" t="n"/>
      <c r="H288" s="18" t="n"/>
      <c r="I288" s="23">
        <f>IF(C288="","",F288+G288+H288)</f>
        <v/>
      </c>
      <c r="J288">
        <f>IF(C288="","",UPPER(TRIM(A288))&amp;"|"&amp;UPPER(TRIM(C288)))</f>
        <v/>
      </c>
      <c r="K288">
        <f>IF(J288="","",IF(COUNTIF('Purchase Register'!$K$5:$K$504,J288)=0,"In 2B, not in your books","In books"))</f>
        <v/>
      </c>
    </row>
    <row r="289">
      <c r="A289" s="11" t="n"/>
      <c r="B289" s="11" t="n"/>
      <c r="C289" s="11" t="n"/>
      <c r="D289" s="14" t="n"/>
      <c r="E289" s="18" t="n"/>
      <c r="F289" s="18" t="n"/>
      <c r="G289" s="18" t="n"/>
      <c r="H289" s="18" t="n"/>
      <c r="I289" s="23">
        <f>IF(C289="","",F289+G289+H289)</f>
        <v/>
      </c>
      <c r="J289">
        <f>IF(C289="","",UPPER(TRIM(A289))&amp;"|"&amp;UPPER(TRIM(C289)))</f>
        <v/>
      </c>
      <c r="K289">
        <f>IF(J289="","",IF(COUNTIF('Purchase Register'!$K$5:$K$504,J289)=0,"In 2B, not in your books","In books"))</f>
        <v/>
      </c>
    </row>
    <row r="290">
      <c r="A290" s="11" t="n"/>
      <c r="B290" s="11" t="n"/>
      <c r="C290" s="11" t="n"/>
      <c r="D290" s="14" t="n"/>
      <c r="E290" s="18" t="n"/>
      <c r="F290" s="18" t="n"/>
      <c r="G290" s="18" t="n"/>
      <c r="H290" s="18" t="n"/>
      <c r="I290" s="23">
        <f>IF(C290="","",F290+G290+H290)</f>
        <v/>
      </c>
      <c r="J290">
        <f>IF(C290="","",UPPER(TRIM(A290))&amp;"|"&amp;UPPER(TRIM(C290)))</f>
        <v/>
      </c>
      <c r="K290">
        <f>IF(J290="","",IF(COUNTIF('Purchase Register'!$K$5:$K$504,J290)=0,"In 2B, not in your books","In books"))</f>
        <v/>
      </c>
    </row>
    <row r="291">
      <c r="A291" s="11" t="n"/>
      <c r="B291" s="11" t="n"/>
      <c r="C291" s="11" t="n"/>
      <c r="D291" s="14" t="n"/>
      <c r="E291" s="18" t="n"/>
      <c r="F291" s="18" t="n"/>
      <c r="G291" s="18" t="n"/>
      <c r="H291" s="18" t="n"/>
      <c r="I291" s="23">
        <f>IF(C291="","",F291+G291+H291)</f>
        <v/>
      </c>
      <c r="J291">
        <f>IF(C291="","",UPPER(TRIM(A291))&amp;"|"&amp;UPPER(TRIM(C291)))</f>
        <v/>
      </c>
      <c r="K291">
        <f>IF(J291="","",IF(COUNTIF('Purchase Register'!$K$5:$K$504,J291)=0,"In 2B, not in your books","In books"))</f>
        <v/>
      </c>
    </row>
    <row r="292">
      <c r="A292" s="11" t="n"/>
      <c r="B292" s="11" t="n"/>
      <c r="C292" s="11" t="n"/>
      <c r="D292" s="14" t="n"/>
      <c r="E292" s="18" t="n"/>
      <c r="F292" s="18" t="n"/>
      <c r="G292" s="18" t="n"/>
      <c r="H292" s="18" t="n"/>
      <c r="I292" s="23">
        <f>IF(C292="","",F292+G292+H292)</f>
        <v/>
      </c>
      <c r="J292">
        <f>IF(C292="","",UPPER(TRIM(A292))&amp;"|"&amp;UPPER(TRIM(C292)))</f>
        <v/>
      </c>
      <c r="K292">
        <f>IF(J292="","",IF(COUNTIF('Purchase Register'!$K$5:$K$504,J292)=0,"In 2B, not in your books","In books"))</f>
        <v/>
      </c>
    </row>
    <row r="293">
      <c r="A293" s="11" t="n"/>
      <c r="B293" s="11" t="n"/>
      <c r="C293" s="11" t="n"/>
      <c r="D293" s="14" t="n"/>
      <c r="E293" s="18" t="n"/>
      <c r="F293" s="18" t="n"/>
      <c r="G293" s="18" t="n"/>
      <c r="H293" s="18" t="n"/>
      <c r="I293" s="23">
        <f>IF(C293="","",F293+G293+H293)</f>
        <v/>
      </c>
      <c r="J293">
        <f>IF(C293="","",UPPER(TRIM(A293))&amp;"|"&amp;UPPER(TRIM(C293)))</f>
        <v/>
      </c>
      <c r="K293">
        <f>IF(J293="","",IF(COUNTIF('Purchase Register'!$K$5:$K$504,J293)=0,"In 2B, not in your books","In books"))</f>
        <v/>
      </c>
    </row>
    <row r="294">
      <c r="A294" s="11" t="n"/>
      <c r="B294" s="11" t="n"/>
      <c r="C294" s="11" t="n"/>
      <c r="D294" s="14" t="n"/>
      <c r="E294" s="18" t="n"/>
      <c r="F294" s="18" t="n"/>
      <c r="G294" s="18" t="n"/>
      <c r="H294" s="18" t="n"/>
      <c r="I294" s="23">
        <f>IF(C294="","",F294+G294+H294)</f>
        <v/>
      </c>
      <c r="J294">
        <f>IF(C294="","",UPPER(TRIM(A294))&amp;"|"&amp;UPPER(TRIM(C294)))</f>
        <v/>
      </c>
      <c r="K294">
        <f>IF(J294="","",IF(COUNTIF('Purchase Register'!$K$5:$K$504,J294)=0,"In 2B, not in your books","In books"))</f>
        <v/>
      </c>
    </row>
    <row r="295">
      <c r="A295" s="11" t="n"/>
      <c r="B295" s="11" t="n"/>
      <c r="C295" s="11" t="n"/>
      <c r="D295" s="14" t="n"/>
      <c r="E295" s="18" t="n"/>
      <c r="F295" s="18" t="n"/>
      <c r="G295" s="18" t="n"/>
      <c r="H295" s="18" t="n"/>
      <c r="I295" s="23">
        <f>IF(C295="","",F295+G295+H295)</f>
        <v/>
      </c>
      <c r="J295">
        <f>IF(C295="","",UPPER(TRIM(A295))&amp;"|"&amp;UPPER(TRIM(C295)))</f>
        <v/>
      </c>
      <c r="K295">
        <f>IF(J295="","",IF(COUNTIF('Purchase Register'!$K$5:$K$504,J295)=0,"In 2B, not in your books","In books"))</f>
        <v/>
      </c>
    </row>
    <row r="296">
      <c r="A296" s="11" t="n"/>
      <c r="B296" s="11" t="n"/>
      <c r="C296" s="11" t="n"/>
      <c r="D296" s="14" t="n"/>
      <c r="E296" s="18" t="n"/>
      <c r="F296" s="18" t="n"/>
      <c r="G296" s="18" t="n"/>
      <c r="H296" s="18" t="n"/>
      <c r="I296" s="23">
        <f>IF(C296="","",F296+G296+H296)</f>
        <v/>
      </c>
      <c r="J296">
        <f>IF(C296="","",UPPER(TRIM(A296))&amp;"|"&amp;UPPER(TRIM(C296)))</f>
        <v/>
      </c>
      <c r="K296">
        <f>IF(J296="","",IF(COUNTIF('Purchase Register'!$K$5:$K$504,J296)=0,"In 2B, not in your books","In books"))</f>
        <v/>
      </c>
    </row>
    <row r="297">
      <c r="A297" s="11" t="n"/>
      <c r="B297" s="11" t="n"/>
      <c r="C297" s="11" t="n"/>
      <c r="D297" s="14" t="n"/>
      <c r="E297" s="18" t="n"/>
      <c r="F297" s="18" t="n"/>
      <c r="G297" s="18" t="n"/>
      <c r="H297" s="18" t="n"/>
      <c r="I297" s="23">
        <f>IF(C297="","",F297+G297+H297)</f>
        <v/>
      </c>
      <c r="J297">
        <f>IF(C297="","",UPPER(TRIM(A297))&amp;"|"&amp;UPPER(TRIM(C297)))</f>
        <v/>
      </c>
      <c r="K297">
        <f>IF(J297="","",IF(COUNTIF('Purchase Register'!$K$5:$K$504,J297)=0,"In 2B, not in your books","In books"))</f>
        <v/>
      </c>
    </row>
    <row r="298">
      <c r="A298" s="11" t="n"/>
      <c r="B298" s="11" t="n"/>
      <c r="C298" s="11" t="n"/>
      <c r="D298" s="14" t="n"/>
      <c r="E298" s="18" t="n"/>
      <c r="F298" s="18" t="n"/>
      <c r="G298" s="18" t="n"/>
      <c r="H298" s="18" t="n"/>
      <c r="I298" s="23">
        <f>IF(C298="","",F298+G298+H298)</f>
        <v/>
      </c>
      <c r="J298">
        <f>IF(C298="","",UPPER(TRIM(A298))&amp;"|"&amp;UPPER(TRIM(C298)))</f>
        <v/>
      </c>
      <c r="K298">
        <f>IF(J298="","",IF(COUNTIF('Purchase Register'!$K$5:$K$504,J298)=0,"In 2B, not in your books","In books"))</f>
        <v/>
      </c>
    </row>
    <row r="299">
      <c r="A299" s="11" t="n"/>
      <c r="B299" s="11" t="n"/>
      <c r="C299" s="11" t="n"/>
      <c r="D299" s="14" t="n"/>
      <c r="E299" s="18" t="n"/>
      <c r="F299" s="18" t="n"/>
      <c r="G299" s="18" t="n"/>
      <c r="H299" s="18" t="n"/>
      <c r="I299" s="23">
        <f>IF(C299="","",F299+G299+H299)</f>
        <v/>
      </c>
      <c r="J299">
        <f>IF(C299="","",UPPER(TRIM(A299))&amp;"|"&amp;UPPER(TRIM(C299)))</f>
        <v/>
      </c>
      <c r="K299">
        <f>IF(J299="","",IF(COUNTIF('Purchase Register'!$K$5:$K$504,J299)=0,"In 2B, not in your books","In books"))</f>
        <v/>
      </c>
    </row>
    <row r="300">
      <c r="A300" s="11" t="n"/>
      <c r="B300" s="11" t="n"/>
      <c r="C300" s="11" t="n"/>
      <c r="D300" s="14" t="n"/>
      <c r="E300" s="18" t="n"/>
      <c r="F300" s="18" t="n"/>
      <c r="G300" s="18" t="n"/>
      <c r="H300" s="18" t="n"/>
      <c r="I300" s="23">
        <f>IF(C300="","",F300+G300+H300)</f>
        <v/>
      </c>
      <c r="J300">
        <f>IF(C300="","",UPPER(TRIM(A300))&amp;"|"&amp;UPPER(TRIM(C300)))</f>
        <v/>
      </c>
      <c r="K300">
        <f>IF(J300="","",IF(COUNTIF('Purchase Register'!$K$5:$K$504,J300)=0,"In 2B, not in your books","In books"))</f>
        <v/>
      </c>
    </row>
    <row r="301">
      <c r="A301" s="11" t="n"/>
      <c r="B301" s="11" t="n"/>
      <c r="C301" s="11" t="n"/>
      <c r="D301" s="14" t="n"/>
      <c r="E301" s="18" t="n"/>
      <c r="F301" s="18" t="n"/>
      <c r="G301" s="18" t="n"/>
      <c r="H301" s="18" t="n"/>
      <c r="I301" s="23">
        <f>IF(C301="","",F301+G301+H301)</f>
        <v/>
      </c>
      <c r="J301">
        <f>IF(C301="","",UPPER(TRIM(A301))&amp;"|"&amp;UPPER(TRIM(C301)))</f>
        <v/>
      </c>
      <c r="K301">
        <f>IF(J301="","",IF(COUNTIF('Purchase Register'!$K$5:$K$504,J301)=0,"In 2B, not in your books","In books"))</f>
        <v/>
      </c>
    </row>
    <row r="302">
      <c r="A302" s="11" t="n"/>
      <c r="B302" s="11" t="n"/>
      <c r="C302" s="11" t="n"/>
      <c r="D302" s="14" t="n"/>
      <c r="E302" s="18" t="n"/>
      <c r="F302" s="18" t="n"/>
      <c r="G302" s="18" t="n"/>
      <c r="H302" s="18" t="n"/>
      <c r="I302" s="23">
        <f>IF(C302="","",F302+G302+H302)</f>
        <v/>
      </c>
      <c r="J302">
        <f>IF(C302="","",UPPER(TRIM(A302))&amp;"|"&amp;UPPER(TRIM(C302)))</f>
        <v/>
      </c>
      <c r="K302">
        <f>IF(J302="","",IF(COUNTIF('Purchase Register'!$K$5:$K$504,J302)=0,"In 2B, not in your books","In books"))</f>
        <v/>
      </c>
    </row>
    <row r="303">
      <c r="A303" s="11" t="n"/>
      <c r="B303" s="11" t="n"/>
      <c r="C303" s="11" t="n"/>
      <c r="D303" s="14" t="n"/>
      <c r="E303" s="18" t="n"/>
      <c r="F303" s="18" t="n"/>
      <c r="G303" s="18" t="n"/>
      <c r="H303" s="18" t="n"/>
      <c r="I303" s="23">
        <f>IF(C303="","",F303+G303+H303)</f>
        <v/>
      </c>
      <c r="J303">
        <f>IF(C303="","",UPPER(TRIM(A303))&amp;"|"&amp;UPPER(TRIM(C303)))</f>
        <v/>
      </c>
      <c r="K303">
        <f>IF(J303="","",IF(COUNTIF('Purchase Register'!$K$5:$K$504,J303)=0,"In 2B, not in your books","In books"))</f>
        <v/>
      </c>
    </row>
    <row r="304">
      <c r="A304" s="11" t="n"/>
      <c r="B304" s="11" t="n"/>
      <c r="C304" s="11" t="n"/>
      <c r="D304" s="14" t="n"/>
      <c r="E304" s="18" t="n"/>
      <c r="F304" s="18" t="n"/>
      <c r="G304" s="18" t="n"/>
      <c r="H304" s="18" t="n"/>
      <c r="I304" s="23">
        <f>IF(C304="","",F304+G304+H304)</f>
        <v/>
      </c>
      <c r="J304">
        <f>IF(C304="","",UPPER(TRIM(A304))&amp;"|"&amp;UPPER(TRIM(C304)))</f>
        <v/>
      </c>
      <c r="K304">
        <f>IF(J304="","",IF(COUNTIF('Purchase Register'!$K$5:$K$504,J304)=0,"In 2B, not in your books","In books"))</f>
        <v/>
      </c>
    </row>
    <row r="305">
      <c r="A305" s="11" t="n"/>
      <c r="B305" s="11" t="n"/>
      <c r="C305" s="11" t="n"/>
      <c r="D305" s="14" t="n"/>
      <c r="E305" s="18" t="n"/>
      <c r="F305" s="18" t="n"/>
      <c r="G305" s="18" t="n"/>
      <c r="H305" s="18" t="n"/>
      <c r="I305" s="23">
        <f>IF(C305="","",F305+G305+H305)</f>
        <v/>
      </c>
      <c r="J305">
        <f>IF(C305="","",UPPER(TRIM(A305))&amp;"|"&amp;UPPER(TRIM(C305)))</f>
        <v/>
      </c>
      <c r="K305">
        <f>IF(J305="","",IF(COUNTIF('Purchase Register'!$K$5:$K$504,J305)=0,"In 2B, not in your books","In books"))</f>
        <v/>
      </c>
    </row>
    <row r="306">
      <c r="A306" s="11" t="n"/>
      <c r="B306" s="11" t="n"/>
      <c r="C306" s="11" t="n"/>
      <c r="D306" s="14" t="n"/>
      <c r="E306" s="18" t="n"/>
      <c r="F306" s="18" t="n"/>
      <c r="G306" s="18" t="n"/>
      <c r="H306" s="18" t="n"/>
      <c r="I306" s="23">
        <f>IF(C306="","",F306+G306+H306)</f>
        <v/>
      </c>
      <c r="J306">
        <f>IF(C306="","",UPPER(TRIM(A306))&amp;"|"&amp;UPPER(TRIM(C306)))</f>
        <v/>
      </c>
      <c r="K306">
        <f>IF(J306="","",IF(COUNTIF('Purchase Register'!$K$5:$K$504,J306)=0,"In 2B, not in your books","In books"))</f>
        <v/>
      </c>
    </row>
    <row r="307">
      <c r="A307" s="11" t="n"/>
      <c r="B307" s="11" t="n"/>
      <c r="C307" s="11" t="n"/>
      <c r="D307" s="14" t="n"/>
      <c r="E307" s="18" t="n"/>
      <c r="F307" s="18" t="n"/>
      <c r="G307" s="18" t="n"/>
      <c r="H307" s="18" t="n"/>
      <c r="I307" s="23">
        <f>IF(C307="","",F307+G307+H307)</f>
        <v/>
      </c>
      <c r="J307">
        <f>IF(C307="","",UPPER(TRIM(A307))&amp;"|"&amp;UPPER(TRIM(C307)))</f>
        <v/>
      </c>
      <c r="K307">
        <f>IF(J307="","",IF(COUNTIF('Purchase Register'!$K$5:$K$504,J307)=0,"In 2B, not in your books","In books"))</f>
        <v/>
      </c>
    </row>
    <row r="308">
      <c r="A308" s="11" t="n"/>
      <c r="B308" s="11" t="n"/>
      <c r="C308" s="11" t="n"/>
      <c r="D308" s="14" t="n"/>
      <c r="E308" s="18" t="n"/>
      <c r="F308" s="18" t="n"/>
      <c r="G308" s="18" t="n"/>
      <c r="H308" s="18" t="n"/>
      <c r="I308" s="23">
        <f>IF(C308="","",F308+G308+H308)</f>
        <v/>
      </c>
      <c r="J308">
        <f>IF(C308="","",UPPER(TRIM(A308))&amp;"|"&amp;UPPER(TRIM(C308)))</f>
        <v/>
      </c>
      <c r="K308">
        <f>IF(J308="","",IF(COUNTIF('Purchase Register'!$K$5:$K$504,J308)=0,"In 2B, not in your books","In books"))</f>
        <v/>
      </c>
    </row>
    <row r="309">
      <c r="A309" s="11" t="n"/>
      <c r="B309" s="11" t="n"/>
      <c r="C309" s="11" t="n"/>
      <c r="D309" s="14" t="n"/>
      <c r="E309" s="18" t="n"/>
      <c r="F309" s="18" t="n"/>
      <c r="G309" s="18" t="n"/>
      <c r="H309" s="18" t="n"/>
      <c r="I309" s="23">
        <f>IF(C309="","",F309+G309+H309)</f>
        <v/>
      </c>
      <c r="J309">
        <f>IF(C309="","",UPPER(TRIM(A309))&amp;"|"&amp;UPPER(TRIM(C309)))</f>
        <v/>
      </c>
      <c r="K309">
        <f>IF(J309="","",IF(COUNTIF('Purchase Register'!$K$5:$K$504,J309)=0,"In 2B, not in your books","In books"))</f>
        <v/>
      </c>
    </row>
    <row r="310">
      <c r="A310" s="11" t="n"/>
      <c r="B310" s="11" t="n"/>
      <c r="C310" s="11" t="n"/>
      <c r="D310" s="14" t="n"/>
      <c r="E310" s="18" t="n"/>
      <c r="F310" s="18" t="n"/>
      <c r="G310" s="18" t="n"/>
      <c r="H310" s="18" t="n"/>
      <c r="I310" s="23">
        <f>IF(C310="","",F310+G310+H310)</f>
        <v/>
      </c>
      <c r="J310">
        <f>IF(C310="","",UPPER(TRIM(A310))&amp;"|"&amp;UPPER(TRIM(C310)))</f>
        <v/>
      </c>
      <c r="K310">
        <f>IF(J310="","",IF(COUNTIF('Purchase Register'!$K$5:$K$504,J310)=0,"In 2B, not in your books","In books"))</f>
        <v/>
      </c>
    </row>
    <row r="311">
      <c r="A311" s="11" t="n"/>
      <c r="B311" s="11" t="n"/>
      <c r="C311" s="11" t="n"/>
      <c r="D311" s="14" t="n"/>
      <c r="E311" s="18" t="n"/>
      <c r="F311" s="18" t="n"/>
      <c r="G311" s="18" t="n"/>
      <c r="H311" s="18" t="n"/>
      <c r="I311" s="23">
        <f>IF(C311="","",F311+G311+H311)</f>
        <v/>
      </c>
      <c r="J311">
        <f>IF(C311="","",UPPER(TRIM(A311))&amp;"|"&amp;UPPER(TRIM(C311)))</f>
        <v/>
      </c>
      <c r="K311">
        <f>IF(J311="","",IF(COUNTIF('Purchase Register'!$K$5:$K$504,J311)=0,"In 2B, not in your books","In books"))</f>
        <v/>
      </c>
    </row>
    <row r="312">
      <c r="A312" s="11" t="n"/>
      <c r="B312" s="11" t="n"/>
      <c r="C312" s="11" t="n"/>
      <c r="D312" s="14" t="n"/>
      <c r="E312" s="18" t="n"/>
      <c r="F312" s="18" t="n"/>
      <c r="G312" s="18" t="n"/>
      <c r="H312" s="18" t="n"/>
      <c r="I312" s="23">
        <f>IF(C312="","",F312+G312+H312)</f>
        <v/>
      </c>
      <c r="J312">
        <f>IF(C312="","",UPPER(TRIM(A312))&amp;"|"&amp;UPPER(TRIM(C312)))</f>
        <v/>
      </c>
      <c r="K312">
        <f>IF(J312="","",IF(COUNTIF('Purchase Register'!$K$5:$K$504,J312)=0,"In 2B, not in your books","In books"))</f>
        <v/>
      </c>
    </row>
    <row r="313">
      <c r="A313" s="11" t="n"/>
      <c r="B313" s="11" t="n"/>
      <c r="C313" s="11" t="n"/>
      <c r="D313" s="14" t="n"/>
      <c r="E313" s="18" t="n"/>
      <c r="F313" s="18" t="n"/>
      <c r="G313" s="18" t="n"/>
      <c r="H313" s="18" t="n"/>
      <c r="I313" s="23">
        <f>IF(C313="","",F313+G313+H313)</f>
        <v/>
      </c>
      <c r="J313">
        <f>IF(C313="","",UPPER(TRIM(A313))&amp;"|"&amp;UPPER(TRIM(C313)))</f>
        <v/>
      </c>
      <c r="K313">
        <f>IF(J313="","",IF(COUNTIF('Purchase Register'!$K$5:$K$504,J313)=0,"In 2B, not in your books","In books"))</f>
        <v/>
      </c>
    </row>
    <row r="314">
      <c r="A314" s="11" t="n"/>
      <c r="B314" s="11" t="n"/>
      <c r="C314" s="11" t="n"/>
      <c r="D314" s="14" t="n"/>
      <c r="E314" s="18" t="n"/>
      <c r="F314" s="18" t="n"/>
      <c r="G314" s="18" t="n"/>
      <c r="H314" s="18" t="n"/>
      <c r="I314" s="23">
        <f>IF(C314="","",F314+G314+H314)</f>
        <v/>
      </c>
      <c r="J314">
        <f>IF(C314="","",UPPER(TRIM(A314))&amp;"|"&amp;UPPER(TRIM(C314)))</f>
        <v/>
      </c>
      <c r="K314">
        <f>IF(J314="","",IF(COUNTIF('Purchase Register'!$K$5:$K$504,J314)=0,"In 2B, not in your books","In books"))</f>
        <v/>
      </c>
    </row>
    <row r="315">
      <c r="A315" s="11" t="n"/>
      <c r="B315" s="11" t="n"/>
      <c r="C315" s="11" t="n"/>
      <c r="D315" s="14" t="n"/>
      <c r="E315" s="18" t="n"/>
      <c r="F315" s="18" t="n"/>
      <c r="G315" s="18" t="n"/>
      <c r="H315" s="18" t="n"/>
      <c r="I315" s="23">
        <f>IF(C315="","",F315+G315+H315)</f>
        <v/>
      </c>
      <c r="J315">
        <f>IF(C315="","",UPPER(TRIM(A315))&amp;"|"&amp;UPPER(TRIM(C315)))</f>
        <v/>
      </c>
      <c r="K315">
        <f>IF(J315="","",IF(COUNTIF('Purchase Register'!$K$5:$K$504,J315)=0,"In 2B, not in your books","In books"))</f>
        <v/>
      </c>
    </row>
    <row r="316">
      <c r="A316" s="11" t="n"/>
      <c r="B316" s="11" t="n"/>
      <c r="C316" s="11" t="n"/>
      <c r="D316" s="14" t="n"/>
      <c r="E316" s="18" t="n"/>
      <c r="F316" s="18" t="n"/>
      <c r="G316" s="18" t="n"/>
      <c r="H316" s="18" t="n"/>
      <c r="I316" s="23">
        <f>IF(C316="","",F316+G316+H316)</f>
        <v/>
      </c>
      <c r="J316">
        <f>IF(C316="","",UPPER(TRIM(A316))&amp;"|"&amp;UPPER(TRIM(C316)))</f>
        <v/>
      </c>
      <c r="K316">
        <f>IF(J316="","",IF(COUNTIF('Purchase Register'!$K$5:$K$504,J316)=0,"In 2B, not in your books","In books"))</f>
        <v/>
      </c>
    </row>
    <row r="317">
      <c r="A317" s="11" t="n"/>
      <c r="B317" s="11" t="n"/>
      <c r="C317" s="11" t="n"/>
      <c r="D317" s="14" t="n"/>
      <c r="E317" s="18" t="n"/>
      <c r="F317" s="18" t="n"/>
      <c r="G317" s="18" t="n"/>
      <c r="H317" s="18" t="n"/>
      <c r="I317" s="23">
        <f>IF(C317="","",F317+G317+H317)</f>
        <v/>
      </c>
      <c r="J317">
        <f>IF(C317="","",UPPER(TRIM(A317))&amp;"|"&amp;UPPER(TRIM(C317)))</f>
        <v/>
      </c>
      <c r="K317">
        <f>IF(J317="","",IF(COUNTIF('Purchase Register'!$K$5:$K$504,J317)=0,"In 2B, not in your books","In books"))</f>
        <v/>
      </c>
    </row>
    <row r="318">
      <c r="A318" s="11" t="n"/>
      <c r="B318" s="11" t="n"/>
      <c r="C318" s="11" t="n"/>
      <c r="D318" s="14" t="n"/>
      <c r="E318" s="18" t="n"/>
      <c r="F318" s="18" t="n"/>
      <c r="G318" s="18" t="n"/>
      <c r="H318" s="18" t="n"/>
      <c r="I318" s="23">
        <f>IF(C318="","",F318+G318+H318)</f>
        <v/>
      </c>
      <c r="J318">
        <f>IF(C318="","",UPPER(TRIM(A318))&amp;"|"&amp;UPPER(TRIM(C318)))</f>
        <v/>
      </c>
      <c r="K318">
        <f>IF(J318="","",IF(COUNTIF('Purchase Register'!$K$5:$K$504,J318)=0,"In 2B, not in your books","In books"))</f>
        <v/>
      </c>
    </row>
    <row r="319">
      <c r="A319" s="11" t="n"/>
      <c r="B319" s="11" t="n"/>
      <c r="C319" s="11" t="n"/>
      <c r="D319" s="14" t="n"/>
      <c r="E319" s="18" t="n"/>
      <c r="F319" s="18" t="n"/>
      <c r="G319" s="18" t="n"/>
      <c r="H319" s="18" t="n"/>
      <c r="I319" s="23">
        <f>IF(C319="","",F319+G319+H319)</f>
        <v/>
      </c>
      <c r="J319">
        <f>IF(C319="","",UPPER(TRIM(A319))&amp;"|"&amp;UPPER(TRIM(C319)))</f>
        <v/>
      </c>
      <c r="K319">
        <f>IF(J319="","",IF(COUNTIF('Purchase Register'!$K$5:$K$504,J319)=0,"In 2B, not in your books","In books"))</f>
        <v/>
      </c>
    </row>
    <row r="320">
      <c r="A320" s="11" t="n"/>
      <c r="B320" s="11" t="n"/>
      <c r="C320" s="11" t="n"/>
      <c r="D320" s="14" t="n"/>
      <c r="E320" s="18" t="n"/>
      <c r="F320" s="18" t="n"/>
      <c r="G320" s="18" t="n"/>
      <c r="H320" s="18" t="n"/>
      <c r="I320" s="23">
        <f>IF(C320="","",F320+G320+H320)</f>
        <v/>
      </c>
      <c r="J320">
        <f>IF(C320="","",UPPER(TRIM(A320))&amp;"|"&amp;UPPER(TRIM(C320)))</f>
        <v/>
      </c>
      <c r="K320">
        <f>IF(J320="","",IF(COUNTIF('Purchase Register'!$K$5:$K$504,J320)=0,"In 2B, not in your books","In books"))</f>
        <v/>
      </c>
    </row>
    <row r="321">
      <c r="A321" s="11" t="n"/>
      <c r="B321" s="11" t="n"/>
      <c r="C321" s="11" t="n"/>
      <c r="D321" s="14" t="n"/>
      <c r="E321" s="18" t="n"/>
      <c r="F321" s="18" t="n"/>
      <c r="G321" s="18" t="n"/>
      <c r="H321" s="18" t="n"/>
      <c r="I321" s="23">
        <f>IF(C321="","",F321+G321+H321)</f>
        <v/>
      </c>
      <c r="J321">
        <f>IF(C321="","",UPPER(TRIM(A321))&amp;"|"&amp;UPPER(TRIM(C321)))</f>
        <v/>
      </c>
      <c r="K321">
        <f>IF(J321="","",IF(COUNTIF('Purchase Register'!$K$5:$K$504,J321)=0,"In 2B, not in your books","In books"))</f>
        <v/>
      </c>
    </row>
    <row r="322">
      <c r="A322" s="11" t="n"/>
      <c r="B322" s="11" t="n"/>
      <c r="C322" s="11" t="n"/>
      <c r="D322" s="14" t="n"/>
      <c r="E322" s="18" t="n"/>
      <c r="F322" s="18" t="n"/>
      <c r="G322" s="18" t="n"/>
      <c r="H322" s="18" t="n"/>
      <c r="I322" s="23">
        <f>IF(C322="","",F322+G322+H322)</f>
        <v/>
      </c>
      <c r="J322">
        <f>IF(C322="","",UPPER(TRIM(A322))&amp;"|"&amp;UPPER(TRIM(C322)))</f>
        <v/>
      </c>
      <c r="K322">
        <f>IF(J322="","",IF(COUNTIF('Purchase Register'!$K$5:$K$504,J322)=0,"In 2B, not in your books","In books"))</f>
        <v/>
      </c>
    </row>
    <row r="323">
      <c r="A323" s="11" t="n"/>
      <c r="B323" s="11" t="n"/>
      <c r="C323" s="11" t="n"/>
      <c r="D323" s="14" t="n"/>
      <c r="E323" s="18" t="n"/>
      <c r="F323" s="18" t="n"/>
      <c r="G323" s="18" t="n"/>
      <c r="H323" s="18" t="n"/>
      <c r="I323" s="23">
        <f>IF(C323="","",F323+G323+H323)</f>
        <v/>
      </c>
      <c r="J323">
        <f>IF(C323="","",UPPER(TRIM(A323))&amp;"|"&amp;UPPER(TRIM(C323)))</f>
        <v/>
      </c>
      <c r="K323">
        <f>IF(J323="","",IF(COUNTIF('Purchase Register'!$K$5:$K$504,J323)=0,"In 2B, not in your books","In books"))</f>
        <v/>
      </c>
    </row>
    <row r="324">
      <c r="A324" s="11" t="n"/>
      <c r="B324" s="11" t="n"/>
      <c r="C324" s="11" t="n"/>
      <c r="D324" s="14" t="n"/>
      <c r="E324" s="18" t="n"/>
      <c r="F324" s="18" t="n"/>
      <c r="G324" s="18" t="n"/>
      <c r="H324" s="18" t="n"/>
      <c r="I324" s="23">
        <f>IF(C324="","",F324+G324+H324)</f>
        <v/>
      </c>
      <c r="J324">
        <f>IF(C324="","",UPPER(TRIM(A324))&amp;"|"&amp;UPPER(TRIM(C324)))</f>
        <v/>
      </c>
      <c r="K324">
        <f>IF(J324="","",IF(COUNTIF('Purchase Register'!$K$5:$K$504,J324)=0,"In 2B, not in your books","In books"))</f>
        <v/>
      </c>
    </row>
    <row r="325">
      <c r="A325" s="11" t="n"/>
      <c r="B325" s="11" t="n"/>
      <c r="C325" s="11" t="n"/>
      <c r="D325" s="14" t="n"/>
      <c r="E325" s="18" t="n"/>
      <c r="F325" s="18" t="n"/>
      <c r="G325" s="18" t="n"/>
      <c r="H325" s="18" t="n"/>
      <c r="I325" s="23">
        <f>IF(C325="","",F325+G325+H325)</f>
        <v/>
      </c>
      <c r="J325">
        <f>IF(C325="","",UPPER(TRIM(A325))&amp;"|"&amp;UPPER(TRIM(C325)))</f>
        <v/>
      </c>
      <c r="K325">
        <f>IF(J325="","",IF(COUNTIF('Purchase Register'!$K$5:$K$504,J325)=0,"In 2B, not in your books","In books"))</f>
        <v/>
      </c>
    </row>
    <row r="326">
      <c r="A326" s="11" t="n"/>
      <c r="B326" s="11" t="n"/>
      <c r="C326" s="11" t="n"/>
      <c r="D326" s="14" t="n"/>
      <c r="E326" s="18" t="n"/>
      <c r="F326" s="18" t="n"/>
      <c r="G326" s="18" t="n"/>
      <c r="H326" s="18" t="n"/>
      <c r="I326" s="23">
        <f>IF(C326="","",F326+G326+H326)</f>
        <v/>
      </c>
      <c r="J326">
        <f>IF(C326="","",UPPER(TRIM(A326))&amp;"|"&amp;UPPER(TRIM(C326)))</f>
        <v/>
      </c>
      <c r="K326">
        <f>IF(J326="","",IF(COUNTIF('Purchase Register'!$K$5:$K$504,J326)=0,"In 2B, not in your books","In books"))</f>
        <v/>
      </c>
    </row>
    <row r="327">
      <c r="A327" s="11" t="n"/>
      <c r="B327" s="11" t="n"/>
      <c r="C327" s="11" t="n"/>
      <c r="D327" s="14" t="n"/>
      <c r="E327" s="18" t="n"/>
      <c r="F327" s="18" t="n"/>
      <c r="G327" s="18" t="n"/>
      <c r="H327" s="18" t="n"/>
      <c r="I327" s="23">
        <f>IF(C327="","",F327+G327+H327)</f>
        <v/>
      </c>
      <c r="J327">
        <f>IF(C327="","",UPPER(TRIM(A327))&amp;"|"&amp;UPPER(TRIM(C327)))</f>
        <v/>
      </c>
      <c r="K327">
        <f>IF(J327="","",IF(COUNTIF('Purchase Register'!$K$5:$K$504,J327)=0,"In 2B, not in your books","In books"))</f>
        <v/>
      </c>
    </row>
    <row r="328">
      <c r="A328" s="11" t="n"/>
      <c r="B328" s="11" t="n"/>
      <c r="C328" s="11" t="n"/>
      <c r="D328" s="14" t="n"/>
      <c r="E328" s="18" t="n"/>
      <c r="F328" s="18" t="n"/>
      <c r="G328" s="18" t="n"/>
      <c r="H328" s="18" t="n"/>
      <c r="I328" s="23">
        <f>IF(C328="","",F328+G328+H328)</f>
        <v/>
      </c>
      <c r="J328">
        <f>IF(C328="","",UPPER(TRIM(A328))&amp;"|"&amp;UPPER(TRIM(C328)))</f>
        <v/>
      </c>
      <c r="K328">
        <f>IF(J328="","",IF(COUNTIF('Purchase Register'!$K$5:$K$504,J328)=0,"In 2B, not in your books","In books"))</f>
        <v/>
      </c>
    </row>
    <row r="329">
      <c r="A329" s="11" t="n"/>
      <c r="B329" s="11" t="n"/>
      <c r="C329" s="11" t="n"/>
      <c r="D329" s="14" t="n"/>
      <c r="E329" s="18" t="n"/>
      <c r="F329" s="18" t="n"/>
      <c r="G329" s="18" t="n"/>
      <c r="H329" s="18" t="n"/>
      <c r="I329" s="23">
        <f>IF(C329="","",F329+G329+H329)</f>
        <v/>
      </c>
      <c r="J329">
        <f>IF(C329="","",UPPER(TRIM(A329))&amp;"|"&amp;UPPER(TRIM(C329)))</f>
        <v/>
      </c>
      <c r="K329">
        <f>IF(J329="","",IF(COUNTIF('Purchase Register'!$K$5:$K$504,J329)=0,"In 2B, not in your books","In books"))</f>
        <v/>
      </c>
    </row>
    <row r="330">
      <c r="A330" s="11" t="n"/>
      <c r="B330" s="11" t="n"/>
      <c r="C330" s="11" t="n"/>
      <c r="D330" s="14" t="n"/>
      <c r="E330" s="18" t="n"/>
      <c r="F330" s="18" t="n"/>
      <c r="G330" s="18" t="n"/>
      <c r="H330" s="18" t="n"/>
      <c r="I330" s="23">
        <f>IF(C330="","",F330+G330+H330)</f>
        <v/>
      </c>
      <c r="J330">
        <f>IF(C330="","",UPPER(TRIM(A330))&amp;"|"&amp;UPPER(TRIM(C330)))</f>
        <v/>
      </c>
      <c r="K330">
        <f>IF(J330="","",IF(COUNTIF('Purchase Register'!$K$5:$K$504,J330)=0,"In 2B, not in your books","In books"))</f>
        <v/>
      </c>
    </row>
    <row r="331">
      <c r="A331" s="11" t="n"/>
      <c r="B331" s="11" t="n"/>
      <c r="C331" s="11" t="n"/>
      <c r="D331" s="14" t="n"/>
      <c r="E331" s="18" t="n"/>
      <c r="F331" s="18" t="n"/>
      <c r="G331" s="18" t="n"/>
      <c r="H331" s="18" t="n"/>
      <c r="I331" s="23">
        <f>IF(C331="","",F331+G331+H331)</f>
        <v/>
      </c>
      <c r="J331">
        <f>IF(C331="","",UPPER(TRIM(A331))&amp;"|"&amp;UPPER(TRIM(C331)))</f>
        <v/>
      </c>
      <c r="K331">
        <f>IF(J331="","",IF(COUNTIF('Purchase Register'!$K$5:$K$504,J331)=0,"In 2B, not in your books","In books"))</f>
        <v/>
      </c>
    </row>
    <row r="332">
      <c r="A332" s="11" t="n"/>
      <c r="B332" s="11" t="n"/>
      <c r="C332" s="11" t="n"/>
      <c r="D332" s="14" t="n"/>
      <c r="E332" s="18" t="n"/>
      <c r="F332" s="18" t="n"/>
      <c r="G332" s="18" t="n"/>
      <c r="H332" s="18" t="n"/>
      <c r="I332" s="23">
        <f>IF(C332="","",F332+G332+H332)</f>
        <v/>
      </c>
      <c r="J332">
        <f>IF(C332="","",UPPER(TRIM(A332))&amp;"|"&amp;UPPER(TRIM(C332)))</f>
        <v/>
      </c>
      <c r="K332">
        <f>IF(J332="","",IF(COUNTIF('Purchase Register'!$K$5:$K$504,J332)=0,"In 2B, not in your books","In books"))</f>
        <v/>
      </c>
    </row>
    <row r="333">
      <c r="A333" s="11" t="n"/>
      <c r="B333" s="11" t="n"/>
      <c r="C333" s="11" t="n"/>
      <c r="D333" s="14" t="n"/>
      <c r="E333" s="18" t="n"/>
      <c r="F333" s="18" t="n"/>
      <c r="G333" s="18" t="n"/>
      <c r="H333" s="18" t="n"/>
      <c r="I333" s="23">
        <f>IF(C333="","",F333+G333+H333)</f>
        <v/>
      </c>
      <c r="J333">
        <f>IF(C333="","",UPPER(TRIM(A333))&amp;"|"&amp;UPPER(TRIM(C333)))</f>
        <v/>
      </c>
      <c r="K333">
        <f>IF(J333="","",IF(COUNTIF('Purchase Register'!$K$5:$K$504,J333)=0,"In 2B, not in your books","In books"))</f>
        <v/>
      </c>
    </row>
    <row r="334">
      <c r="A334" s="11" t="n"/>
      <c r="B334" s="11" t="n"/>
      <c r="C334" s="11" t="n"/>
      <c r="D334" s="14" t="n"/>
      <c r="E334" s="18" t="n"/>
      <c r="F334" s="18" t="n"/>
      <c r="G334" s="18" t="n"/>
      <c r="H334" s="18" t="n"/>
      <c r="I334" s="23">
        <f>IF(C334="","",F334+G334+H334)</f>
        <v/>
      </c>
      <c r="J334">
        <f>IF(C334="","",UPPER(TRIM(A334))&amp;"|"&amp;UPPER(TRIM(C334)))</f>
        <v/>
      </c>
      <c r="K334">
        <f>IF(J334="","",IF(COUNTIF('Purchase Register'!$K$5:$K$504,J334)=0,"In 2B, not in your books","In books"))</f>
        <v/>
      </c>
    </row>
    <row r="335">
      <c r="A335" s="11" t="n"/>
      <c r="B335" s="11" t="n"/>
      <c r="C335" s="11" t="n"/>
      <c r="D335" s="14" t="n"/>
      <c r="E335" s="18" t="n"/>
      <c r="F335" s="18" t="n"/>
      <c r="G335" s="18" t="n"/>
      <c r="H335" s="18" t="n"/>
      <c r="I335" s="23">
        <f>IF(C335="","",F335+G335+H335)</f>
        <v/>
      </c>
      <c r="J335">
        <f>IF(C335="","",UPPER(TRIM(A335))&amp;"|"&amp;UPPER(TRIM(C335)))</f>
        <v/>
      </c>
      <c r="K335">
        <f>IF(J335="","",IF(COUNTIF('Purchase Register'!$K$5:$K$504,J335)=0,"In 2B, not in your books","In books"))</f>
        <v/>
      </c>
    </row>
    <row r="336">
      <c r="A336" s="11" t="n"/>
      <c r="B336" s="11" t="n"/>
      <c r="C336" s="11" t="n"/>
      <c r="D336" s="14" t="n"/>
      <c r="E336" s="18" t="n"/>
      <c r="F336" s="18" t="n"/>
      <c r="G336" s="18" t="n"/>
      <c r="H336" s="18" t="n"/>
      <c r="I336" s="23">
        <f>IF(C336="","",F336+G336+H336)</f>
        <v/>
      </c>
      <c r="J336">
        <f>IF(C336="","",UPPER(TRIM(A336))&amp;"|"&amp;UPPER(TRIM(C336)))</f>
        <v/>
      </c>
      <c r="K336">
        <f>IF(J336="","",IF(COUNTIF('Purchase Register'!$K$5:$K$504,J336)=0,"In 2B, not in your books","In books"))</f>
        <v/>
      </c>
    </row>
    <row r="337">
      <c r="A337" s="11" t="n"/>
      <c r="B337" s="11" t="n"/>
      <c r="C337" s="11" t="n"/>
      <c r="D337" s="14" t="n"/>
      <c r="E337" s="18" t="n"/>
      <c r="F337" s="18" t="n"/>
      <c r="G337" s="18" t="n"/>
      <c r="H337" s="18" t="n"/>
      <c r="I337" s="23">
        <f>IF(C337="","",F337+G337+H337)</f>
        <v/>
      </c>
      <c r="J337">
        <f>IF(C337="","",UPPER(TRIM(A337))&amp;"|"&amp;UPPER(TRIM(C337)))</f>
        <v/>
      </c>
      <c r="K337">
        <f>IF(J337="","",IF(COUNTIF('Purchase Register'!$K$5:$K$504,J337)=0,"In 2B, not in your books","In books"))</f>
        <v/>
      </c>
    </row>
    <row r="338">
      <c r="A338" s="11" t="n"/>
      <c r="B338" s="11" t="n"/>
      <c r="C338" s="11" t="n"/>
      <c r="D338" s="14" t="n"/>
      <c r="E338" s="18" t="n"/>
      <c r="F338" s="18" t="n"/>
      <c r="G338" s="18" t="n"/>
      <c r="H338" s="18" t="n"/>
      <c r="I338" s="23">
        <f>IF(C338="","",F338+G338+H338)</f>
        <v/>
      </c>
      <c r="J338">
        <f>IF(C338="","",UPPER(TRIM(A338))&amp;"|"&amp;UPPER(TRIM(C338)))</f>
        <v/>
      </c>
      <c r="K338">
        <f>IF(J338="","",IF(COUNTIF('Purchase Register'!$K$5:$K$504,J338)=0,"In 2B, not in your books","In books"))</f>
        <v/>
      </c>
    </row>
    <row r="339">
      <c r="A339" s="11" t="n"/>
      <c r="B339" s="11" t="n"/>
      <c r="C339" s="11" t="n"/>
      <c r="D339" s="14" t="n"/>
      <c r="E339" s="18" t="n"/>
      <c r="F339" s="18" t="n"/>
      <c r="G339" s="18" t="n"/>
      <c r="H339" s="18" t="n"/>
      <c r="I339" s="23">
        <f>IF(C339="","",F339+G339+H339)</f>
        <v/>
      </c>
      <c r="J339">
        <f>IF(C339="","",UPPER(TRIM(A339))&amp;"|"&amp;UPPER(TRIM(C339)))</f>
        <v/>
      </c>
      <c r="K339">
        <f>IF(J339="","",IF(COUNTIF('Purchase Register'!$K$5:$K$504,J339)=0,"In 2B, not in your books","In books"))</f>
        <v/>
      </c>
    </row>
    <row r="340">
      <c r="A340" s="11" t="n"/>
      <c r="B340" s="11" t="n"/>
      <c r="C340" s="11" t="n"/>
      <c r="D340" s="14" t="n"/>
      <c r="E340" s="18" t="n"/>
      <c r="F340" s="18" t="n"/>
      <c r="G340" s="18" t="n"/>
      <c r="H340" s="18" t="n"/>
      <c r="I340" s="23">
        <f>IF(C340="","",F340+G340+H340)</f>
        <v/>
      </c>
      <c r="J340">
        <f>IF(C340="","",UPPER(TRIM(A340))&amp;"|"&amp;UPPER(TRIM(C340)))</f>
        <v/>
      </c>
      <c r="K340">
        <f>IF(J340="","",IF(COUNTIF('Purchase Register'!$K$5:$K$504,J340)=0,"In 2B, not in your books","In books"))</f>
        <v/>
      </c>
    </row>
    <row r="341">
      <c r="A341" s="11" t="n"/>
      <c r="B341" s="11" t="n"/>
      <c r="C341" s="11" t="n"/>
      <c r="D341" s="14" t="n"/>
      <c r="E341" s="18" t="n"/>
      <c r="F341" s="18" t="n"/>
      <c r="G341" s="18" t="n"/>
      <c r="H341" s="18" t="n"/>
      <c r="I341" s="23">
        <f>IF(C341="","",F341+G341+H341)</f>
        <v/>
      </c>
      <c r="J341">
        <f>IF(C341="","",UPPER(TRIM(A341))&amp;"|"&amp;UPPER(TRIM(C341)))</f>
        <v/>
      </c>
      <c r="K341">
        <f>IF(J341="","",IF(COUNTIF('Purchase Register'!$K$5:$K$504,J341)=0,"In 2B, not in your books","In books"))</f>
        <v/>
      </c>
    </row>
    <row r="342">
      <c r="A342" s="11" t="n"/>
      <c r="B342" s="11" t="n"/>
      <c r="C342" s="11" t="n"/>
      <c r="D342" s="14" t="n"/>
      <c r="E342" s="18" t="n"/>
      <c r="F342" s="18" t="n"/>
      <c r="G342" s="18" t="n"/>
      <c r="H342" s="18" t="n"/>
      <c r="I342" s="23">
        <f>IF(C342="","",F342+G342+H342)</f>
        <v/>
      </c>
      <c r="J342">
        <f>IF(C342="","",UPPER(TRIM(A342))&amp;"|"&amp;UPPER(TRIM(C342)))</f>
        <v/>
      </c>
      <c r="K342">
        <f>IF(J342="","",IF(COUNTIF('Purchase Register'!$K$5:$K$504,J342)=0,"In 2B, not in your books","In books"))</f>
        <v/>
      </c>
    </row>
    <row r="343">
      <c r="A343" s="11" t="n"/>
      <c r="B343" s="11" t="n"/>
      <c r="C343" s="11" t="n"/>
      <c r="D343" s="14" t="n"/>
      <c r="E343" s="18" t="n"/>
      <c r="F343" s="18" t="n"/>
      <c r="G343" s="18" t="n"/>
      <c r="H343" s="18" t="n"/>
      <c r="I343" s="23">
        <f>IF(C343="","",F343+G343+H343)</f>
        <v/>
      </c>
      <c r="J343">
        <f>IF(C343="","",UPPER(TRIM(A343))&amp;"|"&amp;UPPER(TRIM(C343)))</f>
        <v/>
      </c>
      <c r="K343">
        <f>IF(J343="","",IF(COUNTIF('Purchase Register'!$K$5:$K$504,J343)=0,"In 2B, not in your books","In books"))</f>
        <v/>
      </c>
    </row>
    <row r="344">
      <c r="A344" s="11" t="n"/>
      <c r="B344" s="11" t="n"/>
      <c r="C344" s="11" t="n"/>
      <c r="D344" s="14" t="n"/>
      <c r="E344" s="18" t="n"/>
      <c r="F344" s="18" t="n"/>
      <c r="G344" s="18" t="n"/>
      <c r="H344" s="18" t="n"/>
      <c r="I344" s="23">
        <f>IF(C344="","",F344+G344+H344)</f>
        <v/>
      </c>
      <c r="J344">
        <f>IF(C344="","",UPPER(TRIM(A344))&amp;"|"&amp;UPPER(TRIM(C344)))</f>
        <v/>
      </c>
      <c r="K344">
        <f>IF(J344="","",IF(COUNTIF('Purchase Register'!$K$5:$K$504,J344)=0,"In 2B, not in your books","In books"))</f>
        <v/>
      </c>
    </row>
    <row r="345">
      <c r="A345" s="11" t="n"/>
      <c r="B345" s="11" t="n"/>
      <c r="C345" s="11" t="n"/>
      <c r="D345" s="14" t="n"/>
      <c r="E345" s="18" t="n"/>
      <c r="F345" s="18" t="n"/>
      <c r="G345" s="18" t="n"/>
      <c r="H345" s="18" t="n"/>
      <c r="I345" s="23">
        <f>IF(C345="","",F345+G345+H345)</f>
        <v/>
      </c>
      <c r="J345">
        <f>IF(C345="","",UPPER(TRIM(A345))&amp;"|"&amp;UPPER(TRIM(C345)))</f>
        <v/>
      </c>
      <c r="K345">
        <f>IF(J345="","",IF(COUNTIF('Purchase Register'!$K$5:$K$504,J345)=0,"In 2B, not in your books","In books"))</f>
        <v/>
      </c>
    </row>
    <row r="346">
      <c r="A346" s="11" t="n"/>
      <c r="B346" s="11" t="n"/>
      <c r="C346" s="11" t="n"/>
      <c r="D346" s="14" t="n"/>
      <c r="E346" s="18" t="n"/>
      <c r="F346" s="18" t="n"/>
      <c r="G346" s="18" t="n"/>
      <c r="H346" s="18" t="n"/>
      <c r="I346" s="23">
        <f>IF(C346="","",F346+G346+H346)</f>
        <v/>
      </c>
      <c r="J346">
        <f>IF(C346="","",UPPER(TRIM(A346))&amp;"|"&amp;UPPER(TRIM(C346)))</f>
        <v/>
      </c>
      <c r="K346">
        <f>IF(J346="","",IF(COUNTIF('Purchase Register'!$K$5:$K$504,J346)=0,"In 2B, not in your books","In books"))</f>
        <v/>
      </c>
    </row>
    <row r="347">
      <c r="A347" s="11" t="n"/>
      <c r="B347" s="11" t="n"/>
      <c r="C347" s="11" t="n"/>
      <c r="D347" s="14" t="n"/>
      <c r="E347" s="18" t="n"/>
      <c r="F347" s="18" t="n"/>
      <c r="G347" s="18" t="n"/>
      <c r="H347" s="18" t="n"/>
      <c r="I347" s="23">
        <f>IF(C347="","",F347+G347+H347)</f>
        <v/>
      </c>
      <c r="J347">
        <f>IF(C347="","",UPPER(TRIM(A347))&amp;"|"&amp;UPPER(TRIM(C347)))</f>
        <v/>
      </c>
      <c r="K347">
        <f>IF(J347="","",IF(COUNTIF('Purchase Register'!$K$5:$K$504,J347)=0,"In 2B, not in your books","In books"))</f>
        <v/>
      </c>
    </row>
    <row r="348">
      <c r="A348" s="11" t="n"/>
      <c r="B348" s="11" t="n"/>
      <c r="C348" s="11" t="n"/>
      <c r="D348" s="14" t="n"/>
      <c r="E348" s="18" t="n"/>
      <c r="F348" s="18" t="n"/>
      <c r="G348" s="18" t="n"/>
      <c r="H348" s="18" t="n"/>
      <c r="I348" s="23">
        <f>IF(C348="","",F348+G348+H348)</f>
        <v/>
      </c>
      <c r="J348">
        <f>IF(C348="","",UPPER(TRIM(A348))&amp;"|"&amp;UPPER(TRIM(C348)))</f>
        <v/>
      </c>
      <c r="K348">
        <f>IF(J348="","",IF(COUNTIF('Purchase Register'!$K$5:$K$504,J348)=0,"In 2B, not in your books","In books"))</f>
        <v/>
      </c>
    </row>
    <row r="349">
      <c r="A349" s="11" t="n"/>
      <c r="B349" s="11" t="n"/>
      <c r="C349" s="11" t="n"/>
      <c r="D349" s="14" t="n"/>
      <c r="E349" s="18" t="n"/>
      <c r="F349" s="18" t="n"/>
      <c r="G349" s="18" t="n"/>
      <c r="H349" s="18" t="n"/>
      <c r="I349" s="23">
        <f>IF(C349="","",F349+G349+H349)</f>
        <v/>
      </c>
      <c r="J349">
        <f>IF(C349="","",UPPER(TRIM(A349))&amp;"|"&amp;UPPER(TRIM(C349)))</f>
        <v/>
      </c>
      <c r="K349">
        <f>IF(J349="","",IF(COUNTIF('Purchase Register'!$K$5:$K$504,J349)=0,"In 2B, not in your books","In books"))</f>
        <v/>
      </c>
    </row>
    <row r="350">
      <c r="A350" s="11" t="n"/>
      <c r="B350" s="11" t="n"/>
      <c r="C350" s="11" t="n"/>
      <c r="D350" s="14" t="n"/>
      <c r="E350" s="18" t="n"/>
      <c r="F350" s="18" t="n"/>
      <c r="G350" s="18" t="n"/>
      <c r="H350" s="18" t="n"/>
      <c r="I350" s="23">
        <f>IF(C350="","",F350+G350+H350)</f>
        <v/>
      </c>
      <c r="J350">
        <f>IF(C350="","",UPPER(TRIM(A350))&amp;"|"&amp;UPPER(TRIM(C350)))</f>
        <v/>
      </c>
      <c r="K350">
        <f>IF(J350="","",IF(COUNTIF('Purchase Register'!$K$5:$K$504,J350)=0,"In 2B, not in your books","In books"))</f>
        <v/>
      </c>
    </row>
    <row r="351">
      <c r="A351" s="11" t="n"/>
      <c r="B351" s="11" t="n"/>
      <c r="C351" s="11" t="n"/>
      <c r="D351" s="14" t="n"/>
      <c r="E351" s="18" t="n"/>
      <c r="F351" s="18" t="n"/>
      <c r="G351" s="18" t="n"/>
      <c r="H351" s="18" t="n"/>
      <c r="I351" s="23">
        <f>IF(C351="","",F351+G351+H351)</f>
        <v/>
      </c>
      <c r="J351">
        <f>IF(C351="","",UPPER(TRIM(A351))&amp;"|"&amp;UPPER(TRIM(C351)))</f>
        <v/>
      </c>
      <c r="K351">
        <f>IF(J351="","",IF(COUNTIF('Purchase Register'!$K$5:$K$504,J351)=0,"In 2B, not in your books","In books"))</f>
        <v/>
      </c>
    </row>
    <row r="352">
      <c r="A352" s="11" t="n"/>
      <c r="B352" s="11" t="n"/>
      <c r="C352" s="11" t="n"/>
      <c r="D352" s="14" t="n"/>
      <c r="E352" s="18" t="n"/>
      <c r="F352" s="18" t="n"/>
      <c r="G352" s="18" t="n"/>
      <c r="H352" s="18" t="n"/>
      <c r="I352" s="23">
        <f>IF(C352="","",F352+G352+H352)</f>
        <v/>
      </c>
      <c r="J352">
        <f>IF(C352="","",UPPER(TRIM(A352))&amp;"|"&amp;UPPER(TRIM(C352)))</f>
        <v/>
      </c>
      <c r="K352">
        <f>IF(J352="","",IF(COUNTIF('Purchase Register'!$K$5:$K$504,J352)=0,"In 2B, not in your books","In books"))</f>
        <v/>
      </c>
    </row>
    <row r="353">
      <c r="A353" s="11" t="n"/>
      <c r="B353" s="11" t="n"/>
      <c r="C353" s="11" t="n"/>
      <c r="D353" s="14" t="n"/>
      <c r="E353" s="18" t="n"/>
      <c r="F353" s="18" t="n"/>
      <c r="G353" s="18" t="n"/>
      <c r="H353" s="18" t="n"/>
      <c r="I353" s="23">
        <f>IF(C353="","",F353+G353+H353)</f>
        <v/>
      </c>
      <c r="J353">
        <f>IF(C353="","",UPPER(TRIM(A353))&amp;"|"&amp;UPPER(TRIM(C353)))</f>
        <v/>
      </c>
      <c r="K353">
        <f>IF(J353="","",IF(COUNTIF('Purchase Register'!$K$5:$K$504,J353)=0,"In 2B, not in your books","In books"))</f>
        <v/>
      </c>
    </row>
    <row r="354">
      <c r="A354" s="11" t="n"/>
      <c r="B354" s="11" t="n"/>
      <c r="C354" s="11" t="n"/>
      <c r="D354" s="14" t="n"/>
      <c r="E354" s="18" t="n"/>
      <c r="F354" s="18" t="n"/>
      <c r="G354" s="18" t="n"/>
      <c r="H354" s="18" t="n"/>
      <c r="I354" s="23">
        <f>IF(C354="","",F354+G354+H354)</f>
        <v/>
      </c>
      <c r="J354">
        <f>IF(C354="","",UPPER(TRIM(A354))&amp;"|"&amp;UPPER(TRIM(C354)))</f>
        <v/>
      </c>
      <c r="K354">
        <f>IF(J354="","",IF(COUNTIF('Purchase Register'!$K$5:$K$504,J354)=0,"In 2B, not in your books","In books"))</f>
        <v/>
      </c>
    </row>
    <row r="355">
      <c r="A355" s="11" t="n"/>
      <c r="B355" s="11" t="n"/>
      <c r="C355" s="11" t="n"/>
      <c r="D355" s="14" t="n"/>
      <c r="E355" s="18" t="n"/>
      <c r="F355" s="18" t="n"/>
      <c r="G355" s="18" t="n"/>
      <c r="H355" s="18" t="n"/>
      <c r="I355" s="23">
        <f>IF(C355="","",F355+G355+H355)</f>
        <v/>
      </c>
      <c r="J355">
        <f>IF(C355="","",UPPER(TRIM(A355))&amp;"|"&amp;UPPER(TRIM(C355)))</f>
        <v/>
      </c>
      <c r="K355">
        <f>IF(J355="","",IF(COUNTIF('Purchase Register'!$K$5:$K$504,J355)=0,"In 2B, not in your books","In books"))</f>
        <v/>
      </c>
    </row>
    <row r="356">
      <c r="A356" s="11" t="n"/>
      <c r="B356" s="11" t="n"/>
      <c r="C356" s="11" t="n"/>
      <c r="D356" s="14" t="n"/>
      <c r="E356" s="18" t="n"/>
      <c r="F356" s="18" t="n"/>
      <c r="G356" s="18" t="n"/>
      <c r="H356" s="18" t="n"/>
      <c r="I356" s="23">
        <f>IF(C356="","",F356+G356+H356)</f>
        <v/>
      </c>
      <c r="J356">
        <f>IF(C356="","",UPPER(TRIM(A356))&amp;"|"&amp;UPPER(TRIM(C356)))</f>
        <v/>
      </c>
      <c r="K356">
        <f>IF(J356="","",IF(COUNTIF('Purchase Register'!$K$5:$K$504,J356)=0,"In 2B, not in your books","In books"))</f>
        <v/>
      </c>
    </row>
    <row r="357">
      <c r="A357" s="11" t="n"/>
      <c r="B357" s="11" t="n"/>
      <c r="C357" s="11" t="n"/>
      <c r="D357" s="14" t="n"/>
      <c r="E357" s="18" t="n"/>
      <c r="F357" s="18" t="n"/>
      <c r="G357" s="18" t="n"/>
      <c r="H357" s="18" t="n"/>
      <c r="I357" s="23">
        <f>IF(C357="","",F357+G357+H357)</f>
        <v/>
      </c>
      <c r="J357">
        <f>IF(C357="","",UPPER(TRIM(A357))&amp;"|"&amp;UPPER(TRIM(C357)))</f>
        <v/>
      </c>
      <c r="K357">
        <f>IF(J357="","",IF(COUNTIF('Purchase Register'!$K$5:$K$504,J357)=0,"In 2B, not in your books","In books"))</f>
        <v/>
      </c>
    </row>
    <row r="358">
      <c r="A358" s="11" t="n"/>
      <c r="B358" s="11" t="n"/>
      <c r="C358" s="11" t="n"/>
      <c r="D358" s="14" t="n"/>
      <c r="E358" s="18" t="n"/>
      <c r="F358" s="18" t="n"/>
      <c r="G358" s="18" t="n"/>
      <c r="H358" s="18" t="n"/>
      <c r="I358" s="23">
        <f>IF(C358="","",F358+G358+H358)</f>
        <v/>
      </c>
      <c r="J358">
        <f>IF(C358="","",UPPER(TRIM(A358))&amp;"|"&amp;UPPER(TRIM(C358)))</f>
        <v/>
      </c>
      <c r="K358">
        <f>IF(J358="","",IF(COUNTIF('Purchase Register'!$K$5:$K$504,J358)=0,"In 2B, not in your books","In books"))</f>
        <v/>
      </c>
    </row>
    <row r="359">
      <c r="A359" s="11" t="n"/>
      <c r="B359" s="11" t="n"/>
      <c r="C359" s="11" t="n"/>
      <c r="D359" s="14" t="n"/>
      <c r="E359" s="18" t="n"/>
      <c r="F359" s="18" t="n"/>
      <c r="G359" s="18" t="n"/>
      <c r="H359" s="18" t="n"/>
      <c r="I359" s="23">
        <f>IF(C359="","",F359+G359+H359)</f>
        <v/>
      </c>
      <c r="J359">
        <f>IF(C359="","",UPPER(TRIM(A359))&amp;"|"&amp;UPPER(TRIM(C359)))</f>
        <v/>
      </c>
      <c r="K359">
        <f>IF(J359="","",IF(COUNTIF('Purchase Register'!$K$5:$K$504,J359)=0,"In 2B, not in your books","In books"))</f>
        <v/>
      </c>
    </row>
    <row r="360">
      <c r="A360" s="11" t="n"/>
      <c r="B360" s="11" t="n"/>
      <c r="C360" s="11" t="n"/>
      <c r="D360" s="14" t="n"/>
      <c r="E360" s="18" t="n"/>
      <c r="F360" s="18" t="n"/>
      <c r="G360" s="18" t="n"/>
      <c r="H360" s="18" t="n"/>
      <c r="I360" s="23">
        <f>IF(C360="","",F360+G360+H360)</f>
        <v/>
      </c>
      <c r="J360">
        <f>IF(C360="","",UPPER(TRIM(A360))&amp;"|"&amp;UPPER(TRIM(C360)))</f>
        <v/>
      </c>
      <c r="K360">
        <f>IF(J360="","",IF(COUNTIF('Purchase Register'!$K$5:$K$504,J360)=0,"In 2B, not in your books","In books"))</f>
        <v/>
      </c>
    </row>
    <row r="361">
      <c r="A361" s="11" t="n"/>
      <c r="B361" s="11" t="n"/>
      <c r="C361" s="11" t="n"/>
      <c r="D361" s="14" t="n"/>
      <c r="E361" s="18" t="n"/>
      <c r="F361" s="18" t="n"/>
      <c r="G361" s="18" t="n"/>
      <c r="H361" s="18" t="n"/>
      <c r="I361" s="23">
        <f>IF(C361="","",F361+G361+H361)</f>
        <v/>
      </c>
      <c r="J361">
        <f>IF(C361="","",UPPER(TRIM(A361))&amp;"|"&amp;UPPER(TRIM(C361)))</f>
        <v/>
      </c>
      <c r="K361">
        <f>IF(J361="","",IF(COUNTIF('Purchase Register'!$K$5:$K$504,J361)=0,"In 2B, not in your books","In books"))</f>
        <v/>
      </c>
    </row>
    <row r="362">
      <c r="A362" s="11" t="n"/>
      <c r="B362" s="11" t="n"/>
      <c r="C362" s="11" t="n"/>
      <c r="D362" s="14" t="n"/>
      <c r="E362" s="18" t="n"/>
      <c r="F362" s="18" t="n"/>
      <c r="G362" s="18" t="n"/>
      <c r="H362" s="18" t="n"/>
      <c r="I362" s="23">
        <f>IF(C362="","",F362+G362+H362)</f>
        <v/>
      </c>
      <c r="J362">
        <f>IF(C362="","",UPPER(TRIM(A362))&amp;"|"&amp;UPPER(TRIM(C362)))</f>
        <v/>
      </c>
      <c r="K362">
        <f>IF(J362="","",IF(COUNTIF('Purchase Register'!$K$5:$K$504,J362)=0,"In 2B, not in your books","In books"))</f>
        <v/>
      </c>
    </row>
    <row r="363">
      <c r="A363" s="11" t="n"/>
      <c r="B363" s="11" t="n"/>
      <c r="C363" s="11" t="n"/>
      <c r="D363" s="14" t="n"/>
      <c r="E363" s="18" t="n"/>
      <c r="F363" s="18" t="n"/>
      <c r="G363" s="18" t="n"/>
      <c r="H363" s="18" t="n"/>
      <c r="I363" s="23">
        <f>IF(C363="","",F363+G363+H363)</f>
        <v/>
      </c>
      <c r="J363">
        <f>IF(C363="","",UPPER(TRIM(A363))&amp;"|"&amp;UPPER(TRIM(C363)))</f>
        <v/>
      </c>
      <c r="K363">
        <f>IF(J363="","",IF(COUNTIF('Purchase Register'!$K$5:$K$504,J363)=0,"In 2B, not in your books","In books"))</f>
        <v/>
      </c>
    </row>
    <row r="364">
      <c r="A364" s="11" t="n"/>
      <c r="B364" s="11" t="n"/>
      <c r="C364" s="11" t="n"/>
      <c r="D364" s="14" t="n"/>
      <c r="E364" s="18" t="n"/>
      <c r="F364" s="18" t="n"/>
      <c r="G364" s="18" t="n"/>
      <c r="H364" s="18" t="n"/>
      <c r="I364" s="23">
        <f>IF(C364="","",F364+G364+H364)</f>
        <v/>
      </c>
      <c r="J364">
        <f>IF(C364="","",UPPER(TRIM(A364))&amp;"|"&amp;UPPER(TRIM(C364)))</f>
        <v/>
      </c>
      <c r="K364">
        <f>IF(J364="","",IF(COUNTIF('Purchase Register'!$K$5:$K$504,J364)=0,"In 2B, not in your books","In books"))</f>
        <v/>
      </c>
    </row>
    <row r="365">
      <c r="A365" s="11" t="n"/>
      <c r="B365" s="11" t="n"/>
      <c r="C365" s="11" t="n"/>
      <c r="D365" s="14" t="n"/>
      <c r="E365" s="18" t="n"/>
      <c r="F365" s="18" t="n"/>
      <c r="G365" s="18" t="n"/>
      <c r="H365" s="18" t="n"/>
      <c r="I365" s="23">
        <f>IF(C365="","",F365+G365+H365)</f>
        <v/>
      </c>
      <c r="J365">
        <f>IF(C365="","",UPPER(TRIM(A365))&amp;"|"&amp;UPPER(TRIM(C365)))</f>
        <v/>
      </c>
      <c r="K365">
        <f>IF(J365="","",IF(COUNTIF('Purchase Register'!$K$5:$K$504,J365)=0,"In 2B, not in your books","In books"))</f>
        <v/>
      </c>
    </row>
    <row r="366">
      <c r="A366" s="11" t="n"/>
      <c r="B366" s="11" t="n"/>
      <c r="C366" s="11" t="n"/>
      <c r="D366" s="14" t="n"/>
      <c r="E366" s="18" t="n"/>
      <c r="F366" s="18" t="n"/>
      <c r="G366" s="18" t="n"/>
      <c r="H366" s="18" t="n"/>
      <c r="I366" s="23">
        <f>IF(C366="","",F366+G366+H366)</f>
        <v/>
      </c>
      <c r="J366">
        <f>IF(C366="","",UPPER(TRIM(A366))&amp;"|"&amp;UPPER(TRIM(C366)))</f>
        <v/>
      </c>
      <c r="K366">
        <f>IF(J366="","",IF(COUNTIF('Purchase Register'!$K$5:$K$504,J366)=0,"In 2B, not in your books","In books"))</f>
        <v/>
      </c>
    </row>
    <row r="367">
      <c r="A367" s="11" t="n"/>
      <c r="B367" s="11" t="n"/>
      <c r="C367" s="11" t="n"/>
      <c r="D367" s="14" t="n"/>
      <c r="E367" s="18" t="n"/>
      <c r="F367" s="18" t="n"/>
      <c r="G367" s="18" t="n"/>
      <c r="H367" s="18" t="n"/>
      <c r="I367" s="23">
        <f>IF(C367="","",F367+G367+H367)</f>
        <v/>
      </c>
      <c r="J367">
        <f>IF(C367="","",UPPER(TRIM(A367))&amp;"|"&amp;UPPER(TRIM(C367)))</f>
        <v/>
      </c>
      <c r="K367">
        <f>IF(J367="","",IF(COUNTIF('Purchase Register'!$K$5:$K$504,J367)=0,"In 2B, not in your books","In books"))</f>
        <v/>
      </c>
    </row>
    <row r="368">
      <c r="A368" s="11" t="n"/>
      <c r="B368" s="11" t="n"/>
      <c r="C368" s="11" t="n"/>
      <c r="D368" s="14" t="n"/>
      <c r="E368" s="18" t="n"/>
      <c r="F368" s="18" t="n"/>
      <c r="G368" s="18" t="n"/>
      <c r="H368" s="18" t="n"/>
      <c r="I368" s="23">
        <f>IF(C368="","",F368+G368+H368)</f>
        <v/>
      </c>
      <c r="J368">
        <f>IF(C368="","",UPPER(TRIM(A368))&amp;"|"&amp;UPPER(TRIM(C368)))</f>
        <v/>
      </c>
      <c r="K368">
        <f>IF(J368="","",IF(COUNTIF('Purchase Register'!$K$5:$K$504,J368)=0,"In 2B, not in your books","In books"))</f>
        <v/>
      </c>
    </row>
    <row r="369">
      <c r="A369" s="11" t="n"/>
      <c r="B369" s="11" t="n"/>
      <c r="C369" s="11" t="n"/>
      <c r="D369" s="14" t="n"/>
      <c r="E369" s="18" t="n"/>
      <c r="F369" s="18" t="n"/>
      <c r="G369" s="18" t="n"/>
      <c r="H369" s="18" t="n"/>
      <c r="I369" s="23">
        <f>IF(C369="","",F369+G369+H369)</f>
        <v/>
      </c>
      <c r="J369">
        <f>IF(C369="","",UPPER(TRIM(A369))&amp;"|"&amp;UPPER(TRIM(C369)))</f>
        <v/>
      </c>
      <c r="K369">
        <f>IF(J369="","",IF(COUNTIF('Purchase Register'!$K$5:$K$504,J369)=0,"In 2B, not in your books","In books"))</f>
        <v/>
      </c>
    </row>
    <row r="370">
      <c r="A370" s="11" t="n"/>
      <c r="B370" s="11" t="n"/>
      <c r="C370" s="11" t="n"/>
      <c r="D370" s="14" t="n"/>
      <c r="E370" s="18" t="n"/>
      <c r="F370" s="18" t="n"/>
      <c r="G370" s="18" t="n"/>
      <c r="H370" s="18" t="n"/>
      <c r="I370" s="23">
        <f>IF(C370="","",F370+G370+H370)</f>
        <v/>
      </c>
      <c r="J370">
        <f>IF(C370="","",UPPER(TRIM(A370))&amp;"|"&amp;UPPER(TRIM(C370)))</f>
        <v/>
      </c>
      <c r="K370">
        <f>IF(J370="","",IF(COUNTIF('Purchase Register'!$K$5:$K$504,J370)=0,"In 2B, not in your books","In books"))</f>
        <v/>
      </c>
    </row>
    <row r="371">
      <c r="A371" s="11" t="n"/>
      <c r="B371" s="11" t="n"/>
      <c r="C371" s="11" t="n"/>
      <c r="D371" s="14" t="n"/>
      <c r="E371" s="18" t="n"/>
      <c r="F371" s="18" t="n"/>
      <c r="G371" s="18" t="n"/>
      <c r="H371" s="18" t="n"/>
      <c r="I371" s="23">
        <f>IF(C371="","",F371+G371+H371)</f>
        <v/>
      </c>
      <c r="J371">
        <f>IF(C371="","",UPPER(TRIM(A371))&amp;"|"&amp;UPPER(TRIM(C371)))</f>
        <v/>
      </c>
      <c r="K371">
        <f>IF(J371="","",IF(COUNTIF('Purchase Register'!$K$5:$K$504,J371)=0,"In 2B, not in your books","In books"))</f>
        <v/>
      </c>
    </row>
    <row r="372">
      <c r="A372" s="11" t="n"/>
      <c r="B372" s="11" t="n"/>
      <c r="C372" s="11" t="n"/>
      <c r="D372" s="14" t="n"/>
      <c r="E372" s="18" t="n"/>
      <c r="F372" s="18" t="n"/>
      <c r="G372" s="18" t="n"/>
      <c r="H372" s="18" t="n"/>
      <c r="I372" s="23">
        <f>IF(C372="","",F372+G372+H372)</f>
        <v/>
      </c>
      <c r="J372">
        <f>IF(C372="","",UPPER(TRIM(A372))&amp;"|"&amp;UPPER(TRIM(C372)))</f>
        <v/>
      </c>
      <c r="K372">
        <f>IF(J372="","",IF(COUNTIF('Purchase Register'!$K$5:$K$504,J372)=0,"In 2B, not in your books","In books"))</f>
        <v/>
      </c>
    </row>
    <row r="373">
      <c r="A373" s="11" t="n"/>
      <c r="B373" s="11" t="n"/>
      <c r="C373" s="11" t="n"/>
      <c r="D373" s="14" t="n"/>
      <c r="E373" s="18" t="n"/>
      <c r="F373" s="18" t="n"/>
      <c r="G373" s="18" t="n"/>
      <c r="H373" s="18" t="n"/>
      <c r="I373" s="23">
        <f>IF(C373="","",F373+G373+H373)</f>
        <v/>
      </c>
      <c r="J373">
        <f>IF(C373="","",UPPER(TRIM(A373))&amp;"|"&amp;UPPER(TRIM(C373)))</f>
        <v/>
      </c>
      <c r="K373">
        <f>IF(J373="","",IF(COUNTIF('Purchase Register'!$K$5:$K$504,J373)=0,"In 2B, not in your books","In books"))</f>
        <v/>
      </c>
    </row>
    <row r="374">
      <c r="A374" s="11" t="n"/>
      <c r="B374" s="11" t="n"/>
      <c r="C374" s="11" t="n"/>
      <c r="D374" s="14" t="n"/>
      <c r="E374" s="18" t="n"/>
      <c r="F374" s="18" t="n"/>
      <c r="G374" s="18" t="n"/>
      <c r="H374" s="18" t="n"/>
      <c r="I374" s="23">
        <f>IF(C374="","",F374+G374+H374)</f>
        <v/>
      </c>
      <c r="J374">
        <f>IF(C374="","",UPPER(TRIM(A374))&amp;"|"&amp;UPPER(TRIM(C374)))</f>
        <v/>
      </c>
      <c r="K374">
        <f>IF(J374="","",IF(COUNTIF('Purchase Register'!$K$5:$K$504,J374)=0,"In 2B, not in your books","In books"))</f>
        <v/>
      </c>
    </row>
    <row r="375">
      <c r="A375" s="11" t="n"/>
      <c r="B375" s="11" t="n"/>
      <c r="C375" s="11" t="n"/>
      <c r="D375" s="14" t="n"/>
      <c r="E375" s="18" t="n"/>
      <c r="F375" s="18" t="n"/>
      <c r="G375" s="18" t="n"/>
      <c r="H375" s="18" t="n"/>
      <c r="I375" s="23">
        <f>IF(C375="","",F375+G375+H375)</f>
        <v/>
      </c>
      <c r="J375">
        <f>IF(C375="","",UPPER(TRIM(A375))&amp;"|"&amp;UPPER(TRIM(C375)))</f>
        <v/>
      </c>
      <c r="K375">
        <f>IF(J375="","",IF(COUNTIF('Purchase Register'!$K$5:$K$504,J375)=0,"In 2B, not in your books","In books"))</f>
        <v/>
      </c>
    </row>
    <row r="376">
      <c r="A376" s="11" t="n"/>
      <c r="B376" s="11" t="n"/>
      <c r="C376" s="11" t="n"/>
      <c r="D376" s="14" t="n"/>
      <c r="E376" s="18" t="n"/>
      <c r="F376" s="18" t="n"/>
      <c r="G376" s="18" t="n"/>
      <c r="H376" s="18" t="n"/>
      <c r="I376" s="23">
        <f>IF(C376="","",F376+G376+H376)</f>
        <v/>
      </c>
      <c r="J376">
        <f>IF(C376="","",UPPER(TRIM(A376))&amp;"|"&amp;UPPER(TRIM(C376)))</f>
        <v/>
      </c>
      <c r="K376">
        <f>IF(J376="","",IF(COUNTIF('Purchase Register'!$K$5:$K$504,J376)=0,"In 2B, not in your books","In books"))</f>
        <v/>
      </c>
    </row>
    <row r="377">
      <c r="A377" s="11" t="n"/>
      <c r="B377" s="11" t="n"/>
      <c r="C377" s="11" t="n"/>
      <c r="D377" s="14" t="n"/>
      <c r="E377" s="18" t="n"/>
      <c r="F377" s="18" t="n"/>
      <c r="G377" s="18" t="n"/>
      <c r="H377" s="18" t="n"/>
      <c r="I377" s="23">
        <f>IF(C377="","",F377+G377+H377)</f>
        <v/>
      </c>
      <c r="J377">
        <f>IF(C377="","",UPPER(TRIM(A377))&amp;"|"&amp;UPPER(TRIM(C377)))</f>
        <v/>
      </c>
      <c r="K377">
        <f>IF(J377="","",IF(COUNTIF('Purchase Register'!$K$5:$K$504,J377)=0,"In 2B, not in your books","In books"))</f>
        <v/>
      </c>
    </row>
    <row r="378">
      <c r="A378" s="11" t="n"/>
      <c r="B378" s="11" t="n"/>
      <c r="C378" s="11" t="n"/>
      <c r="D378" s="14" t="n"/>
      <c r="E378" s="18" t="n"/>
      <c r="F378" s="18" t="n"/>
      <c r="G378" s="18" t="n"/>
      <c r="H378" s="18" t="n"/>
      <c r="I378" s="23">
        <f>IF(C378="","",F378+G378+H378)</f>
        <v/>
      </c>
      <c r="J378">
        <f>IF(C378="","",UPPER(TRIM(A378))&amp;"|"&amp;UPPER(TRIM(C378)))</f>
        <v/>
      </c>
      <c r="K378">
        <f>IF(J378="","",IF(COUNTIF('Purchase Register'!$K$5:$K$504,J378)=0,"In 2B, not in your books","In books"))</f>
        <v/>
      </c>
    </row>
    <row r="379">
      <c r="A379" s="11" t="n"/>
      <c r="B379" s="11" t="n"/>
      <c r="C379" s="11" t="n"/>
      <c r="D379" s="14" t="n"/>
      <c r="E379" s="18" t="n"/>
      <c r="F379" s="18" t="n"/>
      <c r="G379" s="18" t="n"/>
      <c r="H379" s="18" t="n"/>
      <c r="I379" s="23">
        <f>IF(C379="","",F379+G379+H379)</f>
        <v/>
      </c>
      <c r="J379">
        <f>IF(C379="","",UPPER(TRIM(A379))&amp;"|"&amp;UPPER(TRIM(C379)))</f>
        <v/>
      </c>
      <c r="K379">
        <f>IF(J379="","",IF(COUNTIF('Purchase Register'!$K$5:$K$504,J379)=0,"In 2B, not in your books","In books"))</f>
        <v/>
      </c>
    </row>
    <row r="380">
      <c r="A380" s="11" t="n"/>
      <c r="B380" s="11" t="n"/>
      <c r="C380" s="11" t="n"/>
      <c r="D380" s="14" t="n"/>
      <c r="E380" s="18" t="n"/>
      <c r="F380" s="18" t="n"/>
      <c r="G380" s="18" t="n"/>
      <c r="H380" s="18" t="n"/>
      <c r="I380" s="23">
        <f>IF(C380="","",F380+G380+H380)</f>
        <v/>
      </c>
      <c r="J380">
        <f>IF(C380="","",UPPER(TRIM(A380))&amp;"|"&amp;UPPER(TRIM(C380)))</f>
        <v/>
      </c>
      <c r="K380">
        <f>IF(J380="","",IF(COUNTIF('Purchase Register'!$K$5:$K$504,J380)=0,"In 2B, not in your books","In books"))</f>
        <v/>
      </c>
    </row>
    <row r="381">
      <c r="A381" s="11" t="n"/>
      <c r="B381" s="11" t="n"/>
      <c r="C381" s="11" t="n"/>
      <c r="D381" s="14" t="n"/>
      <c r="E381" s="18" t="n"/>
      <c r="F381" s="18" t="n"/>
      <c r="G381" s="18" t="n"/>
      <c r="H381" s="18" t="n"/>
      <c r="I381" s="23">
        <f>IF(C381="","",F381+G381+H381)</f>
        <v/>
      </c>
      <c r="J381">
        <f>IF(C381="","",UPPER(TRIM(A381))&amp;"|"&amp;UPPER(TRIM(C381)))</f>
        <v/>
      </c>
      <c r="K381">
        <f>IF(J381="","",IF(COUNTIF('Purchase Register'!$K$5:$K$504,J381)=0,"In 2B, not in your books","In books"))</f>
        <v/>
      </c>
    </row>
    <row r="382">
      <c r="A382" s="11" t="n"/>
      <c r="B382" s="11" t="n"/>
      <c r="C382" s="11" t="n"/>
      <c r="D382" s="14" t="n"/>
      <c r="E382" s="18" t="n"/>
      <c r="F382" s="18" t="n"/>
      <c r="G382" s="18" t="n"/>
      <c r="H382" s="18" t="n"/>
      <c r="I382" s="23">
        <f>IF(C382="","",F382+G382+H382)</f>
        <v/>
      </c>
      <c r="J382">
        <f>IF(C382="","",UPPER(TRIM(A382))&amp;"|"&amp;UPPER(TRIM(C382)))</f>
        <v/>
      </c>
      <c r="K382">
        <f>IF(J382="","",IF(COUNTIF('Purchase Register'!$K$5:$K$504,J382)=0,"In 2B, not in your books","In books"))</f>
        <v/>
      </c>
    </row>
    <row r="383">
      <c r="A383" s="11" t="n"/>
      <c r="B383" s="11" t="n"/>
      <c r="C383" s="11" t="n"/>
      <c r="D383" s="14" t="n"/>
      <c r="E383" s="18" t="n"/>
      <c r="F383" s="18" t="n"/>
      <c r="G383" s="18" t="n"/>
      <c r="H383" s="18" t="n"/>
      <c r="I383" s="23">
        <f>IF(C383="","",F383+G383+H383)</f>
        <v/>
      </c>
      <c r="J383">
        <f>IF(C383="","",UPPER(TRIM(A383))&amp;"|"&amp;UPPER(TRIM(C383)))</f>
        <v/>
      </c>
      <c r="K383">
        <f>IF(J383="","",IF(COUNTIF('Purchase Register'!$K$5:$K$504,J383)=0,"In 2B, not in your books","In books"))</f>
        <v/>
      </c>
    </row>
    <row r="384">
      <c r="A384" s="11" t="n"/>
      <c r="B384" s="11" t="n"/>
      <c r="C384" s="11" t="n"/>
      <c r="D384" s="14" t="n"/>
      <c r="E384" s="18" t="n"/>
      <c r="F384" s="18" t="n"/>
      <c r="G384" s="18" t="n"/>
      <c r="H384" s="18" t="n"/>
      <c r="I384" s="23">
        <f>IF(C384="","",F384+G384+H384)</f>
        <v/>
      </c>
      <c r="J384">
        <f>IF(C384="","",UPPER(TRIM(A384))&amp;"|"&amp;UPPER(TRIM(C384)))</f>
        <v/>
      </c>
      <c r="K384">
        <f>IF(J384="","",IF(COUNTIF('Purchase Register'!$K$5:$K$504,J384)=0,"In 2B, not in your books","In books"))</f>
        <v/>
      </c>
    </row>
    <row r="385">
      <c r="A385" s="11" t="n"/>
      <c r="B385" s="11" t="n"/>
      <c r="C385" s="11" t="n"/>
      <c r="D385" s="14" t="n"/>
      <c r="E385" s="18" t="n"/>
      <c r="F385" s="18" t="n"/>
      <c r="G385" s="18" t="n"/>
      <c r="H385" s="18" t="n"/>
      <c r="I385" s="23">
        <f>IF(C385="","",F385+G385+H385)</f>
        <v/>
      </c>
      <c r="J385">
        <f>IF(C385="","",UPPER(TRIM(A385))&amp;"|"&amp;UPPER(TRIM(C385)))</f>
        <v/>
      </c>
      <c r="K385">
        <f>IF(J385="","",IF(COUNTIF('Purchase Register'!$K$5:$K$504,J385)=0,"In 2B, not in your books","In books"))</f>
        <v/>
      </c>
    </row>
    <row r="386">
      <c r="A386" s="11" t="n"/>
      <c r="B386" s="11" t="n"/>
      <c r="C386" s="11" t="n"/>
      <c r="D386" s="14" t="n"/>
      <c r="E386" s="18" t="n"/>
      <c r="F386" s="18" t="n"/>
      <c r="G386" s="18" t="n"/>
      <c r="H386" s="18" t="n"/>
      <c r="I386" s="23">
        <f>IF(C386="","",F386+G386+H386)</f>
        <v/>
      </c>
      <c r="J386">
        <f>IF(C386="","",UPPER(TRIM(A386))&amp;"|"&amp;UPPER(TRIM(C386)))</f>
        <v/>
      </c>
      <c r="K386">
        <f>IF(J386="","",IF(COUNTIF('Purchase Register'!$K$5:$K$504,J386)=0,"In 2B, not in your books","In books"))</f>
        <v/>
      </c>
    </row>
    <row r="387">
      <c r="A387" s="11" t="n"/>
      <c r="B387" s="11" t="n"/>
      <c r="C387" s="11" t="n"/>
      <c r="D387" s="14" t="n"/>
      <c r="E387" s="18" t="n"/>
      <c r="F387" s="18" t="n"/>
      <c r="G387" s="18" t="n"/>
      <c r="H387" s="18" t="n"/>
      <c r="I387" s="23">
        <f>IF(C387="","",F387+G387+H387)</f>
        <v/>
      </c>
      <c r="J387">
        <f>IF(C387="","",UPPER(TRIM(A387))&amp;"|"&amp;UPPER(TRIM(C387)))</f>
        <v/>
      </c>
      <c r="K387">
        <f>IF(J387="","",IF(COUNTIF('Purchase Register'!$K$5:$K$504,J387)=0,"In 2B, not in your books","In books"))</f>
        <v/>
      </c>
    </row>
    <row r="388">
      <c r="A388" s="11" t="n"/>
      <c r="B388" s="11" t="n"/>
      <c r="C388" s="11" t="n"/>
      <c r="D388" s="14" t="n"/>
      <c r="E388" s="18" t="n"/>
      <c r="F388" s="18" t="n"/>
      <c r="G388" s="18" t="n"/>
      <c r="H388" s="18" t="n"/>
      <c r="I388" s="23">
        <f>IF(C388="","",F388+G388+H388)</f>
        <v/>
      </c>
      <c r="J388">
        <f>IF(C388="","",UPPER(TRIM(A388))&amp;"|"&amp;UPPER(TRIM(C388)))</f>
        <v/>
      </c>
      <c r="K388">
        <f>IF(J388="","",IF(COUNTIF('Purchase Register'!$K$5:$K$504,J388)=0,"In 2B, not in your books","In books"))</f>
        <v/>
      </c>
    </row>
    <row r="389">
      <c r="A389" s="11" t="n"/>
      <c r="B389" s="11" t="n"/>
      <c r="C389" s="11" t="n"/>
      <c r="D389" s="14" t="n"/>
      <c r="E389" s="18" t="n"/>
      <c r="F389" s="18" t="n"/>
      <c r="G389" s="18" t="n"/>
      <c r="H389" s="18" t="n"/>
      <c r="I389" s="23">
        <f>IF(C389="","",F389+G389+H389)</f>
        <v/>
      </c>
      <c r="J389">
        <f>IF(C389="","",UPPER(TRIM(A389))&amp;"|"&amp;UPPER(TRIM(C389)))</f>
        <v/>
      </c>
      <c r="K389">
        <f>IF(J389="","",IF(COUNTIF('Purchase Register'!$K$5:$K$504,J389)=0,"In 2B, not in your books","In books"))</f>
        <v/>
      </c>
    </row>
    <row r="390">
      <c r="A390" s="11" t="n"/>
      <c r="B390" s="11" t="n"/>
      <c r="C390" s="11" t="n"/>
      <c r="D390" s="14" t="n"/>
      <c r="E390" s="18" t="n"/>
      <c r="F390" s="18" t="n"/>
      <c r="G390" s="18" t="n"/>
      <c r="H390" s="18" t="n"/>
      <c r="I390" s="23">
        <f>IF(C390="","",F390+G390+H390)</f>
        <v/>
      </c>
      <c r="J390">
        <f>IF(C390="","",UPPER(TRIM(A390))&amp;"|"&amp;UPPER(TRIM(C390)))</f>
        <v/>
      </c>
      <c r="K390">
        <f>IF(J390="","",IF(COUNTIF('Purchase Register'!$K$5:$K$504,J390)=0,"In 2B, not in your books","In books"))</f>
        <v/>
      </c>
    </row>
    <row r="391">
      <c r="A391" s="11" t="n"/>
      <c r="B391" s="11" t="n"/>
      <c r="C391" s="11" t="n"/>
      <c r="D391" s="14" t="n"/>
      <c r="E391" s="18" t="n"/>
      <c r="F391" s="18" t="n"/>
      <c r="G391" s="18" t="n"/>
      <c r="H391" s="18" t="n"/>
      <c r="I391" s="23">
        <f>IF(C391="","",F391+G391+H391)</f>
        <v/>
      </c>
      <c r="J391">
        <f>IF(C391="","",UPPER(TRIM(A391))&amp;"|"&amp;UPPER(TRIM(C391)))</f>
        <v/>
      </c>
      <c r="K391">
        <f>IF(J391="","",IF(COUNTIF('Purchase Register'!$K$5:$K$504,J391)=0,"In 2B, not in your books","In books"))</f>
        <v/>
      </c>
    </row>
    <row r="392">
      <c r="A392" s="11" t="n"/>
      <c r="B392" s="11" t="n"/>
      <c r="C392" s="11" t="n"/>
      <c r="D392" s="14" t="n"/>
      <c r="E392" s="18" t="n"/>
      <c r="F392" s="18" t="n"/>
      <c r="G392" s="18" t="n"/>
      <c r="H392" s="18" t="n"/>
      <c r="I392" s="23">
        <f>IF(C392="","",F392+G392+H392)</f>
        <v/>
      </c>
      <c r="J392">
        <f>IF(C392="","",UPPER(TRIM(A392))&amp;"|"&amp;UPPER(TRIM(C392)))</f>
        <v/>
      </c>
      <c r="K392">
        <f>IF(J392="","",IF(COUNTIF('Purchase Register'!$K$5:$K$504,J392)=0,"In 2B, not in your books","In books"))</f>
        <v/>
      </c>
    </row>
    <row r="393">
      <c r="A393" s="11" t="n"/>
      <c r="B393" s="11" t="n"/>
      <c r="C393" s="11" t="n"/>
      <c r="D393" s="14" t="n"/>
      <c r="E393" s="18" t="n"/>
      <c r="F393" s="18" t="n"/>
      <c r="G393" s="18" t="n"/>
      <c r="H393" s="18" t="n"/>
      <c r="I393" s="23">
        <f>IF(C393="","",F393+G393+H393)</f>
        <v/>
      </c>
      <c r="J393">
        <f>IF(C393="","",UPPER(TRIM(A393))&amp;"|"&amp;UPPER(TRIM(C393)))</f>
        <v/>
      </c>
      <c r="K393">
        <f>IF(J393="","",IF(COUNTIF('Purchase Register'!$K$5:$K$504,J393)=0,"In 2B, not in your books","In books"))</f>
        <v/>
      </c>
    </row>
    <row r="394">
      <c r="A394" s="11" t="n"/>
      <c r="B394" s="11" t="n"/>
      <c r="C394" s="11" t="n"/>
      <c r="D394" s="14" t="n"/>
      <c r="E394" s="18" t="n"/>
      <c r="F394" s="18" t="n"/>
      <c r="G394" s="18" t="n"/>
      <c r="H394" s="18" t="n"/>
      <c r="I394" s="23">
        <f>IF(C394="","",F394+G394+H394)</f>
        <v/>
      </c>
      <c r="J394">
        <f>IF(C394="","",UPPER(TRIM(A394))&amp;"|"&amp;UPPER(TRIM(C394)))</f>
        <v/>
      </c>
      <c r="K394">
        <f>IF(J394="","",IF(COUNTIF('Purchase Register'!$K$5:$K$504,J394)=0,"In 2B, not in your books","In books"))</f>
        <v/>
      </c>
    </row>
    <row r="395">
      <c r="A395" s="11" t="n"/>
      <c r="B395" s="11" t="n"/>
      <c r="C395" s="11" t="n"/>
      <c r="D395" s="14" t="n"/>
      <c r="E395" s="18" t="n"/>
      <c r="F395" s="18" t="n"/>
      <c r="G395" s="18" t="n"/>
      <c r="H395" s="18" t="n"/>
      <c r="I395" s="23">
        <f>IF(C395="","",F395+G395+H395)</f>
        <v/>
      </c>
      <c r="J395">
        <f>IF(C395="","",UPPER(TRIM(A395))&amp;"|"&amp;UPPER(TRIM(C395)))</f>
        <v/>
      </c>
      <c r="K395">
        <f>IF(J395="","",IF(COUNTIF('Purchase Register'!$K$5:$K$504,J395)=0,"In 2B, not in your books","In books"))</f>
        <v/>
      </c>
    </row>
    <row r="396">
      <c r="A396" s="11" t="n"/>
      <c r="B396" s="11" t="n"/>
      <c r="C396" s="11" t="n"/>
      <c r="D396" s="14" t="n"/>
      <c r="E396" s="18" t="n"/>
      <c r="F396" s="18" t="n"/>
      <c r="G396" s="18" t="n"/>
      <c r="H396" s="18" t="n"/>
      <c r="I396" s="23">
        <f>IF(C396="","",F396+G396+H396)</f>
        <v/>
      </c>
      <c r="J396">
        <f>IF(C396="","",UPPER(TRIM(A396))&amp;"|"&amp;UPPER(TRIM(C396)))</f>
        <v/>
      </c>
      <c r="K396">
        <f>IF(J396="","",IF(COUNTIF('Purchase Register'!$K$5:$K$504,J396)=0,"In 2B, not in your books","In books"))</f>
        <v/>
      </c>
    </row>
    <row r="397">
      <c r="A397" s="11" t="n"/>
      <c r="B397" s="11" t="n"/>
      <c r="C397" s="11" t="n"/>
      <c r="D397" s="14" t="n"/>
      <c r="E397" s="18" t="n"/>
      <c r="F397" s="18" t="n"/>
      <c r="G397" s="18" t="n"/>
      <c r="H397" s="18" t="n"/>
      <c r="I397" s="23">
        <f>IF(C397="","",F397+G397+H397)</f>
        <v/>
      </c>
      <c r="J397">
        <f>IF(C397="","",UPPER(TRIM(A397))&amp;"|"&amp;UPPER(TRIM(C397)))</f>
        <v/>
      </c>
      <c r="K397">
        <f>IF(J397="","",IF(COUNTIF('Purchase Register'!$K$5:$K$504,J397)=0,"In 2B, not in your books","In books"))</f>
        <v/>
      </c>
    </row>
    <row r="398">
      <c r="A398" s="11" t="n"/>
      <c r="B398" s="11" t="n"/>
      <c r="C398" s="11" t="n"/>
      <c r="D398" s="14" t="n"/>
      <c r="E398" s="18" t="n"/>
      <c r="F398" s="18" t="n"/>
      <c r="G398" s="18" t="n"/>
      <c r="H398" s="18" t="n"/>
      <c r="I398" s="23">
        <f>IF(C398="","",F398+G398+H398)</f>
        <v/>
      </c>
      <c r="J398">
        <f>IF(C398="","",UPPER(TRIM(A398))&amp;"|"&amp;UPPER(TRIM(C398)))</f>
        <v/>
      </c>
      <c r="K398">
        <f>IF(J398="","",IF(COUNTIF('Purchase Register'!$K$5:$K$504,J398)=0,"In 2B, not in your books","In books"))</f>
        <v/>
      </c>
    </row>
    <row r="399">
      <c r="A399" s="11" t="n"/>
      <c r="B399" s="11" t="n"/>
      <c r="C399" s="11" t="n"/>
      <c r="D399" s="14" t="n"/>
      <c r="E399" s="18" t="n"/>
      <c r="F399" s="18" t="n"/>
      <c r="G399" s="18" t="n"/>
      <c r="H399" s="18" t="n"/>
      <c r="I399" s="23">
        <f>IF(C399="","",F399+G399+H399)</f>
        <v/>
      </c>
      <c r="J399">
        <f>IF(C399="","",UPPER(TRIM(A399))&amp;"|"&amp;UPPER(TRIM(C399)))</f>
        <v/>
      </c>
      <c r="K399">
        <f>IF(J399="","",IF(COUNTIF('Purchase Register'!$K$5:$K$504,J399)=0,"In 2B, not in your books","In books"))</f>
        <v/>
      </c>
    </row>
    <row r="400">
      <c r="A400" s="11" t="n"/>
      <c r="B400" s="11" t="n"/>
      <c r="C400" s="11" t="n"/>
      <c r="D400" s="14" t="n"/>
      <c r="E400" s="18" t="n"/>
      <c r="F400" s="18" t="n"/>
      <c r="G400" s="18" t="n"/>
      <c r="H400" s="18" t="n"/>
      <c r="I400" s="23">
        <f>IF(C400="","",F400+G400+H400)</f>
        <v/>
      </c>
      <c r="J400">
        <f>IF(C400="","",UPPER(TRIM(A400))&amp;"|"&amp;UPPER(TRIM(C400)))</f>
        <v/>
      </c>
      <c r="K400">
        <f>IF(J400="","",IF(COUNTIF('Purchase Register'!$K$5:$K$504,J400)=0,"In 2B, not in your books","In books"))</f>
        <v/>
      </c>
    </row>
    <row r="401">
      <c r="A401" s="11" t="n"/>
      <c r="B401" s="11" t="n"/>
      <c r="C401" s="11" t="n"/>
      <c r="D401" s="14" t="n"/>
      <c r="E401" s="18" t="n"/>
      <c r="F401" s="18" t="n"/>
      <c r="G401" s="18" t="n"/>
      <c r="H401" s="18" t="n"/>
      <c r="I401" s="23">
        <f>IF(C401="","",F401+G401+H401)</f>
        <v/>
      </c>
      <c r="J401">
        <f>IF(C401="","",UPPER(TRIM(A401))&amp;"|"&amp;UPPER(TRIM(C401)))</f>
        <v/>
      </c>
      <c r="K401">
        <f>IF(J401="","",IF(COUNTIF('Purchase Register'!$K$5:$K$504,J401)=0,"In 2B, not in your books","In books"))</f>
        <v/>
      </c>
    </row>
    <row r="402">
      <c r="A402" s="11" t="n"/>
      <c r="B402" s="11" t="n"/>
      <c r="C402" s="11" t="n"/>
      <c r="D402" s="14" t="n"/>
      <c r="E402" s="18" t="n"/>
      <c r="F402" s="18" t="n"/>
      <c r="G402" s="18" t="n"/>
      <c r="H402" s="18" t="n"/>
      <c r="I402" s="23">
        <f>IF(C402="","",F402+G402+H402)</f>
        <v/>
      </c>
      <c r="J402">
        <f>IF(C402="","",UPPER(TRIM(A402))&amp;"|"&amp;UPPER(TRIM(C402)))</f>
        <v/>
      </c>
      <c r="K402">
        <f>IF(J402="","",IF(COUNTIF('Purchase Register'!$K$5:$K$504,J402)=0,"In 2B, not in your books","In books"))</f>
        <v/>
      </c>
    </row>
    <row r="403">
      <c r="A403" s="11" t="n"/>
      <c r="B403" s="11" t="n"/>
      <c r="C403" s="11" t="n"/>
      <c r="D403" s="14" t="n"/>
      <c r="E403" s="18" t="n"/>
      <c r="F403" s="18" t="n"/>
      <c r="G403" s="18" t="n"/>
      <c r="H403" s="18" t="n"/>
      <c r="I403" s="23">
        <f>IF(C403="","",F403+G403+H403)</f>
        <v/>
      </c>
      <c r="J403">
        <f>IF(C403="","",UPPER(TRIM(A403))&amp;"|"&amp;UPPER(TRIM(C403)))</f>
        <v/>
      </c>
      <c r="K403">
        <f>IF(J403="","",IF(COUNTIF('Purchase Register'!$K$5:$K$504,J403)=0,"In 2B, not in your books","In books"))</f>
        <v/>
      </c>
    </row>
    <row r="404">
      <c r="A404" s="11" t="n"/>
      <c r="B404" s="11" t="n"/>
      <c r="C404" s="11" t="n"/>
      <c r="D404" s="14" t="n"/>
      <c r="E404" s="18" t="n"/>
      <c r="F404" s="18" t="n"/>
      <c r="G404" s="18" t="n"/>
      <c r="H404" s="18" t="n"/>
      <c r="I404" s="23">
        <f>IF(C404="","",F404+G404+H404)</f>
        <v/>
      </c>
      <c r="J404">
        <f>IF(C404="","",UPPER(TRIM(A404))&amp;"|"&amp;UPPER(TRIM(C404)))</f>
        <v/>
      </c>
      <c r="K404">
        <f>IF(J404="","",IF(COUNTIF('Purchase Register'!$K$5:$K$504,J404)=0,"In 2B, not in your books","In books"))</f>
        <v/>
      </c>
    </row>
    <row r="405">
      <c r="A405" s="11" t="n"/>
      <c r="B405" s="11" t="n"/>
      <c r="C405" s="11" t="n"/>
      <c r="D405" s="14" t="n"/>
      <c r="E405" s="18" t="n"/>
      <c r="F405" s="18" t="n"/>
      <c r="G405" s="18" t="n"/>
      <c r="H405" s="18" t="n"/>
      <c r="I405" s="23">
        <f>IF(C405="","",F405+G405+H405)</f>
        <v/>
      </c>
      <c r="J405">
        <f>IF(C405="","",UPPER(TRIM(A405))&amp;"|"&amp;UPPER(TRIM(C405)))</f>
        <v/>
      </c>
      <c r="K405">
        <f>IF(J405="","",IF(COUNTIF('Purchase Register'!$K$5:$K$504,J405)=0,"In 2B, not in your books","In books"))</f>
        <v/>
      </c>
    </row>
    <row r="406">
      <c r="A406" s="11" t="n"/>
      <c r="B406" s="11" t="n"/>
      <c r="C406" s="11" t="n"/>
      <c r="D406" s="14" t="n"/>
      <c r="E406" s="18" t="n"/>
      <c r="F406" s="18" t="n"/>
      <c r="G406" s="18" t="n"/>
      <c r="H406" s="18" t="n"/>
      <c r="I406" s="23">
        <f>IF(C406="","",F406+G406+H406)</f>
        <v/>
      </c>
      <c r="J406">
        <f>IF(C406="","",UPPER(TRIM(A406))&amp;"|"&amp;UPPER(TRIM(C406)))</f>
        <v/>
      </c>
      <c r="K406">
        <f>IF(J406="","",IF(COUNTIF('Purchase Register'!$K$5:$K$504,J406)=0,"In 2B, not in your books","In books"))</f>
        <v/>
      </c>
    </row>
    <row r="407">
      <c r="A407" s="11" t="n"/>
      <c r="B407" s="11" t="n"/>
      <c r="C407" s="11" t="n"/>
      <c r="D407" s="14" t="n"/>
      <c r="E407" s="18" t="n"/>
      <c r="F407" s="18" t="n"/>
      <c r="G407" s="18" t="n"/>
      <c r="H407" s="18" t="n"/>
      <c r="I407" s="23">
        <f>IF(C407="","",F407+G407+H407)</f>
        <v/>
      </c>
      <c r="J407">
        <f>IF(C407="","",UPPER(TRIM(A407))&amp;"|"&amp;UPPER(TRIM(C407)))</f>
        <v/>
      </c>
      <c r="K407">
        <f>IF(J407="","",IF(COUNTIF('Purchase Register'!$K$5:$K$504,J407)=0,"In 2B, not in your books","In books"))</f>
        <v/>
      </c>
    </row>
    <row r="408">
      <c r="A408" s="11" t="n"/>
      <c r="B408" s="11" t="n"/>
      <c r="C408" s="11" t="n"/>
      <c r="D408" s="14" t="n"/>
      <c r="E408" s="18" t="n"/>
      <c r="F408" s="18" t="n"/>
      <c r="G408" s="18" t="n"/>
      <c r="H408" s="18" t="n"/>
      <c r="I408" s="23">
        <f>IF(C408="","",F408+G408+H408)</f>
        <v/>
      </c>
      <c r="J408">
        <f>IF(C408="","",UPPER(TRIM(A408))&amp;"|"&amp;UPPER(TRIM(C408)))</f>
        <v/>
      </c>
      <c r="K408">
        <f>IF(J408="","",IF(COUNTIF('Purchase Register'!$K$5:$K$504,J408)=0,"In 2B, not in your books","In books"))</f>
        <v/>
      </c>
    </row>
    <row r="409">
      <c r="A409" s="11" t="n"/>
      <c r="B409" s="11" t="n"/>
      <c r="C409" s="11" t="n"/>
      <c r="D409" s="14" t="n"/>
      <c r="E409" s="18" t="n"/>
      <c r="F409" s="18" t="n"/>
      <c r="G409" s="18" t="n"/>
      <c r="H409" s="18" t="n"/>
      <c r="I409" s="23">
        <f>IF(C409="","",F409+G409+H409)</f>
        <v/>
      </c>
      <c r="J409">
        <f>IF(C409="","",UPPER(TRIM(A409))&amp;"|"&amp;UPPER(TRIM(C409)))</f>
        <v/>
      </c>
      <c r="K409">
        <f>IF(J409="","",IF(COUNTIF('Purchase Register'!$K$5:$K$504,J409)=0,"In 2B, not in your books","In books"))</f>
        <v/>
      </c>
    </row>
    <row r="410">
      <c r="A410" s="11" t="n"/>
      <c r="B410" s="11" t="n"/>
      <c r="C410" s="11" t="n"/>
      <c r="D410" s="14" t="n"/>
      <c r="E410" s="18" t="n"/>
      <c r="F410" s="18" t="n"/>
      <c r="G410" s="18" t="n"/>
      <c r="H410" s="18" t="n"/>
      <c r="I410" s="23">
        <f>IF(C410="","",F410+G410+H410)</f>
        <v/>
      </c>
      <c r="J410">
        <f>IF(C410="","",UPPER(TRIM(A410))&amp;"|"&amp;UPPER(TRIM(C410)))</f>
        <v/>
      </c>
      <c r="K410">
        <f>IF(J410="","",IF(COUNTIF('Purchase Register'!$K$5:$K$504,J410)=0,"In 2B, not in your books","In books"))</f>
        <v/>
      </c>
    </row>
    <row r="411">
      <c r="A411" s="11" t="n"/>
      <c r="B411" s="11" t="n"/>
      <c r="C411" s="11" t="n"/>
      <c r="D411" s="14" t="n"/>
      <c r="E411" s="18" t="n"/>
      <c r="F411" s="18" t="n"/>
      <c r="G411" s="18" t="n"/>
      <c r="H411" s="18" t="n"/>
      <c r="I411" s="23">
        <f>IF(C411="","",F411+G411+H411)</f>
        <v/>
      </c>
      <c r="J411">
        <f>IF(C411="","",UPPER(TRIM(A411))&amp;"|"&amp;UPPER(TRIM(C411)))</f>
        <v/>
      </c>
      <c r="K411">
        <f>IF(J411="","",IF(COUNTIF('Purchase Register'!$K$5:$K$504,J411)=0,"In 2B, not in your books","In books"))</f>
        <v/>
      </c>
    </row>
    <row r="412">
      <c r="A412" s="11" t="n"/>
      <c r="B412" s="11" t="n"/>
      <c r="C412" s="11" t="n"/>
      <c r="D412" s="14" t="n"/>
      <c r="E412" s="18" t="n"/>
      <c r="F412" s="18" t="n"/>
      <c r="G412" s="18" t="n"/>
      <c r="H412" s="18" t="n"/>
      <c r="I412" s="23">
        <f>IF(C412="","",F412+G412+H412)</f>
        <v/>
      </c>
      <c r="J412">
        <f>IF(C412="","",UPPER(TRIM(A412))&amp;"|"&amp;UPPER(TRIM(C412)))</f>
        <v/>
      </c>
      <c r="K412">
        <f>IF(J412="","",IF(COUNTIF('Purchase Register'!$K$5:$K$504,J412)=0,"In 2B, not in your books","In books"))</f>
        <v/>
      </c>
    </row>
    <row r="413">
      <c r="A413" s="11" t="n"/>
      <c r="B413" s="11" t="n"/>
      <c r="C413" s="11" t="n"/>
      <c r="D413" s="14" t="n"/>
      <c r="E413" s="18" t="n"/>
      <c r="F413" s="18" t="n"/>
      <c r="G413" s="18" t="n"/>
      <c r="H413" s="18" t="n"/>
      <c r="I413" s="23">
        <f>IF(C413="","",F413+G413+H413)</f>
        <v/>
      </c>
      <c r="J413">
        <f>IF(C413="","",UPPER(TRIM(A413))&amp;"|"&amp;UPPER(TRIM(C413)))</f>
        <v/>
      </c>
      <c r="K413">
        <f>IF(J413="","",IF(COUNTIF('Purchase Register'!$K$5:$K$504,J413)=0,"In 2B, not in your books","In books"))</f>
        <v/>
      </c>
    </row>
    <row r="414">
      <c r="A414" s="11" t="n"/>
      <c r="B414" s="11" t="n"/>
      <c r="C414" s="11" t="n"/>
      <c r="D414" s="14" t="n"/>
      <c r="E414" s="18" t="n"/>
      <c r="F414" s="18" t="n"/>
      <c r="G414" s="18" t="n"/>
      <c r="H414" s="18" t="n"/>
      <c r="I414" s="23">
        <f>IF(C414="","",F414+G414+H414)</f>
        <v/>
      </c>
      <c r="J414">
        <f>IF(C414="","",UPPER(TRIM(A414))&amp;"|"&amp;UPPER(TRIM(C414)))</f>
        <v/>
      </c>
      <c r="K414">
        <f>IF(J414="","",IF(COUNTIF('Purchase Register'!$K$5:$K$504,J414)=0,"In 2B, not in your books","In books"))</f>
        <v/>
      </c>
    </row>
    <row r="415">
      <c r="A415" s="11" t="n"/>
      <c r="B415" s="11" t="n"/>
      <c r="C415" s="11" t="n"/>
      <c r="D415" s="14" t="n"/>
      <c r="E415" s="18" t="n"/>
      <c r="F415" s="18" t="n"/>
      <c r="G415" s="18" t="n"/>
      <c r="H415" s="18" t="n"/>
      <c r="I415" s="23">
        <f>IF(C415="","",F415+G415+H415)</f>
        <v/>
      </c>
      <c r="J415">
        <f>IF(C415="","",UPPER(TRIM(A415))&amp;"|"&amp;UPPER(TRIM(C415)))</f>
        <v/>
      </c>
      <c r="K415">
        <f>IF(J415="","",IF(COUNTIF('Purchase Register'!$K$5:$K$504,J415)=0,"In 2B, not in your books","In books"))</f>
        <v/>
      </c>
    </row>
    <row r="416">
      <c r="A416" s="11" t="n"/>
      <c r="B416" s="11" t="n"/>
      <c r="C416" s="11" t="n"/>
      <c r="D416" s="14" t="n"/>
      <c r="E416" s="18" t="n"/>
      <c r="F416" s="18" t="n"/>
      <c r="G416" s="18" t="n"/>
      <c r="H416" s="18" t="n"/>
      <c r="I416" s="23">
        <f>IF(C416="","",F416+G416+H416)</f>
        <v/>
      </c>
      <c r="J416">
        <f>IF(C416="","",UPPER(TRIM(A416))&amp;"|"&amp;UPPER(TRIM(C416)))</f>
        <v/>
      </c>
      <c r="K416">
        <f>IF(J416="","",IF(COUNTIF('Purchase Register'!$K$5:$K$504,J416)=0,"In 2B, not in your books","In books"))</f>
        <v/>
      </c>
    </row>
    <row r="417">
      <c r="A417" s="11" t="n"/>
      <c r="B417" s="11" t="n"/>
      <c r="C417" s="11" t="n"/>
      <c r="D417" s="14" t="n"/>
      <c r="E417" s="18" t="n"/>
      <c r="F417" s="18" t="n"/>
      <c r="G417" s="18" t="n"/>
      <c r="H417" s="18" t="n"/>
      <c r="I417" s="23">
        <f>IF(C417="","",F417+G417+H417)</f>
        <v/>
      </c>
      <c r="J417">
        <f>IF(C417="","",UPPER(TRIM(A417))&amp;"|"&amp;UPPER(TRIM(C417)))</f>
        <v/>
      </c>
      <c r="K417">
        <f>IF(J417="","",IF(COUNTIF('Purchase Register'!$K$5:$K$504,J417)=0,"In 2B, not in your books","In books"))</f>
        <v/>
      </c>
    </row>
    <row r="418">
      <c r="A418" s="11" t="n"/>
      <c r="B418" s="11" t="n"/>
      <c r="C418" s="11" t="n"/>
      <c r="D418" s="14" t="n"/>
      <c r="E418" s="18" t="n"/>
      <c r="F418" s="18" t="n"/>
      <c r="G418" s="18" t="n"/>
      <c r="H418" s="18" t="n"/>
      <c r="I418" s="23">
        <f>IF(C418="","",F418+G418+H418)</f>
        <v/>
      </c>
      <c r="J418">
        <f>IF(C418="","",UPPER(TRIM(A418))&amp;"|"&amp;UPPER(TRIM(C418)))</f>
        <v/>
      </c>
      <c r="K418">
        <f>IF(J418="","",IF(COUNTIF('Purchase Register'!$K$5:$K$504,J418)=0,"In 2B, not in your books","In books"))</f>
        <v/>
      </c>
    </row>
    <row r="419">
      <c r="A419" s="11" t="n"/>
      <c r="B419" s="11" t="n"/>
      <c r="C419" s="11" t="n"/>
      <c r="D419" s="14" t="n"/>
      <c r="E419" s="18" t="n"/>
      <c r="F419" s="18" t="n"/>
      <c r="G419" s="18" t="n"/>
      <c r="H419" s="18" t="n"/>
      <c r="I419" s="23">
        <f>IF(C419="","",F419+G419+H419)</f>
        <v/>
      </c>
      <c r="J419">
        <f>IF(C419="","",UPPER(TRIM(A419))&amp;"|"&amp;UPPER(TRIM(C419)))</f>
        <v/>
      </c>
      <c r="K419">
        <f>IF(J419="","",IF(COUNTIF('Purchase Register'!$K$5:$K$504,J419)=0,"In 2B, not in your books","In books"))</f>
        <v/>
      </c>
    </row>
    <row r="420">
      <c r="A420" s="11" t="n"/>
      <c r="B420" s="11" t="n"/>
      <c r="C420" s="11" t="n"/>
      <c r="D420" s="14" t="n"/>
      <c r="E420" s="18" t="n"/>
      <c r="F420" s="18" t="n"/>
      <c r="G420" s="18" t="n"/>
      <c r="H420" s="18" t="n"/>
      <c r="I420" s="23">
        <f>IF(C420="","",F420+G420+H420)</f>
        <v/>
      </c>
      <c r="J420">
        <f>IF(C420="","",UPPER(TRIM(A420))&amp;"|"&amp;UPPER(TRIM(C420)))</f>
        <v/>
      </c>
      <c r="K420">
        <f>IF(J420="","",IF(COUNTIF('Purchase Register'!$K$5:$K$504,J420)=0,"In 2B, not in your books","In books"))</f>
        <v/>
      </c>
    </row>
    <row r="421">
      <c r="A421" s="11" t="n"/>
      <c r="B421" s="11" t="n"/>
      <c r="C421" s="11" t="n"/>
      <c r="D421" s="14" t="n"/>
      <c r="E421" s="18" t="n"/>
      <c r="F421" s="18" t="n"/>
      <c r="G421" s="18" t="n"/>
      <c r="H421" s="18" t="n"/>
      <c r="I421" s="23">
        <f>IF(C421="","",F421+G421+H421)</f>
        <v/>
      </c>
      <c r="J421">
        <f>IF(C421="","",UPPER(TRIM(A421))&amp;"|"&amp;UPPER(TRIM(C421)))</f>
        <v/>
      </c>
      <c r="K421">
        <f>IF(J421="","",IF(COUNTIF('Purchase Register'!$K$5:$K$504,J421)=0,"In 2B, not in your books","In books"))</f>
        <v/>
      </c>
    </row>
    <row r="422">
      <c r="A422" s="11" t="n"/>
      <c r="B422" s="11" t="n"/>
      <c r="C422" s="11" t="n"/>
      <c r="D422" s="14" t="n"/>
      <c r="E422" s="18" t="n"/>
      <c r="F422" s="18" t="n"/>
      <c r="G422" s="18" t="n"/>
      <c r="H422" s="18" t="n"/>
      <c r="I422" s="23">
        <f>IF(C422="","",F422+G422+H422)</f>
        <v/>
      </c>
      <c r="J422">
        <f>IF(C422="","",UPPER(TRIM(A422))&amp;"|"&amp;UPPER(TRIM(C422)))</f>
        <v/>
      </c>
      <c r="K422">
        <f>IF(J422="","",IF(COUNTIF('Purchase Register'!$K$5:$K$504,J422)=0,"In 2B, not in your books","In books"))</f>
        <v/>
      </c>
    </row>
    <row r="423">
      <c r="A423" s="11" t="n"/>
      <c r="B423" s="11" t="n"/>
      <c r="C423" s="11" t="n"/>
      <c r="D423" s="14" t="n"/>
      <c r="E423" s="18" t="n"/>
      <c r="F423" s="18" t="n"/>
      <c r="G423" s="18" t="n"/>
      <c r="H423" s="18" t="n"/>
      <c r="I423" s="23">
        <f>IF(C423="","",F423+G423+H423)</f>
        <v/>
      </c>
      <c r="J423">
        <f>IF(C423="","",UPPER(TRIM(A423))&amp;"|"&amp;UPPER(TRIM(C423)))</f>
        <v/>
      </c>
      <c r="K423">
        <f>IF(J423="","",IF(COUNTIF('Purchase Register'!$K$5:$K$504,J423)=0,"In 2B, not in your books","In books"))</f>
        <v/>
      </c>
    </row>
    <row r="424">
      <c r="A424" s="11" t="n"/>
      <c r="B424" s="11" t="n"/>
      <c r="C424" s="11" t="n"/>
      <c r="D424" s="14" t="n"/>
      <c r="E424" s="18" t="n"/>
      <c r="F424" s="18" t="n"/>
      <c r="G424" s="18" t="n"/>
      <c r="H424" s="18" t="n"/>
      <c r="I424" s="23">
        <f>IF(C424="","",F424+G424+H424)</f>
        <v/>
      </c>
      <c r="J424">
        <f>IF(C424="","",UPPER(TRIM(A424))&amp;"|"&amp;UPPER(TRIM(C424)))</f>
        <v/>
      </c>
      <c r="K424">
        <f>IF(J424="","",IF(COUNTIF('Purchase Register'!$K$5:$K$504,J424)=0,"In 2B, not in your books","In books"))</f>
        <v/>
      </c>
    </row>
    <row r="425">
      <c r="A425" s="11" t="n"/>
      <c r="B425" s="11" t="n"/>
      <c r="C425" s="11" t="n"/>
      <c r="D425" s="14" t="n"/>
      <c r="E425" s="18" t="n"/>
      <c r="F425" s="18" t="n"/>
      <c r="G425" s="18" t="n"/>
      <c r="H425" s="18" t="n"/>
      <c r="I425" s="23">
        <f>IF(C425="","",F425+G425+H425)</f>
        <v/>
      </c>
      <c r="J425">
        <f>IF(C425="","",UPPER(TRIM(A425))&amp;"|"&amp;UPPER(TRIM(C425)))</f>
        <v/>
      </c>
      <c r="K425">
        <f>IF(J425="","",IF(COUNTIF('Purchase Register'!$K$5:$K$504,J425)=0,"In 2B, not in your books","In books"))</f>
        <v/>
      </c>
    </row>
    <row r="426">
      <c r="A426" s="11" t="n"/>
      <c r="B426" s="11" t="n"/>
      <c r="C426" s="11" t="n"/>
      <c r="D426" s="14" t="n"/>
      <c r="E426" s="18" t="n"/>
      <c r="F426" s="18" t="n"/>
      <c r="G426" s="18" t="n"/>
      <c r="H426" s="18" t="n"/>
      <c r="I426" s="23">
        <f>IF(C426="","",F426+G426+H426)</f>
        <v/>
      </c>
      <c r="J426">
        <f>IF(C426="","",UPPER(TRIM(A426))&amp;"|"&amp;UPPER(TRIM(C426)))</f>
        <v/>
      </c>
      <c r="K426">
        <f>IF(J426="","",IF(COUNTIF('Purchase Register'!$K$5:$K$504,J426)=0,"In 2B, not in your books","In books"))</f>
        <v/>
      </c>
    </row>
    <row r="427">
      <c r="A427" s="11" t="n"/>
      <c r="B427" s="11" t="n"/>
      <c r="C427" s="11" t="n"/>
      <c r="D427" s="14" t="n"/>
      <c r="E427" s="18" t="n"/>
      <c r="F427" s="18" t="n"/>
      <c r="G427" s="18" t="n"/>
      <c r="H427" s="18" t="n"/>
      <c r="I427" s="23">
        <f>IF(C427="","",F427+G427+H427)</f>
        <v/>
      </c>
      <c r="J427">
        <f>IF(C427="","",UPPER(TRIM(A427))&amp;"|"&amp;UPPER(TRIM(C427)))</f>
        <v/>
      </c>
      <c r="K427">
        <f>IF(J427="","",IF(COUNTIF('Purchase Register'!$K$5:$K$504,J427)=0,"In 2B, not in your books","In books"))</f>
        <v/>
      </c>
    </row>
    <row r="428">
      <c r="A428" s="11" t="n"/>
      <c r="B428" s="11" t="n"/>
      <c r="C428" s="11" t="n"/>
      <c r="D428" s="14" t="n"/>
      <c r="E428" s="18" t="n"/>
      <c r="F428" s="18" t="n"/>
      <c r="G428" s="18" t="n"/>
      <c r="H428" s="18" t="n"/>
      <c r="I428" s="23">
        <f>IF(C428="","",F428+G428+H428)</f>
        <v/>
      </c>
      <c r="J428">
        <f>IF(C428="","",UPPER(TRIM(A428))&amp;"|"&amp;UPPER(TRIM(C428)))</f>
        <v/>
      </c>
      <c r="K428">
        <f>IF(J428="","",IF(COUNTIF('Purchase Register'!$K$5:$K$504,J428)=0,"In 2B, not in your books","In books"))</f>
        <v/>
      </c>
    </row>
    <row r="429">
      <c r="A429" s="11" t="n"/>
      <c r="B429" s="11" t="n"/>
      <c r="C429" s="11" t="n"/>
      <c r="D429" s="14" t="n"/>
      <c r="E429" s="18" t="n"/>
      <c r="F429" s="18" t="n"/>
      <c r="G429" s="18" t="n"/>
      <c r="H429" s="18" t="n"/>
      <c r="I429" s="23">
        <f>IF(C429="","",F429+G429+H429)</f>
        <v/>
      </c>
      <c r="J429">
        <f>IF(C429="","",UPPER(TRIM(A429))&amp;"|"&amp;UPPER(TRIM(C429)))</f>
        <v/>
      </c>
      <c r="K429">
        <f>IF(J429="","",IF(COUNTIF('Purchase Register'!$K$5:$K$504,J429)=0,"In 2B, not in your books","In books"))</f>
        <v/>
      </c>
    </row>
    <row r="430">
      <c r="A430" s="11" t="n"/>
      <c r="B430" s="11" t="n"/>
      <c r="C430" s="11" t="n"/>
      <c r="D430" s="14" t="n"/>
      <c r="E430" s="18" t="n"/>
      <c r="F430" s="18" t="n"/>
      <c r="G430" s="18" t="n"/>
      <c r="H430" s="18" t="n"/>
      <c r="I430" s="23">
        <f>IF(C430="","",F430+G430+H430)</f>
        <v/>
      </c>
      <c r="J430">
        <f>IF(C430="","",UPPER(TRIM(A430))&amp;"|"&amp;UPPER(TRIM(C430)))</f>
        <v/>
      </c>
      <c r="K430">
        <f>IF(J430="","",IF(COUNTIF('Purchase Register'!$K$5:$K$504,J430)=0,"In 2B, not in your books","In books"))</f>
        <v/>
      </c>
    </row>
    <row r="431">
      <c r="A431" s="11" t="n"/>
      <c r="B431" s="11" t="n"/>
      <c r="C431" s="11" t="n"/>
      <c r="D431" s="14" t="n"/>
      <c r="E431" s="18" t="n"/>
      <c r="F431" s="18" t="n"/>
      <c r="G431" s="18" t="n"/>
      <c r="H431" s="18" t="n"/>
      <c r="I431" s="23">
        <f>IF(C431="","",F431+G431+H431)</f>
        <v/>
      </c>
      <c r="J431">
        <f>IF(C431="","",UPPER(TRIM(A431))&amp;"|"&amp;UPPER(TRIM(C431)))</f>
        <v/>
      </c>
      <c r="K431">
        <f>IF(J431="","",IF(COUNTIF('Purchase Register'!$K$5:$K$504,J431)=0,"In 2B, not in your books","In books"))</f>
        <v/>
      </c>
    </row>
    <row r="432">
      <c r="A432" s="11" t="n"/>
      <c r="B432" s="11" t="n"/>
      <c r="C432" s="11" t="n"/>
      <c r="D432" s="14" t="n"/>
      <c r="E432" s="18" t="n"/>
      <c r="F432" s="18" t="n"/>
      <c r="G432" s="18" t="n"/>
      <c r="H432" s="18" t="n"/>
      <c r="I432" s="23">
        <f>IF(C432="","",F432+G432+H432)</f>
        <v/>
      </c>
      <c r="J432">
        <f>IF(C432="","",UPPER(TRIM(A432))&amp;"|"&amp;UPPER(TRIM(C432)))</f>
        <v/>
      </c>
      <c r="K432">
        <f>IF(J432="","",IF(COUNTIF('Purchase Register'!$K$5:$K$504,J432)=0,"In 2B, not in your books","In books"))</f>
        <v/>
      </c>
    </row>
    <row r="433">
      <c r="A433" s="11" t="n"/>
      <c r="B433" s="11" t="n"/>
      <c r="C433" s="11" t="n"/>
      <c r="D433" s="14" t="n"/>
      <c r="E433" s="18" t="n"/>
      <c r="F433" s="18" t="n"/>
      <c r="G433" s="18" t="n"/>
      <c r="H433" s="18" t="n"/>
      <c r="I433" s="23">
        <f>IF(C433="","",F433+G433+H433)</f>
        <v/>
      </c>
      <c r="J433">
        <f>IF(C433="","",UPPER(TRIM(A433))&amp;"|"&amp;UPPER(TRIM(C433)))</f>
        <v/>
      </c>
      <c r="K433">
        <f>IF(J433="","",IF(COUNTIF('Purchase Register'!$K$5:$K$504,J433)=0,"In 2B, not in your books","In books"))</f>
        <v/>
      </c>
    </row>
    <row r="434">
      <c r="A434" s="11" t="n"/>
      <c r="B434" s="11" t="n"/>
      <c r="C434" s="11" t="n"/>
      <c r="D434" s="14" t="n"/>
      <c r="E434" s="18" t="n"/>
      <c r="F434" s="18" t="n"/>
      <c r="G434" s="18" t="n"/>
      <c r="H434" s="18" t="n"/>
      <c r="I434" s="23">
        <f>IF(C434="","",F434+G434+H434)</f>
        <v/>
      </c>
      <c r="J434">
        <f>IF(C434="","",UPPER(TRIM(A434))&amp;"|"&amp;UPPER(TRIM(C434)))</f>
        <v/>
      </c>
      <c r="K434">
        <f>IF(J434="","",IF(COUNTIF('Purchase Register'!$K$5:$K$504,J434)=0,"In 2B, not in your books","In books"))</f>
        <v/>
      </c>
    </row>
    <row r="435">
      <c r="A435" s="11" t="n"/>
      <c r="B435" s="11" t="n"/>
      <c r="C435" s="11" t="n"/>
      <c r="D435" s="14" t="n"/>
      <c r="E435" s="18" t="n"/>
      <c r="F435" s="18" t="n"/>
      <c r="G435" s="18" t="n"/>
      <c r="H435" s="18" t="n"/>
      <c r="I435" s="23">
        <f>IF(C435="","",F435+G435+H435)</f>
        <v/>
      </c>
      <c r="J435">
        <f>IF(C435="","",UPPER(TRIM(A435))&amp;"|"&amp;UPPER(TRIM(C435)))</f>
        <v/>
      </c>
      <c r="K435">
        <f>IF(J435="","",IF(COUNTIF('Purchase Register'!$K$5:$K$504,J435)=0,"In 2B, not in your books","In books"))</f>
        <v/>
      </c>
    </row>
    <row r="436">
      <c r="A436" s="11" t="n"/>
      <c r="B436" s="11" t="n"/>
      <c r="C436" s="11" t="n"/>
      <c r="D436" s="14" t="n"/>
      <c r="E436" s="18" t="n"/>
      <c r="F436" s="18" t="n"/>
      <c r="G436" s="18" t="n"/>
      <c r="H436" s="18" t="n"/>
      <c r="I436" s="23">
        <f>IF(C436="","",F436+G436+H436)</f>
        <v/>
      </c>
      <c r="J436">
        <f>IF(C436="","",UPPER(TRIM(A436))&amp;"|"&amp;UPPER(TRIM(C436)))</f>
        <v/>
      </c>
      <c r="K436">
        <f>IF(J436="","",IF(COUNTIF('Purchase Register'!$K$5:$K$504,J436)=0,"In 2B, not in your books","In books"))</f>
        <v/>
      </c>
    </row>
    <row r="437">
      <c r="A437" s="11" t="n"/>
      <c r="B437" s="11" t="n"/>
      <c r="C437" s="11" t="n"/>
      <c r="D437" s="14" t="n"/>
      <c r="E437" s="18" t="n"/>
      <c r="F437" s="18" t="n"/>
      <c r="G437" s="18" t="n"/>
      <c r="H437" s="18" t="n"/>
      <c r="I437" s="23">
        <f>IF(C437="","",F437+G437+H437)</f>
        <v/>
      </c>
      <c r="J437">
        <f>IF(C437="","",UPPER(TRIM(A437))&amp;"|"&amp;UPPER(TRIM(C437)))</f>
        <v/>
      </c>
      <c r="K437">
        <f>IF(J437="","",IF(COUNTIF('Purchase Register'!$K$5:$K$504,J437)=0,"In 2B, not in your books","In books"))</f>
        <v/>
      </c>
    </row>
    <row r="438">
      <c r="A438" s="11" t="n"/>
      <c r="B438" s="11" t="n"/>
      <c r="C438" s="11" t="n"/>
      <c r="D438" s="14" t="n"/>
      <c r="E438" s="18" t="n"/>
      <c r="F438" s="18" t="n"/>
      <c r="G438" s="18" t="n"/>
      <c r="H438" s="18" t="n"/>
      <c r="I438" s="23">
        <f>IF(C438="","",F438+G438+H438)</f>
        <v/>
      </c>
      <c r="J438">
        <f>IF(C438="","",UPPER(TRIM(A438))&amp;"|"&amp;UPPER(TRIM(C438)))</f>
        <v/>
      </c>
      <c r="K438">
        <f>IF(J438="","",IF(COUNTIF('Purchase Register'!$K$5:$K$504,J438)=0,"In 2B, not in your books","In books"))</f>
        <v/>
      </c>
    </row>
    <row r="439">
      <c r="A439" s="11" t="n"/>
      <c r="B439" s="11" t="n"/>
      <c r="C439" s="11" t="n"/>
      <c r="D439" s="14" t="n"/>
      <c r="E439" s="18" t="n"/>
      <c r="F439" s="18" t="n"/>
      <c r="G439" s="18" t="n"/>
      <c r="H439" s="18" t="n"/>
      <c r="I439" s="23">
        <f>IF(C439="","",F439+G439+H439)</f>
        <v/>
      </c>
      <c r="J439">
        <f>IF(C439="","",UPPER(TRIM(A439))&amp;"|"&amp;UPPER(TRIM(C439)))</f>
        <v/>
      </c>
      <c r="K439">
        <f>IF(J439="","",IF(COUNTIF('Purchase Register'!$K$5:$K$504,J439)=0,"In 2B, not in your books","In books"))</f>
        <v/>
      </c>
    </row>
    <row r="440">
      <c r="A440" s="11" t="n"/>
      <c r="B440" s="11" t="n"/>
      <c r="C440" s="11" t="n"/>
      <c r="D440" s="14" t="n"/>
      <c r="E440" s="18" t="n"/>
      <c r="F440" s="18" t="n"/>
      <c r="G440" s="18" t="n"/>
      <c r="H440" s="18" t="n"/>
      <c r="I440" s="23">
        <f>IF(C440="","",F440+G440+H440)</f>
        <v/>
      </c>
      <c r="J440">
        <f>IF(C440="","",UPPER(TRIM(A440))&amp;"|"&amp;UPPER(TRIM(C440)))</f>
        <v/>
      </c>
      <c r="K440">
        <f>IF(J440="","",IF(COUNTIF('Purchase Register'!$K$5:$K$504,J440)=0,"In 2B, not in your books","In books"))</f>
        <v/>
      </c>
    </row>
    <row r="441">
      <c r="A441" s="11" t="n"/>
      <c r="B441" s="11" t="n"/>
      <c r="C441" s="11" t="n"/>
      <c r="D441" s="14" t="n"/>
      <c r="E441" s="18" t="n"/>
      <c r="F441" s="18" t="n"/>
      <c r="G441" s="18" t="n"/>
      <c r="H441" s="18" t="n"/>
      <c r="I441" s="23">
        <f>IF(C441="","",F441+G441+H441)</f>
        <v/>
      </c>
      <c r="J441">
        <f>IF(C441="","",UPPER(TRIM(A441))&amp;"|"&amp;UPPER(TRIM(C441)))</f>
        <v/>
      </c>
      <c r="K441">
        <f>IF(J441="","",IF(COUNTIF('Purchase Register'!$K$5:$K$504,J441)=0,"In 2B, not in your books","In books"))</f>
        <v/>
      </c>
    </row>
    <row r="442">
      <c r="A442" s="11" t="n"/>
      <c r="B442" s="11" t="n"/>
      <c r="C442" s="11" t="n"/>
      <c r="D442" s="14" t="n"/>
      <c r="E442" s="18" t="n"/>
      <c r="F442" s="18" t="n"/>
      <c r="G442" s="18" t="n"/>
      <c r="H442" s="18" t="n"/>
      <c r="I442" s="23">
        <f>IF(C442="","",F442+G442+H442)</f>
        <v/>
      </c>
      <c r="J442">
        <f>IF(C442="","",UPPER(TRIM(A442))&amp;"|"&amp;UPPER(TRIM(C442)))</f>
        <v/>
      </c>
      <c r="K442">
        <f>IF(J442="","",IF(COUNTIF('Purchase Register'!$K$5:$K$504,J442)=0,"In 2B, not in your books","In books"))</f>
        <v/>
      </c>
    </row>
    <row r="443">
      <c r="A443" s="11" t="n"/>
      <c r="B443" s="11" t="n"/>
      <c r="C443" s="11" t="n"/>
      <c r="D443" s="14" t="n"/>
      <c r="E443" s="18" t="n"/>
      <c r="F443" s="18" t="n"/>
      <c r="G443" s="18" t="n"/>
      <c r="H443" s="18" t="n"/>
      <c r="I443" s="23">
        <f>IF(C443="","",F443+G443+H443)</f>
        <v/>
      </c>
      <c r="J443">
        <f>IF(C443="","",UPPER(TRIM(A443))&amp;"|"&amp;UPPER(TRIM(C443)))</f>
        <v/>
      </c>
      <c r="K443">
        <f>IF(J443="","",IF(COUNTIF('Purchase Register'!$K$5:$K$504,J443)=0,"In 2B, not in your books","In books"))</f>
        <v/>
      </c>
    </row>
    <row r="444">
      <c r="A444" s="11" t="n"/>
      <c r="B444" s="11" t="n"/>
      <c r="C444" s="11" t="n"/>
      <c r="D444" s="14" t="n"/>
      <c r="E444" s="18" t="n"/>
      <c r="F444" s="18" t="n"/>
      <c r="G444" s="18" t="n"/>
      <c r="H444" s="18" t="n"/>
      <c r="I444" s="23">
        <f>IF(C444="","",F444+G444+H444)</f>
        <v/>
      </c>
      <c r="J444">
        <f>IF(C444="","",UPPER(TRIM(A444))&amp;"|"&amp;UPPER(TRIM(C444)))</f>
        <v/>
      </c>
      <c r="K444">
        <f>IF(J444="","",IF(COUNTIF('Purchase Register'!$K$5:$K$504,J444)=0,"In 2B, not in your books","In books"))</f>
        <v/>
      </c>
    </row>
    <row r="445">
      <c r="A445" s="11" t="n"/>
      <c r="B445" s="11" t="n"/>
      <c r="C445" s="11" t="n"/>
      <c r="D445" s="14" t="n"/>
      <c r="E445" s="18" t="n"/>
      <c r="F445" s="18" t="n"/>
      <c r="G445" s="18" t="n"/>
      <c r="H445" s="18" t="n"/>
      <c r="I445" s="23">
        <f>IF(C445="","",F445+G445+H445)</f>
        <v/>
      </c>
      <c r="J445">
        <f>IF(C445="","",UPPER(TRIM(A445))&amp;"|"&amp;UPPER(TRIM(C445)))</f>
        <v/>
      </c>
      <c r="K445">
        <f>IF(J445="","",IF(COUNTIF('Purchase Register'!$K$5:$K$504,J445)=0,"In 2B, not in your books","In books"))</f>
        <v/>
      </c>
    </row>
    <row r="446">
      <c r="A446" s="11" t="n"/>
      <c r="B446" s="11" t="n"/>
      <c r="C446" s="11" t="n"/>
      <c r="D446" s="14" t="n"/>
      <c r="E446" s="18" t="n"/>
      <c r="F446" s="18" t="n"/>
      <c r="G446" s="18" t="n"/>
      <c r="H446" s="18" t="n"/>
      <c r="I446" s="23">
        <f>IF(C446="","",F446+G446+H446)</f>
        <v/>
      </c>
      <c r="J446">
        <f>IF(C446="","",UPPER(TRIM(A446))&amp;"|"&amp;UPPER(TRIM(C446)))</f>
        <v/>
      </c>
      <c r="K446">
        <f>IF(J446="","",IF(COUNTIF('Purchase Register'!$K$5:$K$504,J446)=0,"In 2B, not in your books","In books"))</f>
        <v/>
      </c>
    </row>
    <row r="447">
      <c r="A447" s="11" t="n"/>
      <c r="B447" s="11" t="n"/>
      <c r="C447" s="11" t="n"/>
      <c r="D447" s="14" t="n"/>
      <c r="E447" s="18" t="n"/>
      <c r="F447" s="18" t="n"/>
      <c r="G447" s="18" t="n"/>
      <c r="H447" s="18" t="n"/>
      <c r="I447" s="23">
        <f>IF(C447="","",F447+G447+H447)</f>
        <v/>
      </c>
      <c r="J447">
        <f>IF(C447="","",UPPER(TRIM(A447))&amp;"|"&amp;UPPER(TRIM(C447)))</f>
        <v/>
      </c>
      <c r="K447">
        <f>IF(J447="","",IF(COUNTIF('Purchase Register'!$K$5:$K$504,J447)=0,"In 2B, not in your books","In books"))</f>
        <v/>
      </c>
    </row>
    <row r="448">
      <c r="A448" s="11" t="n"/>
      <c r="B448" s="11" t="n"/>
      <c r="C448" s="11" t="n"/>
      <c r="D448" s="14" t="n"/>
      <c r="E448" s="18" t="n"/>
      <c r="F448" s="18" t="n"/>
      <c r="G448" s="18" t="n"/>
      <c r="H448" s="18" t="n"/>
      <c r="I448" s="23">
        <f>IF(C448="","",F448+G448+H448)</f>
        <v/>
      </c>
      <c r="J448">
        <f>IF(C448="","",UPPER(TRIM(A448))&amp;"|"&amp;UPPER(TRIM(C448)))</f>
        <v/>
      </c>
      <c r="K448">
        <f>IF(J448="","",IF(COUNTIF('Purchase Register'!$K$5:$K$504,J448)=0,"In 2B, not in your books","In books"))</f>
        <v/>
      </c>
    </row>
    <row r="449">
      <c r="A449" s="11" t="n"/>
      <c r="B449" s="11" t="n"/>
      <c r="C449" s="11" t="n"/>
      <c r="D449" s="14" t="n"/>
      <c r="E449" s="18" t="n"/>
      <c r="F449" s="18" t="n"/>
      <c r="G449" s="18" t="n"/>
      <c r="H449" s="18" t="n"/>
      <c r="I449" s="23">
        <f>IF(C449="","",F449+G449+H449)</f>
        <v/>
      </c>
      <c r="J449">
        <f>IF(C449="","",UPPER(TRIM(A449))&amp;"|"&amp;UPPER(TRIM(C449)))</f>
        <v/>
      </c>
      <c r="K449">
        <f>IF(J449="","",IF(COUNTIF('Purchase Register'!$K$5:$K$504,J449)=0,"In 2B, not in your books","In books"))</f>
        <v/>
      </c>
    </row>
    <row r="450">
      <c r="A450" s="11" t="n"/>
      <c r="B450" s="11" t="n"/>
      <c r="C450" s="11" t="n"/>
      <c r="D450" s="14" t="n"/>
      <c r="E450" s="18" t="n"/>
      <c r="F450" s="18" t="n"/>
      <c r="G450" s="18" t="n"/>
      <c r="H450" s="18" t="n"/>
      <c r="I450" s="23">
        <f>IF(C450="","",F450+G450+H450)</f>
        <v/>
      </c>
      <c r="J450">
        <f>IF(C450="","",UPPER(TRIM(A450))&amp;"|"&amp;UPPER(TRIM(C450)))</f>
        <v/>
      </c>
      <c r="K450">
        <f>IF(J450="","",IF(COUNTIF('Purchase Register'!$K$5:$K$504,J450)=0,"In 2B, not in your books","In books"))</f>
        <v/>
      </c>
    </row>
    <row r="451">
      <c r="A451" s="11" t="n"/>
      <c r="B451" s="11" t="n"/>
      <c r="C451" s="11" t="n"/>
      <c r="D451" s="14" t="n"/>
      <c r="E451" s="18" t="n"/>
      <c r="F451" s="18" t="n"/>
      <c r="G451" s="18" t="n"/>
      <c r="H451" s="18" t="n"/>
      <c r="I451" s="23">
        <f>IF(C451="","",F451+G451+H451)</f>
        <v/>
      </c>
      <c r="J451">
        <f>IF(C451="","",UPPER(TRIM(A451))&amp;"|"&amp;UPPER(TRIM(C451)))</f>
        <v/>
      </c>
      <c r="K451">
        <f>IF(J451="","",IF(COUNTIF('Purchase Register'!$K$5:$K$504,J451)=0,"In 2B, not in your books","In books"))</f>
        <v/>
      </c>
    </row>
    <row r="452">
      <c r="A452" s="11" t="n"/>
      <c r="B452" s="11" t="n"/>
      <c r="C452" s="11" t="n"/>
      <c r="D452" s="14" t="n"/>
      <c r="E452" s="18" t="n"/>
      <c r="F452" s="18" t="n"/>
      <c r="G452" s="18" t="n"/>
      <c r="H452" s="18" t="n"/>
      <c r="I452" s="23">
        <f>IF(C452="","",F452+G452+H452)</f>
        <v/>
      </c>
      <c r="J452">
        <f>IF(C452="","",UPPER(TRIM(A452))&amp;"|"&amp;UPPER(TRIM(C452)))</f>
        <v/>
      </c>
      <c r="K452">
        <f>IF(J452="","",IF(COUNTIF('Purchase Register'!$K$5:$K$504,J452)=0,"In 2B, not in your books","In books"))</f>
        <v/>
      </c>
    </row>
    <row r="453">
      <c r="A453" s="11" t="n"/>
      <c r="B453" s="11" t="n"/>
      <c r="C453" s="11" t="n"/>
      <c r="D453" s="14" t="n"/>
      <c r="E453" s="18" t="n"/>
      <c r="F453" s="18" t="n"/>
      <c r="G453" s="18" t="n"/>
      <c r="H453" s="18" t="n"/>
      <c r="I453" s="23">
        <f>IF(C453="","",F453+G453+H453)</f>
        <v/>
      </c>
      <c r="J453">
        <f>IF(C453="","",UPPER(TRIM(A453))&amp;"|"&amp;UPPER(TRIM(C453)))</f>
        <v/>
      </c>
      <c r="K453">
        <f>IF(J453="","",IF(COUNTIF('Purchase Register'!$K$5:$K$504,J453)=0,"In 2B, not in your books","In books"))</f>
        <v/>
      </c>
    </row>
    <row r="454">
      <c r="A454" s="11" t="n"/>
      <c r="B454" s="11" t="n"/>
      <c r="C454" s="11" t="n"/>
      <c r="D454" s="14" t="n"/>
      <c r="E454" s="18" t="n"/>
      <c r="F454" s="18" t="n"/>
      <c r="G454" s="18" t="n"/>
      <c r="H454" s="18" t="n"/>
      <c r="I454" s="23">
        <f>IF(C454="","",F454+G454+H454)</f>
        <v/>
      </c>
      <c r="J454">
        <f>IF(C454="","",UPPER(TRIM(A454))&amp;"|"&amp;UPPER(TRIM(C454)))</f>
        <v/>
      </c>
      <c r="K454">
        <f>IF(J454="","",IF(COUNTIF('Purchase Register'!$K$5:$K$504,J454)=0,"In 2B, not in your books","In books"))</f>
        <v/>
      </c>
    </row>
    <row r="455">
      <c r="A455" s="11" t="n"/>
      <c r="B455" s="11" t="n"/>
      <c r="C455" s="11" t="n"/>
      <c r="D455" s="14" t="n"/>
      <c r="E455" s="18" t="n"/>
      <c r="F455" s="18" t="n"/>
      <c r="G455" s="18" t="n"/>
      <c r="H455" s="18" t="n"/>
      <c r="I455" s="23">
        <f>IF(C455="","",F455+G455+H455)</f>
        <v/>
      </c>
      <c r="J455">
        <f>IF(C455="","",UPPER(TRIM(A455))&amp;"|"&amp;UPPER(TRIM(C455)))</f>
        <v/>
      </c>
      <c r="K455">
        <f>IF(J455="","",IF(COUNTIF('Purchase Register'!$K$5:$K$504,J455)=0,"In 2B, not in your books","In books"))</f>
        <v/>
      </c>
    </row>
    <row r="456">
      <c r="A456" s="11" t="n"/>
      <c r="B456" s="11" t="n"/>
      <c r="C456" s="11" t="n"/>
      <c r="D456" s="14" t="n"/>
      <c r="E456" s="18" t="n"/>
      <c r="F456" s="18" t="n"/>
      <c r="G456" s="18" t="n"/>
      <c r="H456" s="18" t="n"/>
      <c r="I456" s="23">
        <f>IF(C456="","",F456+G456+H456)</f>
        <v/>
      </c>
      <c r="J456">
        <f>IF(C456="","",UPPER(TRIM(A456))&amp;"|"&amp;UPPER(TRIM(C456)))</f>
        <v/>
      </c>
      <c r="K456">
        <f>IF(J456="","",IF(COUNTIF('Purchase Register'!$K$5:$K$504,J456)=0,"In 2B, not in your books","In books"))</f>
        <v/>
      </c>
    </row>
    <row r="457">
      <c r="A457" s="11" t="n"/>
      <c r="B457" s="11" t="n"/>
      <c r="C457" s="11" t="n"/>
      <c r="D457" s="14" t="n"/>
      <c r="E457" s="18" t="n"/>
      <c r="F457" s="18" t="n"/>
      <c r="G457" s="18" t="n"/>
      <c r="H457" s="18" t="n"/>
      <c r="I457" s="23">
        <f>IF(C457="","",F457+G457+H457)</f>
        <v/>
      </c>
      <c r="J457">
        <f>IF(C457="","",UPPER(TRIM(A457))&amp;"|"&amp;UPPER(TRIM(C457)))</f>
        <v/>
      </c>
      <c r="K457">
        <f>IF(J457="","",IF(COUNTIF('Purchase Register'!$K$5:$K$504,J457)=0,"In 2B, not in your books","In books"))</f>
        <v/>
      </c>
    </row>
    <row r="458">
      <c r="A458" s="11" t="n"/>
      <c r="B458" s="11" t="n"/>
      <c r="C458" s="11" t="n"/>
      <c r="D458" s="14" t="n"/>
      <c r="E458" s="18" t="n"/>
      <c r="F458" s="18" t="n"/>
      <c r="G458" s="18" t="n"/>
      <c r="H458" s="18" t="n"/>
      <c r="I458" s="23">
        <f>IF(C458="","",F458+G458+H458)</f>
        <v/>
      </c>
      <c r="J458">
        <f>IF(C458="","",UPPER(TRIM(A458))&amp;"|"&amp;UPPER(TRIM(C458)))</f>
        <v/>
      </c>
      <c r="K458">
        <f>IF(J458="","",IF(COUNTIF('Purchase Register'!$K$5:$K$504,J458)=0,"In 2B, not in your books","In books"))</f>
        <v/>
      </c>
    </row>
    <row r="459">
      <c r="A459" s="11" t="n"/>
      <c r="B459" s="11" t="n"/>
      <c r="C459" s="11" t="n"/>
      <c r="D459" s="14" t="n"/>
      <c r="E459" s="18" t="n"/>
      <c r="F459" s="18" t="n"/>
      <c r="G459" s="18" t="n"/>
      <c r="H459" s="18" t="n"/>
      <c r="I459" s="23">
        <f>IF(C459="","",F459+G459+H459)</f>
        <v/>
      </c>
      <c r="J459">
        <f>IF(C459="","",UPPER(TRIM(A459))&amp;"|"&amp;UPPER(TRIM(C459)))</f>
        <v/>
      </c>
      <c r="K459">
        <f>IF(J459="","",IF(COUNTIF('Purchase Register'!$K$5:$K$504,J459)=0,"In 2B, not in your books","In books"))</f>
        <v/>
      </c>
    </row>
    <row r="460">
      <c r="A460" s="11" t="n"/>
      <c r="B460" s="11" t="n"/>
      <c r="C460" s="11" t="n"/>
      <c r="D460" s="14" t="n"/>
      <c r="E460" s="18" t="n"/>
      <c r="F460" s="18" t="n"/>
      <c r="G460" s="18" t="n"/>
      <c r="H460" s="18" t="n"/>
      <c r="I460" s="23">
        <f>IF(C460="","",F460+G460+H460)</f>
        <v/>
      </c>
      <c r="J460">
        <f>IF(C460="","",UPPER(TRIM(A460))&amp;"|"&amp;UPPER(TRIM(C460)))</f>
        <v/>
      </c>
      <c r="K460">
        <f>IF(J460="","",IF(COUNTIF('Purchase Register'!$K$5:$K$504,J460)=0,"In 2B, not in your books","In books"))</f>
        <v/>
      </c>
    </row>
    <row r="461">
      <c r="A461" s="11" t="n"/>
      <c r="B461" s="11" t="n"/>
      <c r="C461" s="11" t="n"/>
      <c r="D461" s="14" t="n"/>
      <c r="E461" s="18" t="n"/>
      <c r="F461" s="18" t="n"/>
      <c r="G461" s="18" t="n"/>
      <c r="H461" s="18" t="n"/>
      <c r="I461" s="23">
        <f>IF(C461="","",F461+G461+H461)</f>
        <v/>
      </c>
      <c r="J461">
        <f>IF(C461="","",UPPER(TRIM(A461))&amp;"|"&amp;UPPER(TRIM(C461)))</f>
        <v/>
      </c>
      <c r="K461">
        <f>IF(J461="","",IF(COUNTIF('Purchase Register'!$K$5:$K$504,J461)=0,"In 2B, not in your books","In books"))</f>
        <v/>
      </c>
    </row>
    <row r="462">
      <c r="A462" s="11" t="n"/>
      <c r="B462" s="11" t="n"/>
      <c r="C462" s="11" t="n"/>
      <c r="D462" s="14" t="n"/>
      <c r="E462" s="18" t="n"/>
      <c r="F462" s="18" t="n"/>
      <c r="G462" s="18" t="n"/>
      <c r="H462" s="18" t="n"/>
      <c r="I462" s="23">
        <f>IF(C462="","",F462+G462+H462)</f>
        <v/>
      </c>
      <c r="J462">
        <f>IF(C462="","",UPPER(TRIM(A462))&amp;"|"&amp;UPPER(TRIM(C462)))</f>
        <v/>
      </c>
      <c r="K462">
        <f>IF(J462="","",IF(COUNTIF('Purchase Register'!$K$5:$K$504,J462)=0,"In 2B, not in your books","In books"))</f>
        <v/>
      </c>
    </row>
    <row r="463">
      <c r="A463" s="11" t="n"/>
      <c r="B463" s="11" t="n"/>
      <c r="C463" s="11" t="n"/>
      <c r="D463" s="14" t="n"/>
      <c r="E463" s="18" t="n"/>
      <c r="F463" s="18" t="n"/>
      <c r="G463" s="18" t="n"/>
      <c r="H463" s="18" t="n"/>
      <c r="I463" s="23">
        <f>IF(C463="","",F463+G463+H463)</f>
        <v/>
      </c>
      <c r="J463">
        <f>IF(C463="","",UPPER(TRIM(A463))&amp;"|"&amp;UPPER(TRIM(C463)))</f>
        <v/>
      </c>
      <c r="K463">
        <f>IF(J463="","",IF(COUNTIF('Purchase Register'!$K$5:$K$504,J463)=0,"In 2B, not in your books","In books"))</f>
        <v/>
      </c>
    </row>
    <row r="464">
      <c r="A464" s="11" t="n"/>
      <c r="B464" s="11" t="n"/>
      <c r="C464" s="11" t="n"/>
      <c r="D464" s="14" t="n"/>
      <c r="E464" s="18" t="n"/>
      <c r="F464" s="18" t="n"/>
      <c r="G464" s="18" t="n"/>
      <c r="H464" s="18" t="n"/>
      <c r="I464" s="23">
        <f>IF(C464="","",F464+G464+H464)</f>
        <v/>
      </c>
      <c r="J464">
        <f>IF(C464="","",UPPER(TRIM(A464))&amp;"|"&amp;UPPER(TRIM(C464)))</f>
        <v/>
      </c>
      <c r="K464">
        <f>IF(J464="","",IF(COUNTIF('Purchase Register'!$K$5:$K$504,J464)=0,"In 2B, not in your books","In books"))</f>
        <v/>
      </c>
    </row>
    <row r="465">
      <c r="A465" s="11" t="n"/>
      <c r="B465" s="11" t="n"/>
      <c r="C465" s="11" t="n"/>
      <c r="D465" s="14" t="n"/>
      <c r="E465" s="18" t="n"/>
      <c r="F465" s="18" t="n"/>
      <c r="G465" s="18" t="n"/>
      <c r="H465" s="18" t="n"/>
      <c r="I465" s="23">
        <f>IF(C465="","",F465+G465+H465)</f>
        <v/>
      </c>
      <c r="J465">
        <f>IF(C465="","",UPPER(TRIM(A465))&amp;"|"&amp;UPPER(TRIM(C465)))</f>
        <v/>
      </c>
      <c r="K465">
        <f>IF(J465="","",IF(COUNTIF('Purchase Register'!$K$5:$K$504,J465)=0,"In 2B, not in your books","In books"))</f>
        <v/>
      </c>
    </row>
    <row r="466">
      <c r="A466" s="11" t="n"/>
      <c r="B466" s="11" t="n"/>
      <c r="C466" s="11" t="n"/>
      <c r="D466" s="14" t="n"/>
      <c r="E466" s="18" t="n"/>
      <c r="F466" s="18" t="n"/>
      <c r="G466" s="18" t="n"/>
      <c r="H466" s="18" t="n"/>
      <c r="I466" s="23">
        <f>IF(C466="","",F466+G466+H466)</f>
        <v/>
      </c>
      <c r="J466">
        <f>IF(C466="","",UPPER(TRIM(A466))&amp;"|"&amp;UPPER(TRIM(C466)))</f>
        <v/>
      </c>
      <c r="K466">
        <f>IF(J466="","",IF(COUNTIF('Purchase Register'!$K$5:$K$504,J466)=0,"In 2B, not in your books","In books"))</f>
        <v/>
      </c>
    </row>
    <row r="467">
      <c r="A467" s="11" t="n"/>
      <c r="B467" s="11" t="n"/>
      <c r="C467" s="11" t="n"/>
      <c r="D467" s="14" t="n"/>
      <c r="E467" s="18" t="n"/>
      <c r="F467" s="18" t="n"/>
      <c r="G467" s="18" t="n"/>
      <c r="H467" s="18" t="n"/>
      <c r="I467" s="23">
        <f>IF(C467="","",F467+G467+H467)</f>
        <v/>
      </c>
      <c r="J467">
        <f>IF(C467="","",UPPER(TRIM(A467))&amp;"|"&amp;UPPER(TRIM(C467)))</f>
        <v/>
      </c>
      <c r="K467">
        <f>IF(J467="","",IF(COUNTIF('Purchase Register'!$K$5:$K$504,J467)=0,"In 2B, not in your books","In books"))</f>
        <v/>
      </c>
    </row>
    <row r="468">
      <c r="A468" s="11" t="n"/>
      <c r="B468" s="11" t="n"/>
      <c r="C468" s="11" t="n"/>
      <c r="D468" s="14" t="n"/>
      <c r="E468" s="18" t="n"/>
      <c r="F468" s="18" t="n"/>
      <c r="G468" s="18" t="n"/>
      <c r="H468" s="18" t="n"/>
      <c r="I468" s="23">
        <f>IF(C468="","",F468+G468+H468)</f>
        <v/>
      </c>
      <c r="J468">
        <f>IF(C468="","",UPPER(TRIM(A468))&amp;"|"&amp;UPPER(TRIM(C468)))</f>
        <v/>
      </c>
      <c r="K468">
        <f>IF(J468="","",IF(COUNTIF('Purchase Register'!$K$5:$K$504,J468)=0,"In 2B, not in your books","In books"))</f>
        <v/>
      </c>
    </row>
    <row r="469">
      <c r="A469" s="11" t="n"/>
      <c r="B469" s="11" t="n"/>
      <c r="C469" s="11" t="n"/>
      <c r="D469" s="14" t="n"/>
      <c r="E469" s="18" t="n"/>
      <c r="F469" s="18" t="n"/>
      <c r="G469" s="18" t="n"/>
      <c r="H469" s="18" t="n"/>
      <c r="I469" s="23">
        <f>IF(C469="","",F469+G469+H469)</f>
        <v/>
      </c>
      <c r="J469">
        <f>IF(C469="","",UPPER(TRIM(A469))&amp;"|"&amp;UPPER(TRIM(C469)))</f>
        <v/>
      </c>
      <c r="K469">
        <f>IF(J469="","",IF(COUNTIF('Purchase Register'!$K$5:$K$504,J469)=0,"In 2B, not in your books","In books"))</f>
        <v/>
      </c>
    </row>
    <row r="470">
      <c r="A470" s="11" t="n"/>
      <c r="B470" s="11" t="n"/>
      <c r="C470" s="11" t="n"/>
      <c r="D470" s="14" t="n"/>
      <c r="E470" s="18" t="n"/>
      <c r="F470" s="18" t="n"/>
      <c r="G470" s="18" t="n"/>
      <c r="H470" s="18" t="n"/>
      <c r="I470" s="23">
        <f>IF(C470="","",F470+G470+H470)</f>
        <v/>
      </c>
      <c r="J470">
        <f>IF(C470="","",UPPER(TRIM(A470))&amp;"|"&amp;UPPER(TRIM(C470)))</f>
        <v/>
      </c>
      <c r="K470">
        <f>IF(J470="","",IF(COUNTIF('Purchase Register'!$K$5:$K$504,J470)=0,"In 2B, not in your books","In books"))</f>
        <v/>
      </c>
    </row>
    <row r="471">
      <c r="A471" s="11" t="n"/>
      <c r="B471" s="11" t="n"/>
      <c r="C471" s="11" t="n"/>
      <c r="D471" s="14" t="n"/>
      <c r="E471" s="18" t="n"/>
      <c r="F471" s="18" t="n"/>
      <c r="G471" s="18" t="n"/>
      <c r="H471" s="18" t="n"/>
      <c r="I471" s="23">
        <f>IF(C471="","",F471+G471+H471)</f>
        <v/>
      </c>
      <c r="J471">
        <f>IF(C471="","",UPPER(TRIM(A471))&amp;"|"&amp;UPPER(TRIM(C471)))</f>
        <v/>
      </c>
      <c r="K471">
        <f>IF(J471="","",IF(COUNTIF('Purchase Register'!$K$5:$K$504,J471)=0,"In 2B, not in your books","In books"))</f>
        <v/>
      </c>
    </row>
    <row r="472">
      <c r="A472" s="11" t="n"/>
      <c r="B472" s="11" t="n"/>
      <c r="C472" s="11" t="n"/>
      <c r="D472" s="14" t="n"/>
      <c r="E472" s="18" t="n"/>
      <c r="F472" s="18" t="n"/>
      <c r="G472" s="18" t="n"/>
      <c r="H472" s="18" t="n"/>
      <c r="I472" s="23">
        <f>IF(C472="","",F472+G472+H472)</f>
        <v/>
      </c>
      <c r="J472">
        <f>IF(C472="","",UPPER(TRIM(A472))&amp;"|"&amp;UPPER(TRIM(C472)))</f>
        <v/>
      </c>
      <c r="K472">
        <f>IF(J472="","",IF(COUNTIF('Purchase Register'!$K$5:$K$504,J472)=0,"In 2B, not in your books","In books"))</f>
        <v/>
      </c>
    </row>
    <row r="473">
      <c r="A473" s="11" t="n"/>
      <c r="B473" s="11" t="n"/>
      <c r="C473" s="11" t="n"/>
      <c r="D473" s="14" t="n"/>
      <c r="E473" s="18" t="n"/>
      <c r="F473" s="18" t="n"/>
      <c r="G473" s="18" t="n"/>
      <c r="H473" s="18" t="n"/>
      <c r="I473" s="23">
        <f>IF(C473="","",F473+G473+H473)</f>
        <v/>
      </c>
      <c r="J473">
        <f>IF(C473="","",UPPER(TRIM(A473))&amp;"|"&amp;UPPER(TRIM(C473)))</f>
        <v/>
      </c>
      <c r="K473">
        <f>IF(J473="","",IF(COUNTIF('Purchase Register'!$K$5:$K$504,J473)=0,"In 2B, not in your books","In books"))</f>
        <v/>
      </c>
    </row>
    <row r="474">
      <c r="A474" s="11" t="n"/>
      <c r="B474" s="11" t="n"/>
      <c r="C474" s="11" t="n"/>
      <c r="D474" s="14" t="n"/>
      <c r="E474" s="18" t="n"/>
      <c r="F474" s="18" t="n"/>
      <c r="G474" s="18" t="n"/>
      <c r="H474" s="18" t="n"/>
      <c r="I474" s="23">
        <f>IF(C474="","",F474+G474+H474)</f>
        <v/>
      </c>
      <c r="J474">
        <f>IF(C474="","",UPPER(TRIM(A474))&amp;"|"&amp;UPPER(TRIM(C474)))</f>
        <v/>
      </c>
      <c r="K474">
        <f>IF(J474="","",IF(COUNTIF('Purchase Register'!$K$5:$K$504,J474)=0,"In 2B, not in your books","In books"))</f>
        <v/>
      </c>
    </row>
    <row r="475">
      <c r="A475" s="11" t="n"/>
      <c r="B475" s="11" t="n"/>
      <c r="C475" s="11" t="n"/>
      <c r="D475" s="14" t="n"/>
      <c r="E475" s="18" t="n"/>
      <c r="F475" s="18" t="n"/>
      <c r="G475" s="18" t="n"/>
      <c r="H475" s="18" t="n"/>
      <c r="I475" s="23">
        <f>IF(C475="","",F475+G475+H475)</f>
        <v/>
      </c>
      <c r="J475">
        <f>IF(C475="","",UPPER(TRIM(A475))&amp;"|"&amp;UPPER(TRIM(C475)))</f>
        <v/>
      </c>
      <c r="K475">
        <f>IF(J475="","",IF(COUNTIF('Purchase Register'!$K$5:$K$504,J475)=0,"In 2B, not in your books","In books"))</f>
        <v/>
      </c>
    </row>
    <row r="476">
      <c r="A476" s="11" t="n"/>
      <c r="B476" s="11" t="n"/>
      <c r="C476" s="11" t="n"/>
      <c r="D476" s="14" t="n"/>
      <c r="E476" s="18" t="n"/>
      <c r="F476" s="18" t="n"/>
      <c r="G476" s="18" t="n"/>
      <c r="H476" s="18" t="n"/>
      <c r="I476" s="23">
        <f>IF(C476="","",F476+G476+H476)</f>
        <v/>
      </c>
      <c r="J476">
        <f>IF(C476="","",UPPER(TRIM(A476))&amp;"|"&amp;UPPER(TRIM(C476)))</f>
        <v/>
      </c>
      <c r="K476">
        <f>IF(J476="","",IF(COUNTIF('Purchase Register'!$K$5:$K$504,J476)=0,"In 2B, not in your books","In books"))</f>
        <v/>
      </c>
    </row>
    <row r="477">
      <c r="A477" s="11" t="n"/>
      <c r="B477" s="11" t="n"/>
      <c r="C477" s="11" t="n"/>
      <c r="D477" s="14" t="n"/>
      <c r="E477" s="18" t="n"/>
      <c r="F477" s="18" t="n"/>
      <c r="G477" s="18" t="n"/>
      <c r="H477" s="18" t="n"/>
      <c r="I477" s="23">
        <f>IF(C477="","",F477+G477+H477)</f>
        <v/>
      </c>
      <c r="J477">
        <f>IF(C477="","",UPPER(TRIM(A477))&amp;"|"&amp;UPPER(TRIM(C477)))</f>
        <v/>
      </c>
      <c r="K477">
        <f>IF(J477="","",IF(COUNTIF('Purchase Register'!$K$5:$K$504,J477)=0,"In 2B, not in your books","In books"))</f>
        <v/>
      </c>
    </row>
    <row r="478">
      <c r="A478" s="11" t="n"/>
      <c r="B478" s="11" t="n"/>
      <c r="C478" s="11" t="n"/>
      <c r="D478" s="14" t="n"/>
      <c r="E478" s="18" t="n"/>
      <c r="F478" s="18" t="n"/>
      <c r="G478" s="18" t="n"/>
      <c r="H478" s="18" t="n"/>
      <c r="I478" s="23">
        <f>IF(C478="","",F478+G478+H478)</f>
        <v/>
      </c>
      <c r="J478">
        <f>IF(C478="","",UPPER(TRIM(A478))&amp;"|"&amp;UPPER(TRIM(C478)))</f>
        <v/>
      </c>
      <c r="K478">
        <f>IF(J478="","",IF(COUNTIF('Purchase Register'!$K$5:$K$504,J478)=0,"In 2B, not in your books","In books"))</f>
        <v/>
      </c>
    </row>
    <row r="479">
      <c r="A479" s="11" t="n"/>
      <c r="B479" s="11" t="n"/>
      <c r="C479" s="11" t="n"/>
      <c r="D479" s="14" t="n"/>
      <c r="E479" s="18" t="n"/>
      <c r="F479" s="18" t="n"/>
      <c r="G479" s="18" t="n"/>
      <c r="H479" s="18" t="n"/>
      <c r="I479" s="23">
        <f>IF(C479="","",F479+G479+H479)</f>
        <v/>
      </c>
      <c r="J479">
        <f>IF(C479="","",UPPER(TRIM(A479))&amp;"|"&amp;UPPER(TRIM(C479)))</f>
        <v/>
      </c>
      <c r="K479">
        <f>IF(J479="","",IF(COUNTIF('Purchase Register'!$K$5:$K$504,J479)=0,"In 2B, not in your books","In books"))</f>
        <v/>
      </c>
    </row>
    <row r="480">
      <c r="A480" s="11" t="n"/>
      <c r="B480" s="11" t="n"/>
      <c r="C480" s="11" t="n"/>
      <c r="D480" s="14" t="n"/>
      <c r="E480" s="18" t="n"/>
      <c r="F480" s="18" t="n"/>
      <c r="G480" s="18" t="n"/>
      <c r="H480" s="18" t="n"/>
      <c r="I480" s="23">
        <f>IF(C480="","",F480+G480+H480)</f>
        <v/>
      </c>
      <c r="J480">
        <f>IF(C480="","",UPPER(TRIM(A480))&amp;"|"&amp;UPPER(TRIM(C480)))</f>
        <v/>
      </c>
      <c r="K480">
        <f>IF(J480="","",IF(COUNTIF('Purchase Register'!$K$5:$K$504,J480)=0,"In 2B, not in your books","In books"))</f>
        <v/>
      </c>
    </row>
    <row r="481">
      <c r="A481" s="11" t="n"/>
      <c r="B481" s="11" t="n"/>
      <c r="C481" s="11" t="n"/>
      <c r="D481" s="14" t="n"/>
      <c r="E481" s="18" t="n"/>
      <c r="F481" s="18" t="n"/>
      <c r="G481" s="18" t="n"/>
      <c r="H481" s="18" t="n"/>
      <c r="I481" s="23">
        <f>IF(C481="","",F481+G481+H481)</f>
        <v/>
      </c>
      <c r="J481">
        <f>IF(C481="","",UPPER(TRIM(A481))&amp;"|"&amp;UPPER(TRIM(C481)))</f>
        <v/>
      </c>
      <c r="K481">
        <f>IF(J481="","",IF(COUNTIF('Purchase Register'!$K$5:$K$504,J481)=0,"In 2B, not in your books","In books"))</f>
        <v/>
      </c>
    </row>
    <row r="482">
      <c r="A482" s="11" t="n"/>
      <c r="B482" s="11" t="n"/>
      <c r="C482" s="11" t="n"/>
      <c r="D482" s="14" t="n"/>
      <c r="E482" s="18" t="n"/>
      <c r="F482" s="18" t="n"/>
      <c r="G482" s="18" t="n"/>
      <c r="H482" s="18" t="n"/>
      <c r="I482" s="23">
        <f>IF(C482="","",F482+G482+H482)</f>
        <v/>
      </c>
      <c r="J482">
        <f>IF(C482="","",UPPER(TRIM(A482))&amp;"|"&amp;UPPER(TRIM(C482)))</f>
        <v/>
      </c>
      <c r="K482">
        <f>IF(J482="","",IF(COUNTIF('Purchase Register'!$K$5:$K$504,J482)=0,"In 2B, not in your books","In books"))</f>
        <v/>
      </c>
    </row>
    <row r="483">
      <c r="A483" s="11" t="n"/>
      <c r="B483" s="11" t="n"/>
      <c r="C483" s="11" t="n"/>
      <c r="D483" s="14" t="n"/>
      <c r="E483" s="18" t="n"/>
      <c r="F483" s="18" t="n"/>
      <c r="G483" s="18" t="n"/>
      <c r="H483" s="18" t="n"/>
      <c r="I483" s="23">
        <f>IF(C483="","",F483+G483+H483)</f>
        <v/>
      </c>
      <c r="J483">
        <f>IF(C483="","",UPPER(TRIM(A483))&amp;"|"&amp;UPPER(TRIM(C483)))</f>
        <v/>
      </c>
      <c r="K483">
        <f>IF(J483="","",IF(COUNTIF('Purchase Register'!$K$5:$K$504,J483)=0,"In 2B, not in your books","In books"))</f>
        <v/>
      </c>
    </row>
    <row r="484">
      <c r="A484" s="11" t="n"/>
      <c r="B484" s="11" t="n"/>
      <c r="C484" s="11" t="n"/>
      <c r="D484" s="14" t="n"/>
      <c r="E484" s="18" t="n"/>
      <c r="F484" s="18" t="n"/>
      <c r="G484" s="18" t="n"/>
      <c r="H484" s="18" t="n"/>
      <c r="I484" s="23">
        <f>IF(C484="","",F484+G484+H484)</f>
        <v/>
      </c>
      <c r="J484">
        <f>IF(C484="","",UPPER(TRIM(A484))&amp;"|"&amp;UPPER(TRIM(C484)))</f>
        <v/>
      </c>
      <c r="K484">
        <f>IF(J484="","",IF(COUNTIF('Purchase Register'!$K$5:$K$504,J484)=0,"In 2B, not in your books","In books"))</f>
        <v/>
      </c>
    </row>
    <row r="485">
      <c r="A485" s="11" t="n"/>
      <c r="B485" s="11" t="n"/>
      <c r="C485" s="11" t="n"/>
      <c r="D485" s="14" t="n"/>
      <c r="E485" s="18" t="n"/>
      <c r="F485" s="18" t="n"/>
      <c r="G485" s="18" t="n"/>
      <c r="H485" s="18" t="n"/>
      <c r="I485" s="23">
        <f>IF(C485="","",F485+G485+H485)</f>
        <v/>
      </c>
      <c r="J485">
        <f>IF(C485="","",UPPER(TRIM(A485))&amp;"|"&amp;UPPER(TRIM(C485)))</f>
        <v/>
      </c>
      <c r="K485">
        <f>IF(J485="","",IF(COUNTIF('Purchase Register'!$K$5:$K$504,J485)=0,"In 2B, not in your books","In books"))</f>
        <v/>
      </c>
    </row>
    <row r="486">
      <c r="A486" s="11" t="n"/>
      <c r="B486" s="11" t="n"/>
      <c r="C486" s="11" t="n"/>
      <c r="D486" s="14" t="n"/>
      <c r="E486" s="18" t="n"/>
      <c r="F486" s="18" t="n"/>
      <c r="G486" s="18" t="n"/>
      <c r="H486" s="18" t="n"/>
      <c r="I486" s="23">
        <f>IF(C486="","",F486+G486+H486)</f>
        <v/>
      </c>
      <c r="J486">
        <f>IF(C486="","",UPPER(TRIM(A486))&amp;"|"&amp;UPPER(TRIM(C486)))</f>
        <v/>
      </c>
      <c r="K486">
        <f>IF(J486="","",IF(COUNTIF('Purchase Register'!$K$5:$K$504,J486)=0,"In 2B, not in your books","In books"))</f>
        <v/>
      </c>
    </row>
    <row r="487">
      <c r="A487" s="11" t="n"/>
      <c r="B487" s="11" t="n"/>
      <c r="C487" s="11" t="n"/>
      <c r="D487" s="14" t="n"/>
      <c r="E487" s="18" t="n"/>
      <c r="F487" s="18" t="n"/>
      <c r="G487" s="18" t="n"/>
      <c r="H487" s="18" t="n"/>
      <c r="I487" s="23">
        <f>IF(C487="","",F487+G487+H487)</f>
        <v/>
      </c>
      <c r="J487">
        <f>IF(C487="","",UPPER(TRIM(A487))&amp;"|"&amp;UPPER(TRIM(C487)))</f>
        <v/>
      </c>
      <c r="K487">
        <f>IF(J487="","",IF(COUNTIF('Purchase Register'!$K$5:$K$504,J487)=0,"In 2B, not in your books","In books"))</f>
        <v/>
      </c>
    </row>
    <row r="488">
      <c r="A488" s="11" t="n"/>
      <c r="B488" s="11" t="n"/>
      <c r="C488" s="11" t="n"/>
      <c r="D488" s="14" t="n"/>
      <c r="E488" s="18" t="n"/>
      <c r="F488" s="18" t="n"/>
      <c r="G488" s="18" t="n"/>
      <c r="H488" s="18" t="n"/>
      <c r="I488" s="23">
        <f>IF(C488="","",F488+G488+H488)</f>
        <v/>
      </c>
      <c r="J488">
        <f>IF(C488="","",UPPER(TRIM(A488))&amp;"|"&amp;UPPER(TRIM(C488)))</f>
        <v/>
      </c>
      <c r="K488">
        <f>IF(J488="","",IF(COUNTIF('Purchase Register'!$K$5:$K$504,J488)=0,"In 2B, not in your books","In books"))</f>
        <v/>
      </c>
    </row>
    <row r="489">
      <c r="A489" s="11" t="n"/>
      <c r="B489" s="11" t="n"/>
      <c r="C489" s="11" t="n"/>
      <c r="D489" s="14" t="n"/>
      <c r="E489" s="18" t="n"/>
      <c r="F489" s="18" t="n"/>
      <c r="G489" s="18" t="n"/>
      <c r="H489" s="18" t="n"/>
      <c r="I489" s="23">
        <f>IF(C489="","",F489+G489+H489)</f>
        <v/>
      </c>
      <c r="J489">
        <f>IF(C489="","",UPPER(TRIM(A489))&amp;"|"&amp;UPPER(TRIM(C489)))</f>
        <v/>
      </c>
      <c r="K489">
        <f>IF(J489="","",IF(COUNTIF('Purchase Register'!$K$5:$K$504,J489)=0,"In 2B, not in your books","In books"))</f>
        <v/>
      </c>
    </row>
    <row r="490">
      <c r="A490" s="11" t="n"/>
      <c r="B490" s="11" t="n"/>
      <c r="C490" s="11" t="n"/>
      <c r="D490" s="14" t="n"/>
      <c r="E490" s="18" t="n"/>
      <c r="F490" s="18" t="n"/>
      <c r="G490" s="18" t="n"/>
      <c r="H490" s="18" t="n"/>
      <c r="I490" s="23">
        <f>IF(C490="","",F490+G490+H490)</f>
        <v/>
      </c>
      <c r="J490">
        <f>IF(C490="","",UPPER(TRIM(A490))&amp;"|"&amp;UPPER(TRIM(C490)))</f>
        <v/>
      </c>
      <c r="K490">
        <f>IF(J490="","",IF(COUNTIF('Purchase Register'!$K$5:$K$504,J490)=0,"In 2B, not in your books","In books"))</f>
        <v/>
      </c>
    </row>
    <row r="491">
      <c r="A491" s="11" t="n"/>
      <c r="B491" s="11" t="n"/>
      <c r="C491" s="11" t="n"/>
      <c r="D491" s="14" t="n"/>
      <c r="E491" s="18" t="n"/>
      <c r="F491" s="18" t="n"/>
      <c r="G491" s="18" t="n"/>
      <c r="H491" s="18" t="n"/>
      <c r="I491" s="23">
        <f>IF(C491="","",F491+G491+H491)</f>
        <v/>
      </c>
      <c r="J491">
        <f>IF(C491="","",UPPER(TRIM(A491))&amp;"|"&amp;UPPER(TRIM(C491)))</f>
        <v/>
      </c>
      <c r="K491">
        <f>IF(J491="","",IF(COUNTIF('Purchase Register'!$K$5:$K$504,J491)=0,"In 2B, not in your books","In books"))</f>
        <v/>
      </c>
    </row>
    <row r="492">
      <c r="A492" s="11" t="n"/>
      <c r="B492" s="11" t="n"/>
      <c r="C492" s="11" t="n"/>
      <c r="D492" s="14" t="n"/>
      <c r="E492" s="18" t="n"/>
      <c r="F492" s="18" t="n"/>
      <c r="G492" s="18" t="n"/>
      <c r="H492" s="18" t="n"/>
      <c r="I492" s="23">
        <f>IF(C492="","",F492+G492+H492)</f>
        <v/>
      </c>
      <c r="J492">
        <f>IF(C492="","",UPPER(TRIM(A492))&amp;"|"&amp;UPPER(TRIM(C492)))</f>
        <v/>
      </c>
      <c r="K492">
        <f>IF(J492="","",IF(COUNTIF('Purchase Register'!$K$5:$K$504,J492)=0,"In 2B, not in your books","In books"))</f>
        <v/>
      </c>
    </row>
    <row r="493">
      <c r="A493" s="11" t="n"/>
      <c r="B493" s="11" t="n"/>
      <c r="C493" s="11" t="n"/>
      <c r="D493" s="14" t="n"/>
      <c r="E493" s="18" t="n"/>
      <c r="F493" s="18" t="n"/>
      <c r="G493" s="18" t="n"/>
      <c r="H493" s="18" t="n"/>
      <c r="I493" s="23">
        <f>IF(C493="","",F493+G493+H493)</f>
        <v/>
      </c>
      <c r="J493">
        <f>IF(C493="","",UPPER(TRIM(A493))&amp;"|"&amp;UPPER(TRIM(C493)))</f>
        <v/>
      </c>
      <c r="K493">
        <f>IF(J493="","",IF(COUNTIF('Purchase Register'!$K$5:$K$504,J493)=0,"In 2B, not in your books","In books"))</f>
        <v/>
      </c>
    </row>
    <row r="494">
      <c r="A494" s="11" t="n"/>
      <c r="B494" s="11" t="n"/>
      <c r="C494" s="11" t="n"/>
      <c r="D494" s="14" t="n"/>
      <c r="E494" s="18" t="n"/>
      <c r="F494" s="18" t="n"/>
      <c r="G494" s="18" t="n"/>
      <c r="H494" s="18" t="n"/>
      <c r="I494" s="23">
        <f>IF(C494="","",F494+G494+H494)</f>
        <v/>
      </c>
      <c r="J494">
        <f>IF(C494="","",UPPER(TRIM(A494))&amp;"|"&amp;UPPER(TRIM(C494)))</f>
        <v/>
      </c>
      <c r="K494">
        <f>IF(J494="","",IF(COUNTIF('Purchase Register'!$K$5:$K$504,J494)=0,"In 2B, not in your books","In books"))</f>
        <v/>
      </c>
    </row>
    <row r="495">
      <c r="A495" s="11" t="n"/>
      <c r="B495" s="11" t="n"/>
      <c r="C495" s="11" t="n"/>
      <c r="D495" s="14" t="n"/>
      <c r="E495" s="18" t="n"/>
      <c r="F495" s="18" t="n"/>
      <c r="G495" s="18" t="n"/>
      <c r="H495" s="18" t="n"/>
      <c r="I495" s="23">
        <f>IF(C495="","",F495+G495+H495)</f>
        <v/>
      </c>
      <c r="J495">
        <f>IF(C495="","",UPPER(TRIM(A495))&amp;"|"&amp;UPPER(TRIM(C495)))</f>
        <v/>
      </c>
      <c r="K495">
        <f>IF(J495="","",IF(COUNTIF('Purchase Register'!$K$5:$K$504,J495)=0,"In 2B, not in your books","In books"))</f>
        <v/>
      </c>
    </row>
    <row r="496">
      <c r="A496" s="11" t="n"/>
      <c r="B496" s="11" t="n"/>
      <c r="C496" s="11" t="n"/>
      <c r="D496" s="14" t="n"/>
      <c r="E496" s="18" t="n"/>
      <c r="F496" s="18" t="n"/>
      <c r="G496" s="18" t="n"/>
      <c r="H496" s="18" t="n"/>
      <c r="I496" s="23">
        <f>IF(C496="","",F496+G496+H496)</f>
        <v/>
      </c>
      <c r="J496">
        <f>IF(C496="","",UPPER(TRIM(A496))&amp;"|"&amp;UPPER(TRIM(C496)))</f>
        <v/>
      </c>
      <c r="K496">
        <f>IF(J496="","",IF(COUNTIF('Purchase Register'!$K$5:$K$504,J496)=0,"In 2B, not in your books","In books"))</f>
        <v/>
      </c>
    </row>
    <row r="497">
      <c r="A497" s="11" t="n"/>
      <c r="B497" s="11" t="n"/>
      <c r="C497" s="11" t="n"/>
      <c r="D497" s="14" t="n"/>
      <c r="E497" s="18" t="n"/>
      <c r="F497" s="18" t="n"/>
      <c r="G497" s="18" t="n"/>
      <c r="H497" s="18" t="n"/>
      <c r="I497" s="23">
        <f>IF(C497="","",F497+G497+H497)</f>
        <v/>
      </c>
      <c r="J497">
        <f>IF(C497="","",UPPER(TRIM(A497))&amp;"|"&amp;UPPER(TRIM(C497)))</f>
        <v/>
      </c>
      <c r="K497">
        <f>IF(J497="","",IF(COUNTIF('Purchase Register'!$K$5:$K$504,J497)=0,"In 2B, not in your books","In books"))</f>
        <v/>
      </c>
    </row>
    <row r="498">
      <c r="A498" s="11" t="n"/>
      <c r="B498" s="11" t="n"/>
      <c r="C498" s="11" t="n"/>
      <c r="D498" s="14" t="n"/>
      <c r="E498" s="18" t="n"/>
      <c r="F498" s="18" t="n"/>
      <c r="G498" s="18" t="n"/>
      <c r="H498" s="18" t="n"/>
      <c r="I498" s="23">
        <f>IF(C498="","",F498+G498+H498)</f>
        <v/>
      </c>
      <c r="J498">
        <f>IF(C498="","",UPPER(TRIM(A498))&amp;"|"&amp;UPPER(TRIM(C498)))</f>
        <v/>
      </c>
      <c r="K498">
        <f>IF(J498="","",IF(COUNTIF('Purchase Register'!$K$5:$K$504,J498)=0,"In 2B, not in your books","In books"))</f>
        <v/>
      </c>
    </row>
    <row r="499">
      <c r="A499" s="11" t="n"/>
      <c r="B499" s="11" t="n"/>
      <c r="C499" s="11" t="n"/>
      <c r="D499" s="14" t="n"/>
      <c r="E499" s="18" t="n"/>
      <c r="F499" s="18" t="n"/>
      <c r="G499" s="18" t="n"/>
      <c r="H499" s="18" t="n"/>
      <c r="I499" s="23">
        <f>IF(C499="","",F499+G499+H499)</f>
        <v/>
      </c>
      <c r="J499">
        <f>IF(C499="","",UPPER(TRIM(A499))&amp;"|"&amp;UPPER(TRIM(C499)))</f>
        <v/>
      </c>
      <c r="K499">
        <f>IF(J499="","",IF(COUNTIF('Purchase Register'!$K$5:$K$504,J499)=0,"In 2B, not in your books","In books"))</f>
        <v/>
      </c>
    </row>
    <row r="500">
      <c r="A500" s="11" t="n"/>
      <c r="B500" s="11" t="n"/>
      <c r="C500" s="11" t="n"/>
      <c r="D500" s="14" t="n"/>
      <c r="E500" s="18" t="n"/>
      <c r="F500" s="18" t="n"/>
      <c r="G500" s="18" t="n"/>
      <c r="H500" s="18" t="n"/>
      <c r="I500" s="23">
        <f>IF(C500="","",F500+G500+H500)</f>
        <v/>
      </c>
      <c r="J500">
        <f>IF(C500="","",UPPER(TRIM(A500))&amp;"|"&amp;UPPER(TRIM(C500)))</f>
        <v/>
      </c>
      <c r="K500">
        <f>IF(J500="","",IF(COUNTIF('Purchase Register'!$K$5:$K$504,J500)=0,"In 2B, not in your books","In books"))</f>
        <v/>
      </c>
    </row>
    <row r="501">
      <c r="A501" s="11" t="n"/>
      <c r="B501" s="11" t="n"/>
      <c r="C501" s="11" t="n"/>
      <c r="D501" s="14" t="n"/>
      <c r="E501" s="18" t="n"/>
      <c r="F501" s="18" t="n"/>
      <c r="G501" s="18" t="n"/>
      <c r="H501" s="18" t="n"/>
      <c r="I501" s="23">
        <f>IF(C501="","",F501+G501+H501)</f>
        <v/>
      </c>
      <c r="J501">
        <f>IF(C501="","",UPPER(TRIM(A501))&amp;"|"&amp;UPPER(TRIM(C501)))</f>
        <v/>
      </c>
      <c r="K501">
        <f>IF(J501="","",IF(COUNTIF('Purchase Register'!$K$5:$K$504,J501)=0,"In 2B, not in your books","In books"))</f>
        <v/>
      </c>
    </row>
    <row r="502">
      <c r="A502" s="11" t="n"/>
      <c r="B502" s="11" t="n"/>
      <c r="C502" s="11" t="n"/>
      <c r="D502" s="14" t="n"/>
      <c r="E502" s="18" t="n"/>
      <c r="F502" s="18" t="n"/>
      <c r="G502" s="18" t="n"/>
      <c r="H502" s="18" t="n"/>
      <c r="I502" s="23">
        <f>IF(C502="","",F502+G502+H502)</f>
        <v/>
      </c>
      <c r="J502">
        <f>IF(C502="","",UPPER(TRIM(A502))&amp;"|"&amp;UPPER(TRIM(C502)))</f>
        <v/>
      </c>
      <c r="K502">
        <f>IF(J502="","",IF(COUNTIF('Purchase Register'!$K$5:$K$504,J502)=0,"In 2B, not in your books","In books"))</f>
        <v/>
      </c>
    </row>
    <row r="503">
      <c r="A503" s="11" t="n"/>
      <c r="B503" s="11" t="n"/>
      <c r="C503" s="11" t="n"/>
      <c r="D503" s="14" t="n"/>
      <c r="E503" s="18" t="n"/>
      <c r="F503" s="18" t="n"/>
      <c r="G503" s="18" t="n"/>
      <c r="H503" s="18" t="n"/>
      <c r="I503" s="23">
        <f>IF(C503="","",F503+G503+H503)</f>
        <v/>
      </c>
      <c r="J503">
        <f>IF(C503="","",UPPER(TRIM(A503))&amp;"|"&amp;UPPER(TRIM(C503)))</f>
        <v/>
      </c>
      <c r="K503">
        <f>IF(J503="","",IF(COUNTIF('Purchase Register'!$K$5:$K$504,J503)=0,"In 2B, not in your books","In books"))</f>
        <v/>
      </c>
    </row>
    <row r="504">
      <c r="A504" s="11" t="n"/>
      <c r="B504" s="11" t="n"/>
      <c r="C504" s="11" t="n"/>
      <c r="D504" s="14" t="n"/>
      <c r="E504" s="18" t="n"/>
      <c r="F504" s="18" t="n"/>
      <c r="G504" s="18" t="n"/>
      <c r="H504" s="18" t="n"/>
      <c r="I504" s="23">
        <f>IF(C504="","",F504+G504+H504)</f>
        <v/>
      </c>
      <c r="J504">
        <f>IF(C504="","",UPPER(TRIM(A504))&amp;"|"&amp;UPPER(TRIM(C504)))</f>
        <v/>
      </c>
      <c r="K504">
        <f>IF(J504="","",IF(COUNTIF('Purchase Register'!$K$5:$K$504,J504)=0,"In 2B, not in your books","In books"))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70" customWidth="1" min="4" max="4"/>
  </cols>
  <sheetData>
    <row r="1">
      <c r="A1" s="8" t="inlineStr">
        <is>
          <t>ITC Reconciliation — Books vs GSTR-2B</t>
        </is>
      </c>
    </row>
    <row r="2">
      <c r="A2" s="9" t="inlineStr">
        <is>
          <t>Fills automatically from the two sheets</t>
        </is>
      </c>
    </row>
    <row r="4" ht="32" customHeight="1">
      <c r="A4" s="17" t="inlineStr">
        <is>
          <t>Result</t>
        </is>
      </c>
      <c r="B4" s="17" t="inlineStr">
        <is>
          <t>No. of invoices</t>
        </is>
      </c>
      <c r="C4" s="17" t="inlineStr">
        <is>
          <t>Tax amount</t>
        </is>
      </c>
      <c r="D4" s="17" t="inlineStr">
        <is>
          <t>What to do</t>
        </is>
      </c>
    </row>
    <row r="5" ht="32" customHeight="1">
      <c r="A5" s="10" t="inlineStr">
        <is>
          <t>Matched</t>
        </is>
      </c>
      <c r="B5">
        <f>COUNTIF('Purchase Register'!$L$5:$L$504,"Matched")</f>
        <v/>
      </c>
      <c r="C5" s="23">
        <f>SUMPRODUCT(('Purchase Register'!$L$5:$L$504="Matched")*('Purchase Register'!$F$5:$F$504+'Purchase Register'!$G$5:$G$504+'Purchase Register'!$H$5:$H$504))</f>
        <v/>
      </c>
      <c r="D5" s="5" t="inlineStr">
        <is>
          <t>Safe to claim (if otherwise eligible).</t>
        </is>
      </c>
    </row>
    <row r="6" ht="32" customHeight="1">
      <c r="A6" s="10" t="inlineStr">
        <is>
          <t>Not in 2B — follow up</t>
        </is>
      </c>
      <c r="B6">
        <f>COUNTIF('Purchase Register'!$L$5:$L$504,"Not in 2B — follow up")</f>
        <v/>
      </c>
      <c r="C6" s="23">
        <f>SUMPRODUCT(('Purchase Register'!$L$5:$L$504="Not in 2B — follow up")*('Purchase Register'!$F$5:$F$504+'Purchase Register'!$G$5:$G$504+'Purchase Register'!$H$5:$H$504))</f>
        <v/>
      </c>
      <c r="D6" s="5" t="inlineStr">
        <is>
          <t>Ask the supplier to upload the invoice in their GSTR-1/IFF. Claim the credit only when it appears in your 2B.</t>
        </is>
      </c>
    </row>
    <row r="7" ht="32" customHeight="1">
      <c r="A7" s="10" t="inlineStr">
        <is>
          <t>Tax amount differs</t>
        </is>
      </c>
      <c r="B7">
        <f>COUNTIF('Purchase Register'!$L$5:$L$504,"Tax amount differs")</f>
        <v/>
      </c>
      <c r="C7" s="23">
        <f>SUMPRODUCT(('Purchase Register'!$L$5:$L$504="Tax amount differs")*('Purchase Register'!$F$5:$F$504+'Purchase Register'!$G$5:$G$504+'Purchase Register'!$H$5:$H$504))</f>
        <v/>
      </c>
      <c r="D7" s="5" t="inlineStr">
        <is>
          <t>Check the invoice — wrong rate, typing error, or the supplier needs to amend.</t>
        </is>
      </c>
    </row>
    <row r="8" ht="32" customHeight="1">
      <c r="A8" s="10" t="inlineStr">
        <is>
          <t>In 2B, not in your books</t>
        </is>
      </c>
      <c r="B8">
        <f>COUNTIF('GSTR-2B Data'!$K$5:$K$504,"In 2B, not in your books")</f>
        <v/>
      </c>
      <c r="C8" s="23">
        <f>SUMIF('GSTR-2B Data'!$K$5:$K$504,"In 2B, not in your books",'GSTR-2B Data'!$I$5:$I$504)</f>
        <v/>
      </c>
      <c r="D8" s="5" t="inlineStr">
        <is>
          <t>Either a bill you forgot to record, or a supplier reported a sale to you by mistake — check before claiming.</t>
        </is>
      </c>
    </row>
    <row r="11" ht="30" customHeight="1">
      <c r="A11" s="30" t="inlineStr">
        <is>
          <t>Matching is on supplier GSTIN + invoice number (spaces and capital letters ignored). If a supplier writes the invoice number differently, correct it in one of the sheets so the two match.</t>
        </is>
      </c>
    </row>
    <row r="12"/>
  </sheetData>
  <mergeCells count="3">
    <mergeCell ref="A1:D1"/>
    <mergeCell ref="A11:D12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20" customWidth="1" min="8" max="8"/>
    <col width="16" customWidth="1" min="9" max="9"/>
    <col width="16" customWidth="1" min="10" max="10"/>
    <col width="36" customWidth="1" min="11" max="11"/>
  </cols>
  <sheetData>
    <row r="1">
      <c r="A1" s="8" t="inlineStr">
        <is>
          <t>GSTR-3B Working — FY 2026-27</t>
        </is>
      </c>
    </row>
    <row r="2">
      <c r="A2" s="9" t="inlineStr">
        <is>
          <t>Output tax from 'Monthly Summary'; ITC = eligible purchase bills that are matched with GSTR-2B (by bill date). Use the adjustment column for anything else.</t>
        </is>
      </c>
    </row>
    <row r="4" ht="32" customHeight="1">
      <c r="A4" s="17" t="inlineStr">
        <is>
          <t>Month</t>
        </is>
      </c>
      <c r="B4" s="17" t="inlineStr">
        <is>
          <t>Output CGST</t>
        </is>
      </c>
      <c r="C4" s="17" t="inlineStr">
        <is>
          <t>Output SGST</t>
        </is>
      </c>
      <c r="D4" s="17" t="inlineStr">
        <is>
          <t>Output IGST</t>
        </is>
      </c>
      <c r="E4" s="17" t="inlineStr">
        <is>
          <t>Total output tax</t>
        </is>
      </c>
      <c r="F4" s="17" t="inlineStr">
        <is>
          <t>Matched ITC (books)</t>
        </is>
      </c>
      <c r="G4" s="17" t="inlineStr">
        <is>
          <t>ITC adjustment (+/−)</t>
        </is>
      </c>
      <c r="H4" s="17" t="inlineStr">
        <is>
          <t>ITC available incl. brought forward</t>
        </is>
      </c>
      <c r="I4" s="17" t="inlineStr">
        <is>
          <t>Cash to pay (approx.)</t>
        </is>
      </c>
      <c r="J4" s="17" t="inlineStr">
        <is>
          <t>ITC carried forward</t>
        </is>
      </c>
      <c r="K4" s="17" t="inlineStr">
        <is>
          <t>Note</t>
        </is>
      </c>
    </row>
    <row r="5">
      <c r="A5" s="27">
        <f>DATE(2026,4,1)</f>
        <v/>
      </c>
      <c r="B5" s="23">
        <f>'Monthly Summary'!D5</f>
        <v/>
      </c>
      <c r="C5" s="23">
        <f>'Monthly Summary'!E5</f>
        <v/>
      </c>
      <c r="D5" s="23">
        <f>'Monthly Summary'!F5</f>
        <v/>
      </c>
      <c r="E5" s="23">
        <f>B5+C5+D5</f>
        <v/>
      </c>
      <c r="F5" s="23">
        <f>SUMPRODUCT(('Purchase Register'!$A$5:$A$504&gt;=A5)*('Purchase Register'!$A$5:$A$504&lt;=EOMONTH(A5,0))*('Purchase Register'!$J$5:$J$504="Y")*('Purchase Register'!$L$5:$L$504="Matched")*('Purchase Register'!$F$5:$F$504+'Purchase Register'!$G$5:$G$504+'Purchase Register'!$H$5:$H$504))</f>
        <v/>
      </c>
      <c r="G5" s="18" t="n"/>
      <c r="H5" s="23">
        <f>F5+G5</f>
        <v/>
      </c>
      <c r="I5" s="23">
        <f>MAX(0,E5-H5)</f>
        <v/>
      </c>
      <c r="J5" s="23">
        <f>MAX(0,H5-E5)</f>
        <v/>
      </c>
    </row>
    <row r="6">
      <c r="A6" s="27">
        <f>DATE(2026,5,1)</f>
        <v/>
      </c>
      <c r="B6" s="23">
        <f>'Monthly Summary'!D6</f>
        <v/>
      </c>
      <c r="C6" s="23">
        <f>'Monthly Summary'!E6</f>
        <v/>
      </c>
      <c r="D6" s="23">
        <f>'Monthly Summary'!F6</f>
        <v/>
      </c>
      <c r="E6" s="23">
        <f>B6+C6+D6</f>
        <v/>
      </c>
      <c r="F6" s="23">
        <f>SUMPRODUCT(('Purchase Register'!$A$5:$A$504&gt;=A6)*('Purchase Register'!$A$5:$A$504&lt;=EOMONTH(A6,0))*('Purchase Register'!$J$5:$J$504="Y")*('Purchase Register'!$L$5:$L$504="Matched")*('Purchase Register'!$F$5:$F$504+'Purchase Register'!$G$5:$G$504+'Purchase Register'!$H$5:$H$504))</f>
        <v/>
      </c>
      <c r="G6" s="18" t="n"/>
      <c r="H6" s="23">
        <f>F6+G6+J5</f>
        <v/>
      </c>
      <c r="I6" s="23">
        <f>MAX(0,E6-H6)</f>
        <v/>
      </c>
      <c r="J6" s="23">
        <f>MAX(0,H6-E6)</f>
        <v/>
      </c>
    </row>
    <row r="7">
      <c r="A7" s="27">
        <f>DATE(2026,6,1)</f>
        <v/>
      </c>
      <c r="B7" s="23">
        <f>'Monthly Summary'!D7</f>
        <v/>
      </c>
      <c r="C7" s="23">
        <f>'Monthly Summary'!E7</f>
        <v/>
      </c>
      <c r="D7" s="23">
        <f>'Monthly Summary'!F7</f>
        <v/>
      </c>
      <c r="E7" s="23">
        <f>B7+C7+D7</f>
        <v/>
      </c>
      <c r="F7" s="23">
        <f>SUMPRODUCT(('Purchase Register'!$A$5:$A$504&gt;=A7)*('Purchase Register'!$A$5:$A$504&lt;=EOMONTH(A7,0))*('Purchase Register'!$J$5:$J$504="Y")*('Purchase Register'!$L$5:$L$504="Matched")*('Purchase Register'!$F$5:$F$504+'Purchase Register'!$G$5:$G$504+'Purchase Register'!$H$5:$H$504))</f>
        <v/>
      </c>
      <c r="G7" s="18" t="n"/>
      <c r="H7" s="23">
        <f>F7+G7+J6</f>
        <v/>
      </c>
      <c r="I7" s="23">
        <f>MAX(0,E7-H7)</f>
        <v/>
      </c>
      <c r="J7" s="23">
        <f>MAX(0,H7-E7)</f>
        <v/>
      </c>
    </row>
    <row r="8">
      <c r="A8" s="27">
        <f>DATE(2026,7,1)</f>
        <v/>
      </c>
      <c r="B8" s="23">
        <f>'Monthly Summary'!D8</f>
        <v/>
      </c>
      <c r="C8" s="23">
        <f>'Monthly Summary'!E8</f>
        <v/>
      </c>
      <c r="D8" s="23">
        <f>'Monthly Summary'!F8</f>
        <v/>
      </c>
      <c r="E8" s="23">
        <f>B8+C8+D8</f>
        <v/>
      </c>
      <c r="F8" s="23">
        <f>SUMPRODUCT(('Purchase Register'!$A$5:$A$504&gt;=A8)*('Purchase Register'!$A$5:$A$504&lt;=EOMONTH(A8,0))*('Purchase Register'!$J$5:$J$504="Y")*('Purchase Register'!$L$5:$L$504="Matched")*('Purchase Register'!$F$5:$F$504+'Purchase Register'!$G$5:$G$504+'Purchase Register'!$H$5:$H$504))</f>
        <v/>
      </c>
      <c r="G8" s="18" t="n"/>
      <c r="H8" s="23">
        <f>F8+G8+J7</f>
        <v/>
      </c>
      <c r="I8" s="23">
        <f>MAX(0,E8-H8)</f>
        <v/>
      </c>
      <c r="J8" s="23">
        <f>MAX(0,H8-E8)</f>
        <v/>
      </c>
    </row>
    <row r="9">
      <c r="A9" s="27">
        <f>DATE(2026,8,1)</f>
        <v/>
      </c>
      <c r="B9" s="23">
        <f>'Monthly Summary'!D9</f>
        <v/>
      </c>
      <c r="C9" s="23">
        <f>'Monthly Summary'!E9</f>
        <v/>
      </c>
      <c r="D9" s="23">
        <f>'Monthly Summary'!F9</f>
        <v/>
      </c>
      <c r="E9" s="23">
        <f>B9+C9+D9</f>
        <v/>
      </c>
      <c r="F9" s="23">
        <f>SUMPRODUCT(('Purchase Register'!$A$5:$A$504&gt;=A9)*('Purchase Register'!$A$5:$A$504&lt;=EOMONTH(A9,0))*('Purchase Register'!$J$5:$J$504="Y")*('Purchase Register'!$L$5:$L$504="Matched")*('Purchase Register'!$F$5:$F$504+'Purchase Register'!$G$5:$G$504+'Purchase Register'!$H$5:$H$504))</f>
        <v/>
      </c>
      <c r="G9" s="18" t="n"/>
      <c r="H9" s="23">
        <f>F9+G9+J8</f>
        <v/>
      </c>
      <c r="I9" s="23">
        <f>MAX(0,E9-H9)</f>
        <v/>
      </c>
      <c r="J9" s="23">
        <f>MAX(0,H9-E9)</f>
        <v/>
      </c>
    </row>
    <row r="10">
      <c r="A10" s="27">
        <f>DATE(2026,9,1)</f>
        <v/>
      </c>
      <c r="B10" s="23">
        <f>'Monthly Summary'!D10</f>
        <v/>
      </c>
      <c r="C10" s="23">
        <f>'Monthly Summary'!E10</f>
        <v/>
      </c>
      <c r="D10" s="23">
        <f>'Monthly Summary'!F10</f>
        <v/>
      </c>
      <c r="E10" s="23">
        <f>B10+C10+D10</f>
        <v/>
      </c>
      <c r="F10" s="23">
        <f>SUMPRODUCT(('Purchase Register'!$A$5:$A$504&gt;=A10)*('Purchase Register'!$A$5:$A$504&lt;=EOMONTH(A10,0))*('Purchase Register'!$J$5:$J$504="Y")*('Purchase Register'!$L$5:$L$504="Matched")*('Purchase Register'!$F$5:$F$504+'Purchase Register'!$G$5:$G$504+'Purchase Register'!$H$5:$H$504))</f>
        <v/>
      </c>
      <c r="G10" s="18" t="n"/>
      <c r="H10" s="23">
        <f>F10+G10+J9</f>
        <v/>
      </c>
      <c r="I10" s="23">
        <f>MAX(0,E10-H10)</f>
        <v/>
      </c>
      <c r="J10" s="23">
        <f>MAX(0,H10-E10)</f>
        <v/>
      </c>
    </row>
    <row r="11">
      <c r="A11" s="27">
        <f>DATE(2026,10,1)</f>
        <v/>
      </c>
      <c r="B11" s="23">
        <f>'Monthly Summary'!D11</f>
        <v/>
      </c>
      <c r="C11" s="23">
        <f>'Monthly Summary'!E11</f>
        <v/>
      </c>
      <c r="D11" s="23">
        <f>'Monthly Summary'!F11</f>
        <v/>
      </c>
      <c r="E11" s="23">
        <f>B11+C11+D11</f>
        <v/>
      </c>
      <c r="F11" s="23">
        <f>SUMPRODUCT(('Purchase Register'!$A$5:$A$504&gt;=A11)*('Purchase Register'!$A$5:$A$504&lt;=EOMONTH(A11,0))*('Purchase Register'!$J$5:$J$504="Y")*('Purchase Register'!$L$5:$L$504="Matched")*('Purchase Register'!$F$5:$F$504+'Purchase Register'!$G$5:$G$504+'Purchase Register'!$H$5:$H$504))</f>
        <v/>
      </c>
      <c r="G11" s="18" t="n"/>
      <c r="H11" s="23">
        <f>F11+G11+J10</f>
        <v/>
      </c>
      <c r="I11" s="23">
        <f>MAX(0,E11-H11)</f>
        <v/>
      </c>
      <c r="J11" s="23">
        <f>MAX(0,H11-E11)</f>
        <v/>
      </c>
    </row>
    <row r="12">
      <c r="A12" s="27">
        <f>DATE(2026,11,1)</f>
        <v/>
      </c>
      <c r="B12" s="23">
        <f>'Monthly Summary'!D12</f>
        <v/>
      </c>
      <c r="C12" s="23">
        <f>'Monthly Summary'!E12</f>
        <v/>
      </c>
      <c r="D12" s="23">
        <f>'Monthly Summary'!F12</f>
        <v/>
      </c>
      <c r="E12" s="23">
        <f>B12+C12+D12</f>
        <v/>
      </c>
      <c r="F12" s="23">
        <f>SUMPRODUCT(('Purchase Register'!$A$5:$A$504&gt;=A12)*('Purchase Register'!$A$5:$A$504&lt;=EOMONTH(A12,0))*('Purchase Register'!$J$5:$J$504="Y")*('Purchase Register'!$L$5:$L$504="Matched")*('Purchase Register'!$F$5:$F$504+'Purchase Register'!$G$5:$G$504+'Purchase Register'!$H$5:$H$504))</f>
        <v/>
      </c>
      <c r="G12" s="18" t="n"/>
      <c r="H12" s="23">
        <f>F12+G12+J11</f>
        <v/>
      </c>
      <c r="I12" s="23">
        <f>MAX(0,E12-H12)</f>
        <v/>
      </c>
      <c r="J12" s="23">
        <f>MAX(0,H12-E12)</f>
        <v/>
      </c>
    </row>
    <row r="13">
      <c r="A13" s="27">
        <f>DATE(2026,12,1)</f>
        <v/>
      </c>
      <c r="B13" s="23">
        <f>'Monthly Summary'!D13</f>
        <v/>
      </c>
      <c r="C13" s="23">
        <f>'Monthly Summary'!E13</f>
        <v/>
      </c>
      <c r="D13" s="23">
        <f>'Monthly Summary'!F13</f>
        <v/>
      </c>
      <c r="E13" s="23">
        <f>B13+C13+D13</f>
        <v/>
      </c>
      <c r="F13" s="23">
        <f>SUMPRODUCT(('Purchase Register'!$A$5:$A$504&gt;=A13)*('Purchase Register'!$A$5:$A$504&lt;=EOMONTH(A13,0))*('Purchase Register'!$J$5:$J$504="Y")*('Purchase Register'!$L$5:$L$504="Matched")*('Purchase Register'!$F$5:$F$504+'Purchase Register'!$G$5:$G$504+'Purchase Register'!$H$5:$H$504))</f>
        <v/>
      </c>
      <c r="G13" s="18" t="n"/>
      <c r="H13" s="23">
        <f>F13+G13+J12</f>
        <v/>
      </c>
      <c r="I13" s="23">
        <f>MAX(0,E13-H13)</f>
        <v/>
      </c>
      <c r="J13" s="23">
        <f>MAX(0,H13-E13)</f>
        <v/>
      </c>
    </row>
    <row r="14">
      <c r="A14" s="27">
        <f>DATE(2027,1,1)</f>
        <v/>
      </c>
      <c r="B14" s="23">
        <f>'Monthly Summary'!D14</f>
        <v/>
      </c>
      <c r="C14" s="23">
        <f>'Monthly Summary'!E14</f>
        <v/>
      </c>
      <c r="D14" s="23">
        <f>'Monthly Summary'!F14</f>
        <v/>
      </c>
      <c r="E14" s="23">
        <f>B14+C14+D14</f>
        <v/>
      </c>
      <c r="F14" s="23">
        <f>SUMPRODUCT(('Purchase Register'!$A$5:$A$504&gt;=A14)*('Purchase Register'!$A$5:$A$504&lt;=EOMONTH(A14,0))*('Purchase Register'!$J$5:$J$504="Y")*('Purchase Register'!$L$5:$L$504="Matched")*('Purchase Register'!$F$5:$F$504+'Purchase Register'!$G$5:$G$504+'Purchase Register'!$H$5:$H$504))</f>
        <v/>
      </c>
      <c r="G14" s="18" t="n"/>
      <c r="H14" s="23">
        <f>F14+G14+J13</f>
        <v/>
      </c>
      <c r="I14" s="23">
        <f>MAX(0,E14-H14)</f>
        <v/>
      </c>
      <c r="J14" s="23">
        <f>MAX(0,H14-E14)</f>
        <v/>
      </c>
    </row>
    <row r="15">
      <c r="A15" s="27">
        <f>DATE(2027,2,1)</f>
        <v/>
      </c>
      <c r="B15" s="23">
        <f>'Monthly Summary'!D15</f>
        <v/>
      </c>
      <c r="C15" s="23">
        <f>'Monthly Summary'!E15</f>
        <v/>
      </c>
      <c r="D15" s="23">
        <f>'Monthly Summary'!F15</f>
        <v/>
      </c>
      <c r="E15" s="23">
        <f>B15+C15+D15</f>
        <v/>
      </c>
      <c r="F15" s="23">
        <f>SUMPRODUCT(('Purchase Register'!$A$5:$A$504&gt;=A15)*('Purchase Register'!$A$5:$A$504&lt;=EOMONTH(A15,0))*('Purchase Register'!$J$5:$J$504="Y")*('Purchase Register'!$L$5:$L$504="Matched")*('Purchase Register'!$F$5:$F$504+'Purchase Register'!$G$5:$G$504+'Purchase Register'!$H$5:$H$504))</f>
        <v/>
      </c>
      <c r="G15" s="18" t="n"/>
      <c r="H15" s="23">
        <f>F15+G15+J14</f>
        <v/>
      </c>
      <c r="I15" s="23">
        <f>MAX(0,E15-H15)</f>
        <v/>
      </c>
      <c r="J15" s="23">
        <f>MAX(0,H15-E15)</f>
        <v/>
      </c>
    </row>
    <row r="16">
      <c r="A16" s="27">
        <f>DATE(2027,3,1)</f>
        <v/>
      </c>
      <c r="B16" s="23">
        <f>'Monthly Summary'!D16</f>
        <v/>
      </c>
      <c r="C16" s="23">
        <f>'Monthly Summary'!E16</f>
        <v/>
      </c>
      <c r="D16" s="23">
        <f>'Monthly Summary'!F16</f>
        <v/>
      </c>
      <c r="E16" s="23">
        <f>B16+C16+D16</f>
        <v/>
      </c>
      <c r="F16" s="23">
        <f>SUMPRODUCT(('Purchase Register'!$A$5:$A$504&gt;=A16)*('Purchase Register'!$A$5:$A$504&lt;=EOMONTH(A16,0))*('Purchase Register'!$J$5:$J$504="Y")*('Purchase Register'!$L$5:$L$504="Matched")*('Purchase Register'!$F$5:$F$504+'Purchase Register'!$G$5:$G$504+'Purchase Register'!$H$5:$H$504))</f>
        <v/>
      </c>
      <c r="G16" s="18" t="n"/>
      <c r="H16" s="23">
        <f>F16+G16+J15</f>
        <v/>
      </c>
      <c r="I16" s="23">
        <f>MAX(0,E16-H16)</f>
        <v/>
      </c>
      <c r="J16" s="23">
        <f>MAX(0,H16-E16)</f>
        <v/>
      </c>
    </row>
    <row r="17">
      <c r="A17" s="10" t="inlineStr">
        <is>
          <t>Total</t>
        </is>
      </c>
      <c r="B17" s="29">
        <f>SUM(B5:B16)</f>
        <v/>
      </c>
      <c r="C17" s="29">
        <f>SUM(C5:C16)</f>
        <v/>
      </c>
      <c r="D17" s="29">
        <f>SUM(D5:D16)</f>
        <v/>
      </c>
      <c r="E17" s="29">
        <f>SUM(E5:E16)</f>
        <v/>
      </c>
      <c r="F17" s="29">
        <f>SUM(F5:F16)</f>
        <v/>
      </c>
      <c r="G17" s="29">
        <f>SUM(G5:G16)</f>
        <v/>
      </c>
      <c r="I17" s="29">
        <f>SUM(I5:I16)</f>
        <v/>
      </c>
    </row>
    <row r="19" ht="30" customHeight="1">
      <c r="A19" s="30" t="inlineStr">
        <is>
          <t>This is a planning figure. The portal sets off credit head-wise in a fixed order (IGST first, then CGST/SGST) — the exact cash per head is shown in GSTR-3B Table 6.1. Blocked credits (Section 17(5)) must be marked 'N' in the Purchase Register.</t>
        </is>
      </c>
    </row>
    <row r="20"/>
  </sheetData>
  <mergeCells count="3">
    <mergeCell ref="A2:K2"/>
    <mergeCell ref="A1:K1"/>
    <mergeCell ref="A19:K2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3" customWidth="1" min="3" max="3"/>
    <col width="34" customWidth="1" min="4" max="4"/>
    <col width="13" customWidth="1" min="5" max="5"/>
    <col width="28" customWidth="1" min="6" max="6"/>
  </cols>
  <sheetData>
    <row r="1">
      <c r="A1" s="8" t="inlineStr">
        <is>
          <t>GST Due Date Calendar — FY 2026-27</t>
        </is>
      </c>
    </row>
    <row r="2">
      <c r="A2" s="9" t="inlineStr">
        <is>
          <t>Statutory dates. The government sometimes extends a date — if so, just change it in column C. Enter the date you filed in column E.</t>
        </is>
      </c>
    </row>
    <row r="4" ht="32" customHeight="1">
      <c r="A4" s="17" t="inlineStr">
        <is>
          <t>Return / payment</t>
        </is>
      </c>
      <c r="B4" s="17" t="inlineStr">
        <is>
          <t>Period</t>
        </is>
      </c>
      <c r="C4" s="17" t="inlineStr">
        <is>
          <t>Due date</t>
        </is>
      </c>
      <c r="D4" s="17" t="inlineStr">
        <is>
          <t>Who files it</t>
        </is>
      </c>
      <c r="E4" s="17" t="inlineStr">
        <is>
          <t>Filed on</t>
        </is>
      </c>
      <c r="F4" s="17" t="inlineStr">
        <is>
          <t>Status</t>
        </is>
      </c>
    </row>
    <row r="5">
      <c r="A5" t="inlineStr">
        <is>
          <t>GSTR-1</t>
        </is>
      </c>
      <c r="B5" t="inlineStr">
        <is>
          <t>Apr-26</t>
        </is>
      </c>
      <c r="C5" s="31">
        <f>DATE(2026,5,11)</f>
        <v/>
      </c>
      <c r="D5" t="inlineStr">
        <is>
          <t>Monthly filers</t>
        </is>
      </c>
      <c r="E5" s="14" t="n"/>
      <c r="F5">
        <f>IF(E5&lt;&gt;"",IF(E5&lt;=C5,"Filed on time","Filed late — see Late Fee sheet"),IF(TODAY()&gt;C5,"OVERDUE",IF(C5-TODAY()&lt;=5,"Due in "&amp;(C5-TODAY())&amp;" day(s)","Upcoming")))</f>
        <v/>
      </c>
    </row>
    <row r="6">
      <c r="A6" t="inlineStr">
        <is>
          <t>GSTR-3B + tax payment</t>
        </is>
      </c>
      <c r="B6" t="inlineStr">
        <is>
          <t>Apr-26</t>
        </is>
      </c>
      <c r="C6" s="31">
        <f>DATE(2026,5,20)</f>
        <v/>
      </c>
      <c r="D6" t="inlineStr">
        <is>
          <t>Monthly filers</t>
        </is>
      </c>
      <c r="E6" s="14" t="n"/>
      <c r="F6">
        <f>IF(E6&lt;&gt;"",IF(E6&lt;=C6,"Filed on time","Filed late — see Late Fee sheet"),IF(TODAY()&gt;C6,"OVERDUE",IF(C6-TODAY()&lt;=5,"Due in "&amp;(C6-TODAY())&amp;" day(s)","Upcoming")))</f>
        <v/>
      </c>
    </row>
    <row r="7">
      <c r="A7" t="inlineStr">
        <is>
          <t>IFF (optional B2B invoices)</t>
        </is>
      </c>
      <c r="B7" t="inlineStr">
        <is>
          <t>Apr-26</t>
        </is>
      </c>
      <c r="C7" s="31">
        <f>DATE(2026,5,13)</f>
        <v/>
      </c>
      <c r="D7" t="inlineStr">
        <is>
          <t>QRMP (quarterly) filers</t>
        </is>
      </c>
      <c r="E7" s="14" t="n"/>
      <c r="F7">
        <f>IF(E7&lt;&gt;"",IF(E7&lt;=C7,"Filed on time","Filed late — see Late Fee sheet"),IF(TODAY()&gt;C7,"OVERDUE",IF(C7-TODAY()&lt;=5,"Due in "&amp;(C7-TODAY())&amp;" day(s)","Upcoming")))</f>
        <v/>
      </c>
    </row>
    <row r="8">
      <c r="A8" t="inlineStr">
        <is>
          <t>PMT-06 tax payment</t>
        </is>
      </c>
      <c r="B8" t="inlineStr">
        <is>
          <t>Apr-26</t>
        </is>
      </c>
      <c r="C8" s="31">
        <f>DATE(2026,5,25)</f>
        <v/>
      </c>
      <c r="D8" t="inlineStr">
        <is>
          <t>QRMP (quarterly) filers</t>
        </is>
      </c>
      <c r="E8" s="14" t="n"/>
      <c r="F8">
        <f>IF(E8&lt;&gt;"",IF(E8&lt;=C8,"Filed on time","Filed late — see Late Fee sheet"),IF(TODAY()&gt;C8,"OVERDUE",IF(C8-TODAY()&lt;=5,"Due in "&amp;(C8-TODAY())&amp;" day(s)","Upcoming")))</f>
        <v/>
      </c>
    </row>
    <row r="9">
      <c r="A9" t="inlineStr">
        <is>
          <t>GSTR-1</t>
        </is>
      </c>
      <c r="B9" t="inlineStr">
        <is>
          <t>May-26</t>
        </is>
      </c>
      <c r="C9" s="31">
        <f>DATE(2026,6,11)</f>
        <v/>
      </c>
      <c r="D9" t="inlineStr">
        <is>
          <t>Monthly filers</t>
        </is>
      </c>
      <c r="E9" s="14" t="n"/>
      <c r="F9">
        <f>IF(E9&lt;&gt;"",IF(E9&lt;=C9,"Filed on time","Filed late — see Late Fee sheet"),IF(TODAY()&gt;C9,"OVERDUE",IF(C9-TODAY()&lt;=5,"Due in "&amp;(C9-TODAY())&amp;" day(s)","Upcoming")))</f>
        <v/>
      </c>
    </row>
    <row r="10">
      <c r="A10" t="inlineStr">
        <is>
          <t>GSTR-3B + tax payment</t>
        </is>
      </c>
      <c r="B10" t="inlineStr">
        <is>
          <t>May-26</t>
        </is>
      </c>
      <c r="C10" s="31">
        <f>DATE(2026,6,20)</f>
        <v/>
      </c>
      <c r="D10" t="inlineStr">
        <is>
          <t>Monthly filers</t>
        </is>
      </c>
      <c r="E10" s="14" t="n"/>
      <c r="F10">
        <f>IF(E10&lt;&gt;"",IF(E10&lt;=C10,"Filed on time","Filed late — see Late Fee sheet"),IF(TODAY()&gt;C10,"OVERDUE",IF(C10-TODAY()&lt;=5,"Due in "&amp;(C10-TODAY())&amp;" day(s)","Upcoming")))</f>
        <v/>
      </c>
    </row>
    <row r="11">
      <c r="A11" t="inlineStr">
        <is>
          <t>IFF (optional B2B invoices)</t>
        </is>
      </c>
      <c r="B11" t="inlineStr">
        <is>
          <t>May-26</t>
        </is>
      </c>
      <c r="C11" s="31">
        <f>DATE(2026,6,13)</f>
        <v/>
      </c>
      <c r="D11" t="inlineStr">
        <is>
          <t>QRMP (quarterly) filers</t>
        </is>
      </c>
      <c r="E11" s="14" t="n"/>
      <c r="F11">
        <f>IF(E11&lt;&gt;"",IF(E11&lt;=C11,"Filed on time","Filed late — see Late Fee sheet"),IF(TODAY()&gt;C11,"OVERDUE",IF(C11-TODAY()&lt;=5,"Due in "&amp;(C11-TODAY())&amp;" day(s)","Upcoming")))</f>
        <v/>
      </c>
    </row>
    <row r="12">
      <c r="A12" t="inlineStr">
        <is>
          <t>PMT-06 tax payment</t>
        </is>
      </c>
      <c r="B12" t="inlineStr">
        <is>
          <t>May-26</t>
        </is>
      </c>
      <c r="C12" s="31">
        <f>DATE(2026,6,25)</f>
        <v/>
      </c>
      <c r="D12" t="inlineStr">
        <is>
          <t>QRMP (quarterly) filers</t>
        </is>
      </c>
      <c r="E12" s="14" t="n"/>
      <c r="F12">
        <f>IF(E12&lt;&gt;"",IF(E12&lt;=C12,"Filed on time","Filed late — see Late Fee sheet"),IF(TODAY()&gt;C12,"OVERDUE",IF(C12-TODAY()&lt;=5,"Due in "&amp;(C12-TODAY())&amp;" day(s)","Upcoming")))</f>
        <v/>
      </c>
    </row>
    <row r="13">
      <c r="A13" t="inlineStr">
        <is>
          <t>GSTR-1</t>
        </is>
      </c>
      <c r="B13" t="inlineStr">
        <is>
          <t>Jun-26</t>
        </is>
      </c>
      <c r="C13" s="31">
        <f>DATE(2026,7,11)</f>
        <v/>
      </c>
      <c r="D13" t="inlineStr">
        <is>
          <t>Monthly filers</t>
        </is>
      </c>
      <c r="E13" s="14" t="n"/>
      <c r="F13">
        <f>IF(E13&lt;&gt;"",IF(E13&lt;=C13,"Filed on time","Filed late — see Late Fee sheet"),IF(TODAY()&gt;C13,"OVERDUE",IF(C13-TODAY()&lt;=5,"Due in "&amp;(C13-TODAY())&amp;" day(s)","Upcoming")))</f>
        <v/>
      </c>
    </row>
    <row r="14">
      <c r="A14" t="inlineStr">
        <is>
          <t>GSTR-3B + tax payment</t>
        </is>
      </c>
      <c r="B14" t="inlineStr">
        <is>
          <t>Jun-26</t>
        </is>
      </c>
      <c r="C14" s="31">
        <f>DATE(2026,7,20)</f>
        <v/>
      </c>
      <c r="D14" t="inlineStr">
        <is>
          <t>Monthly filers</t>
        </is>
      </c>
      <c r="E14" s="14" t="n"/>
      <c r="F14">
        <f>IF(E14&lt;&gt;"",IF(E14&lt;=C14,"Filed on time","Filed late — see Late Fee sheet"),IF(TODAY()&gt;C14,"OVERDUE",IF(C14-TODAY()&lt;=5,"Due in "&amp;(C14-TODAY())&amp;" day(s)","Upcoming")))</f>
        <v/>
      </c>
    </row>
    <row r="15">
      <c r="A15" t="inlineStr">
        <is>
          <t>GSTR-1 (quarterly)</t>
        </is>
      </c>
      <c r="B15" t="inlineStr">
        <is>
          <t>Apr–Jun-26</t>
        </is>
      </c>
      <c r="C15" s="31">
        <f>DATE(2026,7,13)</f>
        <v/>
      </c>
      <c r="D15" t="inlineStr">
        <is>
          <t>QRMP (quarterly) filers</t>
        </is>
      </c>
      <c r="E15" s="14" t="n"/>
      <c r="F15">
        <f>IF(E15&lt;&gt;"",IF(E15&lt;=C15,"Filed on time","Filed late — see Late Fee sheet"),IF(TODAY()&gt;C15,"OVERDUE",IF(C15-TODAY()&lt;=5,"Due in "&amp;(C15-TODAY())&amp;" day(s)","Upcoming")))</f>
        <v/>
      </c>
    </row>
    <row r="16">
      <c r="A16" t="inlineStr">
        <is>
          <t>GSTR-3B (quarterly) + tax</t>
        </is>
      </c>
      <c r="B16" t="inlineStr">
        <is>
          <t>Apr–Jun-26</t>
        </is>
      </c>
      <c r="C16" s="31">
        <f>DATE(2026,7,IF(ISNUMBER(MATCH(LEFT(Settings!$B$8,2),{"22","23","24","25","26","27","29","30","31","32","33","34","35","36","37"},0)),22,24))</f>
        <v/>
      </c>
      <c r="D16" t="inlineStr">
        <is>
          <t>QRMP filers (22nd or 24th by your state — from Settings)</t>
        </is>
      </c>
      <c r="E16" s="14" t="n"/>
      <c r="F16">
        <f>IF(E16&lt;&gt;"",IF(E16&lt;=C16,"Filed on time","Filed late — see Late Fee sheet"),IF(TODAY()&gt;C16,"OVERDUE",IF(C16-TODAY()&lt;=5,"Due in "&amp;(C16-TODAY())&amp;" day(s)","Upcoming")))</f>
        <v/>
      </c>
    </row>
    <row r="17">
      <c r="A17" t="inlineStr">
        <is>
          <t>CMP-08 (composition tax)</t>
        </is>
      </c>
      <c r="B17" t="inlineStr">
        <is>
          <t>Apr–Jun-26</t>
        </is>
      </c>
      <c r="C17" s="31">
        <f>DATE(2026,7,18)</f>
        <v/>
      </c>
      <c r="D17" t="inlineStr">
        <is>
          <t>Composition dealers</t>
        </is>
      </c>
      <c r="E17" s="14" t="n"/>
      <c r="F17">
        <f>IF(E17&lt;&gt;"",IF(E17&lt;=C17,"Filed on time","Filed late — see Late Fee sheet"),IF(TODAY()&gt;C17,"OVERDUE",IF(C17-TODAY()&lt;=5,"Due in "&amp;(C17-TODAY())&amp;" day(s)","Upcoming")))</f>
        <v/>
      </c>
    </row>
    <row r="18">
      <c r="A18" t="inlineStr">
        <is>
          <t>GSTR-1</t>
        </is>
      </c>
      <c r="B18" t="inlineStr">
        <is>
          <t>Jul-26</t>
        </is>
      </c>
      <c r="C18" s="31">
        <f>DATE(2026,8,11)</f>
        <v/>
      </c>
      <c r="D18" t="inlineStr">
        <is>
          <t>Monthly filers</t>
        </is>
      </c>
      <c r="E18" s="14" t="n"/>
      <c r="F18">
        <f>IF(E18&lt;&gt;"",IF(E18&lt;=C18,"Filed on time","Filed late — see Late Fee sheet"),IF(TODAY()&gt;C18,"OVERDUE",IF(C18-TODAY()&lt;=5,"Due in "&amp;(C18-TODAY())&amp;" day(s)","Upcoming")))</f>
        <v/>
      </c>
    </row>
    <row r="19">
      <c r="A19" t="inlineStr">
        <is>
          <t>GSTR-3B + tax payment</t>
        </is>
      </c>
      <c r="B19" t="inlineStr">
        <is>
          <t>Jul-26</t>
        </is>
      </c>
      <c r="C19" s="31">
        <f>DATE(2026,8,20)</f>
        <v/>
      </c>
      <c r="D19" t="inlineStr">
        <is>
          <t>Monthly filers</t>
        </is>
      </c>
      <c r="E19" s="14" t="n"/>
      <c r="F19">
        <f>IF(E19&lt;&gt;"",IF(E19&lt;=C19,"Filed on time","Filed late — see Late Fee sheet"),IF(TODAY()&gt;C19,"OVERDUE",IF(C19-TODAY()&lt;=5,"Due in "&amp;(C19-TODAY())&amp;" day(s)","Upcoming")))</f>
        <v/>
      </c>
    </row>
    <row r="20">
      <c r="A20" t="inlineStr">
        <is>
          <t>IFF (optional B2B invoices)</t>
        </is>
      </c>
      <c r="B20" t="inlineStr">
        <is>
          <t>Jul-26</t>
        </is>
      </c>
      <c r="C20" s="31">
        <f>DATE(2026,8,13)</f>
        <v/>
      </c>
      <c r="D20" t="inlineStr">
        <is>
          <t>QRMP (quarterly) filers</t>
        </is>
      </c>
      <c r="E20" s="14" t="n"/>
      <c r="F20">
        <f>IF(E20&lt;&gt;"",IF(E20&lt;=C20,"Filed on time","Filed late — see Late Fee sheet"),IF(TODAY()&gt;C20,"OVERDUE",IF(C20-TODAY()&lt;=5,"Due in "&amp;(C20-TODAY())&amp;" day(s)","Upcoming")))</f>
        <v/>
      </c>
    </row>
    <row r="21">
      <c r="A21" t="inlineStr">
        <is>
          <t>PMT-06 tax payment</t>
        </is>
      </c>
      <c r="B21" t="inlineStr">
        <is>
          <t>Jul-26</t>
        </is>
      </c>
      <c r="C21" s="31">
        <f>DATE(2026,8,25)</f>
        <v/>
      </c>
      <c r="D21" t="inlineStr">
        <is>
          <t>QRMP (quarterly) filers</t>
        </is>
      </c>
      <c r="E21" s="14" t="n"/>
      <c r="F21">
        <f>IF(E21&lt;&gt;"",IF(E21&lt;=C21,"Filed on time","Filed late — see Late Fee sheet"),IF(TODAY()&gt;C21,"OVERDUE",IF(C21-TODAY()&lt;=5,"Due in "&amp;(C21-TODAY())&amp;" day(s)","Upcoming")))</f>
        <v/>
      </c>
    </row>
    <row r="22">
      <c r="A22" t="inlineStr">
        <is>
          <t>GSTR-1</t>
        </is>
      </c>
      <c r="B22" t="inlineStr">
        <is>
          <t>Aug-26</t>
        </is>
      </c>
      <c r="C22" s="31">
        <f>DATE(2026,9,11)</f>
        <v/>
      </c>
      <c r="D22" t="inlineStr">
        <is>
          <t>Monthly filers</t>
        </is>
      </c>
      <c r="E22" s="14" t="n"/>
      <c r="F22">
        <f>IF(E22&lt;&gt;"",IF(E22&lt;=C22,"Filed on time","Filed late — see Late Fee sheet"),IF(TODAY()&gt;C22,"OVERDUE",IF(C22-TODAY()&lt;=5,"Due in "&amp;(C22-TODAY())&amp;" day(s)","Upcoming")))</f>
        <v/>
      </c>
    </row>
    <row r="23">
      <c r="A23" t="inlineStr">
        <is>
          <t>GSTR-3B + tax payment</t>
        </is>
      </c>
      <c r="B23" t="inlineStr">
        <is>
          <t>Aug-26</t>
        </is>
      </c>
      <c r="C23" s="31">
        <f>DATE(2026,9,20)</f>
        <v/>
      </c>
      <c r="D23" t="inlineStr">
        <is>
          <t>Monthly filers</t>
        </is>
      </c>
      <c r="E23" s="14" t="n"/>
      <c r="F23">
        <f>IF(E23&lt;&gt;"",IF(E23&lt;=C23,"Filed on time","Filed late — see Late Fee sheet"),IF(TODAY()&gt;C23,"OVERDUE",IF(C23-TODAY()&lt;=5,"Due in "&amp;(C23-TODAY())&amp;" day(s)","Upcoming")))</f>
        <v/>
      </c>
    </row>
    <row r="24">
      <c r="A24" t="inlineStr">
        <is>
          <t>IFF (optional B2B invoices)</t>
        </is>
      </c>
      <c r="B24" t="inlineStr">
        <is>
          <t>Aug-26</t>
        </is>
      </c>
      <c r="C24" s="31">
        <f>DATE(2026,9,13)</f>
        <v/>
      </c>
      <c r="D24" t="inlineStr">
        <is>
          <t>QRMP (quarterly) filers</t>
        </is>
      </c>
      <c r="E24" s="14" t="n"/>
      <c r="F24">
        <f>IF(E24&lt;&gt;"",IF(E24&lt;=C24,"Filed on time","Filed late — see Late Fee sheet"),IF(TODAY()&gt;C24,"OVERDUE",IF(C24-TODAY()&lt;=5,"Due in "&amp;(C24-TODAY())&amp;" day(s)","Upcoming")))</f>
        <v/>
      </c>
    </row>
    <row r="25">
      <c r="A25" t="inlineStr">
        <is>
          <t>PMT-06 tax payment</t>
        </is>
      </c>
      <c r="B25" t="inlineStr">
        <is>
          <t>Aug-26</t>
        </is>
      </c>
      <c r="C25" s="31">
        <f>DATE(2026,9,25)</f>
        <v/>
      </c>
      <c r="D25" t="inlineStr">
        <is>
          <t>QRMP (quarterly) filers</t>
        </is>
      </c>
      <c r="E25" s="14" t="n"/>
      <c r="F25">
        <f>IF(E25&lt;&gt;"",IF(E25&lt;=C25,"Filed on time","Filed late — see Late Fee sheet"),IF(TODAY()&gt;C25,"OVERDUE",IF(C25-TODAY()&lt;=5,"Due in "&amp;(C25-TODAY())&amp;" day(s)","Upcoming")))</f>
        <v/>
      </c>
    </row>
    <row r="26">
      <c r="A26" t="inlineStr">
        <is>
          <t>GSTR-1</t>
        </is>
      </c>
      <c r="B26" t="inlineStr">
        <is>
          <t>Sep-26</t>
        </is>
      </c>
      <c r="C26" s="31">
        <f>DATE(2026,10,11)</f>
        <v/>
      </c>
      <c r="D26" t="inlineStr">
        <is>
          <t>Monthly filers</t>
        </is>
      </c>
      <c r="E26" s="14" t="n"/>
      <c r="F26">
        <f>IF(E26&lt;&gt;"",IF(E26&lt;=C26,"Filed on time","Filed late — see Late Fee sheet"),IF(TODAY()&gt;C26,"OVERDUE",IF(C26-TODAY()&lt;=5,"Due in "&amp;(C26-TODAY())&amp;" day(s)","Upcoming")))</f>
        <v/>
      </c>
    </row>
    <row r="27">
      <c r="A27" t="inlineStr">
        <is>
          <t>GSTR-3B + tax payment</t>
        </is>
      </c>
      <c r="B27" t="inlineStr">
        <is>
          <t>Sep-26</t>
        </is>
      </c>
      <c r="C27" s="31">
        <f>DATE(2026,10,20)</f>
        <v/>
      </c>
      <c r="D27" t="inlineStr">
        <is>
          <t>Monthly filers</t>
        </is>
      </c>
      <c r="E27" s="14" t="n"/>
      <c r="F27">
        <f>IF(E27&lt;&gt;"",IF(E27&lt;=C27,"Filed on time","Filed late — see Late Fee sheet"),IF(TODAY()&gt;C27,"OVERDUE",IF(C27-TODAY()&lt;=5,"Due in "&amp;(C27-TODAY())&amp;" day(s)","Upcoming")))</f>
        <v/>
      </c>
    </row>
    <row r="28">
      <c r="A28" t="inlineStr">
        <is>
          <t>GSTR-1 (quarterly)</t>
        </is>
      </c>
      <c r="B28" t="inlineStr">
        <is>
          <t>Jul–Sep-26</t>
        </is>
      </c>
      <c r="C28" s="31">
        <f>DATE(2026,10,13)</f>
        <v/>
      </c>
      <c r="D28" t="inlineStr">
        <is>
          <t>QRMP (quarterly) filers</t>
        </is>
      </c>
      <c r="E28" s="14" t="n"/>
      <c r="F28">
        <f>IF(E28&lt;&gt;"",IF(E28&lt;=C28,"Filed on time","Filed late — see Late Fee sheet"),IF(TODAY()&gt;C28,"OVERDUE",IF(C28-TODAY()&lt;=5,"Due in "&amp;(C28-TODAY())&amp;" day(s)","Upcoming")))</f>
        <v/>
      </c>
    </row>
    <row r="29">
      <c r="A29" t="inlineStr">
        <is>
          <t>GSTR-3B (quarterly) + tax</t>
        </is>
      </c>
      <c r="B29" t="inlineStr">
        <is>
          <t>Jul–Sep-26</t>
        </is>
      </c>
      <c r="C29" s="31">
        <f>DATE(2026,10,IF(ISNUMBER(MATCH(LEFT(Settings!$B$8,2),{"22","23","24","25","26","27","29","30","31","32","33","34","35","36","37"},0)),22,24))</f>
        <v/>
      </c>
      <c r="D29" t="inlineStr">
        <is>
          <t>QRMP filers (22nd or 24th by your state — from Settings)</t>
        </is>
      </c>
      <c r="E29" s="14" t="n"/>
      <c r="F29">
        <f>IF(E29&lt;&gt;"",IF(E29&lt;=C29,"Filed on time","Filed late — see Late Fee sheet"),IF(TODAY()&gt;C29,"OVERDUE",IF(C29-TODAY()&lt;=5,"Due in "&amp;(C29-TODAY())&amp;" day(s)","Upcoming")))</f>
        <v/>
      </c>
    </row>
    <row r="30">
      <c r="A30" t="inlineStr">
        <is>
          <t>CMP-08 (composition tax)</t>
        </is>
      </c>
      <c r="B30" t="inlineStr">
        <is>
          <t>Jul–Sep-26</t>
        </is>
      </c>
      <c r="C30" s="31">
        <f>DATE(2026,10,18)</f>
        <v/>
      </c>
      <c r="D30" t="inlineStr">
        <is>
          <t>Composition dealers</t>
        </is>
      </c>
      <c r="E30" s="14" t="n"/>
      <c r="F30">
        <f>IF(E30&lt;&gt;"",IF(E30&lt;=C30,"Filed on time","Filed late — see Late Fee sheet"),IF(TODAY()&gt;C30,"OVERDUE",IF(C30-TODAY()&lt;=5,"Due in "&amp;(C30-TODAY())&amp;" day(s)","Upcoming")))</f>
        <v/>
      </c>
    </row>
    <row r="31">
      <c r="A31" t="inlineStr">
        <is>
          <t>GSTR-1</t>
        </is>
      </c>
      <c r="B31" t="inlineStr">
        <is>
          <t>Oct-26</t>
        </is>
      </c>
      <c r="C31" s="31">
        <f>DATE(2026,11,11)</f>
        <v/>
      </c>
      <c r="D31" t="inlineStr">
        <is>
          <t>Monthly filers</t>
        </is>
      </c>
      <c r="E31" s="14" t="n"/>
      <c r="F31">
        <f>IF(E31&lt;&gt;"",IF(E31&lt;=C31,"Filed on time","Filed late — see Late Fee sheet"),IF(TODAY()&gt;C31,"OVERDUE",IF(C31-TODAY()&lt;=5,"Due in "&amp;(C31-TODAY())&amp;" day(s)","Upcoming")))</f>
        <v/>
      </c>
    </row>
    <row r="32">
      <c r="A32" t="inlineStr">
        <is>
          <t>GSTR-3B + tax payment</t>
        </is>
      </c>
      <c r="B32" t="inlineStr">
        <is>
          <t>Oct-26</t>
        </is>
      </c>
      <c r="C32" s="31">
        <f>DATE(2026,11,20)</f>
        <v/>
      </c>
      <c r="D32" t="inlineStr">
        <is>
          <t>Monthly filers</t>
        </is>
      </c>
      <c r="E32" s="14" t="n"/>
      <c r="F32">
        <f>IF(E32&lt;&gt;"",IF(E32&lt;=C32,"Filed on time","Filed late — see Late Fee sheet"),IF(TODAY()&gt;C32,"OVERDUE",IF(C32-TODAY()&lt;=5,"Due in "&amp;(C32-TODAY())&amp;" day(s)","Upcoming")))</f>
        <v/>
      </c>
    </row>
    <row r="33">
      <c r="A33" t="inlineStr">
        <is>
          <t>IFF (optional B2B invoices)</t>
        </is>
      </c>
      <c r="B33" t="inlineStr">
        <is>
          <t>Oct-26</t>
        </is>
      </c>
      <c r="C33" s="31">
        <f>DATE(2026,11,13)</f>
        <v/>
      </c>
      <c r="D33" t="inlineStr">
        <is>
          <t>QRMP (quarterly) filers</t>
        </is>
      </c>
      <c r="E33" s="14" t="n"/>
      <c r="F33">
        <f>IF(E33&lt;&gt;"",IF(E33&lt;=C33,"Filed on time","Filed late — see Late Fee sheet"),IF(TODAY()&gt;C33,"OVERDUE",IF(C33-TODAY()&lt;=5,"Due in "&amp;(C33-TODAY())&amp;" day(s)","Upcoming")))</f>
        <v/>
      </c>
    </row>
    <row r="34">
      <c r="A34" t="inlineStr">
        <is>
          <t>PMT-06 tax payment</t>
        </is>
      </c>
      <c r="B34" t="inlineStr">
        <is>
          <t>Oct-26</t>
        </is>
      </c>
      <c r="C34" s="31">
        <f>DATE(2026,11,25)</f>
        <v/>
      </c>
      <c r="D34" t="inlineStr">
        <is>
          <t>QRMP (quarterly) filers</t>
        </is>
      </c>
      <c r="E34" s="14" t="n"/>
      <c r="F34">
        <f>IF(E34&lt;&gt;"",IF(E34&lt;=C34,"Filed on time","Filed late — see Late Fee sheet"),IF(TODAY()&gt;C34,"OVERDUE",IF(C34-TODAY()&lt;=5,"Due in "&amp;(C34-TODAY())&amp;" day(s)","Upcoming")))</f>
        <v/>
      </c>
    </row>
    <row r="35">
      <c r="A35" t="inlineStr">
        <is>
          <t>GSTR-1</t>
        </is>
      </c>
      <c r="B35" t="inlineStr">
        <is>
          <t>Nov-26</t>
        </is>
      </c>
      <c r="C35" s="31">
        <f>DATE(2026,12,11)</f>
        <v/>
      </c>
      <c r="D35" t="inlineStr">
        <is>
          <t>Monthly filers</t>
        </is>
      </c>
      <c r="E35" s="14" t="n"/>
      <c r="F35">
        <f>IF(E35&lt;&gt;"",IF(E35&lt;=C35,"Filed on time","Filed late — see Late Fee sheet"),IF(TODAY()&gt;C35,"OVERDUE",IF(C35-TODAY()&lt;=5,"Due in "&amp;(C35-TODAY())&amp;" day(s)","Upcoming")))</f>
        <v/>
      </c>
    </row>
    <row r="36">
      <c r="A36" t="inlineStr">
        <is>
          <t>GSTR-3B + tax payment</t>
        </is>
      </c>
      <c r="B36" t="inlineStr">
        <is>
          <t>Nov-26</t>
        </is>
      </c>
      <c r="C36" s="31">
        <f>DATE(2026,12,20)</f>
        <v/>
      </c>
      <c r="D36" t="inlineStr">
        <is>
          <t>Monthly filers</t>
        </is>
      </c>
      <c r="E36" s="14" t="n"/>
      <c r="F36">
        <f>IF(E36&lt;&gt;"",IF(E36&lt;=C36,"Filed on time","Filed late — see Late Fee sheet"),IF(TODAY()&gt;C36,"OVERDUE",IF(C36-TODAY()&lt;=5,"Due in "&amp;(C36-TODAY())&amp;" day(s)","Upcoming")))</f>
        <v/>
      </c>
    </row>
    <row r="37">
      <c r="A37" t="inlineStr">
        <is>
          <t>IFF (optional B2B invoices)</t>
        </is>
      </c>
      <c r="B37" t="inlineStr">
        <is>
          <t>Nov-26</t>
        </is>
      </c>
      <c r="C37" s="31">
        <f>DATE(2026,12,13)</f>
        <v/>
      </c>
      <c r="D37" t="inlineStr">
        <is>
          <t>QRMP (quarterly) filers</t>
        </is>
      </c>
      <c r="E37" s="14" t="n"/>
      <c r="F37">
        <f>IF(E37&lt;&gt;"",IF(E37&lt;=C37,"Filed on time","Filed late — see Late Fee sheet"),IF(TODAY()&gt;C37,"OVERDUE",IF(C37-TODAY()&lt;=5,"Due in "&amp;(C37-TODAY())&amp;" day(s)","Upcoming")))</f>
        <v/>
      </c>
    </row>
    <row r="38">
      <c r="A38" t="inlineStr">
        <is>
          <t>PMT-06 tax payment</t>
        </is>
      </c>
      <c r="B38" t="inlineStr">
        <is>
          <t>Nov-26</t>
        </is>
      </c>
      <c r="C38" s="31">
        <f>DATE(2026,12,25)</f>
        <v/>
      </c>
      <c r="D38" t="inlineStr">
        <is>
          <t>QRMP (quarterly) filers</t>
        </is>
      </c>
      <c r="E38" s="14" t="n"/>
      <c r="F38">
        <f>IF(E38&lt;&gt;"",IF(E38&lt;=C38,"Filed on time","Filed late — see Late Fee sheet"),IF(TODAY()&gt;C38,"OVERDUE",IF(C38-TODAY()&lt;=5,"Due in "&amp;(C38-TODAY())&amp;" day(s)","Upcoming")))</f>
        <v/>
      </c>
    </row>
    <row r="39">
      <c r="A39" t="inlineStr">
        <is>
          <t>GSTR-1</t>
        </is>
      </c>
      <c r="B39" t="inlineStr">
        <is>
          <t>Dec-26</t>
        </is>
      </c>
      <c r="C39" s="31">
        <f>DATE(2027,1,11)</f>
        <v/>
      </c>
      <c r="D39" t="inlineStr">
        <is>
          <t>Monthly filers</t>
        </is>
      </c>
      <c r="E39" s="14" t="n"/>
      <c r="F39">
        <f>IF(E39&lt;&gt;"",IF(E39&lt;=C39,"Filed on time","Filed late — see Late Fee sheet"),IF(TODAY()&gt;C39,"OVERDUE",IF(C39-TODAY()&lt;=5,"Due in "&amp;(C39-TODAY())&amp;" day(s)","Upcoming")))</f>
        <v/>
      </c>
    </row>
    <row r="40">
      <c r="A40" t="inlineStr">
        <is>
          <t>GSTR-3B + tax payment</t>
        </is>
      </c>
      <c r="B40" t="inlineStr">
        <is>
          <t>Dec-26</t>
        </is>
      </c>
      <c r="C40" s="31">
        <f>DATE(2027,1,20)</f>
        <v/>
      </c>
      <c r="D40" t="inlineStr">
        <is>
          <t>Monthly filers</t>
        </is>
      </c>
      <c r="E40" s="14" t="n"/>
      <c r="F40">
        <f>IF(E40&lt;&gt;"",IF(E40&lt;=C40,"Filed on time","Filed late — see Late Fee sheet"),IF(TODAY()&gt;C40,"OVERDUE",IF(C40-TODAY()&lt;=5,"Due in "&amp;(C40-TODAY())&amp;" day(s)","Upcoming")))</f>
        <v/>
      </c>
    </row>
    <row r="41">
      <c r="A41" t="inlineStr">
        <is>
          <t>GSTR-1 (quarterly)</t>
        </is>
      </c>
      <c r="B41" t="inlineStr">
        <is>
          <t>Oct–Dec-26</t>
        </is>
      </c>
      <c r="C41" s="31">
        <f>DATE(2027,1,13)</f>
        <v/>
      </c>
      <c r="D41" t="inlineStr">
        <is>
          <t>QRMP (quarterly) filers</t>
        </is>
      </c>
      <c r="E41" s="14" t="n"/>
      <c r="F41">
        <f>IF(E41&lt;&gt;"",IF(E41&lt;=C41,"Filed on time","Filed late — see Late Fee sheet"),IF(TODAY()&gt;C41,"OVERDUE",IF(C41-TODAY()&lt;=5,"Due in "&amp;(C41-TODAY())&amp;" day(s)","Upcoming")))</f>
        <v/>
      </c>
    </row>
    <row r="42">
      <c r="A42" t="inlineStr">
        <is>
          <t>GSTR-3B (quarterly) + tax</t>
        </is>
      </c>
      <c r="B42" t="inlineStr">
        <is>
          <t>Oct–Dec-26</t>
        </is>
      </c>
      <c r="C42" s="31">
        <f>DATE(2027,1,IF(ISNUMBER(MATCH(LEFT(Settings!$B$8,2),{"22","23","24","25","26","27","29","30","31","32","33","34","35","36","37"},0)),22,24))</f>
        <v/>
      </c>
      <c r="D42" t="inlineStr">
        <is>
          <t>QRMP filers (22nd or 24th by your state — from Settings)</t>
        </is>
      </c>
      <c r="E42" s="14" t="n"/>
      <c r="F42">
        <f>IF(E42&lt;&gt;"",IF(E42&lt;=C42,"Filed on time","Filed late — see Late Fee sheet"),IF(TODAY()&gt;C42,"OVERDUE",IF(C42-TODAY()&lt;=5,"Due in "&amp;(C42-TODAY())&amp;" day(s)","Upcoming")))</f>
        <v/>
      </c>
    </row>
    <row r="43">
      <c r="A43" t="inlineStr">
        <is>
          <t>CMP-08 (composition tax)</t>
        </is>
      </c>
      <c r="B43" t="inlineStr">
        <is>
          <t>Oct–Dec-26</t>
        </is>
      </c>
      <c r="C43" s="31">
        <f>DATE(2027,1,18)</f>
        <v/>
      </c>
      <c r="D43" t="inlineStr">
        <is>
          <t>Composition dealers</t>
        </is>
      </c>
      <c r="E43" s="14" t="n"/>
      <c r="F43">
        <f>IF(E43&lt;&gt;"",IF(E43&lt;=C43,"Filed on time","Filed late — see Late Fee sheet"),IF(TODAY()&gt;C43,"OVERDUE",IF(C43-TODAY()&lt;=5,"Due in "&amp;(C43-TODAY())&amp;" day(s)","Upcoming")))</f>
        <v/>
      </c>
    </row>
    <row r="44">
      <c r="A44" t="inlineStr">
        <is>
          <t>GSTR-1</t>
        </is>
      </c>
      <c r="B44" t="inlineStr">
        <is>
          <t>Jan-27</t>
        </is>
      </c>
      <c r="C44" s="31">
        <f>DATE(2027,2,11)</f>
        <v/>
      </c>
      <c r="D44" t="inlineStr">
        <is>
          <t>Monthly filers</t>
        </is>
      </c>
      <c r="E44" s="14" t="n"/>
      <c r="F44">
        <f>IF(E44&lt;&gt;"",IF(E44&lt;=C44,"Filed on time","Filed late — see Late Fee sheet"),IF(TODAY()&gt;C44,"OVERDUE",IF(C44-TODAY()&lt;=5,"Due in "&amp;(C44-TODAY())&amp;" day(s)","Upcoming")))</f>
        <v/>
      </c>
    </row>
    <row r="45">
      <c r="A45" t="inlineStr">
        <is>
          <t>GSTR-3B + tax payment</t>
        </is>
      </c>
      <c r="B45" t="inlineStr">
        <is>
          <t>Jan-27</t>
        </is>
      </c>
      <c r="C45" s="31">
        <f>DATE(2027,2,20)</f>
        <v/>
      </c>
      <c r="D45" t="inlineStr">
        <is>
          <t>Monthly filers</t>
        </is>
      </c>
      <c r="E45" s="14" t="n"/>
      <c r="F45">
        <f>IF(E45&lt;&gt;"",IF(E45&lt;=C45,"Filed on time","Filed late — see Late Fee sheet"),IF(TODAY()&gt;C45,"OVERDUE",IF(C45-TODAY()&lt;=5,"Due in "&amp;(C45-TODAY())&amp;" day(s)","Upcoming")))</f>
        <v/>
      </c>
    </row>
    <row r="46">
      <c r="A46" t="inlineStr">
        <is>
          <t>IFF (optional B2B invoices)</t>
        </is>
      </c>
      <c r="B46" t="inlineStr">
        <is>
          <t>Jan-27</t>
        </is>
      </c>
      <c r="C46" s="31">
        <f>DATE(2027,2,13)</f>
        <v/>
      </c>
      <c r="D46" t="inlineStr">
        <is>
          <t>QRMP (quarterly) filers</t>
        </is>
      </c>
      <c r="E46" s="14" t="n"/>
      <c r="F46">
        <f>IF(E46&lt;&gt;"",IF(E46&lt;=C46,"Filed on time","Filed late — see Late Fee sheet"),IF(TODAY()&gt;C46,"OVERDUE",IF(C46-TODAY()&lt;=5,"Due in "&amp;(C46-TODAY())&amp;" day(s)","Upcoming")))</f>
        <v/>
      </c>
    </row>
    <row r="47">
      <c r="A47" t="inlineStr">
        <is>
          <t>PMT-06 tax payment</t>
        </is>
      </c>
      <c r="B47" t="inlineStr">
        <is>
          <t>Jan-27</t>
        </is>
      </c>
      <c r="C47" s="31">
        <f>DATE(2027,2,25)</f>
        <v/>
      </c>
      <c r="D47" t="inlineStr">
        <is>
          <t>QRMP (quarterly) filers</t>
        </is>
      </c>
      <c r="E47" s="14" t="n"/>
      <c r="F47">
        <f>IF(E47&lt;&gt;"",IF(E47&lt;=C47,"Filed on time","Filed late — see Late Fee sheet"),IF(TODAY()&gt;C47,"OVERDUE",IF(C47-TODAY()&lt;=5,"Due in "&amp;(C47-TODAY())&amp;" day(s)","Upcoming")))</f>
        <v/>
      </c>
    </row>
    <row r="48">
      <c r="A48" t="inlineStr">
        <is>
          <t>GSTR-1</t>
        </is>
      </c>
      <c r="B48" t="inlineStr">
        <is>
          <t>Feb-27</t>
        </is>
      </c>
      <c r="C48" s="31">
        <f>DATE(2027,3,11)</f>
        <v/>
      </c>
      <c r="D48" t="inlineStr">
        <is>
          <t>Monthly filers</t>
        </is>
      </c>
      <c r="E48" s="14" t="n"/>
      <c r="F48">
        <f>IF(E48&lt;&gt;"",IF(E48&lt;=C48,"Filed on time","Filed late — see Late Fee sheet"),IF(TODAY()&gt;C48,"OVERDUE",IF(C48-TODAY()&lt;=5,"Due in "&amp;(C48-TODAY())&amp;" day(s)","Upcoming")))</f>
        <v/>
      </c>
    </row>
    <row r="49">
      <c r="A49" t="inlineStr">
        <is>
          <t>GSTR-3B + tax payment</t>
        </is>
      </c>
      <c r="B49" t="inlineStr">
        <is>
          <t>Feb-27</t>
        </is>
      </c>
      <c r="C49" s="31">
        <f>DATE(2027,3,20)</f>
        <v/>
      </c>
      <c r="D49" t="inlineStr">
        <is>
          <t>Monthly filers</t>
        </is>
      </c>
      <c r="E49" s="14" t="n"/>
      <c r="F49">
        <f>IF(E49&lt;&gt;"",IF(E49&lt;=C49,"Filed on time","Filed late — see Late Fee sheet"),IF(TODAY()&gt;C49,"OVERDUE",IF(C49-TODAY()&lt;=5,"Due in "&amp;(C49-TODAY())&amp;" day(s)","Upcoming")))</f>
        <v/>
      </c>
    </row>
    <row r="50">
      <c r="A50" t="inlineStr">
        <is>
          <t>IFF (optional B2B invoices)</t>
        </is>
      </c>
      <c r="B50" t="inlineStr">
        <is>
          <t>Feb-27</t>
        </is>
      </c>
      <c r="C50" s="31">
        <f>DATE(2027,3,13)</f>
        <v/>
      </c>
      <c r="D50" t="inlineStr">
        <is>
          <t>QRMP (quarterly) filers</t>
        </is>
      </c>
      <c r="E50" s="14" t="n"/>
      <c r="F50">
        <f>IF(E50&lt;&gt;"",IF(E50&lt;=C50,"Filed on time","Filed late — see Late Fee sheet"),IF(TODAY()&gt;C50,"OVERDUE",IF(C50-TODAY()&lt;=5,"Due in "&amp;(C50-TODAY())&amp;" day(s)","Upcoming")))</f>
        <v/>
      </c>
    </row>
    <row r="51">
      <c r="A51" t="inlineStr">
        <is>
          <t>PMT-06 tax payment</t>
        </is>
      </c>
      <c r="B51" t="inlineStr">
        <is>
          <t>Feb-27</t>
        </is>
      </c>
      <c r="C51" s="31">
        <f>DATE(2027,3,25)</f>
        <v/>
      </c>
      <c r="D51" t="inlineStr">
        <is>
          <t>QRMP (quarterly) filers</t>
        </is>
      </c>
      <c r="E51" s="14" t="n"/>
      <c r="F51">
        <f>IF(E51&lt;&gt;"",IF(E51&lt;=C51,"Filed on time","Filed late — see Late Fee sheet"),IF(TODAY()&gt;C51,"OVERDUE",IF(C51-TODAY()&lt;=5,"Due in "&amp;(C51-TODAY())&amp;" day(s)","Upcoming")))</f>
        <v/>
      </c>
    </row>
    <row r="52">
      <c r="A52" t="inlineStr">
        <is>
          <t>GSTR-1</t>
        </is>
      </c>
      <c r="B52" t="inlineStr">
        <is>
          <t>Mar-27</t>
        </is>
      </c>
      <c r="C52" s="31">
        <f>DATE(2027,4,11)</f>
        <v/>
      </c>
      <c r="D52" t="inlineStr">
        <is>
          <t>Monthly filers</t>
        </is>
      </c>
      <c r="E52" s="14" t="n"/>
      <c r="F52">
        <f>IF(E52&lt;&gt;"",IF(E52&lt;=C52,"Filed on time","Filed late — see Late Fee sheet"),IF(TODAY()&gt;C52,"OVERDUE",IF(C52-TODAY()&lt;=5,"Due in "&amp;(C52-TODAY())&amp;" day(s)","Upcoming")))</f>
        <v/>
      </c>
    </row>
    <row r="53">
      <c r="A53" t="inlineStr">
        <is>
          <t>GSTR-3B + tax payment</t>
        </is>
      </c>
      <c r="B53" t="inlineStr">
        <is>
          <t>Mar-27</t>
        </is>
      </c>
      <c r="C53" s="31">
        <f>DATE(2027,4,20)</f>
        <v/>
      </c>
      <c r="D53" t="inlineStr">
        <is>
          <t>Monthly filers</t>
        </is>
      </c>
      <c r="E53" s="14" t="n"/>
      <c r="F53">
        <f>IF(E53&lt;&gt;"",IF(E53&lt;=C53,"Filed on time","Filed late — see Late Fee sheet"),IF(TODAY()&gt;C53,"OVERDUE",IF(C53-TODAY()&lt;=5,"Due in "&amp;(C53-TODAY())&amp;" day(s)","Upcoming")))</f>
        <v/>
      </c>
    </row>
    <row r="54">
      <c r="A54" t="inlineStr">
        <is>
          <t>GSTR-1 (quarterly)</t>
        </is>
      </c>
      <c r="B54" t="inlineStr">
        <is>
          <t>Jan–Mar-27</t>
        </is>
      </c>
      <c r="C54" s="31">
        <f>DATE(2027,4,13)</f>
        <v/>
      </c>
      <c r="D54" t="inlineStr">
        <is>
          <t>QRMP (quarterly) filers</t>
        </is>
      </c>
      <c r="E54" s="14" t="n"/>
      <c r="F54">
        <f>IF(E54&lt;&gt;"",IF(E54&lt;=C54,"Filed on time","Filed late — see Late Fee sheet"),IF(TODAY()&gt;C54,"OVERDUE",IF(C54-TODAY()&lt;=5,"Due in "&amp;(C54-TODAY())&amp;" day(s)","Upcoming")))</f>
        <v/>
      </c>
    </row>
    <row r="55">
      <c r="A55" t="inlineStr">
        <is>
          <t>GSTR-3B (quarterly) + tax</t>
        </is>
      </c>
      <c r="B55" t="inlineStr">
        <is>
          <t>Jan–Mar-27</t>
        </is>
      </c>
      <c r="C55" s="31">
        <f>DATE(2027,4,IF(ISNUMBER(MATCH(LEFT(Settings!$B$8,2),{"22","23","24","25","26","27","29","30","31","32","33","34","35","36","37"},0)),22,24))</f>
        <v/>
      </c>
      <c r="D55" t="inlineStr">
        <is>
          <t>QRMP filers (22nd or 24th by your state — from Settings)</t>
        </is>
      </c>
      <c r="E55" s="14" t="n"/>
      <c r="F55">
        <f>IF(E55&lt;&gt;"",IF(E55&lt;=C55,"Filed on time","Filed late — see Late Fee sheet"),IF(TODAY()&gt;C55,"OVERDUE",IF(C55-TODAY()&lt;=5,"Due in "&amp;(C55-TODAY())&amp;" day(s)","Upcoming")))</f>
        <v/>
      </c>
    </row>
    <row r="56">
      <c r="A56" t="inlineStr">
        <is>
          <t>CMP-08 (composition tax)</t>
        </is>
      </c>
      <c r="B56" t="inlineStr">
        <is>
          <t>Jan–Mar-27</t>
        </is>
      </c>
      <c r="C56" s="31">
        <f>DATE(2027,4,18)</f>
        <v/>
      </c>
      <c r="D56" t="inlineStr">
        <is>
          <t>Composition dealers</t>
        </is>
      </c>
      <c r="E56" s="14" t="n"/>
      <c r="F56">
        <f>IF(E56&lt;&gt;"",IF(E56&lt;=C56,"Filed on time","Filed late — see Late Fee sheet"),IF(TODAY()&gt;C56,"OVERDUE",IF(C56-TODAY()&lt;=5,"Due in "&amp;(C56-TODAY())&amp;" day(s)","Upcoming")))</f>
        <v/>
      </c>
    </row>
    <row r="57">
      <c r="A57" t="inlineStr">
        <is>
          <t>ITC last date for FY 2025-26 credits</t>
        </is>
      </c>
      <c r="B57" t="inlineStr">
        <is>
          <t>FY 2025-26</t>
        </is>
      </c>
      <c r="C57" s="31">
        <f>DATE(2026,11,30)</f>
        <v/>
      </c>
      <c r="D57" t="inlineStr">
        <is>
          <t>All regular taxpayers (claim in a return filed by this date)</t>
        </is>
      </c>
      <c r="E57" s="14" t="n"/>
      <c r="F57">
        <f>IF(E57&lt;&gt;"",IF(E57&lt;=C57,"Filed on time","Filed late — see Late Fee sheet"),IF(TODAY()&gt;C57,"OVERDUE",IF(C57-TODAY()&lt;=5,"Due in "&amp;(C57-TODAY())&amp;" day(s)","Upcoming")))</f>
        <v/>
      </c>
    </row>
    <row r="58">
      <c r="A58" t="inlineStr">
        <is>
          <t>GSTR-9 / 9C annual return</t>
        </is>
      </c>
      <c r="B58" t="inlineStr">
        <is>
          <t>FY 2025-26</t>
        </is>
      </c>
      <c r="C58" s="31">
        <f>DATE(2026,12,31)</f>
        <v/>
      </c>
      <c r="D58" t="inlineStr">
        <is>
          <t>Turnover above ₹2 crore (9C above ₹5 crore)</t>
        </is>
      </c>
      <c r="E58" s="14" t="n"/>
      <c r="F58">
        <f>IF(E58&lt;&gt;"",IF(E58&lt;=C58,"Filed on time","Filed late — see Late Fee sheet"),IF(TODAY()&gt;C58,"OVERDUE",IF(C58-TODAY()&lt;=5,"Due in "&amp;(C58-TODAY())&amp;" day(s)","Upcoming")))</f>
        <v/>
      </c>
    </row>
    <row r="59">
      <c r="A59" t="inlineStr">
        <is>
          <t>GSTR-4 annual return</t>
        </is>
      </c>
      <c r="B59" t="inlineStr">
        <is>
          <t>FY 2026-27</t>
        </is>
      </c>
      <c r="C59" s="31">
        <f>DATE(2027,4,30)</f>
        <v/>
      </c>
      <c r="D59" t="inlineStr">
        <is>
          <t>Composition dealers</t>
        </is>
      </c>
      <c r="E59" s="14" t="n"/>
      <c r="F59">
        <f>IF(E59&lt;&gt;"",IF(E59&lt;=C59,"Filed on time","Filed late — see Late Fee sheet"),IF(TODAY()&gt;C59,"OVERDUE",IF(C59-TODAY()&lt;=5,"Due in "&amp;(C59-TODAY())&amp;" day(s)","Upcoming")))</f>
        <v/>
      </c>
    </row>
  </sheetData>
  <autoFilter ref="A4:F59"/>
  <mergeCells count="2"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60" customWidth="1" min="3" max="3"/>
  </cols>
  <sheetData>
    <row r="1">
      <c r="A1" s="8" t="inlineStr">
        <is>
          <t>Late Fee &amp; Interest Calculator — GSTR-1 / GSTR-3B</t>
        </is>
      </c>
    </row>
    <row r="2">
      <c r="A2" s="9" t="inlineStr">
        <is>
          <t>Fill the yellow cells</t>
        </is>
      </c>
    </row>
    <row r="4">
      <c r="A4" s="10" t="inlineStr">
        <is>
          <t>Return</t>
        </is>
      </c>
      <c r="B4" s="11" t="inlineStr">
        <is>
          <t>GSTR-3B</t>
        </is>
      </c>
    </row>
    <row r="5">
      <c r="A5" s="10" t="inlineStr">
        <is>
          <t>Nil return? (Y/N)</t>
        </is>
      </c>
      <c r="B5" s="11" t="inlineStr">
        <is>
          <t>N</t>
        </is>
      </c>
    </row>
    <row r="6">
      <c r="A6" s="10" t="inlineStr">
        <is>
          <t>Aggregate turnover in the previous FY</t>
        </is>
      </c>
      <c r="B6" s="11" t="inlineStr">
        <is>
          <t>Up to ₹1.5 crore</t>
        </is>
      </c>
    </row>
    <row r="7">
      <c r="A7" s="10" t="inlineStr">
        <is>
          <t>Due date</t>
        </is>
      </c>
      <c r="B7" s="14" t="n"/>
    </row>
    <row r="8">
      <c r="A8" s="10" t="inlineStr">
        <is>
          <t>Date actually filed (or expected)</t>
        </is>
      </c>
      <c r="B8" s="14" t="n"/>
    </row>
    <row r="9">
      <c r="A9" s="10" t="inlineStr">
        <is>
          <t>Tax paid late in cash (net of ITC), ₹</t>
        </is>
      </c>
      <c r="B9" s="18" t="n">
        <v>0</v>
      </c>
    </row>
    <row r="11" ht="30" customHeight="1">
      <c r="A11" s="32" t="inlineStr">
        <is>
          <t>Days late</t>
        </is>
      </c>
      <c r="B11" s="33">
        <f>IF(OR(B7="",B8=""),0,MAX(0,B8-B7))</f>
        <v/>
      </c>
      <c r="C11" s="5" t="inlineStr">
        <is>
          <t>• Late fee: ₹50 per day (₹25 CGST + ₹25 SGST); ₹20 per day (₹10 + ₹10) for nil returns.</t>
        </is>
      </c>
    </row>
    <row r="12" ht="30" customHeight="1">
      <c r="A12" s="32" t="inlineStr">
        <is>
          <t>Late fee per day (CGST + SGST)</t>
        </is>
      </c>
      <c r="B12" s="34">
        <f>IF(B5="Y",20,50)</f>
        <v/>
      </c>
      <c r="C12" s="5" t="inlineStr">
        <is>
          <t>• Maximum late fee per return (Notifications 19/2021 &amp; 20/2021 — CT): nil return ₹500; turnover up to ₹1.5 crore ₹2,000; ₹1.5–5 crore ₹5,000; above ₹5 crore ₹10,000.</t>
        </is>
      </c>
    </row>
    <row r="13" ht="30" customHeight="1">
      <c r="A13" s="32" t="inlineStr">
        <is>
          <t>Maximum late fee for this return</t>
        </is>
      </c>
      <c r="B13" s="34">
        <f>IF(B5="Y",500,IF(B6="Up to ₹1.5 crore",2000,IF(B6="Above ₹5 crore",10000,5000)))</f>
        <v/>
      </c>
      <c r="C13" s="5" t="inlineStr">
        <is>
          <t>• Interest (Section 50): 18% per year on the tax paid in cash after the due date, counted from the day after the due date. GSTR-1 itself carries no interest.</t>
        </is>
      </c>
    </row>
    <row r="14" ht="30" customHeight="1">
      <c r="A14" s="10" t="inlineStr">
        <is>
          <t>Late fee payable</t>
        </is>
      </c>
      <c r="B14" s="34">
        <f>MIN(B11*B12,B13)</f>
        <v/>
      </c>
      <c r="C14" s="5" t="inlineStr">
        <is>
          <t>• Late fee is paid in cash only — it cannot be paid from ITC.</t>
        </is>
      </c>
    </row>
    <row r="15" ht="30" customHeight="1">
      <c r="A15" s="32" t="inlineStr">
        <is>
          <t xml:space="preserve">   of which CGST</t>
        </is>
      </c>
      <c r="B15" s="34">
        <f>B14/2</f>
        <v/>
      </c>
      <c r="C15" s="5" t="inlineStr">
        <is>
          <t>• Rates as of FY 2026-27. Waivers/amnesty notified by the government can change the amount — check before paying.</t>
        </is>
      </c>
    </row>
    <row r="16">
      <c r="A16" s="32" t="inlineStr">
        <is>
          <t xml:space="preserve">   of which SGST</t>
        </is>
      </c>
      <c r="B16" s="34">
        <f>B14/2</f>
        <v/>
      </c>
    </row>
    <row r="17">
      <c r="A17" s="32" t="inlineStr">
        <is>
          <t>Interest @ 18% p.a. on tax paid late</t>
        </is>
      </c>
      <c r="B17" s="34">
        <f>IF(B4="GSTR-3B",ROUND(B9*18%*B11/365,0),0)</f>
        <v/>
      </c>
    </row>
    <row r="18">
      <c r="A18" s="10" t="inlineStr">
        <is>
          <t>TOTAL (late fee + interest)</t>
        </is>
      </c>
      <c r="B18" s="35">
        <f>B14+B17</f>
        <v/>
      </c>
    </row>
  </sheetData>
  <mergeCells count="2">
    <mergeCell ref="A1:C1"/>
    <mergeCell ref="A2:C2"/>
  </mergeCells>
  <dataValidations count="3">
    <dataValidation sqref="B4" showDropDown="0" showInputMessage="0" showErrorMessage="0" allowBlank="0" type="list">
      <formula1>"GSTR-3B,GSTR-1"</formula1>
    </dataValidation>
    <dataValidation sqref="B5" showDropDown="0" showInputMessage="0" showErrorMessage="0" allowBlank="0" type="list">
      <formula1>"Y,N"</formula1>
    </dataValidation>
    <dataValidation sqref="B6" showDropDown="0" showInputMessage="0" showErrorMessage="0" allowBlank="0" type="list">
      <formula1>"Up to ₹1.5 crore,₹1.5 crore to ₹5 crore,Above ₹5 crore"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2026-10-02T18:50:12Z</dcterms:created>
  <dcterms:modified xmlns:dcterms="http://purl.org/dc/terms/" xmlns:xsi="http://www.w3.org/2001/XMLSchema-instance" xsi:type="dcterms:W3CDTF">2026-10-02T18:50:12Z</dcterms:modified>
</cp:coreProperties>
</file>