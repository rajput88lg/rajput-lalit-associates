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utput Tax Recon" sheetId="2" state="visible" r:id="rId2"/>
    <sheet xmlns:r="http://schemas.openxmlformats.org/officeDocument/2006/relationships" name="ITC Recon" sheetId="3" state="visible" r:id="rId3"/>
    <sheet xmlns:r="http://schemas.openxmlformats.org/officeDocument/2006/relationships" name="Demand &amp; Interest" sheetId="4" state="visible" r:id="rId4"/>
    <sheet xmlns:r="http://schemas.openxmlformats.org/officeDocument/2006/relationships" name="Notice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i val="1"/>
      <color rgb="006B7280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17" fontId="0" fillId="0" borderId="0" pivotButton="0" quotePrefix="0" xfId="0"/>
    <xf numFmtId="4" fontId="0" fillId="2" borderId="1" pivotButton="0" quotePrefix="0" xfId="0"/>
    <xf numFmtId="4" fontId="0" fillId="0" borderId="0" pivotButton="0" quotePrefix="0" xfId="0"/>
    <xf numFmtId="0" fontId="0" fillId="2" borderId="1" pivotButton="0" quotePrefix="0" xfId="0"/>
    <xf numFmtId="0" fontId="9" fillId="0" borderId="0" pivotButton="0" quotePrefix="0" xfId="0"/>
    <xf numFmtId="4" fontId="9" fillId="4" borderId="0" pivotButton="0" quotePrefix="0" xfId="0"/>
    <xf numFmtId="164" fontId="0" fillId="2" borderId="1" pivotButton="0" quotePrefix="0" xfId="0"/>
    <xf numFmtId="4" fontId="0" fillId="4" borderId="1" pivotButton="0" quotePrefix="0" xfId="0"/>
    <xf numFmtId="1" fontId="0" fillId="4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GST Notice Reconciliation Workbook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Most GST notices are about one of three gaps: books vs GSTR-1, GSTR-1 vs GSTR-3B, or ITC in 3B vs GSTR-2B. Fill the matching sheet month by month from your books and the portal.</t>
        </is>
      </c>
    </row>
    <row r="6">
      <c r="A6" s="4" t="n">
        <v>2</v>
      </c>
      <c r="B6" s="5" t="inlineStr">
        <is>
          <t>Write a short reason against every difference in the 'Reason' column — this becomes your reconciliation annexure. Print it or save it as PDF and attach it to the reply.</t>
        </is>
      </c>
    </row>
    <row r="7">
      <c r="A7" s="4" t="n">
        <v>3</v>
      </c>
      <c r="B7" s="5" t="inlineStr">
        <is>
          <t>'Demand &amp; Interest' works out interest at 18% to any payment date and the pre-deposit needed for an appeal.</t>
        </is>
      </c>
    </row>
    <row r="8">
      <c r="A8" s="4" t="n">
        <v>4</v>
      </c>
      <c r="B8" s="5" t="inlineStr">
        <is>
          <t>'Notice Tracker' keeps every notice, its reply date and status in one place.</t>
        </is>
      </c>
    </row>
    <row r="10">
      <c r="B10" s="3" t="inlineStr">
        <is>
          <t>Good to know</t>
        </is>
      </c>
    </row>
    <row r="11">
      <c r="B11" s="5" t="inlineStr">
        <is>
          <t>• Use the Word formats for the reply letter; this workbook is for the numbers behind it.</t>
        </is>
      </c>
    </row>
    <row r="13">
      <c r="B13" s="6" t="inlineStr">
        <is>
          <t>Cells shaded light yellow are for your entries. White cells contain formulas — please don't type over them.</t>
        </is>
      </c>
    </row>
    <row r="15">
      <c r="B15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8" t="inlineStr">
        <is>
          <t>Output Tax Recon</t>
        </is>
      </c>
    </row>
    <row r="2">
      <c r="A2" s="9" t="inlineStr">
        <is>
          <t>Total tax (CGST+SGST+IGST+cess) per month. Notices DRC-01B / ASMT-10 usually come from these gaps.</t>
        </is>
      </c>
    </row>
    <row r="4" ht="32" customHeight="1">
      <c r="A4" s="10" t="inlineStr">
        <is>
          <t>Month</t>
        </is>
      </c>
      <c r="B4" s="10" t="inlineStr">
        <is>
          <t>Tax as per books</t>
        </is>
      </c>
      <c r="C4" s="10" t="inlineStr">
        <is>
          <t>Tax as per GSTR-1</t>
        </is>
      </c>
      <c r="D4" s="10" t="inlineStr">
        <is>
          <t>Tax as per GSTR-3B</t>
        </is>
      </c>
      <c r="E4" s="10" t="inlineStr">
        <is>
          <t>Books − GSTR-1</t>
        </is>
      </c>
      <c r="F4" s="10" t="inlineStr">
        <is>
          <t>GSTR-1 − GSTR-3B</t>
        </is>
      </c>
      <c r="G4" s="10" t="inlineStr">
        <is>
          <t>Reason for difference</t>
        </is>
      </c>
    </row>
    <row r="5">
      <c r="A5" s="11">
        <f>DATE(2026,4,1)</f>
        <v/>
      </c>
      <c r="B5" s="12" t="n"/>
      <c r="C5" s="12" t="n"/>
      <c r="D5" s="12" t="n"/>
      <c r="E5" s="13">
        <f>B5-C5</f>
        <v/>
      </c>
      <c r="F5" s="13">
        <f>C5-D5</f>
        <v/>
      </c>
      <c r="G5" s="14" t="n"/>
    </row>
    <row r="6">
      <c r="A6" s="11">
        <f>DATE(2026,5,1)</f>
        <v/>
      </c>
      <c r="B6" s="12" t="n"/>
      <c r="C6" s="12" t="n"/>
      <c r="D6" s="12" t="n"/>
      <c r="E6" s="13">
        <f>B6-C6</f>
        <v/>
      </c>
      <c r="F6" s="13">
        <f>C6-D6</f>
        <v/>
      </c>
      <c r="G6" s="14" t="n"/>
    </row>
    <row r="7">
      <c r="A7" s="11">
        <f>DATE(2026,6,1)</f>
        <v/>
      </c>
      <c r="B7" s="12" t="n"/>
      <c r="C7" s="12" t="n"/>
      <c r="D7" s="12" t="n"/>
      <c r="E7" s="13">
        <f>B7-C7</f>
        <v/>
      </c>
      <c r="F7" s="13">
        <f>C7-D7</f>
        <v/>
      </c>
      <c r="G7" s="14" t="n"/>
    </row>
    <row r="8">
      <c r="A8" s="11">
        <f>DATE(2026,7,1)</f>
        <v/>
      </c>
      <c r="B8" s="12" t="n"/>
      <c r="C8" s="12" t="n"/>
      <c r="D8" s="12" t="n"/>
      <c r="E8" s="13">
        <f>B8-C8</f>
        <v/>
      </c>
      <c r="F8" s="13">
        <f>C8-D8</f>
        <v/>
      </c>
      <c r="G8" s="14" t="n"/>
    </row>
    <row r="9">
      <c r="A9" s="11">
        <f>DATE(2026,8,1)</f>
        <v/>
      </c>
      <c r="B9" s="12" t="n"/>
      <c r="C9" s="12" t="n"/>
      <c r="D9" s="12" t="n"/>
      <c r="E9" s="13">
        <f>B9-C9</f>
        <v/>
      </c>
      <c r="F9" s="13">
        <f>C9-D9</f>
        <v/>
      </c>
      <c r="G9" s="14" t="n"/>
    </row>
    <row r="10">
      <c r="A10" s="11">
        <f>DATE(2026,9,1)</f>
        <v/>
      </c>
      <c r="B10" s="12" t="n"/>
      <c r="C10" s="12" t="n"/>
      <c r="D10" s="12" t="n"/>
      <c r="E10" s="13">
        <f>B10-C10</f>
        <v/>
      </c>
      <c r="F10" s="13">
        <f>C10-D10</f>
        <v/>
      </c>
      <c r="G10" s="14" t="n"/>
    </row>
    <row r="11">
      <c r="A11" s="11">
        <f>DATE(2026,10,1)</f>
        <v/>
      </c>
      <c r="B11" s="12" t="n"/>
      <c r="C11" s="12" t="n"/>
      <c r="D11" s="12" t="n"/>
      <c r="E11" s="13">
        <f>B11-C11</f>
        <v/>
      </c>
      <c r="F11" s="13">
        <f>C11-D11</f>
        <v/>
      </c>
      <c r="G11" s="14" t="n"/>
    </row>
    <row r="12">
      <c r="A12" s="11">
        <f>DATE(2026,11,1)</f>
        <v/>
      </c>
      <c r="B12" s="12" t="n"/>
      <c r="C12" s="12" t="n"/>
      <c r="D12" s="12" t="n"/>
      <c r="E12" s="13">
        <f>B12-C12</f>
        <v/>
      </c>
      <c r="F12" s="13">
        <f>C12-D12</f>
        <v/>
      </c>
      <c r="G12" s="14" t="n"/>
    </row>
    <row r="13">
      <c r="A13" s="11">
        <f>DATE(2026,12,1)</f>
        <v/>
      </c>
      <c r="B13" s="12" t="n"/>
      <c r="C13" s="12" t="n"/>
      <c r="D13" s="12" t="n"/>
      <c r="E13" s="13">
        <f>B13-C13</f>
        <v/>
      </c>
      <c r="F13" s="13">
        <f>C13-D13</f>
        <v/>
      </c>
      <c r="G13" s="14" t="n"/>
    </row>
    <row r="14">
      <c r="A14" s="11">
        <f>DATE(2027,1,1)</f>
        <v/>
      </c>
      <c r="B14" s="12" t="n"/>
      <c r="C14" s="12" t="n"/>
      <c r="D14" s="12" t="n"/>
      <c r="E14" s="13">
        <f>B14-C14</f>
        <v/>
      </c>
      <c r="F14" s="13">
        <f>C14-D14</f>
        <v/>
      </c>
      <c r="G14" s="14" t="n"/>
    </row>
    <row r="15">
      <c r="A15" s="11">
        <f>DATE(2027,2,1)</f>
        <v/>
      </c>
      <c r="B15" s="12" t="n"/>
      <c r="C15" s="12" t="n"/>
      <c r="D15" s="12" t="n"/>
      <c r="E15" s="13">
        <f>B15-C15</f>
        <v/>
      </c>
      <c r="F15" s="13">
        <f>C15-D15</f>
        <v/>
      </c>
      <c r="G15" s="14" t="n"/>
    </row>
    <row r="16">
      <c r="A16" s="11">
        <f>DATE(2027,3,1)</f>
        <v/>
      </c>
      <c r="B16" s="12" t="n"/>
      <c r="C16" s="12" t="n"/>
      <c r="D16" s="12" t="n"/>
      <c r="E16" s="13">
        <f>B16-C16</f>
        <v/>
      </c>
      <c r="F16" s="13">
        <f>C16-D16</f>
        <v/>
      </c>
      <c r="G16" s="14" t="n"/>
    </row>
    <row r="17">
      <c r="A17" s="15" t="inlineStr">
        <is>
          <t>Total</t>
        </is>
      </c>
      <c r="B17" s="16">
        <f>SUM(B5:B16)</f>
        <v/>
      </c>
      <c r="C17" s="16">
        <f>SUM(C5:C16)</f>
        <v/>
      </c>
      <c r="D17" s="16">
        <f>SUM(D5:D16)</f>
        <v/>
      </c>
      <c r="E17" s="16">
        <f>SUM(E5:E16)</f>
        <v/>
      </c>
      <c r="F17" s="16">
        <f>SUM(F5:F16)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8" t="inlineStr">
        <is>
          <t>ITC Recon</t>
        </is>
      </c>
    </row>
    <row r="2">
      <c r="A2" s="9" t="inlineStr">
        <is>
          <t>ITC per month. A positive 'claimed − 2B' figure is what DRC-01C / ASMT-10 questions.</t>
        </is>
      </c>
    </row>
    <row r="4" ht="32" customHeight="1">
      <c r="A4" s="10" t="inlineStr">
        <is>
          <t>Month</t>
        </is>
      </c>
      <c r="B4" s="10" t="inlineStr">
        <is>
          <t>ITC claimed in GSTR-3B</t>
        </is>
      </c>
      <c r="C4" s="10" t="inlineStr">
        <is>
          <t>ITC as per GSTR-2B</t>
        </is>
      </c>
      <c r="D4" s="10" t="inlineStr">
        <is>
          <t>Claimed − 2B</t>
        </is>
      </c>
      <c r="E4" s="10" t="inlineStr">
        <is>
          <t>Reason for difference</t>
        </is>
      </c>
    </row>
    <row r="5">
      <c r="A5" s="11">
        <f>DATE(2026,4,1)</f>
        <v/>
      </c>
      <c r="B5" s="12" t="n"/>
      <c r="C5" s="12" t="n"/>
      <c r="D5" s="13">
        <f>B5-C5</f>
        <v/>
      </c>
      <c r="E5" s="14" t="n"/>
    </row>
    <row r="6">
      <c r="A6" s="11">
        <f>DATE(2026,5,1)</f>
        <v/>
      </c>
      <c r="B6" s="12" t="n"/>
      <c r="C6" s="12" t="n"/>
      <c r="D6" s="13">
        <f>B6-C6</f>
        <v/>
      </c>
      <c r="E6" s="14" t="n"/>
    </row>
    <row r="7">
      <c r="A7" s="11">
        <f>DATE(2026,6,1)</f>
        <v/>
      </c>
      <c r="B7" s="12" t="n"/>
      <c r="C7" s="12" t="n"/>
      <c r="D7" s="13">
        <f>B7-C7</f>
        <v/>
      </c>
      <c r="E7" s="14" t="n"/>
    </row>
    <row r="8">
      <c r="A8" s="11">
        <f>DATE(2026,7,1)</f>
        <v/>
      </c>
      <c r="B8" s="12" t="n"/>
      <c r="C8" s="12" t="n"/>
      <c r="D8" s="13">
        <f>B8-C8</f>
        <v/>
      </c>
      <c r="E8" s="14" t="n"/>
    </row>
    <row r="9">
      <c r="A9" s="11">
        <f>DATE(2026,8,1)</f>
        <v/>
      </c>
      <c r="B9" s="12" t="n"/>
      <c r="C9" s="12" t="n"/>
      <c r="D9" s="13">
        <f>B9-C9</f>
        <v/>
      </c>
      <c r="E9" s="14" t="n"/>
    </row>
    <row r="10">
      <c r="A10" s="11">
        <f>DATE(2026,9,1)</f>
        <v/>
      </c>
      <c r="B10" s="12" t="n"/>
      <c r="C10" s="12" t="n"/>
      <c r="D10" s="13">
        <f>B10-C10</f>
        <v/>
      </c>
      <c r="E10" s="14" t="n"/>
    </row>
    <row r="11">
      <c r="A11" s="11">
        <f>DATE(2026,10,1)</f>
        <v/>
      </c>
      <c r="B11" s="12" t="n"/>
      <c r="C11" s="12" t="n"/>
      <c r="D11" s="13">
        <f>B11-C11</f>
        <v/>
      </c>
      <c r="E11" s="14" t="n"/>
    </row>
    <row r="12">
      <c r="A12" s="11">
        <f>DATE(2026,11,1)</f>
        <v/>
      </c>
      <c r="B12" s="12" t="n"/>
      <c r="C12" s="12" t="n"/>
      <c r="D12" s="13">
        <f>B12-C12</f>
        <v/>
      </c>
      <c r="E12" s="14" t="n"/>
    </row>
    <row r="13">
      <c r="A13" s="11">
        <f>DATE(2026,12,1)</f>
        <v/>
      </c>
      <c r="B13" s="12" t="n"/>
      <c r="C13" s="12" t="n"/>
      <c r="D13" s="13">
        <f>B13-C13</f>
        <v/>
      </c>
      <c r="E13" s="14" t="n"/>
    </row>
    <row r="14">
      <c r="A14" s="11">
        <f>DATE(2027,1,1)</f>
        <v/>
      </c>
      <c r="B14" s="12" t="n"/>
      <c r="C14" s="12" t="n"/>
      <c r="D14" s="13">
        <f>B14-C14</f>
        <v/>
      </c>
      <c r="E14" s="14" t="n"/>
    </row>
    <row r="15">
      <c r="A15" s="11">
        <f>DATE(2027,2,1)</f>
        <v/>
      </c>
      <c r="B15" s="12" t="n"/>
      <c r="C15" s="12" t="n"/>
      <c r="D15" s="13">
        <f>B15-C15</f>
        <v/>
      </c>
      <c r="E15" s="14" t="n"/>
    </row>
    <row r="16">
      <c r="A16" s="11">
        <f>DATE(2027,3,1)</f>
        <v/>
      </c>
      <c r="B16" s="12" t="n"/>
      <c r="C16" s="12" t="n"/>
      <c r="D16" s="13">
        <f>B16-C16</f>
        <v/>
      </c>
      <c r="E16" s="14" t="n"/>
    </row>
    <row r="17">
      <c r="A17" s="15" t="inlineStr">
        <is>
          <t>Total</t>
        </is>
      </c>
      <c r="B17" s="16">
        <f>SUM(B5:B16)</f>
        <v/>
      </c>
      <c r="C17" s="16">
        <f>SUM(C5:C16)</f>
        <v/>
      </c>
      <c r="D17" s="16">
        <f>SUM(D5:D16)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8" t="inlineStr">
        <is>
          <t>Demand, Interest &amp; Appeal Pre-deposit</t>
        </is>
      </c>
    </row>
    <row r="2">
      <c r="A2" s="9" t="inlineStr">
        <is>
          <t>Fill the yellow cells</t>
        </is>
      </c>
    </row>
    <row r="4">
      <c r="A4" s="15" t="inlineStr">
        <is>
          <t>Tax demanded in the notice / order</t>
        </is>
      </c>
      <c r="B4" s="12" t="n">
        <v>0</v>
      </c>
    </row>
    <row r="5">
      <c r="A5" s="15" t="inlineStr">
        <is>
          <t>Of which you accept (will pay)</t>
        </is>
      </c>
      <c r="B5" s="12" t="n">
        <v>0</v>
      </c>
    </row>
    <row r="6">
      <c r="A6" s="15" t="inlineStr">
        <is>
          <t>Original due date of that tax</t>
        </is>
      </c>
      <c r="B6" s="17" t="n"/>
    </row>
    <row r="7">
      <c r="A7" s="15" t="inlineStr">
        <is>
          <t>Date you pay / expect to pay</t>
        </is>
      </c>
      <c r="B7" s="17" t="n"/>
    </row>
    <row r="8">
      <c r="A8" s="15" t="inlineStr">
        <is>
          <t>Disputed tax</t>
        </is>
      </c>
      <c r="B8" s="18">
        <f>B4-B5</f>
        <v/>
      </c>
    </row>
    <row r="9">
      <c r="A9" s="15" t="inlineStr">
        <is>
          <t>Days of delay</t>
        </is>
      </c>
      <c r="B9" s="19">
        <f>IF(OR(B6="",B7=""),0,MAX(0,B7-B6))</f>
        <v/>
      </c>
    </row>
    <row r="10">
      <c r="A10" s="15" t="inlineStr">
        <is>
          <t>Interest @ 18% p.a. on accepted tax</t>
        </is>
      </c>
      <c r="B10" s="18">
        <f>ROUND(B5*18%*B9/365,0)</f>
        <v/>
      </c>
      <c r="C10" s="20" t="inlineStr">
        <is>
          <t>Section 50: 18% per year from the day after the due date until payment.</t>
        </is>
      </c>
    </row>
    <row r="11">
      <c r="A11" s="15" t="inlineStr">
        <is>
          <t>Pay now through DRC-03 (accepted tax + interest)</t>
        </is>
      </c>
      <c r="B11" s="18">
        <f>B5+B10</f>
        <v/>
      </c>
    </row>
    <row r="12" ht="45" customHeight="1">
      <c r="A12" s="15" t="inlineStr">
        <is>
          <t>Appeal pre-deposit (10% of disputed tax)</t>
        </is>
      </c>
      <c r="B12" s="18">
        <f>ROUND(B8*10%,0)</f>
        <v/>
      </c>
      <c r="C12" s="20" t="inlineStr">
        <is>
          <t>Section 107(6): admitted amount in full + 10% of the disputed tax (subject to the statutory upper limit). Interest/penalty-only appeals have their own rule — check before filing.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4" customWidth="1" min="4" max="4"/>
    <col width="14" customWidth="1" min="5" max="5"/>
    <col width="13" customWidth="1" min="6" max="6"/>
    <col width="20" customWidth="1" min="7" max="7"/>
    <col width="10" customWidth="1" min="8" max="8"/>
    <col width="24" customWidth="1" min="9" max="9"/>
  </cols>
  <sheetData>
    <row r="1">
      <c r="A1" s="8" t="inlineStr">
        <is>
          <t>Notice Tracker</t>
        </is>
      </c>
    </row>
    <row r="2">
      <c r="A2" s="9" t="inlineStr">
        <is>
          <t>One row per notice. Status turns red on its own as the reply date comes close.</t>
        </is>
      </c>
    </row>
    <row r="4" ht="32" customHeight="1">
      <c r="A4" s="10" t="inlineStr">
        <is>
          <t>Form (ASMT-10, DRC-01…)</t>
        </is>
      </c>
      <c r="B4" s="10" t="inlineStr">
        <is>
          <t>Reference no.</t>
        </is>
      </c>
      <c r="C4" s="10" t="inlineStr">
        <is>
          <t>Notice date</t>
        </is>
      </c>
      <c r="D4" s="10" t="inlineStr">
        <is>
          <t>Period</t>
        </is>
      </c>
      <c r="E4" s="10" t="inlineStr">
        <is>
          <t>Amount ₹</t>
        </is>
      </c>
      <c r="F4" s="10" t="inlineStr">
        <is>
          <t>Reply due by</t>
        </is>
      </c>
      <c r="G4" s="10" t="inlineStr">
        <is>
          <t>Replied on (ARN)</t>
        </is>
      </c>
      <c r="H4" s="10" t="inlineStr">
        <is>
          <t>Days left</t>
        </is>
      </c>
      <c r="I4" s="10" t="inlineStr">
        <is>
          <t>Status</t>
        </is>
      </c>
    </row>
    <row r="5">
      <c r="A5" s="14" t="n"/>
      <c r="B5" s="14" t="n"/>
      <c r="C5" s="17" t="n"/>
      <c r="D5" s="14" t="n"/>
      <c r="E5" s="12" t="n"/>
      <c r="F5" s="17" t="n"/>
      <c r="G5" s="14" t="n"/>
      <c r="H5">
        <f>IF(OR(F5="",G5&lt;&gt;""),"",F5-TODAY())</f>
        <v/>
      </c>
      <c r="I5">
        <f>IF(A5="","",IF(G5&lt;&gt;"","Replied",IF(F5="","Enter reply date",IF(H5&lt;0,"OVERDUE — reply / seek time now",IF(H5&lt;=7,"URGENT","Open")))))</f>
        <v/>
      </c>
    </row>
    <row r="6">
      <c r="A6" s="14" t="n"/>
      <c r="B6" s="14" t="n"/>
      <c r="C6" s="17" t="n"/>
      <c r="D6" s="14" t="n"/>
      <c r="E6" s="12" t="n"/>
      <c r="F6" s="17" t="n"/>
      <c r="G6" s="14" t="n"/>
      <c r="H6">
        <f>IF(OR(F6="",G6&lt;&gt;""),"",F6-TODAY())</f>
        <v/>
      </c>
      <c r="I6">
        <f>IF(A6="","",IF(G6&lt;&gt;"","Replied",IF(F6="","Enter reply date",IF(H6&lt;0,"OVERDUE — reply / seek time now",IF(H6&lt;=7,"URGENT","Open")))))</f>
        <v/>
      </c>
    </row>
    <row r="7">
      <c r="A7" s="14" t="n"/>
      <c r="B7" s="14" t="n"/>
      <c r="C7" s="17" t="n"/>
      <c r="D7" s="14" t="n"/>
      <c r="E7" s="12" t="n"/>
      <c r="F7" s="17" t="n"/>
      <c r="G7" s="14" t="n"/>
      <c r="H7">
        <f>IF(OR(F7="",G7&lt;&gt;""),"",F7-TODAY())</f>
        <v/>
      </c>
      <c r="I7">
        <f>IF(A7="","",IF(G7&lt;&gt;"","Replied",IF(F7="","Enter reply date",IF(H7&lt;0,"OVERDUE — reply / seek time now",IF(H7&lt;=7,"URGENT","Open")))))</f>
        <v/>
      </c>
    </row>
    <row r="8">
      <c r="A8" s="14" t="n"/>
      <c r="B8" s="14" t="n"/>
      <c r="C8" s="17" t="n"/>
      <c r="D8" s="14" t="n"/>
      <c r="E8" s="12" t="n"/>
      <c r="F8" s="17" t="n"/>
      <c r="G8" s="14" t="n"/>
      <c r="H8">
        <f>IF(OR(F8="",G8&lt;&gt;""),"",F8-TODAY())</f>
        <v/>
      </c>
      <c r="I8">
        <f>IF(A8="","",IF(G8&lt;&gt;"","Replied",IF(F8="","Enter reply date",IF(H8&lt;0,"OVERDUE — reply / seek time now",IF(H8&lt;=7,"URGENT","Open")))))</f>
        <v/>
      </c>
    </row>
    <row r="9">
      <c r="A9" s="14" t="n"/>
      <c r="B9" s="14" t="n"/>
      <c r="C9" s="17" t="n"/>
      <c r="D9" s="14" t="n"/>
      <c r="E9" s="12" t="n"/>
      <c r="F9" s="17" t="n"/>
      <c r="G9" s="14" t="n"/>
      <c r="H9">
        <f>IF(OR(F9="",G9&lt;&gt;""),"",F9-TODAY())</f>
        <v/>
      </c>
      <c r="I9">
        <f>IF(A9="","",IF(G9&lt;&gt;"","Replied",IF(F9="","Enter reply date",IF(H9&lt;0,"OVERDUE — reply / seek time now",IF(H9&lt;=7,"URGENT","Open")))))</f>
        <v/>
      </c>
    </row>
    <row r="10">
      <c r="A10" s="14" t="n"/>
      <c r="B10" s="14" t="n"/>
      <c r="C10" s="17" t="n"/>
      <c r="D10" s="14" t="n"/>
      <c r="E10" s="12" t="n"/>
      <c r="F10" s="17" t="n"/>
      <c r="G10" s="14" t="n"/>
      <c r="H10">
        <f>IF(OR(F10="",G10&lt;&gt;""),"",F10-TODAY())</f>
        <v/>
      </c>
      <c r="I10">
        <f>IF(A10="","",IF(G10&lt;&gt;"","Replied",IF(F10="","Enter reply date",IF(H10&lt;0,"OVERDUE — reply / seek time now",IF(H10&lt;=7,"URGENT","Open")))))</f>
        <v/>
      </c>
    </row>
    <row r="11">
      <c r="A11" s="14" t="n"/>
      <c r="B11" s="14" t="n"/>
      <c r="C11" s="17" t="n"/>
      <c r="D11" s="14" t="n"/>
      <c r="E11" s="12" t="n"/>
      <c r="F11" s="17" t="n"/>
      <c r="G11" s="14" t="n"/>
      <c r="H11">
        <f>IF(OR(F11="",G11&lt;&gt;""),"",F11-TODAY())</f>
        <v/>
      </c>
      <c r="I11">
        <f>IF(A11="","",IF(G11&lt;&gt;"","Replied",IF(F11="","Enter reply date",IF(H11&lt;0,"OVERDUE — reply / seek time now",IF(H11&lt;=7,"URGENT","Open")))))</f>
        <v/>
      </c>
    </row>
    <row r="12">
      <c r="A12" s="14" t="n"/>
      <c r="B12" s="14" t="n"/>
      <c r="C12" s="17" t="n"/>
      <c r="D12" s="14" t="n"/>
      <c r="E12" s="12" t="n"/>
      <c r="F12" s="17" t="n"/>
      <c r="G12" s="14" t="n"/>
      <c r="H12">
        <f>IF(OR(F12="",G12&lt;&gt;""),"",F12-TODAY())</f>
        <v/>
      </c>
      <c r="I12">
        <f>IF(A12="","",IF(G12&lt;&gt;"","Replied",IF(F12="","Enter reply date",IF(H12&lt;0,"OVERDUE — reply / seek time now",IF(H12&lt;=7,"URGENT","Open")))))</f>
        <v/>
      </c>
    </row>
    <row r="13">
      <c r="A13" s="14" t="n"/>
      <c r="B13" s="14" t="n"/>
      <c r="C13" s="17" t="n"/>
      <c r="D13" s="14" t="n"/>
      <c r="E13" s="12" t="n"/>
      <c r="F13" s="17" t="n"/>
      <c r="G13" s="14" t="n"/>
      <c r="H13">
        <f>IF(OR(F13="",G13&lt;&gt;""),"",F13-TODAY())</f>
        <v/>
      </c>
      <c r="I13">
        <f>IF(A13="","",IF(G13&lt;&gt;"","Replied",IF(F13="","Enter reply date",IF(H13&lt;0,"OVERDUE — reply / seek time now",IF(H13&lt;=7,"URGENT","Open")))))</f>
        <v/>
      </c>
    </row>
    <row r="14">
      <c r="A14" s="14" t="n"/>
      <c r="B14" s="14" t="n"/>
      <c r="C14" s="17" t="n"/>
      <c r="D14" s="14" t="n"/>
      <c r="E14" s="12" t="n"/>
      <c r="F14" s="17" t="n"/>
      <c r="G14" s="14" t="n"/>
      <c r="H14">
        <f>IF(OR(F14="",G14&lt;&gt;""),"",F14-TODAY())</f>
        <v/>
      </c>
      <c r="I14">
        <f>IF(A14="","",IF(G14&lt;&gt;"","Replied",IF(F14="","Enter reply date",IF(H14&lt;0,"OVERDUE — reply / seek time now",IF(H14&lt;=7,"URGENT","Open")))))</f>
        <v/>
      </c>
    </row>
    <row r="15">
      <c r="A15" s="14" t="n"/>
      <c r="B15" s="14" t="n"/>
      <c r="C15" s="17" t="n"/>
      <c r="D15" s="14" t="n"/>
      <c r="E15" s="12" t="n"/>
      <c r="F15" s="17" t="n"/>
      <c r="G15" s="14" t="n"/>
      <c r="H15">
        <f>IF(OR(F15="",G15&lt;&gt;""),"",F15-TODAY())</f>
        <v/>
      </c>
      <c r="I15">
        <f>IF(A15="","",IF(G15&lt;&gt;"","Replied",IF(F15="","Enter reply date",IF(H15&lt;0,"OVERDUE — reply / seek time now",IF(H15&lt;=7,"URGENT","Open")))))</f>
        <v/>
      </c>
    </row>
    <row r="16">
      <c r="A16" s="14" t="n"/>
      <c r="B16" s="14" t="n"/>
      <c r="C16" s="17" t="n"/>
      <c r="D16" s="14" t="n"/>
      <c r="E16" s="12" t="n"/>
      <c r="F16" s="17" t="n"/>
      <c r="G16" s="14" t="n"/>
      <c r="H16">
        <f>IF(OR(F16="",G16&lt;&gt;""),"",F16-TODAY())</f>
        <v/>
      </c>
      <c r="I16">
        <f>IF(A16="","",IF(G16&lt;&gt;"","Replied",IF(F16="","Enter reply date",IF(H16&lt;0,"OVERDUE — reply / seek time now",IF(H16&lt;=7,"URGENT","Open")))))</f>
        <v/>
      </c>
    </row>
    <row r="17">
      <c r="A17" s="14" t="n"/>
      <c r="B17" s="14" t="n"/>
      <c r="C17" s="17" t="n"/>
      <c r="D17" s="14" t="n"/>
      <c r="E17" s="12" t="n"/>
      <c r="F17" s="17" t="n"/>
      <c r="G17" s="14" t="n"/>
      <c r="H17">
        <f>IF(OR(F17="",G17&lt;&gt;""),"",F17-TODAY())</f>
        <v/>
      </c>
      <c r="I17">
        <f>IF(A17="","",IF(G17&lt;&gt;"","Replied",IF(F17="","Enter reply date",IF(H17&lt;0,"OVERDUE — reply / seek time now",IF(H17&lt;=7,"URGENT","Open")))))</f>
        <v/>
      </c>
    </row>
    <row r="18">
      <c r="A18" s="14" t="n"/>
      <c r="B18" s="14" t="n"/>
      <c r="C18" s="17" t="n"/>
      <c r="D18" s="14" t="n"/>
      <c r="E18" s="12" t="n"/>
      <c r="F18" s="17" t="n"/>
      <c r="G18" s="14" t="n"/>
      <c r="H18">
        <f>IF(OR(F18="",G18&lt;&gt;""),"",F18-TODAY())</f>
        <v/>
      </c>
      <c r="I18">
        <f>IF(A18="","",IF(G18&lt;&gt;"","Replied",IF(F18="","Enter reply date",IF(H18&lt;0,"OVERDUE — reply / seek time now",IF(H18&lt;=7,"URGENT","Open")))))</f>
        <v/>
      </c>
    </row>
    <row r="19">
      <c r="A19" s="14" t="n"/>
      <c r="B19" s="14" t="n"/>
      <c r="C19" s="17" t="n"/>
      <c r="D19" s="14" t="n"/>
      <c r="E19" s="12" t="n"/>
      <c r="F19" s="17" t="n"/>
      <c r="G19" s="14" t="n"/>
      <c r="H19">
        <f>IF(OR(F19="",G19&lt;&gt;""),"",F19-TODAY())</f>
        <v/>
      </c>
      <c r="I19">
        <f>IF(A19="","",IF(G19&lt;&gt;"","Replied",IF(F19="","Enter reply date",IF(H19&lt;0,"OVERDUE — reply / seek time now",IF(H19&lt;=7,"URGENT","Open")))))</f>
        <v/>
      </c>
    </row>
    <row r="20">
      <c r="A20" s="14" t="n"/>
      <c r="B20" s="14" t="n"/>
      <c r="C20" s="17" t="n"/>
      <c r="D20" s="14" t="n"/>
      <c r="E20" s="12" t="n"/>
      <c r="F20" s="17" t="n"/>
      <c r="G20" s="14" t="n"/>
      <c r="H20">
        <f>IF(OR(F20="",G20&lt;&gt;""),"",F20-TODAY())</f>
        <v/>
      </c>
      <c r="I20">
        <f>IF(A20="","",IF(G20&lt;&gt;"","Replied",IF(F20="","Enter reply date",IF(H20&lt;0,"OVERDUE — reply / seek time now",IF(H20&lt;=7,"URGENT","Open")))))</f>
        <v/>
      </c>
    </row>
    <row r="21">
      <c r="A21" s="14" t="n"/>
      <c r="B21" s="14" t="n"/>
      <c r="C21" s="17" t="n"/>
      <c r="D21" s="14" t="n"/>
      <c r="E21" s="12" t="n"/>
      <c r="F21" s="17" t="n"/>
      <c r="G21" s="14" t="n"/>
      <c r="H21">
        <f>IF(OR(F21="",G21&lt;&gt;""),"",F21-TODAY())</f>
        <v/>
      </c>
      <c r="I21">
        <f>IF(A21="","",IF(G21&lt;&gt;"","Replied",IF(F21="","Enter reply date",IF(H21&lt;0,"OVERDUE — reply / seek time now",IF(H21&lt;=7,"URGENT","Open")))))</f>
        <v/>
      </c>
    </row>
    <row r="22">
      <c r="A22" s="14" t="n"/>
      <c r="B22" s="14" t="n"/>
      <c r="C22" s="17" t="n"/>
      <c r="D22" s="14" t="n"/>
      <c r="E22" s="12" t="n"/>
      <c r="F22" s="17" t="n"/>
      <c r="G22" s="14" t="n"/>
      <c r="H22">
        <f>IF(OR(F22="",G22&lt;&gt;""),"",F22-TODAY())</f>
        <v/>
      </c>
      <c r="I22">
        <f>IF(A22="","",IF(G22&lt;&gt;"","Replied",IF(F22="","Enter reply date",IF(H22&lt;0,"OVERDUE — reply / seek time now",IF(H22&lt;=7,"URGENT","Open")))))</f>
        <v/>
      </c>
    </row>
    <row r="23">
      <c r="A23" s="14" t="n"/>
      <c r="B23" s="14" t="n"/>
      <c r="C23" s="17" t="n"/>
      <c r="D23" s="14" t="n"/>
      <c r="E23" s="12" t="n"/>
      <c r="F23" s="17" t="n"/>
      <c r="G23" s="14" t="n"/>
      <c r="H23">
        <f>IF(OR(F23="",G23&lt;&gt;""),"",F23-TODAY())</f>
        <v/>
      </c>
      <c r="I23">
        <f>IF(A23="","",IF(G23&lt;&gt;"","Replied",IF(F23="","Enter reply date",IF(H23&lt;0,"OVERDUE — reply / seek time now",IF(H23&lt;=7,"URGENT","Open")))))</f>
        <v/>
      </c>
    </row>
    <row r="24">
      <c r="A24" s="14" t="n"/>
      <c r="B24" s="14" t="n"/>
      <c r="C24" s="17" t="n"/>
      <c r="D24" s="14" t="n"/>
      <c r="E24" s="12" t="n"/>
      <c r="F24" s="17" t="n"/>
      <c r="G24" s="14" t="n"/>
      <c r="H24">
        <f>IF(OR(F24="",G24&lt;&gt;""),"",F24-TODAY())</f>
        <v/>
      </c>
      <c r="I24">
        <f>IF(A24="","",IF(G24&lt;&gt;"","Replied",IF(F24="","Enter reply date",IF(H24&lt;0,"OVERDUE — reply / seek time now",IF(H24&lt;=7,"URGENT","Open")))))</f>
        <v/>
      </c>
    </row>
    <row r="25">
      <c r="A25" s="14" t="n"/>
      <c r="B25" s="14" t="n"/>
      <c r="C25" s="17" t="n"/>
      <c r="D25" s="14" t="n"/>
      <c r="E25" s="12" t="n"/>
      <c r="F25" s="17" t="n"/>
      <c r="G25" s="14" t="n"/>
      <c r="H25">
        <f>IF(OR(F25="",G25&lt;&gt;""),"",F25-TODAY())</f>
        <v/>
      </c>
      <c r="I25">
        <f>IF(A25="","",IF(G25&lt;&gt;"","Replied",IF(F25="","Enter reply date",IF(H25&lt;0,"OVERDUE — reply / seek time now",IF(H25&lt;=7,"URGENT","Open")))))</f>
        <v/>
      </c>
    </row>
    <row r="26">
      <c r="A26" s="14" t="n"/>
      <c r="B26" s="14" t="n"/>
      <c r="C26" s="17" t="n"/>
      <c r="D26" s="14" t="n"/>
      <c r="E26" s="12" t="n"/>
      <c r="F26" s="17" t="n"/>
      <c r="G26" s="14" t="n"/>
      <c r="H26">
        <f>IF(OR(F26="",G26&lt;&gt;""),"",F26-TODAY())</f>
        <v/>
      </c>
      <c r="I26">
        <f>IF(A26="","",IF(G26&lt;&gt;"","Replied",IF(F26="","Enter reply date",IF(H26&lt;0,"OVERDUE — reply / seek time now",IF(H26&lt;=7,"URGENT","Open")))))</f>
        <v/>
      </c>
    </row>
    <row r="27">
      <c r="A27" s="14" t="n"/>
      <c r="B27" s="14" t="n"/>
      <c r="C27" s="17" t="n"/>
      <c r="D27" s="14" t="n"/>
      <c r="E27" s="12" t="n"/>
      <c r="F27" s="17" t="n"/>
      <c r="G27" s="14" t="n"/>
      <c r="H27">
        <f>IF(OR(F27="",G27&lt;&gt;""),"",F27-TODAY())</f>
        <v/>
      </c>
      <c r="I27">
        <f>IF(A27="","",IF(G27&lt;&gt;"","Replied",IF(F27="","Enter reply date",IF(H27&lt;0,"OVERDUE — reply / seek time now",IF(H27&lt;=7,"URGENT","Open")))))</f>
        <v/>
      </c>
    </row>
    <row r="28">
      <c r="A28" s="14" t="n"/>
      <c r="B28" s="14" t="n"/>
      <c r="C28" s="17" t="n"/>
      <c r="D28" s="14" t="n"/>
      <c r="E28" s="12" t="n"/>
      <c r="F28" s="17" t="n"/>
      <c r="G28" s="14" t="n"/>
      <c r="H28">
        <f>IF(OR(F28="",G28&lt;&gt;""),"",F28-TODAY())</f>
        <v/>
      </c>
      <c r="I28">
        <f>IF(A28="","",IF(G28&lt;&gt;"","Replied",IF(F28="","Enter reply date",IF(H28&lt;0,"OVERDUE — reply / seek time now",IF(H28&lt;=7,"URGENT","Open")))))</f>
        <v/>
      </c>
    </row>
    <row r="29">
      <c r="A29" s="14" t="n"/>
      <c r="B29" s="14" t="n"/>
      <c r="C29" s="17" t="n"/>
      <c r="D29" s="14" t="n"/>
      <c r="E29" s="12" t="n"/>
      <c r="F29" s="17" t="n"/>
      <c r="G29" s="14" t="n"/>
      <c r="H29">
        <f>IF(OR(F29="",G29&lt;&gt;""),"",F29-TODAY())</f>
        <v/>
      </c>
      <c r="I29">
        <f>IF(A29="","",IF(G29&lt;&gt;"","Replied",IF(F29="","Enter reply date",IF(H29&lt;0,"OVERDUE — reply / seek time now",IF(H29&lt;=7,"URGENT","Open")))))</f>
        <v/>
      </c>
    </row>
    <row r="30">
      <c r="A30" s="14" t="n"/>
      <c r="B30" s="14" t="n"/>
      <c r="C30" s="17" t="n"/>
      <c r="D30" s="14" t="n"/>
      <c r="E30" s="12" t="n"/>
      <c r="F30" s="17" t="n"/>
      <c r="G30" s="14" t="n"/>
      <c r="H30">
        <f>IF(OR(F30="",G30&lt;&gt;""),"",F30-TODAY())</f>
        <v/>
      </c>
      <c r="I30">
        <f>IF(A30="","",IF(G30&lt;&gt;"","Replied",IF(F30="","Enter reply date",IF(H30&lt;0,"OVERDUE — reply / seek time now",IF(H30&lt;=7,"URGENT","Open")))))</f>
        <v/>
      </c>
    </row>
    <row r="31">
      <c r="A31" s="14" t="n"/>
      <c r="B31" s="14" t="n"/>
      <c r="C31" s="17" t="n"/>
      <c r="D31" s="14" t="n"/>
      <c r="E31" s="12" t="n"/>
      <c r="F31" s="17" t="n"/>
      <c r="G31" s="14" t="n"/>
      <c r="H31">
        <f>IF(OR(F31="",G31&lt;&gt;""),"",F31-TODAY())</f>
        <v/>
      </c>
      <c r="I31">
        <f>IF(A31="","",IF(G31&lt;&gt;"","Replied",IF(F31="","Enter reply date",IF(H31&lt;0,"OVERDUE — reply / seek time now",IF(H31&lt;=7,"URGENT","Open")))))</f>
        <v/>
      </c>
    </row>
    <row r="32">
      <c r="A32" s="14" t="n"/>
      <c r="B32" s="14" t="n"/>
      <c r="C32" s="17" t="n"/>
      <c r="D32" s="14" t="n"/>
      <c r="E32" s="12" t="n"/>
      <c r="F32" s="17" t="n"/>
      <c r="G32" s="14" t="n"/>
      <c r="H32">
        <f>IF(OR(F32="",G32&lt;&gt;""),"",F32-TODAY())</f>
        <v/>
      </c>
      <c r="I32">
        <f>IF(A32="","",IF(G32&lt;&gt;"","Replied",IF(F32="","Enter reply date",IF(H32&lt;0,"OVERDUE — reply / seek time now",IF(H32&lt;=7,"URGENT","Open")))))</f>
        <v/>
      </c>
    </row>
    <row r="33">
      <c r="A33" s="14" t="n"/>
      <c r="B33" s="14" t="n"/>
      <c r="C33" s="17" t="n"/>
      <c r="D33" s="14" t="n"/>
      <c r="E33" s="12" t="n"/>
      <c r="F33" s="17" t="n"/>
      <c r="G33" s="14" t="n"/>
      <c r="H33">
        <f>IF(OR(F33="",G33&lt;&gt;""),"",F33-TODAY())</f>
        <v/>
      </c>
      <c r="I33">
        <f>IF(A33="","",IF(G33&lt;&gt;"","Replied",IF(F33="","Enter reply date",IF(H33&lt;0,"OVERDUE — reply / seek time now",IF(H33&lt;=7,"URGENT","Open")))))</f>
        <v/>
      </c>
    </row>
    <row r="34">
      <c r="A34" s="14" t="n"/>
      <c r="B34" s="14" t="n"/>
      <c r="C34" s="17" t="n"/>
      <c r="D34" s="14" t="n"/>
      <c r="E34" s="12" t="n"/>
      <c r="F34" s="17" t="n"/>
      <c r="G34" s="14" t="n"/>
      <c r="H34">
        <f>IF(OR(F34="",G34&lt;&gt;""),"",F34-TODAY())</f>
        <v/>
      </c>
      <c r="I34">
        <f>IF(A34="","",IF(G34&lt;&gt;"","Replied",IF(F34="","Enter reply date",IF(H34&lt;0,"OVERDUE — reply / seek time now",IF(H34&lt;=7,"URGENT","Open")))))</f>
        <v/>
      </c>
    </row>
    <row r="35">
      <c r="A35" s="14" t="n"/>
      <c r="B35" s="14" t="n"/>
      <c r="C35" s="17" t="n"/>
      <c r="D35" s="14" t="n"/>
      <c r="E35" s="12" t="n"/>
      <c r="F35" s="17" t="n"/>
      <c r="G35" s="14" t="n"/>
      <c r="H35">
        <f>IF(OR(F35="",G35&lt;&gt;""),"",F35-TODAY())</f>
        <v/>
      </c>
      <c r="I35">
        <f>IF(A35="","",IF(G35&lt;&gt;"","Replied",IF(F35="","Enter reply date",IF(H35&lt;0,"OVERDUE — reply / seek time now",IF(H35&lt;=7,"URGENT","Open")))))</f>
        <v/>
      </c>
    </row>
    <row r="36">
      <c r="A36" s="14" t="n"/>
      <c r="B36" s="14" t="n"/>
      <c r="C36" s="17" t="n"/>
      <c r="D36" s="14" t="n"/>
      <c r="E36" s="12" t="n"/>
      <c r="F36" s="17" t="n"/>
      <c r="G36" s="14" t="n"/>
      <c r="H36">
        <f>IF(OR(F36="",G36&lt;&gt;""),"",F36-TODAY())</f>
        <v/>
      </c>
      <c r="I36">
        <f>IF(A36="","",IF(G36&lt;&gt;"","Replied",IF(F36="","Enter reply date",IF(H36&lt;0,"OVERDUE — reply / seek time now",IF(H36&lt;=7,"URGENT","Open")))))</f>
        <v/>
      </c>
    </row>
    <row r="37">
      <c r="A37" s="14" t="n"/>
      <c r="B37" s="14" t="n"/>
      <c r="C37" s="17" t="n"/>
      <c r="D37" s="14" t="n"/>
      <c r="E37" s="12" t="n"/>
      <c r="F37" s="17" t="n"/>
      <c r="G37" s="14" t="n"/>
      <c r="H37">
        <f>IF(OR(F37="",G37&lt;&gt;""),"",F37-TODAY())</f>
        <v/>
      </c>
      <c r="I37">
        <f>IF(A37="","",IF(G37&lt;&gt;"","Replied",IF(F37="","Enter reply date",IF(H37&lt;0,"OVERDUE — reply / seek time now",IF(H37&lt;=7,"URGENT","Open")))))</f>
        <v/>
      </c>
    </row>
    <row r="38">
      <c r="A38" s="14" t="n"/>
      <c r="B38" s="14" t="n"/>
      <c r="C38" s="17" t="n"/>
      <c r="D38" s="14" t="n"/>
      <c r="E38" s="12" t="n"/>
      <c r="F38" s="17" t="n"/>
      <c r="G38" s="14" t="n"/>
      <c r="H38">
        <f>IF(OR(F38="",G38&lt;&gt;""),"",F38-TODAY())</f>
        <v/>
      </c>
      <c r="I38">
        <f>IF(A38="","",IF(G38&lt;&gt;"","Replied",IF(F38="","Enter reply date",IF(H38&lt;0,"OVERDUE — reply / seek time now",IF(H38&lt;=7,"URGENT","Open")))))</f>
        <v/>
      </c>
    </row>
    <row r="39">
      <c r="A39" s="14" t="n"/>
      <c r="B39" s="14" t="n"/>
      <c r="C39" s="17" t="n"/>
      <c r="D39" s="14" t="n"/>
      <c r="E39" s="12" t="n"/>
      <c r="F39" s="17" t="n"/>
      <c r="G39" s="14" t="n"/>
      <c r="H39">
        <f>IF(OR(F39="",G39&lt;&gt;""),"",F39-TODAY())</f>
        <v/>
      </c>
      <c r="I39">
        <f>IF(A39="","",IF(G39&lt;&gt;"","Replied",IF(F39="","Enter reply date",IF(H39&lt;0,"OVERDUE — reply / seek time now",IF(H39&lt;=7,"URGENT","Open")))))</f>
        <v/>
      </c>
    </row>
    <row r="40">
      <c r="A40" s="14" t="n"/>
      <c r="B40" s="14" t="n"/>
      <c r="C40" s="17" t="n"/>
      <c r="D40" s="14" t="n"/>
      <c r="E40" s="12" t="n"/>
      <c r="F40" s="17" t="n"/>
      <c r="G40" s="14" t="n"/>
      <c r="H40">
        <f>IF(OR(F40="",G40&lt;&gt;""),"",F40-TODAY())</f>
        <v/>
      </c>
      <c r="I40">
        <f>IF(A40="","",IF(G40&lt;&gt;"","Replied",IF(F40="","Enter reply date",IF(H40&lt;0,"OVERDUE — reply / seek time now",IF(H40&lt;=7,"URGENT","Open")))))</f>
        <v/>
      </c>
    </row>
    <row r="41">
      <c r="A41" s="14" t="n"/>
      <c r="B41" s="14" t="n"/>
      <c r="C41" s="17" t="n"/>
      <c r="D41" s="14" t="n"/>
      <c r="E41" s="12" t="n"/>
      <c r="F41" s="17" t="n"/>
      <c r="G41" s="14" t="n"/>
      <c r="H41">
        <f>IF(OR(F41="",G41&lt;&gt;""),"",F41-TODAY())</f>
        <v/>
      </c>
      <c r="I41">
        <f>IF(A41="","",IF(G41&lt;&gt;"","Replied",IF(F41="","Enter reply date",IF(H41&lt;0,"OVERDUE — reply / seek time now",IF(H41&lt;=7,"URGENT","Open")))))</f>
        <v/>
      </c>
    </row>
    <row r="42">
      <c r="A42" s="14" t="n"/>
      <c r="B42" s="14" t="n"/>
      <c r="C42" s="17" t="n"/>
      <c r="D42" s="14" t="n"/>
      <c r="E42" s="12" t="n"/>
      <c r="F42" s="17" t="n"/>
      <c r="G42" s="14" t="n"/>
      <c r="H42">
        <f>IF(OR(F42="",G42&lt;&gt;""),"",F42-TODAY())</f>
        <v/>
      </c>
      <c r="I42">
        <f>IF(A42="","",IF(G42&lt;&gt;"","Replied",IF(F42="","Enter reply date",IF(H42&lt;0,"OVERDUE — reply / seek time now",IF(H42&lt;=7,"URGENT","Open")))))</f>
        <v/>
      </c>
    </row>
    <row r="43">
      <c r="A43" s="14" t="n"/>
      <c r="B43" s="14" t="n"/>
      <c r="C43" s="17" t="n"/>
      <c r="D43" s="14" t="n"/>
      <c r="E43" s="12" t="n"/>
      <c r="F43" s="17" t="n"/>
      <c r="G43" s="14" t="n"/>
      <c r="H43">
        <f>IF(OR(F43="",G43&lt;&gt;""),"",F43-TODAY())</f>
        <v/>
      </c>
      <c r="I43">
        <f>IF(A43="","",IF(G43&lt;&gt;"","Replied",IF(F43="","Enter reply date",IF(H43&lt;0,"OVERDUE — reply / seek time now",IF(H43&lt;=7,"URGENT","Open")))))</f>
        <v/>
      </c>
    </row>
    <row r="44">
      <c r="A44" s="14" t="n"/>
      <c r="B44" s="14" t="n"/>
      <c r="C44" s="17" t="n"/>
      <c r="D44" s="14" t="n"/>
      <c r="E44" s="12" t="n"/>
      <c r="F44" s="17" t="n"/>
      <c r="G44" s="14" t="n"/>
      <c r="H44">
        <f>IF(OR(F44="",G44&lt;&gt;""),"",F44-TODAY())</f>
        <v/>
      </c>
      <c r="I44">
        <f>IF(A44="","",IF(G44&lt;&gt;"","Replied",IF(F44="","Enter reply date",IF(H44&lt;0,"OVERDUE — reply / seek time now",IF(H44&lt;=7,"URGENT","Open")))))</f>
        <v/>
      </c>
    </row>
    <row r="45">
      <c r="A45" s="14" t="n"/>
      <c r="B45" s="14" t="n"/>
      <c r="C45" s="17" t="n"/>
      <c r="D45" s="14" t="n"/>
      <c r="E45" s="12" t="n"/>
      <c r="F45" s="17" t="n"/>
      <c r="G45" s="14" t="n"/>
      <c r="H45">
        <f>IF(OR(F45="",G45&lt;&gt;""),"",F45-TODAY())</f>
        <v/>
      </c>
      <c r="I45">
        <f>IF(A45="","",IF(G45&lt;&gt;"","Replied",IF(F45="","Enter reply date",IF(H45&lt;0,"OVERDUE — reply / seek time now",IF(H45&lt;=7,"URGENT","Open")))))</f>
        <v/>
      </c>
    </row>
    <row r="46">
      <c r="A46" s="14" t="n"/>
      <c r="B46" s="14" t="n"/>
      <c r="C46" s="17" t="n"/>
      <c r="D46" s="14" t="n"/>
      <c r="E46" s="12" t="n"/>
      <c r="F46" s="17" t="n"/>
      <c r="G46" s="14" t="n"/>
      <c r="H46">
        <f>IF(OR(F46="",G46&lt;&gt;""),"",F46-TODAY())</f>
        <v/>
      </c>
      <c r="I46">
        <f>IF(A46="","",IF(G46&lt;&gt;"","Replied",IF(F46="","Enter reply date",IF(H46&lt;0,"OVERDUE — reply / seek time now",IF(H46&lt;=7,"URGENT","Open")))))</f>
        <v/>
      </c>
    </row>
    <row r="47">
      <c r="A47" s="14" t="n"/>
      <c r="B47" s="14" t="n"/>
      <c r="C47" s="17" t="n"/>
      <c r="D47" s="14" t="n"/>
      <c r="E47" s="12" t="n"/>
      <c r="F47" s="17" t="n"/>
      <c r="G47" s="14" t="n"/>
      <c r="H47">
        <f>IF(OR(F47="",G47&lt;&gt;""),"",F47-TODAY())</f>
        <v/>
      </c>
      <c r="I47">
        <f>IF(A47="","",IF(G47&lt;&gt;"","Replied",IF(F47="","Enter reply date",IF(H47&lt;0,"OVERDUE — reply / seek time now",IF(H47&lt;=7,"URGENT","Open")))))</f>
        <v/>
      </c>
    </row>
    <row r="48">
      <c r="A48" s="14" t="n"/>
      <c r="B48" s="14" t="n"/>
      <c r="C48" s="17" t="n"/>
      <c r="D48" s="14" t="n"/>
      <c r="E48" s="12" t="n"/>
      <c r="F48" s="17" t="n"/>
      <c r="G48" s="14" t="n"/>
      <c r="H48">
        <f>IF(OR(F48="",G48&lt;&gt;""),"",F48-TODAY())</f>
        <v/>
      </c>
      <c r="I48">
        <f>IF(A48="","",IF(G48&lt;&gt;"","Replied",IF(F48="","Enter reply date",IF(H48&lt;0,"OVERDUE — reply / seek time now",IF(H48&lt;=7,"URGENT","Open")))))</f>
        <v/>
      </c>
    </row>
    <row r="49">
      <c r="A49" s="14" t="n"/>
      <c r="B49" s="14" t="n"/>
      <c r="C49" s="17" t="n"/>
      <c r="D49" s="14" t="n"/>
      <c r="E49" s="12" t="n"/>
      <c r="F49" s="17" t="n"/>
      <c r="G49" s="14" t="n"/>
      <c r="H49">
        <f>IF(OR(F49="",G49&lt;&gt;""),"",F49-TODAY())</f>
        <v/>
      </c>
      <c r="I49">
        <f>IF(A49="","",IF(G49&lt;&gt;"","Replied",IF(F49="","Enter reply date",IF(H49&lt;0,"OVERDUE — reply / seek time now",IF(H49&lt;=7,"URGENT","Open")))))</f>
        <v/>
      </c>
    </row>
    <row r="50">
      <c r="A50" s="14" t="n"/>
      <c r="B50" s="14" t="n"/>
      <c r="C50" s="17" t="n"/>
      <c r="D50" s="14" t="n"/>
      <c r="E50" s="12" t="n"/>
      <c r="F50" s="17" t="n"/>
      <c r="G50" s="14" t="n"/>
      <c r="H50">
        <f>IF(OR(F50="",G50&lt;&gt;""),"",F50-TODAY())</f>
        <v/>
      </c>
      <c r="I50">
        <f>IF(A50="","",IF(G50&lt;&gt;"","Replied",IF(F50="","Enter reply date",IF(H50&lt;0,"OVERDUE — reply / seek time now",IF(H50&lt;=7,"URGENT","Open")))))</f>
        <v/>
      </c>
    </row>
    <row r="51">
      <c r="A51" s="14" t="n"/>
      <c r="B51" s="14" t="n"/>
      <c r="C51" s="17" t="n"/>
      <c r="D51" s="14" t="n"/>
      <c r="E51" s="12" t="n"/>
      <c r="F51" s="17" t="n"/>
      <c r="G51" s="14" t="n"/>
      <c r="H51">
        <f>IF(OR(F51="",G51&lt;&gt;""),"",F51-TODAY())</f>
        <v/>
      </c>
      <c r="I51">
        <f>IF(A51="","",IF(G51&lt;&gt;"","Replied",IF(F51="","Enter reply date",IF(H51&lt;0,"OVERDUE — reply / seek time now",IF(H51&lt;=7,"URGENT","Open")))))</f>
        <v/>
      </c>
    </row>
    <row r="52">
      <c r="A52" s="14" t="n"/>
      <c r="B52" s="14" t="n"/>
      <c r="C52" s="17" t="n"/>
      <c r="D52" s="14" t="n"/>
      <c r="E52" s="12" t="n"/>
      <c r="F52" s="17" t="n"/>
      <c r="G52" s="14" t="n"/>
      <c r="H52">
        <f>IF(OR(F52="",G52&lt;&gt;""),"",F52-TODAY())</f>
        <v/>
      </c>
      <c r="I52">
        <f>IF(A52="","",IF(G52&lt;&gt;"","Replied",IF(F52="","Enter reply date",IF(H52&lt;0,"OVERDUE — reply / seek time now",IF(H52&lt;=7,"URGENT","Open")))))</f>
        <v/>
      </c>
    </row>
    <row r="53">
      <c r="A53" s="14" t="n"/>
      <c r="B53" s="14" t="n"/>
      <c r="C53" s="17" t="n"/>
      <c r="D53" s="14" t="n"/>
      <c r="E53" s="12" t="n"/>
      <c r="F53" s="17" t="n"/>
      <c r="G53" s="14" t="n"/>
      <c r="H53">
        <f>IF(OR(F53="",G53&lt;&gt;""),"",F53-TODAY())</f>
        <v/>
      </c>
      <c r="I53">
        <f>IF(A53="","",IF(G53&lt;&gt;"","Replied",IF(F53="","Enter reply date",IF(H53&lt;0,"OVERDUE — reply / seek time now",IF(H53&lt;=7,"URGENT","Open")))))</f>
        <v/>
      </c>
    </row>
    <row r="54">
      <c r="A54" s="14" t="n"/>
      <c r="B54" s="14" t="n"/>
      <c r="C54" s="17" t="n"/>
      <c r="D54" s="14" t="n"/>
      <c r="E54" s="12" t="n"/>
      <c r="F54" s="17" t="n"/>
      <c r="G54" s="14" t="n"/>
      <c r="H54">
        <f>IF(OR(F54="",G54&lt;&gt;""),"",F54-TODAY())</f>
        <v/>
      </c>
      <c r="I54">
        <f>IF(A54="","",IF(G54&lt;&gt;"","Replied",IF(F54="","Enter reply date",IF(H54&lt;0,"OVERDUE — reply / seek time now",IF(H54&lt;=7,"URGENT","Open")))))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2026-10-02T18:50:14Z</dcterms:created>
  <dcterms:modified xmlns:dcterms="http://purl.org/dc/terms/" xmlns:xsi="http://www.w3.org/2001/XMLSchema-instance" xsi:type="dcterms:W3CDTF">2026-10-02T18:50:14Z</dcterms:modified>
</cp:coreProperties>
</file>