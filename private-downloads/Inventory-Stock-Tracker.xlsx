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Stock Summary" sheetId="4" state="visible" r:id="rId4"/>
    <sheet xmlns:r="http://schemas.openxmlformats.org/officeDocument/2006/relationships" name="Stock In" sheetId="5" state="visible" r:id="rId5"/>
    <sheet xmlns:r="http://schemas.openxmlformats.org/officeDocument/2006/relationships" name="Stock Out" sheetId="6" state="visible" r:id="rId6"/>
  </sheets>
  <definedNames>
    <definedName name="_xlnm._FilterDatabase" localSheetId="3" hidden="1">'Stock Summary'!$A$4:$I$304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3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  <color rgb="00FFFFFF"/>
    </font>
    <font>
      <i val="1"/>
      <color rgb="006B7280"/>
      <sz val="10"/>
    </font>
    <font>
      <b val="1"/>
    </font>
    <font>
      <b val="1"/>
      <color rgb="00002B5C"/>
      <sz val="12"/>
    </font>
    <font>
      <i val="1"/>
      <color rgb="006B7280"/>
    </font>
    <font>
      <b val="1"/>
      <color rgb="00D99A2B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4" fontId="10" fillId="4" borderId="1" pivotButton="0" quotePrefix="0" xfId="0"/>
    <xf numFmtId="1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0" fillId="2" borderId="1" pivotButton="0" quotePrefix="0" xfId="0"/>
    <xf numFmtId="0" fontId="8" fillId="0" borderId="0" pivotButton="0" quotePrefix="0" xfId="0"/>
    <xf numFmtId="4" fontId="0" fillId="0" borderId="0" pivotButton="0" quotePrefix="0" xfId="0"/>
    <xf numFmtId="164" fontId="0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DE2E1"/>
        </patternFill>
      </fill>
    </dxf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Inventory &amp; Stock Tracker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List your products once in 'Items': code, name, unit, opening stock, purchase rate, selling rate and the reorder level (the quantity at which you want to re-order).</t>
        </is>
      </c>
    </row>
    <row r="6">
      <c r="A6" s="4" t="n">
        <v>2</v>
      </c>
      <c r="B6" s="5" t="inlineStr">
        <is>
          <t>Every purchase / goods received → one line in 'Stock In'. Every sale / goods issued → one line in 'Stock Out'. Pick the item code from the drop-down.</t>
        </is>
      </c>
    </row>
    <row r="7">
      <c r="A7" s="4" t="n">
        <v>3</v>
      </c>
      <c r="B7" s="5" t="inlineStr">
        <is>
          <t>'Stock Summary' shows current stock, its value and which items to reorder (red) or are finished.</t>
        </is>
      </c>
    </row>
    <row r="8">
      <c r="A8" s="4" t="n">
        <v>4</v>
      </c>
      <c r="B8" s="5" t="inlineStr">
        <is>
          <t>'Dashboard' gives total stock value, items to reorder and the month's sales.</t>
        </is>
      </c>
    </row>
    <row r="10">
      <c r="B10" s="3" t="inlineStr">
        <is>
          <t>Good to know</t>
        </is>
      </c>
    </row>
    <row r="11">
      <c r="B11" s="5" t="inlineStr">
        <is>
          <t>• Stock value is at purchase rate — the way it is usually valued for accounts (cost or market, whichever is lower).</t>
        </is>
      </c>
    </row>
    <row r="12">
      <c r="B12" s="5" t="inlineStr">
        <is>
          <t>• Do a physical count every few months and adjust with an entry so the sheet matches the shelf.</t>
        </is>
      </c>
    </row>
    <row r="14">
      <c r="B14" s="6" t="inlineStr">
        <is>
          <t>Cells shaded light yellow are for your entries. White cells contain formulas — please don't type over them.</t>
        </is>
      </c>
    </row>
    <row r="16">
      <c r="B16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4" customWidth="1" min="3" max="3"/>
  </cols>
  <sheetData>
    <row r="1">
      <c r="A1" s="8" t="inlineStr">
        <is>
          <t>Dashboard</t>
        </is>
      </c>
    </row>
    <row r="4" ht="22" customHeight="1">
      <c r="A4" s="9" t="inlineStr">
        <is>
          <t>Total stock value (at cost)</t>
        </is>
      </c>
      <c r="B4" s="10">
        <f>SUM('Stock Summary'!G5:G304)</f>
        <v/>
      </c>
    </row>
    <row r="5" ht="22" customHeight="1">
      <c r="A5" s="9" t="inlineStr">
        <is>
          <t>Items to reorder</t>
        </is>
      </c>
      <c r="B5" s="11">
        <f>COUNTIF('Stock Summary'!H5:H304,"REORDER")</f>
        <v/>
      </c>
      <c r="C5" s="12" t="inlineStr">
        <is>
          <t>Filter 'Stock Summary' column H to see them</t>
        </is>
      </c>
    </row>
    <row r="6" ht="22" customHeight="1">
      <c r="A6" s="9" t="inlineStr">
        <is>
          <t>Items out of stock</t>
        </is>
      </c>
      <c r="B6" s="11">
        <f>COUNTIF('Stock Summary'!H5:H304,"OUT OF STOCK")</f>
        <v/>
      </c>
    </row>
    <row r="7" ht="22" customHeight="1">
      <c r="A7" s="9" t="inlineStr">
        <is>
          <t>Sales this month</t>
        </is>
      </c>
      <c r="B7" s="10">
        <f>SUMIFS('Stock Out'!F5:F3004,'Stock Out'!A5:A3004,"&gt;="&amp;DATE(YEAR(TODAY()),MONTH(TODAY()),1))</f>
        <v/>
      </c>
    </row>
    <row r="8" ht="22" customHeight="1">
      <c r="A8" s="9" t="inlineStr">
        <is>
          <t>Purchases this month</t>
        </is>
      </c>
      <c r="B8" s="10">
        <f>SUMIFS('Stock In'!F5:F3004,'Stock In'!A5:A3004,"&gt;="&amp;DATE(YEAR(TODAY()),MONTH(TODAY()),1))</f>
        <v/>
      </c>
    </row>
    <row r="11">
      <c r="A11" s="13" t="inlineStr">
        <is>
          <t>Tax, GST or accounts question? Rajput Lalit &amp; Associates — WhatsApp +91 93549 53603 · www.rajputlalitassociates.in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8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>
      <c r="A1" s="8" t="inlineStr">
        <is>
          <t>Items</t>
        </is>
      </c>
    </row>
    <row r="4" ht="32" customHeight="1">
      <c r="A4" s="14" t="inlineStr">
        <is>
          <t>Item code</t>
        </is>
      </c>
      <c r="B4" s="14" t="inlineStr">
        <is>
          <t>Item name</t>
        </is>
      </c>
      <c r="C4" s="14" t="inlineStr">
        <is>
          <t>Category</t>
        </is>
      </c>
      <c r="D4" s="14" t="inlineStr">
        <is>
          <t>Unit</t>
        </is>
      </c>
      <c r="E4" s="14" t="inlineStr">
        <is>
          <t>Opening stock</t>
        </is>
      </c>
      <c r="F4" s="14" t="inlineStr">
        <is>
          <t>Purchase rate (₹)</t>
        </is>
      </c>
      <c r="G4" s="14" t="inlineStr">
        <is>
          <t>Selling rate (₹)</t>
        </is>
      </c>
      <c r="H4" s="14" t="inlineStr">
        <is>
          <t>Reorder level</t>
        </is>
      </c>
      <c r="I4" s="14" t="inlineStr">
        <is>
          <t>HSN (optional)</t>
        </is>
      </c>
    </row>
    <row r="5">
      <c r="A5" s="15" t="inlineStr">
        <is>
          <t>A001</t>
        </is>
      </c>
      <c r="B5" s="15" t="inlineStr">
        <is>
          <t>Sample item 1</t>
        </is>
      </c>
      <c r="C5" s="15" t="inlineStr">
        <is>
          <t>General</t>
        </is>
      </c>
      <c r="D5" s="15" t="inlineStr">
        <is>
          <t>Pcs</t>
        </is>
      </c>
      <c r="E5" s="15" t="n">
        <v>50</v>
      </c>
      <c r="F5" s="16" t="n">
        <v>80</v>
      </c>
      <c r="G5" s="16" t="n">
        <v>120</v>
      </c>
      <c r="H5" s="15" t="n">
        <v>10</v>
      </c>
      <c r="I5" s="15" t="n"/>
    </row>
    <row r="6">
      <c r="A6" s="15" t="inlineStr">
        <is>
          <t>A002</t>
        </is>
      </c>
      <c r="B6" s="15" t="inlineStr">
        <is>
          <t>Sample item 2</t>
        </is>
      </c>
      <c r="C6" s="15" t="inlineStr">
        <is>
          <t>General</t>
        </is>
      </c>
      <c r="D6" s="15" t="inlineStr">
        <is>
          <t>Kg</t>
        </is>
      </c>
      <c r="E6" s="15" t="n">
        <v>20</v>
      </c>
      <c r="F6" s="16" t="n">
        <v>45</v>
      </c>
      <c r="G6" s="16" t="n">
        <v>60</v>
      </c>
      <c r="H6" s="15" t="n">
        <v>5</v>
      </c>
      <c r="I6" s="15" t="n"/>
    </row>
    <row r="7">
      <c r="A7" s="15" t="n"/>
      <c r="B7" s="15" t="n"/>
      <c r="C7" s="15" t="n"/>
      <c r="D7" s="15" t="n"/>
      <c r="E7" s="15" t="n"/>
      <c r="F7" s="16" t="n"/>
      <c r="G7" s="16" t="n"/>
      <c r="H7" s="15" t="n"/>
      <c r="I7" s="15" t="n"/>
    </row>
    <row r="8">
      <c r="A8" s="15" t="n"/>
      <c r="B8" s="15" t="n"/>
      <c r="C8" s="15" t="n"/>
      <c r="D8" s="15" t="n"/>
      <c r="E8" s="15" t="n"/>
      <c r="F8" s="16" t="n"/>
      <c r="G8" s="16" t="n"/>
      <c r="H8" s="15" t="n"/>
      <c r="I8" s="15" t="n"/>
    </row>
    <row r="9">
      <c r="A9" s="15" t="n"/>
      <c r="B9" s="15" t="n"/>
      <c r="C9" s="15" t="n"/>
      <c r="D9" s="15" t="n"/>
      <c r="E9" s="15" t="n"/>
      <c r="F9" s="16" t="n"/>
      <c r="G9" s="16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6" t="n"/>
      <c r="G10" s="16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6" t="n"/>
      <c r="G11" s="16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6" t="n"/>
      <c r="G12" s="16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6" t="n"/>
      <c r="G13" s="16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6" t="n"/>
      <c r="G14" s="16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6" t="n"/>
      <c r="G15" s="16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6" t="n"/>
      <c r="G16" s="16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6" t="n"/>
      <c r="G17" s="16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6" t="n"/>
      <c r="G18" s="16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6" t="n"/>
      <c r="G19" s="16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6" t="n"/>
      <c r="G20" s="16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6" t="n"/>
      <c r="G21" s="16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6" t="n"/>
      <c r="G22" s="16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6" t="n"/>
      <c r="G23" s="16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6" t="n"/>
      <c r="G24" s="16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6" t="n"/>
      <c r="G25" s="16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6" t="n"/>
      <c r="G26" s="16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6" t="n"/>
      <c r="G27" s="16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6" t="n"/>
      <c r="G28" s="16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6" t="n"/>
      <c r="G29" s="16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6" t="n"/>
      <c r="G30" s="16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6" t="n"/>
      <c r="G31" s="16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6" t="n"/>
      <c r="G32" s="16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6" t="n"/>
      <c r="G33" s="16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6" t="n"/>
      <c r="G34" s="16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6" t="n"/>
      <c r="G35" s="16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6" t="n"/>
      <c r="G36" s="16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6" t="n"/>
      <c r="G37" s="16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6" t="n"/>
      <c r="G38" s="16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6" t="n"/>
      <c r="G39" s="16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6" t="n"/>
      <c r="G40" s="16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6" t="n"/>
      <c r="G41" s="16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6" t="n"/>
      <c r="G42" s="16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6" t="n"/>
      <c r="G43" s="16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6" t="n"/>
      <c r="G44" s="16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6" t="n"/>
      <c r="G45" s="16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6" t="n"/>
      <c r="G46" s="16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6" t="n"/>
      <c r="G47" s="16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6" t="n"/>
      <c r="G48" s="16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6" t="n"/>
      <c r="G49" s="16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6" t="n"/>
      <c r="G50" s="16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6" t="n"/>
      <c r="G51" s="16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6" t="n"/>
      <c r="G52" s="16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6" t="n"/>
      <c r="G53" s="16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6" t="n"/>
      <c r="G54" s="16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6" t="n"/>
      <c r="G55" s="16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6" t="n"/>
      <c r="G56" s="16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6" t="n"/>
      <c r="G57" s="16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6" t="n"/>
      <c r="G58" s="16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6" t="n"/>
      <c r="G59" s="16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6" t="n"/>
      <c r="G60" s="16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6" t="n"/>
      <c r="G61" s="16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6" t="n"/>
      <c r="G62" s="16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6" t="n"/>
      <c r="G63" s="16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6" t="n"/>
      <c r="G64" s="16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6" t="n"/>
      <c r="G65" s="16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6" t="n"/>
      <c r="G66" s="16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6" t="n"/>
      <c r="G67" s="16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6" t="n"/>
      <c r="G68" s="16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6" t="n"/>
      <c r="G69" s="16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6" t="n"/>
      <c r="G70" s="16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6" t="n"/>
      <c r="G71" s="16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6" t="n"/>
      <c r="G72" s="16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6" t="n"/>
      <c r="G73" s="16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6" t="n"/>
      <c r="G74" s="16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6" t="n"/>
      <c r="G75" s="16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6" t="n"/>
      <c r="G76" s="16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6" t="n"/>
      <c r="G77" s="16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6" t="n"/>
      <c r="G78" s="16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6" t="n"/>
      <c r="G79" s="16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6" t="n"/>
      <c r="G80" s="16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6" t="n"/>
      <c r="G81" s="16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6" t="n"/>
      <c r="G82" s="16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6" t="n"/>
      <c r="G83" s="16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6" t="n"/>
      <c r="G84" s="16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6" t="n"/>
      <c r="G85" s="16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6" t="n"/>
      <c r="G86" s="16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6" t="n"/>
      <c r="G87" s="16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6" t="n"/>
      <c r="G88" s="16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6" t="n"/>
      <c r="G89" s="16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6" t="n"/>
      <c r="G90" s="16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6" t="n"/>
      <c r="G91" s="16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6" t="n"/>
      <c r="G92" s="16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6" t="n"/>
      <c r="G93" s="16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6" t="n"/>
      <c r="G94" s="16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6" t="n"/>
      <c r="G95" s="16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6" t="n"/>
      <c r="G96" s="16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6" t="n"/>
      <c r="G97" s="16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6" t="n"/>
      <c r="G98" s="16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6" t="n"/>
      <c r="G99" s="16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6" t="n"/>
      <c r="G100" s="16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6" t="n"/>
      <c r="G101" s="16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6" t="n"/>
      <c r="G102" s="16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6" t="n"/>
      <c r="G103" s="16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6" t="n"/>
      <c r="G104" s="16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6" t="n"/>
      <c r="G105" s="16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6" t="n"/>
      <c r="G106" s="16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6" t="n"/>
      <c r="G107" s="16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6" t="n"/>
      <c r="G108" s="16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6" t="n"/>
      <c r="G109" s="16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6" t="n"/>
      <c r="G110" s="16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6" t="n"/>
      <c r="G111" s="16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6" t="n"/>
      <c r="G112" s="16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6" t="n"/>
      <c r="G113" s="16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6" t="n"/>
      <c r="G114" s="16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6" t="n"/>
      <c r="G115" s="16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6" t="n"/>
      <c r="G116" s="16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6" t="n"/>
      <c r="G117" s="16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6" t="n"/>
      <c r="G118" s="16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6" t="n"/>
      <c r="G119" s="16" t="n"/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6" t="n"/>
      <c r="G120" s="16" t="n"/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6" t="n"/>
      <c r="G121" s="16" t="n"/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6" t="n"/>
      <c r="G122" s="16" t="n"/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6" t="n"/>
      <c r="G123" s="16" t="n"/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6" t="n"/>
      <c r="G124" s="16" t="n"/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6" t="n"/>
      <c r="G125" s="16" t="n"/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6" t="n"/>
      <c r="G126" s="16" t="n"/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6" t="n"/>
      <c r="G127" s="16" t="n"/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6" t="n"/>
      <c r="G128" s="16" t="n"/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6" t="n"/>
      <c r="G129" s="16" t="n"/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6" t="n"/>
      <c r="G130" s="16" t="n"/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6" t="n"/>
      <c r="G131" s="16" t="n"/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6" t="n"/>
      <c r="G132" s="16" t="n"/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6" t="n"/>
      <c r="G133" s="16" t="n"/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6" t="n"/>
      <c r="G134" s="16" t="n"/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6" t="n"/>
      <c r="G135" s="16" t="n"/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6" t="n"/>
      <c r="G136" s="16" t="n"/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6" t="n"/>
      <c r="G137" s="16" t="n"/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6" t="n"/>
      <c r="G138" s="16" t="n"/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6" t="n"/>
      <c r="G139" s="16" t="n"/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6" t="n"/>
      <c r="G140" s="16" t="n"/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6" t="n"/>
      <c r="G141" s="16" t="n"/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6" t="n"/>
      <c r="G142" s="16" t="n"/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6" t="n"/>
      <c r="G143" s="16" t="n"/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6" t="n"/>
      <c r="G144" s="16" t="n"/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6" t="n"/>
      <c r="G145" s="16" t="n"/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6" t="n"/>
      <c r="G146" s="16" t="n"/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6" t="n"/>
      <c r="G147" s="16" t="n"/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6" t="n"/>
      <c r="G148" s="16" t="n"/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6" t="n"/>
      <c r="G149" s="16" t="n"/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6" t="n"/>
      <c r="G150" s="16" t="n"/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6" t="n"/>
      <c r="G151" s="16" t="n"/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6" t="n"/>
      <c r="G152" s="16" t="n"/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6" t="n"/>
      <c r="G153" s="16" t="n"/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6" t="n"/>
      <c r="G154" s="16" t="n"/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6" t="n"/>
      <c r="G155" s="16" t="n"/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6" t="n"/>
      <c r="G156" s="16" t="n"/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6" t="n"/>
      <c r="G157" s="16" t="n"/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6" t="n"/>
      <c r="G158" s="16" t="n"/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6" t="n"/>
      <c r="G159" s="16" t="n"/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6" t="n"/>
      <c r="G160" s="16" t="n"/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6" t="n"/>
      <c r="G161" s="16" t="n"/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6" t="n"/>
      <c r="G162" s="16" t="n"/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6" t="n"/>
      <c r="G163" s="16" t="n"/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6" t="n"/>
      <c r="G164" s="16" t="n"/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6" t="n"/>
      <c r="G165" s="16" t="n"/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6" t="n"/>
      <c r="G166" s="16" t="n"/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6" t="n"/>
      <c r="G167" s="16" t="n"/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6" t="n"/>
      <c r="G168" s="16" t="n"/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6" t="n"/>
      <c r="G169" s="16" t="n"/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6" t="n"/>
      <c r="G170" s="16" t="n"/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6" t="n"/>
      <c r="G171" s="16" t="n"/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6" t="n"/>
      <c r="G172" s="16" t="n"/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6" t="n"/>
      <c r="G173" s="16" t="n"/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6" t="n"/>
      <c r="G174" s="16" t="n"/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6" t="n"/>
      <c r="G175" s="16" t="n"/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6" t="n"/>
      <c r="G176" s="16" t="n"/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6" t="n"/>
      <c r="G177" s="16" t="n"/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6" t="n"/>
      <c r="G178" s="16" t="n"/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6" t="n"/>
      <c r="G179" s="16" t="n"/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6" t="n"/>
      <c r="G180" s="16" t="n"/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6" t="n"/>
      <c r="G181" s="16" t="n"/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6" t="n"/>
      <c r="G182" s="16" t="n"/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6" t="n"/>
      <c r="G183" s="16" t="n"/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6" t="n"/>
      <c r="G184" s="16" t="n"/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6" t="n"/>
      <c r="G185" s="16" t="n"/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6" t="n"/>
      <c r="G186" s="16" t="n"/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6" t="n"/>
      <c r="G187" s="16" t="n"/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6" t="n"/>
      <c r="G188" s="16" t="n"/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6" t="n"/>
      <c r="G189" s="16" t="n"/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6" t="n"/>
      <c r="G190" s="16" t="n"/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6" t="n"/>
      <c r="G191" s="16" t="n"/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6" t="n"/>
      <c r="G192" s="16" t="n"/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6" t="n"/>
      <c r="G193" s="16" t="n"/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6" t="n"/>
      <c r="G194" s="16" t="n"/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6" t="n"/>
      <c r="G195" s="16" t="n"/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6" t="n"/>
      <c r="G196" s="16" t="n"/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6" t="n"/>
      <c r="G197" s="16" t="n"/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6" t="n"/>
      <c r="G198" s="16" t="n"/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6" t="n"/>
      <c r="G199" s="16" t="n"/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6" t="n"/>
      <c r="G200" s="16" t="n"/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6" t="n"/>
      <c r="G201" s="16" t="n"/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6" t="n"/>
      <c r="G202" s="16" t="n"/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6" t="n"/>
      <c r="G203" s="16" t="n"/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6" t="n"/>
      <c r="G204" s="16" t="n"/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6" t="n"/>
      <c r="G205" s="16" t="n"/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6" t="n"/>
      <c r="G206" s="16" t="n"/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6" t="n"/>
      <c r="G207" s="16" t="n"/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6" t="n"/>
      <c r="G208" s="16" t="n"/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6" t="n"/>
      <c r="G209" s="16" t="n"/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6" t="n"/>
      <c r="G210" s="16" t="n"/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6" t="n"/>
      <c r="G211" s="16" t="n"/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6" t="n"/>
      <c r="G212" s="16" t="n"/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6" t="n"/>
      <c r="G213" s="16" t="n"/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6" t="n"/>
      <c r="G214" s="16" t="n"/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6" t="n"/>
      <c r="G215" s="16" t="n"/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6" t="n"/>
      <c r="G216" s="16" t="n"/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6" t="n"/>
      <c r="G217" s="16" t="n"/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6" t="n"/>
      <c r="G218" s="16" t="n"/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6" t="n"/>
      <c r="G219" s="16" t="n"/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6" t="n"/>
      <c r="G220" s="16" t="n"/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6" t="n"/>
      <c r="G221" s="16" t="n"/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6" t="n"/>
      <c r="G222" s="16" t="n"/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6" t="n"/>
      <c r="G223" s="16" t="n"/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6" t="n"/>
      <c r="G224" s="16" t="n"/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6" t="n"/>
      <c r="G225" s="16" t="n"/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6" t="n"/>
      <c r="G226" s="16" t="n"/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6" t="n"/>
      <c r="G227" s="16" t="n"/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6" t="n"/>
      <c r="G228" s="16" t="n"/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6" t="n"/>
      <c r="G229" s="16" t="n"/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6" t="n"/>
      <c r="G230" s="16" t="n"/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6" t="n"/>
      <c r="G231" s="16" t="n"/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6" t="n"/>
      <c r="G232" s="16" t="n"/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6" t="n"/>
      <c r="G233" s="16" t="n"/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6" t="n"/>
      <c r="G234" s="16" t="n"/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6" t="n"/>
      <c r="G235" s="16" t="n"/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6" t="n"/>
      <c r="G236" s="16" t="n"/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6" t="n"/>
      <c r="G237" s="16" t="n"/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6" t="n"/>
      <c r="G238" s="16" t="n"/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6" t="n"/>
      <c r="G239" s="16" t="n"/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6" t="n"/>
      <c r="G240" s="16" t="n"/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6" t="n"/>
      <c r="G241" s="16" t="n"/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6" t="n"/>
      <c r="G242" s="16" t="n"/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6" t="n"/>
      <c r="G243" s="16" t="n"/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6" t="n"/>
      <c r="G244" s="16" t="n"/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6" t="n"/>
      <c r="G245" s="16" t="n"/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6" t="n"/>
      <c r="G246" s="16" t="n"/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6" t="n"/>
      <c r="G247" s="16" t="n"/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6" t="n"/>
      <c r="G248" s="16" t="n"/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6" t="n"/>
      <c r="G249" s="16" t="n"/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6" t="n"/>
      <c r="G250" s="16" t="n"/>
      <c r="H250" s="15" t="n"/>
      <c r="I250" s="15" t="n"/>
    </row>
    <row r="251">
      <c r="A251" s="15" t="n"/>
      <c r="B251" s="15" t="n"/>
      <c r="C251" s="15" t="n"/>
      <c r="D251" s="15" t="n"/>
      <c r="E251" s="15" t="n"/>
      <c r="F251" s="16" t="n"/>
      <c r="G251" s="16" t="n"/>
      <c r="H251" s="15" t="n"/>
      <c r="I251" s="15" t="n"/>
    </row>
    <row r="252">
      <c r="A252" s="15" t="n"/>
      <c r="B252" s="15" t="n"/>
      <c r="C252" s="15" t="n"/>
      <c r="D252" s="15" t="n"/>
      <c r="E252" s="15" t="n"/>
      <c r="F252" s="16" t="n"/>
      <c r="G252" s="16" t="n"/>
      <c r="H252" s="15" t="n"/>
      <c r="I252" s="15" t="n"/>
    </row>
    <row r="253">
      <c r="A253" s="15" t="n"/>
      <c r="B253" s="15" t="n"/>
      <c r="C253" s="15" t="n"/>
      <c r="D253" s="15" t="n"/>
      <c r="E253" s="15" t="n"/>
      <c r="F253" s="16" t="n"/>
      <c r="G253" s="16" t="n"/>
      <c r="H253" s="15" t="n"/>
      <c r="I253" s="15" t="n"/>
    </row>
    <row r="254">
      <c r="A254" s="15" t="n"/>
      <c r="B254" s="15" t="n"/>
      <c r="C254" s="15" t="n"/>
      <c r="D254" s="15" t="n"/>
      <c r="E254" s="15" t="n"/>
      <c r="F254" s="16" t="n"/>
      <c r="G254" s="16" t="n"/>
      <c r="H254" s="15" t="n"/>
      <c r="I254" s="15" t="n"/>
    </row>
    <row r="255">
      <c r="A255" s="15" t="n"/>
      <c r="B255" s="15" t="n"/>
      <c r="C255" s="15" t="n"/>
      <c r="D255" s="15" t="n"/>
      <c r="E255" s="15" t="n"/>
      <c r="F255" s="16" t="n"/>
      <c r="G255" s="16" t="n"/>
      <c r="H255" s="15" t="n"/>
      <c r="I255" s="15" t="n"/>
    </row>
    <row r="256">
      <c r="A256" s="15" t="n"/>
      <c r="B256" s="15" t="n"/>
      <c r="C256" s="15" t="n"/>
      <c r="D256" s="15" t="n"/>
      <c r="E256" s="15" t="n"/>
      <c r="F256" s="16" t="n"/>
      <c r="G256" s="16" t="n"/>
      <c r="H256" s="15" t="n"/>
      <c r="I256" s="15" t="n"/>
    </row>
    <row r="257">
      <c r="A257" s="15" t="n"/>
      <c r="B257" s="15" t="n"/>
      <c r="C257" s="15" t="n"/>
      <c r="D257" s="15" t="n"/>
      <c r="E257" s="15" t="n"/>
      <c r="F257" s="16" t="n"/>
      <c r="G257" s="16" t="n"/>
      <c r="H257" s="15" t="n"/>
      <c r="I257" s="15" t="n"/>
    </row>
    <row r="258">
      <c r="A258" s="15" t="n"/>
      <c r="B258" s="15" t="n"/>
      <c r="C258" s="15" t="n"/>
      <c r="D258" s="15" t="n"/>
      <c r="E258" s="15" t="n"/>
      <c r="F258" s="16" t="n"/>
      <c r="G258" s="16" t="n"/>
      <c r="H258" s="15" t="n"/>
      <c r="I258" s="15" t="n"/>
    </row>
    <row r="259">
      <c r="A259" s="15" t="n"/>
      <c r="B259" s="15" t="n"/>
      <c r="C259" s="15" t="n"/>
      <c r="D259" s="15" t="n"/>
      <c r="E259" s="15" t="n"/>
      <c r="F259" s="16" t="n"/>
      <c r="G259" s="16" t="n"/>
      <c r="H259" s="15" t="n"/>
      <c r="I259" s="15" t="n"/>
    </row>
    <row r="260">
      <c r="A260" s="15" t="n"/>
      <c r="B260" s="15" t="n"/>
      <c r="C260" s="15" t="n"/>
      <c r="D260" s="15" t="n"/>
      <c r="E260" s="15" t="n"/>
      <c r="F260" s="16" t="n"/>
      <c r="G260" s="16" t="n"/>
      <c r="H260" s="15" t="n"/>
      <c r="I260" s="15" t="n"/>
    </row>
    <row r="261">
      <c r="A261" s="15" t="n"/>
      <c r="B261" s="15" t="n"/>
      <c r="C261" s="15" t="n"/>
      <c r="D261" s="15" t="n"/>
      <c r="E261" s="15" t="n"/>
      <c r="F261" s="16" t="n"/>
      <c r="G261" s="16" t="n"/>
      <c r="H261" s="15" t="n"/>
      <c r="I261" s="15" t="n"/>
    </row>
    <row r="262">
      <c r="A262" s="15" t="n"/>
      <c r="B262" s="15" t="n"/>
      <c r="C262" s="15" t="n"/>
      <c r="D262" s="15" t="n"/>
      <c r="E262" s="15" t="n"/>
      <c r="F262" s="16" t="n"/>
      <c r="G262" s="16" t="n"/>
      <c r="H262" s="15" t="n"/>
      <c r="I262" s="15" t="n"/>
    </row>
    <row r="263">
      <c r="A263" s="15" t="n"/>
      <c r="B263" s="15" t="n"/>
      <c r="C263" s="15" t="n"/>
      <c r="D263" s="15" t="n"/>
      <c r="E263" s="15" t="n"/>
      <c r="F263" s="16" t="n"/>
      <c r="G263" s="16" t="n"/>
      <c r="H263" s="15" t="n"/>
      <c r="I263" s="15" t="n"/>
    </row>
    <row r="264">
      <c r="A264" s="15" t="n"/>
      <c r="B264" s="15" t="n"/>
      <c r="C264" s="15" t="n"/>
      <c r="D264" s="15" t="n"/>
      <c r="E264" s="15" t="n"/>
      <c r="F264" s="16" t="n"/>
      <c r="G264" s="16" t="n"/>
      <c r="H264" s="15" t="n"/>
      <c r="I264" s="15" t="n"/>
    </row>
    <row r="265">
      <c r="A265" s="15" t="n"/>
      <c r="B265" s="15" t="n"/>
      <c r="C265" s="15" t="n"/>
      <c r="D265" s="15" t="n"/>
      <c r="E265" s="15" t="n"/>
      <c r="F265" s="16" t="n"/>
      <c r="G265" s="16" t="n"/>
      <c r="H265" s="15" t="n"/>
      <c r="I265" s="15" t="n"/>
    </row>
    <row r="266">
      <c r="A266" s="15" t="n"/>
      <c r="B266" s="15" t="n"/>
      <c r="C266" s="15" t="n"/>
      <c r="D266" s="15" t="n"/>
      <c r="E266" s="15" t="n"/>
      <c r="F266" s="16" t="n"/>
      <c r="G266" s="16" t="n"/>
      <c r="H266" s="15" t="n"/>
      <c r="I266" s="15" t="n"/>
    </row>
    <row r="267">
      <c r="A267" s="15" t="n"/>
      <c r="B267" s="15" t="n"/>
      <c r="C267" s="15" t="n"/>
      <c r="D267" s="15" t="n"/>
      <c r="E267" s="15" t="n"/>
      <c r="F267" s="16" t="n"/>
      <c r="G267" s="16" t="n"/>
      <c r="H267" s="15" t="n"/>
      <c r="I267" s="15" t="n"/>
    </row>
    <row r="268">
      <c r="A268" s="15" t="n"/>
      <c r="B268" s="15" t="n"/>
      <c r="C268" s="15" t="n"/>
      <c r="D268" s="15" t="n"/>
      <c r="E268" s="15" t="n"/>
      <c r="F268" s="16" t="n"/>
      <c r="G268" s="16" t="n"/>
      <c r="H268" s="15" t="n"/>
      <c r="I268" s="15" t="n"/>
    </row>
    <row r="269">
      <c r="A269" s="15" t="n"/>
      <c r="B269" s="15" t="n"/>
      <c r="C269" s="15" t="n"/>
      <c r="D269" s="15" t="n"/>
      <c r="E269" s="15" t="n"/>
      <c r="F269" s="16" t="n"/>
      <c r="G269" s="16" t="n"/>
      <c r="H269" s="15" t="n"/>
      <c r="I269" s="15" t="n"/>
    </row>
    <row r="270">
      <c r="A270" s="15" t="n"/>
      <c r="B270" s="15" t="n"/>
      <c r="C270" s="15" t="n"/>
      <c r="D270" s="15" t="n"/>
      <c r="E270" s="15" t="n"/>
      <c r="F270" s="16" t="n"/>
      <c r="G270" s="16" t="n"/>
      <c r="H270" s="15" t="n"/>
      <c r="I270" s="15" t="n"/>
    </row>
    <row r="271">
      <c r="A271" s="15" t="n"/>
      <c r="B271" s="15" t="n"/>
      <c r="C271" s="15" t="n"/>
      <c r="D271" s="15" t="n"/>
      <c r="E271" s="15" t="n"/>
      <c r="F271" s="16" t="n"/>
      <c r="G271" s="16" t="n"/>
      <c r="H271" s="15" t="n"/>
      <c r="I271" s="15" t="n"/>
    </row>
    <row r="272">
      <c r="A272" s="15" t="n"/>
      <c r="B272" s="15" t="n"/>
      <c r="C272" s="15" t="n"/>
      <c r="D272" s="15" t="n"/>
      <c r="E272" s="15" t="n"/>
      <c r="F272" s="16" t="n"/>
      <c r="G272" s="16" t="n"/>
      <c r="H272" s="15" t="n"/>
      <c r="I272" s="15" t="n"/>
    </row>
    <row r="273">
      <c r="A273" s="15" t="n"/>
      <c r="B273" s="15" t="n"/>
      <c r="C273" s="15" t="n"/>
      <c r="D273" s="15" t="n"/>
      <c r="E273" s="15" t="n"/>
      <c r="F273" s="16" t="n"/>
      <c r="G273" s="16" t="n"/>
      <c r="H273" s="15" t="n"/>
      <c r="I273" s="15" t="n"/>
    </row>
    <row r="274">
      <c r="A274" s="15" t="n"/>
      <c r="B274" s="15" t="n"/>
      <c r="C274" s="15" t="n"/>
      <c r="D274" s="15" t="n"/>
      <c r="E274" s="15" t="n"/>
      <c r="F274" s="16" t="n"/>
      <c r="G274" s="16" t="n"/>
      <c r="H274" s="15" t="n"/>
      <c r="I274" s="15" t="n"/>
    </row>
    <row r="275">
      <c r="A275" s="15" t="n"/>
      <c r="B275" s="15" t="n"/>
      <c r="C275" s="15" t="n"/>
      <c r="D275" s="15" t="n"/>
      <c r="E275" s="15" t="n"/>
      <c r="F275" s="16" t="n"/>
      <c r="G275" s="16" t="n"/>
      <c r="H275" s="15" t="n"/>
      <c r="I275" s="15" t="n"/>
    </row>
    <row r="276">
      <c r="A276" s="15" t="n"/>
      <c r="B276" s="15" t="n"/>
      <c r="C276" s="15" t="n"/>
      <c r="D276" s="15" t="n"/>
      <c r="E276" s="15" t="n"/>
      <c r="F276" s="16" t="n"/>
      <c r="G276" s="16" t="n"/>
      <c r="H276" s="15" t="n"/>
      <c r="I276" s="15" t="n"/>
    </row>
    <row r="277">
      <c r="A277" s="15" t="n"/>
      <c r="B277" s="15" t="n"/>
      <c r="C277" s="15" t="n"/>
      <c r="D277" s="15" t="n"/>
      <c r="E277" s="15" t="n"/>
      <c r="F277" s="16" t="n"/>
      <c r="G277" s="16" t="n"/>
      <c r="H277" s="15" t="n"/>
      <c r="I277" s="15" t="n"/>
    </row>
    <row r="278">
      <c r="A278" s="15" t="n"/>
      <c r="B278" s="15" t="n"/>
      <c r="C278" s="15" t="n"/>
      <c r="D278" s="15" t="n"/>
      <c r="E278" s="15" t="n"/>
      <c r="F278" s="16" t="n"/>
      <c r="G278" s="16" t="n"/>
      <c r="H278" s="15" t="n"/>
      <c r="I278" s="15" t="n"/>
    </row>
    <row r="279">
      <c r="A279" s="15" t="n"/>
      <c r="B279" s="15" t="n"/>
      <c r="C279" s="15" t="n"/>
      <c r="D279" s="15" t="n"/>
      <c r="E279" s="15" t="n"/>
      <c r="F279" s="16" t="n"/>
      <c r="G279" s="16" t="n"/>
      <c r="H279" s="15" t="n"/>
      <c r="I279" s="15" t="n"/>
    </row>
    <row r="280">
      <c r="A280" s="15" t="n"/>
      <c r="B280" s="15" t="n"/>
      <c r="C280" s="15" t="n"/>
      <c r="D280" s="15" t="n"/>
      <c r="E280" s="15" t="n"/>
      <c r="F280" s="16" t="n"/>
      <c r="G280" s="16" t="n"/>
      <c r="H280" s="15" t="n"/>
      <c r="I280" s="15" t="n"/>
    </row>
    <row r="281">
      <c r="A281" s="15" t="n"/>
      <c r="B281" s="15" t="n"/>
      <c r="C281" s="15" t="n"/>
      <c r="D281" s="15" t="n"/>
      <c r="E281" s="15" t="n"/>
      <c r="F281" s="16" t="n"/>
      <c r="G281" s="16" t="n"/>
      <c r="H281" s="15" t="n"/>
      <c r="I281" s="15" t="n"/>
    </row>
    <row r="282">
      <c r="A282" s="15" t="n"/>
      <c r="B282" s="15" t="n"/>
      <c r="C282" s="15" t="n"/>
      <c r="D282" s="15" t="n"/>
      <c r="E282" s="15" t="n"/>
      <c r="F282" s="16" t="n"/>
      <c r="G282" s="16" t="n"/>
      <c r="H282" s="15" t="n"/>
      <c r="I282" s="15" t="n"/>
    </row>
    <row r="283">
      <c r="A283" s="15" t="n"/>
      <c r="B283" s="15" t="n"/>
      <c r="C283" s="15" t="n"/>
      <c r="D283" s="15" t="n"/>
      <c r="E283" s="15" t="n"/>
      <c r="F283" s="16" t="n"/>
      <c r="G283" s="16" t="n"/>
      <c r="H283" s="15" t="n"/>
      <c r="I283" s="15" t="n"/>
    </row>
    <row r="284">
      <c r="A284" s="15" t="n"/>
      <c r="B284" s="15" t="n"/>
      <c r="C284" s="15" t="n"/>
      <c r="D284" s="15" t="n"/>
      <c r="E284" s="15" t="n"/>
      <c r="F284" s="16" t="n"/>
      <c r="G284" s="16" t="n"/>
      <c r="H284" s="15" t="n"/>
      <c r="I284" s="15" t="n"/>
    </row>
    <row r="285">
      <c r="A285" s="15" t="n"/>
      <c r="B285" s="15" t="n"/>
      <c r="C285" s="15" t="n"/>
      <c r="D285" s="15" t="n"/>
      <c r="E285" s="15" t="n"/>
      <c r="F285" s="16" t="n"/>
      <c r="G285" s="16" t="n"/>
      <c r="H285" s="15" t="n"/>
      <c r="I285" s="15" t="n"/>
    </row>
    <row r="286">
      <c r="A286" s="15" t="n"/>
      <c r="B286" s="15" t="n"/>
      <c r="C286" s="15" t="n"/>
      <c r="D286" s="15" t="n"/>
      <c r="E286" s="15" t="n"/>
      <c r="F286" s="16" t="n"/>
      <c r="G286" s="16" t="n"/>
      <c r="H286" s="15" t="n"/>
      <c r="I286" s="15" t="n"/>
    </row>
    <row r="287">
      <c r="A287" s="15" t="n"/>
      <c r="B287" s="15" t="n"/>
      <c r="C287" s="15" t="n"/>
      <c r="D287" s="15" t="n"/>
      <c r="E287" s="15" t="n"/>
      <c r="F287" s="16" t="n"/>
      <c r="G287" s="16" t="n"/>
      <c r="H287" s="15" t="n"/>
      <c r="I287" s="15" t="n"/>
    </row>
    <row r="288">
      <c r="A288" s="15" t="n"/>
      <c r="B288" s="15" t="n"/>
      <c r="C288" s="15" t="n"/>
      <c r="D288" s="15" t="n"/>
      <c r="E288" s="15" t="n"/>
      <c r="F288" s="16" t="n"/>
      <c r="G288" s="16" t="n"/>
      <c r="H288" s="15" t="n"/>
      <c r="I288" s="15" t="n"/>
    </row>
    <row r="289">
      <c r="A289" s="15" t="n"/>
      <c r="B289" s="15" t="n"/>
      <c r="C289" s="15" t="n"/>
      <c r="D289" s="15" t="n"/>
      <c r="E289" s="15" t="n"/>
      <c r="F289" s="16" t="n"/>
      <c r="G289" s="16" t="n"/>
      <c r="H289" s="15" t="n"/>
      <c r="I289" s="15" t="n"/>
    </row>
    <row r="290">
      <c r="A290" s="15" t="n"/>
      <c r="B290" s="15" t="n"/>
      <c r="C290" s="15" t="n"/>
      <c r="D290" s="15" t="n"/>
      <c r="E290" s="15" t="n"/>
      <c r="F290" s="16" t="n"/>
      <c r="G290" s="16" t="n"/>
      <c r="H290" s="15" t="n"/>
      <c r="I290" s="15" t="n"/>
    </row>
    <row r="291">
      <c r="A291" s="15" t="n"/>
      <c r="B291" s="15" t="n"/>
      <c r="C291" s="15" t="n"/>
      <c r="D291" s="15" t="n"/>
      <c r="E291" s="15" t="n"/>
      <c r="F291" s="16" t="n"/>
      <c r="G291" s="16" t="n"/>
      <c r="H291" s="15" t="n"/>
      <c r="I291" s="15" t="n"/>
    </row>
    <row r="292">
      <c r="A292" s="15" t="n"/>
      <c r="B292" s="15" t="n"/>
      <c r="C292" s="15" t="n"/>
      <c r="D292" s="15" t="n"/>
      <c r="E292" s="15" t="n"/>
      <c r="F292" s="16" t="n"/>
      <c r="G292" s="16" t="n"/>
      <c r="H292" s="15" t="n"/>
      <c r="I292" s="15" t="n"/>
    </row>
    <row r="293">
      <c r="A293" s="15" t="n"/>
      <c r="B293" s="15" t="n"/>
      <c r="C293" s="15" t="n"/>
      <c r="D293" s="15" t="n"/>
      <c r="E293" s="15" t="n"/>
      <c r="F293" s="16" t="n"/>
      <c r="G293" s="16" t="n"/>
      <c r="H293" s="15" t="n"/>
      <c r="I293" s="15" t="n"/>
    </row>
    <row r="294">
      <c r="A294" s="15" t="n"/>
      <c r="B294" s="15" t="n"/>
      <c r="C294" s="15" t="n"/>
      <c r="D294" s="15" t="n"/>
      <c r="E294" s="15" t="n"/>
      <c r="F294" s="16" t="n"/>
      <c r="G294" s="16" t="n"/>
      <c r="H294" s="15" t="n"/>
      <c r="I294" s="15" t="n"/>
    </row>
    <row r="295">
      <c r="A295" s="15" t="n"/>
      <c r="B295" s="15" t="n"/>
      <c r="C295" s="15" t="n"/>
      <c r="D295" s="15" t="n"/>
      <c r="E295" s="15" t="n"/>
      <c r="F295" s="16" t="n"/>
      <c r="G295" s="16" t="n"/>
      <c r="H295" s="15" t="n"/>
      <c r="I295" s="15" t="n"/>
    </row>
    <row r="296">
      <c r="A296" s="15" t="n"/>
      <c r="B296" s="15" t="n"/>
      <c r="C296" s="15" t="n"/>
      <c r="D296" s="15" t="n"/>
      <c r="E296" s="15" t="n"/>
      <c r="F296" s="16" t="n"/>
      <c r="G296" s="16" t="n"/>
      <c r="H296" s="15" t="n"/>
      <c r="I296" s="15" t="n"/>
    </row>
    <row r="297">
      <c r="A297" s="15" t="n"/>
      <c r="B297" s="15" t="n"/>
      <c r="C297" s="15" t="n"/>
      <c r="D297" s="15" t="n"/>
      <c r="E297" s="15" t="n"/>
      <c r="F297" s="16" t="n"/>
      <c r="G297" s="16" t="n"/>
      <c r="H297" s="15" t="n"/>
      <c r="I297" s="15" t="n"/>
    </row>
    <row r="298">
      <c r="A298" s="15" t="n"/>
      <c r="B298" s="15" t="n"/>
      <c r="C298" s="15" t="n"/>
      <c r="D298" s="15" t="n"/>
      <c r="E298" s="15" t="n"/>
      <c r="F298" s="16" t="n"/>
      <c r="G298" s="16" t="n"/>
      <c r="H298" s="15" t="n"/>
      <c r="I298" s="15" t="n"/>
    </row>
    <row r="299">
      <c r="A299" s="15" t="n"/>
      <c r="B299" s="15" t="n"/>
      <c r="C299" s="15" t="n"/>
      <c r="D299" s="15" t="n"/>
      <c r="E299" s="15" t="n"/>
      <c r="F299" s="16" t="n"/>
      <c r="G299" s="16" t="n"/>
      <c r="H299" s="15" t="n"/>
      <c r="I299" s="15" t="n"/>
    </row>
    <row r="300">
      <c r="A300" s="15" t="n"/>
      <c r="B300" s="15" t="n"/>
      <c r="C300" s="15" t="n"/>
      <c r="D300" s="15" t="n"/>
      <c r="E300" s="15" t="n"/>
      <c r="F300" s="16" t="n"/>
      <c r="G300" s="16" t="n"/>
      <c r="H300" s="15" t="n"/>
      <c r="I300" s="15" t="n"/>
    </row>
    <row r="301">
      <c r="A301" s="15" t="n"/>
      <c r="B301" s="15" t="n"/>
      <c r="C301" s="15" t="n"/>
      <c r="D301" s="15" t="n"/>
      <c r="E301" s="15" t="n"/>
      <c r="F301" s="16" t="n"/>
      <c r="G301" s="16" t="n"/>
      <c r="H301" s="15" t="n"/>
      <c r="I301" s="15" t="n"/>
    </row>
    <row r="302">
      <c r="A302" s="15" t="n"/>
      <c r="B302" s="15" t="n"/>
      <c r="C302" s="15" t="n"/>
      <c r="D302" s="15" t="n"/>
      <c r="E302" s="15" t="n"/>
      <c r="F302" s="16" t="n"/>
      <c r="G302" s="16" t="n"/>
      <c r="H302" s="15" t="n"/>
      <c r="I302" s="15" t="n"/>
    </row>
    <row r="303">
      <c r="A303" s="15" t="n"/>
      <c r="B303" s="15" t="n"/>
      <c r="C303" s="15" t="n"/>
      <c r="D303" s="15" t="n"/>
      <c r="E303" s="15" t="n"/>
      <c r="F303" s="16" t="n"/>
      <c r="G303" s="16" t="n"/>
      <c r="H303" s="15" t="n"/>
      <c r="I303" s="15" t="n"/>
    </row>
    <row r="304">
      <c r="A304" s="15" t="n"/>
      <c r="B304" s="15" t="n"/>
      <c r="C304" s="15" t="n"/>
      <c r="D304" s="15" t="n"/>
      <c r="E304" s="15" t="n"/>
      <c r="F304" s="16" t="n"/>
      <c r="G304" s="16" t="n"/>
      <c r="H304" s="15" t="n"/>
      <c r="I304" s="15" t="n"/>
    </row>
  </sheetData>
  <mergeCells count="1">
    <mergeCell ref="A1:I1"/>
  </mergeCells>
  <dataValidations count="1">
    <dataValidation sqref="D5:D304" showDropDown="0" showInputMessage="0" showErrorMessage="0" allowBlank="1" type="list">
      <formula1>"Pcs,Kg,Gm,Ltr,Mtr,Box,Dozen,Pair,Set,Bag"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8" customWidth="1" min="8" max="8"/>
    <col width="16" customWidth="1" min="9" max="9"/>
  </cols>
  <sheetData>
    <row r="1">
      <c r="A1" s="8" t="inlineStr">
        <is>
          <t>Stock Summary</t>
        </is>
      </c>
    </row>
    <row r="2">
      <c r="A2" s="17" t="inlineStr">
        <is>
          <t>Updates by itself</t>
        </is>
      </c>
    </row>
    <row r="4" ht="32" customHeight="1">
      <c r="A4" s="14" t="inlineStr">
        <is>
          <t>Item code</t>
        </is>
      </c>
      <c r="B4" s="14" t="inlineStr">
        <is>
          <t>Item name</t>
        </is>
      </c>
      <c r="C4" s="14" t="inlineStr">
        <is>
          <t>Opening</t>
        </is>
      </c>
      <c r="D4" s="14" t="inlineStr">
        <is>
          <t>In</t>
        </is>
      </c>
      <c r="E4" s="14" t="inlineStr">
        <is>
          <t>Out</t>
        </is>
      </c>
      <c r="F4" s="14" t="inlineStr">
        <is>
          <t>In stock</t>
        </is>
      </c>
      <c r="G4" s="14" t="inlineStr">
        <is>
          <t>Stock value (₹)</t>
        </is>
      </c>
      <c r="H4" s="14" t="inlineStr">
        <is>
          <t>Status</t>
        </is>
      </c>
      <c r="I4" s="14" t="inlineStr">
        <is>
          <t>Sales value (₹)</t>
        </is>
      </c>
    </row>
    <row r="5">
      <c r="A5">
        <f>IF(Items!A5="","",Items!A5)</f>
        <v/>
      </c>
      <c r="B5">
        <f>IF(A5="","",Items!B5)</f>
        <v/>
      </c>
      <c r="C5">
        <f>IF(A5="","",N(Items!E5))</f>
        <v/>
      </c>
      <c r="D5">
        <f>IF(A5="","",SUMIF('Stock In'!$B$5:$B$3004,A5,'Stock In'!$D$5:$D$3004))</f>
        <v/>
      </c>
      <c r="E5">
        <f>IF(A5="","",SUMIF('Stock Out'!$B$5:$B$3004,A5,'Stock Out'!$D$5:$D$3004))</f>
        <v/>
      </c>
      <c r="F5">
        <f>IF(A5="","",C5+D5-E5)</f>
        <v/>
      </c>
      <c r="G5" s="18">
        <f>IF(A5="","",F5*N(Items!F5))</f>
        <v/>
      </c>
      <c r="H5">
        <f>IF(A5="","",IF(F5&lt;=0,"OUT OF STOCK",IF(F5&lt;=N(Items!H5),"REORDER","OK")))</f>
        <v/>
      </c>
      <c r="I5" s="18">
        <f>IF(A5="","",SUMIF('Stock Out'!$B$5:$B$3004,A5,'Stock Out'!$F$5:$F$3004))</f>
        <v/>
      </c>
    </row>
    <row r="6">
      <c r="A6">
        <f>IF(Items!A6="","",Items!A6)</f>
        <v/>
      </c>
      <c r="B6">
        <f>IF(A6="","",Items!B6)</f>
        <v/>
      </c>
      <c r="C6">
        <f>IF(A6="","",N(Items!E6))</f>
        <v/>
      </c>
      <c r="D6">
        <f>IF(A6="","",SUMIF('Stock In'!$B$5:$B$3004,A6,'Stock In'!$D$5:$D$3004))</f>
        <v/>
      </c>
      <c r="E6">
        <f>IF(A6="","",SUMIF('Stock Out'!$B$5:$B$3004,A6,'Stock Out'!$D$5:$D$3004))</f>
        <v/>
      </c>
      <c r="F6">
        <f>IF(A6="","",C6+D6-E6)</f>
        <v/>
      </c>
      <c r="G6" s="18">
        <f>IF(A6="","",F6*N(Items!F6))</f>
        <v/>
      </c>
      <c r="H6">
        <f>IF(A6="","",IF(F6&lt;=0,"OUT OF STOCK",IF(F6&lt;=N(Items!H6),"REORDER","OK")))</f>
        <v/>
      </c>
      <c r="I6" s="18">
        <f>IF(A6="","",SUMIF('Stock Out'!$B$5:$B$3004,A6,'Stock Out'!$F$5:$F$3004))</f>
        <v/>
      </c>
    </row>
    <row r="7">
      <c r="A7">
        <f>IF(Items!A7="","",Items!A7)</f>
        <v/>
      </c>
      <c r="B7">
        <f>IF(A7="","",Items!B7)</f>
        <v/>
      </c>
      <c r="C7">
        <f>IF(A7="","",N(Items!E7))</f>
        <v/>
      </c>
      <c r="D7">
        <f>IF(A7="","",SUMIF('Stock In'!$B$5:$B$3004,A7,'Stock In'!$D$5:$D$3004))</f>
        <v/>
      </c>
      <c r="E7">
        <f>IF(A7="","",SUMIF('Stock Out'!$B$5:$B$3004,A7,'Stock Out'!$D$5:$D$3004))</f>
        <v/>
      </c>
      <c r="F7">
        <f>IF(A7="","",C7+D7-E7)</f>
        <v/>
      </c>
      <c r="G7" s="18">
        <f>IF(A7="","",F7*N(Items!F7))</f>
        <v/>
      </c>
      <c r="H7">
        <f>IF(A7="","",IF(F7&lt;=0,"OUT OF STOCK",IF(F7&lt;=N(Items!H7),"REORDER","OK")))</f>
        <v/>
      </c>
      <c r="I7" s="18">
        <f>IF(A7="","",SUMIF('Stock Out'!$B$5:$B$3004,A7,'Stock Out'!$F$5:$F$3004))</f>
        <v/>
      </c>
    </row>
    <row r="8">
      <c r="A8">
        <f>IF(Items!A8="","",Items!A8)</f>
        <v/>
      </c>
      <c r="B8">
        <f>IF(A8="","",Items!B8)</f>
        <v/>
      </c>
      <c r="C8">
        <f>IF(A8="","",N(Items!E8))</f>
        <v/>
      </c>
      <c r="D8">
        <f>IF(A8="","",SUMIF('Stock In'!$B$5:$B$3004,A8,'Stock In'!$D$5:$D$3004))</f>
        <v/>
      </c>
      <c r="E8">
        <f>IF(A8="","",SUMIF('Stock Out'!$B$5:$B$3004,A8,'Stock Out'!$D$5:$D$3004))</f>
        <v/>
      </c>
      <c r="F8">
        <f>IF(A8="","",C8+D8-E8)</f>
        <v/>
      </c>
      <c r="G8" s="18">
        <f>IF(A8="","",F8*N(Items!F8))</f>
        <v/>
      </c>
      <c r="H8">
        <f>IF(A8="","",IF(F8&lt;=0,"OUT OF STOCK",IF(F8&lt;=N(Items!H8),"REORDER","OK")))</f>
        <v/>
      </c>
      <c r="I8" s="18">
        <f>IF(A8="","",SUMIF('Stock Out'!$B$5:$B$3004,A8,'Stock Out'!$F$5:$F$3004))</f>
        <v/>
      </c>
    </row>
    <row r="9">
      <c r="A9">
        <f>IF(Items!A9="","",Items!A9)</f>
        <v/>
      </c>
      <c r="B9">
        <f>IF(A9="","",Items!B9)</f>
        <v/>
      </c>
      <c r="C9">
        <f>IF(A9="","",N(Items!E9))</f>
        <v/>
      </c>
      <c r="D9">
        <f>IF(A9="","",SUMIF('Stock In'!$B$5:$B$3004,A9,'Stock In'!$D$5:$D$3004))</f>
        <v/>
      </c>
      <c r="E9">
        <f>IF(A9="","",SUMIF('Stock Out'!$B$5:$B$3004,A9,'Stock Out'!$D$5:$D$3004))</f>
        <v/>
      </c>
      <c r="F9">
        <f>IF(A9="","",C9+D9-E9)</f>
        <v/>
      </c>
      <c r="G9" s="18">
        <f>IF(A9="","",F9*N(Items!F9))</f>
        <v/>
      </c>
      <c r="H9">
        <f>IF(A9="","",IF(F9&lt;=0,"OUT OF STOCK",IF(F9&lt;=N(Items!H9),"REORDER","OK")))</f>
        <v/>
      </c>
      <c r="I9" s="18">
        <f>IF(A9="","",SUMIF('Stock Out'!$B$5:$B$3004,A9,'Stock Out'!$F$5:$F$3004))</f>
        <v/>
      </c>
    </row>
    <row r="10">
      <c r="A10">
        <f>IF(Items!A10="","",Items!A10)</f>
        <v/>
      </c>
      <c r="B10">
        <f>IF(A10="","",Items!B10)</f>
        <v/>
      </c>
      <c r="C10">
        <f>IF(A10="","",N(Items!E10))</f>
        <v/>
      </c>
      <c r="D10">
        <f>IF(A10="","",SUMIF('Stock In'!$B$5:$B$3004,A10,'Stock In'!$D$5:$D$3004))</f>
        <v/>
      </c>
      <c r="E10">
        <f>IF(A10="","",SUMIF('Stock Out'!$B$5:$B$3004,A10,'Stock Out'!$D$5:$D$3004))</f>
        <v/>
      </c>
      <c r="F10">
        <f>IF(A10="","",C10+D10-E10)</f>
        <v/>
      </c>
      <c r="G10" s="18">
        <f>IF(A10="","",F10*N(Items!F10))</f>
        <v/>
      </c>
      <c r="H10">
        <f>IF(A10="","",IF(F10&lt;=0,"OUT OF STOCK",IF(F10&lt;=N(Items!H10),"REORDER","OK")))</f>
        <v/>
      </c>
      <c r="I10" s="18">
        <f>IF(A10="","",SUMIF('Stock Out'!$B$5:$B$3004,A10,'Stock Out'!$F$5:$F$3004))</f>
        <v/>
      </c>
    </row>
    <row r="11">
      <c r="A11">
        <f>IF(Items!A11="","",Items!A11)</f>
        <v/>
      </c>
      <c r="B11">
        <f>IF(A11="","",Items!B11)</f>
        <v/>
      </c>
      <c r="C11">
        <f>IF(A11="","",N(Items!E11))</f>
        <v/>
      </c>
      <c r="D11">
        <f>IF(A11="","",SUMIF('Stock In'!$B$5:$B$3004,A11,'Stock In'!$D$5:$D$3004))</f>
        <v/>
      </c>
      <c r="E11">
        <f>IF(A11="","",SUMIF('Stock Out'!$B$5:$B$3004,A11,'Stock Out'!$D$5:$D$3004))</f>
        <v/>
      </c>
      <c r="F11">
        <f>IF(A11="","",C11+D11-E11)</f>
        <v/>
      </c>
      <c r="G11" s="18">
        <f>IF(A11="","",F11*N(Items!F11))</f>
        <v/>
      </c>
      <c r="H11">
        <f>IF(A11="","",IF(F11&lt;=0,"OUT OF STOCK",IF(F11&lt;=N(Items!H11),"REORDER","OK")))</f>
        <v/>
      </c>
      <c r="I11" s="18">
        <f>IF(A11="","",SUMIF('Stock Out'!$B$5:$B$3004,A11,'Stock Out'!$F$5:$F$3004))</f>
        <v/>
      </c>
    </row>
    <row r="12">
      <c r="A12">
        <f>IF(Items!A12="","",Items!A12)</f>
        <v/>
      </c>
      <c r="B12">
        <f>IF(A12="","",Items!B12)</f>
        <v/>
      </c>
      <c r="C12">
        <f>IF(A12="","",N(Items!E12))</f>
        <v/>
      </c>
      <c r="D12">
        <f>IF(A12="","",SUMIF('Stock In'!$B$5:$B$3004,A12,'Stock In'!$D$5:$D$3004))</f>
        <v/>
      </c>
      <c r="E12">
        <f>IF(A12="","",SUMIF('Stock Out'!$B$5:$B$3004,A12,'Stock Out'!$D$5:$D$3004))</f>
        <v/>
      </c>
      <c r="F12">
        <f>IF(A12="","",C12+D12-E12)</f>
        <v/>
      </c>
      <c r="G12" s="18">
        <f>IF(A12="","",F12*N(Items!F12))</f>
        <v/>
      </c>
      <c r="H12">
        <f>IF(A12="","",IF(F12&lt;=0,"OUT OF STOCK",IF(F12&lt;=N(Items!H12),"REORDER","OK")))</f>
        <v/>
      </c>
      <c r="I12" s="18">
        <f>IF(A12="","",SUMIF('Stock Out'!$B$5:$B$3004,A12,'Stock Out'!$F$5:$F$3004))</f>
        <v/>
      </c>
    </row>
    <row r="13">
      <c r="A13">
        <f>IF(Items!A13="","",Items!A13)</f>
        <v/>
      </c>
      <c r="B13">
        <f>IF(A13="","",Items!B13)</f>
        <v/>
      </c>
      <c r="C13">
        <f>IF(A13="","",N(Items!E13))</f>
        <v/>
      </c>
      <c r="D13">
        <f>IF(A13="","",SUMIF('Stock In'!$B$5:$B$3004,A13,'Stock In'!$D$5:$D$3004))</f>
        <v/>
      </c>
      <c r="E13">
        <f>IF(A13="","",SUMIF('Stock Out'!$B$5:$B$3004,A13,'Stock Out'!$D$5:$D$3004))</f>
        <v/>
      </c>
      <c r="F13">
        <f>IF(A13="","",C13+D13-E13)</f>
        <v/>
      </c>
      <c r="G13" s="18">
        <f>IF(A13="","",F13*N(Items!F13))</f>
        <v/>
      </c>
      <c r="H13">
        <f>IF(A13="","",IF(F13&lt;=0,"OUT OF STOCK",IF(F13&lt;=N(Items!H13),"REORDER","OK")))</f>
        <v/>
      </c>
      <c r="I13" s="18">
        <f>IF(A13="","",SUMIF('Stock Out'!$B$5:$B$3004,A13,'Stock Out'!$F$5:$F$3004))</f>
        <v/>
      </c>
    </row>
    <row r="14">
      <c r="A14">
        <f>IF(Items!A14="","",Items!A14)</f>
        <v/>
      </c>
      <c r="B14">
        <f>IF(A14="","",Items!B14)</f>
        <v/>
      </c>
      <c r="C14">
        <f>IF(A14="","",N(Items!E14))</f>
        <v/>
      </c>
      <c r="D14">
        <f>IF(A14="","",SUMIF('Stock In'!$B$5:$B$3004,A14,'Stock In'!$D$5:$D$3004))</f>
        <v/>
      </c>
      <c r="E14">
        <f>IF(A14="","",SUMIF('Stock Out'!$B$5:$B$3004,A14,'Stock Out'!$D$5:$D$3004))</f>
        <v/>
      </c>
      <c r="F14">
        <f>IF(A14="","",C14+D14-E14)</f>
        <v/>
      </c>
      <c r="G14" s="18">
        <f>IF(A14="","",F14*N(Items!F14))</f>
        <v/>
      </c>
      <c r="H14">
        <f>IF(A14="","",IF(F14&lt;=0,"OUT OF STOCK",IF(F14&lt;=N(Items!H14),"REORDER","OK")))</f>
        <v/>
      </c>
      <c r="I14" s="18">
        <f>IF(A14="","",SUMIF('Stock Out'!$B$5:$B$3004,A14,'Stock Out'!$F$5:$F$3004))</f>
        <v/>
      </c>
    </row>
    <row r="15">
      <c r="A15">
        <f>IF(Items!A15="","",Items!A15)</f>
        <v/>
      </c>
      <c r="B15">
        <f>IF(A15="","",Items!B15)</f>
        <v/>
      </c>
      <c r="C15">
        <f>IF(A15="","",N(Items!E15))</f>
        <v/>
      </c>
      <c r="D15">
        <f>IF(A15="","",SUMIF('Stock In'!$B$5:$B$3004,A15,'Stock In'!$D$5:$D$3004))</f>
        <v/>
      </c>
      <c r="E15">
        <f>IF(A15="","",SUMIF('Stock Out'!$B$5:$B$3004,A15,'Stock Out'!$D$5:$D$3004))</f>
        <v/>
      </c>
      <c r="F15">
        <f>IF(A15="","",C15+D15-E15)</f>
        <v/>
      </c>
      <c r="G15" s="18">
        <f>IF(A15="","",F15*N(Items!F15))</f>
        <v/>
      </c>
      <c r="H15">
        <f>IF(A15="","",IF(F15&lt;=0,"OUT OF STOCK",IF(F15&lt;=N(Items!H15),"REORDER","OK")))</f>
        <v/>
      </c>
      <c r="I15" s="18">
        <f>IF(A15="","",SUMIF('Stock Out'!$B$5:$B$3004,A15,'Stock Out'!$F$5:$F$3004))</f>
        <v/>
      </c>
    </row>
    <row r="16">
      <c r="A16">
        <f>IF(Items!A16="","",Items!A16)</f>
        <v/>
      </c>
      <c r="B16">
        <f>IF(A16="","",Items!B16)</f>
        <v/>
      </c>
      <c r="C16">
        <f>IF(A16="","",N(Items!E16))</f>
        <v/>
      </c>
      <c r="D16">
        <f>IF(A16="","",SUMIF('Stock In'!$B$5:$B$3004,A16,'Stock In'!$D$5:$D$3004))</f>
        <v/>
      </c>
      <c r="E16">
        <f>IF(A16="","",SUMIF('Stock Out'!$B$5:$B$3004,A16,'Stock Out'!$D$5:$D$3004))</f>
        <v/>
      </c>
      <c r="F16">
        <f>IF(A16="","",C16+D16-E16)</f>
        <v/>
      </c>
      <c r="G16" s="18">
        <f>IF(A16="","",F16*N(Items!F16))</f>
        <v/>
      </c>
      <c r="H16">
        <f>IF(A16="","",IF(F16&lt;=0,"OUT OF STOCK",IF(F16&lt;=N(Items!H16),"REORDER","OK")))</f>
        <v/>
      </c>
      <c r="I16" s="18">
        <f>IF(A16="","",SUMIF('Stock Out'!$B$5:$B$3004,A16,'Stock Out'!$F$5:$F$3004))</f>
        <v/>
      </c>
    </row>
    <row r="17">
      <c r="A17">
        <f>IF(Items!A17="","",Items!A17)</f>
        <v/>
      </c>
      <c r="B17">
        <f>IF(A17="","",Items!B17)</f>
        <v/>
      </c>
      <c r="C17">
        <f>IF(A17="","",N(Items!E17))</f>
        <v/>
      </c>
      <c r="D17">
        <f>IF(A17="","",SUMIF('Stock In'!$B$5:$B$3004,A17,'Stock In'!$D$5:$D$3004))</f>
        <v/>
      </c>
      <c r="E17">
        <f>IF(A17="","",SUMIF('Stock Out'!$B$5:$B$3004,A17,'Stock Out'!$D$5:$D$3004))</f>
        <v/>
      </c>
      <c r="F17">
        <f>IF(A17="","",C17+D17-E17)</f>
        <v/>
      </c>
      <c r="G17" s="18">
        <f>IF(A17="","",F17*N(Items!F17))</f>
        <v/>
      </c>
      <c r="H17">
        <f>IF(A17="","",IF(F17&lt;=0,"OUT OF STOCK",IF(F17&lt;=N(Items!H17),"REORDER","OK")))</f>
        <v/>
      </c>
      <c r="I17" s="18">
        <f>IF(A17="","",SUMIF('Stock Out'!$B$5:$B$3004,A17,'Stock Out'!$F$5:$F$3004))</f>
        <v/>
      </c>
    </row>
    <row r="18">
      <c r="A18">
        <f>IF(Items!A18="","",Items!A18)</f>
        <v/>
      </c>
      <c r="B18">
        <f>IF(A18="","",Items!B18)</f>
        <v/>
      </c>
      <c r="C18">
        <f>IF(A18="","",N(Items!E18))</f>
        <v/>
      </c>
      <c r="D18">
        <f>IF(A18="","",SUMIF('Stock In'!$B$5:$B$3004,A18,'Stock In'!$D$5:$D$3004))</f>
        <v/>
      </c>
      <c r="E18">
        <f>IF(A18="","",SUMIF('Stock Out'!$B$5:$B$3004,A18,'Stock Out'!$D$5:$D$3004))</f>
        <v/>
      </c>
      <c r="F18">
        <f>IF(A18="","",C18+D18-E18)</f>
        <v/>
      </c>
      <c r="G18" s="18">
        <f>IF(A18="","",F18*N(Items!F18))</f>
        <v/>
      </c>
      <c r="H18">
        <f>IF(A18="","",IF(F18&lt;=0,"OUT OF STOCK",IF(F18&lt;=N(Items!H18),"REORDER","OK")))</f>
        <v/>
      </c>
      <c r="I18" s="18">
        <f>IF(A18="","",SUMIF('Stock Out'!$B$5:$B$3004,A18,'Stock Out'!$F$5:$F$3004))</f>
        <v/>
      </c>
    </row>
    <row r="19">
      <c r="A19">
        <f>IF(Items!A19="","",Items!A19)</f>
        <v/>
      </c>
      <c r="B19">
        <f>IF(A19="","",Items!B19)</f>
        <v/>
      </c>
      <c r="C19">
        <f>IF(A19="","",N(Items!E19))</f>
        <v/>
      </c>
      <c r="D19">
        <f>IF(A19="","",SUMIF('Stock In'!$B$5:$B$3004,A19,'Stock In'!$D$5:$D$3004))</f>
        <v/>
      </c>
      <c r="E19">
        <f>IF(A19="","",SUMIF('Stock Out'!$B$5:$B$3004,A19,'Stock Out'!$D$5:$D$3004))</f>
        <v/>
      </c>
      <c r="F19">
        <f>IF(A19="","",C19+D19-E19)</f>
        <v/>
      </c>
      <c r="G19" s="18">
        <f>IF(A19="","",F19*N(Items!F19))</f>
        <v/>
      </c>
      <c r="H19">
        <f>IF(A19="","",IF(F19&lt;=0,"OUT OF STOCK",IF(F19&lt;=N(Items!H19),"REORDER","OK")))</f>
        <v/>
      </c>
      <c r="I19" s="18">
        <f>IF(A19="","",SUMIF('Stock Out'!$B$5:$B$3004,A19,'Stock Out'!$F$5:$F$3004))</f>
        <v/>
      </c>
    </row>
    <row r="20">
      <c r="A20">
        <f>IF(Items!A20="","",Items!A20)</f>
        <v/>
      </c>
      <c r="B20">
        <f>IF(A20="","",Items!B20)</f>
        <v/>
      </c>
      <c r="C20">
        <f>IF(A20="","",N(Items!E20))</f>
        <v/>
      </c>
      <c r="D20">
        <f>IF(A20="","",SUMIF('Stock In'!$B$5:$B$3004,A20,'Stock In'!$D$5:$D$3004))</f>
        <v/>
      </c>
      <c r="E20">
        <f>IF(A20="","",SUMIF('Stock Out'!$B$5:$B$3004,A20,'Stock Out'!$D$5:$D$3004))</f>
        <v/>
      </c>
      <c r="F20">
        <f>IF(A20="","",C20+D20-E20)</f>
        <v/>
      </c>
      <c r="G20" s="18">
        <f>IF(A20="","",F20*N(Items!F20))</f>
        <v/>
      </c>
      <c r="H20">
        <f>IF(A20="","",IF(F20&lt;=0,"OUT OF STOCK",IF(F20&lt;=N(Items!H20),"REORDER","OK")))</f>
        <v/>
      </c>
      <c r="I20" s="18">
        <f>IF(A20="","",SUMIF('Stock Out'!$B$5:$B$3004,A20,'Stock Out'!$F$5:$F$3004))</f>
        <v/>
      </c>
    </row>
    <row r="21">
      <c r="A21">
        <f>IF(Items!A21="","",Items!A21)</f>
        <v/>
      </c>
      <c r="B21">
        <f>IF(A21="","",Items!B21)</f>
        <v/>
      </c>
      <c r="C21">
        <f>IF(A21="","",N(Items!E21))</f>
        <v/>
      </c>
      <c r="D21">
        <f>IF(A21="","",SUMIF('Stock In'!$B$5:$B$3004,A21,'Stock In'!$D$5:$D$3004))</f>
        <v/>
      </c>
      <c r="E21">
        <f>IF(A21="","",SUMIF('Stock Out'!$B$5:$B$3004,A21,'Stock Out'!$D$5:$D$3004))</f>
        <v/>
      </c>
      <c r="F21">
        <f>IF(A21="","",C21+D21-E21)</f>
        <v/>
      </c>
      <c r="G21" s="18">
        <f>IF(A21="","",F21*N(Items!F21))</f>
        <v/>
      </c>
      <c r="H21">
        <f>IF(A21="","",IF(F21&lt;=0,"OUT OF STOCK",IF(F21&lt;=N(Items!H21),"REORDER","OK")))</f>
        <v/>
      </c>
      <c r="I21" s="18">
        <f>IF(A21="","",SUMIF('Stock Out'!$B$5:$B$3004,A21,'Stock Out'!$F$5:$F$3004))</f>
        <v/>
      </c>
    </row>
    <row r="22">
      <c r="A22">
        <f>IF(Items!A22="","",Items!A22)</f>
        <v/>
      </c>
      <c r="B22">
        <f>IF(A22="","",Items!B22)</f>
        <v/>
      </c>
      <c r="C22">
        <f>IF(A22="","",N(Items!E22))</f>
        <v/>
      </c>
      <c r="D22">
        <f>IF(A22="","",SUMIF('Stock In'!$B$5:$B$3004,A22,'Stock In'!$D$5:$D$3004))</f>
        <v/>
      </c>
      <c r="E22">
        <f>IF(A22="","",SUMIF('Stock Out'!$B$5:$B$3004,A22,'Stock Out'!$D$5:$D$3004))</f>
        <v/>
      </c>
      <c r="F22">
        <f>IF(A22="","",C22+D22-E22)</f>
        <v/>
      </c>
      <c r="G22" s="18">
        <f>IF(A22="","",F22*N(Items!F22))</f>
        <v/>
      </c>
      <c r="H22">
        <f>IF(A22="","",IF(F22&lt;=0,"OUT OF STOCK",IF(F22&lt;=N(Items!H22),"REORDER","OK")))</f>
        <v/>
      </c>
      <c r="I22" s="18">
        <f>IF(A22="","",SUMIF('Stock Out'!$B$5:$B$3004,A22,'Stock Out'!$F$5:$F$3004))</f>
        <v/>
      </c>
    </row>
    <row r="23">
      <c r="A23">
        <f>IF(Items!A23="","",Items!A23)</f>
        <v/>
      </c>
      <c r="B23">
        <f>IF(A23="","",Items!B23)</f>
        <v/>
      </c>
      <c r="C23">
        <f>IF(A23="","",N(Items!E23))</f>
        <v/>
      </c>
      <c r="D23">
        <f>IF(A23="","",SUMIF('Stock In'!$B$5:$B$3004,A23,'Stock In'!$D$5:$D$3004))</f>
        <v/>
      </c>
      <c r="E23">
        <f>IF(A23="","",SUMIF('Stock Out'!$B$5:$B$3004,A23,'Stock Out'!$D$5:$D$3004))</f>
        <v/>
      </c>
      <c r="F23">
        <f>IF(A23="","",C23+D23-E23)</f>
        <v/>
      </c>
      <c r="G23" s="18">
        <f>IF(A23="","",F23*N(Items!F23))</f>
        <v/>
      </c>
      <c r="H23">
        <f>IF(A23="","",IF(F23&lt;=0,"OUT OF STOCK",IF(F23&lt;=N(Items!H23),"REORDER","OK")))</f>
        <v/>
      </c>
      <c r="I23" s="18">
        <f>IF(A23="","",SUMIF('Stock Out'!$B$5:$B$3004,A23,'Stock Out'!$F$5:$F$3004))</f>
        <v/>
      </c>
    </row>
    <row r="24">
      <c r="A24">
        <f>IF(Items!A24="","",Items!A24)</f>
        <v/>
      </c>
      <c r="B24">
        <f>IF(A24="","",Items!B24)</f>
        <v/>
      </c>
      <c r="C24">
        <f>IF(A24="","",N(Items!E24))</f>
        <v/>
      </c>
      <c r="D24">
        <f>IF(A24="","",SUMIF('Stock In'!$B$5:$B$3004,A24,'Stock In'!$D$5:$D$3004))</f>
        <v/>
      </c>
      <c r="E24">
        <f>IF(A24="","",SUMIF('Stock Out'!$B$5:$B$3004,A24,'Stock Out'!$D$5:$D$3004))</f>
        <v/>
      </c>
      <c r="F24">
        <f>IF(A24="","",C24+D24-E24)</f>
        <v/>
      </c>
      <c r="G24" s="18">
        <f>IF(A24="","",F24*N(Items!F24))</f>
        <v/>
      </c>
      <c r="H24">
        <f>IF(A24="","",IF(F24&lt;=0,"OUT OF STOCK",IF(F24&lt;=N(Items!H24),"REORDER","OK")))</f>
        <v/>
      </c>
      <c r="I24" s="18">
        <f>IF(A24="","",SUMIF('Stock Out'!$B$5:$B$3004,A24,'Stock Out'!$F$5:$F$3004))</f>
        <v/>
      </c>
    </row>
    <row r="25">
      <c r="A25">
        <f>IF(Items!A25="","",Items!A25)</f>
        <v/>
      </c>
      <c r="B25">
        <f>IF(A25="","",Items!B25)</f>
        <v/>
      </c>
      <c r="C25">
        <f>IF(A25="","",N(Items!E25))</f>
        <v/>
      </c>
      <c r="D25">
        <f>IF(A25="","",SUMIF('Stock In'!$B$5:$B$3004,A25,'Stock In'!$D$5:$D$3004))</f>
        <v/>
      </c>
      <c r="E25">
        <f>IF(A25="","",SUMIF('Stock Out'!$B$5:$B$3004,A25,'Stock Out'!$D$5:$D$3004))</f>
        <v/>
      </c>
      <c r="F25">
        <f>IF(A25="","",C25+D25-E25)</f>
        <v/>
      </c>
      <c r="G25" s="18">
        <f>IF(A25="","",F25*N(Items!F25))</f>
        <v/>
      </c>
      <c r="H25">
        <f>IF(A25="","",IF(F25&lt;=0,"OUT OF STOCK",IF(F25&lt;=N(Items!H25),"REORDER","OK")))</f>
        <v/>
      </c>
      <c r="I25" s="18">
        <f>IF(A25="","",SUMIF('Stock Out'!$B$5:$B$3004,A25,'Stock Out'!$F$5:$F$3004))</f>
        <v/>
      </c>
    </row>
    <row r="26">
      <c r="A26">
        <f>IF(Items!A26="","",Items!A26)</f>
        <v/>
      </c>
      <c r="B26">
        <f>IF(A26="","",Items!B26)</f>
        <v/>
      </c>
      <c r="C26">
        <f>IF(A26="","",N(Items!E26))</f>
        <v/>
      </c>
      <c r="D26">
        <f>IF(A26="","",SUMIF('Stock In'!$B$5:$B$3004,A26,'Stock In'!$D$5:$D$3004))</f>
        <v/>
      </c>
      <c r="E26">
        <f>IF(A26="","",SUMIF('Stock Out'!$B$5:$B$3004,A26,'Stock Out'!$D$5:$D$3004))</f>
        <v/>
      </c>
      <c r="F26">
        <f>IF(A26="","",C26+D26-E26)</f>
        <v/>
      </c>
      <c r="G26" s="18">
        <f>IF(A26="","",F26*N(Items!F26))</f>
        <v/>
      </c>
      <c r="H26">
        <f>IF(A26="","",IF(F26&lt;=0,"OUT OF STOCK",IF(F26&lt;=N(Items!H26),"REORDER","OK")))</f>
        <v/>
      </c>
      <c r="I26" s="18">
        <f>IF(A26="","",SUMIF('Stock Out'!$B$5:$B$3004,A26,'Stock Out'!$F$5:$F$3004))</f>
        <v/>
      </c>
    </row>
    <row r="27">
      <c r="A27">
        <f>IF(Items!A27="","",Items!A27)</f>
        <v/>
      </c>
      <c r="B27">
        <f>IF(A27="","",Items!B27)</f>
        <v/>
      </c>
      <c r="C27">
        <f>IF(A27="","",N(Items!E27))</f>
        <v/>
      </c>
      <c r="D27">
        <f>IF(A27="","",SUMIF('Stock In'!$B$5:$B$3004,A27,'Stock In'!$D$5:$D$3004))</f>
        <v/>
      </c>
      <c r="E27">
        <f>IF(A27="","",SUMIF('Stock Out'!$B$5:$B$3004,A27,'Stock Out'!$D$5:$D$3004))</f>
        <v/>
      </c>
      <c r="F27">
        <f>IF(A27="","",C27+D27-E27)</f>
        <v/>
      </c>
      <c r="G27" s="18">
        <f>IF(A27="","",F27*N(Items!F27))</f>
        <v/>
      </c>
      <c r="H27">
        <f>IF(A27="","",IF(F27&lt;=0,"OUT OF STOCK",IF(F27&lt;=N(Items!H27),"REORDER","OK")))</f>
        <v/>
      </c>
      <c r="I27" s="18">
        <f>IF(A27="","",SUMIF('Stock Out'!$B$5:$B$3004,A27,'Stock Out'!$F$5:$F$3004))</f>
        <v/>
      </c>
    </row>
    <row r="28">
      <c r="A28">
        <f>IF(Items!A28="","",Items!A28)</f>
        <v/>
      </c>
      <c r="B28">
        <f>IF(A28="","",Items!B28)</f>
        <v/>
      </c>
      <c r="C28">
        <f>IF(A28="","",N(Items!E28))</f>
        <v/>
      </c>
      <c r="D28">
        <f>IF(A28="","",SUMIF('Stock In'!$B$5:$B$3004,A28,'Stock In'!$D$5:$D$3004))</f>
        <v/>
      </c>
      <c r="E28">
        <f>IF(A28="","",SUMIF('Stock Out'!$B$5:$B$3004,A28,'Stock Out'!$D$5:$D$3004))</f>
        <v/>
      </c>
      <c r="F28">
        <f>IF(A28="","",C28+D28-E28)</f>
        <v/>
      </c>
      <c r="G28" s="18">
        <f>IF(A28="","",F28*N(Items!F28))</f>
        <v/>
      </c>
      <c r="H28">
        <f>IF(A28="","",IF(F28&lt;=0,"OUT OF STOCK",IF(F28&lt;=N(Items!H28),"REORDER","OK")))</f>
        <v/>
      </c>
      <c r="I28" s="18">
        <f>IF(A28="","",SUMIF('Stock Out'!$B$5:$B$3004,A28,'Stock Out'!$F$5:$F$3004))</f>
        <v/>
      </c>
    </row>
    <row r="29">
      <c r="A29">
        <f>IF(Items!A29="","",Items!A29)</f>
        <v/>
      </c>
      <c r="B29">
        <f>IF(A29="","",Items!B29)</f>
        <v/>
      </c>
      <c r="C29">
        <f>IF(A29="","",N(Items!E29))</f>
        <v/>
      </c>
      <c r="D29">
        <f>IF(A29="","",SUMIF('Stock In'!$B$5:$B$3004,A29,'Stock In'!$D$5:$D$3004))</f>
        <v/>
      </c>
      <c r="E29">
        <f>IF(A29="","",SUMIF('Stock Out'!$B$5:$B$3004,A29,'Stock Out'!$D$5:$D$3004))</f>
        <v/>
      </c>
      <c r="F29">
        <f>IF(A29="","",C29+D29-E29)</f>
        <v/>
      </c>
      <c r="G29" s="18">
        <f>IF(A29="","",F29*N(Items!F29))</f>
        <v/>
      </c>
      <c r="H29">
        <f>IF(A29="","",IF(F29&lt;=0,"OUT OF STOCK",IF(F29&lt;=N(Items!H29),"REORDER","OK")))</f>
        <v/>
      </c>
      <c r="I29" s="18">
        <f>IF(A29="","",SUMIF('Stock Out'!$B$5:$B$3004,A29,'Stock Out'!$F$5:$F$3004))</f>
        <v/>
      </c>
    </row>
    <row r="30">
      <c r="A30">
        <f>IF(Items!A30="","",Items!A30)</f>
        <v/>
      </c>
      <c r="B30">
        <f>IF(A30="","",Items!B30)</f>
        <v/>
      </c>
      <c r="C30">
        <f>IF(A30="","",N(Items!E30))</f>
        <v/>
      </c>
      <c r="D30">
        <f>IF(A30="","",SUMIF('Stock In'!$B$5:$B$3004,A30,'Stock In'!$D$5:$D$3004))</f>
        <v/>
      </c>
      <c r="E30">
        <f>IF(A30="","",SUMIF('Stock Out'!$B$5:$B$3004,A30,'Stock Out'!$D$5:$D$3004))</f>
        <v/>
      </c>
      <c r="F30">
        <f>IF(A30="","",C30+D30-E30)</f>
        <v/>
      </c>
      <c r="G30" s="18">
        <f>IF(A30="","",F30*N(Items!F30))</f>
        <v/>
      </c>
      <c r="H30">
        <f>IF(A30="","",IF(F30&lt;=0,"OUT OF STOCK",IF(F30&lt;=N(Items!H30),"REORDER","OK")))</f>
        <v/>
      </c>
      <c r="I30" s="18">
        <f>IF(A30="","",SUMIF('Stock Out'!$B$5:$B$3004,A30,'Stock Out'!$F$5:$F$3004))</f>
        <v/>
      </c>
    </row>
    <row r="31">
      <c r="A31">
        <f>IF(Items!A31="","",Items!A31)</f>
        <v/>
      </c>
      <c r="B31">
        <f>IF(A31="","",Items!B31)</f>
        <v/>
      </c>
      <c r="C31">
        <f>IF(A31="","",N(Items!E31))</f>
        <v/>
      </c>
      <c r="D31">
        <f>IF(A31="","",SUMIF('Stock In'!$B$5:$B$3004,A31,'Stock In'!$D$5:$D$3004))</f>
        <v/>
      </c>
      <c r="E31">
        <f>IF(A31="","",SUMIF('Stock Out'!$B$5:$B$3004,A31,'Stock Out'!$D$5:$D$3004))</f>
        <v/>
      </c>
      <c r="F31">
        <f>IF(A31="","",C31+D31-E31)</f>
        <v/>
      </c>
      <c r="G31" s="18">
        <f>IF(A31="","",F31*N(Items!F31))</f>
        <v/>
      </c>
      <c r="H31">
        <f>IF(A31="","",IF(F31&lt;=0,"OUT OF STOCK",IF(F31&lt;=N(Items!H31),"REORDER","OK")))</f>
        <v/>
      </c>
      <c r="I31" s="18">
        <f>IF(A31="","",SUMIF('Stock Out'!$B$5:$B$3004,A31,'Stock Out'!$F$5:$F$3004))</f>
        <v/>
      </c>
    </row>
    <row r="32">
      <c r="A32">
        <f>IF(Items!A32="","",Items!A32)</f>
        <v/>
      </c>
      <c r="B32">
        <f>IF(A32="","",Items!B32)</f>
        <v/>
      </c>
      <c r="C32">
        <f>IF(A32="","",N(Items!E32))</f>
        <v/>
      </c>
      <c r="D32">
        <f>IF(A32="","",SUMIF('Stock In'!$B$5:$B$3004,A32,'Stock In'!$D$5:$D$3004))</f>
        <v/>
      </c>
      <c r="E32">
        <f>IF(A32="","",SUMIF('Stock Out'!$B$5:$B$3004,A32,'Stock Out'!$D$5:$D$3004))</f>
        <v/>
      </c>
      <c r="F32">
        <f>IF(A32="","",C32+D32-E32)</f>
        <v/>
      </c>
      <c r="G32" s="18">
        <f>IF(A32="","",F32*N(Items!F32))</f>
        <v/>
      </c>
      <c r="H32">
        <f>IF(A32="","",IF(F32&lt;=0,"OUT OF STOCK",IF(F32&lt;=N(Items!H32),"REORDER","OK")))</f>
        <v/>
      </c>
      <c r="I32" s="18">
        <f>IF(A32="","",SUMIF('Stock Out'!$B$5:$B$3004,A32,'Stock Out'!$F$5:$F$3004))</f>
        <v/>
      </c>
    </row>
    <row r="33">
      <c r="A33">
        <f>IF(Items!A33="","",Items!A33)</f>
        <v/>
      </c>
      <c r="B33">
        <f>IF(A33="","",Items!B33)</f>
        <v/>
      </c>
      <c r="C33">
        <f>IF(A33="","",N(Items!E33))</f>
        <v/>
      </c>
      <c r="D33">
        <f>IF(A33="","",SUMIF('Stock In'!$B$5:$B$3004,A33,'Stock In'!$D$5:$D$3004))</f>
        <v/>
      </c>
      <c r="E33">
        <f>IF(A33="","",SUMIF('Stock Out'!$B$5:$B$3004,A33,'Stock Out'!$D$5:$D$3004))</f>
        <v/>
      </c>
      <c r="F33">
        <f>IF(A33="","",C33+D33-E33)</f>
        <v/>
      </c>
      <c r="G33" s="18">
        <f>IF(A33="","",F33*N(Items!F33))</f>
        <v/>
      </c>
      <c r="H33">
        <f>IF(A33="","",IF(F33&lt;=0,"OUT OF STOCK",IF(F33&lt;=N(Items!H33),"REORDER","OK")))</f>
        <v/>
      </c>
      <c r="I33" s="18">
        <f>IF(A33="","",SUMIF('Stock Out'!$B$5:$B$3004,A33,'Stock Out'!$F$5:$F$3004))</f>
        <v/>
      </c>
    </row>
    <row r="34">
      <c r="A34">
        <f>IF(Items!A34="","",Items!A34)</f>
        <v/>
      </c>
      <c r="B34">
        <f>IF(A34="","",Items!B34)</f>
        <v/>
      </c>
      <c r="C34">
        <f>IF(A34="","",N(Items!E34))</f>
        <v/>
      </c>
      <c r="D34">
        <f>IF(A34="","",SUMIF('Stock In'!$B$5:$B$3004,A34,'Stock In'!$D$5:$D$3004))</f>
        <v/>
      </c>
      <c r="E34">
        <f>IF(A34="","",SUMIF('Stock Out'!$B$5:$B$3004,A34,'Stock Out'!$D$5:$D$3004))</f>
        <v/>
      </c>
      <c r="F34">
        <f>IF(A34="","",C34+D34-E34)</f>
        <v/>
      </c>
      <c r="G34" s="18">
        <f>IF(A34="","",F34*N(Items!F34))</f>
        <v/>
      </c>
      <c r="H34">
        <f>IF(A34="","",IF(F34&lt;=0,"OUT OF STOCK",IF(F34&lt;=N(Items!H34),"REORDER","OK")))</f>
        <v/>
      </c>
      <c r="I34" s="18">
        <f>IF(A34="","",SUMIF('Stock Out'!$B$5:$B$3004,A34,'Stock Out'!$F$5:$F$3004))</f>
        <v/>
      </c>
    </row>
    <row r="35">
      <c r="A35">
        <f>IF(Items!A35="","",Items!A35)</f>
        <v/>
      </c>
      <c r="B35">
        <f>IF(A35="","",Items!B35)</f>
        <v/>
      </c>
      <c r="C35">
        <f>IF(A35="","",N(Items!E35))</f>
        <v/>
      </c>
      <c r="D35">
        <f>IF(A35="","",SUMIF('Stock In'!$B$5:$B$3004,A35,'Stock In'!$D$5:$D$3004))</f>
        <v/>
      </c>
      <c r="E35">
        <f>IF(A35="","",SUMIF('Stock Out'!$B$5:$B$3004,A35,'Stock Out'!$D$5:$D$3004))</f>
        <v/>
      </c>
      <c r="F35">
        <f>IF(A35="","",C35+D35-E35)</f>
        <v/>
      </c>
      <c r="G35" s="18">
        <f>IF(A35="","",F35*N(Items!F35))</f>
        <v/>
      </c>
      <c r="H35">
        <f>IF(A35="","",IF(F35&lt;=0,"OUT OF STOCK",IF(F35&lt;=N(Items!H35),"REORDER","OK")))</f>
        <v/>
      </c>
      <c r="I35" s="18">
        <f>IF(A35="","",SUMIF('Stock Out'!$B$5:$B$3004,A35,'Stock Out'!$F$5:$F$3004))</f>
        <v/>
      </c>
    </row>
    <row r="36">
      <c r="A36">
        <f>IF(Items!A36="","",Items!A36)</f>
        <v/>
      </c>
      <c r="B36">
        <f>IF(A36="","",Items!B36)</f>
        <v/>
      </c>
      <c r="C36">
        <f>IF(A36="","",N(Items!E36))</f>
        <v/>
      </c>
      <c r="D36">
        <f>IF(A36="","",SUMIF('Stock In'!$B$5:$B$3004,A36,'Stock In'!$D$5:$D$3004))</f>
        <v/>
      </c>
      <c r="E36">
        <f>IF(A36="","",SUMIF('Stock Out'!$B$5:$B$3004,A36,'Stock Out'!$D$5:$D$3004))</f>
        <v/>
      </c>
      <c r="F36">
        <f>IF(A36="","",C36+D36-E36)</f>
        <v/>
      </c>
      <c r="G36" s="18">
        <f>IF(A36="","",F36*N(Items!F36))</f>
        <v/>
      </c>
      <c r="H36">
        <f>IF(A36="","",IF(F36&lt;=0,"OUT OF STOCK",IF(F36&lt;=N(Items!H36),"REORDER","OK")))</f>
        <v/>
      </c>
      <c r="I36" s="18">
        <f>IF(A36="","",SUMIF('Stock Out'!$B$5:$B$3004,A36,'Stock Out'!$F$5:$F$3004))</f>
        <v/>
      </c>
    </row>
    <row r="37">
      <c r="A37">
        <f>IF(Items!A37="","",Items!A37)</f>
        <v/>
      </c>
      <c r="B37">
        <f>IF(A37="","",Items!B37)</f>
        <v/>
      </c>
      <c r="C37">
        <f>IF(A37="","",N(Items!E37))</f>
        <v/>
      </c>
      <c r="D37">
        <f>IF(A37="","",SUMIF('Stock In'!$B$5:$B$3004,A37,'Stock In'!$D$5:$D$3004))</f>
        <v/>
      </c>
      <c r="E37">
        <f>IF(A37="","",SUMIF('Stock Out'!$B$5:$B$3004,A37,'Stock Out'!$D$5:$D$3004))</f>
        <v/>
      </c>
      <c r="F37">
        <f>IF(A37="","",C37+D37-E37)</f>
        <v/>
      </c>
      <c r="G37" s="18">
        <f>IF(A37="","",F37*N(Items!F37))</f>
        <v/>
      </c>
      <c r="H37">
        <f>IF(A37="","",IF(F37&lt;=0,"OUT OF STOCK",IF(F37&lt;=N(Items!H37),"REORDER","OK")))</f>
        <v/>
      </c>
      <c r="I37" s="18">
        <f>IF(A37="","",SUMIF('Stock Out'!$B$5:$B$3004,A37,'Stock Out'!$F$5:$F$3004))</f>
        <v/>
      </c>
    </row>
    <row r="38">
      <c r="A38">
        <f>IF(Items!A38="","",Items!A38)</f>
        <v/>
      </c>
      <c r="B38">
        <f>IF(A38="","",Items!B38)</f>
        <v/>
      </c>
      <c r="C38">
        <f>IF(A38="","",N(Items!E38))</f>
        <v/>
      </c>
      <c r="D38">
        <f>IF(A38="","",SUMIF('Stock In'!$B$5:$B$3004,A38,'Stock In'!$D$5:$D$3004))</f>
        <v/>
      </c>
      <c r="E38">
        <f>IF(A38="","",SUMIF('Stock Out'!$B$5:$B$3004,A38,'Stock Out'!$D$5:$D$3004))</f>
        <v/>
      </c>
      <c r="F38">
        <f>IF(A38="","",C38+D38-E38)</f>
        <v/>
      </c>
      <c r="G38" s="18">
        <f>IF(A38="","",F38*N(Items!F38))</f>
        <v/>
      </c>
      <c r="H38">
        <f>IF(A38="","",IF(F38&lt;=0,"OUT OF STOCK",IF(F38&lt;=N(Items!H38),"REORDER","OK")))</f>
        <v/>
      </c>
      <c r="I38" s="18">
        <f>IF(A38="","",SUMIF('Stock Out'!$B$5:$B$3004,A38,'Stock Out'!$F$5:$F$3004))</f>
        <v/>
      </c>
    </row>
    <row r="39">
      <c r="A39">
        <f>IF(Items!A39="","",Items!A39)</f>
        <v/>
      </c>
      <c r="B39">
        <f>IF(A39="","",Items!B39)</f>
        <v/>
      </c>
      <c r="C39">
        <f>IF(A39="","",N(Items!E39))</f>
        <v/>
      </c>
      <c r="D39">
        <f>IF(A39="","",SUMIF('Stock In'!$B$5:$B$3004,A39,'Stock In'!$D$5:$D$3004))</f>
        <v/>
      </c>
      <c r="E39">
        <f>IF(A39="","",SUMIF('Stock Out'!$B$5:$B$3004,A39,'Stock Out'!$D$5:$D$3004))</f>
        <v/>
      </c>
      <c r="F39">
        <f>IF(A39="","",C39+D39-E39)</f>
        <v/>
      </c>
      <c r="G39" s="18">
        <f>IF(A39="","",F39*N(Items!F39))</f>
        <v/>
      </c>
      <c r="H39">
        <f>IF(A39="","",IF(F39&lt;=0,"OUT OF STOCK",IF(F39&lt;=N(Items!H39),"REORDER","OK")))</f>
        <v/>
      </c>
      <c r="I39" s="18">
        <f>IF(A39="","",SUMIF('Stock Out'!$B$5:$B$3004,A39,'Stock Out'!$F$5:$F$3004))</f>
        <v/>
      </c>
    </row>
    <row r="40">
      <c r="A40">
        <f>IF(Items!A40="","",Items!A40)</f>
        <v/>
      </c>
      <c r="B40">
        <f>IF(A40="","",Items!B40)</f>
        <v/>
      </c>
      <c r="C40">
        <f>IF(A40="","",N(Items!E40))</f>
        <v/>
      </c>
      <c r="D40">
        <f>IF(A40="","",SUMIF('Stock In'!$B$5:$B$3004,A40,'Stock In'!$D$5:$D$3004))</f>
        <v/>
      </c>
      <c r="E40">
        <f>IF(A40="","",SUMIF('Stock Out'!$B$5:$B$3004,A40,'Stock Out'!$D$5:$D$3004))</f>
        <v/>
      </c>
      <c r="F40">
        <f>IF(A40="","",C40+D40-E40)</f>
        <v/>
      </c>
      <c r="G40" s="18">
        <f>IF(A40="","",F40*N(Items!F40))</f>
        <v/>
      </c>
      <c r="H40">
        <f>IF(A40="","",IF(F40&lt;=0,"OUT OF STOCK",IF(F40&lt;=N(Items!H40),"REORDER","OK")))</f>
        <v/>
      </c>
      <c r="I40" s="18">
        <f>IF(A40="","",SUMIF('Stock Out'!$B$5:$B$3004,A40,'Stock Out'!$F$5:$F$3004))</f>
        <v/>
      </c>
    </row>
    <row r="41">
      <c r="A41">
        <f>IF(Items!A41="","",Items!A41)</f>
        <v/>
      </c>
      <c r="B41">
        <f>IF(A41="","",Items!B41)</f>
        <v/>
      </c>
      <c r="C41">
        <f>IF(A41="","",N(Items!E41))</f>
        <v/>
      </c>
      <c r="D41">
        <f>IF(A41="","",SUMIF('Stock In'!$B$5:$B$3004,A41,'Stock In'!$D$5:$D$3004))</f>
        <v/>
      </c>
      <c r="E41">
        <f>IF(A41="","",SUMIF('Stock Out'!$B$5:$B$3004,A41,'Stock Out'!$D$5:$D$3004))</f>
        <v/>
      </c>
      <c r="F41">
        <f>IF(A41="","",C41+D41-E41)</f>
        <v/>
      </c>
      <c r="G41" s="18">
        <f>IF(A41="","",F41*N(Items!F41))</f>
        <v/>
      </c>
      <c r="H41">
        <f>IF(A41="","",IF(F41&lt;=0,"OUT OF STOCK",IF(F41&lt;=N(Items!H41),"REORDER","OK")))</f>
        <v/>
      </c>
      <c r="I41" s="18">
        <f>IF(A41="","",SUMIF('Stock Out'!$B$5:$B$3004,A41,'Stock Out'!$F$5:$F$3004))</f>
        <v/>
      </c>
    </row>
    <row r="42">
      <c r="A42">
        <f>IF(Items!A42="","",Items!A42)</f>
        <v/>
      </c>
      <c r="B42">
        <f>IF(A42="","",Items!B42)</f>
        <v/>
      </c>
      <c r="C42">
        <f>IF(A42="","",N(Items!E42))</f>
        <v/>
      </c>
      <c r="D42">
        <f>IF(A42="","",SUMIF('Stock In'!$B$5:$B$3004,A42,'Stock In'!$D$5:$D$3004))</f>
        <v/>
      </c>
      <c r="E42">
        <f>IF(A42="","",SUMIF('Stock Out'!$B$5:$B$3004,A42,'Stock Out'!$D$5:$D$3004))</f>
        <v/>
      </c>
      <c r="F42">
        <f>IF(A42="","",C42+D42-E42)</f>
        <v/>
      </c>
      <c r="G42" s="18">
        <f>IF(A42="","",F42*N(Items!F42))</f>
        <v/>
      </c>
      <c r="H42">
        <f>IF(A42="","",IF(F42&lt;=0,"OUT OF STOCK",IF(F42&lt;=N(Items!H42),"REORDER","OK")))</f>
        <v/>
      </c>
      <c r="I42" s="18">
        <f>IF(A42="","",SUMIF('Stock Out'!$B$5:$B$3004,A42,'Stock Out'!$F$5:$F$3004))</f>
        <v/>
      </c>
    </row>
    <row r="43">
      <c r="A43">
        <f>IF(Items!A43="","",Items!A43)</f>
        <v/>
      </c>
      <c r="B43">
        <f>IF(A43="","",Items!B43)</f>
        <v/>
      </c>
      <c r="C43">
        <f>IF(A43="","",N(Items!E43))</f>
        <v/>
      </c>
      <c r="D43">
        <f>IF(A43="","",SUMIF('Stock In'!$B$5:$B$3004,A43,'Stock In'!$D$5:$D$3004))</f>
        <v/>
      </c>
      <c r="E43">
        <f>IF(A43="","",SUMIF('Stock Out'!$B$5:$B$3004,A43,'Stock Out'!$D$5:$D$3004))</f>
        <v/>
      </c>
      <c r="F43">
        <f>IF(A43="","",C43+D43-E43)</f>
        <v/>
      </c>
      <c r="G43" s="18">
        <f>IF(A43="","",F43*N(Items!F43))</f>
        <v/>
      </c>
      <c r="H43">
        <f>IF(A43="","",IF(F43&lt;=0,"OUT OF STOCK",IF(F43&lt;=N(Items!H43),"REORDER","OK")))</f>
        <v/>
      </c>
      <c r="I43" s="18">
        <f>IF(A43="","",SUMIF('Stock Out'!$B$5:$B$3004,A43,'Stock Out'!$F$5:$F$3004))</f>
        <v/>
      </c>
    </row>
    <row r="44">
      <c r="A44">
        <f>IF(Items!A44="","",Items!A44)</f>
        <v/>
      </c>
      <c r="B44">
        <f>IF(A44="","",Items!B44)</f>
        <v/>
      </c>
      <c r="C44">
        <f>IF(A44="","",N(Items!E44))</f>
        <v/>
      </c>
      <c r="D44">
        <f>IF(A44="","",SUMIF('Stock In'!$B$5:$B$3004,A44,'Stock In'!$D$5:$D$3004))</f>
        <v/>
      </c>
      <c r="E44">
        <f>IF(A44="","",SUMIF('Stock Out'!$B$5:$B$3004,A44,'Stock Out'!$D$5:$D$3004))</f>
        <v/>
      </c>
      <c r="F44">
        <f>IF(A44="","",C44+D44-E44)</f>
        <v/>
      </c>
      <c r="G44" s="18">
        <f>IF(A44="","",F44*N(Items!F44))</f>
        <v/>
      </c>
      <c r="H44">
        <f>IF(A44="","",IF(F44&lt;=0,"OUT OF STOCK",IF(F44&lt;=N(Items!H44),"REORDER","OK")))</f>
        <v/>
      </c>
      <c r="I44" s="18">
        <f>IF(A44="","",SUMIF('Stock Out'!$B$5:$B$3004,A44,'Stock Out'!$F$5:$F$3004))</f>
        <v/>
      </c>
    </row>
    <row r="45">
      <c r="A45">
        <f>IF(Items!A45="","",Items!A45)</f>
        <v/>
      </c>
      <c r="B45">
        <f>IF(A45="","",Items!B45)</f>
        <v/>
      </c>
      <c r="C45">
        <f>IF(A45="","",N(Items!E45))</f>
        <v/>
      </c>
      <c r="D45">
        <f>IF(A45="","",SUMIF('Stock In'!$B$5:$B$3004,A45,'Stock In'!$D$5:$D$3004))</f>
        <v/>
      </c>
      <c r="E45">
        <f>IF(A45="","",SUMIF('Stock Out'!$B$5:$B$3004,A45,'Stock Out'!$D$5:$D$3004))</f>
        <v/>
      </c>
      <c r="F45">
        <f>IF(A45="","",C45+D45-E45)</f>
        <v/>
      </c>
      <c r="G45" s="18">
        <f>IF(A45="","",F45*N(Items!F45))</f>
        <v/>
      </c>
      <c r="H45">
        <f>IF(A45="","",IF(F45&lt;=0,"OUT OF STOCK",IF(F45&lt;=N(Items!H45),"REORDER","OK")))</f>
        <v/>
      </c>
      <c r="I45" s="18">
        <f>IF(A45="","",SUMIF('Stock Out'!$B$5:$B$3004,A45,'Stock Out'!$F$5:$F$3004))</f>
        <v/>
      </c>
    </row>
    <row r="46">
      <c r="A46">
        <f>IF(Items!A46="","",Items!A46)</f>
        <v/>
      </c>
      <c r="B46">
        <f>IF(A46="","",Items!B46)</f>
        <v/>
      </c>
      <c r="C46">
        <f>IF(A46="","",N(Items!E46))</f>
        <v/>
      </c>
      <c r="D46">
        <f>IF(A46="","",SUMIF('Stock In'!$B$5:$B$3004,A46,'Stock In'!$D$5:$D$3004))</f>
        <v/>
      </c>
      <c r="E46">
        <f>IF(A46="","",SUMIF('Stock Out'!$B$5:$B$3004,A46,'Stock Out'!$D$5:$D$3004))</f>
        <v/>
      </c>
      <c r="F46">
        <f>IF(A46="","",C46+D46-E46)</f>
        <v/>
      </c>
      <c r="G46" s="18">
        <f>IF(A46="","",F46*N(Items!F46))</f>
        <v/>
      </c>
      <c r="H46">
        <f>IF(A46="","",IF(F46&lt;=0,"OUT OF STOCK",IF(F46&lt;=N(Items!H46),"REORDER","OK")))</f>
        <v/>
      </c>
      <c r="I46" s="18">
        <f>IF(A46="","",SUMIF('Stock Out'!$B$5:$B$3004,A46,'Stock Out'!$F$5:$F$3004))</f>
        <v/>
      </c>
    </row>
    <row r="47">
      <c r="A47">
        <f>IF(Items!A47="","",Items!A47)</f>
        <v/>
      </c>
      <c r="B47">
        <f>IF(A47="","",Items!B47)</f>
        <v/>
      </c>
      <c r="C47">
        <f>IF(A47="","",N(Items!E47))</f>
        <v/>
      </c>
      <c r="D47">
        <f>IF(A47="","",SUMIF('Stock In'!$B$5:$B$3004,A47,'Stock In'!$D$5:$D$3004))</f>
        <v/>
      </c>
      <c r="E47">
        <f>IF(A47="","",SUMIF('Stock Out'!$B$5:$B$3004,A47,'Stock Out'!$D$5:$D$3004))</f>
        <v/>
      </c>
      <c r="F47">
        <f>IF(A47="","",C47+D47-E47)</f>
        <v/>
      </c>
      <c r="G47" s="18">
        <f>IF(A47="","",F47*N(Items!F47))</f>
        <v/>
      </c>
      <c r="H47">
        <f>IF(A47="","",IF(F47&lt;=0,"OUT OF STOCK",IF(F47&lt;=N(Items!H47),"REORDER","OK")))</f>
        <v/>
      </c>
      <c r="I47" s="18">
        <f>IF(A47="","",SUMIF('Stock Out'!$B$5:$B$3004,A47,'Stock Out'!$F$5:$F$3004))</f>
        <v/>
      </c>
    </row>
    <row r="48">
      <c r="A48">
        <f>IF(Items!A48="","",Items!A48)</f>
        <v/>
      </c>
      <c r="B48">
        <f>IF(A48="","",Items!B48)</f>
        <v/>
      </c>
      <c r="C48">
        <f>IF(A48="","",N(Items!E48))</f>
        <v/>
      </c>
      <c r="D48">
        <f>IF(A48="","",SUMIF('Stock In'!$B$5:$B$3004,A48,'Stock In'!$D$5:$D$3004))</f>
        <v/>
      </c>
      <c r="E48">
        <f>IF(A48="","",SUMIF('Stock Out'!$B$5:$B$3004,A48,'Stock Out'!$D$5:$D$3004))</f>
        <v/>
      </c>
      <c r="F48">
        <f>IF(A48="","",C48+D48-E48)</f>
        <v/>
      </c>
      <c r="G48" s="18">
        <f>IF(A48="","",F48*N(Items!F48))</f>
        <v/>
      </c>
      <c r="H48">
        <f>IF(A48="","",IF(F48&lt;=0,"OUT OF STOCK",IF(F48&lt;=N(Items!H48),"REORDER","OK")))</f>
        <v/>
      </c>
      <c r="I48" s="18">
        <f>IF(A48="","",SUMIF('Stock Out'!$B$5:$B$3004,A48,'Stock Out'!$F$5:$F$3004))</f>
        <v/>
      </c>
    </row>
    <row r="49">
      <c r="A49">
        <f>IF(Items!A49="","",Items!A49)</f>
        <v/>
      </c>
      <c r="B49">
        <f>IF(A49="","",Items!B49)</f>
        <v/>
      </c>
      <c r="C49">
        <f>IF(A49="","",N(Items!E49))</f>
        <v/>
      </c>
      <c r="D49">
        <f>IF(A49="","",SUMIF('Stock In'!$B$5:$B$3004,A49,'Stock In'!$D$5:$D$3004))</f>
        <v/>
      </c>
      <c r="E49">
        <f>IF(A49="","",SUMIF('Stock Out'!$B$5:$B$3004,A49,'Stock Out'!$D$5:$D$3004))</f>
        <v/>
      </c>
      <c r="F49">
        <f>IF(A49="","",C49+D49-E49)</f>
        <v/>
      </c>
      <c r="G49" s="18">
        <f>IF(A49="","",F49*N(Items!F49))</f>
        <v/>
      </c>
      <c r="H49">
        <f>IF(A49="","",IF(F49&lt;=0,"OUT OF STOCK",IF(F49&lt;=N(Items!H49),"REORDER","OK")))</f>
        <v/>
      </c>
      <c r="I49" s="18">
        <f>IF(A49="","",SUMIF('Stock Out'!$B$5:$B$3004,A49,'Stock Out'!$F$5:$F$3004))</f>
        <v/>
      </c>
    </row>
    <row r="50">
      <c r="A50">
        <f>IF(Items!A50="","",Items!A50)</f>
        <v/>
      </c>
      <c r="B50">
        <f>IF(A50="","",Items!B50)</f>
        <v/>
      </c>
      <c r="C50">
        <f>IF(A50="","",N(Items!E50))</f>
        <v/>
      </c>
      <c r="D50">
        <f>IF(A50="","",SUMIF('Stock In'!$B$5:$B$3004,A50,'Stock In'!$D$5:$D$3004))</f>
        <v/>
      </c>
      <c r="E50">
        <f>IF(A50="","",SUMIF('Stock Out'!$B$5:$B$3004,A50,'Stock Out'!$D$5:$D$3004))</f>
        <v/>
      </c>
      <c r="F50">
        <f>IF(A50="","",C50+D50-E50)</f>
        <v/>
      </c>
      <c r="G50" s="18">
        <f>IF(A50="","",F50*N(Items!F50))</f>
        <v/>
      </c>
      <c r="H50">
        <f>IF(A50="","",IF(F50&lt;=0,"OUT OF STOCK",IF(F50&lt;=N(Items!H50),"REORDER","OK")))</f>
        <v/>
      </c>
      <c r="I50" s="18">
        <f>IF(A50="","",SUMIF('Stock Out'!$B$5:$B$3004,A50,'Stock Out'!$F$5:$F$3004))</f>
        <v/>
      </c>
    </row>
    <row r="51">
      <c r="A51">
        <f>IF(Items!A51="","",Items!A51)</f>
        <v/>
      </c>
      <c r="B51">
        <f>IF(A51="","",Items!B51)</f>
        <v/>
      </c>
      <c r="C51">
        <f>IF(A51="","",N(Items!E51))</f>
        <v/>
      </c>
      <c r="D51">
        <f>IF(A51="","",SUMIF('Stock In'!$B$5:$B$3004,A51,'Stock In'!$D$5:$D$3004))</f>
        <v/>
      </c>
      <c r="E51">
        <f>IF(A51="","",SUMIF('Stock Out'!$B$5:$B$3004,A51,'Stock Out'!$D$5:$D$3004))</f>
        <v/>
      </c>
      <c r="F51">
        <f>IF(A51="","",C51+D51-E51)</f>
        <v/>
      </c>
      <c r="G51" s="18">
        <f>IF(A51="","",F51*N(Items!F51))</f>
        <v/>
      </c>
      <c r="H51">
        <f>IF(A51="","",IF(F51&lt;=0,"OUT OF STOCK",IF(F51&lt;=N(Items!H51),"REORDER","OK")))</f>
        <v/>
      </c>
      <c r="I51" s="18">
        <f>IF(A51="","",SUMIF('Stock Out'!$B$5:$B$3004,A51,'Stock Out'!$F$5:$F$3004))</f>
        <v/>
      </c>
    </row>
    <row r="52">
      <c r="A52">
        <f>IF(Items!A52="","",Items!A52)</f>
        <v/>
      </c>
      <c r="B52">
        <f>IF(A52="","",Items!B52)</f>
        <v/>
      </c>
      <c r="C52">
        <f>IF(A52="","",N(Items!E52))</f>
        <v/>
      </c>
      <c r="D52">
        <f>IF(A52="","",SUMIF('Stock In'!$B$5:$B$3004,A52,'Stock In'!$D$5:$D$3004))</f>
        <v/>
      </c>
      <c r="E52">
        <f>IF(A52="","",SUMIF('Stock Out'!$B$5:$B$3004,A52,'Stock Out'!$D$5:$D$3004))</f>
        <v/>
      </c>
      <c r="F52">
        <f>IF(A52="","",C52+D52-E52)</f>
        <v/>
      </c>
      <c r="G52" s="18">
        <f>IF(A52="","",F52*N(Items!F52))</f>
        <v/>
      </c>
      <c r="H52">
        <f>IF(A52="","",IF(F52&lt;=0,"OUT OF STOCK",IF(F52&lt;=N(Items!H52),"REORDER","OK")))</f>
        <v/>
      </c>
      <c r="I52" s="18">
        <f>IF(A52="","",SUMIF('Stock Out'!$B$5:$B$3004,A52,'Stock Out'!$F$5:$F$3004))</f>
        <v/>
      </c>
    </row>
    <row r="53">
      <c r="A53">
        <f>IF(Items!A53="","",Items!A53)</f>
        <v/>
      </c>
      <c r="B53">
        <f>IF(A53="","",Items!B53)</f>
        <v/>
      </c>
      <c r="C53">
        <f>IF(A53="","",N(Items!E53))</f>
        <v/>
      </c>
      <c r="D53">
        <f>IF(A53="","",SUMIF('Stock In'!$B$5:$B$3004,A53,'Stock In'!$D$5:$D$3004))</f>
        <v/>
      </c>
      <c r="E53">
        <f>IF(A53="","",SUMIF('Stock Out'!$B$5:$B$3004,A53,'Stock Out'!$D$5:$D$3004))</f>
        <v/>
      </c>
      <c r="F53">
        <f>IF(A53="","",C53+D53-E53)</f>
        <v/>
      </c>
      <c r="G53" s="18">
        <f>IF(A53="","",F53*N(Items!F53))</f>
        <v/>
      </c>
      <c r="H53">
        <f>IF(A53="","",IF(F53&lt;=0,"OUT OF STOCK",IF(F53&lt;=N(Items!H53),"REORDER","OK")))</f>
        <v/>
      </c>
      <c r="I53" s="18">
        <f>IF(A53="","",SUMIF('Stock Out'!$B$5:$B$3004,A53,'Stock Out'!$F$5:$F$3004))</f>
        <v/>
      </c>
    </row>
    <row r="54">
      <c r="A54">
        <f>IF(Items!A54="","",Items!A54)</f>
        <v/>
      </c>
      <c r="B54">
        <f>IF(A54="","",Items!B54)</f>
        <v/>
      </c>
      <c r="C54">
        <f>IF(A54="","",N(Items!E54))</f>
        <v/>
      </c>
      <c r="D54">
        <f>IF(A54="","",SUMIF('Stock In'!$B$5:$B$3004,A54,'Stock In'!$D$5:$D$3004))</f>
        <v/>
      </c>
      <c r="E54">
        <f>IF(A54="","",SUMIF('Stock Out'!$B$5:$B$3004,A54,'Stock Out'!$D$5:$D$3004))</f>
        <v/>
      </c>
      <c r="F54">
        <f>IF(A54="","",C54+D54-E54)</f>
        <v/>
      </c>
      <c r="G54" s="18">
        <f>IF(A54="","",F54*N(Items!F54))</f>
        <v/>
      </c>
      <c r="H54">
        <f>IF(A54="","",IF(F54&lt;=0,"OUT OF STOCK",IF(F54&lt;=N(Items!H54),"REORDER","OK")))</f>
        <v/>
      </c>
      <c r="I54" s="18">
        <f>IF(A54="","",SUMIF('Stock Out'!$B$5:$B$3004,A54,'Stock Out'!$F$5:$F$3004))</f>
        <v/>
      </c>
    </row>
    <row r="55">
      <c r="A55">
        <f>IF(Items!A55="","",Items!A55)</f>
        <v/>
      </c>
      <c r="B55">
        <f>IF(A55="","",Items!B55)</f>
        <v/>
      </c>
      <c r="C55">
        <f>IF(A55="","",N(Items!E55))</f>
        <v/>
      </c>
      <c r="D55">
        <f>IF(A55="","",SUMIF('Stock In'!$B$5:$B$3004,A55,'Stock In'!$D$5:$D$3004))</f>
        <v/>
      </c>
      <c r="E55">
        <f>IF(A55="","",SUMIF('Stock Out'!$B$5:$B$3004,A55,'Stock Out'!$D$5:$D$3004))</f>
        <v/>
      </c>
      <c r="F55">
        <f>IF(A55="","",C55+D55-E55)</f>
        <v/>
      </c>
      <c r="G55" s="18">
        <f>IF(A55="","",F55*N(Items!F55))</f>
        <v/>
      </c>
      <c r="H55">
        <f>IF(A55="","",IF(F55&lt;=0,"OUT OF STOCK",IF(F55&lt;=N(Items!H55),"REORDER","OK")))</f>
        <v/>
      </c>
      <c r="I55" s="18">
        <f>IF(A55="","",SUMIF('Stock Out'!$B$5:$B$3004,A55,'Stock Out'!$F$5:$F$3004))</f>
        <v/>
      </c>
    </row>
    <row r="56">
      <c r="A56">
        <f>IF(Items!A56="","",Items!A56)</f>
        <v/>
      </c>
      <c r="B56">
        <f>IF(A56="","",Items!B56)</f>
        <v/>
      </c>
      <c r="C56">
        <f>IF(A56="","",N(Items!E56))</f>
        <v/>
      </c>
      <c r="D56">
        <f>IF(A56="","",SUMIF('Stock In'!$B$5:$B$3004,A56,'Stock In'!$D$5:$D$3004))</f>
        <v/>
      </c>
      <c r="E56">
        <f>IF(A56="","",SUMIF('Stock Out'!$B$5:$B$3004,A56,'Stock Out'!$D$5:$D$3004))</f>
        <v/>
      </c>
      <c r="F56">
        <f>IF(A56="","",C56+D56-E56)</f>
        <v/>
      </c>
      <c r="G56" s="18">
        <f>IF(A56="","",F56*N(Items!F56))</f>
        <v/>
      </c>
      <c r="H56">
        <f>IF(A56="","",IF(F56&lt;=0,"OUT OF STOCK",IF(F56&lt;=N(Items!H56),"REORDER","OK")))</f>
        <v/>
      </c>
      <c r="I56" s="18">
        <f>IF(A56="","",SUMIF('Stock Out'!$B$5:$B$3004,A56,'Stock Out'!$F$5:$F$3004))</f>
        <v/>
      </c>
    </row>
    <row r="57">
      <c r="A57">
        <f>IF(Items!A57="","",Items!A57)</f>
        <v/>
      </c>
      <c r="B57">
        <f>IF(A57="","",Items!B57)</f>
        <v/>
      </c>
      <c r="C57">
        <f>IF(A57="","",N(Items!E57))</f>
        <v/>
      </c>
      <c r="D57">
        <f>IF(A57="","",SUMIF('Stock In'!$B$5:$B$3004,A57,'Stock In'!$D$5:$D$3004))</f>
        <v/>
      </c>
      <c r="E57">
        <f>IF(A57="","",SUMIF('Stock Out'!$B$5:$B$3004,A57,'Stock Out'!$D$5:$D$3004))</f>
        <v/>
      </c>
      <c r="F57">
        <f>IF(A57="","",C57+D57-E57)</f>
        <v/>
      </c>
      <c r="G57" s="18">
        <f>IF(A57="","",F57*N(Items!F57))</f>
        <v/>
      </c>
      <c r="H57">
        <f>IF(A57="","",IF(F57&lt;=0,"OUT OF STOCK",IF(F57&lt;=N(Items!H57),"REORDER","OK")))</f>
        <v/>
      </c>
      <c r="I57" s="18">
        <f>IF(A57="","",SUMIF('Stock Out'!$B$5:$B$3004,A57,'Stock Out'!$F$5:$F$3004))</f>
        <v/>
      </c>
    </row>
    <row r="58">
      <c r="A58">
        <f>IF(Items!A58="","",Items!A58)</f>
        <v/>
      </c>
      <c r="B58">
        <f>IF(A58="","",Items!B58)</f>
        <v/>
      </c>
      <c r="C58">
        <f>IF(A58="","",N(Items!E58))</f>
        <v/>
      </c>
      <c r="D58">
        <f>IF(A58="","",SUMIF('Stock In'!$B$5:$B$3004,A58,'Stock In'!$D$5:$D$3004))</f>
        <v/>
      </c>
      <c r="E58">
        <f>IF(A58="","",SUMIF('Stock Out'!$B$5:$B$3004,A58,'Stock Out'!$D$5:$D$3004))</f>
        <v/>
      </c>
      <c r="F58">
        <f>IF(A58="","",C58+D58-E58)</f>
        <v/>
      </c>
      <c r="G58" s="18">
        <f>IF(A58="","",F58*N(Items!F58))</f>
        <v/>
      </c>
      <c r="H58">
        <f>IF(A58="","",IF(F58&lt;=0,"OUT OF STOCK",IF(F58&lt;=N(Items!H58),"REORDER","OK")))</f>
        <v/>
      </c>
      <c r="I58" s="18">
        <f>IF(A58="","",SUMIF('Stock Out'!$B$5:$B$3004,A58,'Stock Out'!$F$5:$F$3004))</f>
        <v/>
      </c>
    </row>
    <row r="59">
      <c r="A59">
        <f>IF(Items!A59="","",Items!A59)</f>
        <v/>
      </c>
      <c r="B59">
        <f>IF(A59="","",Items!B59)</f>
        <v/>
      </c>
      <c r="C59">
        <f>IF(A59="","",N(Items!E59))</f>
        <v/>
      </c>
      <c r="D59">
        <f>IF(A59="","",SUMIF('Stock In'!$B$5:$B$3004,A59,'Stock In'!$D$5:$D$3004))</f>
        <v/>
      </c>
      <c r="E59">
        <f>IF(A59="","",SUMIF('Stock Out'!$B$5:$B$3004,A59,'Stock Out'!$D$5:$D$3004))</f>
        <v/>
      </c>
      <c r="F59">
        <f>IF(A59="","",C59+D59-E59)</f>
        <v/>
      </c>
      <c r="G59" s="18">
        <f>IF(A59="","",F59*N(Items!F59))</f>
        <v/>
      </c>
      <c r="H59">
        <f>IF(A59="","",IF(F59&lt;=0,"OUT OF STOCK",IF(F59&lt;=N(Items!H59),"REORDER","OK")))</f>
        <v/>
      </c>
      <c r="I59" s="18">
        <f>IF(A59="","",SUMIF('Stock Out'!$B$5:$B$3004,A59,'Stock Out'!$F$5:$F$3004))</f>
        <v/>
      </c>
    </row>
    <row r="60">
      <c r="A60">
        <f>IF(Items!A60="","",Items!A60)</f>
        <v/>
      </c>
      <c r="B60">
        <f>IF(A60="","",Items!B60)</f>
        <v/>
      </c>
      <c r="C60">
        <f>IF(A60="","",N(Items!E60))</f>
        <v/>
      </c>
      <c r="D60">
        <f>IF(A60="","",SUMIF('Stock In'!$B$5:$B$3004,A60,'Stock In'!$D$5:$D$3004))</f>
        <v/>
      </c>
      <c r="E60">
        <f>IF(A60="","",SUMIF('Stock Out'!$B$5:$B$3004,A60,'Stock Out'!$D$5:$D$3004))</f>
        <v/>
      </c>
      <c r="F60">
        <f>IF(A60="","",C60+D60-E60)</f>
        <v/>
      </c>
      <c r="G60" s="18">
        <f>IF(A60="","",F60*N(Items!F60))</f>
        <v/>
      </c>
      <c r="H60">
        <f>IF(A60="","",IF(F60&lt;=0,"OUT OF STOCK",IF(F60&lt;=N(Items!H60),"REORDER","OK")))</f>
        <v/>
      </c>
      <c r="I60" s="18">
        <f>IF(A60="","",SUMIF('Stock Out'!$B$5:$B$3004,A60,'Stock Out'!$F$5:$F$3004))</f>
        <v/>
      </c>
    </row>
    <row r="61">
      <c r="A61">
        <f>IF(Items!A61="","",Items!A61)</f>
        <v/>
      </c>
      <c r="B61">
        <f>IF(A61="","",Items!B61)</f>
        <v/>
      </c>
      <c r="C61">
        <f>IF(A61="","",N(Items!E61))</f>
        <v/>
      </c>
      <c r="D61">
        <f>IF(A61="","",SUMIF('Stock In'!$B$5:$B$3004,A61,'Stock In'!$D$5:$D$3004))</f>
        <v/>
      </c>
      <c r="E61">
        <f>IF(A61="","",SUMIF('Stock Out'!$B$5:$B$3004,A61,'Stock Out'!$D$5:$D$3004))</f>
        <v/>
      </c>
      <c r="F61">
        <f>IF(A61="","",C61+D61-E61)</f>
        <v/>
      </c>
      <c r="G61" s="18">
        <f>IF(A61="","",F61*N(Items!F61))</f>
        <v/>
      </c>
      <c r="H61">
        <f>IF(A61="","",IF(F61&lt;=0,"OUT OF STOCK",IF(F61&lt;=N(Items!H61),"REORDER","OK")))</f>
        <v/>
      </c>
      <c r="I61" s="18">
        <f>IF(A61="","",SUMIF('Stock Out'!$B$5:$B$3004,A61,'Stock Out'!$F$5:$F$3004))</f>
        <v/>
      </c>
    </row>
    <row r="62">
      <c r="A62">
        <f>IF(Items!A62="","",Items!A62)</f>
        <v/>
      </c>
      <c r="B62">
        <f>IF(A62="","",Items!B62)</f>
        <v/>
      </c>
      <c r="C62">
        <f>IF(A62="","",N(Items!E62))</f>
        <v/>
      </c>
      <c r="D62">
        <f>IF(A62="","",SUMIF('Stock In'!$B$5:$B$3004,A62,'Stock In'!$D$5:$D$3004))</f>
        <v/>
      </c>
      <c r="E62">
        <f>IF(A62="","",SUMIF('Stock Out'!$B$5:$B$3004,A62,'Stock Out'!$D$5:$D$3004))</f>
        <v/>
      </c>
      <c r="F62">
        <f>IF(A62="","",C62+D62-E62)</f>
        <v/>
      </c>
      <c r="G62" s="18">
        <f>IF(A62="","",F62*N(Items!F62))</f>
        <v/>
      </c>
      <c r="H62">
        <f>IF(A62="","",IF(F62&lt;=0,"OUT OF STOCK",IF(F62&lt;=N(Items!H62),"REORDER","OK")))</f>
        <v/>
      </c>
      <c r="I62" s="18">
        <f>IF(A62="","",SUMIF('Stock Out'!$B$5:$B$3004,A62,'Stock Out'!$F$5:$F$3004))</f>
        <v/>
      </c>
    </row>
    <row r="63">
      <c r="A63">
        <f>IF(Items!A63="","",Items!A63)</f>
        <v/>
      </c>
      <c r="B63">
        <f>IF(A63="","",Items!B63)</f>
        <v/>
      </c>
      <c r="C63">
        <f>IF(A63="","",N(Items!E63))</f>
        <v/>
      </c>
      <c r="D63">
        <f>IF(A63="","",SUMIF('Stock In'!$B$5:$B$3004,A63,'Stock In'!$D$5:$D$3004))</f>
        <v/>
      </c>
      <c r="E63">
        <f>IF(A63="","",SUMIF('Stock Out'!$B$5:$B$3004,A63,'Stock Out'!$D$5:$D$3004))</f>
        <v/>
      </c>
      <c r="F63">
        <f>IF(A63="","",C63+D63-E63)</f>
        <v/>
      </c>
      <c r="G63" s="18">
        <f>IF(A63="","",F63*N(Items!F63))</f>
        <v/>
      </c>
      <c r="H63">
        <f>IF(A63="","",IF(F63&lt;=0,"OUT OF STOCK",IF(F63&lt;=N(Items!H63),"REORDER","OK")))</f>
        <v/>
      </c>
      <c r="I63" s="18">
        <f>IF(A63="","",SUMIF('Stock Out'!$B$5:$B$3004,A63,'Stock Out'!$F$5:$F$3004))</f>
        <v/>
      </c>
    </row>
    <row r="64">
      <c r="A64">
        <f>IF(Items!A64="","",Items!A64)</f>
        <v/>
      </c>
      <c r="B64">
        <f>IF(A64="","",Items!B64)</f>
        <v/>
      </c>
      <c r="C64">
        <f>IF(A64="","",N(Items!E64))</f>
        <v/>
      </c>
      <c r="D64">
        <f>IF(A64="","",SUMIF('Stock In'!$B$5:$B$3004,A64,'Stock In'!$D$5:$D$3004))</f>
        <v/>
      </c>
      <c r="E64">
        <f>IF(A64="","",SUMIF('Stock Out'!$B$5:$B$3004,A64,'Stock Out'!$D$5:$D$3004))</f>
        <v/>
      </c>
      <c r="F64">
        <f>IF(A64="","",C64+D64-E64)</f>
        <v/>
      </c>
      <c r="G64" s="18">
        <f>IF(A64="","",F64*N(Items!F64))</f>
        <v/>
      </c>
      <c r="H64">
        <f>IF(A64="","",IF(F64&lt;=0,"OUT OF STOCK",IF(F64&lt;=N(Items!H64),"REORDER","OK")))</f>
        <v/>
      </c>
      <c r="I64" s="18">
        <f>IF(A64="","",SUMIF('Stock Out'!$B$5:$B$3004,A64,'Stock Out'!$F$5:$F$3004))</f>
        <v/>
      </c>
    </row>
    <row r="65">
      <c r="A65">
        <f>IF(Items!A65="","",Items!A65)</f>
        <v/>
      </c>
      <c r="B65">
        <f>IF(A65="","",Items!B65)</f>
        <v/>
      </c>
      <c r="C65">
        <f>IF(A65="","",N(Items!E65))</f>
        <v/>
      </c>
      <c r="D65">
        <f>IF(A65="","",SUMIF('Stock In'!$B$5:$B$3004,A65,'Stock In'!$D$5:$D$3004))</f>
        <v/>
      </c>
      <c r="E65">
        <f>IF(A65="","",SUMIF('Stock Out'!$B$5:$B$3004,A65,'Stock Out'!$D$5:$D$3004))</f>
        <v/>
      </c>
      <c r="F65">
        <f>IF(A65="","",C65+D65-E65)</f>
        <v/>
      </c>
      <c r="G65" s="18">
        <f>IF(A65="","",F65*N(Items!F65))</f>
        <v/>
      </c>
      <c r="H65">
        <f>IF(A65="","",IF(F65&lt;=0,"OUT OF STOCK",IF(F65&lt;=N(Items!H65),"REORDER","OK")))</f>
        <v/>
      </c>
      <c r="I65" s="18">
        <f>IF(A65="","",SUMIF('Stock Out'!$B$5:$B$3004,A65,'Stock Out'!$F$5:$F$3004))</f>
        <v/>
      </c>
    </row>
    <row r="66">
      <c r="A66">
        <f>IF(Items!A66="","",Items!A66)</f>
        <v/>
      </c>
      <c r="B66">
        <f>IF(A66="","",Items!B66)</f>
        <v/>
      </c>
      <c r="C66">
        <f>IF(A66="","",N(Items!E66))</f>
        <v/>
      </c>
      <c r="D66">
        <f>IF(A66="","",SUMIF('Stock In'!$B$5:$B$3004,A66,'Stock In'!$D$5:$D$3004))</f>
        <v/>
      </c>
      <c r="E66">
        <f>IF(A66="","",SUMIF('Stock Out'!$B$5:$B$3004,A66,'Stock Out'!$D$5:$D$3004))</f>
        <v/>
      </c>
      <c r="F66">
        <f>IF(A66="","",C66+D66-E66)</f>
        <v/>
      </c>
      <c r="G66" s="18">
        <f>IF(A66="","",F66*N(Items!F66))</f>
        <v/>
      </c>
      <c r="H66">
        <f>IF(A66="","",IF(F66&lt;=0,"OUT OF STOCK",IF(F66&lt;=N(Items!H66),"REORDER","OK")))</f>
        <v/>
      </c>
      <c r="I66" s="18">
        <f>IF(A66="","",SUMIF('Stock Out'!$B$5:$B$3004,A66,'Stock Out'!$F$5:$F$3004))</f>
        <v/>
      </c>
    </row>
    <row r="67">
      <c r="A67">
        <f>IF(Items!A67="","",Items!A67)</f>
        <v/>
      </c>
      <c r="B67">
        <f>IF(A67="","",Items!B67)</f>
        <v/>
      </c>
      <c r="C67">
        <f>IF(A67="","",N(Items!E67))</f>
        <v/>
      </c>
      <c r="D67">
        <f>IF(A67="","",SUMIF('Stock In'!$B$5:$B$3004,A67,'Stock In'!$D$5:$D$3004))</f>
        <v/>
      </c>
      <c r="E67">
        <f>IF(A67="","",SUMIF('Stock Out'!$B$5:$B$3004,A67,'Stock Out'!$D$5:$D$3004))</f>
        <v/>
      </c>
      <c r="F67">
        <f>IF(A67="","",C67+D67-E67)</f>
        <v/>
      </c>
      <c r="G67" s="18">
        <f>IF(A67="","",F67*N(Items!F67))</f>
        <v/>
      </c>
      <c r="H67">
        <f>IF(A67="","",IF(F67&lt;=0,"OUT OF STOCK",IF(F67&lt;=N(Items!H67),"REORDER","OK")))</f>
        <v/>
      </c>
      <c r="I67" s="18">
        <f>IF(A67="","",SUMIF('Stock Out'!$B$5:$B$3004,A67,'Stock Out'!$F$5:$F$3004))</f>
        <v/>
      </c>
    </row>
    <row r="68">
      <c r="A68">
        <f>IF(Items!A68="","",Items!A68)</f>
        <v/>
      </c>
      <c r="B68">
        <f>IF(A68="","",Items!B68)</f>
        <v/>
      </c>
      <c r="C68">
        <f>IF(A68="","",N(Items!E68))</f>
        <v/>
      </c>
      <c r="D68">
        <f>IF(A68="","",SUMIF('Stock In'!$B$5:$B$3004,A68,'Stock In'!$D$5:$D$3004))</f>
        <v/>
      </c>
      <c r="E68">
        <f>IF(A68="","",SUMIF('Stock Out'!$B$5:$B$3004,A68,'Stock Out'!$D$5:$D$3004))</f>
        <v/>
      </c>
      <c r="F68">
        <f>IF(A68="","",C68+D68-E68)</f>
        <v/>
      </c>
      <c r="G68" s="18">
        <f>IF(A68="","",F68*N(Items!F68))</f>
        <v/>
      </c>
      <c r="H68">
        <f>IF(A68="","",IF(F68&lt;=0,"OUT OF STOCK",IF(F68&lt;=N(Items!H68),"REORDER","OK")))</f>
        <v/>
      </c>
      <c r="I68" s="18">
        <f>IF(A68="","",SUMIF('Stock Out'!$B$5:$B$3004,A68,'Stock Out'!$F$5:$F$3004))</f>
        <v/>
      </c>
    </row>
    <row r="69">
      <c r="A69">
        <f>IF(Items!A69="","",Items!A69)</f>
        <v/>
      </c>
      <c r="B69">
        <f>IF(A69="","",Items!B69)</f>
        <v/>
      </c>
      <c r="C69">
        <f>IF(A69="","",N(Items!E69))</f>
        <v/>
      </c>
      <c r="D69">
        <f>IF(A69="","",SUMIF('Stock In'!$B$5:$B$3004,A69,'Stock In'!$D$5:$D$3004))</f>
        <v/>
      </c>
      <c r="E69">
        <f>IF(A69="","",SUMIF('Stock Out'!$B$5:$B$3004,A69,'Stock Out'!$D$5:$D$3004))</f>
        <v/>
      </c>
      <c r="F69">
        <f>IF(A69="","",C69+D69-E69)</f>
        <v/>
      </c>
      <c r="G69" s="18">
        <f>IF(A69="","",F69*N(Items!F69))</f>
        <v/>
      </c>
      <c r="H69">
        <f>IF(A69="","",IF(F69&lt;=0,"OUT OF STOCK",IF(F69&lt;=N(Items!H69),"REORDER","OK")))</f>
        <v/>
      </c>
      <c r="I69" s="18">
        <f>IF(A69="","",SUMIF('Stock Out'!$B$5:$B$3004,A69,'Stock Out'!$F$5:$F$3004))</f>
        <v/>
      </c>
    </row>
    <row r="70">
      <c r="A70">
        <f>IF(Items!A70="","",Items!A70)</f>
        <v/>
      </c>
      <c r="B70">
        <f>IF(A70="","",Items!B70)</f>
        <v/>
      </c>
      <c r="C70">
        <f>IF(A70="","",N(Items!E70))</f>
        <v/>
      </c>
      <c r="D70">
        <f>IF(A70="","",SUMIF('Stock In'!$B$5:$B$3004,A70,'Stock In'!$D$5:$D$3004))</f>
        <v/>
      </c>
      <c r="E70">
        <f>IF(A70="","",SUMIF('Stock Out'!$B$5:$B$3004,A70,'Stock Out'!$D$5:$D$3004))</f>
        <v/>
      </c>
      <c r="F70">
        <f>IF(A70="","",C70+D70-E70)</f>
        <v/>
      </c>
      <c r="G70" s="18">
        <f>IF(A70="","",F70*N(Items!F70))</f>
        <v/>
      </c>
      <c r="H70">
        <f>IF(A70="","",IF(F70&lt;=0,"OUT OF STOCK",IF(F70&lt;=N(Items!H70),"REORDER","OK")))</f>
        <v/>
      </c>
      <c r="I70" s="18">
        <f>IF(A70="","",SUMIF('Stock Out'!$B$5:$B$3004,A70,'Stock Out'!$F$5:$F$3004))</f>
        <v/>
      </c>
    </row>
    <row r="71">
      <c r="A71">
        <f>IF(Items!A71="","",Items!A71)</f>
        <v/>
      </c>
      <c r="B71">
        <f>IF(A71="","",Items!B71)</f>
        <v/>
      </c>
      <c r="C71">
        <f>IF(A71="","",N(Items!E71))</f>
        <v/>
      </c>
      <c r="D71">
        <f>IF(A71="","",SUMIF('Stock In'!$B$5:$B$3004,A71,'Stock In'!$D$5:$D$3004))</f>
        <v/>
      </c>
      <c r="E71">
        <f>IF(A71="","",SUMIF('Stock Out'!$B$5:$B$3004,A71,'Stock Out'!$D$5:$D$3004))</f>
        <v/>
      </c>
      <c r="F71">
        <f>IF(A71="","",C71+D71-E71)</f>
        <v/>
      </c>
      <c r="G71" s="18">
        <f>IF(A71="","",F71*N(Items!F71))</f>
        <v/>
      </c>
      <c r="H71">
        <f>IF(A71="","",IF(F71&lt;=0,"OUT OF STOCK",IF(F71&lt;=N(Items!H71),"REORDER","OK")))</f>
        <v/>
      </c>
      <c r="I71" s="18">
        <f>IF(A71="","",SUMIF('Stock Out'!$B$5:$B$3004,A71,'Stock Out'!$F$5:$F$3004))</f>
        <v/>
      </c>
    </row>
    <row r="72">
      <c r="A72">
        <f>IF(Items!A72="","",Items!A72)</f>
        <v/>
      </c>
      <c r="B72">
        <f>IF(A72="","",Items!B72)</f>
        <v/>
      </c>
      <c r="C72">
        <f>IF(A72="","",N(Items!E72))</f>
        <v/>
      </c>
      <c r="D72">
        <f>IF(A72="","",SUMIF('Stock In'!$B$5:$B$3004,A72,'Stock In'!$D$5:$D$3004))</f>
        <v/>
      </c>
      <c r="E72">
        <f>IF(A72="","",SUMIF('Stock Out'!$B$5:$B$3004,A72,'Stock Out'!$D$5:$D$3004))</f>
        <v/>
      </c>
      <c r="F72">
        <f>IF(A72="","",C72+D72-E72)</f>
        <v/>
      </c>
      <c r="G72" s="18">
        <f>IF(A72="","",F72*N(Items!F72))</f>
        <v/>
      </c>
      <c r="H72">
        <f>IF(A72="","",IF(F72&lt;=0,"OUT OF STOCK",IF(F72&lt;=N(Items!H72),"REORDER","OK")))</f>
        <v/>
      </c>
      <c r="I72" s="18">
        <f>IF(A72="","",SUMIF('Stock Out'!$B$5:$B$3004,A72,'Stock Out'!$F$5:$F$3004))</f>
        <v/>
      </c>
    </row>
    <row r="73">
      <c r="A73">
        <f>IF(Items!A73="","",Items!A73)</f>
        <v/>
      </c>
      <c r="B73">
        <f>IF(A73="","",Items!B73)</f>
        <v/>
      </c>
      <c r="C73">
        <f>IF(A73="","",N(Items!E73))</f>
        <v/>
      </c>
      <c r="D73">
        <f>IF(A73="","",SUMIF('Stock In'!$B$5:$B$3004,A73,'Stock In'!$D$5:$D$3004))</f>
        <v/>
      </c>
      <c r="E73">
        <f>IF(A73="","",SUMIF('Stock Out'!$B$5:$B$3004,A73,'Stock Out'!$D$5:$D$3004))</f>
        <v/>
      </c>
      <c r="F73">
        <f>IF(A73="","",C73+D73-E73)</f>
        <v/>
      </c>
      <c r="G73" s="18">
        <f>IF(A73="","",F73*N(Items!F73))</f>
        <v/>
      </c>
      <c r="H73">
        <f>IF(A73="","",IF(F73&lt;=0,"OUT OF STOCK",IF(F73&lt;=N(Items!H73),"REORDER","OK")))</f>
        <v/>
      </c>
      <c r="I73" s="18">
        <f>IF(A73="","",SUMIF('Stock Out'!$B$5:$B$3004,A73,'Stock Out'!$F$5:$F$3004))</f>
        <v/>
      </c>
    </row>
    <row r="74">
      <c r="A74">
        <f>IF(Items!A74="","",Items!A74)</f>
        <v/>
      </c>
      <c r="B74">
        <f>IF(A74="","",Items!B74)</f>
        <v/>
      </c>
      <c r="C74">
        <f>IF(A74="","",N(Items!E74))</f>
        <v/>
      </c>
      <c r="D74">
        <f>IF(A74="","",SUMIF('Stock In'!$B$5:$B$3004,A74,'Stock In'!$D$5:$D$3004))</f>
        <v/>
      </c>
      <c r="E74">
        <f>IF(A74="","",SUMIF('Stock Out'!$B$5:$B$3004,A74,'Stock Out'!$D$5:$D$3004))</f>
        <v/>
      </c>
      <c r="F74">
        <f>IF(A74="","",C74+D74-E74)</f>
        <v/>
      </c>
      <c r="G74" s="18">
        <f>IF(A74="","",F74*N(Items!F74))</f>
        <v/>
      </c>
      <c r="H74">
        <f>IF(A74="","",IF(F74&lt;=0,"OUT OF STOCK",IF(F74&lt;=N(Items!H74),"REORDER","OK")))</f>
        <v/>
      </c>
      <c r="I74" s="18">
        <f>IF(A74="","",SUMIF('Stock Out'!$B$5:$B$3004,A74,'Stock Out'!$F$5:$F$3004))</f>
        <v/>
      </c>
    </row>
    <row r="75">
      <c r="A75">
        <f>IF(Items!A75="","",Items!A75)</f>
        <v/>
      </c>
      <c r="B75">
        <f>IF(A75="","",Items!B75)</f>
        <v/>
      </c>
      <c r="C75">
        <f>IF(A75="","",N(Items!E75))</f>
        <v/>
      </c>
      <c r="D75">
        <f>IF(A75="","",SUMIF('Stock In'!$B$5:$B$3004,A75,'Stock In'!$D$5:$D$3004))</f>
        <v/>
      </c>
      <c r="E75">
        <f>IF(A75="","",SUMIF('Stock Out'!$B$5:$B$3004,A75,'Stock Out'!$D$5:$D$3004))</f>
        <v/>
      </c>
      <c r="F75">
        <f>IF(A75="","",C75+D75-E75)</f>
        <v/>
      </c>
      <c r="G75" s="18">
        <f>IF(A75="","",F75*N(Items!F75))</f>
        <v/>
      </c>
      <c r="H75">
        <f>IF(A75="","",IF(F75&lt;=0,"OUT OF STOCK",IF(F75&lt;=N(Items!H75),"REORDER","OK")))</f>
        <v/>
      </c>
      <c r="I75" s="18">
        <f>IF(A75="","",SUMIF('Stock Out'!$B$5:$B$3004,A75,'Stock Out'!$F$5:$F$3004))</f>
        <v/>
      </c>
    </row>
    <row r="76">
      <c r="A76">
        <f>IF(Items!A76="","",Items!A76)</f>
        <v/>
      </c>
      <c r="B76">
        <f>IF(A76="","",Items!B76)</f>
        <v/>
      </c>
      <c r="C76">
        <f>IF(A76="","",N(Items!E76))</f>
        <v/>
      </c>
      <c r="D76">
        <f>IF(A76="","",SUMIF('Stock In'!$B$5:$B$3004,A76,'Stock In'!$D$5:$D$3004))</f>
        <v/>
      </c>
      <c r="E76">
        <f>IF(A76="","",SUMIF('Stock Out'!$B$5:$B$3004,A76,'Stock Out'!$D$5:$D$3004))</f>
        <v/>
      </c>
      <c r="F76">
        <f>IF(A76="","",C76+D76-E76)</f>
        <v/>
      </c>
      <c r="G76" s="18">
        <f>IF(A76="","",F76*N(Items!F76))</f>
        <v/>
      </c>
      <c r="H76">
        <f>IF(A76="","",IF(F76&lt;=0,"OUT OF STOCK",IF(F76&lt;=N(Items!H76),"REORDER","OK")))</f>
        <v/>
      </c>
      <c r="I76" s="18">
        <f>IF(A76="","",SUMIF('Stock Out'!$B$5:$B$3004,A76,'Stock Out'!$F$5:$F$3004))</f>
        <v/>
      </c>
    </row>
    <row r="77">
      <c r="A77">
        <f>IF(Items!A77="","",Items!A77)</f>
        <v/>
      </c>
      <c r="B77">
        <f>IF(A77="","",Items!B77)</f>
        <v/>
      </c>
      <c r="C77">
        <f>IF(A77="","",N(Items!E77))</f>
        <v/>
      </c>
      <c r="D77">
        <f>IF(A77="","",SUMIF('Stock In'!$B$5:$B$3004,A77,'Stock In'!$D$5:$D$3004))</f>
        <v/>
      </c>
      <c r="E77">
        <f>IF(A77="","",SUMIF('Stock Out'!$B$5:$B$3004,A77,'Stock Out'!$D$5:$D$3004))</f>
        <v/>
      </c>
      <c r="F77">
        <f>IF(A77="","",C77+D77-E77)</f>
        <v/>
      </c>
      <c r="G77" s="18">
        <f>IF(A77="","",F77*N(Items!F77))</f>
        <v/>
      </c>
      <c r="H77">
        <f>IF(A77="","",IF(F77&lt;=0,"OUT OF STOCK",IF(F77&lt;=N(Items!H77),"REORDER","OK")))</f>
        <v/>
      </c>
      <c r="I77" s="18">
        <f>IF(A77="","",SUMIF('Stock Out'!$B$5:$B$3004,A77,'Stock Out'!$F$5:$F$3004))</f>
        <v/>
      </c>
    </row>
    <row r="78">
      <c r="A78">
        <f>IF(Items!A78="","",Items!A78)</f>
        <v/>
      </c>
      <c r="B78">
        <f>IF(A78="","",Items!B78)</f>
        <v/>
      </c>
      <c r="C78">
        <f>IF(A78="","",N(Items!E78))</f>
        <v/>
      </c>
      <c r="D78">
        <f>IF(A78="","",SUMIF('Stock In'!$B$5:$B$3004,A78,'Stock In'!$D$5:$D$3004))</f>
        <v/>
      </c>
      <c r="E78">
        <f>IF(A78="","",SUMIF('Stock Out'!$B$5:$B$3004,A78,'Stock Out'!$D$5:$D$3004))</f>
        <v/>
      </c>
      <c r="F78">
        <f>IF(A78="","",C78+D78-E78)</f>
        <v/>
      </c>
      <c r="G78" s="18">
        <f>IF(A78="","",F78*N(Items!F78))</f>
        <v/>
      </c>
      <c r="H78">
        <f>IF(A78="","",IF(F78&lt;=0,"OUT OF STOCK",IF(F78&lt;=N(Items!H78),"REORDER","OK")))</f>
        <v/>
      </c>
      <c r="I78" s="18">
        <f>IF(A78="","",SUMIF('Stock Out'!$B$5:$B$3004,A78,'Stock Out'!$F$5:$F$3004))</f>
        <v/>
      </c>
    </row>
    <row r="79">
      <c r="A79">
        <f>IF(Items!A79="","",Items!A79)</f>
        <v/>
      </c>
      <c r="B79">
        <f>IF(A79="","",Items!B79)</f>
        <v/>
      </c>
      <c r="C79">
        <f>IF(A79="","",N(Items!E79))</f>
        <v/>
      </c>
      <c r="D79">
        <f>IF(A79="","",SUMIF('Stock In'!$B$5:$B$3004,A79,'Stock In'!$D$5:$D$3004))</f>
        <v/>
      </c>
      <c r="E79">
        <f>IF(A79="","",SUMIF('Stock Out'!$B$5:$B$3004,A79,'Stock Out'!$D$5:$D$3004))</f>
        <v/>
      </c>
      <c r="F79">
        <f>IF(A79="","",C79+D79-E79)</f>
        <v/>
      </c>
      <c r="G79" s="18">
        <f>IF(A79="","",F79*N(Items!F79))</f>
        <v/>
      </c>
      <c r="H79">
        <f>IF(A79="","",IF(F79&lt;=0,"OUT OF STOCK",IF(F79&lt;=N(Items!H79),"REORDER","OK")))</f>
        <v/>
      </c>
      <c r="I79" s="18">
        <f>IF(A79="","",SUMIF('Stock Out'!$B$5:$B$3004,A79,'Stock Out'!$F$5:$F$3004))</f>
        <v/>
      </c>
    </row>
    <row r="80">
      <c r="A80">
        <f>IF(Items!A80="","",Items!A80)</f>
        <v/>
      </c>
      <c r="B80">
        <f>IF(A80="","",Items!B80)</f>
        <v/>
      </c>
      <c r="C80">
        <f>IF(A80="","",N(Items!E80))</f>
        <v/>
      </c>
      <c r="D80">
        <f>IF(A80="","",SUMIF('Stock In'!$B$5:$B$3004,A80,'Stock In'!$D$5:$D$3004))</f>
        <v/>
      </c>
      <c r="E80">
        <f>IF(A80="","",SUMIF('Stock Out'!$B$5:$B$3004,A80,'Stock Out'!$D$5:$D$3004))</f>
        <v/>
      </c>
      <c r="F80">
        <f>IF(A80="","",C80+D80-E80)</f>
        <v/>
      </c>
      <c r="G80" s="18">
        <f>IF(A80="","",F80*N(Items!F80))</f>
        <v/>
      </c>
      <c r="H80">
        <f>IF(A80="","",IF(F80&lt;=0,"OUT OF STOCK",IF(F80&lt;=N(Items!H80),"REORDER","OK")))</f>
        <v/>
      </c>
      <c r="I80" s="18">
        <f>IF(A80="","",SUMIF('Stock Out'!$B$5:$B$3004,A80,'Stock Out'!$F$5:$F$3004))</f>
        <v/>
      </c>
    </row>
    <row r="81">
      <c r="A81">
        <f>IF(Items!A81="","",Items!A81)</f>
        <v/>
      </c>
      <c r="B81">
        <f>IF(A81="","",Items!B81)</f>
        <v/>
      </c>
      <c r="C81">
        <f>IF(A81="","",N(Items!E81))</f>
        <v/>
      </c>
      <c r="D81">
        <f>IF(A81="","",SUMIF('Stock In'!$B$5:$B$3004,A81,'Stock In'!$D$5:$D$3004))</f>
        <v/>
      </c>
      <c r="E81">
        <f>IF(A81="","",SUMIF('Stock Out'!$B$5:$B$3004,A81,'Stock Out'!$D$5:$D$3004))</f>
        <v/>
      </c>
      <c r="F81">
        <f>IF(A81="","",C81+D81-E81)</f>
        <v/>
      </c>
      <c r="G81" s="18">
        <f>IF(A81="","",F81*N(Items!F81))</f>
        <v/>
      </c>
      <c r="H81">
        <f>IF(A81="","",IF(F81&lt;=0,"OUT OF STOCK",IF(F81&lt;=N(Items!H81),"REORDER","OK")))</f>
        <v/>
      </c>
      <c r="I81" s="18">
        <f>IF(A81="","",SUMIF('Stock Out'!$B$5:$B$3004,A81,'Stock Out'!$F$5:$F$3004))</f>
        <v/>
      </c>
    </row>
    <row r="82">
      <c r="A82">
        <f>IF(Items!A82="","",Items!A82)</f>
        <v/>
      </c>
      <c r="B82">
        <f>IF(A82="","",Items!B82)</f>
        <v/>
      </c>
      <c r="C82">
        <f>IF(A82="","",N(Items!E82))</f>
        <v/>
      </c>
      <c r="D82">
        <f>IF(A82="","",SUMIF('Stock In'!$B$5:$B$3004,A82,'Stock In'!$D$5:$D$3004))</f>
        <v/>
      </c>
      <c r="E82">
        <f>IF(A82="","",SUMIF('Stock Out'!$B$5:$B$3004,A82,'Stock Out'!$D$5:$D$3004))</f>
        <v/>
      </c>
      <c r="F82">
        <f>IF(A82="","",C82+D82-E82)</f>
        <v/>
      </c>
      <c r="G82" s="18">
        <f>IF(A82="","",F82*N(Items!F82))</f>
        <v/>
      </c>
      <c r="H82">
        <f>IF(A82="","",IF(F82&lt;=0,"OUT OF STOCK",IF(F82&lt;=N(Items!H82),"REORDER","OK")))</f>
        <v/>
      </c>
      <c r="I82" s="18">
        <f>IF(A82="","",SUMIF('Stock Out'!$B$5:$B$3004,A82,'Stock Out'!$F$5:$F$3004))</f>
        <v/>
      </c>
    </row>
    <row r="83">
      <c r="A83">
        <f>IF(Items!A83="","",Items!A83)</f>
        <v/>
      </c>
      <c r="B83">
        <f>IF(A83="","",Items!B83)</f>
        <v/>
      </c>
      <c r="C83">
        <f>IF(A83="","",N(Items!E83))</f>
        <v/>
      </c>
      <c r="D83">
        <f>IF(A83="","",SUMIF('Stock In'!$B$5:$B$3004,A83,'Stock In'!$D$5:$D$3004))</f>
        <v/>
      </c>
      <c r="E83">
        <f>IF(A83="","",SUMIF('Stock Out'!$B$5:$B$3004,A83,'Stock Out'!$D$5:$D$3004))</f>
        <v/>
      </c>
      <c r="F83">
        <f>IF(A83="","",C83+D83-E83)</f>
        <v/>
      </c>
      <c r="G83" s="18">
        <f>IF(A83="","",F83*N(Items!F83))</f>
        <v/>
      </c>
      <c r="H83">
        <f>IF(A83="","",IF(F83&lt;=0,"OUT OF STOCK",IF(F83&lt;=N(Items!H83),"REORDER","OK")))</f>
        <v/>
      </c>
      <c r="I83" s="18">
        <f>IF(A83="","",SUMIF('Stock Out'!$B$5:$B$3004,A83,'Stock Out'!$F$5:$F$3004))</f>
        <v/>
      </c>
    </row>
    <row r="84">
      <c r="A84">
        <f>IF(Items!A84="","",Items!A84)</f>
        <v/>
      </c>
      <c r="B84">
        <f>IF(A84="","",Items!B84)</f>
        <v/>
      </c>
      <c r="C84">
        <f>IF(A84="","",N(Items!E84))</f>
        <v/>
      </c>
      <c r="D84">
        <f>IF(A84="","",SUMIF('Stock In'!$B$5:$B$3004,A84,'Stock In'!$D$5:$D$3004))</f>
        <v/>
      </c>
      <c r="E84">
        <f>IF(A84="","",SUMIF('Stock Out'!$B$5:$B$3004,A84,'Stock Out'!$D$5:$D$3004))</f>
        <v/>
      </c>
      <c r="F84">
        <f>IF(A84="","",C84+D84-E84)</f>
        <v/>
      </c>
      <c r="G84" s="18">
        <f>IF(A84="","",F84*N(Items!F84))</f>
        <v/>
      </c>
      <c r="H84">
        <f>IF(A84="","",IF(F84&lt;=0,"OUT OF STOCK",IF(F84&lt;=N(Items!H84),"REORDER","OK")))</f>
        <v/>
      </c>
      <c r="I84" s="18">
        <f>IF(A84="","",SUMIF('Stock Out'!$B$5:$B$3004,A84,'Stock Out'!$F$5:$F$3004))</f>
        <v/>
      </c>
    </row>
    <row r="85">
      <c r="A85">
        <f>IF(Items!A85="","",Items!A85)</f>
        <v/>
      </c>
      <c r="B85">
        <f>IF(A85="","",Items!B85)</f>
        <v/>
      </c>
      <c r="C85">
        <f>IF(A85="","",N(Items!E85))</f>
        <v/>
      </c>
      <c r="D85">
        <f>IF(A85="","",SUMIF('Stock In'!$B$5:$B$3004,A85,'Stock In'!$D$5:$D$3004))</f>
        <v/>
      </c>
      <c r="E85">
        <f>IF(A85="","",SUMIF('Stock Out'!$B$5:$B$3004,A85,'Stock Out'!$D$5:$D$3004))</f>
        <v/>
      </c>
      <c r="F85">
        <f>IF(A85="","",C85+D85-E85)</f>
        <v/>
      </c>
      <c r="G85" s="18">
        <f>IF(A85="","",F85*N(Items!F85))</f>
        <v/>
      </c>
      <c r="H85">
        <f>IF(A85="","",IF(F85&lt;=0,"OUT OF STOCK",IF(F85&lt;=N(Items!H85),"REORDER","OK")))</f>
        <v/>
      </c>
      <c r="I85" s="18">
        <f>IF(A85="","",SUMIF('Stock Out'!$B$5:$B$3004,A85,'Stock Out'!$F$5:$F$3004))</f>
        <v/>
      </c>
    </row>
    <row r="86">
      <c r="A86">
        <f>IF(Items!A86="","",Items!A86)</f>
        <v/>
      </c>
      <c r="B86">
        <f>IF(A86="","",Items!B86)</f>
        <v/>
      </c>
      <c r="C86">
        <f>IF(A86="","",N(Items!E86))</f>
        <v/>
      </c>
      <c r="D86">
        <f>IF(A86="","",SUMIF('Stock In'!$B$5:$B$3004,A86,'Stock In'!$D$5:$D$3004))</f>
        <v/>
      </c>
      <c r="E86">
        <f>IF(A86="","",SUMIF('Stock Out'!$B$5:$B$3004,A86,'Stock Out'!$D$5:$D$3004))</f>
        <v/>
      </c>
      <c r="F86">
        <f>IF(A86="","",C86+D86-E86)</f>
        <v/>
      </c>
      <c r="G86" s="18">
        <f>IF(A86="","",F86*N(Items!F86))</f>
        <v/>
      </c>
      <c r="H86">
        <f>IF(A86="","",IF(F86&lt;=0,"OUT OF STOCK",IF(F86&lt;=N(Items!H86),"REORDER","OK")))</f>
        <v/>
      </c>
      <c r="I86" s="18">
        <f>IF(A86="","",SUMIF('Stock Out'!$B$5:$B$3004,A86,'Stock Out'!$F$5:$F$3004))</f>
        <v/>
      </c>
    </row>
    <row r="87">
      <c r="A87">
        <f>IF(Items!A87="","",Items!A87)</f>
        <v/>
      </c>
      <c r="B87">
        <f>IF(A87="","",Items!B87)</f>
        <v/>
      </c>
      <c r="C87">
        <f>IF(A87="","",N(Items!E87))</f>
        <v/>
      </c>
      <c r="D87">
        <f>IF(A87="","",SUMIF('Stock In'!$B$5:$B$3004,A87,'Stock In'!$D$5:$D$3004))</f>
        <v/>
      </c>
      <c r="E87">
        <f>IF(A87="","",SUMIF('Stock Out'!$B$5:$B$3004,A87,'Stock Out'!$D$5:$D$3004))</f>
        <v/>
      </c>
      <c r="F87">
        <f>IF(A87="","",C87+D87-E87)</f>
        <v/>
      </c>
      <c r="G87" s="18">
        <f>IF(A87="","",F87*N(Items!F87))</f>
        <v/>
      </c>
      <c r="H87">
        <f>IF(A87="","",IF(F87&lt;=0,"OUT OF STOCK",IF(F87&lt;=N(Items!H87),"REORDER","OK")))</f>
        <v/>
      </c>
      <c r="I87" s="18">
        <f>IF(A87="","",SUMIF('Stock Out'!$B$5:$B$3004,A87,'Stock Out'!$F$5:$F$3004))</f>
        <v/>
      </c>
    </row>
    <row r="88">
      <c r="A88">
        <f>IF(Items!A88="","",Items!A88)</f>
        <v/>
      </c>
      <c r="B88">
        <f>IF(A88="","",Items!B88)</f>
        <v/>
      </c>
      <c r="C88">
        <f>IF(A88="","",N(Items!E88))</f>
        <v/>
      </c>
      <c r="D88">
        <f>IF(A88="","",SUMIF('Stock In'!$B$5:$B$3004,A88,'Stock In'!$D$5:$D$3004))</f>
        <v/>
      </c>
      <c r="E88">
        <f>IF(A88="","",SUMIF('Stock Out'!$B$5:$B$3004,A88,'Stock Out'!$D$5:$D$3004))</f>
        <v/>
      </c>
      <c r="F88">
        <f>IF(A88="","",C88+D88-E88)</f>
        <v/>
      </c>
      <c r="G88" s="18">
        <f>IF(A88="","",F88*N(Items!F88))</f>
        <v/>
      </c>
      <c r="H88">
        <f>IF(A88="","",IF(F88&lt;=0,"OUT OF STOCK",IF(F88&lt;=N(Items!H88),"REORDER","OK")))</f>
        <v/>
      </c>
      <c r="I88" s="18">
        <f>IF(A88="","",SUMIF('Stock Out'!$B$5:$B$3004,A88,'Stock Out'!$F$5:$F$3004))</f>
        <v/>
      </c>
    </row>
    <row r="89">
      <c r="A89">
        <f>IF(Items!A89="","",Items!A89)</f>
        <v/>
      </c>
      <c r="B89">
        <f>IF(A89="","",Items!B89)</f>
        <v/>
      </c>
      <c r="C89">
        <f>IF(A89="","",N(Items!E89))</f>
        <v/>
      </c>
      <c r="D89">
        <f>IF(A89="","",SUMIF('Stock In'!$B$5:$B$3004,A89,'Stock In'!$D$5:$D$3004))</f>
        <v/>
      </c>
      <c r="E89">
        <f>IF(A89="","",SUMIF('Stock Out'!$B$5:$B$3004,A89,'Stock Out'!$D$5:$D$3004))</f>
        <v/>
      </c>
      <c r="F89">
        <f>IF(A89="","",C89+D89-E89)</f>
        <v/>
      </c>
      <c r="G89" s="18">
        <f>IF(A89="","",F89*N(Items!F89))</f>
        <v/>
      </c>
      <c r="H89">
        <f>IF(A89="","",IF(F89&lt;=0,"OUT OF STOCK",IF(F89&lt;=N(Items!H89),"REORDER","OK")))</f>
        <v/>
      </c>
      <c r="I89" s="18">
        <f>IF(A89="","",SUMIF('Stock Out'!$B$5:$B$3004,A89,'Stock Out'!$F$5:$F$3004))</f>
        <v/>
      </c>
    </row>
    <row r="90">
      <c r="A90">
        <f>IF(Items!A90="","",Items!A90)</f>
        <v/>
      </c>
      <c r="B90">
        <f>IF(A90="","",Items!B90)</f>
        <v/>
      </c>
      <c r="C90">
        <f>IF(A90="","",N(Items!E90))</f>
        <v/>
      </c>
      <c r="D90">
        <f>IF(A90="","",SUMIF('Stock In'!$B$5:$B$3004,A90,'Stock In'!$D$5:$D$3004))</f>
        <v/>
      </c>
      <c r="E90">
        <f>IF(A90="","",SUMIF('Stock Out'!$B$5:$B$3004,A90,'Stock Out'!$D$5:$D$3004))</f>
        <v/>
      </c>
      <c r="F90">
        <f>IF(A90="","",C90+D90-E90)</f>
        <v/>
      </c>
      <c r="G90" s="18">
        <f>IF(A90="","",F90*N(Items!F90))</f>
        <v/>
      </c>
      <c r="H90">
        <f>IF(A90="","",IF(F90&lt;=0,"OUT OF STOCK",IF(F90&lt;=N(Items!H90),"REORDER","OK")))</f>
        <v/>
      </c>
      <c r="I90" s="18">
        <f>IF(A90="","",SUMIF('Stock Out'!$B$5:$B$3004,A90,'Stock Out'!$F$5:$F$3004))</f>
        <v/>
      </c>
    </row>
    <row r="91">
      <c r="A91">
        <f>IF(Items!A91="","",Items!A91)</f>
        <v/>
      </c>
      <c r="B91">
        <f>IF(A91="","",Items!B91)</f>
        <v/>
      </c>
      <c r="C91">
        <f>IF(A91="","",N(Items!E91))</f>
        <v/>
      </c>
      <c r="D91">
        <f>IF(A91="","",SUMIF('Stock In'!$B$5:$B$3004,A91,'Stock In'!$D$5:$D$3004))</f>
        <v/>
      </c>
      <c r="E91">
        <f>IF(A91="","",SUMIF('Stock Out'!$B$5:$B$3004,A91,'Stock Out'!$D$5:$D$3004))</f>
        <v/>
      </c>
      <c r="F91">
        <f>IF(A91="","",C91+D91-E91)</f>
        <v/>
      </c>
      <c r="G91" s="18">
        <f>IF(A91="","",F91*N(Items!F91))</f>
        <v/>
      </c>
      <c r="H91">
        <f>IF(A91="","",IF(F91&lt;=0,"OUT OF STOCK",IF(F91&lt;=N(Items!H91),"REORDER","OK")))</f>
        <v/>
      </c>
      <c r="I91" s="18">
        <f>IF(A91="","",SUMIF('Stock Out'!$B$5:$B$3004,A91,'Stock Out'!$F$5:$F$3004))</f>
        <v/>
      </c>
    </row>
    <row r="92">
      <c r="A92">
        <f>IF(Items!A92="","",Items!A92)</f>
        <v/>
      </c>
      <c r="B92">
        <f>IF(A92="","",Items!B92)</f>
        <v/>
      </c>
      <c r="C92">
        <f>IF(A92="","",N(Items!E92))</f>
        <v/>
      </c>
      <c r="D92">
        <f>IF(A92="","",SUMIF('Stock In'!$B$5:$B$3004,A92,'Stock In'!$D$5:$D$3004))</f>
        <v/>
      </c>
      <c r="E92">
        <f>IF(A92="","",SUMIF('Stock Out'!$B$5:$B$3004,A92,'Stock Out'!$D$5:$D$3004))</f>
        <v/>
      </c>
      <c r="F92">
        <f>IF(A92="","",C92+D92-E92)</f>
        <v/>
      </c>
      <c r="G92" s="18">
        <f>IF(A92="","",F92*N(Items!F92))</f>
        <v/>
      </c>
      <c r="H92">
        <f>IF(A92="","",IF(F92&lt;=0,"OUT OF STOCK",IF(F92&lt;=N(Items!H92),"REORDER","OK")))</f>
        <v/>
      </c>
      <c r="I92" s="18">
        <f>IF(A92="","",SUMIF('Stock Out'!$B$5:$B$3004,A92,'Stock Out'!$F$5:$F$3004))</f>
        <v/>
      </c>
    </row>
    <row r="93">
      <c r="A93">
        <f>IF(Items!A93="","",Items!A93)</f>
        <v/>
      </c>
      <c r="B93">
        <f>IF(A93="","",Items!B93)</f>
        <v/>
      </c>
      <c r="C93">
        <f>IF(A93="","",N(Items!E93))</f>
        <v/>
      </c>
      <c r="D93">
        <f>IF(A93="","",SUMIF('Stock In'!$B$5:$B$3004,A93,'Stock In'!$D$5:$D$3004))</f>
        <v/>
      </c>
      <c r="E93">
        <f>IF(A93="","",SUMIF('Stock Out'!$B$5:$B$3004,A93,'Stock Out'!$D$5:$D$3004))</f>
        <v/>
      </c>
      <c r="F93">
        <f>IF(A93="","",C93+D93-E93)</f>
        <v/>
      </c>
      <c r="G93" s="18">
        <f>IF(A93="","",F93*N(Items!F93))</f>
        <v/>
      </c>
      <c r="H93">
        <f>IF(A93="","",IF(F93&lt;=0,"OUT OF STOCK",IF(F93&lt;=N(Items!H93),"REORDER","OK")))</f>
        <v/>
      </c>
      <c r="I93" s="18">
        <f>IF(A93="","",SUMIF('Stock Out'!$B$5:$B$3004,A93,'Stock Out'!$F$5:$F$3004))</f>
        <v/>
      </c>
    </row>
    <row r="94">
      <c r="A94">
        <f>IF(Items!A94="","",Items!A94)</f>
        <v/>
      </c>
      <c r="B94">
        <f>IF(A94="","",Items!B94)</f>
        <v/>
      </c>
      <c r="C94">
        <f>IF(A94="","",N(Items!E94))</f>
        <v/>
      </c>
      <c r="D94">
        <f>IF(A94="","",SUMIF('Stock In'!$B$5:$B$3004,A94,'Stock In'!$D$5:$D$3004))</f>
        <v/>
      </c>
      <c r="E94">
        <f>IF(A94="","",SUMIF('Stock Out'!$B$5:$B$3004,A94,'Stock Out'!$D$5:$D$3004))</f>
        <v/>
      </c>
      <c r="F94">
        <f>IF(A94="","",C94+D94-E94)</f>
        <v/>
      </c>
      <c r="G94" s="18">
        <f>IF(A94="","",F94*N(Items!F94))</f>
        <v/>
      </c>
      <c r="H94">
        <f>IF(A94="","",IF(F94&lt;=0,"OUT OF STOCK",IF(F94&lt;=N(Items!H94),"REORDER","OK")))</f>
        <v/>
      </c>
      <c r="I94" s="18">
        <f>IF(A94="","",SUMIF('Stock Out'!$B$5:$B$3004,A94,'Stock Out'!$F$5:$F$3004))</f>
        <v/>
      </c>
    </row>
    <row r="95">
      <c r="A95">
        <f>IF(Items!A95="","",Items!A95)</f>
        <v/>
      </c>
      <c r="B95">
        <f>IF(A95="","",Items!B95)</f>
        <v/>
      </c>
      <c r="C95">
        <f>IF(A95="","",N(Items!E95))</f>
        <v/>
      </c>
      <c r="D95">
        <f>IF(A95="","",SUMIF('Stock In'!$B$5:$B$3004,A95,'Stock In'!$D$5:$D$3004))</f>
        <v/>
      </c>
      <c r="E95">
        <f>IF(A95="","",SUMIF('Stock Out'!$B$5:$B$3004,A95,'Stock Out'!$D$5:$D$3004))</f>
        <v/>
      </c>
      <c r="F95">
        <f>IF(A95="","",C95+D95-E95)</f>
        <v/>
      </c>
      <c r="G95" s="18">
        <f>IF(A95="","",F95*N(Items!F95))</f>
        <v/>
      </c>
      <c r="H95">
        <f>IF(A95="","",IF(F95&lt;=0,"OUT OF STOCK",IF(F95&lt;=N(Items!H95),"REORDER","OK")))</f>
        <v/>
      </c>
      <c r="I95" s="18">
        <f>IF(A95="","",SUMIF('Stock Out'!$B$5:$B$3004,A95,'Stock Out'!$F$5:$F$3004))</f>
        <v/>
      </c>
    </row>
    <row r="96">
      <c r="A96">
        <f>IF(Items!A96="","",Items!A96)</f>
        <v/>
      </c>
      <c r="B96">
        <f>IF(A96="","",Items!B96)</f>
        <v/>
      </c>
      <c r="C96">
        <f>IF(A96="","",N(Items!E96))</f>
        <v/>
      </c>
      <c r="D96">
        <f>IF(A96="","",SUMIF('Stock In'!$B$5:$B$3004,A96,'Stock In'!$D$5:$D$3004))</f>
        <v/>
      </c>
      <c r="E96">
        <f>IF(A96="","",SUMIF('Stock Out'!$B$5:$B$3004,A96,'Stock Out'!$D$5:$D$3004))</f>
        <v/>
      </c>
      <c r="F96">
        <f>IF(A96="","",C96+D96-E96)</f>
        <v/>
      </c>
      <c r="G96" s="18">
        <f>IF(A96="","",F96*N(Items!F96))</f>
        <v/>
      </c>
      <c r="H96">
        <f>IF(A96="","",IF(F96&lt;=0,"OUT OF STOCK",IF(F96&lt;=N(Items!H96),"REORDER","OK")))</f>
        <v/>
      </c>
      <c r="I96" s="18">
        <f>IF(A96="","",SUMIF('Stock Out'!$B$5:$B$3004,A96,'Stock Out'!$F$5:$F$3004))</f>
        <v/>
      </c>
    </row>
    <row r="97">
      <c r="A97">
        <f>IF(Items!A97="","",Items!A97)</f>
        <v/>
      </c>
      <c r="B97">
        <f>IF(A97="","",Items!B97)</f>
        <v/>
      </c>
      <c r="C97">
        <f>IF(A97="","",N(Items!E97))</f>
        <v/>
      </c>
      <c r="D97">
        <f>IF(A97="","",SUMIF('Stock In'!$B$5:$B$3004,A97,'Stock In'!$D$5:$D$3004))</f>
        <v/>
      </c>
      <c r="E97">
        <f>IF(A97="","",SUMIF('Stock Out'!$B$5:$B$3004,A97,'Stock Out'!$D$5:$D$3004))</f>
        <v/>
      </c>
      <c r="F97">
        <f>IF(A97="","",C97+D97-E97)</f>
        <v/>
      </c>
      <c r="G97" s="18">
        <f>IF(A97="","",F97*N(Items!F97))</f>
        <v/>
      </c>
      <c r="H97">
        <f>IF(A97="","",IF(F97&lt;=0,"OUT OF STOCK",IF(F97&lt;=N(Items!H97),"REORDER","OK")))</f>
        <v/>
      </c>
      <c r="I97" s="18">
        <f>IF(A97="","",SUMIF('Stock Out'!$B$5:$B$3004,A97,'Stock Out'!$F$5:$F$3004))</f>
        <v/>
      </c>
    </row>
    <row r="98">
      <c r="A98">
        <f>IF(Items!A98="","",Items!A98)</f>
        <v/>
      </c>
      <c r="B98">
        <f>IF(A98="","",Items!B98)</f>
        <v/>
      </c>
      <c r="C98">
        <f>IF(A98="","",N(Items!E98))</f>
        <v/>
      </c>
      <c r="D98">
        <f>IF(A98="","",SUMIF('Stock In'!$B$5:$B$3004,A98,'Stock In'!$D$5:$D$3004))</f>
        <v/>
      </c>
      <c r="E98">
        <f>IF(A98="","",SUMIF('Stock Out'!$B$5:$B$3004,A98,'Stock Out'!$D$5:$D$3004))</f>
        <v/>
      </c>
      <c r="F98">
        <f>IF(A98="","",C98+D98-E98)</f>
        <v/>
      </c>
      <c r="G98" s="18">
        <f>IF(A98="","",F98*N(Items!F98))</f>
        <v/>
      </c>
      <c r="H98">
        <f>IF(A98="","",IF(F98&lt;=0,"OUT OF STOCK",IF(F98&lt;=N(Items!H98),"REORDER","OK")))</f>
        <v/>
      </c>
      <c r="I98" s="18">
        <f>IF(A98="","",SUMIF('Stock Out'!$B$5:$B$3004,A98,'Stock Out'!$F$5:$F$3004))</f>
        <v/>
      </c>
    </row>
    <row r="99">
      <c r="A99">
        <f>IF(Items!A99="","",Items!A99)</f>
        <v/>
      </c>
      <c r="B99">
        <f>IF(A99="","",Items!B99)</f>
        <v/>
      </c>
      <c r="C99">
        <f>IF(A99="","",N(Items!E99))</f>
        <v/>
      </c>
      <c r="D99">
        <f>IF(A99="","",SUMIF('Stock In'!$B$5:$B$3004,A99,'Stock In'!$D$5:$D$3004))</f>
        <v/>
      </c>
      <c r="E99">
        <f>IF(A99="","",SUMIF('Stock Out'!$B$5:$B$3004,A99,'Stock Out'!$D$5:$D$3004))</f>
        <v/>
      </c>
      <c r="F99">
        <f>IF(A99="","",C99+D99-E99)</f>
        <v/>
      </c>
      <c r="G99" s="18">
        <f>IF(A99="","",F99*N(Items!F99))</f>
        <v/>
      </c>
      <c r="H99">
        <f>IF(A99="","",IF(F99&lt;=0,"OUT OF STOCK",IF(F99&lt;=N(Items!H99),"REORDER","OK")))</f>
        <v/>
      </c>
      <c r="I99" s="18">
        <f>IF(A99="","",SUMIF('Stock Out'!$B$5:$B$3004,A99,'Stock Out'!$F$5:$F$3004))</f>
        <v/>
      </c>
    </row>
    <row r="100">
      <c r="A100">
        <f>IF(Items!A100="","",Items!A100)</f>
        <v/>
      </c>
      <c r="B100">
        <f>IF(A100="","",Items!B100)</f>
        <v/>
      </c>
      <c r="C100">
        <f>IF(A100="","",N(Items!E100))</f>
        <v/>
      </c>
      <c r="D100">
        <f>IF(A100="","",SUMIF('Stock In'!$B$5:$B$3004,A100,'Stock In'!$D$5:$D$3004))</f>
        <v/>
      </c>
      <c r="E100">
        <f>IF(A100="","",SUMIF('Stock Out'!$B$5:$B$3004,A100,'Stock Out'!$D$5:$D$3004))</f>
        <v/>
      </c>
      <c r="F100">
        <f>IF(A100="","",C100+D100-E100)</f>
        <v/>
      </c>
      <c r="G100" s="18">
        <f>IF(A100="","",F100*N(Items!F100))</f>
        <v/>
      </c>
      <c r="H100">
        <f>IF(A100="","",IF(F100&lt;=0,"OUT OF STOCK",IF(F100&lt;=N(Items!H100),"REORDER","OK")))</f>
        <v/>
      </c>
      <c r="I100" s="18">
        <f>IF(A100="","",SUMIF('Stock Out'!$B$5:$B$3004,A100,'Stock Out'!$F$5:$F$3004))</f>
        <v/>
      </c>
    </row>
    <row r="101">
      <c r="A101">
        <f>IF(Items!A101="","",Items!A101)</f>
        <v/>
      </c>
      <c r="B101">
        <f>IF(A101="","",Items!B101)</f>
        <v/>
      </c>
      <c r="C101">
        <f>IF(A101="","",N(Items!E101))</f>
        <v/>
      </c>
      <c r="D101">
        <f>IF(A101="","",SUMIF('Stock In'!$B$5:$B$3004,A101,'Stock In'!$D$5:$D$3004))</f>
        <v/>
      </c>
      <c r="E101">
        <f>IF(A101="","",SUMIF('Stock Out'!$B$5:$B$3004,A101,'Stock Out'!$D$5:$D$3004))</f>
        <v/>
      </c>
      <c r="F101">
        <f>IF(A101="","",C101+D101-E101)</f>
        <v/>
      </c>
      <c r="G101" s="18">
        <f>IF(A101="","",F101*N(Items!F101))</f>
        <v/>
      </c>
      <c r="H101">
        <f>IF(A101="","",IF(F101&lt;=0,"OUT OF STOCK",IF(F101&lt;=N(Items!H101),"REORDER","OK")))</f>
        <v/>
      </c>
      <c r="I101" s="18">
        <f>IF(A101="","",SUMIF('Stock Out'!$B$5:$B$3004,A101,'Stock Out'!$F$5:$F$3004))</f>
        <v/>
      </c>
    </row>
    <row r="102">
      <c r="A102">
        <f>IF(Items!A102="","",Items!A102)</f>
        <v/>
      </c>
      <c r="B102">
        <f>IF(A102="","",Items!B102)</f>
        <v/>
      </c>
      <c r="C102">
        <f>IF(A102="","",N(Items!E102))</f>
        <v/>
      </c>
      <c r="D102">
        <f>IF(A102="","",SUMIF('Stock In'!$B$5:$B$3004,A102,'Stock In'!$D$5:$D$3004))</f>
        <v/>
      </c>
      <c r="E102">
        <f>IF(A102="","",SUMIF('Stock Out'!$B$5:$B$3004,A102,'Stock Out'!$D$5:$D$3004))</f>
        <v/>
      </c>
      <c r="F102">
        <f>IF(A102="","",C102+D102-E102)</f>
        <v/>
      </c>
      <c r="G102" s="18">
        <f>IF(A102="","",F102*N(Items!F102))</f>
        <v/>
      </c>
      <c r="H102">
        <f>IF(A102="","",IF(F102&lt;=0,"OUT OF STOCK",IF(F102&lt;=N(Items!H102),"REORDER","OK")))</f>
        <v/>
      </c>
      <c r="I102" s="18">
        <f>IF(A102="","",SUMIF('Stock Out'!$B$5:$B$3004,A102,'Stock Out'!$F$5:$F$3004))</f>
        <v/>
      </c>
    </row>
    <row r="103">
      <c r="A103">
        <f>IF(Items!A103="","",Items!A103)</f>
        <v/>
      </c>
      <c r="B103">
        <f>IF(A103="","",Items!B103)</f>
        <v/>
      </c>
      <c r="C103">
        <f>IF(A103="","",N(Items!E103))</f>
        <v/>
      </c>
      <c r="D103">
        <f>IF(A103="","",SUMIF('Stock In'!$B$5:$B$3004,A103,'Stock In'!$D$5:$D$3004))</f>
        <v/>
      </c>
      <c r="E103">
        <f>IF(A103="","",SUMIF('Stock Out'!$B$5:$B$3004,A103,'Stock Out'!$D$5:$D$3004))</f>
        <v/>
      </c>
      <c r="F103">
        <f>IF(A103="","",C103+D103-E103)</f>
        <v/>
      </c>
      <c r="G103" s="18">
        <f>IF(A103="","",F103*N(Items!F103))</f>
        <v/>
      </c>
      <c r="H103">
        <f>IF(A103="","",IF(F103&lt;=0,"OUT OF STOCK",IF(F103&lt;=N(Items!H103),"REORDER","OK")))</f>
        <v/>
      </c>
      <c r="I103" s="18">
        <f>IF(A103="","",SUMIF('Stock Out'!$B$5:$B$3004,A103,'Stock Out'!$F$5:$F$3004))</f>
        <v/>
      </c>
    </row>
    <row r="104">
      <c r="A104">
        <f>IF(Items!A104="","",Items!A104)</f>
        <v/>
      </c>
      <c r="B104">
        <f>IF(A104="","",Items!B104)</f>
        <v/>
      </c>
      <c r="C104">
        <f>IF(A104="","",N(Items!E104))</f>
        <v/>
      </c>
      <c r="D104">
        <f>IF(A104="","",SUMIF('Stock In'!$B$5:$B$3004,A104,'Stock In'!$D$5:$D$3004))</f>
        <v/>
      </c>
      <c r="E104">
        <f>IF(A104="","",SUMIF('Stock Out'!$B$5:$B$3004,A104,'Stock Out'!$D$5:$D$3004))</f>
        <v/>
      </c>
      <c r="F104">
        <f>IF(A104="","",C104+D104-E104)</f>
        <v/>
      </c>
      <c r="G104" s="18">
        <f>IF(A104="","",F104*N(Items!F104))</f>
        <v/>
      </c>
      <c r="H104">
        <f>IF(A104="","",IF(F104&lt;=0,"OUT OF STOCK",IF(F104&lt;=N(Items!H104),"REORDER","OK")))</f>
        <v/>
      </c>
      <c r="I104" s="18">
        <f>IF(A104="","",SUMIF('Stock Out'!$B$5:$B$3004,A104,'Stock Out'!$F$5:$F$3004))</f>
        <v/>
      </c>
    </row>
    <row r="105">
      <c r="A105">
        <f>IF(Items!A105="","",Items!A105)</f>
        <v/>
      </c>
      <c r="B105">
        <f>IF(A105="","",Items!B105)</f>
        <v/>
      </c>
      <c r="C105">
        <f>IF(A105="","",N(Items!E105))</f>
        <v/>
      </c>
      <c r="D105">
        <f>IF(A105="","",SUMIF('Stock In'!$B$5:$B$3004,A105,'Stock In'!$D$5:$D$3004))</f>
        <v/>
      </c>
      <c r="E105">
        <f>IF(A105="","",SUMIF('Stock Out'!$B$5:$B$3004,A105,'Stock Out'!$D$5:$D$3004))</f>
        <v/>
      </c>
      <c r="F105">
        <f>IF(A105="","",C105+D105-E105)</f>
        <v/>
      </c>
      <c r="G105" s="18">
        <f>IF(A105="","",F105*N(Items!F105))</f>
        <v/>
      </c>
      <c r="H105">
        <f>IF(A105="","",IF(F105&lt;=0,"OUT OF STOCK",IF(F105&lt;=N(Items!H105),"REORDER","OK")))</f>
        <v/>
      </c>
      <c r="I105" s="18">
        <f>IF(A105="","",SUMIF('Stock Out'!$B$5:$B$3004,A105,'Stock Out'!$F$5:$F$3004))</f>
        <v/>
      </c>
    </row>
    <row r="106">
      <c r="A106">
        <f>IF(Items!A106="","",Items!A106)</f>
        <v/>
      </c>
      <c r="B106">
        <f>IF(A106="","",Items!B106)</f>
        <v/>
      </c>
      <c r="C106">
        <f>IF(A106="","",N(Items!E106))</f>
        <v/>
      </c>
      <c r="D106">
        <f>IF(A106="","",SUMIF('Stock In'!$B$5:$B$3004,A106,'Stock In'!$D$5:$D$3004))</f>
        <v/>
      </c>
      <c r="E106">
        <f>IF(A106="","",SUMIF('Stock Out'!$B$5:$B$3004,A106,'Stock Out'!$D$5:$D$3004))</f>
        <v/>
      </c>
      <c r="F106">
        <f>IF(A106="","",C106+D106-E106)</f>
        <v/>
      </c>
      <c r="G106" s="18">
        <f>IF(A106="","",F106*N(Items!F106))</f>
        <v/>
      </c>
      <c r="H106">
        <f>IF(A106="","",IF(F106&lt;=0,"OUT OF STOCK",IF(F106&lt;=N(Items!H106),"REORDER","OK")))</f>
        <v/>
      </c>
      <c r="I106" s="18">
        <f>IF(A106="","",SUMIF('Stock Out'!$B$5:$B$3004,A106,'Stock Out'!$F$5:$F$3004))</f>
        <v/>
      </c>
    </row>
    <row r="107">
      <c r="A107">
        <f>IF(Items!A107="","",Items!A107)</f>
        <v/>
      </c>
      <c r="B107">
        <f>IF(A107="","",Items!B107)</f>
        <v/>
      </c>
      <c r="C107">
        <f>IF(A107="","",N(Items!E107))</f>
        <v/>
      </c>
      <c r="D107">
        <f>IF(A107="","",SUMIF('Stock In'!$B$5:$B$3004,A107,'Stock In'!$D$5:$D$3004))</f>
        <v/>
      </c>
      <c r="E107">
        <f>IF(A107="","",SUMIF('Stock Out'!$B$5:$B$3004,A107,'Stock Out'!$D$5:$D$3004))</f>
        <v/>
      </c>
      <c r="F107">
        <f>IF(A107="","",C107+D107-E107)</f>
        <v/>
      </c>
      <c r="G107" s="18">
        <f>IF(A107="","",F107*N(Items!F107))</f>
        <v/>
      </c>
      <c r="H107">
        <f>IF(A107="","",IF(F107&lt;=0,"OUT OF STOCK",IF(F107&lt;=N(Items!H107),"REORDER","OK")))</f>
        <v/>
      </c>
      <c r="I107" s="18">
        <f>IF(A107="","",SUMIF('Stock Out'!$B$5:$B$3004,A107,'Stock Out'!$F$5:$F$3004))</f>
        <v/>
      </c>
    </row>
    <row r="108">
      <c r="A108">
        <f>IF(Items!A108="","",Items!A108)</f>
        <v/>
      </c>
      <c r="B108">
        <f>IF(A108="","",Items!B108)</f>
        <v/>
      </c>
      <c r="C108">
        <f>IF(A108="","",N(Items!E108))</f>
        <v/>
      </c>
      <c r="D108">
        <f>IF(A108="","",SUMIF('Stock In'!$B$5:$B$3004,A108,'Stock In'!$D$5:$D$3004))</f>
        <v/>
      </c>
      <c r="E108">
        <f>IF(A108="","",SUMIF('Stock Out'!$B$5:$B$3004,A108,'Stock Out'!$D$5:$D$3004))</f>
        <v/>
      </c>
      <c r="F108">
        <f>IF(A108="","",C108+D108-E108)</f>
        <v/>
      </c>
      <c r="G108" s="18">
        <f>IF(A108="","",F108*N(Items!F108))</f>
        <v/>
      </c>
      <c r="H108">
        <f>IF(A108="","",IF(F108&lt;=0,"OUT OF STOCK",IF(F108&lt;=N(Items!H108),"REORDER","OK")))</f>
        <v/>
      </c>
      <c r="I108" s="18">
        <f>IF(A108="","",SUMIF('Stock Out'!$B$5:$B$3004,A108,'Stock Out'!$F$5:$F$3004))</f>
        <v/>
      </c>
    </row>
    <row r="109">
      <c r="A109">
        <f>IF(Items!A109="","",Items!A109)</f>
        <v/>
      </c>
      <c r="B109">
        <f>IF(A109="","",Items!B109)</f>
        <v/>
      </c>
      <c r="C109">
        <f>IF(A109="","",N(Items!E109))</f>
        <v/>
      </c>
      <c r="D109">
        <f>IF(A109="","",SUMIF('Stock In'!$B$5:$B$3004,A109,'Stock In'!$D$5:$D$3004))</f>
        <v/>
      </c>
      <c r="E109">
        <f>IF(A109="","",SUMIF('Stock Out'!$B$5:$B$3004,A109,'Stock Out'!$D$5:$D$3004))</f>
        <v/>
      </c>
      <c r="F109">
        <f>IF(A109="","",C109+D109-E109)</f>
        <v/>
      </c>
      <c r="G109" s="18">
        <f>IF(A109="","",F109*N(Items!F109))</f>
        <v/>
      </c>
      <c r="H109">
        <f>IF(A109="","",IF(F109&lt;=0,"OUT OF STOCK",IF(F109&lt;=N(Items!H109),"REORDER","OK")))</f>
        <v/>
      </c>
      <c r="I109" s="18">
        <f>IF(A109="","",SUMIF('Stock Out'!$B$5:$B$3004,A109,'Stock Out'!$F$5:$F$3004))</f>
        <v/>
      </c>
    </row>
    <row r="110">
      <c r="A110">
        <f>IF(Items!A110="","",Items!A110)</f>
        <v/>
      </c>
      <c r="B110">
        <f>IF(A110="","",Items!B110)</f>
        <v/>
      </c>
      <c r="C110">
        <f>IF(A110="","",N(Items!E110))</f>
        <v/>
      </c>
      <c r="D110">
        <f>IF(A110="","",SUMIF('Stock In'!$B$5:$B$3004,A110,'Stock In'!$D$5:$D$3004))</f>
        <v/>
      </c>
      <c r="E110">
        <f>IF(A110="","",SUMIF('Stock Out'!$B$5:$B$3004,A110,'Stock Out'!$D$5:$D$3004))</f>
        <v/>
      </c>
      <c r="F110">
        <f>IF(A110="","",C110+D110-E110)</f>
        <v/>
      </c>
      <c r="G110" s="18">
        <f>IF(A110="","",F110*N(Items!F110))</f>
        <v/>
      </c>
      <c r="H110">
        <f>IF(A110="","",IF(F110&lt;=0,"OUT OF STOCK",IF(F110&lt;=N(Items!H110),"REORDER","OK")))</f>
        <v/>
      </c>
      <c r="I110" s="18">
        <f>IF(A110="","",SUMIF('Stock Out'!$B$5:$B$3004,A110,'Stock Out'!$F$5:$F$3004))</f>
        <v/>
      </c>
    </row>
    <row r="111">
      <c r="A111">
        <f>IF(Items!A111="","",Items!A111)</f>
        <v/>
      </c>
      <c r="B111">
        <f>IF(A111="","",Items!B111)</f>
        <v/>
      </c>
      <c r="C111">
        <f>IF(A111="","",N(Items!E111))</f>
        <v/>
      </c>
      <c r="D111">
        <f>IF(A111="","",SUMIF('Stock In'!$B$5:$B$3004,A111,'Stock In'!$D$5:$D$3004))</f>
        <v/>
      </c>
      <c r="E111">
        <f>IF(A111="","",SUMIF('Stock Out'!$B$5:$B$3004,A111,'Stock Out'!$D$5:$D$3004))</f>
        <v/>
      </c>
      <c r="F111">
        <f>IF(A111="","",C111+D111-E111)</f>
        <v/>
      </c>
      <c r="G111" s="18">
        <f>IF(A111="","",F111*N(Items!F111))</f>
        <v/>
      </c>
      <c r="H111">
        <f>IF(A111="","",IF(F111&lt;=0,"OUT OF STOCK",IF(F111&lt;=N(Items!H111),"REORDER","OK")))</f>
        <v/>
      </c>
      <c r="I111" s="18">
        <f>IF(A111="","",SUMIF('Stock Out'!$B$5:$B$3004,A111,'Stock Out'!$F$5:$F$3004))</f>
        <v/>
      </c>
    </row>
    <row r="112">
      <c r="A112">
        <f>IF(Items!A112="","",Items!A112)</f>
        <v/>
      </c>
      <c r="B112">
        <f>IF(A112="","",Items!B112)</f>
        <v/>
      </c>
      <c r="C112">
        <f>IF(A112="","",N(Items!E112))</f>
        <v/>
      </c>
      <c r="D112">
        <f>IF(A112="","",SUMIF('Stock In'!$B$5:$B$3004,A112,'Stock In'!$D$5:$D$3004))</f>
        <v/>
      </c>
      <c r="E112">
        <f>IF(A112="","",SUMIF('Stock Out'!$B$5:$B$3004,A112,'Stock Out'!$D$5:$D$3004))</f>
        <v/>
      </c>
      <c r="F112">
        <f>IF(A112="","",C112+D112-E112)</f>
        <v/>
      </c>
      <c r="G112" s="18">
        <f>IF(A112="","",F112*N(Items!F112))</f>
        <v/>
      </c>
      <c r="H112">
        <f>IF(A112="","",IF(F112&lt;=0,"OUT OF STOCK",IF(F112&lt;=N(Items!H112),"REORDER","OK")))</f>
        <v/>
      </c>
      <c r="I112" s="18">
        <f>IF(A112="","",SUMIF('Stock Out'!$B$5:$B$3004,A112,'Stock Out'!$F$5:$F$3004))</f>
        <v/>
      </c>
    </row>
    <row r="113">
      <c r="A113">
        <f>IF(Items!A113="","",Items!A113)</f>
        <v/>
      </c>
      <c r="B113">
        <f>IF(A113="","",Items!B113)</f>
        <v/>
      </c>
      <c r="C113">
        <f>IF(A113="","",N(Items!E113))</f>
        <v/>
      </c>
      <c r="D113">
        <f>IF(A113="","",SUMIF('Stock In'!$B$5:$B$3004,A113,'Stock In'!$D$5:$D$3004))</f>
        <v/>
      </c>
      <c r="E113">
        <f>IF(A113="","",SUMIF('Stock Out'!$B$5:$B$3004,A113,'Stock Out'!$D$5:$D$3004))</f>
        <v/>
      </c>
      <c r="F113">
        <f>IF(A113="","",C113+D113-E113)</f>
        <v/>
      </c>
      <c r="G113" s="18">
        <f>IF(A113="","",F113*N(Items!F113))</f>
        <v/>
      </c>
      <c r="H113">
        <f>IF(A113="","",IF(F113&lt;=0,"OUT OF STOCK",IF(F113&lt;=N(Items!H113),"REORDER","OK")))</f>
        <v/>
      </c>
      <c r="I113" s="18">
        <f>IF(A113="","",SUMIF('Stock Out'!$B$5:$B$3004,A113,'Stock Out'!$F$5:$F$3004))</f>
        <v/>
      </c>
    </row>
    <row r="114">
      <c r="A114">
        <f>IF(Items!A114="","",Items!A114)</f>
        <v/>
      </c>
      <c r="B114">
        <f>IF(A114="","",Items!B114)</f>
        <v/>
      </c>
      <c r="C114">
        <f>IF(A114="","",N(Items!E114))</f>
        <v/>
      </c>
      <c r="D114">
        <f>IF(A114="","",SUMIF('Stock In'!$B$5:$B$3004,A114,'Stock In'!$D$5:$D$3004))</f>
        <v/>
      </c>
      <c r="E114">
        <f>IF(A114="","",SUMIF('Stock Out'!$B$5:$B$3004,A114,'Stock Out'!$D$5:$D$3004))</f>
        <v/>
      </c>
      <c r="F114">
        <f>IF(A114="","",C114+D114-E114)</f>
        <v/>
      </c>
      <c r="G114" s="18">
        <f>IF(A114="","",F114*N(Items!F114))</f>
        <v/>
      </c>
      <c r="H114">
        <f>IF(A114="","",IF(F114&lt;=0,"OUT OF STOCK",IF(F114&lt;=N(Items!H114),"REORDER","OK")))</f>
        <v/>
      </c>
      <c r="I114" s="18">
        <f>IF(A114="","",SUMIF('Stock Out'!$B$5:$B$3004,A114,'Stock Out'!$F$5:$F$3004))</f>
        <v/>
      </c>
    </row>
    <row r="115">
      <c r="A115">
        <f>IF(Items!A115="","",Items!A115)</f>
        <v/>
      </c>
      <c r="B115">
        <f>IF(A115="","",Items!B115)</f>
        <v/>
      </c>
      <c r="C115">
        <f>IF(A115="","",N(Items!E115))</f>
        <v/>
      </c>
      <c r="D115">
        <f>IF(A115="","",SUMIF('Stock In'!$B$5:$B$3004,A115,'Stock In'!$D$5:$D$3004))</f>
        <v/>
      </c>
      <c r="E115">
        <f>IF(A115="","",SUMIF('Stock Out'!$B$5:$B$3004,A115,'Stock Out'!$D$5:$D$3004))</f>
        <v/>
      </c>
      <c r="F115">
        <f>IF(A115="","",C115+D115-E115)</f>
        <v/>
      </c>
      <c r="G115" s="18">
        <f>IF(A115="","",F115*N(Items!F115))</f>
        <v/>
      </c>
      <c r="H115">
        <f>IF(A115="","",IF(F115&lt;=0,"OUT OF STOCK",IF(F115&lt;=N(Items!H115),"REORDER","OK")))</f>
        <v/>
      </c>
      <c r="I115" s="18">
        <f>IF(A115="","",SUMIF('Stock Out'!$B$5:$B$3004,A115,'Stock Out'!$F$5:$F$3004))</f>
        <v/>
      </c>
    </row>
    <row r="116">
      <c r="A116">
        <f>IF(Items!A116="","",Items!A116)</f>
        <v/>
      </c>
      <c r="B116">
        <f>IF(A116="","",Items!B116)</f>
        <v/>
      </c>
      <c r="C116">
        <f>IF(A116="","",N(Items!E116))</f>
        <v/>
      </c>
      <c r="D116">
        <f>IF(A116="","",SUMIF('Stock In'!$B$5:$B$3004,A116,'Stock In'!$D$5:$D$3004))</f>
        <v/>
      </c>
      <c r="E116">
        <f>IF(A116="","",SUMIF('Stock Out'!$B$5:$B$3004,A116,'Stock Out'!$D$5:$D$3004))</f>
        <v/>
      </c>
      <c r="F116">
        <f>IF(A116="","",C116+D116-E116)</f>
        <v/>
      </c>
      <c r="G116" s="18">
        <f>IF(A116="","",F116*N(Items!F116))</f>
        <v/>
      </c>
      <c r="H116">
        <f>IF(A116="","",IF(F116&lt;=0,"OUT OF STOCK",IF(F116&lt;=N(Items!H116),"REORDER","OK")))</f>
        <v/>
      </c>
      <c r="I116" s="18">
        <f>IF(A116="","",SUMIF('Stock Out'!$B$5:$B$3004,A116,'Stock Out'!$F$5:$F$3004))</f>
        <v/>
      </c>
    </row>
    <row r="117">
      <c r="A117">
        <f>IF(Items!A117="","",Items!A117)</f>
        <v/>
      </c>
      <c r="B117">
        <f>IF(A117="","",Items!B117)</f>
        <v/>
      </c>
      <c r="C117">
        <f>IF(A117="","",N(Items!E117))</f>
        <v/>
      </c>
      <c r="D117">
        <f>IF(A117="","",SUMIF('Stock In'!$B$5:$B$3004,A117,'Stock In'!$D$5:$D$3004))</f>
        <v/>
      </c>
      <c r="E117">
        <f>IF(A117="","",SUMIF('Stock Out'!$B$5:$B$3004,A117,'Stock Out'!$D$5:$D$3004))</f>
        <v/>
      </c>
      <c r="F117">
        <f>IF(A117="","",C117+D117-E117)</f>
        <v/>
      </c>
      <c r="G117" s="18">
        <f>IF(A117="","",F117*N(Items!F117))</f>
        <v/>
      </c>
      <c r="H117">
        <f>IF(A117="","",IF(F117&lt;=0,"OUT OF STOCK",IF(F117&lt;=N(Items!H117),"REORDER","OK")))</f>
        <v/>
      </c>
      <c r="I117" s="18">
        <f>IF(A117="","",SUMIF('Stock Out'!$B$5:$B$3004,A117,'Stock Out'!$F$5:$F$3004))</f>
        <v/>
      </c>
    </row>
    <row r="118">
      <c r="A118">
        <f>IF(Items!A118="","",Items!A118)</f>
        <v/>
      </c>
      <c r="B118">
        <f>IF(A118="","",Items!B118)</f>
        <v/>
      </c>
      <c r="C118">
        <f>IF(A118="","",N(Items!E118))</f>
        <v/>
      </c>
      <c r="D118">
        <f>IF(A118="","",SUMIF('Stock In'!$B$5:$B$3004,A118,'Stock In'!$D$5:$D$3004))</f>
        <v/>
      </c>
      <c r="E118">
        <f>IF(A118="","",SUMIF('Stock Out'!$B$5:$B$3004,A118,'Stock Out'!$D$5:$D$3004))</f>
        <v/>
      </c>
      <c r="F118">
        <f>IF(A118="","",C118+D118-E118)</f>
        <v/>
      </c>
      <c r="G118" s="18">
        <f>IF(A118="","",F118*N(Items!F118))</f>
        <v/>
      </c>
      <c r="H118">
        <f>IF(A118="","",IF(F118&lt;=0,"OUT OF STOCK",IF(F118&lt;=N(Items!H118),"REORDER","OK")))</f>
        <v/>
      </c>
      <c r="I118" s="18">
        <f>IF(A118="","",SUMIF('Stock Out'!$B$5:$B$3004,A118,'Stock Out'!$F$5:$F$3004))</f>
        <v/>
      </c>
    </row>
    <row r="119">
      <c r="A119">
        <f>IF(Items!A119="","",Items!A119)</f>
        <v/>
      </c>
      <c r="B119">
        <f>IF(A119="","",Items!B119)</f>
        <v/>
      </c>
      <c r="C119">
        <f>IF(A119="","",N(Items!E119))</f>
        <v/>
      </c>
      <c r="D119">
        <f>IF(A119="","",SUMIF('Stock In'!$B$5:$B$3004,A119,'Stock In'!$D$5:$D$3004))</f>
        <v/>
      </c>
      <c r="E119">
        <f>IF(A119="","",SUMIF('Stock Out'!$B$5:$B$3004,A119,'Stock Out'!$D$5:$D$3004))</f>
        <v/>
      </c>
      <c r="F119">
        <f>IF(A119="","",C119+D119-E119)</f>
        <v/>
      </c>
      <c r="G119" s="18">
        <f>IF(A119="","",F119*N(Items!F119))</f>
        <v/>
      </c>
      <c r="H119">
        <f>IF(A119="","",IF(F119&lt;=0,"OUT OF STOCK",IF(F119&lt;=N(Items!H119),"REORDER","OK")))</f>
        <v/>
      </c>
      <c r="I119" s="18">
        <f>IF(A119="","",SUMIF('Stock Out'!$B$5:$B$3004,A119,'Stock Out'!$F$5:$F$3004))</f>
        <v/>
      </c>
    </row>
    <row r="120">
      <c r="A120">
        <f>IF(Items!A120="","",Items!A120)</f>
        <v/>
      </c>
      <c r="B120">
        <f>IF(A120="","",Items!B120)</f>
        <v/>
      </c>
      <c r="C120">
        <f>IF(A120="","",N(Items!E120))</f>
        <v/>
      </c>
      <c r="D120">
        <f>IF(A120="","",SUMIF('Stock In'!$B$5:$B$3004,A120,'Stock In'!$D$5:$D$3004))</f>
        <v/>
      </c>
      <c r="E120">
        <f>IF(A120="","",SUMIF('Stock Out'!$B$5:$B$3004,A120,'Stock Out'!$D$5:$D$3004))</f>
        <v/>
      </c>
      <c r="F120">
        <f>IF(A120="","",C120+D120-E120)</f>
        <v/>
      </c>
      <c r="G120" s="18">
        <f>IF(A120="","",F120*N(Items!F120))</f>
        <v/>
      </c>
      <c r="H120">
        <f>IF(A120="","",IF(F120&lt;=0,"OUT OF STOCK",IF(F120&lt;=N(Items!H120),"REORDER","OK")))</f>
        <v/>
      </c>
      <c r="I120" s="18">
        <f>IF(A120="","",SUMIF('Stock Out'!$B$5:$B$3004,A120,'Stock Out'!$F$5:$F$3004))</f>
        <v/>
      </c>
    </row>
    <row r="121">
      <c r="A121">
        <f>IF(Items!A121="","",Items!A121)</f>
        <v/>
      </c>
      <c r="B121">
        <f>IF(A121="","",Items!B121)</f>
        <v/>
      </c>
      <c r="C121">
        <f>IF(A121="","",N(Items!E121))</f>
        <v/>
      </c>
      <c r="D121">
        <f>IF(A121="","",SUMIF('Stock In'!$B$5:$B$3004,A121,'Stock In'!$D$5:$D$3004))</f>
        <v/>
      </c>
      <c r="E121">
        <f>IF(A121="","",SUMIF('Stock Out'!$B$5:$B$3004,A121,'Stock Out'!$D$5:$D$3004))</f>
        <v/>
      </c>
      <c r="F121">
        <f>IF(A121="","",C121+D121-E121)</f>
        <v/>
      </c>
      <c r="G121" s="18">
        <f>IF(A121="","",F121*N(Items!F121))</f>
        <v/>
      </c>
      <c r="H121">
        <f>IF(A121="","",IF(F121&lt;=0,"OUT OF STOCK",IF(F121&lt;=N(Items!H121),"REORDER","OK")))</f>
        <v/>
      </c>
      <c r="I121" s="18">
        <f>IF(A121="","",SUMIF('Stock Out'!$B$5:$B$3004,A121,'Stock Out'!$F$5:$F$3004))</f>
        <v/>
      </c>
    </row>
    <row r="122">
      <c r="A122">
        <f>IF(Items!A122="","",Items!A122)</f>
        <v/>
      </c>
      <c r="B122">
        <f>IF(A122="","",Items!B122)</f>
        <v/>
      </c>
      <c r="C122">
        <f>IF(A122="","",N(Items!E122))</f>
        <v/>
      </c>
      <c r="D122">
        <f>IF(A122="","",SUMIF('Stock In'!$B$5:$B$3004,A122,'Stock In'!$D$5:$D$3004))</f>
        <v/>
      </c>
      <c r="E122">
        <f>IF(A122="","",SUMIF('Stock Out'!$B$5:$B$3004,A122,'Stock Out'!$D$5:$D$3004))</f>
        <v/>
      </c>
      <c r="F122">
        <f>IF(A122="","",C122+D122-E122)</f>
        <v/>
      </c>
      <c r="G122" s="18">
        <f>IF(A122="","",F122*N(Items!F122))</f>
        <v/>
      </c>
      <c r="H122">
        <f>IF(A122="","",IF(F122&lt;=0,"OUT OF STOCK",IF(F122&lt;=N(Items!H122),"REORDER","OK")))</f>
        <v/>
      </c>
      <c r="I122" s="18">
        <f>IF(A122="","",SUMIF('Stock Out'!$B$5:$B$3004,A122,'Stock Out'!$F$5:$F$3004))</f>
        <v/>
      </c>
    </row>
    <row r="123">
      <c r="A123">
        <f>IF(Items!A123="","",Items!A123)</f>
        <v/>
      </c>
      <c r="B123">
        <f>IF(A123="","",Items!B123)</f>
        <v/>
      </c>
      <c r="C123">
        <f>IF(A123="","",N(Items!E123))</f>
        <v/>
      </c>
      <c r="D123">
        <f>IF(A123="","",SUMIF('Stock In'!$B$5:$B$3004,A123,'Stock In'!$D$5:$D$3004))</f>
        <v/>
      </c>
      <c r="E123">
        <f>IF(A123="","",SUMIF('Stock Out'!$B$5:$B$3004,A123,'Stock Out'!$D$5:$D$3004))</f>
        <v/>
      </c>
      <c r="F123">
        <f>IF(A123="","",C123+D123-E123)</f>
        <v/>
      </c>
      <c r="G123" s="18">
        <f>IF(A123="","",F123*N(Items!F123))</f>
        <v/>
      </c>
      <c r="H123">
        <f>IF(A123="","",IF(F123&lt;=0,"OUT OF STOCK",IF(F123&lt;=N(Items!H123),"REORDER","OK")))</f>
        <v/>
      </c>
      <c r="I123" s="18">
        <f>IF(A123="","",SUMIF('Stock Out'!$B$5:$B$3004,A123,'Stock Out'!$F$5:$F$3004))</f>
        <v/>
      </c>
    </row>
    <row r="124">
      <c r="A124">
        <f>IF(Items!A124="","",Items!A124)</f>
        <v/>
      </c>
      <c r="B124">
        <f>IF(A124="","",Items!B124)</f>
        <v/>
      </c>
      <c r="C124">
        <f>IF(A124="","",N(Items!E124))</f>
        <v/>
      </c>
      <c r="D124">
        <f>IF(A124="","",SUMIF('Stock In'!$B$5:$B$3004,A124,'Stock In'!$D$5:$D$3004))</f>
        <v/>
      </c>
      <c r="E124">
        <f>IF(A124="","",SUMIF('Stock Out'!$B$5:$B$3004,A124,'Stock Out'!$D$5:$D$3004))</f>
        <v/>
      </c>
      <c r="F124">
        <f>IF(A124="","",C124+D124-E124)</f>
        <v/>
      </c>
      <c r="G124" s="18">
        <f>IF(A124="","",F124*N(Items!F124))</f>
        <v/>
      </c>
      <c r="H124">
        <f>IF(A124="","",IF(F124&lt;=0,"OUT OF STOCK",IF(F124&lt;=N(Items!H124),"REORDER","OK")))</f>
        <v/>
      </c>
      <c r="I124" s="18">
        <f>IF(A124="","",SUMIF('Stock Out'!$B$5:$B$3004,A124,'Stock Out'!$F$5:$F$3004))</f>
        <v/>
      </c>
    </row>
    <row r="125">
      <c r="A125">
        <f>IF(Items!A125="","",Items!A125)</f>
        <v/>
      </c>
      <c r="B125">
        <f>IF(A125="","",Items!B125)</f>
        <v/>
      </c>
      <c r="C125">
        <f>IF(A125="","",N(Items!E125))</f>
        <v/>
      </c>
      <c r="D125">
        <f>IF(A125="","",SUMIF('Stock In'!$B$5:$B$3004,A125,'Stock In'!$D$5:$D$3004))</f>
        <v/>
      </c>
      <c r="E125">
        <f>IF(A125="","",SUMIF('Stock Out'!$B$5:$B$3004,A125,'Stock Out'!$D$5:$D$3004))</f>
        <v/>
      </c>
      <c r="F125">
        <f>IF(A125="","",C125+D125-E125)</f>
        <v/>
      </c>
      <c r="G125" s="18">
        <f>IF(A125="","",F125*N(Items!F125))</f>
        <v/>
      </c>
      <c r="H125">
        <f>IF(A125="","",IF(F125&lt;=0,"OUT OF STOCK",IF(F125&lt;=N(Items!H125),"REORDER","OK")))</f>
        <v/>
      </c>
      <c r="I125" s="18">
        <f>IF(A125="","",SUMIF('Stock Out'!$B$5:$B$3004,A125,'Stock Out'!$F$5:$F$3004))</f>
        <v/>
      </c>
    </row>
    <row r="126">
      <c r="A126">
        <f>IF(Items!A126="","",Items!A126)</f>
        <v/>
      </c>
      <c r="B126">
        <f>IF(A126="","",Items!B126)</f>
        <v/>
      </c>
      <c r="C126">
        <f>IF(A126="","",N(Items!E126))</f>
        <v/>
      </c>
      <c r="D126">
        <f>IF(A126="","",SUMIF('Stock In'!$B$5:$B$3004,A126,'Stock In'!$D$5:$D$3004))</f>
        <v/>
      </c>
      <c r="E126">
        <f>IF(A126="","",SUMIF('Stock Out'!$B$5:$B$3004,A126,'Stock Out'!$D$5:$D$3004))</f>
        <v/>
      </c>
      <c r="F126">
        <f>IF(A126="","",C126+D126-E126)</f>
        <v/>
      </c>
      <c r="G126" s="18">
        <f>IF(A126="","",F126*N(Items!F126))</f>
        <v/>
      </c>
      <c r="H126">
        <f>IF(A126="","",IF(F126&lt;=0,"OUT OF STOCK",IF(F126&lt;=N(Items!H126),"REORDER","OK")))</f>
        <v/>
      </c>
      <c r="I126" s="18">
        <f>IF(A126="","",SUMIF('Stock Out'!$B$5:$B$3004,A126,'Stock Out'!$F$5:$F$3004))</f>
        <v/>
      </c>
    </row>
    <row r="127">
      <c r="A127">
        <f>IF(Items!A127="","",Items!A127)</f>
        <v/>
      </c>
      <c r="B127">
        <f>IF(A127="","",Items!B127)</f>
        <v/>
      </c>
      <c r="C127">
        <f>IF(A127="","",N(Items!E127))</f>
        <v/>
      </c>
      <c r="D127">
        <f>IF(A127="","",SUMIF('Stock In'!$B$5:$B$3004,A127,'Stock In'!$D$5:$D$3004))</f>
        <v/>
      </c>
      <c r="E127">
        <f>IF(A127="","",SUMIF('Stock Out'!$B$5:$B$3004,A127,'Stock Out'!$D$5:$D$3004))</f>
        <v/>
      </c>
      <c r="F127">
        <f>IF(A127="","",C127+D127-E127)</f>
        <v/>
      </c>
      <c r="G127" s="18">
        <f>IF(A127="","",F127*N(Items!F127))</f>
        <v/>
      </c>
      <c r="H127">
        <f>IF(A127="","",IF(F127&lt;=0,"OUT OF STOCK",IF(F127&lt;=N(Items!H127),"REORDER","OK")))</f>
        <v/>
      </c>
      <c r="I127" s="18">
        <f>IF(A127="","",SUMIF('Stock Out'!$B$5:$B$3004,A127,'Stock Out'!$F$5:$F$3004))</f>
        <v/>
      </c>
    </row>
    <row r="128">
      <c r="A128">
        <f>IF(Items!A128="","",Items!A128)</f>
        <v/>
      </c>
      <c r="B128">
        <f>IF(A128="","",Items!B128)</f>
        <v/>
      </c>
      <c r="C128">
        <f>IF(A128="","",N(Items!E128))</f>
        <v/>
      </c>
      <c r="D128">
        <f>IF(A128="","",SUMIF('Stock In'!$B$5:$B$3004,A128,'Stock In'!$D$5:$D$3004))</f>
        <v/>
      </c>
      <c r="E128">
        <f>IF(A128="","",SUMIF('Stock Out'!$B$5:$B$3004,A128,'Stock Out'!$D$5:$D$3004))</f>
        <v/>
      </c>
      <c r="F128">
        <f>IF(A128="","",C128+D128-E128)</f>
        <v/>
      </c>
      <c r="G128" s="18">
        <f>IF(A128="","",F128*N(Items!F128))</f>
        <v/>
      </c>
      <c r="H128">
        <f>IF(A128="","",IF(F128&lt;=0,"OUT OF STOCK",IF(F128&lt;=N(Items!H128),"REORDER","OK")))</f>
        <v/>
      </c>
      <c r="I128" s="18">
        <f>IF(A128="","",SUMIF('Stock Out'!$B$5:$B$3004,A128,'Stock Out'!$F$5:$F$3004))</f>
        <v/>
      </c>
    </row>
    <row r="129">
      <c r="A129">
        <f>IF(Items!A129="","",Items!A129)</f>
        <v/>
      </c>
      <c r="B129">
        <f>IF(A129="","",Items!B129)</f>
        <v/>
      </c>
      <c r="C129">
        <f>IF(A129="","",N(Items!E129))</f>
        <v/>
      </c>
      <c r="D129">
        <f>IF(A129="","",SUMIF('Stock In'!$B$5:$B$3004,A129,'Stock In'!$D$5:$D$3004))</f>
        <v/>
      </c>
      <c r="E129">
        <f>IF(A129="","",SUMIF('Stock Out'!$B$5:$B$3004,A129,'Stock Out'!$D$5:$D$3004))</f>
        <v/>
      </c>
      <c r="F129">
        <f>IF(A129="","",C129+D129-E129)</f>
        <v/>
      </c>
      <c r="G129" s="18">
        <f>IF(A129="","",F129*N(Items!F129))</f>
        <v/>
      </c>
      <c r="H129">
        <f>IF(A129="","",IF(F129&lt;=0,"OUT OF STOCK",IF(F129&lt;=N(Items!H129),"REORDER","OK")))</f>
        <v/>
      </c>
      <c r="I129" s="18">
        <f>IF(A129="","",SUMIF('Stock Out'!$B$5:$B$3004,A129,'Stock Out'!$F$5:$F$3004))</f>
        <v/>
      </c>
    </row>
    <row r="130">
      <c r="A130">
        <f>IF(Items!A130="","",Items!A130)</f>
        <v/>
      </c>
      <c r="B130">
        <f>IF(A130="","",Items!B130)</f>
        <v/>
      </c>
      <c r="C130">
        <f>IF(A130="","",N(Items!E130))</f>
        <v/>
      </c>
      <c r="D130">
        <f>IF(A130="","",SUMIF('Stock In'!$B$5:$B$3004,A130,'Stock In'!$D$5:$D$3004))</f>
        <v/>
      </c>
      <c r="E130">
        <f>IF(A130="","",SUMIF('Stock Out'!$B$5:$B$3004,A130,'Stock Out'!$D$5:$D$3004))</f>
        <v/>
      </c>
      <c r="F130">
        <f>IF(A130="","",C130+D130-E130)</f>
        <v/>
      </c>
      <c r="G130" s="18">
        <f>IF(A130="","",F130*N(Items!F130))</f>
        <v/>
      </c>
      <c r="H130">
        <f>IF(A130="","",IF(F130&lt;=0,"OUT OF STOCK",IF(F130&lt;=N(Items!H130),"REORDER","OK")))</f>
        <v/>
      </c>
      <c r="I130" s="18">
        <f>IF(A130="","",SUMIF('Stock Out'!$B$5:$B$3004,A130,'Stock Out'!$F$5:$F$3004))</f>
        <v/>
      </c>
    </row>
    <row r="131">
      <c r="A131">
        <f>IF(Items!A131="","",Items!A131)</f>
        <v/>
      </c>
      <c r="B131">
        <f>IF(A131="","",Items!B131)</f>
        <v/>
      </c>
      <c r="C131">
        <f>IF(A131="","",N(Items!E131))</f>
        <v/>
      </c>
      <c r="D131">
        <f>IF(A131="","",SUMIF('Stock In'!$B$5:$B$3004,A131,'Stock In'!$D$5:$D$3004))</f>
        <v/>
      </c>
      <c r="E131">
        <f>IF(A131="","",SUMIF('Stock Out'!$B$5:$B$3004,A131,'Stock Out'!$D$5:$D$3004))</f>
        <v/>
      </c>
      <c r="F131">
        <f>IF(A131="","",C131+D131-E131)</f>
        <v/>
      </c>
      <c r="G131" s="18">
        <f>IF(A131="","",F131*N(Items!F131))</f>
        <v/>
      </c>
      <c r="H131">
        <f>IF(A131="","",IF(F131&lt;=0,"OUT OF STOCK",IF(F131&lt;=N(Items!H131),"REORDER","OK")))</f>
        <v/>
      </c>
      <c r="I131" s="18">
        <f>IF(A131="","",SUMIF('Stock Out'!$B$5:$B$3004,A131,'Stock Out'!$F$5:$F$3004))</f>
        <v/>
      </c>
    </row>
    <row r="132">
      <c r="A132">
        <f>IF(Items!A132="","",Items!A132)</f>
        <v/>
      </c>
      <c r="B132">
        <f>IF(A132="","",Items!B132)</f>
        <v/>
      </c>
      <c r="C132">
        <f>IF(A132="","",N(Items!E132))</f>
        <v/>
      </c>
      <c r="D132">
        <f>IF(A132="","",SUMIF('Stock In'!$B$5:$B$3004,A132,'Stock In'!$D$5:$D$3004))</f>
        <v/>
      </c>
      <c r="E132">
        <f>IF(A132="","",SUMIF('Stock Out'!$B$5:$B$3004,A132,'Stock Out'!$D$5:$D$3004))</f>
        <v/>
      </c>
      <c r="F132">
        <f>IF(A132="","",C132+D132-E132)</f>
        <v/>
      </c>
      <c r="G132" s="18">
        <f>IF(A132="","",F132*N(Items!F132))</f>
        <v/>
      </c>
      <c r="H132">
        <f>IF(A132="","",IF(F132&lt;=0,"OUT OF STOCK",IF(F132&lt;=N(Items!H132),"REORDER","OK")))</f>
        <v/>
      </c>
      <c r="I132" s="18">
        <f>IF(A132="","",SUMIF('Stock Out'!$B$5:$B$3004,A132,'Stock Out'!$F$5:$F$3004))</f>
        <v/>
      </c>
    </row>
    <row r="133">
      <c r="A133">
        <f>IF(Items!A133="","",Items!A133)</f>
        <v/>
      </c>
      <c r="B133">
        <f>IF(A133="","",Items!B133)</f>
        <v/>
      </c>
      <c r="C133">
        <f>IF(A133="","",N(Items!E133))</f>
        <v/>
      </c>
      <c r="D133">
        <f>IF(A133="","",SUMIF('Stock In'!$B$5:$B$3004,A133,'Stock In'!$D$5:$D$3004))</f>
        <v/>
      </c>
      <c r="E133">
        <f>IF(A133="","",SUMIF('Stock Out'!$B$5:$B$3004,A133,'Stock Out'!$D$5:$D$3004))</f>
        <v/>
      </c>
      <c r="F133">
        <f>IF(A133="","",C133+D133-E133)</f>
        <v/>
      </c>
      <c r="G133" s="18">
        <f>IF(A133="","",F133*N(Items!F133))</f>
        <v/>
      </c>
      <c r="H133">
        <f>IF(A133="","",IF(F133&lt;=0,"OUT OF STOCK",IF(F133&lt;=N(Items!H133),"REORDER","OK")))</f>
        <v/>
      </c>
      <c r="I133" s="18">
        <f>IF(A133="","",SUMIF('Stock Out'!$B$5:$B$3004,A133,'Stock Out'!$F$5:$F$3004))</f>
        <v/>
      </c>
    </row>
    <row r="134">
      <c r="A134">
        <f>IF(Items!A134="","",Items!A134)</f>
        <v/>
      </c>
      <c r="B134">
        <f>IF(A134="","",Items!B134)</f>
        <v/>
      </c>
      <c r="C134">
        <f>IF(A134="","",N(Items!E134))</f>
        <v/>
      </c>
      <c r="D134">
        <f>IF(A134="","",SUMIF('Stock In'!$B$5:$B$3004,A134,'Stock In'!$D$5:$D$3004))</f>
        <v/>
      </c>
      <c r="E134">
        <f>IF(A134="","",SUMIF('Stock Out'!$B$5:$B$3004,A134,'Stock Out'!$D$5:$D$3004))</f>
        <v/>
      </c>
      <c r="F134">
        <f>IF(A134="","",C134+D134-E134)</f>
        <v/>
      </c>
      <c r="G134" s="18">
        <f>IF(A134="","",F134*N(Items!F134))</f>
        <v/>
      </c>
      <c r="H134">
        <f>IF(A134="","",IF(F134&lt;=0,"OUT OF STOCK",IF(F134&lt;=N(Items!H134),"REORDER","OK")))</f>
        <v/>
      </c>
      <c r="I134" s="18">
        <f>IF(A134="","",SUMIF('Stock Out'!$B$5:$B$3004,A134,'Stock Out'!$F$5:$F$3004))</f>
        <v/>
      </c>
    </row>
    <row r="135">
      <c r="A135">
        <f>IF(Items!A135="","",Items!A135)</f>
        <v/>
      </c>
      <c r="B135">
        <f>IF(A135="","",Items!B135)</f>
        <v/>
      </c>
      <c r="C135">
        <f>IF(A135="","",N(Items!E135))</f>
        <v/>
      </c>
      <c r="D135">
        <f>IF(A135="","",SUMIF('Stock In'!$B$5:$B$3004,A135,'Stock In'!$D$5:$D$3004))</f>
        <v/>
      </c>
      <c r="E135">
        <f>IF(A135="","",SUMIF('Stock Out'!$B$5:$B$3004,A135,'Stock Out'!$D$5:$D$3004))</f>
        <v/>
      </c>
      <c r="F135">
        <f>IF(A135="","",C135+D135-E135)</f>
        <v/>
      </c>
      <c r="G135" s="18">
        <f>IF(A135="","",F135*N(Items!F135))</f>
        <v/>
      </c>
      <c r="H135">
        <f>IF(A135="","",IF(F135&lt;=0,"OUT OF STOCK",IF(F135&lt;=N(Items!H135),"REORDER","OK")))</f>
        <v/>
      </c>
      <c r="I135" s="18">
        <f>IF(A135="","",SUMIF('Stock Out'!$B$5:$B$3004,A135,'Stock Out'!$F$5:$F$3004))</f>
        <v/>
      </c>
    </row>
    <row r="136">
      <c r="A136">
        <f>IF(Items!A136="","",Items!A136)</f>
        <v/>
      </c>
      <c r="B136">
        <f>IF(A136="","",Items!B136)</f>
        <v/>
      </c>
      <c r="C136">
        <f>IF(A136="","",N(Items!E136))</f>
        <v/>
      </c>
      <c r="D136">
        <f>IF(A136="","",SUMIF('Stock In'!$B$5:$B$3004,A136,'Stock In'!$D$5:$D$3004))</f>
        <v/>
      </c>
      <c r="E136">
        <f>IF(A136="","",SUMIF('Stock Out'!$B$5:$B$3004,A136,'Stock Out'!$D$5:$D$3004))</f>
        <v/>
      </c>
      <c r="F136">
        <f>IF(A136="","",C136+D136-E136)</f>
        <v/>
      </c>
      <c r="G136" s="18">
        <f>IF(A136="","",F136*N(Items!F136))</f>
        <v/>
      </c>
      <c r="H136">
        <f>IF(A136="","",IF(F136&lt;=0,"OUT OF STOCK",IF(F136&lt;=N(Items!H136),"REORDER","OK")))</f>
        <v/>
      </c>
      <c r="I136" s="18">
        <f>IF(A136="","",SUMIF('Stock Out'!$B$5:$B$3004,A136,'Stock Out'!$F$5:$F$3004))</f>
        <v/>
      </c>
    </row>
    <row r="137">
      <c r="A137">
        <f>IF(Items!A137="","",Items!A137)</f>
        <v/>
      </c>
      <c r="B137">
        <f>IF(A137="","",Items!B137)</f>
        <v/>
      </c>
      <c r="C137">
        <f>IF(A137="","",N(Items!E137))</f>
        <v/>
      </c>
      <c r="D137">
        <f>IF(A137="","",SUMIF('Stock In'!$B$5:$B$3004,A137,'Stock In'!$D$5:$D$3004))</f>
        <v/>
      </c>
      <c r="E137">
        <f>IF(A137="","",SUMIF('Stock Out'!$B$5:$B$3004,A137,'Stock Out'!$D$5:$D$3004))</f>
        <v/>
      </c>
      <c r="F137">
        <f>IF(A137="","",C137+D137-E137)</f>
        <v/>
      </c>
      <c r="G137" s="18">
        <f>IF(A137="","",F137*N(Items!F137))</f>
        <v/>
      </c>
      <c r="H137">
        <f>IF(A137="","",IF(F137&lt;=0,"OUT OF STOCK",IF(F137&lt;=N(Items!H137),"REORDER","OK")))</f>
        <v/>
      </c>
      <c r="I137" s="18">
        <f>IF(A137="","",SUMIF('Stock Out'!$B$5:$B$3004,A137,'Stock Out'!$F$5:$F$3004))</f>
        <v/>
      </c>
    </row>
    <row r="138">
      <c r="A138">
        <f>IF(Items!A138="","",Items!A138)</f>
        <v/>
      </c>
      <c r="B138">
        <f>IF(A138="","",Items!B138)</f>
        <v/>
      </c>
      <c r="C138">
        <f>IF(A138="","",N(Items!E138))</f>
        <v/>
      </c>
      <c r="D138">
        <f>IF(A138="","",SUMIF('Stock In'!$B$5:$B$3004,A138,'Stock In'!$D$5:$D$3004))</f>
        <v/>
      </c>
      <c r="E138">
        <f>IF(A138="","",SUMIF('Stock Out'!$B$5:$B$3004,A138,'Stock Out'!$D$5:$D$3004))</f>
        <v/>
      </c>
      <c r="F138">
        <f>IF(A138="","",C138+D138-E138)</f>
        <v/>
      </c>
      <c r="G138" s="18">
        <f>IF(A138="","",F138*N(Items!F138))</f>
        <v/>
      </c>
      <c r="H138">
        <f>IF(A138="","",IF(F138&lt;=0,"OUT OF STOCK",IF(F138&lt;=N(Items!H138),"REORDER","OK")))</f>
        <v/>
      </c>
      <c r="I138" s="18">
        <f>IF(A138="","",SUMIF('Stock Out'!$B$5:$B$3004,A138,'Stock Out'!$F$5:$F$3004))</f>
        <v/>
      </c>
    </row>
    <row r="139">
      <c r="A139">
        <f>IF(Items!A139="","",Items!A139)</f>
        <v/>
      </c>
      <c r="B139">
        <f>IF(A139="","",Items!B139)</f>
        <v/>
      </c>
      <c r="C139">
        <f>IF(A139="","",N(Items!E139))</f>
        <v/>
      </c>
      <c r="D139">
        <f>IF(A139="","",SUMIF('Stock In'!$B$5:$B$3004,A139,'Stock In'!$D$5:$D$3004))</f>
        <v/>
      </c>
      <c r="E139">
        <f>IF(A139="","",SUMIF('Stock Out'!$B$5:$B$3004,A139,'Stock Out'!$D$5:$D$3004))</f>
        <v/>
      </c>
      <c r="F139">
        <f>IF(A139="","",C139+D139-E139)</f>
        <v/>
      </c>
      <c r="G139" s="18">
        <f>IF(A139="","",F139*N(Items!F139))</f>
        <v/>
      </c>
      <c r="H139">
        <f>IF(A139="","",IF(F139&lt;=0,"OUT OF STOCK",IF(F139&lt;=N(Items!H139),"REORDER","OK")))</f>
        <v/>
      </c>
      <c r="I139" s="18">
        <f>IF(A139="","",SUMIF('Stock Out'!$B$5:$B$3004,A139,'Stock Out'!$F$5:$F$3004))</f>
        <v/>
      </c>
    </row>
    <row r="140">
      <c r="A140">
        <f>IF(Items!A140="","",Items!A140)</f>
        <v/>
      </c>
      <c r="B140">
        <f>IF(A140="","",Items!B140)</f>
        <v/>
      </c>
      <c r="C140">
        <f>IF(A140="","",N(Items!E140))</f>
        <v/>
      </c>
      <c r="D140">
        <f>IF(A140="","",SUMIF('Stock In'!$B$5:$B$3004,A140,'Stock In'!$D$5:$D$3004))</f>
        <v/>
      </c>
      <c r="E140">
        <f>IF(A140="","",SUMIF('Stock Out'!$B$5:$B$3004,A140,'Stock Out'!$D$5:$D$3004))</f>
        <v/>
      </c>
      <c r="F140">
        <f>IF(A140="","",C140+D140-E140)</f>
        <v/>
      </c>
      <c r="G140" s="18">
        <f>IF(A140="","",F140*N(Items!F140))</f>
        <v/>
      </c>
      <c r="H140">
        <f>IF(A140="","",IF(F140&lt;=0,"OUT OF STOCK",IF(F140&lt;=N(Items!H140),"REORDER","OK")))</f>
        <v/>
      </c>
      <c r="I140" s="18">
        <f>IF(A140="","",SUMIF('Stock Out'!$B$5:$B$3004,A140,'Stock Out'!$F$5:$F$3004))</f>
        <v/>
      </c>
    </row>
    <row r="141">
      <c r="A141">
        <f>IF(Items!A141="","",Items!A141)</f>
        <v/>
      </c>
      <c r="B141">
        <f>IF(A141="","",Items!B141)</f>
        <v/>
      </c>
      <c r="C141">
        <f>IF(A141="","",N(Items!E141))</f>
        <v/>
      </c>
      <c r="D141">
        <f>IF(A141="","",SUMIF('Stock In'!$B$5:$B$3004,A141,'Stock In'!$D$5:$D$3004))</f>
        <v/>
      </c>
      <c r="E141">
        <f>IF(A141="","",SUMIF('Stock Out'!$B$5:$B$3004,A141,'Stock Out'!$D$5:$D$3004))</f>
        <v/>
      </c>
      <c r="F141">
        <f>IF(A141="","",C141+D141-E141)</f>
        <v/>
      </c>
      <c r="G141" s="18">
        <f>IF(A141="","",F141*N(Items!F141))</f>
        <v/>
      </c>
      <c r="H141">
        <f>IF(A141="","",IF(F141&lt;=0,"OUT OF STOCK",IF(F141&lt;=N(Items!H141),"REORDER","OK")))</f>
        <v/>
      </c>
      <c r="I141" s="18">
        <f>IF(A141="","",SUMIF('Stock Out'!$B$5:$B$3004,A141,'Stock Out'!$F$5:$F$3004))</f>
        <v/>
      </c>
    </row>
    <row r="142">
      <c r="A142">
        <f>IF(Items!A142="","",Items!A142)</f>
        <v/>
      </c>
      <c r="B142">
        <f>IF(A142="","",Items!B142)</f>
        <v/>
      </c>
      <c r="C142">
        <f>IF(A142="","",N(Items!E142))</f>
        <v/>
      </c>
      <c r="D142">
        <f>IF(A142="","",SUMIF('Stock In'!$B$5:$B$3004,A142,'Stock In'!$D$5:$D$3004))</f>
        <v/>
      </c>
      <c r="E142">
        <f>IF(A142="","",SUMIF('Stock Out'!$B$5:$B$3004,A142,'Stock Out'!$D$5:$D$3004))</f>
        <v/>
      </c>
      <c r="F142">
        <f>IF(A142="","",C142+D142-E142)</f>
        <v/>
      </c>
      <c r="G142" s="18">
        <f>IF(A142="","",F142*N(Items!F142))</f>
        <v/>
      </c>
      <c r="H142">
        <f>IF(A142="","",IF(F142&lt;=0,"OUT OF STOCK",IF(F142&lt;=N(Items!H142),"REORDER","OK")))</f>
        <v/>
      </c>
      <c r="I142" s="18">
        <f>IF(A142="","",SUMIF('Stock Out'!$B$5:$B$3004,A142,'Stock Out'!$F$5:$F$3004))</f>
        <v/>
      </c>
    </row>
    <row r="143">
      <c r="A143">
        <f>IF(Items!A143="","",Items!A143)</f>
        <v/>
      </c>
      <c r="B143">
        <f>IF(A143="","",Items!B143)</f>
        <v/>
      </c>
      <c r="C143">
        <f>IF(A143="","",N(Items!E143))</f>
        <v/>
      </c>
      <c r="D143">
        <f>IF(A143="","",SUMIF('Stock In'!$B$5:$B$3004,A143,'Stock In'!$D$5:$D$3004))</f>
        <v/>
      </c>
      <c r="E143">
        <f>IF(A143="","",SUMIF('Stock Out'!$B$5:$B$3004,A143,'Stock Out'!$D$5:$D$3004))</f>
        <v/>
      </c>
      <c r="F143">
        <f>IF(A143="","",C143+D143-E143)</f>
        <v/>
      </c>
      <c r="G143" s="18">
        <f>IF(A143="","",F143*N(Items!F143))</f>
        <v/>
      </c>
      <c r="H143">
        <f>IF(A143="","",IF(F143&lt;=0,"OUT OF STOCK",IF(F143&lt;=N(Items!H143),"REORDER","OK")))</f>
        <v/>
      </c>
      <c r="I143" s="18">
        <f>IF(A143="","",SUMIF('Stock Out'!$B$5:$B$3004,A143,'Stock Out'!$F$5:$F$3004))</f>
        <v/>
      </c>
    </row>
    <row r="144">
      <c r="A144">
        <f>IF(Items!A144="","",Items!A144)</f>
        <v/>
      </c>
      <c r="B144">
        <f>IF(A144="","",Items!B144)</f>
        <v/>
      </c>
      <c r="C144">
        <f>IF(A144="","",N(Items!E144))</f>
        <v/>
      </c>
      <c r="D144">
        <f>IF(A144="","",SUMIF('Stock In'!$B$5:$B$3004,A144,'Stock In'!$D$5:$D$3004))</f>
        <v/>
      </c>
      <c r="E144">
        <f>IF(A144="","",SUMIF('Stock Out'!$B$5:$B$3004,A144,'Stock Out'!$D$5:$D$3004))</f>
        <v/>
      </c>
      <c r="F144">
        <f>IF(A144="","",C144+D144-E144)</f>
        <v/>
      </c>
      <c r="G144" s="18">
        <f>IF(A144="","",F144*N(Items!F144))</f>
        <v/>
      </c>
      <c r="H144">
        <f>IF(A144="","",IF(F144&lt;=0,"OUT OF STOCK",IF(F144&lt;=N(Items!H144),"REORDER","OK")))</f>
        <v/>
      </c>
      <c r="I144" s="18">
        <f>IF(A144="","",SUMIF('Stock Out'!$B$5:$B$3004,A144,'Stock Out'!$F$5:$F$3004))</f>
        <v/>
      </c>
    </row>
    <row r="145">
      <c r="A145">
        <f>IF(Items!A145="","",Items!A145)</f>
        <v/>
      </c>
      <c r="B145">
        <f>IF(A145="","",Items!B145)</f>
        <v/>
      </c>
      <c r="C145">
        <f>IF(A145="","",N(Items!E145))</f>
        <v/>
      </c>
      <c r="D145">
        <f>IF(A145="","",SUMIF('Stock In'!$B$5:$B$3004,A145,'Stock In'!$D$5:$D$3004))</f>
        <v/>
      </c>
      <c r="E145">
        <f>IF(A145="","",SUMIF('Stock Out'!$B$5:$B$3004,A145,'Stock Out'!$D$5:$D$3004))</f>
        <v/>
      </c>
      <c r="F145">
        <f>IF(A145="","",C145+D145-E145)</f>
        <v/>
      </c>
      <c r="G145" s="18">
        <f>IF(A145="","",F145*N(Items!F145))</f>
        <v/>
      </c>
      <c r="H145">
        <f>IF(A145="","",IF(F145&lt;=0,"OUT OF STOCK",IF(F145&lt;=N(Items!H145),"REORDER","OK")))</f>
        <v/>
      </c>
      <c r="I145" s="18">
        <f>IF(A145="","",SUMIF('Stock Out'!$B$5:$B$3004,A145,'Stock Out'!$F$5:$F$3004))</f>
        <v/>
      </c>
    </row>
    <row r="146">
      <c r="A146">
        <f>IF(Items!A146="","",Items!A146)</f>
        <v/>
      </c>
      <c r="B146">
        <f>IF(A146="","",Items!B146)</f>
        <v/>
      </c>
      <c r="C146">
        <f>IF(A146="","",N(Items!E146))</f>
        <v/>
      </c>
      <c r="D146">
        <f>IF(A146="","",SUMIF('Stock In'!$B$5:$B$3004,A146,'Stock In'!$D$5:$D$3004))</f>
        <v/>
      </c>
      <c r="E146">
        <f>IF(A146="","",SUMIF('Stock Out'!$B$5:$B$3004,A146,'Stock Out'!$D$5:$D$3004))</f>
        <v/>
      </c>
      <c r="F146">
        <f>IF(A146="","",C146+D146-E146)</f>
        <v/>
      </c>
      <c r="G146" s="18">
        <f>IF(A146="","",F146*N(Items!F146))</f>
        <v/>
      </c>
      <c r="H146">
        <f>IF(A146="","",IF(F146&lt;=0,"OUT OF STOCK",IF(F146&lt;=N(Items!H146),"REORDER","OK")))</f>
        <v/>
      </c>
      <c r="I146" s="18">
        <f>IF(A146="","",SUMIF('Stock Out'!$B$5:$B$3004,A146,'Stock Out'!$F$5:$F$3004))</f>
        <v/>
      </c>
    </row>
    <row r="147">
      <c r="A147">
        <f>IF(Items!A147="","",Items!A147)</f>
        <v/>
      </c>
      <c r="B147">
        <f>IF(A147="","",Items!B147)</f>
        <v/>
      </c>
      <c r="C147">
        <f>IF(A147="","",N(Items!E147))</f>
        <v/>
      </c>
      <c r="D147">
        <f>IF(A147="","",SUMIF('Stock In'!$B$5:$B$3004,A147,'Stock In'!$D$5:$D$3004))</f>
        <v/>
      </c>
      <c r="E147">
        <f>IF(A147="","",SUMIF('Stock Out'!$B$5:$B$3004,A147,'Stock Out'!$D$5:$D$3004))</f>
        <v/>
      </c>
      <c r="F147">
        <f>IF(A147="","",C147+D147-E147)</f>
        <v/>
      </c>
      <c r="G147" s="18">
        <f>IF(A147="","",F147*N(Items!F147))</f>
        <v/>
      </c>
      <c r="H147">
        <f>IF(A147="","",IF(F147&lt;=0,"OUT OF STOCK",IF(F147&lt;=N(Items!H147),"REORDER","OK")))</f>
        <v/>
      </c>
      <c r="I147" s="18">
        <f>IF(A147="","",SUMIF('Stock Out'!$B$5:$B$3004,A147,'Stock Out'!$F$5:$F$3004))</f>
        <v/>
      </c>
    </row>
    <row r="148">
      <c r="A148">
        <f>IF(Items!A148="","",Items!A148)</f>
        <v/>
      </c>
      <c r="B148">
        <f>IF(A148="","",Items!B148)</f>
        <v/>
      </c>
      <c r="C148">
        <f>IF(A148="","",N(Items!E148))</f>
        <v/>
      </c>
      <c r="D148">
        <f>IF(A148="","",SUMIF('Stock In'!$B$5:$B$3004,A148,'Stock In'!$D$5:$D$3004))</f>
        <v/>
      </c>
      <c r="E148">
        <f>IF(A148="","",SUMIF('Stock Out'!$B$5:$B$3004,A148,'Stock Out'!$D$5:$D$3004))</f>
        <v/>
      </c>
      <c r="F148">
        <f>IF(A148="","",C148+D148-E148)</f>
        <v/>
      </c>
      <c r="G148" s="18">
        <f>IF(A148="","",F148*N(Items!F148))</f>
        <v/>
      </c>
      <c r="H148">
        <f>IF(A148="","",IF(F148&lt;=0,"OUT OF STOCK",IF(F148&lt;=N(Items!H148),"REORDER","OK")))</f>
        <v/>
      </c>
      <c r="I148" s="18">
        <f>IF(A148="","",SUMIF('Stock Out'!$B$5:$B$3004,A148,'Stock Out'!$F$5:$F$3004))</f>
        <v/>
      </c>
    </row>
    <row r="149">
      <c r="A149">
        <f>IF(Items!A149="","",Items!A149)</f>
        <v/>
      </c>
      <c r="B149">
        <f>IF(A149="","",Items!B149)</f>
        <v/>
      </c>
      <c r="C149">
        <f>IF(A149="","",N(Items!E149))</f>
        <v/>
      </c>
      <c r="D149">
        <f>IF(A149="","",SUMIF('Stock In'!$B$5:$B$3004,A149,'Stock In'!$D$5:$D$3004))</f>
        <v/>
      </c>
      <c r="E149">
        <f>IF(A149="","",SUMIF('Stock Out'!$B$5:$B$3004,A149,'Stock Out'!$D$5:$D$3004))</f>
        <v/>
      </c>
      <c r="F149">
        <f>IF(A149="","",C149+D149-E149)</f>
        <v/>
      </c>
      <c r="G149" s="18">
        <f>IF(A149="","",F149*N(Items!F149))</f>
        <v/>
      </c>
      <c r="H149">
        <f>IF(A149="","",IF(F149&lt;=0,"OUT OF STOCK",IF(F149&lt;=N(Items!H149),"REORDER","OK")))</f>
        <v/>
      </c>
      <c r="I149" s="18">
        <f>IF(A149="","",SUMIF('Stock Out'!$B$5:$B$3004,A149,'Stock Out'!$F$5:$F$3004))</f>
        <v/>
      </c>
    </row>
    <row r="150">
      <c r="A150">
        <f>IF(Items!A150="","",Items!A150)</f>
        <v/>
      </c>
      <c r="B150">
        <f>IF(A150="","",Items!B150)</f>
        <v/>
      </c>
      <c r="C150">
        <f>IF(A150="","",N(Items!E150))</f>
        <v/>
      </c>
      <c r="D150">
        <f>IF(A150="","",SUMIF('Stock In'!$B$5:$B$3004,A150,'Stock In'!$D$5:$D$3004))</f>
        <v/>
      </c>
      <c r="E150">
        <f>IF(A150="","",SUMIF('Stock Out'!$B$5:$B$3004,A150,'Stock Out'!$D$5:$D$3004))</f>
        <v/>
      </c>
      <c r="F150">
        <f>IF(A150="","",C150+D150-E150)</f>
        <v/>
      </c>
      <c r="G150" s="18">
        <f>IF(A150="","",F150*N(Items!F150))</f>
        <v/>
      </c>
      <c r="H150">
        <f>IF(A150="","",IF(F150&lt;=0,"OUT OF STOCK",IF(F150&lt;=N(Items!H150),"REORDER","OK")))</f>
        <v/>
      </c>
      <c r="I150" s="18">
        <f>IF(A150="","",SUMIF('Stock Out'!$B$5:$B$3004,A150,'Stock Out'!$F$5:$F$3004))</f>
        <v/>
      </c>
    </row>
    <row r="151">
      <c r="A151">
        <f>IF(Items!A151="","",Items!A151)</f>
        <v/>
      </c>
      <c r="B151">
        <f>IF(A151="","",Items!B151)</f>
        <v/>
      </c>
      <c r="C151">
        <f>IF(A151="","",N(Items!E151))</f>
        <v/>
      </c>
      <c r="D151">
        <f>IF(A151="","",SUMIF('Stock In'!$B$5:$B$3004,A151,'Stock In'!$D$5:$D$3004))</f>
        <v/>
      </c>
      <c r="E151">
        <f>IF(A151="","",SUMIF('Stock Out'!$B$5:$B$3004,A151,'Stock Out'!$D$5:$D$3004))</f>
        <v/>
      </c>
      <c r="F151">
        <f>IF(A151="","",C151+D151-E151)</f>
        <v/>
      </c>
      <c r="G151" s="18">
        <f>IF(A151="","",F151*N(Items!F151))</f>
        <v/>
      </c>
      <c r="H151">
        <f>IF(A151="","",IF(F151&lt;=0,"OUT OF STOCK",IF(F151&lt;=N(Items!H151),"REORDER","OK")))</f>
        <v/>
      </c>
      <c r="I151" s="18">
        <f>IF(A151="","",SUMIF('Stock Out'!$B$5:$B$3004,A151,'Stock Out'!$F$5:$F$3004))</f>
        <v/>
      </c>
    </row>
    <row r="152">
      <c r="A152">
        <f>IF(Items!A152="","",Items!A152)</f>
        <v/>
      </c>
      <c r="B152">
        <f>IF(A152="","",Items!B152)</f>
        <v/>
      </c>
      <c r="C152">
        <f>IF(A152="","",N(Items!E152))</f>
        <v/>
      </c>
      <c r="D152">
        <f>IF(A152="","",SUMIF('Stock In'!$B$5:$B$3004,A152,'Stock In'!$D$5:$D$3004))</f>
        <v/>
      </c>
      <c r="E152">
        <f>IF(A152="","",SUMIF('Stock Out'!$B$5:$B$3004,A152,'Stock Out'!$D$5:$D$3004))</f>
        <v/>
      </c>
      <c r="F152">
        <f>IF(A152="","",C152+D152-E152)</f>
        <v/>
      </c>
      <c r="G152" s="18">
        <f>IF(A152="","",F152*N(Items!F152))</f>
        <v/>
      </c>
      <c r="H152">
        <f>IF(A152="","",IF(F152&lt;=0,"OUT OF STOCK",IF(F152&lt;=N(Items!H152),"REORDER","OK")))</f>
        <v/>
      </c>
      <c r="I152" s="18">
        <f>IF(A152="","",SUMIF('Stock Out'!$B$5:$B$3004,A152,'Stock Out'!$F$5:$F$3004))</f>
        <v/>
      </c>
    </row>
    <row r="153">
      <c r="A153">
        <f>IF(Items!A153="","",Items!A153)</f>
        <v/>
      </c>
      <c r="B153">
        <f>IF(A153="","",Items!B153)</f>
        <v/>
      </c>
      <c r="C153">
        <f>IF(A153="","",N(Items!E153))</f>
        <v/>
      </c>
      <c r="D153">
        <f>IF(A153="","",SUMIF('Stock In'!$B$5:$B$3004,A153,'Stock In'!$D$5:$D$3004))</f>
        <v/>
      </c>
      <c r="E153">
        <f>IF(A153="","",SUMIF('Stock Out'!$B$5:$B$3004,A153,'Stock Out'!$D$5:$D$3004))</f>
        <v/>
      </c>
      <c r="F153">
        <f>IF(A153="","",C153+D153-E153)</f>
        <v/>
      </c>
      <c r="G153" s="18">
        <f>IF(A153="","",F153*N(Items!F153))</f>
        <v/>
      </c>
      <c r="H153">
        <f>IF(A153="","",IF(F153&lt;=0,"OUT OF STOCK",IF(F153&lt;=N(Items!H153),"REORDER","OK")))</f>
        <v/>
      </c>
      <c r="I153" s="18">
        <f>IF(A153="","",SUMIF('Stock Out'!$B$5:$B$3004,A153,'Stock Out'!$F$5:$F$3004))</f>
        <v/>
      </c>
    </row>
    <row r="154">
      <c r="A154">
        <f>IF(Items!A154="","",Items!A154)</f>
        <v/>
      </c>
      <c r="B154">
        <f>IF(A154="","",Items!B154)</f>
        <v/>
      </c>
      <c r="C154">
        <f>IF(A154="","",N(Items!E154))</f>
        <v/>
      </c>
      <c r="D154">
        <f>IF(A154="","",SUMIF('Stock In'!$B$5:$B$3004,A154,'Stock In'!$D$5:$D$3004))</f>
        <v/>
      </c>
      <c r="E154">
        <f>IF(A154="","",SUMIF('Stock Out'!$B$5:$B$3004,A154,'Stock Out'!$D$5:$D$3004))</f>
        <v/>
      </c>
      <c r="F154">
        <f>IF(A154="","",C154+D154-E154)</f>
        <v/>
      </c>
      <c r="G154" s="18">
        <f>IF(A154="","",F154*N(Items!F154))</f>
        <v/>
      </c>
      <c r="H154">
        <f>IF(A154="","",IF(F154&lt;=0,"OUT OF STOCK",IF(F154&lt;=N(Items!H154),"REORDER","OK")))</f>
        <v/>
      </c>
      <c r="I154" s="18">
        <f>IF(A154="","",SUMIF('Stock Out'!$B$5:$B$3004,A154,'Stock Out'!$F$5:$F$3004))</f>
        <v/>
      </c>
    </row>
    <row r="155">
      <c r="A155">
        <f>IF(Items!A155="","",Items!A155)</f>
        <v/>
      </c>
      <c r="B155">
        <f>IF(A155="","",Items!B155)</f>
        <v/>
      </c>
      <c r="C155">
        <f>IF(A155="","",N(Items!E155))</f>
        <v/>
      </c>
      <c r="D155">
        <f>IF(A155="","",SUMIF('Stock In'!$B$5:$B$3004,A155,'Stock In'!$D$5:$D$3004))</f>
        <v/>
      </c>
      <c r="E155">
        <f>IF(A155="","",SUMIF('Stock Out'!$B$5:$B$3004,A155,'Stock Out'!$D$5:$D$3004))</f>
        <v/>
      </c>
      <c r="F155">
        <f>IF(A155="","",C155+D155-E155)</f>
        <v/>
      </c>
      <c r="G155" s="18">
        <f>IF(A155="","",F155*N(Items!F155))</f>
        <v/>
      </c>
      <c r="H155">
        <f>IF(A155="","",IF(F155&lt;=0,"OUT OF STOCK",IF(F155&lt;=N(Items!H155),"REORDER","OK")))</f>
        <v/>
      </c>
      <c r="I155" s="18">
        <f>IF(A155="","",SUMIF('Stock Out'!$B$5:$B$3004,A155,'Stock Out'!$F$5:$F$3004))</f>
        <v/>
      </c>
    </row>
    <row r="156">
      <c r="A156">
        <f>IF(Items!A156="","",Items!A156)</f>
        <v/>
      </c>
      <c r="B156">
        <f>IF(A156="","",Items!B156)</f>
        <v/>
      </c>
      <c r="C156">
        <f>IF(A156="","",N(Items!E156))</f>
        <v/>
      </c>
      <c r="D156">
        <f>IF(A156="","",SUMIF('Stock In'!$B$5:$B$3004,A156,'Stock In'!$D$5:$D$3004))</f>
        <v/>
      </c>
      <c r="E156">
        <f>IF(A156="","",SUMIF('Stock Out'!$B$5:$B$3004,A156,'Stock Out'!$D$5:$D$3004))</f>
        <v/>
      </c>
      <c r="F156">
        <f>IF(A156="","",C156+D156-E156)</f>
        <v/>
      </c>
      <c r="G156" s="18">
        <f>IF(A156="","",F156*N(Items!F156))</f>
        <v/>
      </c>
      <c r="H156">
        <f>IF(A156="","",IF(F156&lt;=0,"OUT OF STOCK",IF(F156&lt;=N(Items!H156),"REORDER","OK")))</f>
        <v/>
      </c>
      <c r="I156" s="18">
        <f>IF(A156="","",SUMIF('Stock Out'!$B$5:$B$3004,A156,'Stock Out'!$F$5:$F$3004))</f>
        <v/>
      </c>
    </row>
    <row r="157">
      <c r="A157">
        <f>IF(Items!A157="","",Items!A157)</f>
        <v/>
      </c>
      <c r="B157">
        <f>IF(A157="","",Items!B157)</f>
        <v/>
      </c>
      <c r="C157">
        <f>IF(A157="","",N(Items!E157))</f>
        <v/>
      </c>
      <c r="D157">
        <f>IF(A157="","",SUMIF('Stock In'!$B$5:$B$3004,A157,'Stock In'!$D$5:$D$3004))</f>
        <v/>
      </c>
      <c r="E157">
        <f>IF(A157="","",SUMIF('Stock Out'!$B$5:$B$3004,A157,'Stock Out'!$D$5:$D$3004))</f>
        <v/>
      </c>
      <c r="F157">
        <f>IF(A157="","",C157+D157-E157)</f>
        <v/>
      </c>
      <c r="G157" s="18">
        <f>IF(A157="","",F157*N(Items!F157))</f>
        <v/>
      </c>
      <c r="H157">
        <f>IF(A157="","",IF(F157&lt;=0,"OUT OF STOCK",IF(F157&lt;=N(Items!H157),"REORDER","OK")))</f>
        <v/>
      </c>
      <c r="I157" s="18">
        <f>IF(A157="","",SUMIF('Stock Out'!$B$5:$B$3004,A157,'Stock Out'!$F$5:$F$3004))</f>
        <v/>
      </c>
    </row>
    <row r="158">
      <c r="A158">
        <f>IF(Items!A158="","",Items!A158)</f>
        <v/>
      </c>
      <c r="B158">
        <f>IF(A158="","",Items!B158)</f>
        <v/>
      </c>
      <c r="C158">
        <f>IF(A158="","",N(Items!E158))</f>
        <v/>
      </c>
      <c r="D158">
        <f>IF(A158="","",SUMIF('Stock In'!$B$5:$B$3004,A158,'Stock In'!$D$5:$D$3004))</f>
        <v/>
      </c>
      <c r="E158">
        <f>IF(A158="","",SUMIF('Stock Out'!$B$5:$B$3004,A158,'Stock Out'!$D$5:$D$3004))</f>
        <v/>
      </c>
      <c r="F158">
        <f>IF(A158="","",C158+D158-E158)</f>
        <v/>
      </c>
      <c r="G158" s="18">
        <f>IF(A158="","",F158*N(Items!F158))</f>
        <v/>
      </c>
      <c r="H158">
        <f>IF(A158="","",IF(F158&lt;=0,"OUT OF STOCK",IF(F158&lt;=N(Items!H158),"REORDER","OK")))</f>
        <v/>
      </c>
      <c r="I158" s="18">
        <f>IF(A158="","",SUMIF('Stock Out'!$B$5:$B$3004,A158,'Stock Out'!$F$5:$F$3004))</f>
        <v/>
      </c>
    </row>
    <row r="159">
      <c r="A159">
        <f>IF(Items!A159="","",Items!A159)</f>
        <v/>
      </c>
      <c r="B159">
        <f>IF(A159="","",Items!B159)</f>
        <v/>
      </c>
      <c r="C159">
        <f>IF(A159="","",N(Items!E159))</f>
        <v/>
      </c>
      <c r="D159">
        <f>IF(A159="","",SUMIF('Stock In'!$B$5:$B$3004,A159,'Stock In'!$D$5:$D$3004))</f>
        <v/>
      </c>
      <c r="E159">
        <f>IF(A159="","",SUMIF('Stock Out'!$B$5:$B$3004,A159,'Stock Out'!$D$5:$D$3004))</f>
        <v/>
      </c>
      <c r="F159">
        <f>IF(A159="","",C159+D159-E159)</f>
        <v/>
      </c>
      <c r="G159" s="18">
        <f>IF(A159="","",F159*N(Items!F159))</f>
        <v/>
      </c>
      <c r="H159">
        <f>IF(A159="","",IF(F159&lt;=0,"OUT OF STOCK",IF(F159&lt;=N(Items!H159),"REORDER","OK")))</f>
        <v/>
      </c>
      <c r="I159" s="18">
        <f>IF(A159="","",SUMIF('Stock Out'!$B$5:$B$3004,A159,'Stock Out'!$F$5:$F$3004))</f>
        <v/>
      </c>
    </row>
    <row r="160">
      <c r="A160">
        <f>IF(Items!A160="","",Items!A160)</f>
        <v/>
      </c>
      <c r="B160">
        <f>IF(A160="","",Items!B160)</f>
        <v/>
      </c>
      <c r="C160">
        <f>IF(A160="","",N(Items!E160))</f>
        <v/>
      </c>
      <c r="D160">
        <f>IF(A160="","",SUMIF('Stock In'!$B$5:$B$3004,A160,'Stock In'!$D$5:$D$3004))</f>
        <v/>
      </c>
      <c r="E160">
        <f>IF(A160="","",SUMIF('Stock Out'!$B$5:$B$3004,A160,'Stock Out'!$D$5:$D$3004))</f>
        <v/>
      </c>
      <c r="F160">
        <f>IF(A160="","",C160+D160-E160)</f>
        <v/>
      </c>
      <c r="G160" s="18">
        <f>IF(A160="","",F160*N(Items!F160))</f>
        <v/>
      </c>
      <c r="H160">
        <f>IF(A160="","",IF(F160&lt;=0,"OUT OF STOCK",IF(F160&lt;=N(Items!H160),"REORDER","OK")))</f>
        <v/>
      </c>
      <c r="I160" s="18">
        <f>IF(A160="","",SUMIF('Stock Out'!$B$5:$B$3004,A160,'Stock Out'!$F$5:$F$3004))</f>
        <v/>
      </c>
    </row>
    <row r="161">
      <c r="A161">
        <f>IF(Items!A161="","",Items!A161)</f>
        <v/>
      </c>
      <c r="B161">
        <f>IF(A161="","",Items!B161)</f>
        <v/>
      </c>
      <c r="C161">
        <f>IF(A161="","",N(Items!E161))</f>
        <v/>
      </c>
      <c r="D161">
        <f>IF(A161="","",SUMIF('Stock In'!$B$5:$B$3004,A161,'Stock In'!$D$5:$D$3004))</f>
        <v/>
      </c>
      <c r="E161">
        <f>IF(A161="","",SUMIF('Stock Out'!$B$5:$B$3004,A161,'Stock Out'!$D$5:$D$3004))</f>
        <v/>
      </c>
      <c r="F161">
        <f>IF(A161="","",C161+D161-E161)</f>
        <v/>
      </c>
      <c r="G161" s="18">
        <f>IF(A161="","",F161*N(Items!F161))</f>
        <v/>
      </c>
      <c r="H161">
        <f>IF(A161="","",IF(F161&lt;=0,"OUT OF STOCK",IF(F161&lt;=N(Items!H161),"REORDER","OK")))</f>
        <v/>
      </c>
      <c r="I161" s="18">
        <f>IF(A161="","",SUMIF('Stock Out'!$B$5:$B$3004,A161,'Stock Out'!$F$5:$F$3004))</f>
        <v/>
      </c>
    </row>
    <row r="162">
      <c r="A162">
        <f>IF(Items!A162="","",Items!A162)</f>
        <v/>
      </c>
      <c r="B162">
        <f>IF(A162="","",Items!B162)</f>
        <v/>
      </c>
      <c r="C162">
        <f>IF(A162="","",N(Items!E162))</f>
        <v/>
      </c>
      <c r="D162">
        <f>IF(A162="","",SUMIF('Stock In'!$B$5:$B$3004,A162,'Stock In'!$D$5:$D$3004))</f>
        <v/>
      </c>
      <c r="E162">
        <f>IF(A162="","",SUMIF('Stock Out'!$B$5:$B$3004,A162,'Stock Out'!$D$5:$D$3004))</f>
        <v/>
      </c>
      <c r="F162">
        <f>IF(A162="","",C162+D162-E162)</f>
        <v/>
      </c>
      <c r="G162" s="18">
        <f>IF(A162="","",F162*N(Items!F162))</f>
        <v/>
      </c>
      <c r="H162">
        <f>IF(A162="","",IF(F162&lt;=0,"OUT OF STOCK",IF(F162&lt;=N(Items!H162),"REORDER","OK")))</f>
        <v/>
      </c>
      <c r="I162" s="18">
        <f>IF(A162="","",SUMIF('Stock Out'!$B$5:$B$3004,A162,'Stock Out'!$F$5:$F$3004))</f>
        <v/>
      </c>
    </row>
    <row r="163">
      <c r="A163">
        <f>IF(Items!A163="","",Items!A163)</f>
        <v/>
      </c>
      <c r="B163">
        <f>IF(A163="","",Items!B163)</f>
        <v/>
      </c>
      <c r="C163">
        <f>IF(A163="","",N(Items!E163))</f>
        <v/>
      </c>
      <c r="D163">
        <f>IF(A163="","",SUMIF('Stock In'!$B$5:$B$3004,A163,'Stock In'!$D$5:$D$3004))</f>
        <v/>
      </c>
      <c r="E163">
        <f>IF(A163="","",SUMIF('Stock Out'!$B$5:$B$3004,A163,'Stock Out'!$D$5:$D$3004))</f>
        <v/>
      </c>
      <c r="F163">
        <f>IF(A163="","",C163+D163-E163)</f>
        <v/>
      </c>
      <c r="G163" s="18">
        <f>IF(A163="","",F163*N(Items!F163))</f>
        <v/>
      </c>
      <c r="H163">
        <f>IF(A163="","",IF(F163&lt;=0,"OUT OF STOCK",IF(F163&lt;=N(Items!H163),"REORDER","OK")))</f>
        <v/>
      </c>
      <c r="I163" s="18">
        <f>IF(A163="","",SUMIF('Stock Out'!$B$5:$B$3004,A163,'Stock Out'!$F$5:$F$3004))</f>
        <v/>
      </c>
    </row>
    <row r="164">
      <c r="A164">
        <f>IF(Items!A164="","",Items!A164)</f>
        <v/>
      </c>
      <c r="B164">
        <f>IF(A164="","",Items!B164)</f>
        <v/>
      </c>
      <c r="C164">
        <f>IF(A164="","",N(Items!E164))</f>
        <v/>
      </c>
      <c r="D164">
        <f>IF(A164="","",SUMIF('Stock In'!$B$5:$B$3004,A164,'Stock In'!$D$5:$D$3004))</f>
        <v/>
      </c>
      <c r="E164">
        <f>IF(A164="","",SUMIF('Stock Out'!$B$5:$B$3004,A164,'Stock Out'!$D$5:$D$3004))</f>
        <v/>
      </c>
      <c r="F164">
        <f>IF(A164="","",C164+D164-E164)</f>
        <v/>
      </c>
      <c r="G164" s="18">
        <f>IF(A164="","",F164*N(Items!F164))</f>
        <v/>
      </c>
      <c r="H164">
        <f>IF(A164="","",IF(F164&lt;=0,"OUT OF STOCK",IF(F164&lt;=N(Items!H164),"REORDER","OK")))</f>
        <v/>
      </c>
      <c r="I164" s="18">
        <f>IF(A164="","",SUMIF('Stock Out'!$B$5:$B$3004,A164,'Stock Out'!$F$5:$F$3004))</f>
        <v/>
      </c>
    </row>
    <row r="165">
      <c r="A165">
        <f>IF(Items!A165="","",Items!A165)</f>
        <v/>
      </c>
      <c r="B165">
        <f>IF(A165="","",Items!B165)</f>
        <v/>
      </c>
      <c r="C165">
        <f>IF(A165="","",N(Items!E165))</f>
        <v/>
      </c>
      <c r="D165">
        <f>IF(A165="","",SUMIF('Stock In'!$B$5:$B$3004,A165,'Stock In'!$D$5:$D$3004))</f>
        <v/>
      </c>
      <c r="E165">
        <f>IF(A165="","",SUMIF('Stock Out'!$B$5:$B$3004,A165,'Stock Out'!$D$5:$D$3004))</f>
        <v/>
      </c>
      <c r="F165">
        <f>IF(A165="","",C165+D165-E165)</f>
        <v/>
      </c>
      <c r="G165" s="18">
        <f>IF(A165="","",F165*N(Items!F165))</f>
        <v/>
      </c>
      <c r="H165">
        <f>IF(A165="","",IF(F165&lt;=0,"OUT OF STOCK",IF(F165&lt;=N(Items!H165),"REORDER","OK")))</f>
        <v/>
      </c>
      <c r="I165" s="18">
        <f>IF(A165="","",SUMIF('Stock Out'!$B$5:$B$3004,A165,'Stock Out'!$F$5:$F$3004))</f>
        <v/>
      </c>
    </row>
    <row r="166">
      <c r="A166">
        <f>IF(Items!A166="","",Items!A166)</f>
        <v/>
      </c>
      <c r="B166">
        <f>IF(A166="","",Items!B166)</f>
        <v/>
      </c>
      <c r="C166">
        <f>IF(A166="","",N(Items!E166))</f>
        <v/>
      </c>
      <c r="D166">
        <f>IF(A166="","",SUMIF('Stock In'!$B$5:$B$3004,A166,'Stock In'!$D$5:$D$3004))</f>
        <v/>
      </c>
      <c r="E166">
        <f>IF(A166="","",SUMIF('Stock Out'!$B$5:$B$3004,A166,'Stock Out'!$D$5:$D$3004))</f>
        <v/>
      </c>
      <c r="F166">
        <f>IF(A166="","",C166+D166-E166)</f>
        <v/>
      </c>
      <c r="G166" s="18">
        <f>IF(A166="","",F166*N(Items!F166))</f>
        <v/>
      </c>
      <c r="H166">
        <f>IF(A166="","",IF(F166&lt;=0,"OUT OF STOCK",IF(F166&lt;=N(Items!H166),"REORDER","OK")))</f>
        <v/>
      </c>
      <c r="I166" s="18">
        <f>IF(A166="","",SUMIF('Stock Out'!$B$5:$B$3004,A166,'Stock Out'!$F$5:$F$3004))</f>
        <v/>
      </c>
    </row>
    <row r="167">
      <c r="A167">
        <f>IF(Items!A167="","",Items!A167)</f>
        <v/>
      </c>
      <c r="B167">
        <f>IF(A167="","",Items!B167)</f>
        <v/>
      </c>
      <c r="C167">
        <f>IF(A167="","",N(Items!E167))</f>
        <v/>
      </c>
      <c r="D167">
        <f>IF(A167="","",SUMIF('Stock In'!$B$5:$B$3004,A167,'Stock In'!$D$5:$D$3004))</f>
        <v/>
      </c>
      <c r="E167">
        <f>IF(A167="","",SUMIF('Stock Out'!$B$5:$B$3004,A167,'Stock Out'!$D$5:$D$3004))</f>
        <v/>
      </c>
      <c r="F167">
        <f>IF(A167="","",C167+D167-E167)</f>
        <v/>
      </c>
      <c r="G167" s="18">
        <f>IF(A167="","",F167*N(Items!F167))</f>
        <v/>
      </c>
      <c r="H167">
        <f>IF(A167="","",IF(F167&lt;=0,"OUT OF STOCK",IF(F167&lt;=N(Items!H167),"REORDER","OK")))</f>
        <v/>
      </c>
      <c r="I167" s="18">
        <f>IF(A167="","",SUMIF('Stock Out'!$B$5:$B$3004,A167,'Stock Out'!$F$5:$F$3004))</f>
        <v/>
      </c>
    </row>
    <row r="168">
      <c r="A168">
        <f>IF(Items!A168="","",Items!A168)</f>
        <v/>
      </c>
      <c r="B168">
        <f>IF(A168="","",Items!B168)</f>
        <v/>
      </c>
      <c r="C168">
        <f>IF(A168="","",N(Items!E168))</f>
        <v/>
      </c>
      <c r="D168">
        <f>IF(A168="","",SUMIF('Stock In'!$B$5:$B$3004,A168,'Stock In'!$D$5:$D$3004))</f>
        <v/>
      </c>
      <c r="E168">
        <f>IF(A168="","",SUMIF('Stock Out'!$B$5:$B$3004,A168,'Stock Out'!$D$5:$D$3004))</f>
        <v/>
      </c>
      <c r="F168">
        <f>IF(A168="","",C168+D168-E168)</f>
        <v/>
      </c>
      <c r="G168" s="18">
        <f>IF(A168="","",F168*N(Items!F168))</f>
        <v/>
      </c>
      <c r="H168">
        <f>IF(A168="","",IF(F168&lt;=0,"OUT OF STOCK",IF(F168&lt;=N(Items!H168),"REORDER","OK")))</f>
        <v/>
      </c>
      <c r="I168" s="18">
        <f>IF(A168="","",SUMIF('Stock Out'!$B$5:$B$3004,A168,'Stock Out'!$F$5:$F$3004))</f>
        <v/>
      </c>
    </row>
    <row r="169">
      <c r="A169">
        <f>IF(Items!A169="","",Items!A169)</f>
        <v/>
      </c>
      <c r="B169">
        <f>IF(A169="","",Items!B169)</f>
        <v/>
      </c>
      <c r="C169">
        <f>IF(A169="","",N(Items!E169))</f>
        <v/>
      </c>
      <c r="D169">
        <f>IF(A169="","",SUMIF('Stock In'!$B$5:$B$3004,A169,'Stock In'!$D$5:$D$3004))</f>
        <v/>
      </c>
      <c r="E169">
        <f>IF(A169="","",SUMIF('Stock Out'!$B$5:$B$3004,A169,'Stock Out'!$D$5:$D$3004))</f>
        <v/>
      </c>
      <c r="F169">
        <f>IF(A169="","",C169+D169-E169)</f>
        <v/>
      </c>
      <c r="G169" s="18">
        <f>IF(A169="","",F169*N(Items!F169))</f>
        <v/>
      </c>
      <c r="H169">
        <f>IF(A169="","",IF(F169&lt;=0,"OUT OF STOCK",IF(F169&lt;=N(Items!H169),"REORDER","OK")))</f>
        <v/>
      </c>
      <c r="I169" s="18">
        <f>IF(A169="","",SUMIF('Stock Out'!$B$5:$B$3004,A169,'Stock Out'!$F$5:$F$3004))</f>
        <v/>
      </c>
    </row>
    <row r="170">
      <c r="A170">
        <f>IF(Items!A170="","",Items!A170)</f>
        <v/>
      </c>
      <c r="B170">
        <f>IF(A170="","",Items!B170)</f>
        <v/>
      </c>
      <c r="C170">
        <f>IF(A170="","",N(Items!E170))</f>
        <v/>
      </c>
      <c r="D170">
        <f>IF(A170="","",SUMIF('Stock In'!$B$5:$B$3004,A170,'Stock In'!$D$5:$D$3004))</f>
        <v/>
      </c>
      <c r="E170">
        <f>IF(A170="","",SUMIF('Stock Out'!$B$5:$B$3004,A170,'Stock Out'!$D$5:$D$3004))</f>
        <v/>
      </c>
      <c r="F170">
        <f>IF(A170="","",C170+D170-E170)</f>
        <v/>
      </c>
      <c r="G170" s="18">
        <f>IF(A170="","",F170*N(Items!F170))</f>
        <v/>
      </c>
      <c r="H170">
        <f>IF(A170="","",IF(F170&lt;=0,"OUT OF STOCK",IF(F170&lt;=N(Items!H170),"REORDER","OK")))</f>
        <v/>
      </c>
      <c r="I170" s="18">
        <f>IF(A170="","",SUMIF('Stock Out'!$B$5:$B$3004,A170,'Stock Out'!$F$5:$F$3004))</f>
        <v/>
      </c>
    </row>
    <row r="171">
      <c r="A171">
        <f>IF(Items!A171="","",Items!A171)</f>
        <v/>
      </c>
      <c r="B171">
        <f>IF(A171="","",Items!B171)</f>
        <v/>
      </c>
      <c r="C171">
        <f>IF(A171="","",N(Items!E171))</f>
        <v/>
      </c>
      <c r="D171">
        <f>IF(A171="","",SUMIF('Stock In'!$B$5:$B$3004,A171,'Stock In'!$D$5:$D$3004))</f>
        <v/>
      </c>
      <c r="E171">
        <f>IF(A171="","",SUMIF('Stock Out'!$B$5:$B$3004,A171,'Stock Out'!$D$5:$D$3004))</f>
        <v/>
      </c>
      <c r="F171">
        <f>IF(A171="","",C171+D171-E171)</f>
        <v/>
      </c>
      <c r="G171" s="18">
        <f>IF(A171="","",F171*N(Items!F171))</f>
        <v/>
      </c>
      <c r="H171">
        <f>IF(A171="","",IF(F171&lt;=0,"OUT OF STOCK",IF(F171&lt;=N(Items!H171),"REORDER","OK")))</f>
        <v/>
      </c>
      <c r="I171" s="18">
        <f>IF(A171="","",SUMIF('Stock Out'!$B$5:$B$3004,A171,'Stock Out'!$F$5:$F$3004))</f>
        <v/>
      </c>
    </row>
    <row r="172">
      <c r="A172">
        <f>IF(Items!A172="","",Items!A172)</f>
        <v/>
      </c>
      <c r="B172">
        <f>IF(A172="","",Items!B172)</f>
        <v/>
      </c>
      <c r="C172">
        <f>IF(A172="","",N(Items!E172))</f>
        <v/>
      </c>
      <c r="D172">
        <f>IF(A172="","",SUMIF('Stock In'!$B$5:$B$3004,A172,'Stock In'!$D$5:$D$3004))</f>
        <v/>
      </c>
      <c r="E172">
        <f>IF(A172="","",SUMIF('Stock Out'!$B$5:$B$3004,A172,'Stock Out'!$D$5:$D$3004))</f>
        <v/>
      </c>
      <c r="F172">
        <f>IF(A172="","",C172+D172-E172)</f>
        <v/>
      </c>
      <c r="G172" s="18">
        <f>IF(A172="","",F172*N(Items!F172))</f>
        <v/>
      </c>
      <c r="H172">
        <f>IF(A172="","",IF(F172&lt;=0,"OUT OF STOCK",IF(F172&lt;=N(Items!H172),"REORDER","OK")))</f>
        <v/>
      </c>
      <c r="I172" s="18">
        <f>IF(A172="","",SUMIF('Stock Out'!$B$5:$B$3004,A172,'Stock Out'!$F$5:$F$3004))</f>
        <v/>
      </c>
    </row>
    <row r="173">
      <c r="A173">
        <f>IF(Items!A173="","",Items!A173)</f>
        <v/>
      </c>
      <c r="B173">
        <f>IF(A173="","",Items!B173)</f>
        <v/>
      </c>
      <c r="C173">
        <f>IF(A173="","",N(Items!E173))</f>
        <v/>
      </c>
      <c r="D173">
        <f>IF(A173="","",SUMIF('Stock In'!$B$5:$B$3004,A173,'Stock In'!$D$5:$D$3004))</f>
        <v/>
      </c>
      <c r="E173">
        <f>IF(A173="","",SUMIF('Stock Out'!$B$5:$B$3004,A173,'Stock Out'!$D$5:$D$3004))</f>
        <v/>
      </c>
      <c r="F173">
        <f>IF(A173="","",C173+D173-E173)</f>
        <v/>
      </c>
      <c r="G173" s="18">
        <f>IF(A173="","",F173*N(Items!F173))</f>
        <v/>
      </c>
      <c r="H173">
        <f>IF(A173="","",IF(F173&lt;=0,"OUT OF STOCK",IF(F173&lt;=N(Items!H173),"REORDER","OK")))</f>
        <v/>
      </c>
      <c r="I173" s="18">
        <f>IF(A173="","",SUMIF('Stock Out'!$B$5:$B$3004,A173,'Stock Out'!$F$5:$F$3004))</f>
        <v/>
      </c>
    </row>
    <row r="174">
      <c r="A174">
        <f>IF(Items!A174="","",Items!A174)</f>
        <v/>
      </c>
      <c r="B174">
        <f>IF(A174="","",Items!B174)</f>
        <v/>
      </c>
      <c r="C174">
        <f>IF(A174="","",N(Items!E174))</f>
        <v/>
      </c>
      <c r="D174">
        <f>IF(A174="","",SUMIF('Stock In'!$B$5:$B$3004,A174,'Stock In'!$D$5:$D$3004))</f>
        <v/>
      </c>
      <c r="E174">
        <f>IF(A174="","",SUMIF('Stock Out'!$B$5:$B$3004,A174,'Stock Out'!$D$5:$D$3004))</f>
        <v/>
      </c>
      <c r="F174">
        <f>IF(A174="","",C174+D174-E174)</f>
        <v/>
      </c>
      <c r="G174" s="18">
        <f>IF(A174="","",F174*N(Items!F174))</f>
        <v/>
      </c>
      <c r="H174">
        <f>IF(A174="","",IF(F174&lt;=0,"OUT OF STOCK",IF(F174&lt;=N(Items!H174),"REORDER","OK")))</f>
        <v/>
      </c>
      <c r="I174" s="18">
        <f>IF(A174="","",SUMIF('Stock Out'!$B$5:$B$3004,A174,'Stock Out'!$F$5:$F$3004))</f>
        <v/>
      </c>
    </row>
    <row r="175">
      <c r="A175">
        <f>IF(Items!A175="","",Items!A175)</f>
        <v/>
      </c>
      <c r="B175">
        <f>IF(A175="","",Items!B175)</f>
        <v/>
      </c>
      <c r="C175">
        <f>IF(A175="","",N(Items!E175))</f>
        <v/>
      </c>
      <c r="D175">
        <f>IF(A175="","",SUMIF('Stock In'!$B$5:$B$3004,A175,'Stock In'!$D$5:$D$3004))</f>
        <v/>
      </c>
      <c r="E175">
        <f>IF(A175="","",SUMIF('Stock Out'!$B$5:$B$3004,A175,'Stock Out'!$D$5:$D$3004))</f>
        <v/>
      </c>
      <c r="F175">
        <f>IF(A175="","",C175+D175-E175)</f>
        <v/>
      </c>
      <c r="G175" s="18">
        <f>IF(A175="","",F175*N(Items!F175))</f>
        <v/>
      </c>
      <c r="H175">
        <f>IF(A175="","",IF(F175&lt;=0,"OUT OF STOCK",IF(F175&lt;=N(Items!H175),"REORDER","OK")))</f>
        <v/>
      </c>
      <c r="I175" s="18">
        <f>IF(A175="","",SUMIF('Stock Out'!$B$5:$B$3004,A175,'Stock Out'!$F$5:$F$3004))</f>
        <v/>
      </c>
    </row>
    <row r="176">
      <c r="A176">
        <f>IF(Items!A176="","",Items!A176)</f>
        <v/>
      </c>
      <c r="B176">
        <f>IF(A176="","",Items!B176)</f>
        <v/>
      </c>
      <c r="C176">
        <f>IF(A176="","",N(Items!E176))</f>
        <v/>
      </c>
      <c r="D176">
        <f>IF(A176="","",SUMIF('Stock In'!$B$5:$B$3004,A176,'Stock In'!$D$5:$D$3004))</f>
        <v/>
      </c>
      <c r="E176">
        <f>IF(A176="","",SUMIF('Stock Out'!$B$5:$B$3004,A176,'Stock Out'!$D$5:$D$3004))</f>
        <v/>
      </c>
      <c r="F176">
        <f>IF(A176="","",C176+D176-E176)</f>
        <v/>
      </c>
      <c r="G176" s="18">
        <f>IF(A176="","",F176*N(Items!F176))</f>
        <v/>
      </c>
      <c r="H176">
        <f>IF(A176="","",IF(F176&lt;=0,"OUT OF STOCK",IF(F176&lt;=N(Items!H176),"REORDER","OK")))</f>
        <v/>
      </c>
      <c r="I176" s="18">
        <f>IF(A176="","",SUMIF('Stock Out'!$B$5:$B$3004,A176,'Stock Out'!$F$5:$F$3004))</f>
        <v/>
      </c>
    </row>
    <row r="177">
      <c r="A177">
        <f>IF(Items!A177="","",Items!A177)</f>
        <v/>
      </c>
      <c r="B177">
        <f>IF(A177="","",Items!B177)</f>
        <v/>
      </c>
      <c r="C177">
        <f>IF(A177="","",N(Items!E177))</f>
        <v/>
      </c>
      <c r="D177">
        <f>IF(A177="","",SUMIF('Stock In'!$B$5:$B$3004,A177,'Stock In'!$D$5:$D$3004))</f>
        <v/>
      </c>
      <c r="E177">
        <f>IF(A177="","",SUMIF('Stock Out'!$B$5:$B$3004,A177,'Stock Out'!$D$5:$D$3004))</f>
        <v/>
      </c>
      <c r="F177">
        <f>IF(A177="","",C177+D177-E177)</f>
        <v/>
      </c>
      <c r="G177" s="18">
        <f>IF(A177="","",F177*N(Items!F177))</f>
        <v/>
      </c>
      <c r="H177">
        <f>IF(A177="","",IF(F177&lt;=0,"OUT OF STOCK",IF(F177&lt;=N(Items!H177),"REORDER","OK")))</f>
        <v/>
      </c>
      <c r="I177" s="18">
        <f>IF(A177="","",SUMIF('Stock Out'!$B$5:$B$3004,A177,'Stock Out'!$F$5:$F$3004))</f>
        <v/>
      </c>
    </row>
    <row r="178">
      <c r="A178">
        <f>IF(Items!A178="","",Items!A178)</f>
        <v/>
      </c>
      <c r="B178">
        <f>IF(A178="","",Items!B178)</f>
        <v/>
      </c>
      <c r="C178">
        <f>IF(A178="","",N(Items!E178))</f>
        <v/>
      </c>
      <c r="D178">
        <f>IF(A178="","",SUMIF('Stock In'!$B$5:$B$3004,A178,'Stock In'!$D$5:$D$3004))</f>
        <v/>
      </c>
      <c r="E178">
        <f>IF(A178="","",SUMIF('Stock Out'!$B$5:$B$3004,A178,'Stock Out'!$D$5:$D$3004))</f>
        <v/>
      </c>
      <c r="F178">
        <f>IF(A178="","",C178+D178-E178)</f>
        <v/>
      </c>
      <c r="G178" s="18">
        <f>IF(A178="","",F178*N(Items!F178))</f>
        <v/>
      </c>
      <c r="H178">
        <f>IF(A178="","",IF(F178&lt;=0,"OUT OF STOCK",IF(F178&lt;=N(Items!H178),"REORDER","OK")))</f>
        <v/>
      </c>
      <c r="I178" s="18">
        <f>IF(A178="","",SUMIF('Stock Out'!$B$5:$B$3004,A178,'Stock Out'!$F$5:$F$3004))</f>
        <v/>
      </c>
    </row>
    <row r="179">
      <c r="A179">
        <f>IF(Items!A179="","",Items!A179)</f>
        <v/>
      </c>
      <c r="B179">
        <f>IF(A179="","",Items!B179)</f>
        <v/>
      </c>
      <c r="C179">
        <f>IF(A179="","",N(Items!E179))</f>
        <v/>
      </c>
      <c r="D179">
        <f>IF(A179="","",SUMIF('Stock In'!$B$5:$B$3004,A179,'Stock In'!$D$5:$D$3004))</f>
        <v/>
      </c>
      <c r="E179">
        <f>IF(A179="","",SUMIF('Stock Out'!$B$5:$B$3004,A179,'Stock Out'!$D$5:$D$3004))</f>
        <v/>
      </c>
      <c r="F179">
        <f>IF(A179="","",C179+D179-E179)</f>
        <v/>
      </c>
      <c r="G179" s="18">
        <f>IF(A179="","",F179*N(Items!F179))</f>
        <v/>
      </c>
      <c r="H179">
        <f>IF(A179="","",IF(F179&lt;=0,"OUT OF STOCK",IF(F179&lt;=N(Items!H179),"REORDER","OK")))</f>
        <v/>
      </c>
      <c r="I179" s="18">
        <f>IF(A179="","",SUMIF('Stock Out'!$B$5:$B$3004,A179,'Stock Out'!$F$5:$F$3004))</f>
        <v/>
      </c>
    </row>
    <row r="180">
      <c r="A180">
        <f>IF(Items!A180="","",Items!A180)</f>
        <v/>
      </c>
      <c r="B180">
        <f>IF(A180="","",Items!B180)</f>
        <v/>
      </c>
      <c r="C180">
        <f>IF(A180="","",N(Items!E180))</f>
        <v/>
      </c>
      <c r="D180">
        <f>IF(A180="","",SUMIF('Stock In'!$B$5:$B$3004,A180,'Stock In'!$D$5:$D$3004))</f>
        <v/>
      </c>
      <c r="E180">
        <f>IF(A180="","",SUMIF('Stock Out'!$B$5:$B$3004,A180,'Stock Out'!$D$5:$D$3004))</f>
        <v/>
      </c>
      <c r="F180">
        <f>IF(A180="","",C180+D180-E180)</f>
        <v/>
      </c>
      <c r="G180" s="18">
        <f>IF(A180="","",F180*N(Items!F180))</f>
        <v/>
      </c>
      <c r="H180">
        <f>IF(A180="","",IF(F180&lt;=0,"OUT OF STOCK",IF(F180&lt;=N(Items!H180),"REORDER","OK")))</f>
        <v/>
      </c>
      <c r="I180" s="18">
        <f>IF(A180="","",SUMIF('Stock Out'!$B$5:$B$3004,A180,'Stock Out'!$F$5:$F$3004))</f>
        <v/>
      </c>
    </row>
    <row r="181">
      <c r="A181">
        <f>IF(Items!A181="","",Items!A181)</f>
        <v/>
      </c>
      <c r="B181">
        <f>IF(A181="","",Items!B181)</f>
        <v/>
      </c>
      <c r="C181">
        <f>IF(A181="","",N(Items!E181))</f>
        <v/>
      </c>
      <c r="D181">
        <f>IF(A181="","",SUMIF('Stock In'!$B$5:$B$3004,A181,'Stock In'!$D$5:$D$3004))</f>
        <v/>
      </c>
      <c r="E181">
        <f>IF(A181="","",SUMIF('Stock Out'!$B$5:$B$3004,A181,'Stock Out'!$D$5:$D$3004))</f>
        <v/>
      </c>
      <c r="F181">
        <f>IF(A181="","",C181+D181-E181)</f>
        <v/>
      </c>
      <c r="G181" s="18">
        <f>IF(A181="","",F181*N(Items!F181))</f>
        <v/>
      </c>
      <c r="H181">
        <f>IF(A181="","",IF(F181&lt;=0,"OUT OF STOCK",IF(F181&lt;=N(Items!H181),"REORDER","OK")))</f>
        <v/>
      </c>
      <c r="I181" s="18">
        <f>IF(A181="","",SUMIF('Stock Out'!$B$5:$B$3004,A181,'Stock Out'!$F$5:$F$3004))</f>
        <v/>
      </c>
    </row>
    <row r="182">
      <c r="A182">
        <f>IF(Items!A182="","",Items!A182)</f>
        <v/>
      </c>
      <c r="B182">
        <f>IF(A182="","",Items!B182)</f>
        <v/>
      </c>
      <c r="C182">
        <f>IF(A182="","",N(Items!E182))</f>
        <v/>
      </c>
      <c r="D182">
        <f>IF(A182="","",SUMIF('Stock In'!$B$5:$B$3004,A182,'Stock In'!$D$5:$D$3004))</f>
        <v/>
      </c>
      <c r="E182">
        <f>IF(A182="","",SUMIF('Stock Out'!$B$5:$B$3004,A182,'Stock Out'!$D$5:$D$3004))</f>
        <v/>
      </c>
      <c r="F182">
        <f>IF(A182="","",C182+D182-E182)</f>
        <v/>
      </c>
      <c r="G182" s="18">
        <f>IF(A182="","",F182*N(Items!F182))</f>
        <v/>
      </c>
      <c r="H182">
        <f>IF(A182="","",IF(F182&lt;=0,"OUT OF STOCK",IF(F182&lt;=N(Items!H182),"REORDER","OK")))</f>
        <v/>
      </c>
      <c r="I182" s="18">
        <f>IF(A182="","",SUMIF('Stock Out'!$B$5:$B$3004,A182,'Stock Out'!$F$5:$F$3004))</f>
        <v/>
      </c>
    </row>
    <row r="183">
      <c r="A183">
        <f>IF(Items!A183="","",Items!A183)</f>
        <v/>
      </c>
      <c r="B183">
        <f>IF(A183="","",Items!B183)</f>
        <v/>
      </c>
      <c r="C183">
        <f>IF(A183="","",N(Items!E183))</f>
        <v/>
      </c>
      <c r="D183">
        <f>IF(A183="","",SUMIF('Stock In'!$B$5:$B$3004,A183,'Stock In'!$D$5:$D$3004))</f>
        <v/>
      </c>
      <c r="E183">
        <f>IF(A183="","",SUMIF('Stock Out'!$B$5:$B$3004,A183,'Stock Out'!$D$5:$D$3004))</f>
        <v/>
      </c>
      <c r="F183">
        <f>IF(A183="","",C183+D183-E183)</f>
        <v/>
      </c>
      <c r="G183" s="18">
        <f>IF(A183="","",F183*N(Items!F183))</f>
        <v/>
      </c>
      <c r="H183">
        <f>IF(A183="","",IF(F183&lt;=0,"OUT OF STOCK",IF(F183&lt;=N(Items!H183),"REORDER","OK")))</f>
        <v/>
      </c>
      <c r="I183" s="18">
        <f>IF(A183="","",SUMIF('Stock Out'!$B$5:$B$3004,A183,'Stock Out'!$F$5:$F$3004))</f>
        <v/>
      </c>
    </row>
    <row r="184">
      <c r="A184">
        <f>IF(Items!A184="","",Items!A184)</f>
        <v/>
      </c>
      <c r="B184">
        <f>IF(A184="","",Items!B184)</f>
        <v/>
      </c>
      <c r="C184">
        <f>IF(A184="","",N(Items!E184))</f>
        <v/>
      </c>
      <c r="D184">
        <f>IF(A184="","",SUMIF('Stock In'!$B$5:$B$3004,A184,'Stock In'!$D$5:$D$3004))</f>
        <v/>
      </c>
      <c r="E184">
        <f>IF(A184="","",SUMIF('Stock Out'!$B$5:$B$3004,A184,'Stock Out'!$D$5:$D$3004))</f>
        <v/>
      </c>
      <c r="F184">
        <f>IF(A184="","",C184+D184-E184)</f>
        <v/>
      </c>
      <c r="G184" s="18">
        <f>IF(A184="","",F184*N(Items!F184))</f>
        <v/>
      </c>
      <c r="H184">
        <f>IF(A184="","",IF(F184&lt;=0,"OUT OF STOCK",IF(F184&lt;=N(Items!H184),"REORDER","OK")))</f>
        <v/>
      </c>
      <c r="I184" s="18">
        <f>IF(A184="","",SUMIF('Stock Out'!$B$5:$B$3004,A184,'Stock Out'!$F$5:$F$3004))</f>
        <v/>
      </c>
    </row>
    <row r="185">
      <c r="A185">
        <f>IF(Items!A185="","",Items!A185)</f>
        <v/>
      </c>
      <c r="B185">
        <f>IF(A185="","",Items!B185)</f>
        <v/>
      </c>
      <c r="C185">
        <f>IF(A185="","",N(Items!E185))</f>
        <v/>
      </c>
      <c r="D185">
        <f>IF(A185="","",SUMIF('Stock In'!$B$5:$B$3004,A185,'Stock In'!$D$5:$D$3004))</f>
        <v/>
      </c>
      <c r="E185">
        <f>IF(A185="","",SUMIF('Stock Out'!$B$5:$B$3004,A185,'Stock Out'!$D$5:$D$3004))</f>
        <v/>
      </c>
      <c r="F185">
        <f>IF(A185="","",C185+D185-E185)</f>
        <v/>
      </c>
      <c r="G185" s="18">
        <f>IF(A185="","",F185*N(Items!F185))</f>
        <v/>
      </c>
      <c r="H185">
        <f>IF(A185="","",IF(F185&lt;=0,"OUT OF STOCK",IF(F185&lt;=N(Items!H185),"REORDER","OK")))</f>
        <v/>
      </c>
      <c r="I185" s="18">
        <f>IF(A185="","",SUMIF('Stock Out'!$B$5:$B$3004,A185,'Stock Out'!$F$5:$F$3004))</f>
        <v/>
      </c>
    </row>
    <row r="186">
      <c r="A186">
        <f>IF(Items!A186="","",Items!A186)</f>
        <v/>
      </c>
      <c r="B186">
        <f>IF(A186="","",Items!B186)</f>
        <v/>
      </c>
      <c r="C186">
        <f>IF(A186="","",N(Items!E186))</f>
        <v/>
      </c>
      <c r="D186">
        <f>IF(A186="","",SUMIF('Stock In'!$B$5:$B$3004,A186,'Stock In'!$D$5:$D$3004))</f>
        <v/>
      </c>
      <c r="E186">
        <f>IF(A186="","",SUMIF('Stock Out'!$B$5:$B$3004,A186,'Stock Out'!$D$5:$D$3004))</f>
        <v/>
      </c>
      <c r="F186">
        <f>IF(A186="","",C186+D186-E186)</f>
        <v/>
      </c>
      <c r="G186" s="18">
        <f>IF(A186="","",F186*N(Items!F186))</f>
        <v/>
      </c>
      <c r="H186">
        <f>IF(A186="","",IF(F186&lt;=0,"OUT OF STOCK",IF(F186&lt;=N(Items!H186),"REORDER","OK")))</f>
        <v/>
      </c>
      <c r="I186" s="18">
        <f>IF(A186="","",SUMIF('Stock Out'!$B$5:$B$3004,A186,'Stock Out'!$F$5:$F$3004))</f>
        <v/>
      </c>
    </row>
    <row r="187">
      <c r="A187">
        <f>IF(Items!A187="","",Items!A187)</f>
        <v/>
      </c>
      <c r="B187">
        <f>IF(A187="","",Items!B187)</f>
        <v/>
      </c>
      <c r="C187">
        <f>IF(A187="","",N(Items!E187))</f>
        <v/>
      </c>
      <c r="D187">
        <f>IF(A187="","",SUMIF('Stock In'!$B$5:$B$3004,A187,'Stock In'!$D$5:$D$3004))</f>
        <v/>
      </c>
      <c r="E187">
        <f>IF(A187="","",SUMIF('Stock Out'!$B$5:$B$3004,A187,'Stock Out'!$D$5:$D$3004))</f>
        <v/>
      </c>
      <c r="F187">
        <f>IF(A187="","",C187+D187-E187)</f>
        <v/>
      </c>
      <c r="G187" s="18">
        <f>IF(A187="","",F187*N(Items!F187))</f>
        <v/>
      </c>
      <c r="H187">
        <f>IF(A187="","",IF(F187&lt;=0,"OUT OF STOCK",IF(F187&lt;=N(Items!H187),"REORDER","OK")))</f>
        <v/>
      </c>
      <c r="I187" s="18">
        <f>IF(A187="","",SUMIF('Stock Out'!$B$5:$B$3004,A187,'Stock Out'!$F$5:$F$3004))</f>
        <v/>
      </c>
    </row>
    <row r="188">
      <c r="A188">
        <f>IF(Items!A188="","",Items!A188)</f>
        <v/>
      </c>
      <c r="B188">
        <f>IF(A188="","",Items!B188)</f>
        <v/>
      </c>
      <c r="C188">
        <f>IF(A188="","",N(Items!E188))</f>
        <v/>
      </c>
      <c r="D188">
        <f>IF(A188="","",SUMIF('Stock In'!$B$5:$B$3004,A188,'Stock In'!$D$5:$D$3004))</f>
        <v/>
      </c>
      <c r="E188">
        <f>IF(A188="","",SUMIF('Stock Out'!$B$5:$B$3004,A188,'Stock Out'!$D$5:$D$3004))</f>
        <v/>
      </c>
      <c r="F188">
        <f>IF(A188="","",C188+D188-E188)</f>
        <v/>
      </c>
      <c r="G188" s="18">
        <f>IF(A188="","",F188*N(Items!F188))</f>
        <v/>
      </c>
      <c r="H188">
        <f>IF(A188="","",IF(F188&lt;=0,"OUT OF STOCK",IF(F188&lt;=N(Items!H188),"REORDER","OK")))</f>
        <v/>
      </c>
      <c r="I188" s="18">
        <f>IF(A188="","",SUMIF('Stock Out'!$B$5:$B$3004,A188,'Stock Out'!$F$5:$F$3004))</f>
        <v/>
      </c>
    </row>
    <row r="189">
      <c r="A189">
        <f>IF(Items!A189="","",Items!A189)</f>
        <v/>
      </c>
      <c r="B189">
        <f>IF(A189="","",Items!B189)</f>
        <v/>
      </c>
      <c r="C189">
        <f>IF(A189="","",N(Items!E189))</f>
        <v/>
      </c>
      <c r="D189">
        <f>IF(A189="","",SUMIF('Stock In'!$B$5:$B$3004,A189,'Stock In'!$D$5:$D$3004))</f>
        <v/>
      </c>
      <c r="E189">
        <f>IF(A189="","",SUMIF('Stock Out'!$B$5:$B$3004,A189,'Stock Out'!$D$5:$D$3004))</f>
        <v/>
      </c>
      <c r="F189">
        <f>IF(A189="","",C189+D189-E189)</f>
        <v/>
      </c>
      <c r="G189" s="18">
        <f>IF(A189="","",F189*N(Items!F189))</f>
        <v/>
      </c>
      <c r="H189">
        <f>IF(A189="","",IF(F189&lt;=0,"OUT OF STOCK",IF(F189&lt;=N(Items!H189),"REORDER","OK")))</f>
        <v/>
      </c>
      <c r="I189" s="18">
        <f>IF(A189="","",SUMIF('Stock Out'!$B$5:$B$3004,A189,'Stock Out'!$F$5:$F$3004))</f>
        <v/>
      </c>
    </row>
    <row r="190">
      <c r="A190">
        <f>IF(Items!A190="","",Items!A190)</f>
        <v/>
      </c>
      <c r="B190">
        <f>IF(A190="","",Items!B190)</f>
        <v/>
      </c>
      <c r="C190">
        <f>IF(A190="","",N(Items!E190))</f>
        <v/>
      </c>
      <c r="D190">
        <f>IF(A190="","",SUMIF('Stock In'!$B$5:$B$3004,A190,'Stock In'!$D$5:$D$3004))</f>
        <v/>
      </c>
      <c r="E190">
        <f>IF(A190="","",SUMIF('Stock Out'!$B$5:$B$3004,A190,'Stock Out'!$D$5:$D$3004))</f>
        <v/>
      </c>
      <c r="F190">
        <f>IF(A190="","",C190+D190-E190)</f>
        <v/>
      </c>
      <c r="G190" s="18">
        <f>IF(A190="","",F190*N(Items!F190))</f>
        <v/>
      </c>
      <c r="H190">
        <f>IF(A190="","",IF(F190&lt;=0,"OUT OF STOCK",IF(F190&lt;=N(Items!H190),"REORDER","OK")))</f>
        <v/>
      </c>
      <c r="I190" s="18">
        <f>IF(A190="","",SUMIF('Stock Out'!$B$5:$B$3004,A190,'Stock Out'!$F$5:$F$3004))</f>
        <v/>
      </c>
    </row>
    <row r="191">
      <c r="A191">
        <f>IF(Items!A191="","",Items!A191)</f>
        <v/>
      </c>
      <c r="B191">
        <f>IF(A191="","",Items!B191)</f>
        <v/>
      </c>
      <c r="C191">
        <f>IF(A191="","",N(Items!E191))</f>
        <v/>
      </c>
      <c r="D191">
        <f>IF(A191="","",SUMIF('Stock In'!$B$5:$B$3004,A191,'Stock In'!$D$5:$D$3004))</f>
        <v/>
      </c>
      <c r="E191">
        <f>IF(A191="","",SUMIF('Stock Out'!$B$5:$B$3004,A191,'Stock Out'!$D$5:$D$3004))</f>
        <v/>
      </c>
      <c r="F191">
        <f>IF(A191="","",C191+D191-E191)</f>
        <v/>
      </c>
      <c r="G191" s="18">
        <f>IF(A191="","",F191*N(Items!F191))</f>
        <v/>
      </c>
      <c r="H191">
        <f>IF(A191="","",IF(F191&lt;=0,"OUT OF STOCK",IF(F191&lt;=N(Items!H191),"REORDER","OK")))</f>
        <v/>
      </c>
      <c r="I191" s="18">
        <f>IF(A191="","",SUMIF('Stock Out'!$B$5:$B$3004,A191,'Stock Out'!$F$5:$F$3004))</f>
        <v/>
      </c>
    </row>
    <row r="192">
      <c r="A192">
        <f>IF(Items!A192="","",Items!A192)</f>
        <v/>
      </c>
      <c r="B192">
        <f>IF(A192="","",Items!B192)</f>
        <v/>
      </c>
      <c r="C192">
        <f>IF(A192="","",N(Items!E192))</f>
        <v/>
      </c>
      <c r="D192">
        <f>IF(A192="","",SUMIF('Stock In'!$B$5:$B$3004,A192,'Stock In'!$D$5:$D$3004))</f>
        <v/>
      </c>
      <c r="E192">
        <f>IF(A192="","",SUMIF('Stock Out'!$B$5:$B$3004,A192,'Stock Out'!$D$5:$D$3004))</f>
        <v/>
      </c>
      <c r="F192">
        <f>IF(A192="","",C192+D192-E192)</f>
        <v/>
      </c>
      <c r="G192" s="18">
        <f>IF(A192="","",F192*N(Items!F192))</f>
        <v/>
      </c>
      <c r="H192">
        <f>IF(A192="","",IF(F192&lt;=0,"OUT OF STOCK",IF(F192&lt;=N(Items!H192),"REORDER","OK")))</f>
        <v/>
      </c>
      <c r="I192" s="18">
        <f>IF(A192="","",SUMIF('Stock Out'!$B$5:$B$3004,A192,'Stock Out'!$F$5:$F$3004))</f>
        <v/>
      </c>
    </row>
    <row r="193">
      <c r="A193">
        <f>IF(Items!A193="","",Items!A193)</f>
        <v/>
      </c>
      <c r="B193">
        <f>IF(A193="","",Items!B193)</f>
        <v/>
      </c>
      <c r="C193">
        <f>IF(A193="","",N(Items!E193))</f>
        <v/>
      </c>
      <c r="D193">
        <f>IF(A193="","",SUMIF('Stock In'!$B$5:$B$3004,A193,'Stock In'!$D$5:$D$3004))</f>
        <v/>
      </c>
      <c r="E193">
        <f>IF(A193="","",SUMIF('Stock Out'!$B$5:$B$3004,A193,'Stock Out'!$D$5:$D$3004))</f>
        <v/>
      </c>
      <c r="F193">
        <f>IF(A193="","",C193+D193-E193)</f>
        <v/>
      </c>
      <c r="G193" s="18">
        <f>IF(A193="","",F193*N(Items!F193))</f>
        <v/>
      </c>
      <c r="H193">
        <f>IF(A193="","",IF(F193&lt;=0,"OUT OF STOCK",IF(F193&lt;=N(Items!H193),"REORDER","OK")))</f>
        <v/>
      </c>
      <c r="I193" s="18">
        <f>IF(A193="","",SUMIF('Stock Out'!$B$5:$B$3004,A193,'Stock Out'!$F$5:$F$3004))</f>
        <v/>
      </c>
    </row>
    <row r="194">
      <c r="A194">
        <f>IF(Items!A194="","",Items!A194)</f>
        <v/>
      </c>
      <c r="B194">
        <f>IF(A194="","",Items!B194)</f>
        <v/>
      </c>
      <c r="C194">
        <f>IF(A194="","",N(Items!E194))</f>
        <v/>
      </c>
      <c r="D194">
        <f>IF(A194="","",SUMIF('Stock In'!$B$5:$B$3004,A194,'Stock In'!$D$5:$D$3004))</f>
        <v/>
      </c>
      <c r="E194">
        <f>IF(A194="","",SUMIF('Stock Out'!$B$5:$B$3004,A194,'Stock Out'!$D$5:$D$3004))</f>
        <v/>
      </c>
      <c r="F194">
        <f>IF(A194="","",C194+D194-E194)</f>
        <v/>
      </c>
      <c r="G194" s="18">
        <f>IF(A194="","",F194*N(Items!F194))</f>
        <v/>
      </c>
      <c r="H194">
        <f>IF(A194="","",IF(F194&lt;=0,"OUT OF STOCK",IF(F194&lt;=N(Items!H194),"REORDER","OK")))</f>
        <v/>
      </c>
      <c r="I194" s="18">
        <f>IF(A194="","",SUMIF('Stock Out'!$B$5:$B$3004,A194,'Stock Out'!$F$5:$F$3004))</f>
        <v/>
      </c>
    </row>
    <row r="195">
      <c r="A195">
        <f>IF(Items!A195="","",Items!A195)</f>
        <v/>
      </c>
      <c r="B195">
        <f>IF(A195="","",Items!B195)</f>
        <v/>
      </c>
      <c r="C195">
        <f>IF(A195="","",N(Items!E195))</f>
        <v/>
      </c>
      <c r="D195">
        <f>IF(A195="","",SUMIF('Stock In'!$B$5:$B$3004,A195,'Stock In'!$D$5:$D$3004))</f>
        <v/>
      </c>
      <c r="E195">
        <f>IF(A195="","",SUMIF('Stock Out'!$B$5:$B$3004,A195,'Stock Out'!$D$5:$D$3004))</f>
        <v/>
      </c>
      <c r="F195">
        <f>IF(A195="","",C195+D195-E195)</f>
        <v/>
      </c>
      <c r="G195" s="18">
        <f>IF(A195="","",F195*N(Items!F195))</f>
        <v/>
      </c>
      <c r="H195">
        <f>IF(A195="","",IF(F195&lt;=0,"OUT OF STOCK",IF(F195&lt;=N(Items!H195),"REORDER","OK")))</f>
        <v/>
      </c>
      <c r="I195" s="18">
        <f>IF(A195="","",SUMIF('Stock Out'!$B$5:$B$3004,A195,'Stock Out'!$F$5:$F$3004))</f>
        <v/>
      </c>
    </row>
    <row r="196">
      <c r="A196">
        <f>IF(Items!A196="","",Items!A196)</f>
        <v/>
      </c>
      <c r="B196">
        <f>IF(A196="","",Items!B196)</f>
        <v/>
      </c>
      <c r="C196">
        <f>IF(A196="","",N(Items!E196))</f>
        <v/>
      </c>
      <c r="D196">
        <f>IF(A196="","",SUMIF('Stock In'!$B$5:$B$3004,A196,'Stock In'!$D$5:$D$3004))</f>
        <v/>
      </c>
      <c r="E196">
        <f>IF(A196="","",SUMIF('Stock Out'!$B$5:$B$3004,A196,'Stock Out'!$D$5:$D$3004))</f>
        <v/>
      </c>
      <c r="F196">
        <f>IF(A196="","",C196+D196-E196)</f>
        <v/>
      </c>
      <c r="G196" s="18">
        <f>IF(A196="","",F196*N(Items!F196))</f>
        <v/>
      </c>
      <c r="H196">
        <f>IF(A196="","",IF(F196&lt;=0,"OUT OF STOCK",IF(F196&lt;=N(Items!H196),"REORDER","OK")))</f>
        <v/>
      </c>
      <c r="I196" s="18">
        <f>IF(A196="","",SUMIF('Stock Out'!$B$5:$B$3004,A196,'Stock Out'!$F$5:$F$3004))</f>
        <v/>
      </c>
    </row>
    <row r="197">
      <c r="A197">
        <f>IF(Items!A197="","",Items!A197)</f>
        <v/>
      </c>
      <c r="B197">
        <f>IF(A197="","",Items!B197)</f>
        <v/>
      </c>
      <c r="C197">
        <f>IF(A197="","",N(Items!E197))</f>
        <v/>
      </c>
      <c r="D197">
        <f>IF(A197="","",SUMIF('Stock In'!$B$5:$B$3004,A197,'Stock In'!$D$5:$D$3004))</f>
        <v/>
      </c>
      <c r="E197">
        <f>IF(A197="","",SUMIF('Stock Out'!$B$5:$B$3004,A197,'Stock Out'!$D$5:$D$3004))</f>
        <v/>
      </c>
      <c r="F197">
        <f>IF(A197="","",C197+D197-E197)</f>
        <v/>
      </c>
      <c r="G197" s="18">
        <f>IF(A197="","",F197*N(Items!F197))</f>
        <v/>
      </c>
      <c r="H197">
        <f>IF(A197="","",IF(F197&lt;=0,"OUT OF STOCK",IF(F197&lt;=N(Items!H197),"REORDER","OK")))</f>
        <v/>
      </c>
      <c r="I197" s="18">
        <f>IF(A197="","",SUMIF('Stock Out'!$B$5:$B$3004,A197,'Stock Out'!$F$5:$F$3004))</f>
        <v/>
      </c>
    </row>
    <row r="198">
      <c r="A198">
        <f>IF(Items!A198="","",Items!A198)</f>
        <v/>
      </c>
      <c r="B198">
        <f>IF(A198="","",Items!B198)</f>
        <v/>
      </c>
      <c r="C198">
        <f>IF(A198="","",N(Items!E198))</f>
        <v/>
      </c>
      <c r="D198">
        <f>IF(A198="","",SUMIF('Stock In'!$B$5:$B$3004,A198,'Stock In'!$D$5:$D$3004))</f>
        <v/>
      </c>
      <c r="E198">
        <f>IF(A198="","",SUMIF('Stock Out'!$B$5:$B$3004,A198,'Stock Out'!$D$5:$D$3004))</f>
        <v/>
      </c>
      <c r="F198">
        <f>IF(A198="","",C198+D198-E198)</f>
        <v/>
      </c>
      <c r="G198" s="18">
        <f>IF(A198="","",F198*N(Items!F198))</f>
        <v/>
      </c>
      <c r="H198">
        <f>IF(A198="","",IF(F198&lt;=0,"OUT OF STOCK",IF(F198&lt;=N(Items!H198),"REORDER","OK")))</f>
        <v/>
      </c>
      <c r="I198" s="18">
        <f>IF(A198="","",SUMIF('Stock Out'!$B$5:$B$3004,A198,'Stock Out'!$F$5:$F$3004))</f>
        <v/>
      </c>
    </row>
    <row r="199">
      <c r="A199">
        <f>IF(Items!A199="","",Items!A199)</f>
        <v/>
      </c>
      <c r="B199">
        <f>IF(A199="","",Items!B199)</f>
        <v/>
      </c>
      <c r="C199">
        <f>IF(A199="","",N(Items!E199))</f>
        <v/>
      </c>
      <c r="D199">
        <f>IF(A199="","",SUMIF('Stock In'!$B$5:$B$3004,A199,'Stock In'!$D$5:$D$3004))</f>
        <v/>
      </c>
      <c r="E199">
        <f>IF(A199="","",SUMIF('Stock Out'!$B$5:$B$3004,A199,'Stock Out'!$D$5:$D$3004))</f>
        <v/>
      </c>
      <c r="F199">
        <f>IF(A199="","",C199+D199-E199)</f>
        <v/>
      </c>
      <c r="G199" s="18">
        <f>IF(A199="","",F199*N(Items!F199))</f>
        <v/>
      </c>
      <c r="H199">
        <f>IF(A199="","",IF(F199&lt;=0,"OUT OF STOCK",IF(F199&lt;=N(Items!H199),"REORDER","OK")))</f>
        <v/>
      </c>
      <c r="I199" s="18">
        <f>IF(A199="","",SUMIF('Stock Out'!$B$5:$B$3004,A199,'Stock Out'!$F$5:$F$3004))</f>
        <v/>
      </c>
    </row>
    <row r="200">
      <c r="A200">
        <f>IF(Items!A200="","",Items!A200)</f>
        <v/>
      </c>
      <c r="B200">
        <f>IF(A200="","",Items!B200)</f>
        <v/>
      </c>
      <c r="C200">
        <f>IF(A200="","",N(Items!E200))</f>
        <v/>
      </c>
      <c r="D200">
        <f>IF(A200="","",SUMIF('Stock In'!$B$5:$B$3004,A200,'Stock In'!$D$5:$D$3004))</f>
        <v/>
      </c>
      <c r="E200">
        <f>IF(A200="","",SUMIF('Stock Out'!$B$5:$B$3004,A200,'Stock Out'!$D$5:$D$3004))</f>
        <v/>
      </c>
      <c r="F200">
        <f>IF(A200="","",C200+D200-E200)</f>
        <v/>
      </c>
      <c r="G200" s="18">
        <f>IF(A200="","",F200*N(Items!F200))</f>
        <v/>
      </c>
      <c r="H200">
        <f>IF(A200="","",IF(F200&lt;=0,"OUT OF STOCK",IF(F200&lt;=N(Items!H200),"REORDER","OK")))</f>
        <v/>
      </c>
      <c r="I200" s="18">
        <f>IF(A200="","",SUMIF('Stock Out'!$B$5:$B$3004,A200,'Stock Out'!$F$5:$F$3004))</f>
        <v/>
      </c>
    </row>
    <row r="201">
      <c r="A201">
        <f>IF(Items!A201="","",Items!A201)</f>
        <v/>
      </c>
      <c r="B201">
        <f>IF(A201="","",Items!B201)</f>
        <v/>
      </c>
      <c r="C201">
        <f>IF(A201="","",N(Items!E201))</f>
        <v/>
      </c>
      <c r="D201">
        <f>IF(A201="","",SUMIF('Stock In'!$B$5:$B$3004,A201,'Stock In'!$D$5:$D$3004))</f>
        <v/>
      </c>
      <c r="E201">
        <f>IF(A201="","",SUMIF('Stock Out'!$B$5:$B$3004,A201,'Stock Out'!$D$5:$D$3004))</f>
        <v/>
      </c>
      <c r="F201">
        <f>IF(A201="","",C201+D201-E201)</f>
        <v/>
      </c>
      <c r="G201" s="18">
        <f>IF(A201="","",F201*N(Items!F201))</f>
        <v/>
      </c>
      <c r="H201">
        <f>IF(A201="","",IF(F201&lt;=0,"OUT OF STOCK",IF(F201&lt;=N(Items!H201),"REORDER","OK")))</f>
        <v/>
      </c>
      <c r="I201" s="18">
        <f>IF(A201="","",SUMIF('Stock Out'!$B$5:$B$3004,A201,'Stock Out'!$F$5:$F$3004))</f>
        <v/>
      </c>
    </row>
    <row r="202">
      <c r="A202">
        <f>IF(Items!A202="","",Items!A202)</f>
        <v/>
      </c>
      <c r="B202">
        <f>IF(A202="","",Items!B202)</f>
        <v/>
      </c>
      <c r="C202">
        <f>IF(A202="","",N(Items!E202))</f>
        <v/>
      </c>
      <c r="D202">
        <f>IF(A202="","",SUMIF('Stock In'!$B$5:$B$3004,A202,'Stock In'!$D$5:$D$3004))</f>
        <v/>
      </c>
      <c r="E202">
        <f>IF(A202="","",SUMIF('Stock Out'!$B$5:$B$3004,A202,'Stock Out'!$D$5:$D$3004))</f>
        <v/>
      </c>
      <c r="F202">
        <f>IF(A202="","",C202+D202-E202)</f>
        <v/>
      </c>
      <c r="G202" s="18">
        <f>IF(A202="","",F202*N(Items!F202))</f>
        <v/>
      </c>
      <c r="H202">
        <f>IF(A202="","",IF(F202&lt;=0,"OUT OF STOCK",IF(F202&lt;=N(Items!H202),"REORDER","OK")))</f>
        <v/>
      </c>
      <c r="I202" s="18">
        <f>IF(A202="","",SUMIF('Stock Out'!$B$5:$B$3004,A202,'Stock Out'!$F$5:$F$3004))</f>
        <v/>
      </c>
    </row>
    <row r="203">
      <c r="A203">
        <f>IF(Items!A203="","",Items!A203)</f>
        <v/>
      </c>
      <c r="B203">
        <f>IF(A203="","",Items!B203)</f>
        <v/>
      </c>
      <c r="C203">
        <f>IF(A203="","",N(Items!E203))</f>
        <v/>
      </c>
      <c r="D203">
        <f>IF(A203="","",SUMIF('Stock In'!$B$5:$B$3004,A203,'Stock In'!$D$5:$D$3004))</f>
        <v/>
      </c>
      <c r="E203">
        <f>IF(A203="","",SUMIF('Stock Out'!$B$5:$B$3004,A203,'Stock Out'!$D$5:$D$3004))</f>
        <v/>
      </c>
      <c r="F203">
        <f>IF(A203="","",C203+D203-E203)</f>
        <v/>
      </c>
      <c r="G203" s="18">
        <f>IF(A203="","",F203*N(Items!F203))</f>
        <v/>
      </c>
      <c r="H203">
        <f>IF(A203="","",IF(F203&lt;=0,"OUT OF STOCK",IF(F203&lt;=N(Items!H203),"REORDER","OK")))</f>
        <v/>
      </c>
      <c r="I203" s="18">
        <f>IF(A203="","",SUMIF('Stock Out'!$B$5:$B$3004,A203,'Stock Out'!$F$5:$F$3004))</f>
        <v/>
      </c>
    </row>
    <row r="204">
      <c r="A204">
        <f>IF(Items!A204="","",Items!A204)</f>
        <v/>
      </c>
      <c r="B204">
        <f>IF(A204="","",Items!B204)</f>
        <v/>
      </c>
      <c r="C204">
        <f>IF(A204="","",N(Items!E204))</f>
        <v/>
      </c>
      <c r="D204">
        <f>IF(A204="","",SUMIF('Stock In'!$B$5:$B$3004,A204,'Stock In'!$D$5:$D$3004))</f>
        <v/>
      </c>
      <c r="E204">
        <f>IF(A204="","",SUMIF('Stock Out'!$B$5:$B$3004,A204,'Stock Out'!$D$5:$D$3004))</f>
        <v/>
      </c>
      <c r="F204">
        <f>IF(A204="","",C204+D204-E204)</f>
        <v/>
      </c>
      <c r="G204" s="18">
        <f>IF(A204="","",F204*N(Items!F204))</f>
        <v/>
      </c>
      <c r="H204">
        <f>IF(A204="","",IF(F204&lt;=0,"OUT OF STOCK",IF(F204&lt;=N(Items!H204),"REORDER","OK")))</f>
        <v/>
      </c>
      <c r="I204" s="18">
        <f>IF(A204="","",SUMIF('Stock Out'!$B$5:$B$3004,A204,'Stock Out'!$F$5:$F$3004))</f>
        <v/>
      </c>
    </row>
    <row r="205">
      <c r="A205">
        <f>IF(Items!A205="","",Items!A205)</f>
        <v/>
      </c>
      <c r="B205">
        <f>IF(A205="","",Items!B205)</f>
        <v/>
      </c>
      <c r="C205">
        <f>IF(A205="","",N(Items!E205))</f>
        <v/>
      </c>
      <c r="D205">
        <f>IF(A205="","",SUMIF('Stock In'!$B$5:$B$3004,A205,'Stock In'!$D$5:$D$3004))</f>
        <v/>
      </c>
      <c r="E205">
        <f>IF(A205="","",SUMIF('Stock Out'!$B$5:$B$3004,A205,'Stock Out'!$D$5:$D$3004))</f>
        <v/>
      </c>
      <c r="F205">
        <f>IF(A205="","",C205+D205-E205)</f>
        <v/>
      </c>
      <c r="G205" s="18">
        <f>IF(A205="","",F205*N(Items!F205))</f>
        <v/>
      </c>
      <c r="H205">
        <f>IF(A205="","",IF(F205&lt;=0,"OUT OF STOCK",IF(F205&lt;=N(Items!H205),"REORDER","OK")))</f>
        <v/>
      </c>
      <c r="I205" s="18">
        <f>IF(A205="","",SUMIF('Stock Out'!$B$5:$B$3004,A205,'Stock Out'!$F$5:$F$3004))</f>
        <v/>
      </c>
    </row>
    <row r="206">
      <c r="A206">
        <f>IF(Items!A206="","",Items!A206)</f>
        <v/>
      </c>
      <c r="B206">
        <f>IF(A206="","",Items!B206)</f>
        <v/>
      </c>
      <c r="C206">
        <f>IF(A206="","",N(Items!E206))</f>
        <v/>
      </c>
      <c r="D206">
        <f>IF(A206="","",SUMIF('Stock In'!$B$5:$B$3004,A206,'Stock In'!$D$5:$D$3004))</f>
        <v/>
      </c>
      <c r="E206">
        <f>IF(A206="","",SUMIF('Stock Out'!$B$5:$B$3004,A206,'Stock Out'!$D$5:$D$3004))</f>
        <v/>
      </c>
      <c r="F206">
        <f>IF(A206="","",C206+D206-E206)</f>
        <v/>
      </c>
      <c r="G206" s="18">
        <f>IF(A206="","",F206*N(Items!F206))</f>
        <v/>
      </c>
      <c r="H206">
        <f>IF(A206="","",IF(F206&lt;=0,"OUT OF STOCK",IF(F206&lt;=N(Items!H206),"REORDER","OK")))</f>
        <v/>
      </c>
      <c r="I206" s="18">
        <f>IF(A206="","",SUMIF('Stock Out'!$B$5:$B$3004,A206,'Stock Out'!$F$5:$F$3004))</f>
        <v/>
      </c>
    </row>
    <row r="207">
      <c r="A207">
        <f>IF(Items!A207="","",Items!A207)</f>
        <v/>
      </c>
      <c r="B207">
        <f>IF(A207="","",Items!B207)</f>
        <v/>
      </c>
      <c r="C207">
        <f>IF(A207="","",N(Items!E207))</f>
        <v/>
      </c>
      <c r="D207">
        <f>IF(A207="","",SUMIF('Stock In'!$B$5:$B$3004,A207,'Stock In'!$D$5:$D$3004))</f>
        <v/>
      </c>
      <c r="E207">
        <f>IF(A207="","",SUMIF('Stock Out'!$B$5:$B$3004,A207,'Stock Out'!$D$5:$D$3004))</f>
        <v/>
      </c>
      <c r="F207">
        <f>IF(A207="","",C207+D207-E207)</f>
        <v/>
      </c>
      <c r="G207" s="18">
        <f>IF(A207="","",F207*N(Items!F207))</f>
        <v/>
      </c>
      <c r="H207">
        <f>IF(A207="","",IF(F207&lt;=0,"OUT OF STOCK",IF(F207&lt;=N(Items!H207),"REORDER","OK")))</f>
        <v/>
      </c>
      <c r="I207" s="18">
        <f>IF(A207="","",SUMIF('Stock Out'!$B$5:$B$3004,A207,'Stock Out'!$F$5:$F$3004))</f>
        <v/>
      </c>
    </row>
    <row r="208">
      <c r="A208">
        <f>IF(Items!A208="","",Items!A208)</f>
        <v/>
      </c>
      <c r="B208">
        <f>IF(A208="","",Items!B208)</f>
        <v/>
      </c>
      <c r="C208">
        <f>IF(A208="","",N(Items!E208))</f>
        <v/>
      </c>
      <c r="D208">
        <f>IF(A208="","",SUMIF('Stock In'!$B$5:$B$3004,A208,'Stock In'!$D$5:$D$3004))</f>
        <v/>
      </c>
      <c r="E208">
        <f>IF(A208="","",SUMIF('Stock Out'!$B$5:$B$3004,A208,'Stock Out'!$D$5:$D$3004))</f>
        <v/>
      </c>
      <c r="F208">
        <f>IF(A208="","",C208+D208-E208)</f>
        <v/>
      </c>
      <c r="G208" s="18">
        <f>IF(A208="","",F208*N(Items!F208))</f>
        <v/>
      </c>
      <c r="H208">
        <f>IF(A208="","",IF(F208&lt;=0,"OUT OF STOCK",IF(F208&lt;=N(Items!H208),"REORDER","OK")))</f>
        <v/>
      </c>
      <c r="I208" s="18">
        <f>IF(A208="","",SUMIF('Stock Out'!$B$5:$B$3004,A208,'Stock Out'!$F$5:$F$3004))</f>
        <v/>
      </c>
    </row>
    <row r="209">
      <c r="A209">
        <f>IF(Items!A209="","",Items!A209)</f>
        <v/>
      </c>
      <c r="B209">
        <f>IF(A209="","",Items!B209)</f>
        <v/>
      </c>
      <c r="C209">
        <f>IF(A209="","",N(Items!E209))</f>
        <v/>
      </c>
      <c r="D209">
        <f>IF(A209="","",SUMIF('Stock In'!$B$5:$B$3004,A209,'Stock In'!$D$5:$D$3004))</f>
        <v/>
      </c>
      <c r="E209">
        <f>IF(A209="","",SUMIF('Stock Out'!$B$5:$B$3004,A209,'Stock Out'!$D$5:$D$3004))</f>
        <v/>
      </c>
      <c r="F209">
        <f>IF(A209="","",C209+D209-E209)</f>
        <v/>
      </c>
      <c r="G209" s="18">
        <f>IF(A209="","",F209*N(Items!F209))</f>
        <v/>
      </c>
      <c r="H209">
        <f>IF(A209="","",IF(F209&lt;=0,"OUT OF STOCK",IF(F209&lt;=N(Items!H209),"REORDER","OK")))</f>
        <v/>
      </c>
      <c r="I209" s="18">
        <f>IF(A209="","",SUMIF('Stock Out'!$B$5:$B$3004,A209,'Stock Out'!$F$5:$F$3004))</f>
        <v/>
      </c>
    </row>
    <row r="210">
      <c r="A210">
        <f>IF(Items!A210="","",Items!A210)</f>
        <v/>
      </c>
      <c r="B210">
        <f>IF(A210="","",Items!B210)</f>
        <v/>
      </c>
      <c r="C210">
        <f>IF(A210="","",N(Items!E210))</f>
        <v/>
      </c>
      <c r="D210">
        <f>IF(A210="","",SUMIF('Stock In'!$B$5:$B$3004,A210,'Stock In'!$D$5:$D$3004))</f>
        <v/>
      </c>
      <c r="E210">
        <f>IF(A210="","",SUMIF('Stock Out'!$B$5:$B$3004,A210,'Stock Out'!$D$5:$D$3004))</f>
        <v/>
      </c>
      <c r="F210">
        <f>IF(A210="","",C210+D210-E210)</f>
        <v/>
      </c>
      <c r="G210" s="18">
        <f>IF(A210="","",F210*N(Items!F210))</f>
        <v/>
      </c>
      <c r="H210">
        <f>IF(A210="","",IF(F210&lt;=0,"OUT OF STOCK",IF(F210&lt;=N(Items!H210),"REORDER","OK")))</f>
        <v/>
      </c>
      <c r="I210" s="18">
        <f>IF(A210="","",SUMIF('Stock Out'!$B$5:$B$3004,A210,'Stock Out'!$F$5:$F$3004))</f>
        <v/>
      </c>
    </row>
    <row r="211">
      <c r="A211">
        <f>IF(Items!A211="","",Items!A211)</f>
        <v/>
      </c>
      <c r="B211">
        <f>IF(A211="","",Items!B211)</f>
        <v/>
      </c>
      <c r="C211">
        <f>IF(A211="","",N(Items!E211))</f>
        <v/>
      </c>
      <c r="D211">
        <f>IF(A211="","",SUMIF('Stock In'!$B$5:$B$3004,A211,'Stock In'!$D$5:$D$3004))</f>
        <v/>
      </c>
      <c r="E211">
        <f>IF(A211="","",SUMIF('Stock Out'!$B$5:$B$3004,A211,'Stock Out'!$D$5:$D$3004))</f>
        <v/>
      </c>
      <c r="F211">
        <f>IF(A211="","",C211+D211-E211)</f>
        <v/>
      </c>
      <c r="G211" s="18">
        <f>IF(A211="","",F211*N(Items!F211))</f>
        <v/>
      </c>
      <c r="H211">
        <f>IF(A211="","",IF(F211&lt;=0,"OUT OF STOCK",IF(F211&lt;=N(Items!H211),"REORDER","OK")))</f>
        <v/>
      </c>
      <c r="I211" s="18">
        <f>IF(A211="","",SUMIF('Stock Out'!$B$5:$B$3004,A211,'Stock Out'!$F$5:$F$3004))</f>
        <v/>
      </c>
    </row>
    <row r="212">
      <c r="A212">
        <f>IF(Items!A212="","",Items!A212)</f>
        <v/>
      </c>
      <c r="B212">
        <f>IF(A212="","",Items!B212)</f>
        <v/>
      </c>
      <c r="C212">
        <f>IF(A212="","",N(Items!E212))</f>
        <v/>
      </c>
      <c r="D212">
        <f>IF(A212="","",SUMIF('Stock In'!$B$5:$B$3004,A212,'Stock In'!$D$5:$D$3004))</f>
        <v/>
      </c>
      <c r="E212">
        <f>IF(A212="","",SUMIF('Stock Out'!$B$5:$B$3004,A212,'Stock Out'!$D$5:$D$3004))</f>
        <v/>
      </c>
      <c r="F212">
        <f>IF(A212="","",C212+D212-E212)</f>
        <v/>
      </c>
      <c r="G212" s="18">
        <f>IF(A212="","",F212*N(Items!F212))</f>
        <v/>
      </c>
      <c r="H212">
        <f>IF(A212="","",IF(F212&lt;=0,"OUT OF STOCK",IF(F212&lt;=N(Items!H212),"REORDER","OK")))</f>
        <v/>
      </c>
      <c r="I212" s="18">
        <f>IF(A212="","",SUMIF('Stock Out'!$B$5:$B$3004,A212,'Stock Out'!$F$5:$F$3004))</f>
        <v/>
      </c>
    </row>
    <row r="213">
      <c r="A213">
        <f>IF(Items!A213="","",Items!A213)</f>
        <v/>
      </c>
      <c r="B213">
        <f>IF(A213="","",Items!B213)</f>
        <v/>
      </c>
      <c r="C213">
        <f>IF(A213="","",N(Items!E213))</f>
        <v/>
      </c>
      <c r="D213">
        <f>IF(A213="","",SUMIF('Stock In'!$B$5:$B$3004,A213,'Stock In'!$D$5:$D$3004))</f>
        <v/>
      </c>
      <c r="E213">
        <f>IF(A213="","",SUMIF('Stock Out'!$B$5:$B$3004,A213,'Stock Out'!$D$5:$D$3004))</f>
        <v/>
      </c>
      <c r="F213">
        <f>IF(A213="","",C213+D213-E213)</f>
        <v/>
      </c>
      <c r="G213" s="18">
        <f>IF(A213="","",F213*N(Items!F213))</f>
        <v/>
      </c>
      <c r="H213">
        <f>IF(A213="","",IF(F213&lt;=0,"OUT OF STOCK",IF(F213&lt;=N(Items!H213),"REORDER","OK")))</f>
        <v/>
      </c>
      <c r="I213" s="18">
        <f>IF(A213="","",SUMIF('Stock Out'!$B$5:$B$3004,A213,'Stock Out'!$F$5:$F$3004))</f>
        <v/>
      </c>
    </row>
    <row r="214">
      <c r="A214">
        <f>IF(Items!A214="","",Items!A214)</f>
        <v/>
      </c>
      <c r="B214">
        <f>IF(A214="","",Items!B214)</f>
        <v/>
      </c>
      <c r="C214">
        <f>IF(A214="","",N(Items!E214))</f>
        <v/>
      </c>
      <c r="D214">
        <f>IF(A214="","",SUMIF('Stock In'!$B$5:$B$3004,A214,'Stock In'!$D$5:$D$3004))</f>
        <v/>
      </c>
      <c r="E214">
        <f>IF(A214="","",SUMIF('Stock Out'!$B$5:$B$3004,A214,'Stock Out'!$D$5:$D$3004))</f>
        <v/>
      </c>
      <c r="F214">
        <f>IF(A214="","",C214+D214-E214)</f>
        <v/>
      </c>
      <c r="G214" s="18">
        <f>IF(A214="","",F214*N(Items!F214))</f>
        <v/>
      </c>
      <c r="H214">
        <f>IF(A214="","",IF(F214&lt;=0,"OUT OF STOCK",IF(F214&lt;=N(Items!H214),"REORDER","OK")))</f>
        <v/>
      </c>
      <c r="I214" s="18">
        <f>IF(A214="","",SUMIF('Stock Out'!$B$5:$B$3004,A214,'Stock Out'!$F$5:$F$3004))</f>
        <v/>
      </c>
    </row>
    <row r="215">
      <c r="A215">
        <f>IF(Items!A215="","",Items!A215)</f>
        <v/>
      </c>
      <c r="B215">
        <f>IF(A215="","",Items!B215)</f>
        <v/>
      </c>
      <c r="C215">
        <f>IF(A215="","",N(Items!E215))</f>
        <v/>
      </c>
      <c r="D215">
        <f>IF(A215="","",SUMIF('Stock In'!$B$5:$B$3004,A215,'Stock In'!$D$5:$D$3004))</f>
        <v/>
      </c>
      <c r="E215">
        <f>IF(A215="","",SUMIF('Stock Out'!$B$5:$B$3004,A215,'Stock Out'!$D$5:$D$3004))</f>
        <v/>
      </c>
      <c r="F215">
        <f>IF(A215="","",C215+D215-E215)</f>
        <v/>
      </c>
      <c r="G215" s="18">
        <f>IF(A215="","",F215*N(Items!F215))</f>
        <v/>
      </c>
      <c r="H215">
        <f>IF(A215="","",IF(F215&lt;=0,"OUT OF STOCK",IF(F215&lt;=N(Items!H215),"REORDER","OK")))</f>
        <v/>
      </c>
      <c r="I215" s="18">
        <f>IF(A215="","",SUMIF('Stock Out'!$B$5:$B$3004,A215,'Stock Out'!$F$5:$F$3004))</f>
        <v/>
      </c>
    </row>
    <row r="216">
      <c r="A216">
        <f>IF(Items!A216="","",Items!A216)</f>
        <v/>
      </c>
      <c r="B216">
        <f>IF(A216="","",Items!B216)</f>
        <v/>
      </c>
      <c r="C216">
        <f>IF(A216="","",N(Items!E216))</f>
        <v/>
      </c>
      <c r="D216">
        <f>IF(A216="","",SUMIF('Stock In'!$B$5:$B$3004,A216,'Stock In'!$D$5:$D$3004))</f>
        <v/>
      </c>
      <c r="E216">
        <f>IF(A216="","",SUMIF('Stock Out'!$B$5:$B$3004,A216,'Stock Out'!$D$5:$D$3004))</f>
        <v/>
      </c>
      <c r="F216">
        <f>IF(A216="","",C216+D216-E216)</f>
        <v/>
      </c>
      <c r="G216" s="18">
        <f>IF(A216="","",F216*N(Items!F216))</f>
        <v/>
      </c>
      <c r="H216">
        <f>IF(A216="","",IF(F216&lt;=0,"OUT OF STOCK",IF(F216&lt;=N(Items!H216),"REORDER","OK")))</f>
        <v/>
      </c>
      <c r="I216" s="18">
        <f>IF(A216="","",SUMIF('Stock Out'!$B$5:$B$3004,A216,'Stock Out'!$F$5:$F$3004))</f>
        <v/>
      </c>
    </row>
    <row r="217">
      <c r="A217">
        <f>IF(Items!A217="","",Items!A217)</f>
        <v/>
      </c>
      <c r="B217">
        <f>IF(A217="","",Items!B217)</f>
        <v/>
      </c>
      <c r="C217">
        <f>IF(A217="","",N(Items!E217))</f>
        <v/>
      </c>
      <c r="D217">
        <f>IF(A217="","",SUMIF('Stock In'!$B$5:$B$3004,A217,'Stock In'!$D$5:$D$3004))</f>
        <v/>
      </c>
      <c r="E217">
        <f>IF(A217="","",SUMIF('Stock Out'!$B$5:$B$3004,A217,'Stock Out'!$D$5:$D$3004))</f>
        <v/>
      </c>
      <c r="F217">
        <f>IF(A217="","",C217+D217-E217)</f>
        <v/>
      </c>
      <c r="G217" s="18">
        <f>IF(A217="","",F217*N(Items!F217))</f>
        <v/>
      </c>
      <c r="H217">
        <f>IF(A217="","",IF(F217&lt;=0,"OUT OF STOCK",IF(F217&lt;=N(Items!H217),"REORDER","OK")))</f>
        <v/>
      </c>
      <c r="I217" s="18">
        <f>IF(A217="","",SUMIF('Stock Out'!$B$5:$B$3004,A217,'Stock Out'!$F$5:$F$3004))</f>
        <v/>
      </c>
    </row>
    <row r="218">
      <c r="A218">
        <f>IF(Items!A218="","",Items!A218)</f>
        <v/>
      </c>
      <c r="B218">
        <f>IF(A218="","",Items!B218)</f>
        <v/>
      </c>
      <c r="C218">
        <f>IF(A218="","",N(Items!E218))</f>
        <v/>
      </c>
      <c r="D218">
        <f>IF(A218="","",SUMIF('Stock In'!$B$5:$B$3004,A218,'Stock In'!$D$5:$D$3004))</f>
        <v/>
      </c>
      <c r="E218">
        <f>IF(A218="","",SUMIF('Stock Out'!$B$5:$B$3004,A218,'Stock Out'!$D$5:$D$3004))</f>
        <v/>
      </c>
      <c r="F218">
        <f>IF(A218="","",C218+D218-E218)</f>
        <v/>
      </c>
      <c r="G218" s="18">
        <f>IF(A218="","",F218*N(Items!F218))</f>
        <v/>
      </c>
      <c r="H218">
        <f>IF(A218="","",IF(F218&lt;=0,"OUT OF STOCK",IF(F218&lt;=N(Items!H218),"REORDER","OK")))</f>
        <v/>
      </c>
      <c r="I218" s="18">
        <f>IF(A218="","",SUMIF('Stock Out'!$B$5:$B$3004,A218,'Stock Out'!$F$5:$F$3004))</f>
        <v/>
      </c>
    </row>
    <row r="219">
      <c r="A219">
        <f>IF(Items!A219="","",Items!A219)</f>
        <v/>
      </c>
      <c r="B219">
        <f>IF(A219="","",Items!B219)</f>
        <v/>
      </c>
      <c r="C219">
        <f>IF(A219="","",N(Items!E219))</f>
        <v/>
      </c>
      <c r="D219">
        <f>IF(A219="","",SUMIF('Stock In'!$B$5:$B$3004,A219,'Stock In'!$D$5:$D$3004))</f>
        <v/>
      </c>
      <c r="E219">
        <f>IF(A219="","",SUMIF('Stock Out'!$B$5:$B$3004,A219,'Stock Out'!$D$5:$D$3004))</f>
        <v/>
      </c>
      <c r="F219">
        <f>IF(A219="","",C219+D219-E219)</f>
        <v/>
      </c>
      <c r="G219" s="18">
        <f>IF(A219="","",F219*N(Items!F219))</f>
        <v/>
      </c>
      <c r="H219">
        <f>IF(A219="","",IF(F219&lt;=0,"OUT OF STOCK",IF(F219&lt;=N(Items!H219),"REORDER","OK")))</f>
        <v/>
      </c>
      <c r="I219" s="18">
        <f>IF(A219="","",SUMIF('Stock Out'!$B$5:$B$3004,A219,'Stock Out'!$F$5:$F$3004))</f>
        <v/>
      </c>
    </row>
    <row r="220">
      <c r="A220">
        <f>IF(Items!A220="","",Items!A220)</f>
        <v/>
      </c>
      <c r="B220">
        <f>IF(A220="","",Items!B220)</f>
        <v/>
      </c>
      <c r="C220">
        <f>IF(A220="","",N(Items!E220))</f>
        <v/>
      </c>
      <c r="D220">
        <f>IF(A220="","",SUMIF('Stock In'!$B$5:$B$3004,A220,'Stock In'!$D$5:$D$3004))</f>
        <v/>
      </c>
      <c r="E220">
        <f>IF(A220="","",SUMIF('Stock Out'!$B$5:$B$3004,A220,'Stock Out'!$D$5:$D$3004))</f>
        <v/>
      </c>
      <c r="F220">
        <f>IF(A220="","",C220+D220-E220)</f>
        <v/>
      </c>
      <c r="G220" s="18">
        <f>IF(A220="","",F220*N(Items!F220))</f>
        <v/>
      </c>
      <c r="H220">
        <f>IF(A220="","",IF(F220&lt;=0,"OUT OF STOCK",IF(F220&lt;=N(Items!H220),"REORDER","OK")))</f>
        <v/>
      </c>
      <c r="I220" s="18">
        <f>IF(A220="","",SUMIF('Stock Out'!$B$5:$B$3004,A220,'Stock Out'!$F$5:$F$3004))</f>
        <v/>
      </c>
    </row>
    <row r="221">
      <c r="A221">
        <f>IF(Items!A221="","",Items!A221)</f>
        <v/>
      </c>
      <c r="B221">
        <f>IF(A221="","",Items!B221)</f>
        <v/>
      </c>
      <c r="C221">
        <f>IF(A221="","",N(Items!E221))</f>
        <v/>
      </c>
      <c r="D221">
        <f>IF(A221="","",SUMIF('Stock In'!$B$5:$B$3004,A221,'Stock In'!$D$5:$D$3004))</f>
        <v/>
      </c>
      <c r="E221">
        <f>IF(A221="","",SUMIF('Stock Out'!$B$5:$B$3004,A221,'Stock Out'!$D$5:$D$3004))</f>
        <v/>
      </c>
      <c r="F221">
        <f>IF(A221="","",C221+D221-E221)</f>
        <v/>
      </c>
      <c r="G221" s="18">
        <f>IF(A221="","",F221*N(Items!F221))</f>
        <v/>
      </c>
      <c r="H221">
        <f>IF(A221="","",IF(F221&lt;=0,"OUT OF STOCK",IF(F221&lt;=N(Items!H221),"REORDER","OK")))</f>
        <v/>
      </c>
      <c r="I221" s="18">
        <f>IF(A221="","",SUMIF('Stock Out'!$B$5:$B$3004,A221,'Stock Out'!$F$5:$F$3004))</f>
        <v/>
      </c>
    </row>
    <row r="222">
      <c r="A222">
        <f>IF(Items!A222="","",Items!A222)</f>
        <v/>
      </c>
      <c r="B222">
        <f>IF(A222="","",Items!B222)</f>
        <v/>
      </c>
      <c r="C222">
        <f>IF(A222="","",N(Items!E222))</f>
        <v/>
      </c>
      <c r="D222">
        <f>IF(A222="","",SUMIF('Stock In'!$B$5:$B$3004,A222,'Stock In'!$D$5:$D$3004))</f>
        <v/>
      </c>
      <c r="E222">
        <f>IF(A222="","",SUMIF('Stock Out'!$B$5:$B$3004,A222,'Stock Out'!$D$5:$D$3004))</f>
        <v/>
      </c>
      <c r="F222">
        <f>IF(A222="","",C222+D222-E222)</f>
        <v/>
      </c>
      <c r="G222" s="18">
        <f>IF(A222="","",F222*N(Items!F222))</f>
        <v/>
      </c>
      <c r="H222">
        <f>IF(A222="","",IF(F222&lt;=0,"OUT OF STOCK",IF(F222&lt;=N(Items!H222),"REORDER","OK")))</f>
        <v/>
      </c>
      <c r="I222" s="18">
        <f>IF(A222="","",SUMIF('Stock Out'!$B$5:$B$3004,A222,'Stock Out'!$F$5:$F$3004))</f>
        <v/>
      </c>
    </row>
    <row r="223">
      <c r="A223">
        <f>IF(Items!A223="","",Items!A223)</f>
        <v/>
      </c>
      <c r="B223">
        <f>IF(A223="","",Items!B223)</f>
        <v/>
      </c>
      <c r="C223">
        <f>IF(A223="","",N(Items!E223))</f>
        <v/>
      </c>
      <c r="D223">
        <f>IF(A223="","",SUMIF('Stock In'!$B$5:$B$3004,A223,'Stock In'!$D$5:$D$3004))</f>
        <v/>
      </c>
      <c r="E223">
        <f>IF(A223="","",SUMIF('Stock Out'!$B$5:$B$3004,A223,'Stock Out'!$D$5:$D$3004))</f>
        <v/>
      </c>
      <c r="F223">
        <f>IF(A223="","",C223+D223-E223)</f>
        <v/>
      </c>
      <c r="G223" s="18">
        <f>IF(A223="","",F223*N(Items!F223))</f>
        <v/>
      </c>
      <c r="H223">
        <f>IF(A223="","",IF(F223&lt;=0,"OUT OF STOCK",IF(F223&lt;=N(Items!H223),"REORDER","OK")))</f>
        <v/>
      </c>
      <c r="I223" s="18">
        <f>IF(A223="","",SUMIF('Stock Out'!$B$5:$B$3004,A223,'Stock Out'!$F$5:$F$3004))</f>
        <v/>
      </c>
    </row>
    <row r="224">
      <c r="A224">
        <f>IF(Items!A224="","",Items!A224)</f>
        <v/>
      </c>
      <c r="B224">
        <f>IF(A224="","",Items!B224)</f>
        <v/>
      </c>
      <c r="C224">
        <f>IF(A224="","",N(Items!E224))</f>
        <v/>
      </c>
      <c r="D224">
        <f>IF(A224="","",SUMIF('Stock In'!$B$5:$B$3004,A224,'Stock In'!$D$5:$D$3004))</f>
        <v/>
      </c>
      <c r="E224">
        <f>IF(A224="","",SUMIF('Stock Out'!$B$5:$B$3004,A224,'Stock Out'!$D$5:$D$3004))</f>
        <v/>
      </c>
      <c r="F224">
        <f>IF(A224="","",C224+D224-E224)</f>
        <v/>
      </c>
      <c r="G224" s="18">
        <f>IF(A224="","",F224*N(Items!F224))</f>
        <v/>
      </c>
      <c r="H224">
        <f>IF(A224="","",IF(F224&lt;=0,"OUT OF STOCK",IF(F224&lt;=N(Items!H224),"REORDER","OK")))</f>
        <v/>
      </c>
      <c r="I224" s="18">
        <f>IF(A224="","",SUMIF('Stock Out'!$B$5:$B$3004,A224,'Stock Out'!$F$5:$F$3004))</f>
        <v/>
      </c>
    </row>
    <row r="225">
      <c r="A225">
        <f>IF(Items!A225="","",Items!A225)</f>
        <v/>
      </c>
      <c r="B225">
        <f>IF(A225="","",Items!B225)</f>
        <v/>
      </c>
      <c r="C225">
        <f>IF(A225="","",N(Items!E225))</f>
        <v/>
      </c>
      <c r="D225">
        <f>IF(A225="","",SUMIF('Stock In'!$B$5:$B$3004,A225,'Stock In'!$D$5:$D$3004))</f>
        <v/>
      </c>
      <c r="E225">
        <f>IF(A225="","",SUMIF('Stock Out'!$B$5:$B$3004,A225,'Stock Out'!$D$5:$D$3004))</f>
        <v/>
      </c>
      <c r="F225">
        <f>IF(A225="","",C225+D225-E225)</f>
        <v/>
      </c>
      <c r="G225" s="18">
        <f>IF(A225="","",F225*N(Items!F225))</f>
        <v/>
      </c>
      <c r="H225">
        <f>IF(A225="","",IF(F225&lt;=0,"OUT OF STOCK",IF(F225&lt;=N(Items!H225),"REORDER","OK")))</f>
        <v/>
      </c>
      <c r="I225" s="18">
        <f>IF(A225="","",SUMIF('Stock Out'!$B$5:$B$3004,A225,'Stock Out'!$F$5:$F$3004))</f>
        <v/>
      </c>
    </row>
    <row r="226">
      <c r="A226">
        <f>IF(Items!A226="","",Items!A226)</f>
        <v/>
      </c>
      <c r="B226">
        <f>IF(A226="","",Items!B226)</f>
        <v/>
      </c>
      <c r="C226">
        <f>IF(A226="","",N(Items!E226))</f>
        <v/>
      </c>
      <c r="D226">
        <f>IF(A226="","",SUMIF('Stock In'!$B$5:$B$3004,A226,'Stock In'!$D$5:$D$3004))</f>
        <v/>
      </c>
      <c r="E226">
        <f>IF(A226="","",SUMIF('Stock Out'!$B$5:$B$3004,A226,'Stock Out'!$D$5:$D$3004))</f>
        <v/>
      </c>
      <c r="F226">
        <f>IF(A226="","",C226+D226-E226)</f>
        <v/>
      </c>
      <c r="G226" s="18">
        <f>IF(A226="","",F226*N(Items!F226))</f>
        <v/>
      </c>
      <c r="H226">
        <f>IF(A226="","",IF(F226&lt;=0,"OUT OF STOCK",IF(F226&lt;=N(Items!H226),"REORDER","OK")))</f>
        <v/>
      </c>
      <c r="I226" s="18">
        <f>IF(A226="","",SUMIF('Stock Out'!$B$5:$B$3004,A226,'Stock Out'!$F$5:$F$3004))</f>
        <v/>
      </c>
    </row>
    <row r="227">
      <c r="A227">
        <f>IF(Items!A227="","",Items!A227)</f>
        <v/>
      </c>
      <c r="B227">
        <f>IF(A227="","",Items!B227)</f>
        <v/>
      </c>
      <c r="C227">
        <f>IF(A227="","",N(Items!E227))</f>
        <v/>
      </c>
      <c r="D227">
        <f>IF(A227="","",SUMIF('Stock In'!$B$5:$B$3004,A227,'Stock In'!$D$5:$D$3004))</f>
        <v/>
      </c>
      <c r="E227">
        <f>IF(A227="","",SUMIF('Stock Out'!$B$5:$B$3004,A227,'Stock Out'!$D$5:$D$3004))</f>
        <v/>
      </c>
      <c r="F227">
        <f>IF(A227="","",C227+D227-E227)</f>
        <v/>
      </c>
      <c r="G227" s="18">
        <f>IF(A227="","",F227*N(Items!F227))</f>
        <v/>
      </c>
      <c r="H227">
        <f>IF(A227="","",IF(F227&lt;=0,"OUT OF STOCK",IF(F227&lt;=N(Items!H227),"REORDER","OK")))</f>
        <v/>
      </c>
      <c r="I227" s="18">
        <f>IF(A227="","",SUMIF('Stock Out'!$B$5:$B$3004,A227,'Stock Out'!$F$5:$F$3004))</f>
        <v/>
      </c>
    </row>
    <row r="228">
      <c r="A228">
        <f>IF(Items!A228="","",Items!A228)</f>
        <v/>
      </c>
      <c r="B228">
        <f>IF(A228="","",Items!B228)</f>
        <v/>
      </c>
      <c r="C228">
        <f>IF(A228="","",N(Items!E228))</f>
        <v/>
      </c>
      <c r="D228">
        <f>IF(A228="","",SUMIF('Stock In'!$B$5:$B$3004,A228,'Stock In'!$D$5:$D$3004))</f>
        <v/>
      </c>
      <c r="E228">
        <f>IF(A228="","",SUMIF('Stock Out'!$B$5:$B$3004,A228,'Stock Out'!$D$5:$D$3004))</f>
        <v/>
      </c>
      <c r="F228">
        <f>IF(A228="","",C228+D228-E228)</f>
        <v/>
      </c>
      <c r="G228" s="18">
        <f>IF(A228="","",F228*N(Items!F228))</f>
        <v/>
      </c>
      <c r="H228">
        <f>IF(A228="","",IF(F228&lt;=0,"OUT OF STOCK",IF(F228&lt;=N(Items!H228),"REORDER","OK")))</f>
        <v/>
      </c>
      <c r="I228" s="18">
        <f>IF(A228="","",SUMIF('Stock Out'!$B$5:$B$3004,A228,'Stock Out'!$F$5:$F$3004))</f>
        <v/>
      </c>
    </row>
    <row r="229">
      <c r="A229">
        <f>IF(Items!A229="","",Items!A229)</f>
        <v/>
      </c>
      <c r="B229">
        <f>IF(A229="","",Items!B229)</f>
        <v/>
      </c>
      <c r="C229">
        <f>IF(A229="","",N(Items!E229))</f>
        <v/>
      </c>
      <c r="D229">
        <f>IF(A229="","",SUMIF('Stock In'!$B$5:$B$3004,A229,'Stock In'!$D$5:$D$3004))</f>
        <v/>
      </c>
      <c r="E229">
        <f>IF(A229="","",SUMIF('Stock Out'!$B$5:$B$3004,A229,'Stock Out'!$D$5:$D$3004))</f>
        <v/>
      </c>
      <c r="F229">
        <f>IF(A229="","",C229+D229-E229)</f>
        <v/>
      </c>
      <c r="G229" s="18">
        <f>IF(A229="","",F229*N(Items!F229))</f>
        <v/>
      </c>
      <c r="H229">
        <f>IF(A229="","",IF(F229&lt;=0,"OUT OF STOCK",IF(F229&lt;=N(Items!H229),"REORDER","OK")))</f>
        <v/>
      </c>
      <c r="I229" s="18">
        <f>IF(A229="","",SUMIF('Stock Out'!$B$5:$B$3004,A229,'Stock Out'!$F$5:$F$3004))</f>
        <v/>
      </c>
    </row>
    <row r="230">
      <c r="A230">
        <f>IF(Items!A230="","",Items!A230)</f>
        <v/>
      </c>
      <c r="B230">
        <f>IF(A230="","",Items!B230)</f>
        <v/>
      </c>
      <c r="C230">
        <f>IF(A230="","",N(Items!E230))</f>
        <v/>
      </c>
      <c r="D230">
        <f>IF(A230="","",SUMIF('Stock In'!$B$5:$B$3004,A230,'Stock In'!$D$5:$D$3004))</f>
        <v/>
      </c>
      <c r="E230">
        <f>IF(A230="","",SUMIF('Stock Out'!$B$5:$B$3004,A230,'Stock Out'!$D$5:$D$3004))</f>
        <v/>
      </c>
      <c r="F230">
        <f>IF(A230="","",C230+D230-E230)</f>
        <v/>
      </c>
      <c r="G230" s="18">
        <f>IF(A230="","",F230*N(Items!F230))</f>
        <v/>
      </c>
      <c r="H230">
        <f>IF(A230="","",IF(F230&lt;=0,"OUT OF STOCK",IF(F230&lt;=N(Items!H230),"REORDER","OK")))</f>
        <v/>
      </c>
      <c r="I230" s="18">
        <f>IF(A230="","",SUMIF('Stock Out'!$B$5:$B$3004,A230,'Stock Out'!$F$5:$F$3004))</f>
        <v/>
      </c>
    </row>
    <row r="231">
      <c r="A231">
        <f>IF(Items!A231="","",Items!A231)</f>
        <v/>
      </c>
      <c r="B231">
        <f>IF(A231="","",Items!B231)</f>
        <v/>
      </c>
      <c r="C231">
        <f>IF(A231="","",N(Items!E231))</f>
        <v/>
      </c>
      <c r="D231">
        <f>IF(A231="","",SUMIF('Stock In'!$B$5:$B$3004,A231,'Stock In'!$D$5:$D$3004))</f>
        <v/>
      </c>
      <c r="E231">
        <f>IF(A231="","",SUMIF('Stock Out'!$B$5:$B$3004,A231,'Stock Out'!$D$5:$D$3004))</f>
        <v/>
      </c>
      <c r="F231">
        <f>IF(A231="","",C231+D231-E231)</f>
        <v/>
      </c>
      <c r="G231" s="18">
        <f>IF(A231="","",F231*N(Items!F231))</f>
        <v/>
      </c>
      <c r="H231">
        <f>IF(A231="","",IF(F231&lt;=0,"OUT OF STOCK",IF(F231&lt;=N(Items!H231),"REORDER","OK")))</f>
        <v/>
      </c>
      <c r="I231" s="18">
        <f>IF(A231="","",SUMIF('Stock Out'!$B$5:$B$3004,A231,'Stock Out'!$F$5:$F$3004))</f>
        <v/>
      </c>
    </row>
    <row r="232">
      <c r="A232">
        <f>IF(Items!A232="","",Items!A232)</f>
        <v/>
      </c>
      <c r="B232">
        <f>IF(A232="","",Items!B232)</f>
        <v/>
      </c>
      <c r="C232">
        <f>IF(A232="","",N(Items!E232))</f>
        <v/>
      </c>
      <c r="D232">
        <f>IF(A232="","",SUMIF('Stock In'!$B$5:$B$3004,A232,'Stock In'!$D$5:$D$3004))</f>
        <v/>
      </c>
      <c r="E232">
        <f>IF(A232="","",SUMIF('Stock Out'!$B$5:$B$3004,A232,'Stock Out'!$D$5:$D$3004))</f>
        <v/>
      </c>
      <c r="F232">
        <f>IF(A232="","",C232+D232-E232)</f>
        <v/>
      </c>
      <c r="G232" s="18">
        <f>IF(A232="","",F232*N(Items!F232))</f>
        <v/>
      </c>
      <c r="H232">
        <f>IF(A232="","",IF(F232&lt;=0,"OUT OF STOCK",IF(F232&lt;=N(Items!H232),"REORDER","OK")))</f>
        <v/>
      </c>
      <c r="I232" s="18">
        <f>IF(A232="","",SUMIF('Stock Out'!$B$5:$B$3004,A232,'Stock Out'!$F$5:$F$3004))</f>
        <v/>
      </c>
    </row>
    <row r="233">
      <c r="A233">
        <f>IF(Items!A233="","",Items!A233)</f>
        <v/>
      </c>
      <c r="B233">
        <f>IF(A233="","",Items!B233)</f>
        <v/>
      </c>
      <c r="C233">
        <f>IF(A233="","",N(Items!E233))</f>
        <v/>
      </c>
      <c r="D233">
        <f>IF(A233="","",SUMIF('Stock In'!$B$5:$B$3004,A233,'Stock In'!$D$5:$D$3004))</f>
        <v/>
      </c>
      <c r="E233">
        <f>IF(A233="","",SUMIF('Stock Out'!$B$5:$B$3004,A233,'Stock Out'!$D$5:$D$3004))</f>
        <v/>
      </c>
      <c r="F233">
        <f>IF(A233="","",C233+D233-E233)</f>
        <v/>
      </c>
      <c r="G233" s="18">
        <f>IF(A233="","",F233*N(Items!F233))</f>
        <v/>
      </c>
      <c r="H233">
        <f>IF(A233="","",IF(F233&lt;=0,"OUT OF STOCK",IF(F233&lt;=N(Items!H233),"REORDER","OK")))</f>
        <v/>
      </c>
      <c r="I233" s="18">
        <f>IF(A233="","",SUMIF('Stock Out'!$B$5:$B$3004,A233,'Stock Out'!$F$5:$F$3004))</f>
        <v/>
      </c>
    </row>
    <row r="234">
      <c r="A234">
        <f>IF(Items!A234="","",Items!A234)</f>
        <v/>
      </c>
      <c r="B234">
        <f>IF(A234="","",Items!B234)</f>
        <v/>
      </c>
      <c r="C234">
        <f>IF(A234="","",N(Items!E234))</f>
        <v/>
      </c>
      <c r="D234">
        <f>IF(A234="","",SUMIF('Stock In'!$B$5:$B$3004,A234,'Stock In'!$D$5:$D$3004))</f>
        <v/>
      </c>
      <c r="E234">
        <f>IF(A234="","",SUMIF('Stock Out'!$B$5:$B$3004,A234,'Stock Out'!$D$5:$D$3004))</f>
        <v/>
      </c>
      <c r="F234">
        <f>IF(A234="","",C234+D234-E234)</f>
        <v/>
      </c>
      <c r="G234" s="18">
        <f>IF(A234="","",F234*N(Items!F234))</f>
        <v/>
      </c>
      <c r="H234">
        <f>IF(A234="","",IF(F234&lt;=0,"OUT OF STOCK",IF(F234&lt;=N(Items!H234),"REORDER","OK")))</f>
        <v/>
      </c>
      <c r="I234" s="18">
        <f>IF(A234="","",SUMIF('Stock Out'!$B$5:$B$3004,A234,'Stock Out'!$F$5:$F$3004))</f>
        <v/>
      </c>
    </row>
    <row r="235">
      <c r="A235">
        <f>IF(Items!A235="","",Items!A235)</f>
        <v/>
      </c>
      <c r="B235">
        <f>IF(A235="","",Items!B235)</f>
        <v/>
      </c>
      <c r="C235">
        <f>IF(A235="","",N(Items!E235))</f>
        <v/>
      </c>
      <c r="D235">
        <f>IF(A235="","",SUMIF('Stock In'!$B$5:$B$3004,A235,'Stock In'!$D$5:$D$3004))</f>
        <v/>
      </c>
      <c r="E235">
        <f>IF(A235="","",SUMIF('Stock Out'!$B$5:$B$3004,A235,'Stock Out'!$D$5:$D$3004))</f>
        <v/>
      </c>
      <c r="F235">
        <f>IF(A235="","",C235+D235-E235)</f>
        <v/>
      </c>
      <c r="G235" s="18">
        <f>IF(A235="","",F235*N(Items!F235))</f>
        <v/>
      </c>
      <c r="H235">
        <f>IF(A235="","",IF(F235&lt;=0,"OUT OF STOCK",IF(F235&lt;=N(Items!H235),"REORDER","OK")))</f>
        <v/>
      </c>
      <c r="I235" s="18">
        <f>IF(A235="","",SUMIF('Stock Out'!$B$5:$B$3004,A235,'Stock Out'!$F$5:$F$3004))</f>
        <v/>
      </c>
    </row>
    <row r="236">
      <c r="A236">
        <f>IF(Items!A236="","",Items!A236)</f>
        <v/>
      </c>
      <c r="B236">
        <f>IF(A236="","",Items!B236)</f>
        <v/>
      </c>
      <c r="C236">
        <f>IF(A236="","",N(Items!E236))</f>
        <v/>
      </c>
      <c r="D236">
        <f>IF(A236="","",SUMIF('Stock In'!$B$5:$B$3004,A236,'Stock In'!$D$5:$D$3004))</f>
        <v/>
      </c>
      <c r="E236">
        <f>IF(A236="","",SUMIF('Stock Out'!$B$5:$B$3004,A236,'Stock Out'!$D$5:$D$3004))</f>
        <v/>
      </c>
      <c r="F236">
        <f>IF(A236="","",C236+D236-E236)</f>
        <v/>
      </c>
      <c r="G236" s="18">
        <f>IF(A236="","",F236*N(Items!F236))</f>
        <v/>
      </c>
      <c r="H236">
        <f>IF(A236="","",IF(F236&lt;=0,"OUT OF STOCK",IF(F236&lt;=N(Items!H236),"REORDER","OK")))</f>
        <v/>
      </c>
      <c r="I236" s="18">
        <f>IF(A236="","",SUMIF('Stock Out'!$B$5:$B$3004,A236,'Stock Out'!$F$5:$F$3004))</f>
        <v/>
      </c>
    </row>
    <row r="237">
      <c r="A237">
        <f>IF(Items!A237="","",Items!A237)</f>
        <v/>
      </c>
      <c r="B237">
        <f>IF(A237="","",Items!B237)</f>
        <v/>
      </c>
      <c r="C237">
        <f>IF(A237="","",N(Items!E237))</f>
        <v/>
      </c>
      <c r="D237">
        <f>IF(A237="","",SUMIF('Stock In'!$B$5:$B$3004,A237,'Stock In'!$D$5:$D$3004))</f>
        <v/>
      </c>
      <c r="E237">
        <f>IF(A237="","",SUMIF('Stock Out'!$B$5:$B$3004,A237,'Stock Out'!$D$5:$D$3004))</f>
        <v/>
      </c>
      <c r="F237">
        <f>IF(A237="","",C237+D237-E237)</f>
        <v/>
      </c>
      <c r="G237" s="18">
        <f>IF(A237="","",F237*N(Items!F237))</f>
        <v/>
      </c>
      <c r="H237">
        <f>IF(A237="","",IF(F237&lt;=0,"OUT OF STOCK",IF(F237&lt;=N(Items!H237),"REORDER","OK")))</f>
        <v/>
      </c>
      <c r="I237" s="18">
        <f>IF(A237="","",SUMIF('Stock Out'!$B$5:$B$3004,A237,'Stock Out'!$F$5:$F$3004))</f>
        <v/>
      </c>
    </row>
    <row r="238">
      <c r="A238">
        <f>IF(Items!A238="","",Items!A238)</f>
        <v/>
      </c>
      <c r="B238">
        <f>IF(A238="","",Items!B238)</f>
        <v/>
      </c>
      <c r="C238">
        <f>IF(A238="","",N(Items!E238))</f>
        <v/>
      </c>
      <c r="D238">
        <f>IF(A238="","",SUMIF('Stock In'!$B$5:$B$3004,A238,'Stock In'!$D$5:$D$3004))</f>
        <v/>
      </c>
      <c r="E238">
        <f>IF(A238="","",SUMIF('Stock Out'!$B$5:$B$3004,A238,'Stock Out'!$D$5:$D$3004))</f>
        <v/>
      </c>
      <c r="F238">
        <f>IF(A238="","",C238+D238-E238)</f>
        <v/>
      </c>
      <c r="G238" s="18">
        <f>IF(A238="","",F238*N(Items!F238))</f>
        <v/>
      </c>
      <c r="H238">
        <f>IF(A238="","",IF(F238&lt;=0,"OUT OF STOCK",IF(F238&lt;=N(Items!H238),"REORDER","OK")))</f>
        <v/>
      </c>
      <c r="I238" s="18">
        <f>IF(A238="","",SUMIF('Stock Out'!$B$5:$B$3004,A238,'Stock Out'!$F$5:$F$3004))</f>
        <v/>
      </c>
    </row>
    <row r="239">
      <c r="A239">
        <f>IF(Items!A239="","",Items!A239)</f>
        <v/>
      </c>
      <c r="B239">
        <f>IF(A239="","",Items!B239)</f>
        <v/>
      </c>
      <c r="C239">
        <f>IF(A239="","",N(Items!E239))</f>
        <v/>
      </c>
      <c r="D239">
        <f>IF(A239="","",SUMIF('Stock In'!$B$5:$B$3004,A239,'Stock In'!$D$5:$D$3004))</f>
        <v/>
      </c>
      <c r="E239">
        <f>IF(A239="","",SUMIF('Stock Out'!$B$5:$B$3004,A239,'Stock Out'!$D$5:$D$3004))</f>
        <v/>
      </c>
      <c r="F239">
        <f>IF(A239="","",C239+D239-E239)</f>
        <v/>
      </c>
      <c r="G239" s="18">
        <f>IF(A239="","",F239*N(Items!F239))</f>
        <v/>
      </c>
      <c r="H239">
        <f>IF(A239="","",IF(F239&lt;=0,"OUT OF STOCK",IF(F239&lt;=N(Items!H239),"REORDER","OK")))</f>
        <v/>
      </c>
      <c r="I239" s="18">
        <f>IF(A239="","",SUMIF('Stock Out'!$B$5:$B$3004,A239,'Stock Out'!$F$5:$F$3004))</f>
        <v/>
      </c>
    </row>
    <row r="240">
      <c r="A240">
        <f>IF(Items!A240="","",Items!A240)</f>
        <v/>
      </c>
      <c r="B240">
        <f>IF(A240="","",Items!B240)</f>
        <v/>
      </c>
      <c r="C240">
        <f>IF(A240="","",N(Items!E240))</f>
        <v/>
      </c>
      <c r="D240">
        <f>IF(A240="","",SUMIF('Stock In'!$B$5:$B$3004,A240,'Stock In'!$D$5:$D$3004))</f>
        <v/>
      </c>
      <c r="E240">
        <f>IF(A240="","",SUMIF('Stock Out'!$B$5:$B$3004,A240,'Stock Out'!$D$5:$D$3004))</f>
        <v/>
      </c>
      <c r="F240">
        <f>IF(A240="","",C240+D240-E240)</f>
        <v/>
      </c>
      <c r="G240" s="18">
        <f>IF(A240="","",F240*N(Items!F240))</f>
        <v/>
      </c>
      <c r="H240">
        <f>IF(A240="","",IF(F240&lt;=0,"OUT OF STOCK",IF(F240&lt;=N(Items!H240),"REORDER","OK")))</f>
        <v/>
      </c>
      <c r="I240" s="18">
        <f>IF(A240="","",SUMIF('Stock Out'!$B$5:$B$3004,A240,'Stock Out'!$F$5:$F$3004))</f>
        <v/>
      </c>
    </row>
    <row r="241">
      <c r="A241">
        <f>IF(Items!A241="","",Items!A241)</f>
        <v/>
      </c>
      <c r="B241">
        <f>IF(A241="","",Items!B241)</f>
        <v/>
      </c>
      <c r="C241">
        <f>IF(A241="","",N(Items!E241))</f>
        <v/>
      </c>
      <c r="D241">
        <f>IF(A241="","",SUMIF('Stock In'!$B$5:$B$3004,A241,'Stock In'!$D$5:$D$3004))</f>
        <v/>
      </c>
      <c r="E241">
        <f>IF(A241="","",SUMIF('Stock Out'!$B$5:$B$3004,A241,'Stock Out'!$D$5:$D$3004))</f>
        <v/>
      </c>
      <c r="F241">
        <f>IF(A241="","",C241+D241-E241)</f>
        <v/>
      </c>
      <c r="G241" s="18">
        <f>IF(A241="","",F241*N(Items!F241))</f>
        <v/>
      </c>
      <c r="H241">
        <f>IF(A241="","",IF(F241&lt;=0,"OUT OF STOCK",IF(F241&lt;=N(Items!H241),"REORDER","OK")))</f>
        <v/>
      </c>
      <c r="I241" s="18">
        <f>IF(A241="","",SUMIF('Stock Out'!$B$5:$B$3004,A241,'Stock Out'!$F$5:$F$3004))</f>
        <v/>
      </c>
    </row>
    <row r="242">
      <c r="A242">
        <f>IF(Items!A242="","",Items!A242)</f>
        <v/>
      </c>
      <c r="B242">
        <f>IF(A242="","",Items!B242)</f>
        <v/>
      </c>
      <c r="C242">
        <f>IF(A242="","",N(Items!E242))</f>
        <v/>
      </c>
      <c r="D242">
        <f>IF(A242="","",SUMIF('Stock In'!$B$5:$B$3004,A242,'Stock In'!$D$5:$D$3004))</f>
        <v/>
      </c>
      <c r="E242">
        <f>IF(A242="","",SUMIF('Stock Out'!$B$5:$B$3004,A242,'Stock Out'!$D$5:$D$3004))</f>
        <v/>
      </c>
      <c r="F242">
        <f>IF(A242="","",C242+D242-E242)</f>
        <v/>
      </c>
      <c r="G242" s="18">
        <f>IF(A242="","",F242*N(Items!F242))</f>
        <v/>
      </c>
      <c r="H242">
        <f>IF(A242="","",IF(F242&lt;=0,"OUT OF STOCK",IF(F242&lt;=N(Items!H242),"REORDER","OK")))</f>
        <v/>
      </c>
      <c r="I242" s="18">
        <f>IF(A242="","",SUMIF('Stock Out'!$B$5:$B$3004,A242,'Stock Out'!$F$5:$F$3004))</f>
        <v/>
      </c>
    </row>
    <row r="243">
      <c r="A243">
        <f>IF(Items!A243="","",Items!A243)</f>
        <v/>
      </c>
      <c r="B243">
        <f>IF(A243="","",Items!B243)</f>
        <v/>
      </c>
      <c r="C243">
        <f>IF(A243="","",N(Items!E243))</f>
        <v/>
      </c>
      <c r="D243">
        <f>IF(A243="","",SUMIF('Stock In'!$B$5:$B$3004,A243,'Stock In'!$D$5:$D$3004))</f>
        <v/>
      </c>
      <c r="E243">
        <f>IF(A243="","",SUMIF('Stock Out'!$B$5:$B$3004,A243,'Stock Out'!$D$5:$D$3004))</f>
        <v/>
      </c>
      <c r="F243">
        <f>IF(A243="","",C243+D243-E243)</f>
        <v/>
      </c>
      <c r="G243" s="18">
        <f>IF(A243="","",F243*N(Items!F243))</f>
        <v/>
      </c>
      <c r="H243">
        <f>IF(A243="","",IF(F243&lt;=0,"OUT OF STOCK",IF(F243&lt;=N(Items!H243),"REORDER","OK")))</f>
        <v/>
      </c>
      <c r="I243" s="18">
        <f>IF(A243="","",SUMIF('Stock Out'!$B$5:$B$3004,A243,'Stock Out'!$F$5:$F$3004))</f>
        <v/>
      </c>
    </row>
    <row r="244">
      <c r="A244">
        <f>IF(Items!A244="","",Items!A244)</f>
        <v/>
      </c>
      <c r="B244">
        <f>IF(A244="","",Items!B244)</f>
        <v/>
      </c>
      <c r="C244">
        <f>IF(A244="","",N(Items!E244))</f>
        <v/>
      </c>
      <c r="D244">
        <f>IF(A244="","",SUMIF('Stock In'!$B$5:$B$3004,A244,'Stock In'!$D$5:$D$3004))</f>
        <v/>
      </c>
      <c r="E244">
        <f>IF(A244="","",SUMIF('Stock Out'!$B$5:$B$3004,A244,'Stock Out'!$D$5:$D$3004))</f>
        <v/>
      </c>
      <c r="F244">
        <f>IF(A244="","",C244+D244-E244)</f>
        <v/>
      </c>
      <c r="G244" s="18">
        <f>IF(A244="","",F244*N(Items!F244))</f>
        <v/>
      </c>
      <c r="H244">
        <f>IF(A244="","",IF(F244&lt;=0,"OUT OF STOCK",IF(F244&lt;=N(Items!H244),"REORDER","OK")))</f>
        <v/>
      </c>
      <c r="I244" s="18">
        <f>IF(A244="","",SUMIF('Stock Out'!$B$5:$B$3004,A244,'Stock Out'!$F$5:$F$3004))</f>
        <v/>
      </c>
    </row>
    <row r="245">
      <c r="A245">
        <f>IF(Items!A245="","",Items!A245)</f>
        <v/>
      </c>
      <c r="B245">
        <f>IF(A245="","",Items!B245)</f>
        <v/>
      </c>
      <c r="C245">
        <f>IF(A245="","",N(Items!E245))</f>
        <v/>
      </c>
      <c r="D245">
        <f>IF(A245="","",SUMIF('Stock In'!$B$5:$B$3004,A245,'Stock In'!$D$5:$D$3004))</f>
        <v/>
      </c>
      <c r="E245">
        <f>IF(A245="","",SUMIF('Stock Out'!$B$5:$B$3004,A245,'Stock Out'!$D$5:$D$3004))</f>
        <v/>
      </c>
      <c r="F245">
        <f>IF(A245="","",C245+D245-E245)</f>
        <v/>
      </c>
      <c r="G245" s="18">
        <f>IF(A245="","",F245*N(Items!F245))</f>
        <v/>
      </c>
      <c r="H245">
        <f>IF(A245="","",IF(F245&lt;=0,"OUT OF STOCK",IF(F245&lt;=N(Items!H245),"REORDER","OK")))</f>
        <v/>
      </c>
      <c r="I245" s="18">
        <f>IF(A245="","",SUMIF('Stock Out'!$B$5:$B$3004,A245,'Stock Out'!$F$5:$F$3004))</f>
        <v/>
      </c>
    </row>
    <row r="246">
      <c r="A246">
        <f>IF(Items!A246="","",Items!A246)</f>
        <v/>
      </c>
      <c r="B246">
        <f>IF(A246="","",Items!B246)</f>
        <v/>
      </c>
      <c r="C246">
        <f>IF(A246="","",N(Items!E246))</f>
        <v/>
      </c>
      <c r="D246">
        <f>IF(A246="","",SUMIF('Stock In'!$B$5:$B$3004,A246,'Stock In'!$D$5:$D$3004))</f>
        <v/>
      </c>
      <c r="E246">
        <f>IF(A246="","",SUMIF('Stock Out'!$B$5:$B$3004,A246,'Stock Out'!$D$5:$D$3004))</f>
        <v/>
      </c>
      <c r="F246">
        <f>IF(A246="","",C246+D246-E246)</f>
        <v/>
      </c>
      <c r="G246" s="18">
        <f>IF(A246="","",F246*N(Items!F246))</f>
        <v/>
      </c>
      <c r="H246">
        <f>IF(A246="","",IF(F246&lt;=0,"OUT OF STOCK",IF(F246&lt;=N(Items!H246),"REORDER","OK")))</f>
        <v/>
      </c>
      <c r="I246" s="18">
        <f>IF(A246="","",SUMIF('Stock Out'!$B$5:$B$3004,A246,'Stock Out'!$F$5:$F$3004))</f>
        <v/>
      </c>
    </row>
    <row r="247">
      <c r="A247">
        <f>IF(Items!A247="","",Items!A247)</f>
        <v/>
      </c>
      <c r="B247">
        <f>IF(A247="","",Items!B247)</f>
        <v/>
      </c>
      <c r="C247">
        <f>IF(A247="","",N(Items!E247))</f>
        <v/>
      </c>
      <c r="D247">
        <f>IF(A247="","",SUMIF('Stock In'!$B$5:$B$3004,A247,'Stock In'!$D$5:$D$3004))</f>
        <v/>
      </c>
      <c r="E247">
        <f>IF(A247="","",SUMIF('Stock Out'!$B$5:$B$3004,A247,'Stock Out'!$D$5:$D$3004))</f>
        <v/>
      </c>
      <c r="F247">
        <f>IF(A247="","",C247+D247-E247)</f>
        <v/>
      </c>
      <c r="G247" s="18">
        <f>IF(A247="","",F247*N(Items!F247))</f>
        <v/>
      </c>
      <c r="H247">
        <f>IF(A247="","",IF(F247&lt;=0,"OUT OF STOCK",IF(F247&lt;=N(Items!H247),"REORDER","OK")))</f>
        <v/>
      </c>
      <c r="I247" s="18">
        <f>IF(A247="","",SUMIF('Stock Out'!$B$5:$B$3004,A247,'Stock Out'!$F$5:$F$3004))</f>
        <v/>
      </c>
    </row>
    <row r="248">
      <c r="A248">
        <f>IF(Items!A248="","",Items!A248)</f>
        <v/>
      </c>
      <c r="B248">
        <f>IF(A248="","",Items!B248)</f>
        <v/>
      </c>
      <c r="C248">
        <f>IF(A248="","",N(Items!E248))</f>
        <v/>
      </c>
      <c r="D248">
        <f>IF(A248="","",SUMIF('Stock In'!$B$5:$B$3004,A248,'Stock In'!$D$5:$D$3004))</f>
        <v/>
      </c>
      <c r="E248">
        <f>IF(A248="","",SUMIF('Stock Out'!$B$5:$B$3004,A248,'Stock Out'!$D$5:$D$3004))</f>
        <v/>
      </c>
      <c r="F248">
        <f>IF(A248="","",C248+D248-E248)</f>
        <v/>
      </c>
      <c r="G248" s="18">
        <f>IF(A248="","",F248*N(Items!F248))</f>
        <v/>
      </c>
      <c r="H248">
        <f>IF(A248="","",IF(F248&lt;=0,"OUT OF STOCK",IF(F248&lt;=N(Items!H248),"REORDER","OK")))</f>
        <v/>
      </c>
      <c r="I248" s="18">
        <f>IF(A248="","",SUMIF('Stock Out'!$B$5:$B$3004,A248,'Stock Out'!$F$5:$F$3004))</f>
        <v/>
      </c>
    </row>
    <row r="249">
      <c r="A249">
        <f>IF(Items!A249="","",Items!A249)</f>
        <v/>
      </c>
      <c r="B249">
        <f>IF(A249="","",Items!B249)</f>
        <v/>
      </c>
      <c r="C249">
        <f>IF(A249="","",N(Items!E249))</f>
        <v/>
      </c>
      <c r="D249">
        <f>IF(A249="","",SUMIF('Stock In'!$B$5:$B$3004,A249,'Stock In'!$D$5:$D$3004))</f>
        <v/>
      </c>
      <c r="E249">
        <f>IF(A249="","",SUMIF('Stock Out'!$B$5:$B$3004,A249,'Stock Out'!$D$5:$D$3004))</f>
        <v/>
      </c>
      <c r="F249">
        <f>IF(A249="","",C249+D249-E249)</f>
        <v/>
      </c>
      <c r="G249" s="18">
        <f>IF(A249="","",F249*N(Items!F249))</f>
        <v/>
      </c>
      <c r="H249">
        <f>IF(A249="","",IF(F249&lt;=0,"OUT OF STOCK",IF(F249&lt;=N(Items!H249),"REORDER","OK")))</f>
        <v/>
      </c>
      <c r="I249" s="18">
        <f>IF(A249="","",SUMIF('Stock Out'!$B$5:$B$3004,A249,'Stock Out'!$F$5:$F$3004))</f>
        <v/>
      </c>
    </row>
    <row r="250">
      <c r="A250">
        <f>IF(Items!A250="","",Items!A250)</f>
        <v/>
      </c>
      <c r="B250">
        <f>IF(A250="","",Items!B250)</f>
        <v/>
      </c>
      <c r="C250">
        <f>IF(A250="","",N(Items!E250))</f>
        <v/>
      </c>
      <c r="D250">
        <f>IF(A250="","",SUMIF('Stock In'!$B$5:$B$3004,A250,'Stock In'!$D$5:$D$3004))</f>
        <v/>
      </c>
      <c r="E250">
        <f>IF(A250="","",SUMIF('Stock Out'!$B$5:$B$3004,A250,'Stock Out'!$D$5:$D$3004))</f>
        <v/>
      </c>
      <c r="F250">
        <f>IF(A250="","",C250+D250-E250)</f>
        <v/>
      </c>
      <c r="G250" s="18">
        <f>IF(A250="","",F250*N(Items!F250))</f>
        <v/>
      </c>
      <c r="H250">
        <f>IF(A250="","",IF(F250&lt;=0,"OUT OF STOCK",IF(F250&lt;=N(Items!H250),"REORDER","OK")))</f>
        <v/>
      </c>
      <c r="I250" s="18">
        <f>IF(A250="","",SUMIF('Stock Out'!$B$5:$B$3004,A250,'Stock Out'!$F$5:$F$3004))</f>
        <v/>
      </c>
    </row>
    <row r="251">
      <c r="A251">
        <f>IF(Items!A251="","",Items!A251)</f>
        <v/>
      </c>
      <c r="B251">
        <f>IF(A251="","",Items!B251)</f>
        <v/>
      </c>
      <c r="C251">
        <f>IF(A251="","",N(Items!E251))</f>
        <v/>
      </c>
      <c r="D251">
        <f>IF(A251="","",SUMIF('Stock In'!$B$5:$B$3004,A251,'Stock In'!$D$5:$D$3004))</f>
        <v/>
      </c>
      <c r="E251">
        <f>IF(A251="","",SUMIF('Stock Out'!$B$5:$B$3004,A251,'Stock Out'!$D$5:$D$3004))</f>
        <v/>
      </c>
      <c r="F251">
        <f>IF(A251="","",C251+D251-E251)</f>
        <v/>
      </c>
      <c r="G251" s="18">
        <f>IF(A251="","",F251*N(Items!F251))</f>
        <v/>
      </c>
      <c r="H251">
        <f>IF(A251="","",IF(F251&lt;=0,"OUT OF STOCK",IF(F251&lt;=N(Items!H251),"REORDER","OK")))</f>
        <v/>
      </c>
      <c r="I251" s="18">
        <f>IF(A251="","",SUMIF('Stock Out'!$B$5:$B$3004,A251,'Stock Out'!$F$5:$F$3004))</f>
        <v/>
      </c>
    </row>
    <row r="252">
      <c r="A252">
        <f>IF(Items!A252="","",Items!A252)</f>
        <v/>
      </c>
      <c r="B252">
        <f>IF(A252="","",Items!B252)</f>
        <v/>
      </c>
      <c r="C252">
        <f>IF(A252="","",N(Items!E252))</f>
        <v/>
      </c>
      <c r="D252">
        <f>IF(A252="","",SUMIF('Stock In'!$B$5:$B$3004,A252,'Stock In'!$D$5:$D$3004))</f>
        <v/>
      </c>
      <c r="E252">
        <f>IF(A252="","",SUMIF('Stock Out'!$B$5:$B$3004,A252,'Stock Out'!$D$5:$D$3004))</f>
        <v/>
      </c>
      <c r="F252">
        <f>IF(A252="","",C252+D252-E252)</f>
        <v/>
      </c>
      <c r="G252" s="18">
        <f>IF(A252="","",F252*N(Items!F252))</f>
        <v/>
      </c>
      <c r="H252">
        <f>IF(A252="","",IF(F252&lt;=0,"OUT OF STOCK",IF(F252&lt;=N(Items!H252),"REORDER","OK")))</f>
        <v/>
      </c>
      <c r="I252" s="18">
        <f>IF(A252="","",SUMIF('Stock Out'!$B$5:$B$3004,A252,'Stock Out'!$F$5:$F$3004))</f>
        <v/>
      </c>
    </row>
    <row r="253">
      <c r="A253">
        <f>IF(Items!A253="","",Items!A253)</f>
        <v/>
      </c>
      <c r="B253">
        <f>IF(A253="","",Items!B253)</f>
        <v/>
      </c>
      <c r="C253">
        <f>IF(A253="","",N(Items!E253))</f>
        <v/>
      </c>
      <c r="D253">
        <f>IF(A253="","",SUMIF('Stock In'!$B$5:$B$3004,A253,'Stock In'!$D$5:$D$3004))</f>
        <v/>
      </c>
      <c r="E253">
        <f>IF(A253="","",SUMIF('Stock Out'!$B$5:$B$3004,A253,'Stock Out'!$D$5:$D$3004))</f>
        <v/>
      </c>
      <c r="F253">
        <f>IF(A253="","",C253+D253-E253)</f>
        <v/>
      </c>
      <c r="G253" s="18">
        <f>IF(A253="","",F253*N(Items!F253))</f>
        <v/>
      </c>
      <c r="H253">
        <f>IF(A253="","",IF(F253&lt;=0,"OUT OF STOCK",IF(F253&lt;=N(Items!H253),"REORDER","OK")))</f>
        <v/>
      </c>
      <c r="I253" s="18">
        <f>IF(A253="","",SUMIF('Stock Out'!$B$5:$B$3004,A253,'Stock Out'!$F$5:$F$3004))</f>
        <v/>
      </c>
    </row>
    <row r="254">
      <c r="A254">
        <f>IF(Items!A254="","",Items!A254)</f>
        <v/>
      </c>
      <c r="B254">
        <f>IF(A254="","",Items!B254)</f>
        <v/>
      </c>
      <c r="C254">
        <f>IF(A254="","",N(Items!E254))</f>
        <v/>
      </c>
      <c r="D254">
        <f>IF(A254="","",SUMIF('Stock In'!$B$5:$B$3004,A254,'Stock In'!$D$5:$D$3004))</f>
        <v/>
      </c>
      <c r="E254">
        <f>IF(A254="","",SUMIF('Stock Out'!$B$5:$B$3004,A254,'Stock Out'!$D$5:$D$3004))</f>
        <v/>
      </c>
      <c r="F254">
        <f>IF(A254="","",C254+D254-E254)</f>
        <v/>
      </c>
      <c r="G254" s="18">
        <f>IF(A254="","",F254*N(Items!F254))</f>
        <v/>
      </c>
      <c r="H254">
        <f>IF(A254="","",IF(F254&lt;=0,"OUT OF STOCK",IF(F254&lt;=N(Items!H254),"REORDER","OK")))</f>
        <v/>
      </c>
      <c r="I254" s="18">
        <f>IF(A254="","",SUMIF('Stock Out'!$B$5:$B$3004,A254,'Stock Out'!$F$5:$F$3004))</f>
        <v/>
      </c>
    </row>
    <row r="255">
      <c r="A255">
        <f>IF(Items!A255="","",Items!A255)</f>
        <v/>
      </c>
      <c r="B255">
        <f>IF(A255="","",Items!B255)</f>
        <v/>
      </c>
      <c r="C255">
        <f>IF(A255="","",N(Items!E255))</f>
        <v/>
      </c>
      <c r="D255">
        <f>IF(A255="","",SUMIF('Stock In'!$B$5:$B$3004,A255,'Stock In'!$D$5:$D$3004))</f>
        <v/>
      </c>
      <c r="E255">
        <f>IF(A255="","",SUMIF('Stock Out'!$B$5:$B$3004,A255,'Stock Out'!$D$5:$D$3004))</f>
        <v/>
      </c>
      <c r="F255">
        <f>IF(A255="","",C255+D255-E255)</f>
        <v/>
      </c>
      <c r="G255" s="18">
        <f>IF(A255="","",F255*N(Items!F255))</f>
        <v/>
      </c>
      <c r="H255">
        <f>IF(A255="","",IF(F255&lt;=0,"OUT OF STOCK",IF(F255&lt;=N(Items!H255),"REORDER","OK")))</f>
        <v/>
      </c>
      <c r="I255" s="18">
        <f>IF(A255="","",SUMIF('Stock Out'!$B$5:$B$3004,A255,'Stock Out'!$F$5:$F$3004))</f>
        <v/>
      </c>
    </row>
    <row r="256">
      <c r="A256">
        <f>IF(Items!A256="","",Items!A256)</f>
        <v/>
      </c>
      <c r="B256">
        <f>IF(A256="","",Items!B256)</f>
        <v/>
      </c>
      <c r="C256">
        <f>IF(A256="","",N(Items!E256))</f>
        <v/>
      </c>
      <c r="D256">
        <f>IF(A256="","",SUMIF('Stock In'!$B$5:$B$3004,A256,'Stock In'!$D$5:$D$3004))</f>
        <v/>
      </c>
      <c r="E256">
        <f>IF(A256="","",SUMIF('Stock Out'!$B$5:$B$3004,A256,'Stock Out'!$D$5:$D$3004))</f>
        <v/>
      </c>
      <c r="F256">
        <f>IF(A256="","",C256+D256-E256)</f>
        <v/>
      </c>
      <c r="G256" s="18">
        <f>IF(A256="","",F256*N(Items!F256))</f>
        <v/>
      </c>
      <c r="H256">
        <f>IF(A256="","",IF(F256&lt;=0,"OUT OF STOCK",IF(F256&lt;=N(Items!H256),"REORDER","OK")))</f>
        <v/>
      </c>
      <c r="I256" s="18">
        <f>IF(A256="","",SUMIF('Stock Out'!$B$5:$B$3004,A256,'Stock Out'!$F$5:$F$3004))</f>
        <v/>
      </c>
    </row>
    <row r="257">
      <c r="A257">
        <f>IF(Items!A257="","",Items!A257)</f>
        <v/>
      </c>
      <c r="B257">
        <f>IF(A257="","",Items!B257)</f>
        <v/>
      </c>
      <c r="C257">
        <f>IF(A257="","",N(Items!E257))</f>
        <v/>
      </c>
      <c r="D257">
        <f>IF(A257="","",SUMIF('Stock In'!$B$5:$B$3004,A257,'Stock In'!$D$5:$D$3004))</f>
        <v/>
      </c>
      <c r="E257">
        <f>IF(A257="","",SUMIF('Stock Out'!$B$5:$B$3004,A257,'Stock Out'!$D$5:$D$3004))</f>
        <v/>
      </c>
      <c r="F257">
        <f>IF(A257="","",C257+D257-E257)</f>
        <v/>
      </c>
      <c r="G257" s="18">
        <f>IF(A257="","",F257*N(Items!F257))</f>
        <v/>
      </c>
      <c r="H257">
        <f>IF(A257="","",IF(F257&lt;=0,"OUT OF STOCK",IF(F257&lt;=N(Items!H257),"REORDER","OK")))</f>
        <v/>
      </c>
      <c r="I257" s="18">
        <f>IF(A257="","",SUMIF('Stock Out'!$B$5:$B$3004,A257,'Stock Out'!$F$5:$F$3004))</f>
        <v/>
      </c>
    </row>
    <row r="258">
      <c r="A258">
        <f>IF(Items!A258="","",Items!A258)</f>
        <v/>
      </c>
      <c r="B258">
        <f>IF(A258="","",Items!B258)</f>
        <v/>
      </c>
      <c r="C258">
        <f>IF(A258="","",N(Items!E258))</f>
        <v/>
      </c>
      <c r="D258">
        <f>IF(A258="","",SUMIF('Stock In'!$B$5:$B$3004,A258,'Stock In'!$D$5:$D$3004))</f>
        <v/>
      </c>
      <c r="E258">
        <f>IF(A258="","",SUMIF('Stock Out'!$B$5:$B$3004,A258,'Stock Out'!$D$5:$D$3004))</f>
        <v/>
      </c>
      <c r="F258">
        <f>IF(A258="","",C258+D258-E258)</f>
        <v/>
      </c>
      <c r="G258" s="18">
        <f>IF(A258="","",F258*N(Items!F258))</f>
        <v/>
      </c>
      <c r="H258">
        <f>IF(A258="","",IF(F258&lt;=0,"OUT OF STOCK",IF(F258&lt;=N(Items!H258),"REORDER","OK")))</f>
        <v/>
      </c>
      <c r="I258" s="18">
        <f>IF(A258="","",SUMIF('Stock Out'!$B$5:$B$3004,A258,'Stock Out'!$F$5:$F$3004))</f>
        <v/>
      </c>
    </row>
    <row r="259">
      <c r="A259">
        <f>IF(Items!A259="","",Items!A259)</f>
        <v/>
      </c>
      <c r="B259">
        <f>IF(A259="","",Items!B259)</f>
        <v/>
      </c>
      <c r="C259">
        <f>IF(A259="","",N(Items!E259))</f>
        <v/>
      </c>
      <c r="D259">
        <f>IF(A259="","",SUMIF('Stock In'!$B$5:$B$3004,A259,'Stock In'!$D$5:$D$3004))</f>
        <v/>
      </c>
      <c r="E259">
        <f>IF(A259="","",SUMIF('Stock Out'!$B$5:$B$3004,A259,'Stock Out'!$D$5:$D$3004))</f>
        <v/>
      </c>
      <c r="F259">
        <f>IF(A259="","",C259+D259-E259)</f>
        <v/>
      </c>
      <c r="G259" s="18">
        <f>IF(A259="","",F259*N(Items!F259))</f>
        <v/>
      </c>
      <c r="H259">
        <f>IF(A259="","",IF(F259&lt;=0,"OUT OF STOCK",IF(F259&lt;=N(Items!H259),"REORDER","OK")))</f>
        <v/>
      </c>
      <c r="I259" s="18">
        <f>IF(A259="","",SUMIF('Stock Out'!$B$5:$B$3004,A259,'Stock Out'!$F$5:$F$3004))</f>
        <v/>
      </c>
    </row>
    <row r="260">
      <c r="A260">
        <f>IF(Items!A260="","",Items!A260)</f>
        <v/>
      </c>
      <c r="B260">
        <f>IF(A260="","",Items!B260)</f>
        <v/>
      </c>
      <c r="C260">
        <f>IF(A260="","",N(Items!E260))</f>
        <v/>
      </c>
      <c r="D260">
        <f>IF(A260="","",SUMIF('Stock In'!$B$5:$B$3004,A260,'Stock In'!$D$5:$D$3004))</f>
        <v/>
      </c>
      <c r="E260">
        <f>IF(A260="","",SUMIF('Stock Out'!$B$5:$B$3004,A260,'Stock Out'!$D$5:$D$3004))</f>
        <v/>
      </c>
      <c r="F260">
        <f>IF(A260="","",C260+D260-E260)</f>
        <v/>
      </c>
      <c r="G260" s="18">
        <f>IF(A260="","",F260*N(Items!F260))</f>
        <v/>
      </c>
      <c r="H260">
        <f>IF(A260="","",IF(F260&lt;=0,"OUT OF STOCK",IF(F260&lt;=N(Items!H260),"REORDER","OK")))</f>
        <v/>
      </c>
      <c r="I260" s="18">
        <f>IF(A260="","",SUMIF('Stock Out'!$B$5:$B$3004,A260,'Stock Out'!$F$5:$F$3004))</f>
        <v/>
      </c>
    </row>
    <row r="261">
      <c r="A261">
        <f>IF(Items!A261="","",Items!A261)</f>
        <v/>
      </c>
      <c r="B261">
        <f>IF(A261="","",Items!B261)</f>
        <v/>
      </c>
      <c r="C261">
        <f>IF(A261="","",N(Items!E261))</f>
        <v/>
      </c>
      <c r="D261">
        <f>IF(A261="","",SUMIF('Stock In'!$B$5:$B$3004,A261,'Stock In'!$D$5:$D$3004))</f>
        <v/>
      </c>
      <c r="E261">
        <f>IF(A261="","",SUMIF('Stock Out'!$B$5:$B$3004,A261,'Stock Out'!$D$5:$D$3004))</f>
        <v/>
      </c>
      <c r="F261">
        <f>IF(A261="","",C261+D261-E261)</f>
        <v/>
      </c>
      <c r="G261" s="18">
        <f>IF(A261="","",F261*N(Items!F261))</f>
        <v/>
      </c>
      <c r="H261">
        <f>IF(A261="","",IF(F261&lt;=0,"OUT OF STOCK",IF(F261&lt;=N(Items!H261),"REORDER","OK")))</f>
        <v/>
      </c>
      <c r="I261" s="18">
        <f>IF(A261="","",SUMIF('Stock Out'!$B$5:$B$3004,A261,'Stock Out'!$F$5:$F$3004))</f>
        <v/>
      </c>
    </row>
    <row r="262">
      <c r="A262">
        <f>IF(Items!A262="","",Items!A262)</f>
        <v/>
      </c>
      <c r="B262">
        <f>IF(A262="","",Items!B262)</f>
        <v/>
      </c>
      <c r="C262">
        <f>IF(A262="","",N(Items!E262))</f>
        <v/>
      </c>
      <c r="D262">
        <f>IF(A262="","",SUMIF('Stock In'!$B$5:$B$3004,A262,'Stock In'!$D$5:$D$3004))</f>
        <v/>
      </c>
      <c r="E262">
        <f>IF(A262="","",SUMIF('Stock Out'!$B$5:$B$3004,A262,'Stock Out'!$D$5:$D$3004))</f>
        <v/>
      </c>
      <c r="F262">
        <f>IF(A262="","",C262+D262-E262)</f>
        <v/>
      </c>
      <c r="G262" s="18">
        <f>IF(A262="","",F262*N(Items!F262))</f>
        <v/>
      </c>
      <c r="H262">
        <f>IF(A262="","",IF(F262&lt;=0,"OUT OF STOCK",IF(F262&lt;=N(Items!H262),"REORDER","OK")))</f>
        <v/>
      </c>
      <c r="I262" s="18">
        <f>IF(A262="","",SUMIF('Stock Out'!$B$5:$B$3004,A262,'Stock Out'!$F$5:$F$3004))</f>
        <v/>
      </c>
    </row>
    <row r="263">
      <c r="A263">
        <f>IF(Items!A263="","",Items!A263)</f>
        <v/>
      </c>
      <c r="B263">
        <f>IF(A263="","",Items!B263)</f>
        <v/>
      </c>
      <c r="C263">
        <f>IF(A263="","",N(Items!E263))</f>
        <v/>
      </c>
      <c r="D263">
        <f>IF(A263="","",SUMIF('Stock In'!$B$5:$B$3004,A263,'Stock In'!$D$5:$D$3004))</f>
        <v/>
      </c>
      <c r="E263">
        <f>IF(A263="","",SUMIF('Stock Out'!$B$5:$B$3004,A263,'Stock Out'!$D$5:$D$3004))</f>
        <v/>
      </c>
      <c r="F263">
        <f>IF(A263="","",C263+D263-E263)</f>
        <v/>
      </c>
      <c r="G263" s="18">
        <f>IF(A263="","",F263*N(Items!F263))</f>
        <v/>
      </c>
      <c r="H263">
        <f>IF(A263="","",IF(F263&lt;=0,"OUT OF STOCK",IF(F263&lt;=N(Items!H263),"REORDER","OK")))</f>
        <v/>
      </c>
      <c r="I263" s="18">
        <f>IF(A263="","",SUMIF('Stock Out'!$B$5:$B$3004,A263,'Stock Out'!$F$5:$F$3004))</f>
        <v/>
      </c>
    </row>
    <row r="264">
      <c r="A264">
        <f>IF(Items!A264="","",Items!A264)</f>
        <v/>
      </c>
      <c r="B264">
        <f>IF(A264="","",Items!B264)</f>
        <v/>
      </c>
      <c r="C264">
        <f>IF(A264="","",N(Items!E264))</f>
        <v/>
      </c>
      <c r="D264">
        <f>IF(A264="","",SUMIF('Stock In'!$B$5:$B$3004,A264,'Stock In'!$D$5:$D$3004))</f>
        <v/>
      </c>
      <c r="E264">
        <f>IF(A264="","",SUMIF('Stock Out'!$B$5:$B$3004,A264,'Stock Out'!$D$5:$D$3004))</f>
        <v/>
      </c>
      <c r="F264">
        <f>IF(A264="","",C264+D264-E264)</f>
        <v/>
      </c>
      <c r="G264" s="18">
        <f>IF(A264="","",F264*N(Items!F264))</f>
        <v/>
      </c>
      <c r="H264">
        <f>IF(A264="","",IF(F264&lt;=0,"OUT OF STOCK",IF(F264&lt;=N(Items!H264),"REORDER","OK")))</f>
        <v/>
      </c>
      <c r="I264" s="18">
        <f>IF(A264="","",SUMIF('Stock Out'!$B$5:$B$3004,A264,'Stock Out'!$F$5:$F$3004))</f>
        <v/>
      </c>
    </row>
    <row r="265">
      <c r="A265">
        <f>IF(Items!A265="","",Items!A265)</f>
        <v/>
      </c>
      <c r="B265">
        <f>IF(A265="","",Items!B265)</f>
        <v/>
      </c>
      <c r="C265">
        <f>IF(A265="","",N(Items!E265))</f>
        <v/>
      </c>
      <c r="D265">
        <f>IF(A265="","",SUMIF('Stock In'!$B$5:$B$3004,A265,'Stock In'!$D$5:$D$3004))</f>
        <v/>
      </c>
      <c r="E265">
        <f>IF(A265="","",SUMIF('Stock Out'!$B$5:$B$3004,A265,'Stock Out'!$D$5:$D$3004))</f>
        <v/>
      </c>
      <c r="F265">
        <f>IF(A265="","",C265+D265-E265)</f>
        <v/>
      </c>
      <c r="G265" s="18">
        <f>IF(A265="","",F265*N(Items!F265))</f>
        <v/>
      </c>
      <c r="H265">
        <f>IF(A265="","",IF(F265&lt;=0,"OUT OF STOCK",IF(F265&lt;=N(Items!H265),"REORDER","OK")))</f>
        <v/>
      </c>
      <c r="I265" s="18">
        <f>IF(A265="","",SUMIF('Stock Out'!$B$5:$B$3004,A265,'Stock Out'!$F$5:$F$3004))</f>
        <v/>
      </c>
    </row>
    <row r="266">
      <c r="A266">
        <f>IF(Items!A266="","",Items!A266)</f>
        <v/>
      </c>
      <c r="B266">
        <f>IF(A266="","",Items!B266)</f>
        <v/>
      </c>
      <c r="C266">
        <f>IF(A266="","",N(Items!E266))</f>
        <v/>
      </c>
      <c r="D266">
        <f>IF(A266="","",SUMIF('Stock In'!$B$5:$B$3004,A266,'Stock In'!$D$5:$D$3004))</f>
        <v/>
      </c>
      <c r="E266">
        <f>IF(A266="","",SUMIF('Stock Out'!$B$5:$B$3004,A266,'Stock Out'!$D$5:$D$3004))</f>
        <v/>
      </c>
      <c r="F266">
        <f>IF(A266="","",C266+D266-E266)</f>
        <v/>
      </c>
      <c r="G266" s="18">
        <f>IF(A266="","",F266*N(Items!F266))</f>
        <v/>
      </c>
      <c r="H266">
        <f>IF(A266="","",IF(F266&lt;=0,"OUT OF STOCK",IF(F266&lt;=N(Items!H266),"REORDER","OK")))</f>
        <v/>
      </c>
      <c r="I266" s="18">
        <f>IF(A266="","",SUMIF('Stock Out'!$B$5:$B$3004,A266,'Stock Out'!$F$5:$F$3004))</f>
        <v/>
      </c>
    </row>
    <row r="267">
      <c r="A267">
        <f>IF(Items!A267="","",Items!A267)</f>
        <v/>
      </c>
      <c r="B267">
        <f>IF(A267="","",Items!B267)</f>
        <v/>
      </c>
      <c r="C267">
        <f>IF(A267="","",N(Items!E267))</f>
        <v/>
      </c>
      <c r="D267">
        <f>IF(A267="","",SUMIF('Stock In'!$B$5:$B$3004,A267,'Stock In'!$D$5:$D$3004))</f>
        <v/>
      </c>
      <c r="E267">
        <f>IF(A267="","",SUMIF('Stock Out'!$B$5:$B$3004,A267,'Stock Out'!$D$5:$D$3004))</f>
        <v/>
      </c>
      <c r="F267">
        <f>IF(A267="","",C267+D267-E267)</f>
        <v/>
      </c>
      <c r="G267" s="18">
        <f>IF(A267="","",F267*N(Items!F267))</f>
        <v/>
      </c>
      <c r="H267">
        <f>IF(A267="","",IF(F267&lt;=0,"OUT OF STOCK",IF(F267&lt;=N(Items!H267),"REORDER","OK")))</f>
        <v/>
      </c>
      <c r="I267" s="18">
        <f>IF(A267="","",SUMIF('Stock Out'!$B$5:$B$3004,A267,'Stock Out'!$F$5:$F$3004))</f>
        <v/>
      </c>
    </row>
    <row r="268">
      <c r="A268">
        <f>IF(Items!A268="","",Items!A268)</f>
        <v/>
      </c>
      <c r="B268">
        <f>IF(A268="","",Items!B268)</f>
        <v/>
      </c>
      <c r="C268">
        <f>IF(A268="","",N(Items!E268))</f>
        <v/>
      </c>
      <c r="D268">
        <f>IF(A268="","",SUMIF('Stock In'!$B$5:$B$3004,A268,'Stock In'!$D$5:$D$3004))</f>
        <v/>
      </c>
      <c r="E268">
        <f>IF(A268="","",SUMIF('Stock Out'!$B$5:$B$3004,A268,'Stock Out'!$D$5:$D$3004))</f>
        <v/>
      </c>
      <c r="F268">
        <f>IF(A268="","",C268+D268-E268)</f>
        <v/>
      </c>
      <c r="G268" s="18">
        <f>IF(A268="","",F268*N(Items!F268))</f>
        <v/>
      </c>
      <c r="H268">
        <f>IF(A268="","",IF(F268&lt;=0,"OUT OF STOCK",IF(F268&lt;=N(Items!H268),"REORDER","OK")))</f>
        <v/>
      </c>
      <c r="I268" s="18">
        <f>IF(A268="","",SUMIF('Stock Out'!$B$5:$B$3004,A268,'Stock Out'!$F$5:$F$3004))</f>
        <v/>
      </c>
    </row>
    <row r="269">
      <c r="A269">
        <f>IF(Items!A269="","",Items!A269)</f>
        <v/>
      </c>
      <c r="B269">
        <f>IF(A269="","",Items!B269)</f>
        <v/>
      </c>
      <c r="C269">
        <f>IF(A269="","",N(Items!E269))</f>
        <v/>
      </c>
      <c r="D269">
        <f>IF(A269="","",SUMIF('Stock In'!$B$5:$B$3004,A269,'Stock In'!$D$5:$D$3004))</f>
        <v/>
      </c>
      <c r="E269">
        <f>IF(A269="","",SUMIF('Stock Out'!$B$5:$B$3004,A269,'Stock Out'!$D$5:$D$3004))</f>
        <v/>
      </c>
      <c r="F269">
        <f>IF(A269="","",C269+D269-E269)</f>
        <v/>
      </c>
      <c r="G269" s="18">
        <f>IF(A269="","",F269*N(Items!F269))</f>
        <v/>
      </c>
      <c r="H269">
        <f>IF(A269="","",IF(F269&lt;=0,"OUT OF STOCK",IF(F269&lt;=N(Items!H269),"REORDER","OK")))</f>
        <v/>
      </c>
      <c r="I269" s="18">
        <f>IF(A269="","",SUMIF('Stock Out'!$B$5:$B$3004,A269,'Stock Out'!$F$5:$F$3004))</f>
        <v/>
      </c>
    </row>
    <row r="270">
      <c r="A270">
        <f>IF(Items!A270="","",Items!A270)</f>
        <v/>
      </c>
      <c r="B270">
        <f>IF(A270="","",Items!B270)</f>
        <v/>
      </c>
      <c r="C270">
        <f>IF(A270="","",N(Items!E270))</f>
        <v/>
      </c>
      <c r="D270">
        <f>IF(A270="","",SUMIF('Stock In'!$B$5:$B$3004,A270,'Stock In'!$D$5:$D$3004))</f>
        <v/>
      </c>
      <c r="E270">
        <f>IF(A270="","",SUMIF('Stock Out'!$B$5:$B$3004,A270,'Stock Out'!$D$5:$D$3004))</f>
        <v/>
      </c>
      <c r="F270">
        <f>IF(A270="","",C270+D270-E270)</f>
        <v/>
      </c>
      <c r="G270" s="18">
        <f>IF(A270="","",F270*N(Items!F270))</f>
        <v/>
      </c>
      <c r="H270">
        <f>IF(A270="","",IF(F270&lt;=0,"OUT OF STOCK",IF(F270&lt;=N(Items!H270),"REORDER","OK")))</f>
        <v/>
      </c>
      <c r="I270" s="18">
        <f>IF(A270="","",SUMIF('Stock Out'!$B$5:$B$3004,A270,'Stock Out'!$F$5:$F$3004))</f>
        <v/>
      </c>
    </row>
    <row r="271">
      <c r="A271">
        <f>IF(Items!A271="","",Items!A271)</f>
        <v/>
      </c>
      <c r="B271">
        <f>IF(A271="","",Items!B271)</f>
        <v/>
      </c>
      <c r="C271">
        <f>IF(A271="","",N(Items!E271))</f>
        <v/>
      </c>
      <c r="D271">
        <f>IF(A271="","",SUMIF('Stock In'!$B$5:$B$3004,A271,'Stock In'!$D$5:$D$3004))</f>
        <v/>
      </c>
      <c r="E271">
        <f>IF(A271="","",SUMIF('Stock Out'!$B$5:$B$3004,A271,'Stock Out'!$D$5:$D$3004))</f>
        <v/>
      </c>
      <c r="F271">
        <f>IF(A271="","",C271+D271-E271)</f>
        <v/>
      </c>
      <c r="G271" s="18">
        <f>IF(A271="","",F271*N(Items!F271))</f>
        <v/>
      </c>
      <c r="H271">
        <f>IF(A271="","",IF(F271&lt;=0,"OUT OF STOCK",IF(F271&lt;=N(Items!H271),"REORDER","OK")))</f>
        <v/>
      </c>
      <c r="I271" s="18">
        <f>IF(A271="","",SUMIF('Stock Out'!$B$5:$B$3004,A271,'Stock Out'!$F$5:$F$3004))</f>
        <v/>
      </c>
    </row>
    <row r="272">
      <c r="A272">
        <f>IF(Items!A272="","",Items!A272)</f>
        <v/>
      </c>
      <c r="B272">
        <f>IF(A272="","",Items!B272)</f>
        <v/>
      </c>
      <c r="C272">
        <f>IF(A272="","",N(Items!E272))</f>
        <v/>
      </c>
      <c r="D272">
        <f>IF(A272="","",SUMIF('Stock In'!$B$5:$B$3004,A272,'Stock In'!$D$5:$D$3004))</f>
        <v/>
      </c>
      <c r="E272">
        <f>IF(A272="","",SUMIF('Stock Out'!$B$5:$B$3004,A272,'Stock Out'!$D$5:$D$3004))</f>
        <v/>
      </c>
      <c r="F272">
        <f>IF(A272="","",C272+D272-E272)</f>
        <v/>
      </c>
      <c r="G272" s="18">
        <f>IF(A272="","",F272*N(Items!F272))</f>
        <v/>
      </c>
      <c r="H272">
        <f>IF(A272="","",IF(F272&lt;=0,"OUT OF STOCK",IF(F272&lt;=N(Items!H272),"REORDER","OK")))</f>
        <v/>
      </c>
      <c r="I272" s="18">
        <f>IF(A272="","",SUMIF('Stock Out'!$B$5:$B$3004,A272,'Stock Out'!$F$5:$F$3004))</f>
        <v/>
      </c>
    </row>
    <row r="273">
      <c r="A273">
        <f>IF(Items!A273="","",Items!A273)</f>
        <v/>
      </c>
      <c r="B273">
        <f>IF(A273="","",Items!B273)</f>
        <v/>
      </c>
      <c r="C273">
        <f>IF(A273="","",N(Items!E273))</f>
        <v/>
      </c>
      <c r="D273">
        <f>IF(A273="","",SUMIF('Stock In'!$B$5:$B$3004,A273,'Stock In'!$D$5:$D$3004))</f>
        <v/>
      </c>
      <c r="E273">
        <f>IF(A273="","",SUMIF('Stock Out'!$B$5:$B$3004,A273,'Stock Out'!$D$5:$D$3004))</f>
        <v/>
      </c>
      <c r="F273">
        <f>IF(A273="","",C273+D273-E273)</f>
        <v/>
      </c>
      <c r="G273" s="18">
        <f>IF(A273="","",F273*N(Items!F273))</f>
        <v/>
      </c>
      <c r="H273">
        <f>IF(A273="","",IF(F273&lt;=0,"OUT OF STOCK",IF(F273&lt;=N(Items!H273),"REORDER","OK")))</f>
        <v/>
      </c>
      <c r="I273" s="18">
        <f>IF(A273="","",SUMIF('Stock Out'!$B$5:$B$3004,A273,'Stock Out'!$F$5:$F$3004))</f>
        <v/>
      </c>
    </row>
    <row r="274">
      <c r="A274">
        <f>IF(Items!A274="","",Items!A274)</f>
        <v/>
      </c>
      <c r="B274">
        <f>IF(A274="","",Items!B274)</f>
        <v/>
      </c>
      <c r="C274">
        <f>IF(A274="","",N(Items!E274))</f>
        <v/>
      </c>
      <c r="D274">
        <f>IF(A274="","",SUMIF('Stock In'!$B$5:$B$3004,A274,'Stock In'!$D$5:$D$3004))</f>
        <v/>
      </c>
      <c r="E274">
        <f>IF(A274="","",SUMIF('Stock Out'!$B$5:$B$3004,A274,'Stock Out'!$D$5:$D$3004))</f>
        <v/>
      </c>
      <c r="F274">
        <f>IF(A274="","",C274+D274-E274)</f>
        <v/>
      </c>
      <c r="G274" s="18">
        <f>IF(A274="","",F274*N(Items!F274))</f>
        <v/>
      </c>
      <c r="H274">
        <f>IF(A274="","",IF(F274&lt;=0,"OUT OF STOCK",IF(F274&lt;=N(Items!H274),"REORDER","OK")))</f>
        <v/>
      </c>
      <c r="I274" s="18">
        <f>IF(A274="","",SUMIF('Stock Out'!$B$5:$B$3004,A274,'Stock Out'!$F$5:$F$3004))</f>
        <v/>
      </c>
    </row>
    <row r="275">
      <c r="A275">
        <f>IF(Items!A275="","",Items!A275)</f>
        <v/>
      </c>
      <c r="B275">
        <f>IF(A275="","",Items!B275)</f>
        <v/>
      </c>
      <c r="C275">
        <f>IF(A275="","",N(Items!E275))</f>
        <v/>
      </c>
      <c r="D275">
        <f>IF(A275="","",SUMIF('Stock In'!$B$5:$B$3004,A275,'Stock In'!$D$5:$D$3004))</f>
        <v/>
      </c>
      <c r="E275">
        <f>IF(A275="","",SUMIF('Stock Out'!$B$5:$B$3004,A275,'Stock Out'!$D$5:$D$3004))</f>
        <v/>
      </c>
      <c r="F275">
        <f>IF(A275="","",C275+D275-E275)</f>
        <v/>
      </c>
      <c r="G275" s="18">
        <f>IF(A275="","",F275*N(Items!F275))</f>
        <v/>
      </c>
      <c r="H275">
        <f>IF(A275="","",IF(F275&lt;=0,"OUT OF STOCK",IF(F275&lt;=N(Items!H275),"REORDER","OK")))</f>
        <v/>
      </c>
      <c r="I275" s="18">
        <f>IF(A275="","",SUMIF('Stock Out'!$B$5:$B$3004,A275,'Stock Out'!$F$5:$F$3004))</f>
        <v/>
      </c>
    </row>
    <row r="276">
      <c r="A276">
        <f>IF(Items!A276="","",Items!A276)</f>
        <v/>
      </c>
      <c r="B276">
        <f>IF(A276="","",Items!B276)</f>
        <v/>
      </c>
      <c r="C276">
        <f>IF(A276="","",N(Items!E276))</f>
        <v/>
      </c>
      <c r="D276">
        <f>IF(A276="","",SUMIF('Stock In'!$B$5:$B$3004,A276,'Stock In'!$D$5:$D$3004))</f>
        <v/>
      </c>
      <c r="E276">
        <f>IF(A276="","",SUMIF('Stock Out'!$B$5:$B$3004,A276,'Stock Out'!$D$5:$D$3004))</f>
        <v/>
      </c>
      <c r="F276">
        <f>IF(A276="","",C276+D276-E276)</f>
        <v/>
      </c>
      <c r="G276" s="18">
        <f>IF(A276="","",F276*N(Items!F276))</f>
        <v/>
      </c>
      <c r="H276">
        <f>IF(A276="","",IF(F276&lt;=0,"OUT OF STOCK",IF(F276&lt;=N(Items!H276),"REORDER","OK")))</f>
        <v/>
      </c>
      <c r="I276" s="18">
        <f>IF(A276="","",SUMIF('Stock Out'!$B$5:$B$3004,A276,'Stock Out'!$F$5:$F$3004))</f>
        <v/>
      </c>
    </row>
    <row r="277">
      <c r="A277">
        <f>IF(Items!A277="","",Items!A277)</f>
        <v/>
      </c>
      <c r="B277">
        <f>IF(A277="","",Items!B277)</f>
        <v/>
      </c>
      <c r="C277">
        <f>IF(A277="","",N(Items!E277))</f>
        <v/>
      </c>
      <c r="D277">
        <f>IF(A277="","",SUMIF('Stock In'!$B$5:$B$3004,A277,'Stock In'!$D$5:$D$3004))</f>
        <v/>
      </c>
      <c r="E277">
        <f>IF(A277="","",SUMIF('Stock Out'!$B$5:$B$3004,A277,'Stock Out'!$D$5:$D$3004))</f>
        <v/>
      </c>
      <c r="F277">
        <f>IF(A277="","",C277+D277-E277)</f>
        <v/>
      </c>
      <c r="G277" s="18">
        <f>IF(A277="","",F277*N(Items!F277))</f>
        <v/>
      </c>
      <c r="H277">
        <f>IF(A277="","",IF(F277&lt;=0,"OUT OF STOCK",IF(F277&lt;=N(Items!H277),"REORDER","OK")))</f>
        <v/>
      </c>
      <c r="I277" s="18">
        <f>IF(A277="","",SUMIF('Stock Out'!$B$5:$B$3004,A277,'Stock Out'!$F$5:$F$3004))</f>
        <v/>
      </c>
    </row>
    <row r="278">
      <c r="A278">
        <f>IF(Items!A278="","",Items!A278)</f>
        <v/>
      </c>
      <c r="B278">
        <f>IF(A278="","",Items!B278)</f>
        <v/>
      </c>
      <c r="C278">
        <f>IF(A278="","",N(Items!E278))</f>
        <v/>
      </c>
      <c r="D278">
        <f>IF(A278="","",SUMIF('Stock In'!$B$5:$B$3004,A278,'Stock In'!$D$5:$D$3004))</f>
        <v/>
      </c>
      <c r="E278">
        <f>IF(A278="","",SUMIF('Stock Out'!$B$5:$B$3004,A278,'Stock Out'!$D$5:$D$3004))</f>
        <v/>
      </c>
      <c r="F278">
        <f>IF(A278="","",C278+D278-E278)</f>
        <v/>
      </c>
      <c r="G278" s="18">
        <f>IF(A278="","",F278*N(Items!F278))</f>
        <v/>
      </c>
      <c r="H278">
        <f>IF(A278="","",IF(F278&lt;=0,"OUT OF STOCK",IF(F278&lt;=N(Items!H278),"REORDER","OK")))</f>
        <v/>
      </c>
      <c r="I278" s="18">
        <f>IF(A278="","",SUMIF('Stock Out'!$B$5:$B$3004,A278,'Stock Out'!$F$5:$F$3004))</f>
        <v/>
      </c>
    </row>
    <row r="279">
      <c r="A279">
        <f>IF(Items!A279="","",Items!A279)</f>
        <v/>
      </c>
      <c r="B279">
        <f>IF(A279="","",Items!B279)</f>
        <v/>
      </c>
      <c r="C279">
        <f>IF(A279="","",N(Items!E279))</f>
        <v/>
      </c>
      <c r="D279">
        <f>IF(A279="","",SUMIF('Stock In'!$B$5:$B$3004,A279,'Stock In'!$D$5:$D$3004))</f>
        <v/>
      </c>
      <c r="E279">
        <f>IF(A279="","",SUMIF('Stock Out'!$B$5:$B$3004,A279,'Stock Out'!$D$5:$D$3004))</f>
        <v/>
      </c>
      <c r="F279">
        <f>IF(A279="","",C279+D279-E279)</f>
        <v/>
      </c>
      <c r="G279" s="18">
        <f>IF(A279="","",F279*N(Items!F279))</f>
        <v/>
      </c>
      <c r="H279">
        <f>IF(A279="","",IF(F279&lt;=0,"OUT OF STOCK",IF(F279&lt;=N(Items!H279),"REORDER","OK")))</f>
        <v/>
      </c>
      <c r="I279" s="18">
        <f>IF(A279="","",SUMIF('Stock Out'!$B$5:$B$3004,A279,'Stock Out'!$F$5:$F$3004))</f>
        <v/>
      </c>
    </row>
    <row r="280">
      <c r="A280">
        <f>IF(Items!A280="","",Items!A280)</f>
        <v/>
      </c>
      <c r="B280">
        <f>IF(A280="","",Items!B280)</f>
        <v/>
      </c>
      <c r="C280">
        <f>IF(A280="","",N(Items!E280))</f>
        <v/>
      </c>
      <c r="D280">
        <f>IF(A280="","",SUMIF('Stock In'!$B$5:$B$3004,A280,'Stock In'!$D$5:$D$3004))</f>
        <v/>
      </c>
      <c r="E280">
        <f>IF(A280="","",SUMIF('Stock Out'!$B$5:$B$3004,A280,'Stock Out'!$D$5:$D$3004))</f>
        <v/>
      </c>
      <c r="F280">
        <f>IF(A280="","",C280+D280-E280)</f>
        <v/>
      </c>
      <c r="G280" s="18">
        <f>IF(A280="","",F280*N(Items!F280))</f>
        <v/>
      </c>
      <c r="H280">
        <f>IF(A280="","",IF(F280&lt;=0,"OUT OF STOCK",IF(F280&lt;=N(Items!H280),"REORDER","OK")))</f>
        <v/>
      </c>
      <c r="I280" s="18">
        <f>IF(A280="","",SUMIF('Stock Out'!$B$5:$B$3004,A280,'Stock Out'!$F$5:$F$3004))</f>
        <v/>
      </c>
    </row>
    <row r="281">
      <c r="A281">
        <f>IF(Items!A281="","",Items!A281)</f>
        <v/>
      </c>
      <c r="B281">
        <f>IF(A281="","",Items!B281)</f>
        <v/>
      </c>
      <c r="C281">
        <f>IF(A281="","",N(Items!E281))</f>
        <v/>
      </c>
      <c r="D281">
        <f>IF(A281="","",SUMIF('Stock In'!$B$5:$B$3004,A281,'Stock In'!$D$5:$D$3004))</f>
        <v/>
      </c>
      <c r="E281">
        <f>IF(A281="","",SUMIF('Stock Out'!$B$5:$B$3004,A281,'Stock Out'!$D$5:$D$3004))</f>
        <v/>
      </c>
      <c r="F281">
        <f>IF(A281="","",C281+D281-E281)</f>
        <v/>
      </c>
      <c r="G281" s="18">
        <f>IF(A281="","",F281*N(Items!F281))</f>
        <v/>
      </c>
      <c r="H281">
        <f>IF(A281="","",IF(F281&lt;=0,"OUT OF STOCK",IF(F281&lt;=N(Items!H281),"REORDER","OK")))</f>
        <v/>
      </c>
      <c r="I281" s="18">
        <f>IF(A281="","",SUMIF('Stock Out'!$B$5:$B$3004,A281,'Stock Out'!$F$5:$F$3004))</f>
        <v/>
      </c>
    </row>
    <row r="282">
      <c r="A282">
        <f>IF(Items!A282="","",Items!A282)</f>
        <v/>
      </c>
      <c r="B282">
        <f>IF(A282="","",Items!B282)</f>
        <v/>
      </c>
      <c r="C282">
        <f>IF(A282="","",N(Items!E282))</f>
        <v/>
      </c>
      <c r="D282">
        <f>IF(A282="","",SUMIF('Stock In'!$B$5:$B$3004,A282,'Stock In'!$D$5:$D$3004))</f>
        <v/>
      </c>
      <c r="E282">
        <f>IF(A282="","",SUMIF('Stock Out'!$B$5:$B$3004,A282,'Stock Out'!$D$5:$D$3004))</f>
        <v/>
      </c>
      <c r="F282">
        <f>IF(A282="","",C282+D282-E282)</f>
        <v/>
      </c>
      <c r="G282" s="18">
        <f>IF(A282="","",F282*N(Items!F282))</f>
        <v/>
      </c>
      <c r="H282">
        <f>IF(A282="","",IF(F282&lt;=0,"OUT OF STOCK",IF(F282&lt;=N(Items!H282),"REORDER","OK")))</f>
        <v/>
      </c>
      <c r="I282" s="18">
        <f>IF(A282="","",SUMIF('Stock Out'!$B$5:$B$3004,A282,'Stock Out'!$F$5:$F$3004))</f>
        <v/>
      </c>
    </row>
    <row r="283">
      <c r="A283">
        <f>IF(Items!A283="","",Items!A283)</f>
        <v/>
      </c>
      <c r="B283">
        <f>IF(A283="","",Items!B283)</f>
        <v/>
      </c>
      <c r="C283">
        <f>IF(A283="","",N(Items!E283))</f>
        <v/>
      </c>
      <c r="D283">
        <f>IF(A283="","",SUMIF('Stock In'!$B$5:$B$3004,A283,'Stock In'!$D$5:$D$3004))</f>
        <v/>
      </c>
      <c r="E283">
        <f>IF(A283="","",SUMIF('Stock Out'!$B$5:$B$3004,A283,'Stock Out'!$D$5:$D$3004))</f>
        <v/>
      </c>
      <c r="F283">
        <f>IF(A283="","",C283+D283-E283)</f>
        <v/>
      </c>
      <c r="G283" s="18">
        <f>IF(A283="","",F283*N(Items!F283))</f>
        <v/>
      </c>
      <c r="H283">
        <f>IF(A283="","",IF(F283&lt;=0,"OUT OF STOCK",IF(F283&lt;=N(Items!H283),"REORDER","OK")))</f>
        <v/>
      </c>
      <c r="I283" s="18">
        <f>IF(A283="","",SUMIF('Stock Out'!$B$5:$B$3004,A283,'Stock Out'!$F$5:$F$3004))</f>
        <v/>
      </c>
    </row>
    <row r="284">
      <c r="A284">
        <f>IF(Items!A284="","",Items!A284)</f>
        <v/>
      </c>
      <c r="B284">
        <f>IF(A284="","",Items!B284)</f>
        <v/>
      </c>
      <c r="C284">
        <f>IF(A284="","",N(Items!E284))</f>
        <v/>
      </c>
      <c r="D284">
        <f>IF(A284="","",SUMIF('Stock In'!$B$5:$B$3004,A284,'Stock In'!$D$5:$D$3004))</f>
        <v/>
      </c>
      <c r="E284">
        <f>IF(A284="","",SUMIF('Stock Out'!$B$5:$B$3004,A284,'Stock Out'!$D$5:$D$3004))</f>
        <v/>
      </c>
      <c r="F284">
        <f>IF(A284="","",C284+D284-E284)</f>
        <v/>
      </c>
      <c r="G284" s="18">
        <f>IF(A284="","",F284*N(Items!F284))</f>
        <v/>
      </c>
      <c r="H284">
        <f>IF(A284="","",IF(F284&lt;=0,"OUT OF STOCK",IF(F284&lt;=N(Items!H284),"REORDER","OK")))</f>
        <v/>
      </c>
      <c r="I284" s="18">
        <f>IF(A284="","",SUMIF('Stock Out'!$B$5:$B$3004,A284,'Stock Out'!$F$5:$F$3004))</f>
        <v/>
      </c>
    </row>
    <row r="285">
      <c r="A285">
        <f>IF(Items!A285="","",Items!A285)</f>
        <v/>
      </c>
      <c r="B285">
        <f>IF(A285="","",Items!B285)</f>
        <v/>
      </c>
      <c r="C285">
        <f>IF(A285="","",N(Items!E285))</f>
        <v/>
      </c>
      <c r="D285">
        <f>IF(A285="","",SUMIF('Stock In'!$B$5:$B$3004,A285,'Stock In'!$D$5:$D$3004))</f>
        <v/>
      </c>
      <c r="E285">
        <f>IF(A285="","",SUMIF('Stock Out'!$B$5:$B$3004,A285,'Stock Out'!$D$5:$D$3004))</f>
        <v/>
      </c>
      <c r="F285">
        <f>IF(A285="","",C285+D285-E285)</f>
        <v/>
      </c>
      <c r="G285" s="18">
        <f>IF(A285="","",F285*N(Items!F285))</f>
        <v/>
      </c>
      <c r="H285">
        <f>IF(A285="","",IF(F285&lt;=0,"OUT OF STOCK",IF(F285&lt;=N(Items!H285),"REORDER","OK")))</f>
        <v/>
      </c>
      <c r="I285" s="18">
        <f>IF(A285="","",SUMIF('Stock Out'!$B$5:$B$3004,A285,'Stock Out'!$F$5:$F$3004))</f>
        <v/>
      </c>
    </row>
    <row r="286">
      <c r="A286">
        <f>IF(Items!A286="","",Items!A286)</f>
        <v/>
      </c>
      <c r="B286">
        <f>IF(A286="","",Items!B286)</f>
        <v/>
      </c>
      <c r="C286">
        <f>IF(A286="","",N(Items!E286))</f>
        <v/>
      </c>
      <c r="D286">
        <f>IF(A286="","",SUMIF('Stock In'!$B$5:$B$3004,A286,'Stock In'!$D$5:$D$3004))</f>
        <v/>
      </c>
      <c r="E286">
        <f>IF(A286="","",SUMIF('Stock Out'!$B$5:$B$3004,A286,'Stock Out'!$D$5:$D$3004))</f>
        <v/>
      </c>
      <c r="F286">
        <f>IF(A286="","",C286+D286-E286)</f>
        <v/>
      </c>
      <c r="G286" s="18">
        <f>IF(A286="","",F286*N(Items!F286))</f>
        <v/>
      </c>
      <c r="H286">
        <f>IF(A286="","",IF(F286&lt;=0,"OUT OF STOCK",IF(F286&lt;=N(Items!H286),"REORDER","OK")))</f>
        <v/>
      </c>
      <c r="I286" s="18">
        <f>IF(A286="","",SUMIF('Stock Out'!$B$5:$B$3004,A286,'Stock Out'!$F$5:$F$3004))</f>
        <v/>
      </c>
    </row>
    <row r="287">
      <c r="A287">
        <f>IF(Items!A287="","",Items!A287)</f>
        <v/>
      </c>
      <c r="B287">
        <f>IF(A287="","",Items!B287)</f>
        <v/>
      </c>
      <c r="C287">
        <f>IF(A287="","",N(Items!E287))</f>
        <v/>
      </c>
      <c r="D287">
        <f>IF(A287="","",SUMIF('Stock In'!$B$5:$B$3004,A287,'Stock In'!$D$5:$D$3004))</f>
        <v/>
      </c>
      <c r="E287">
        <f>IF(A287="","",SUMIF('Stock Out'!$B$5:$B$3004,A287,'Stock Out'!$D$5:$D$3004))</f>
        <v/>
      </c>
      <c r="F287">
        <f>IF(A287="","",C287+D287-E287)</f>
        <v/>
      </c>
      <c r="G287" s="18">
        <f>IF(A287="","",F287*N(Items!F287))</f>
        <v/>
      </c>
      <c r="H287">
        <f>IF(A287="","",IF(F287&lt;=0,"OUT OF STOCK",IF(F287&lt;=N(Items!H287),"REORDER","OK")))</f>
        <v/>
      </c>
      <c r="I287" s="18">
        <f>IF(A287="","",SUMIF('Stock Out'!$B$5:$B$3004,A287,'Stock Out'!$F$5:$F$3004))</f>
        <v/>
      </c>
    </row>
    <row r="288">
      <c r="A288">
        <f>IF(Items!A288="","",Items!A288)</f>
        <v/>
      </c>
      <c r="B288">
        <f>IF(A288="","",Items!B288)</f>
        <v/>
      </c>
      <c r="C288">
        <f>IF(A288="","",N(Items!E288))</f>
        <v/>
      </c>
      <c r="D288">
        <f>IF(A288="","",SUMIF('Stock In'!$B$5:$B$3004,A288,'Stock In'!$D$5:$D$3004))</f>
        <v/>
      </c>
      <c r="E288">
        <f>IF(A288="","",SUMIF('Stock Out'!$B$5:$B$3004,A288,'Stock Out'!$D$5:$D$3004))</f>
        <v/>
      </c>
      <c r="F288">
        <f>IF(A288="","",C288+D288-E288)</f>
        <v/>
      </c>
      <c r="G288" s="18">
        <f>IF(A288="","",F288*N(Items!F288))</f>
        <v/>
      </c>
      <c r="H288">
        <f>IF(A288="","",IF(F288&lt;=0,"OUT OF STOCK",IF(F288&lt;=N(Items!H288),"REORDER","OK")))</f>
        <v/>
      </c>
      <c r="I288" s="18">
        <f>IF(A288="","",SUMIF('Stock Out'!$B$5:$B$3004,A288,'Stock Out'!$F$5:$F$3004))</f>
        <v/>
      </c>
    </row>
    <row r="289">
      <c r="A289">
        <f>IF(Items!A289="","",Items!A289)</f>
        <v/>
      </c>
      <c r="B289">
        <f>IF(A289="","",Items!B289)</f>
        <v/>
      </c>
      <c r="C289">
        <f>IF(A289="","",N(Items!E289))</f>
        <v/>
      </c>
      <c r="D289">
        <f>IF(A289="","",SUMIF('Stock In'!$B$5:$B$3004,A289,'Stock In'!$D$5:$D$3004))</f>
        <v/>
      </c>
      <c r="E289">
        <f>IF(A289="","",SUMIF('Stock Out'!$B$5:$B$3004,A289,'Stock Out'!$D$5:$D$3004))</f>
        <v/>
      </c>
      <c r="F289">
        <f>IF(A289="","",C289+D289-E289)</f>
        <v/>
      </c>
      <c r="G289" s="18">
        <f>IF(A289="","",F289*N(Items!F289))</f>
        <v/>
      </c>
      <c r="H289">
        <f>IF(A289="","",IF(F289&lt;=0,"OUT OF STOCK",IF(F289&lt;=N(Items!H289),"REORDER","OK")))</f>
        <v/>
      </c>
      <c r="I289" s="18">
        <f>IF(A289="","",SUMIF('Stock Out'!$B$5:$B$3004,A289,'Stock Out'!$F$5:$F$3004))</f>
        <v/>
      </c>
    </row>
    <row r="290">
      <c r="A290">
        <f>IF(Items!A290="","",Items!A290)</f>
        <v/>
      </c>
      <c r="B290">
        <f>IF(A290="","",Items!B290)</f>
        <v/>
      </c>
      <c r="C290">
        <f>IF(A290="","",N(Items!E290))</f>
        <v/>
      </c>
      <c r="D290">
        <f>IF(A290="","",SUMIF('Stock In'!$B$5:$B$3004,A290,'Stock In'!$D$5:$D$3004))</f>
        <v/>
      </c>
      <c r="E290">
        <f>IF(A290="","",SUMIF('Stock Out'!$B$5:$B$3004,A290,'Stock Out'!$D$5:$D$3004))</f>
        <v/>
      </c>
      <c r="F290">
        <f>IF(A290="","",C290+D290-E290)</f>
        <v/>
      </c>
      <c r="G290" s="18">
        <f>IF(A290="","",F290*N(Items!F290))</f>
        <v/>
      </c>
      <c r="H290">
        <f>IF(A290="","",IF(F290&lt;=0,"OUT OF STOCK",IF(F290&lt;=N(Items!H290),"REORDER","OK")))</f>
        <v/>
      </c>
      <c r="I290" s="18">
        <f>IF(A290="","",SUMIF('Stock Out'!$B$5:$B$3004,A290,'Stock Out'!$F$5:$F$3004))</f>
        <v/>
      </c>
    </row>
    <row r="291">
      <c r="A291">
        <f>IF(Items!A291="","",Items!A291)</f>
        <v/>
      </c>
      <c r="B291">
        <f>IF(A291="","",Items!B291)</f>
        <v/>
      </c>
      <c r="C291">
        <f>IF(A291="","",N(Items!E291))</f>
        <v/>
      </c>
      <c r="D291">
        <f>IF(A291="","",SUMIF('Stock In'!$B$5:$B$3004,A291,'Stock In'!$D$5:$D$3004))</f>
        <v/>
      </c>
      <c r="E291">
        <f>IF(A291="","",SUMIF('Stock Out'!$B$5:$B$3004,A291,'Stock Out'!$D$5:$D$3004))</f>
        <v/>
      </c>
      <c r="F291">
        <f>IF(A291="","",C291+D291-E291)</f>
        <v/>
      </c>
      <c r="G291" s="18">
        <f>IF(A291="","",F291*N(Items!F291))</f>
        <v/>
      </c>
      <c r="H291">
        <f>IF(A291="","",IF(F291&lt;=0,"OUT OF STOCK",IF(F291&lt;=N(Items!H291),"REORDER","OK")))</f>
        <v/>
      </c>
      <c r="I291" s="18">
        <f>IF(A291="","",SUMIF('Stock Out'!$B$5:$B$3004,A291,'Stock Out'!$F$5:$F$3004))</f>
        <v/>
      </c>
    </row>
    <row r="292">
      <c r="A292">
        <f>IF(Items!A292="","",Items!A292)</f>
        <v/>
      </c>
      <c r="B292">
        <f>IF(A292="","",Items!B292)</f>
        <v/>
      </c>
      <c r="C292">
        <f>IF(A292="","",N(Items!E292))</f>
        <v/>
      </c>
      <c r="D292">
        <f>IF(A292="","",SUMIF('Stock In'!$B$5:$B$3004,A292,'Stock In'!$D$5:$D$3004))</f>
        <v/>
      </c>
      <c r="E292">
        <f>IF(A292="","",SUMIF('Stock Out'!$B$5:$B$3004,A292,'Stock Out'!$D$5:$D$3004))</f>
        <v/>
      </c>
      <c r="F292">
        <f>IF(A292="","",C292+D292-E292)</f>
        <v/>
      </c>
      <c r="G292" s="18">
        <f>IF(A292="","",F292*N(Items!F292))</f>
        <v/>
      </c>
      <c r="H292">
        <f>IF(A292="","",IF(F292&lt;=0,"OUT OF STOCK",IF(F292&lt;=N(Items!H292),"REORDER","OK")))</f>
        <v/>
      </c>
      <c r="I292" s="18">
        <f>IF(A292="","",SUMIF('Stock Out'!$B$5:$B$3004,A292,'Stock Out'!$F$5:$F$3004))</f>
        <v/>
      </c>
    </row>
    <row r="293">
      <c r="A293">
        <f>IF(Items!A293="","",Items!A293)</f>
        <v/>
      </c>
      <c r="B293">
        <f>IF(A293="","",Items!B293)</f>
        <v/>
      </c>
      <c r="C293">
        <f>IF(A293="","",N(Items!E293))</f>
        <v/>
      </c>
      <c r="D293">
        <f>IF(A293="","",SUMIF('Stock In'!$B$5:$B$3004,A293,'Stock In'!$D$5:$D$3004))</f>
        <v/>
      </c>
      <c r="E293">
        <f>IF(A293="","",SUMIF('Stock Out'!$B$5:$B$3004,A293,'Stock Out'!$D$5:$D$3004))</f>
        <v/>
      </c>
      <c r="F293">
        <f>IF(A293="","",C293+D293-E293)</f>
        <v/>
      </c>
      <c r="G293" s="18">
        <f>IF(A293="","",F293*N(Items!F293))</f>
        <v/>
      </c>
      <c r="H293">
        <f>IF(A293="","",IF(F293&lt;=0,"OUT OF STOCK",IF(F293&lt;=N(Items!H293),"REORDER","OK")))</f>
        <v/>
      </c>
      <c r="I293" s="18">
        <f>IF(A293="","",SUMIF('Stock Out'!$B$5:$B$3004,A293,'Stock Out'!$F$5:$F$3004))</f>
        <v/>
      </c>
    </row>
    <row r="294">
      <c r="A294">
        <f>IF(Items!A294="","",Items!A294)</f>
        <v/>
      </c>
      <c r="B294">
        <f>IF(A294="","",Items!B294)</f>
        <v/>
      </c>
      <c r="C294">
        <f>IF(A294="","",N(Items!E294))</f>
        <v/>
      </c>
      <c r="D294">
        <f>IF(A294="","",SUMIF('Stock In'!$B$5:$B$3004,A294,'Stock In'!$D$5:$D$3004))</f>
        <v/>
      </c>
      <c r="E294">
        <f>IF(A294="","",SUMIF('Stock Out'!$B$5:$B$3004,A294,'Stock Out'!$D$5:$D$3004))</f>
        <v/>
      </c>
      <c r="F294">
        <f>IF(A294="","",C294+D294-E294)</f>
        <v/>
      </c>
      <c r="G294" s="18">
        <f>IF(A294="","",F294*N(Items!F294))</f>
        <v/>
      </c>
      <c r="H294">
        <f>IF(A294="","",IF(F294&lt;=0,"OUT OF STOCK",IF(F294&lt;=N(Items!H294),"REORDER","OK")))</f>
        <v/>
      </c>
      <c r="I294" s="18">
        <f>IF(A294="","",SUMIF('Stock Out'!$B$5:$B$3004,A294,'Stock Out'!$F$5:$F$3004))</f>
        <v/>
      </c>
    </row>
    <row r="295">
      <c r="A295">
        <f>IF(Items!A295="","",Items!A295)</f>
        <v/>
      </c>
      <c r="B295">
        <f>IF(A295="","",Items!B295)</f>
        <v/>
      </c>
      <c r="C295">
        <f>IF(A295="","",N(Items!E295))</f>
        <v/>
      </c>
      <c r="D295">
        <f>IF(A295="","",SUMIF('Stock In'!$B$5:$B$3004,A295,'Stock In'!$D$5:$D$3004))</f>
        <v/>
      </c>
      <c r="E295">
        <f>IF(A295="","",SUMIF('Stock Out'!$B$5:$B$3004,A295,'Stock Out'!$D$5:$D$3004))</f>
        <v/>
      </c>
      <c r="F295">
        <f>IF(A295="","",C295+D295-E295)</f>
        <v/>
      </c>
      <c r="G295" s="18">
        <f>IF(A295="","",F295*N(Items!F295))</f>
        <v/>
      </c>
      <c r="H295">
        <f>IF(A295="","",IF(F295&lt;=0,"OUT OF STOCK",IF(F295&lt;=N(Items!H295),"REORDER","OK")))</f>
        <v/>
      </c>
      <c r="I295" s="18">
        <f>IF(A295="","",SUMIF('Stock Out'!$B$5:$B$3004,A295,'Stock Out'!$F$5:$F$3004))</f>
        <v/>
      </c>
    </row>
    <row r="296">
      <c r="A296">
        <f>IF(Items!A296="","",Items!A296)</f>
        <v/>
      </c>
      <c r="B296">
        <f>IF(A296="","",Items!B296)</f>
        <v/>
      </c>
      <c r="C296">
        <f>IF(A296="","",N(Items!E296))</f>
        <v/>
      </c>
      <c r="D296">
        <f>IF(A296="","",SUMIF('Stock In'!$B$5:$B$3004,A296,'Stock In'!$D$5:$D$3004))</f>
        <v/>
      </c>
      <c r="E296">
        <f>IF(A296="","",SUMIF('Stock Out'!$B$5:$B$3004,A296,'Stock Out'!$D$5:$D$3004))</f>
        <v/>
      </c>
      <c r="F296">
        <f>IF(A296="","",C296+D296-E296)</f>
        <v/>
      </c>
      <c r="G296" s="18">
        <f>IF(A296="","",F296*N(Items!F296))</f>
        <v/>
      </c>
      <c r="H296">
        <f>IF(A296="","",IF(F296&lt;=0,"OUT OF STOCK",IF(F296&lt;=N(Items!H296),"REORDER","OK")))</f>
        <v/>
      </c>
      <c r="I296" s="18">
        <f>IF(A296="","",SUMIF('Stock Out'!$B$5:$B$3004,A296,'Stock Out'!$F$5:$F$3004))</f>
        <v/>
      </c>
    </row>
    <row r="297">
      <c r="A297">
        <f>IF(Items!A297="","",Items!A297)</f>
        <v/>
      </c>
      <c r="B297">
        <f>IF(A297="","",Items!B297)</f>
        <v/>
      </c>
      <c r="C297">
        <f>IF(A297="","",N(Items!E297))</f>
        <v/>
      </c>
      <c r="D297">
        <f>IF(A297="","",SUMIF('Stock In'!$B$5:$B$3004,A297,'Stock In'!$D$5:$D$3004))</f>
        <v/>
      </c>
      <c r="E297">
        <f>IF(A297="","",SUMIF('Stock Out'!$B$5:$B$3004,A297,'Stock Out'!$D$5:$D$3004))</f>
        <v/>
      </c>
      <c r="F297">
        <f>IF(A297="","",C297+D297-E297)</f>
        <v/>
      </c>
      <c r="G297" s="18">
        <f>IF(A297="","",F297*N(Items!F297))</f>
        <v/>
      </c>
      <c r="H297">
        <f>IF(A297="","",IF(F297&lt;=0,"OUT OF STOCK",IF(F297&lt;=N(Items!H297),"REORDER","OK")))</f>
        <v/>
      </c>
      <c r="I297" s="18">
        <f>IF(A297="","",SUMIF('Stock Out'!$B$5:$B$3004,A297,'Stock Out'!$F$5:$F$3004))</f>
        <v/>
      </c>
    </row>
    <row r="298">
      <c r="A298">
        <f>IF(Items!A298="","",Items!A298)</f>
        <v/>
      </c>
      <c r="B298">
        <f>IF(A298="","",Items!B298)</f>
        <v/>
      </c>
      <c r="C298">
        <f>IF(A298="","",N(Items!E298))</f>
        <v/>
      </c>
      <c r="D298">
        <f>IF(A298="","",SUMIF('Stock In'!$B$5:$B$3004,A298,'Stock In'!$D$5:$D$3004))</f>
        <v/>
      </c>
      <c r="E298">
        <f>IF(A298="","",SUMIF('Stock Out'!$B$5:$B$3004,A298,'Stock Out'!$D$5:$D$3004))</f>
        <v/>
      </c>
      <c r="F298">
        <f>IF(A298="","",C298+D298-E298)</f>
        <v/>
      </c>
      <c r="G298" s="18">
        <f>IF(A298="","",F298*N(Items!F298))</f>
        <v/>
      </c>
      <c r="H298">
        <f>IF(A298="","",IF(F298&lt;=0,"OUT OF STOCK",IF(F298&lt;=N(Items!H298),"REORDER","OK")))</f>
        <v/>
      </c>
      <c r="I298" s="18">
        <f>IF(A298="","",SUMIF('Stock Out'!$B$5:$B$3004,A298,'Stock Out'!$F$5:$F$3004))</f>
        <v/>
      </c>
    </row>
    <row r="299">
      <c r="A299">
        <f>IF(Items!A299="","",Items!A299)</f>
        <v/>
      </c>
      <c r="B299">
        <f>IF(A299="","",Items!B299)</f>
        <v/>
      </c>
      <c r="C299">
        <f>IF(A299="","",N(Items!E299))</f>
        <v/>
      </c>
      <c r="D299">
        <f>IF(A299="","",SUMIF('Stock In'!$B$5:$B$3004,A299,'Stock In'!$D$5:$D$3004))</f>
        <v/>
      </c>
      <c r="E299">
        <f>IF(A299="","",SUMIF('Stock Out'!$B$5:$B$3004,A299,'Stock Out'!$D$5:$D$3004))</f>
        <v/>
      </c>
      <c r="F299">
        <f>IF(A299="","",C299+D299-E299)</f>
        <v/>
      </c>
      <c r="G299" s="18">
        <f>IF(A299="","",F299*N(Items!F299))</f>
        <v/>
      </c>
      <c r="H299">
        <f>IF(A299="","",IF(F299&lt;=0,"OUT OF STOCK",IF(F299&lt;=N(Items!H299),"REORDER","OK")))</f>
        <v/>
      </c>
      <c r="I299" s="18">
        <f>IF(A299="","",SUMIF('Stock Out'!$B$5:$B$3004,A299,'Stock Out'!$F$5:$F$3004))</f>
        <v/>
      </c>
    </row>
    <row r="300">
      <c r="A300">
        <f>IF(Items!A300="","",Items!A300)</f>
        <v/>
      </c>
      <c r="B300">
        <f>IF(A300="","",Items!B300)</f>
        <v/>
      </c>
      <c r="C300">
        <f>IF(A300="","",N(Items!E300))</f>
        <v/>
      </c>
      <c r="D300">
        <f>IF(A300="","",SUMIF('Stock In'!$B$5:$B$3004,A300,'Stock In'!$D$5:$D$3004))</f>
        <v/>
      </c>
      <c r="E300">
        <f>IF(A300="","",SUMIF('Stock Out'!$B$5:$B$3004,A300,'Stock Out'!$D$5:$D$3004))</f>
        <v/>
      </c>
      <c r="F300">
        <f>IF(A300="","",C300+D300-E300)</f>
        <v/>
      </c>
      <c r="G300" s="18">
        <f>IF(A300="","",F300*N(Items!F300))</f>
        <v/>
      </c>
      <c r="H300">
        <f>IF(A300="","",IF(F300&lt;=0,"OUT OF STOCK",IF(F300&lt;=N(Items!H300),"REORDER","OK")))</f>
        <v/>
      </c>
      <c r="I300" s="18">
        <f>IF(A300="","",SUMIF('Stock Out'!$B$5:$B$3004,A300,'Stock Out'!$F$5:$F$3004))</f>
        <v/>
      </c>
    </row>
    <row r="301">
      <c r="A301">
        <f>IF(Items!A301="","",Items!A301)</f>
        <v/>
      </c>
      <c r="B301">
        <f>IF(A301="","",Items!B301)</f>
        <v/>
      </c>
      <c r="C301">
        <f>IF(A301="","",N(Items!E301))</f>
        <v/>
      </c>
      <c r="D301">
        <f>IF(A301="","",SUMIF('Stock In'!$B$5:$B$3004,A301,'Stock In'!$D$5:$D$3004))</f>
        <v/>
      </c>
      <c r="E301">
        <f>IF(A301="","",SUMIF('Stock Out'!$B$5:$B$3004,A301,'Stock Out'!$D$5:$D$3004))</f>
        <v/>
      </c>
      <c r="F301">
        <f>IF(A301="","",C301+D301-E301)</f>
        <v/>
      </c>
      <c r="G301" s="18">
        <f>IF(A301="","",F301*N(Items!F301))</f>
        <v/>
      </c>
      <c r="H301">
        <f>IF(A301="","",IF(F301&lt;=0,"OUT OF STOCK",IF(F301&lt;=N(Items!H301),"REORDER","OK")))</f>
        <v/>
      </c>
      <c r="I301" s="18">
        <f>IF(A301="","",SUMIF('Stock Out'!$B$5:$B$3004,A301,'Stock Out'!$F$5:$F$3004))</f>
        <v/>
      </c>
    </row>
    <row r="302">
      <c r="A302">
        <f>IF(Items!A302="","",Items!A302)</f>
        <v/>
      </c>
      <c r="B302">
        <f>IF(A302="","",Items!B302)</f>
        <v/>
      </c>
      <c r="C302">
        <f>IF(A302="","",N(Items!E302))</f>
        <v/>
      </c>
      <c r="D302">
        <f>IF(A302="","",SUMIF('Stock In'!$B$5:$B$3004,A302,'Stock In'!$D$5:$D$3004))</f>
        <v/>
      </c>
      <c r="E302">
        <f>IF(A302="","",SUMIF('Stock Out'!$B$5:$B$3004,A302,'Stock Out'!$D$5:$D$3004))</f>
        <v/>
      </c>
      <c r="F302">
        <f>IF(A302="","",C302+D302-E302)</f>
        <v/>
      </c>
      <c r="G302" s="18">
        <f>IF(A302="","",F302*N(Items!F302))</f>
        <v/>
      </c>
      <c r="H302">
        <f>IF(A302="","",IF(F302&lt;=0,"OUT OF STOCK",IF(F302&lt;=N(Items!H302),"REORDER","OK")))</f>
        <v/>
      </c>
      <c r="I302" s="18">
        <f>IF(A302="","",SUMIF('Stock Out'!$B$5:$B$3004,A302,'Stock Out'!$F$5:$F$3004))</f>
        <v/>
      </c>
    </row>
    <row r="303">
      <c r="A303">
        <f>IF(Items!A303="","",Items!A303)</f>
        <v/>
      </c>
      <c r="B303">
        <f>IF(A303="","",Items!B303)</f>
        <v/>
      </c>
      <c r="C303">
        <f>IF(A303="","",N(Items!E303))</f>
        <v/>
      </c>
      <c r="D303">
        <f>IF(A303="","",SUMIF('Stock In'!$B$5:$B$3004,A303,'Stock In'!$D$5:$D$3004))</f>
        <v/>
      </c>
      <c r="E303">
        <f>IF(A303="","",SUMIF('Stock Out'!$B$5:$B$3004,A303,'Stock Out'!$D$5:$D$3004))</f>
        <v/>
      </c>
      <c r="F303">
        <f>IF(A303="","",C303+D303-E303)</f>
        <v/>
      </c>
      <c r="G303" s="18">
        <f>IF(A303="","",F303*N(Items!F303))</f>
        <v/>
      </c>
      <c r="H303">
        <f>IF(A303="","",IF(F303&lt;=0,"OUT OF STOCK",IF(F303&lt;=N(Items!H303),"REORDER","OK")))</f>
        <v/>
      </c>
      <c r="I303" s="18">
        <f>IF(A303="","",SUMIF('Stock Out'!$B$5:$B$3004,A303,'Stock Out'!$F$5:$F$3004))</f>
        <v/>
      </c>
    </row>
    <row r="304">
      <c r="A304">
        <f>IF(Items!A304="","",Items!A304)</f>
        <v/>
      </c>
      <c r="B304">
        <f>IF(A304="","",Items!B304)</f>
        <v/>
      </c>
      <c r="C304">
        <f>IF(A304="","",N(Items!E304))</f>
        <v/>
      </c>
      <c r="D304">
        <f>IF(A304="","",SUMIF('Stock In'!$B$5:$B$3004,A304,'Stock In'!$D$5:$D$3004))</f>
        <v/>
      </c>
      <c r="E304">
        <f>IF(A304="","",SUMIF('Stock Out'!$B$5:$B$3004,A304,'Stock Out'!$D$5:$D$3004))</f>
        <v/>
      </c>
      <c r="F304">
        <f>IF(A304="","",C304+D304-E304)</f>
        <v/>
      </c>
      <c r="G304" s="18">
        <f>IF(A304="","",F304*N(Items!F304))</f>
        <v/>
      </c>
      <c r="H304">
        <f>IF(A304="","",IF(F304&lt;=0,"OUT OF STOCK",IF(F304&lt;=N(Items!H304),"REORDER","OK")))</f>
        <v/>
      </c>
      <c r="I304" s="18">
        <f>IF(A304="","",SUMIF('Stock Out'!$B$5:$B$3004,A304,'Stock Out'!$F$5:$F$3004))</f>
        <v/>
      </c>
    </row>
  </sheetData>
  <autoFilter ref="A4:I304"/>
  <mergeCells count="2">
    <mergeCell ref="A1:I1"/>
    <mergeCell ref="A2:I2"/>
  </mergeCells>
  <conditionalFormatting sqref="A5:I304">
    <cfRule type="expression" priority="1" dxfId="0">
      <formula>$H5="OUT OF STOCK"</formula>
    </cfRule>
    <cfRule type="expression" priority="2" dxfId="1">
      <formula>$H5="REORDER"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12" customWidth="1" min="5" max="5"/>
    <col width="14" customWidth="1" min="6" max="6"/>
    <col width="26" customWidth="1" min="7" max="7"/>
  </cols>
  <sheetData>
    <row r="1">
      <c r="A1" s="8" t="inlineStr">
        <is>
          <t>Stock In</t>
        </is>
      </c>
    </row>
    <row r="4" ht="32" customHeight="1">
      <c r="A4" s="14" t="inlineStr">
        <is>
          <t>Date</t>
        </is>
      </c>
      <c r="B4" s="14" t="inlineStr">
        <is>
          <t>Item code</t>
        </is>
      </c>
      <c r="C4" s="14" t="inlineStr">
        <is>
          <t>Item name</t>
        </is>
      </c>
      <c r="D4" s="14" t="inlineStr">
        <is>
          <t>Quantity</t>
        </is>
      </c>
      <c r="E4" s="14" t="inlineStr">
        <is>
          <t>Rate (₹)</t>
        </is>
      </c>
      <c r="F4" s="14" t="inlineStr">
        <is>
          <t>Amount (₹)</t>
        </is>
      </c>
      <c r="G4" s="14" t="inlineStr">
        <is>
          <t>Supplier</t>
        </is>
      </c>
    </row>
    <row r="5">
      <c r="A5" s="19" t="n"/>
      <c r="B5" s="15" t="n"/>
      <c r="C5">
        <f>IF(B5="","",IFERROR(INDEX(Items!$B$5:$B$304,MATCH(B5,Items!$A$5:$A$304,0)),"Unknown code"))</f>
        <v/>
      </c>
      <c r="D5" s="15" t="n"/>
      <c r="E5" s="16" t="n"/>
      <c r="F5" s="18">
        <f>IF(OR(D5="",E5=""),"",D5*E5)</f>
        <v/>
      </c>
      <c r="G5" s="15" t="n"/>
    </row>
    <row r="6">
      <c r="A6" s="19" t="n"/>
      <c r="B6" s="15" t="n"/>
      <c r="C6">
        <f>IF(B6="","",IFERROR(INDEX(Items!$B$5:$B$304,MATCH(B6,Items!$A$5:$A$304,0)),"Unknown code"))</f>
        <v/>
      </c>
      <c r="D6" s="15" t="n"/>
      <c r="E6" s="16" t="n"/>
      <c r="F6" s="18">
        <f>IF(OR(D6="",E6=""),"",D6*E6)</f>
        <v/>
      </c>
      <c r="G6" s="15" t="n"/>
    </row>
    <row r="7">
      <c r="A7" s="19" t="n"/>
      <c r="B7" s="15" t="n"/>
      <c r="C7">
        <f>IF(B7="","",IFERROR(INDEX(Items!$B$5:$B$304,MATCH(B7,Items!$A$5:$A$304,0)),"Unknown code"))</f>
        <v/>
      </c>
      <c r="D7" s="15" t="n"/>
      <c r="E7" s="16" t="n"/>
      <c r="F7" s="18">
        <f>IF(OR(D7="",E7=""),"",D7*E7)</f>
        <v/>
      </c>
      <c r="G7" s="15" t="n"/>
    </row>
    <row r="8">
      <c r="A8" s="19" t="n"/>
      <c r="B8" s="15" t="n"/>
      <c r="C8">
        <f>IF(B8="","",IFERROR(INDEX(Items!$B$5:$B$304,MATCH(B8,Items!$A$5:$A$304,0)),"Unknown code"))</f>
        <v/>
      </c>
      <c r="D8" s="15" t="n"/>
      <c r="E8" s="16" t="n"/>
      <c r="F8" s="18">
        <f>IF(OR(D8="",E8=""),"",D8*E8)</f>
        <v/>
      </c>
      <c r="G8" s="15" t="n"/>
    </row>
    <row r="9">
      <c r="A9" s="19" t="n"/>
      <c r="B9" s="15" t="n"/>
      <c r="C9">
        <f>IF(B9="","",IFERROR(INDEX(Items!$B$5:$B$304,MATCH(B9,Items!$A$5:$A$304,0)),"Unknown code"))</f>
        <v/>
      </c>
      <c r="D9" s="15" t="n"/>
      <c r="E9" s="16" t="n"/>
      <c r="F9" s="18">
        <f>IF(OR(D9="",E9=""),"",D9*E9)</f>
        <v/>
      </c>
      <c r="G9" s="15" t="n"/>
    </row>
    <row r="10">
      <c r="A10" s="19" t="n"/>
      <c r="B10" s="15" t="n"/>
      <c r="C10">
        <f>IF(B10="","",IFERROR(INDEX(Items!$B$5:$B$304,MATCH(B10,Items!$A$5:$A$304,0)),"Unknown code"))</f>
        <v/>
      </c>
      <c r="D10" s="15" t="n"/>
      <c r="E10" s="16" t="n"/>
      <c r="F10" s="18">
        <f>IF(OR(D10="",E10=""),"",D10*E10)</f>
        <v/>
      </c>
      <c r="G10" s="15" t="n"/>
    </row>
    <row r="11">
      <c r="A11" s="19" t="n"/>
      <c r="B11" s="15" t="n"/>
      <c r="C11">
        <f>IF(B11="","",IFERROR(INDEX(Items!$B$5:$B$304,MATCH(B11,Items!$A$5:$A$304,0)),"Unknown code"))</f>
        <v/>
      </c>
      <c r="D11" s="15" t="n"/>
      <c r="E11" s="16" t="n"/>
      <c r="F11" s="18">
        <f>IF(OR(D11="",E11=""),"",D11*E11)</f>
        <v/>
      </c>
      <c r="G11" s="15" t="n"/>
    </row>
    <row r="12">
      <c r="A12" s="19" t="n"/>
      <c r="B12" s="15" t="n"/>
      <c r="C12">
        <f>IF(B12="","",IFERROR(INDEX(Items!$B$5:$B$304,MATCH(B12,Items!$A$5:$A$304,0)),"Unknown code"))</f>
        <v/>
      </c>
      <c r="D12" s="15" t="n"/>
      <c r="E12" s="16" t="n"/>
      <c r="F12" s="18">
        <f>IF(OR(D12="",E12=""),"",D12*E12)</f>
        <v/>
      </c>
      <c r="G12" s="15" t="n"/>
    </row>
    <row r="13">
      <c r="A13" s="19" t="n"/>
      <c r="B13" s="15" t="n"/>
      <c r="C13">
        <f>IF(B13="","",IFERROR(INDEX(Items!$B$5:$B$304,MATCH(B13,Items!$A$5:$A$304,0)),"Unknown code"))</f>
        <v/>
      </c>
      <c r="D13" s="15" t="n"/>
      <c r="E13" s="16" t="n"/>
      <c r="F13" s="18">
        <f>IF(OR(D13="",E13=""),"",D13*E13)</f>
        <v/>
      </c>
      <c r="G13" s="15" t="n"/>
    </row>
    <row r="14">
      <c r="A14" s="19" t="n"/>
      <c r="B14" s="15" t="n"/>
      <c r="C14">
        <f>IF(B14="","",IFERROR(INDEX(Items!$B$5:$B$304,MATCH(B14,Items!$A$5:$A$304,0)),"Unknown code"))</f>
        <v/>
      </c>
      <c r="D14" s="15" t="n"/>
      <c r="E14" s="16" t="n"/>
      <c r="F14" s="18">
        <f>IF(OR(D14="",E14=""),"",D14*E14)</f>
        <v/>
      </c>
      <c r="G14" s="15" t="n"/>
    </row>
    <row r="15">
      <c r="A15" s="19" t="n"/>
      <c r="B15" s="15" t="n"/>
      <c r="C15">
        <f>IF(B15="","",IFERROR(INDEX(Items!$B$5:$B$304,MATCH(B15,Items!$A$5:$A$304,0)),"Unknown code"))</f>
        <v/>
      </c>
      <c r="D15" s="15" t="n"/>
      <c r="E15" s="16" t="n"/>
      <c r="F15" s="18">
        <f>IF(OR(D15="",E15=""),"",D15*E15)</f>
        <v/>
      </c>
      <c r="G15" s="15" t="n"/>
    </row>
    <row r="16">
      <c r="A16" s="19" t="n"/>
      <c r="B16" s="15" t="n"/>
      <c r="C16">
        <f>IF(B16="","",IFERROR(INDEX(Items!$B$5:$B$304,MATCH(B16,Items!$A$5:$A$304,0)),"Unknown code"))</f>
        <v/>
      </c>
      <c r="D16" s="15" t="n"/>
      <c r="E16" s="16" t="n"/>
      <c r="F16" s="18">
        <f>IF(OR(D16="",E16=""),"",D16*E16)</f>
        <v/>
      </c>
      <c r="G16" s="15" t="n"/>
    </row>
    <row r="17">
      <c r="A17" s="19" t="n"/>
      <c r="B17" s="15" t="n"/>
      <c r="C17">
        <f>IF(B17="","",IFERROR(INDEX(Items!$B$5:$B$304,MATCH(B17,Items!$A$5:$A$304,0)),"Unknown code"))</f>
        <v/>
      </c>
      <c r="D17" s="15" t="n"/>
      <c r="E17" s="16" t="n"/>
      <c r="F17" s="18">
        <f>IF(OR(D17="",E17=""),"",D17*E17)</f>
        <v/>
      </c>
      <c r="G17" s="15" t="n"/>
    </row>
    <row r="18">
      <c r="A18" s="19" t="n"/>
      <c r="B18" s="15" t="n"/>
      <c r="C18">
        <f>IF(B18="","",IFERROR(INDEX(Items!$B$5:$B$304,MATCH(B18,Items!$A$5:$A$304,0)),"Unknown code"))</f>
        <v/>
      </c>
      <c r="D18" s="15" t="n"/>
      <c r="E18" s="16" t="n"/>
      <c r="F18" s="18">
        <f>IF(OR(D18="",E18=""),"",D18*E18)</f>
        <v/>
      </c>
      <c r="G18" s="15" t="n"/>
    </row>
    <row r="19">
      <c r="A19" s="19" t="n"/>
      <c r="B19" s="15" t="n"/>
      <c r="C19">
        <f>IF(B19="","",IFERROR(INDEX(Items!$B$5:$B$304,MATCH(B19,Items!$A$5:$A$304,0)),"Unknown code"))</f>
        <v/>
      </c>
      <c r="D19" s="15" t="n"/>
      <c r="E19" s="16" t="n"/>
      <c r="F19" s="18">
        <f>IF(OR(D19="",E19=""),"",D19*E19)</f>
        <v/>
      </c>
      <c r="G19" s="15" t="n"/>
    </row>
    <row r="20">
      <c r="A20" s="19" t="n"/>
      <c r="B20" s="15" t="n"/>
      <c r="C20">
        <f>IF(B20="","",IFERROR(INDEX(Items!$B$5:$B$304,MATCH(B20,Items!$A$5:$A$304,0)),"Unknown code"))</f>
        <v/>
      </c>
      <c r="D20" s="15" t="n"/>
      <c r="E20" s="16" t="n"/>
      <c r="F20" s="18">
        <f>IF(OR(D20="",E20=""),"",D20*E20)</f>
        <v/>
      </c>
      <c r="G20" s="15" t="n"/>
    </row>
    <row r="21">
      <c r="A21" s="19" t="n"/>
      <c r="B21" s="15" t="n"/>
      <c r="C21">
        <f>IF(B21="","",IFERROR(INDEX(Items!$B$5:$B$304,MATCH(B21,Items!$A$5:$A$304,0)),"Unknown code"))</f>
        <v/>
      </c>
      <c r="D21" s="15" t="n"/>
      <c r="E21" s="16" t="n"/>
      <c r="F21" s="18">
        <f>IF(OR(D21="",E21=""),"",D21*E21)</f>
        <v/>
      </c>
      <c r="G21" s="15" t="n"/>
    </row>
    <row r="22">
      <c r="A22" s="19" t="n"/>
      <c r="B22" s="15" t="n"/>
      <c r="C22">
        <f>IF(B22="","",IFERROR(INDEX(Items!$B$5:$B$304,MATCH(B22,Items!$A$5:$A$304,0)),"Unknown code"))</f>
        <v/>
      </c>
      <c r="D22" s="15" t="n"/>
      <c r="E22" s="16" t="n"/>
      <c r="F22" s="18">
        <f>IF(OR(D22="",E22=""),"",D22*E22)</f>
        <v/>
      </c>
      <c r="G22" s="15" t="n"/>
    </row>
    <row r="23">
      <c r="A23" s="19" t="n"/>
      <c r="B23" s="15" t="n"/>
      <c r="C23">
        <f>IF(B23="","",IFERROR(INDEX(Items!$B$5:$B$304,MATCH(B23,Items!$A$5:$A$304,0)),"Unknown code"))</f>
        <v/>
      </c>
      <c r="D23" s="15" t="n"/>
      <c r="E23" s="16" t="n"/>
      <c r="F23" s="18">
        <f>IF(OR(D23="",E23=""),"",D23*E23)</f>
        <v/>
      </c>
      <c r="G23" s="15" t="n"/>
    </row>
    <row r="24">
      <c r="A24" s="19" t="n"/>
      <c r="B24" s="15" t="n"/>
      <c r="C24">
        <f>IF(B24="","",IFERROR(INDEX(Items!$B$5:$B$304,MATCH(B24,Items!$A$5:$A$304,0)),"Unknown code"))</f>
        <v/>
      </c>
      <c r="D24" s="15" t="n"/>
      <c r="E24" s="16" t="n"/>
      <c r="F24" s="18">
        <f>IF(OR(D24="",E24=""),"",D24*E24)</f>
        <v/>
      </c>
      <c r="G24" s="15" t="n"/>
    </row>
    <row r="25">
      <c r="A25" s="19" t="n"/>
      <c r="B25" s="15" t="n"/>
      <c r="C25">
        <f>IF(B25="","",IFERROR(INDEX(Items!$B$5:$B$304,MATCH(B25,Items!$A$5:$A$304,0)),"Unknown code"))</f>
        <v/>
      </c>
      <c r="D25" s="15" t="n"/>
      <c r="E25" s="16" t="n"/>
      <c r="F25" s="18">
        <f>IF(OR(D25="",E25=""),"",D25*E25)</f>
        <v/>
      </c>
      <c r="G25" s="15" t="n"/>
    </row>
    <row r="26">
      <c r="A26" s="19" t="n"/>
      <c r="B26" s="15" t="n"/>
      <c r="C26">
        <f>IF(B26="","",IFERROR(INDEX(Items!$B$5:$B$304,MATCH(B26,Items!$A$5:$A$304,0)),"Unknown code"))</f>
        <v/>
      </c>
      <c r="D26" s="15" t="n"/>
      <c r="E26" s="16" t="n"/>
      <c r="F26" s="18">
        <f>IF(OR(D26="",E26=""),"",D26*E26)</f>
        <v/>
      </c>
      <c r="G26" s="15" t="n"/>
    </row>
    <row r="27">
      <c r="A27" s="19" t="n"/>
      <c r="B27" s="15" t="n"/>
      <c r="C27">
        <f>IF(B27="","",IFERROR(INDEX(Items!$B$5:$B$304,MATCH(B27,Items!$A$5:$A$304,0)),"Unknown code"))</f>
        <v/>
      </c>
      <c r="D27" s="15" t="n"/>
      <c r="E27" s="16" t="n"/>
      <c r="F27" s="18">
        <f>IF(OR(D27="",E27=""),"",D27*E27)</f>
        <v/>
      </c>
      <c r="G27" s="15" t="n"/>
    </row>
    <row r="28">
      <c r="A28" s="19" t="n"/>
      <c r="B28" s="15" t="n"/>
      <c r="C28">
        <f>IF(B28="","",IFERROR(INDEX(Items!$B$5:$B$304,MATCH(B28,Items!$A$5:$A$304,0)),"Unknown code"))</f>
        <v/>
      </c>
      <c r="D28" s="15" t="n"/>
      <c r="E28" s="16" t="n"/>
      <c r="F28" s="18">
        <f>IF(OR(D28="",E28=""),"",D28*E28)</f>
        <v/>
      </c>
      <c r="G28" s="15" t="n"/>
    </row>
    <row r="29">
      <c r="A29" s="19" t="n"/>
      <c r="B29" s="15" t="n"/>
      <c r="C29">
        <f>IF(B29="","",IFERROR(INDEX(Items!$B$5:$B$304,MATCH(B29,Items!$A$5:$A$304,0)),"Unknown code"))</f>
        <v/>
      </c>
      <c r="D29" s="15" t="n"/>
      <c r="E29" s="16" t="n"/>
      <c r="F29" s="18">
        <f>IF(OR(D29="",E29=""),"",D29*E29)</f>
        <v/>
      </c>
      <c r="G29" s="15" t="n"/>
    </row>
    <row r="30">
      <c r="A30" s="19" t="n"/>
      <c r="B30" s="15" t="n"/>
      <c r="C30">
        <f>IF(B30="","",IFERROR(INDEX(Items!$B$5:$B$304,MATCH(B30,Items!$A$5:$A$304,0)),"Unknown code"))</f>
        <v/>
      </c>
      <c r="D30" s="15" t="n"/>
      <c r="E30" s="16" t="n"/>
      <c r="F30" s="18">
        <f>IF(OR(D30="",E30=""),"",D30*E30)</f>
        <v/>
      </c>
      <c r="G30" s="15" t="n"/>
    </row>
    <row r="31">
      <c r="A31" s="19" t="n"/>
      <c r="B31" s="15" t="n"/>
      <c r="C31">
        <f>IF(B31="","",IFERROR(INDEX(Items!$B$5:$B$304,MATCH(B31,Items!$A$5:$A$304,0)),"Unknown code"))</f>
        <v/>
      </c>
      <c r="D31" s="15" t="n"/>
      <c r="E31" s="16" t="n"/>
      <c r="F31" s="18">
        <f>IF(OR(D31="",E31=""),"",D31*E31)</f>
        <v/>
      </c>
      <c r="G31" s="15" t="n"/>
    </row>
    <row r="32">
      <c r="A32" s="19" t="n"/>
      <c r="B32" s="15" t="n"/>
      <c r="C32">
        <f>IF(B32="","",IFERROR(INDEX(Items!$B$5:$B$304,MATCH(B32,Items!$A$5:$A$304,0)),"Unknown code"))</f>
        <v/>
      </c>
      <c r="D32" s="15" t="n"/>
      <c r="E32" s="16" t="n"/>
      <c r="F32" s="18">
        <f>IF(OR(D32="",E32=""),"",D32*E32)</f>
        <v/>
      </c>
      <c r="G32" s="15" t="n"/>
    </row>
    <row r="33">
      <c r="A33" s="19" t="n"/>
      <c r="B33" s="15" t="n"/>
      <c r="C33">
        <f>IF(B33="","",IFERROR(INDEX(Items!$B$5:$B$304,MATCH(B33,Items!$A$5:$A$304,0)),"Unknown code"))</f>
        <v/>
      </c>
      <c r="D33" s="15" t="n"/>
      <c r="E33" s="16" t="n"/>
      <c r="F33" s="18">
        <f>IF(OR(D33="",E33=""),"",D33*E33)</f>
        <v/>
      </c>
      <c r="G33" s="15" t="n"/>
    </row>
    <row r="34">
      <c r="A34" s="19" t="n"/>
      <c r="B34" s="15" t="n"/>
      <c r="C34">
        <f>IF(B34="","",IFERROR(INDEX(Items!$B$5:$B$304,MATCH(B34,Items!$A$5:$A$304,0)),"Unknown code"))</f>
        <v/>
      </c>
      <c r="D34" s="15" t="n"/>
      <c r="E34" s="16" t="n"/>
      <c r="F34" s="18">
        <f>IF(OR(D34="",E34=""),"",D34*E34)</f>
        <v/>
      </c>
      <c r="G34" s="15" t="n"/>
    </row>
    <row r="35">
      <c r="A35" s="19" t="n"/>
      <c r="B35" s="15" t="n"/>
      <c r="C35">
        <f>IF(B35="","",IFERROR(INDEX(Items!$B$5:$B$304,MATCH(B35,Items!$A$5:$A$304,0)),"Unknown code"))</f>
        <v/>
      </c>
      <c r="D35" s="15" t="n"/>
      <c r="E35" s="16" t="n"/>
      <c r="F35" s="18">
        <f>IF(OR(D35="",E35=""),"",D35*E35)</f>
        <v/>
      </c>
      <c r="G35" s="15" t="n"/>
    </row>
    <row r="36">
      <c r="A36" s="19" t="n"/>
      <c r="B36" s="15" t="n"/>
      <c r="C36">
        <f>IF(B36="","",IFERROR(INDEX(Items!$B$5:$B$304,MATCH(B36,Items!$A$5:$A$304,0)),"Unknown code"))</f>
        <v/>
      </c>
      <c r="D36" s="15" t="n"/>
      <c r="E36" s="16" t="n"/>
      <c r="F36" s="18">
        <f>IF(OR(D36="",E36=""),"",D36*E36)</f>
        <v/>
      </c>
      <c r="G36" s="15" t="n"/>
    </row>
    <row r="37">
      <c r="A37" s="19" t="n"/>
      <c r="B37" s="15" t="n"/>
      <c r="C37">
        <f>IF(B37="","",IFERROR(INDEX(Items!$B$5:$B$304,MATCH(B37,Items!$A$5:$A$304,0)),"Unknown code"))</f>
        <v/>
      </c>
      <c r="D37" s="15" t="n"/>
      <c r="E37" s="16" t="n"/>
      <c r="F37" s="18">
        <f>IF(OR(D37="",E37=""),"",D37*E37)</f>
        <v/>
      </c>
      <c r="G37" s="15" t="n"/>
    </row>
    <row r="38">
      <c r="A38" s="19" t="n"/>
      <c r="B38" s="15" t="n"/>
      <c r="C38">
        <f>IF(B38="","",IFERROR(INDEX(Items!$B$5:$B$304,MATCH(B38,Items!$A$5:$A$304,0)),"Unknown code"))</f>
        <v/>
      </c>
      <c r="D38" s="15" t="n"/>
      <c r="E38" s="16" t="n"/>
      <c r="F38" s="18">
        <f>IF(OR(D38="",E38=""),"",D38*E38)</f>
        <v/>
      </c>
      <c r="G38" s="15" t="n"/>
    </row>
    <row r="39">
      <c r="A39" s="19" t="n"/>
      <c r="B39" s="15" t="n"/>
      <c r="C39">
        <f>IF(B39="","",IFERROR(INDEX(Items!$B$5:$B$304,MATCH(B39,Items!$A$5:$A$304,0)),"Unknown code"))</f>
        <v/>
      </c>
      <c r="D39" s="15" t="n"/>
      <c r="E39" s="16" t="n"/>
      <c r="F39" s="18">
        <f>IF(OR(D39="",E39=""),"",D39*E39)</f>
        <v/>
      </c>
      <c r="G39" s="15" t="n"/>
    </row>
    <row r="40">
      <c r="A40" s="19" t="n"/>
      <c r="B40" s="15" t="n"/>
      <c r="C40">
        <f>IF(B40="","",IFERROR(INDEX(Items!$B$5:$B$304,MATCH(B40,Items!$A$5:$A$304,0)),"Unknown code"))</f>
        <v/>
      </c>
      <c r="D40" s="15" t="n"/>
      <c r="E40" s="16" t="n"/>
      <c r="F40" s="18">
        <f>IF(OR(D40="",E40=""),"",D40*E40)</f>
        <v/>
      </c>
      <c r="G40" s="15" t="n"/>
    </row>
    <row r="41">
      <c r="A41" s="19" t="n"/>
      <c r="B41" s="15" t="n"/>
      <c r="C41">
        <f>IF(B41="","",IFERROR(INDEX(Items!$B$5:$B$304,MATCH(B41,Items!$A$5:$A$304,0)),"Unknown code"))</f>
        <v/>
      </c>
      <c r="D41" s="15" t="n"/>
      <c r="E41" s="16" t="n"/>
      <c r="F41" s="18">
        <f>IF(OR(D41="",E41=""),"",D41*E41)</f>
        <v/>
      </c>
      <c r="G41" s="15" t="n"/>
    </row>
    <row r="42">
      <c r="A42" s="19" t="n"/>
      <c r="B42" s="15" t="n"/>
      <c r="C42">
        <f>IF(B42="","",IFERROR(INDEX(Items!$B$5:$B$304,MATCH(B42,Items!$A$5:$A$304,0)),"Unknown code"))</f>
        <v/>
      </c>
      <c r="D42" s="15" t="n"/>
      <c r="E42" s="16" t="n"/>
      <c r="F42" s="18">
        <f>IF(OR(D42="",E42=""),"",D42*E42)</f>
        <v/>
      </c>
      <c r="G42" s="15" t="n"/>
    </row>
    <row r="43">
      <c r="A43" s="19" t="n"/>
      <c r="B43" s="15" t="n"/>
      <c r="C43">
        <f>IF(B43="","",IFERROR(INDEX(Items!$B$5:$B$304,MATCH(B43,Items!$A$5:$A$304,0)),"Unknown code"))</f>
        <v/>
      </c>
      <c r="D43" s="15" t="n"/>
      <c r="E43" s="16" t="n"/>
      <c r="F43" s="18">
        <f>IF(OR(D43="",E43=""),"",D43*E43)</f>
        <v/>
      </c>
      <c r="G43" s="15" t="n"/>
    </row>
    <row r="44">
      <c r="A44" s="19" t="n"/>
      <c r="B44" s="15" t="n"/>
      <c r="C44">
        <f>IF(B44="","",IFERROR(INDEX(Items!$B$5:$B$304,MATCH(B44,Items!$A$5:$A$304,0)),"Unknown code"))</f>
        <v/>
      </c>
      <c r="D44" s="15" t="n"/>
      <c r="E44" s="16" t="n"/>
      <c r="F44" s="18">
        <f>IF(OR(D44="",E44=""),"",D44*E44)</f>
        <v/>
      </c>
      <c r="G44" s="15" t="n"/>
    </row>
    <row r="45">
      <c r="A45" s="19" t="n"/>
      <c r="B45" s="15" t="n"/>
      <c r="C45">
        <f>IF(B45="","",IFERROR(INDEX(Items!$B$5:$B$304,MATCH(B45,Items!$A$5:$A$304,0)),"Unknown code"))</f>
        <v/>
      </c>
      <c r="D45" s="15" t="n"/>
      <c r="E45" s="16" t="n"/>
      <c r="F45" s="18">
        <f>IF(OR(D45="",E45=""),"",D45*E45)</f>
        <v/>
      </c>
      <c r="G45" s="15" t="n"/>
    </row>
    <row r="46">
      <c r="A46" s="19" t="n"/>
      <c r="B46" s="15" t="n"/>
      <c r="C46">
        <f>IF(B46="","",IFERROR(INDEX(Items!$B$5:$B$304,MATCH(B46,Items!$A$5:$A$304,0)),"Unknown code"))</f>
        <v/>
      </c>
      <c r="D46" s="15" t="n"/>
      <c r="E46" s="16" t="n"/>
      <c r="F46" s="18">
        <f>IF(OR(D46="",E46=""),"",D46*E46)</f>
        <v/>
      </c>
      <c r="G46" s="15" t="n"/>
    </row>
    <row r="47">
      <c r="A47" s="19" t="n"/>
      <c r="B47" s="15" t="n"/>
      <c r="C47">
        <f>IF(B47="","",IFERROR(INDEX(Items!$B$5:$B$304,MATCH(B47,Items!$A$5:$A$304,0)),"Unknown code"))</f>
        <v/>
      </c>
      <c r="D47" s="15" t="n"/>
      <c r="E47" s="16" t="n"/>
      <c r="F47" s="18">
        <f>IF(OR(D47="",E47=""),"",D47*E47)</f>
        <v/>
      </c>
      <c r="G47" s="15" t="n"/>
    </row>
    <row r="48">
      <c r="A48" s="19" t="n"/>
      <c r="B48" s="15" t="n"/>
      <c r="C48">
        <f>IF(B48="","",IFERROR(INDEX(Items!$B$5:$B$304,MATCH(B48,Items!$A$5:$A$304,0)),"Unknown code"))</f>
        <v/>
      </c>
      <c r="D48" s="15" t="n"/>
      <c r="E48" s="16" t="n"/>
      <c r="F48" s="18">
        <f>IF(OR(D48="",E48=""),"",D48*E48)</f>
        <v/>
      </c>
      <c r="G48" s="15" t="n"/>
    </row>
    <row r="49">
      <c r="A49" s="19" t="n"/>
      <c r="B49" s="15" t="n"/>
      <c r="C49">
        <f>IF(B49="","",IFERROR(INDEX(Items!$B$5:$B$304,MATCH(B49,Items!$A$5:$A$304,0)),"Unknown code"))</f>
        <v/>
      </c>
      <c r="D49" s="15" t="n"/>
      <c r="E49" s="16" t="n"/>
      <c r="F49" s="18">
        <f>IF(OR(D49="",E49=""),"",D49*E49)</f>
        <v/>
      </c>
      <c r="G49" s="15" t="n"/>
    </row>
    <row r="50">
      <c r="A50" s="19" t="n"/>
      <c r="B50" s="15" t="n"/>
      <c r="C50">
        <f>IF(B50="","",IFERROR(INDEX(Items!$B$5:$B$304,MATCH(B50,Items!$A$5:$A$304,0)),"Unknown code"))</f>
        <v/>
      </c>
      <c r="D50" s="15" t="n"/>
      <c r="E50" s="16" t="n"/>
      <c r="F50" s="18">
        <f>IF(OR(D50="",E50=""),"",D50*E50)</f>
        <v/>
      </c>
      <c r="G50" s="15" t="n"/>
    </row>
    <row r="51">
      <c r="A51" s="19" t="n"/>
      <c r="B51" s="15" t="n"/>
      <c r="C51">
        <f>IF(B51="","",IFERROR(INDEX(Items!$B$5:$B$304,MATCH(B51,Items!$A$5:$A$304,0)),"Unknown code"))</f>
        <v/>
      </c>
      <c r="D51" s="15" t="n"/>
      <c r="E51" s="16" t="n"/>
      <c r="F51" s="18">
        <f>IF(OR(D51="",E51=""),"",D51*E51)</f>
        <v/>
      </c>
      <c r="G51" s="15" t="n"/>
    </row>
    <row r="52">
      <c r="A52" s="19" t="n"/>
      <c r="B52" s="15" t="n"/>
      <c r="C52">
        <f>IF(B52="","",IFERROR(INDEX(Items!$B$5:$B$304,MATCH(B52,Items!$A$5:$A$304,0)),"Unknown code"))</f>
        <v/>
      </c>
      <c r="D52" s="15" t="n"/>
      <c r="E52" s="16" t="n"/>
      <c r="F52" s="18">
        <f>IF(OR(D52="",E52=""),"",D52*E52)</f>
        <v/>
      </c>
      <c r="G52" s="15" t="n"/>
    </row>
    <row r="53">
      <c r="A53" s="19" t="n"/>
      <c r="B53" s="15" t="n"/>
      <c r="C53">
        <f>IF(B53="","",IFERROR(INDEX(Items!$B$5:$B$304,MATCH(B53,Items!$A$5:$A$304,0)),"Unknown code"))</f>
        <v/>
      </c>
      <c r="D53" s="15" t="n"/>
      <c r="E53" s="16" t="n"/>
      <c r="F53" s="18">
        <f>IF(OR(D53="",E53=""),"",D53*E53)</f>
        <v/>
      </c>
      <c r="G53" s="15" t="n"/>
    </row>
    <row r="54">
      <c r="A54" s="19" t="n"/>
      <c r="B54" s="15" t="n"/>
      <c r="C54">
        <f>IF(B54="","",IFERROR(INDEX(Items!$B$5:$B$304,MATCH(B54,Items!$A$5:$A$304,0)),"Unknown code"))</f>
        <v/>
      </c>
      <c r="D54" s="15" t="n"/>
      <c r="E54" s="16" t="n"/>
      <c r="F54" s="18">
        <f>IF(OR(D54="",E54=""),"",D54*E54)</f>
        <v/>
      </c>
      <c r="G54" s="15" t="n"/>
    </row>
    <row r="55">
      <c r="A55" s="19" t="n"/>
      <c r="B55" s="15" t="n"/>
      <c r="C55">
        <f>IF(B55="","",IFERROR(INDEX(Items!$B$5:$B$304,MATCH(B55,Items!$A$5:$A$304,0)),"Unknown code"))</f>
        <v/>
      </c>
      <c r="D55" s="15" t="n"/>
      <c r="E55" s="16" t="n"/>
      <c r="F55" s="18">
        <f>IF(OR(D55="",E55=""),"",D55*E55)</f>
        <v/>
      </c>
      <c r="G55" s="15" t="n"/>
    </row>
    <row r="56">
      <c r="A56" s="19" t="n"/>
      <c r="B56" s="15" t="n"/>
      <c r="C56">
        <f>IF(B56="","",IFERROR(INDEX(Items!$B$5:$B$304,MATCH(B56,Items!$A$5:$A$304,0)),"Unknown code"))</f>
        <v/>
      </c>
      <c r="D56" s="15" t="n"/>
      <c r="E56" s="16" t="n"/>
      <c r="F56" s="18">
        <f>IF(OR(D56="",E56=""),"",D56*E56)</f>
        <v/>
      </c>
      <c r="G56" s="15" t="n"/>
    </row>
    <row r="57">
      <c r="A57" s="19" t="n"/>
      <c r="B57" s="15" t="n"/>
      <c r="C57">
        <f>IF(B57="","",IFERROR(INDEX(Items!$B$5:$B$304,MATCH(B57,Items!$A$5:$A$304,0)),"Unknown code"))</f>
        <v/>
      </c>
      <c r="D57" s="15" t="n"/>
      <c r="E57" s="16" t="n"/>
      <c r="F57" s="18">
        <f>IF(OR(D57="",E57=""),"",D57*E57)</f>
        <v/>
      </c>
      <c r="G57" s="15" t="n"/>
    </row>
    <row r="58">
      <c r="A58" s="19" t="n"/>
      <c r="B58" s="15" t="n"/>
      <c r="C58">
        <f>IF(B58="","",IFERROR(INDEX(Items!$B$5:$B$304,MATCH(B58,Items!$A$5:$A$304,0)),"Unknown code"))</f>
        <v/>
      </c>
      <c r="D58" s="15" t="n"/>
      <c r="E58" s="16" t="n"/>
      <c r="F58" s="18">
        <f>IF(OR(D58="",E58=""),"",D58*E58)</f>
        <v/>
      </c>
      <c r="G58" s="15" t="n"/>
    </row>
    <row r="59">
      <c r="A59" s="19" t="n"/>
      <c r="B59" s="15" t="n"/>
      <c r="C59">
        <f>IF(B59="","",IFERROR(INDEX(Items!$B$5:$B$304,MATCH(B59,Items!$A$5:$A$304,0)),"Unknown code"))</f>
        <v/>
      </c>
      <c r="D59" s="15" t="n"/>
      <c r="E59" s="16" t="n"/>
      <c r="F59" s="18">
        <f>IF(OR(D59="",E59=""),"",D59*E59)</f>
        <v/>
      </c>
      <c r="G59" s="15" t="n"/>
    </row>
    <row r="60">
      <c r="A60" s="19" t="n"/>
      <c r="B60" s="15" t="n"/>
      <c r="C60">
        <f>IF(B60="","",IFERROR(INDEX(Items!$B$5:$B$304,MATCH(B60,Items!$A$5:$A$304,0)),"Unknown code"))</f>
        <v/>
      </c>
      <c r="D60" s="15" t="n"/>
      <c r="E60" s="16" t="n"/>
      <c r="F60" s="18">
        <f>IF(OR(D60="",E60=""),"",D60*E60)</f>
        <v/>
      </c>
      <c r="G60" s="15" t="n"/>
    </row>
    <row r="61">
      <c r="A61" s="19" t="n"/>
      <c r="B61" s="15" t="n"/>
      <c r="C61">
        <f>IF(B61="","",IFERROR(INDEX(Items!$B$5:$B$304,MATCH(B61,Items!$A$5:$A$304,0)),"Unknown code"))</f>
        <v/>
      </c>
      <c r="D61" s="15" t="n"/>
      <c r="E61" s="16" t="n"/>
      <c r="F61" s="18">
        <f>IF(OR(D61="",E61=""),"",D61*E61)</f>
        <v/>
      </c>
      <c r="G61" s="15" t="n"/>
    </row>
    <row r="62">
      <c r="A62" s="19" t="n"/>
      <c r="B62" s="15" t="n"/>
      <c r="C62">
        <f>IF(B62="","",IFERROR(INDEX(Items!$B$5:$B$304,MATCH(B62,Items!$A$5:$A$304,0)),"Unknown code"))</f>
        <v/>
      </c>
      <c r="D62" s="15" t="n"/>
      <c r="E62" s="16" t="n"/>
      <c r="F62" s="18">
        <f>IF(OR(D62="",E62=""),"",D62*E62)</f>
        <v/>
      </c>
      <c r="G62" s="15" t="n"/>
    </row>
    <row r="63">
      <c r="A63" s="19" t="n"/>
      <c r="B63" s="15" t="n"/>
      <c r="C63">
        <f>IF(B63="","",IFERROR(INDEX(Items!$B$5:$B$304,MATCH(B63,Items!$A$5:$A$304,0)),"Unknown code"))</f>
        <v/>
      </c>
      <c r="D63" s="15" t="n"/>
      <c r="E63" s="16" t="n"/>
      <c r="F63" s="18">
        <f>IF(OR(D63="",E63=""),"",D63*E63)</f>
        <v/>
      </c>
      <c r="G63" s="15" t="n"/>
    </row>
    <row r="64">
      <c r="A64" s="19" t="n"/>
      <c r="B64" s="15" t="n"/>
      <c r="C64">
        <f>IF(B64="","",IFERROR(INDEX(Items!$B$5:$B$304,MATCH(B64,Items!$A$5:$A$304,0)),"Unknown code"))</f>
        <v/>
      </c>
      <c r="D64" s="15" t="n"/>
      <c r="E64" s="16" t="n"/>
      <c r="F64" s="18">
        <f>IF(OR(D64="",E64=""),"",D64*E64)</f>
        <v/>
      </c>
      <c r="G64" s="15" t="n"/>
    </row>
    <row r="65">
      <c r="A65" s="19" t="n"/>
      <c r="B65" s="15" t="n"/>
      <c r="C65">
        <f>IF(B65="","",IFERROR(INDEX(Items!$B$5:$B$304,MATCH(B65,Items!$A$5:$A$304,0)),"Unknown code"))</f>
        <v/>
      </c>
      <c r="D65" s="15" t="n"/>
      <c r="E65" s="16" t="n"/>
      <c r="F65" s="18">
        <f>IF(OR(D65="",E65=""),"",D65*E65)</f>
        <v/>
      </c>
      <c r="G65" s="15" t="n"/>
    </row>
    <row r="66">
      <c r="A66" s="19" t="n"/>
      <c r="B66" s="15" t="n"/>
      <c r="C66">
        <f>IF(B66="","",IFERROR(INDEX(Items!$B$5:$B$304,MATCH(B66,Items!$A$5:$A$304,0)),"Unknown code"))</f>
        <v/>
      </c>
      <c r="D66" s="15" t="n"/>
      <c r="E66" s="16" t="n"/>
      <c r="F66" s="18">
        <f>IF(OR(D66="",E66=""),"",D66*E66)</f>
        <v/>
      </c>
      <c r="G66" s="15" t="n"/>
    </row>
    <row r="67">
      <c r="A67" s="19" t="n"/>
      <c r="B67" s="15" t="n"/>
      <c r="C67">
        <f>IF(B67="","",IFERROR(INDEX(Items!$B$5:$B$304,MATCH(B67,Items!$A$5:$A$304,0)),"Unknown code"))</f>
        <v/>
      </c>
      <c r="D67" s="15" t="n"/>
      <c r="E67" s="16" t="n"/>
      <c r="F67" s="18">
        <f>IF(OR(D67="",E67=""),"",D67*E67)</f>
        <v/>
      </c>
      <c r="G67" s="15" t="n"/>
    </row>
    <row r="68">
      <c r="A68" s="19" t="n"/>
      <c r="B68" s="15" t="n"/>
      <c r="C68">
        <f>IF(B68="","",IFERROR(INDEX(Items!$B$5:$B$304,MATCH(B68,Items!$A$5:$A$304,0)),"Unknown code"))</f>
        <v/>
      </c>
      <c r="D68" s="15" t="n"/>
      <c r="E68" s="16" t="n"/>
      <c r="F68" s="18">
        <f>IF(OR(D68="",E68=""),"",D68*E68)</f>
        <v/>
      </c>
      <c r="G68" s="15" t="n"/>
    </row>
    <row r="69">
      <c r="A69" s="19" t="n"/>
      <c r="B69" s="15" t="n"/>
      <c r="C69">
        <f>IF(B69="","",IFERROR(INDEX(Items!$B$5:$B$304,MATCH(B69,Items!$A$5:$A$304,0)),"Unknown code"))</f>
        <v/>
      </c>
      <c r="D69" s="15" t="n"/>
      <c r="E69" s="16" t="n"/>
      <c r="F69" s="18">
        <f>IF(OR(D69="",E69=""),"",D69*E69)</f>
        <v/>
      </c>
      <c r="G69" s="15" t="n"/>
    </row>
    <row r="70">
      <c r="A70" s="19" t="n"/>
      <c r="B70" s="15" t="n"/>
      <c r="C70">
        <f>IF(B70="","",IFERROR(INDEX(Items!$B$5:$B$304,MATCH(B70,Items!$A$5:$A$304,0)),"Unknown code"))</f>
        <v/>
      </c>
      <c r="D70" s="15" t="n"/>
      <c r="E70" s="16" t="n"/>
      <c r="F70" s="18">
        <f>IF(OR(D70="",E70=""),"",D70*E70)</f>
        <v/>
      </c>
      <c r="G70" s="15" t="n"/>
    </row>
    <row r="71">
      <c r="A71" s="19" t="n"/>
      <c r="B71" s="15" t="n"/>
      <c r="C71">
        <f>IF(B71="","",IFERROR(INDEX(Items!$B$5:$B$304,MATCH(B71,Items!$A$5:$A$304,0)),"Unknown code"))</f>
        <v/>
      </c>
      <c r="D71" s="15" t="n"/>
      <c r="E71" s="16" t="n"/>
      <c r="F71" s="18">
        <f>IF(OR(D71="",E71=""),"",D71*E71)</f>
        <v/>
      </c>
      <c r="G71" s="15" t="n"/>
    </row>
    <row r="72">
      <c r="A72" s="19" t="n"/>
      <c r="B72" s="15" t="n"/>
      <c r="C72">
        <f>IF(B72="","",IFERROR(INDEX(Items!$B$5:$B$304,MATCH(B72,Items!$A$5:$A$304,0)),"Unknown code"))</f>
        <v/>
      </c>
      <c r="D72" s="15" t="n"/>
      <c r="E72" s="16" t="n"/>
      <c r="F72" s="18">
        <f>IF(OR(D72="",E72=""),"",D72*E72)</f>
        <v/>
      </c>
      <c r="G72" s="15" t="n"/>
    </row>
    <row r="73">
      <c r="A73" s="19" t="n"/>
      <c r="B73" s="15" t="n"/>
      <c r="C73">
        <f>IF(B73="","",IFERROR(INDEX(Items!$B$5:$B$304,MATCH(B73,Items!$A$5:$A$304,0)),"Unknown code"))</f>
        <v/>
      </c>
      <c r="D73" s="15" t="n"/>
      <c r="E73" s="16" t="n"/>
      <c r="F73" s="18">
        <f>IF(OR(D73="",E73=""),"",D73*E73)</f>
        <v/>
      </c>
      <c r="G73" s="15" t="n"/>
    </row>
    <row r="74">
      <c r="A74" s="19" t="n"/>
      <c r="B74" s="15" t="n"/>
      <c r="C74">
        <f>IF(B74="","",IFERROR(INDEX(Items!$B$5:$B$304,MATCH(B74,Items!$A$5:$A$304,0)),"Unknown code"))</f>
        <v/>
      </c>
      <c r="D74" s="15" t="n"/>
      <c r="E74" s="16" t="n"/>
      <c r="F74" s="18">
        <f>IF(OR(D74="",E74=""),"",D74*E74)</f>
        <v/>
      </c>
      <c r="G74" s="15" t="n"/>
    </row>
    <row r="75">
      <c r="A75" s="19" t="n"/>
      <c r="B75" s="15" t="n"/>
      <c r="C75">
        <f>IF(B75="","",IFERROR(INDEX(Items!$B$5:$B$304,MATCH(B75,Items!$A$5:$A$304,0)),"Unknown code"))</f>
        <v/>
      </c>
      <c r="D75" s="15" t="n"/>
      <c r="E75" s="16" t="n"/>
      <c r="F75" s="18">
        <f>IF(OR(D75="",E75=""),"",D75*E75)</f>
        <v/>
      </c>
      <c r="G75" s="15" t="n"/>
    </row>
    <row r="76">
      <c r="A76" s="19" t="n"/>
      <c r="B76" s="15" t="n"/>
      <c r="C76">
        <f>IF(B76="","",IFERROR(INDEX(Items!$B$5:$B$304,MATCH(B76,Items!$A$5:$A$304,0)),"Unknown code"))</f>
        <v/>
      </c>
      <c r="D76" s="15" t="n"/>
      <c r="E76" s="16" t="n"/>
      <c r="F76" s="18">
        <f>IF(OR(D76="",E76=""),"",D76*E76)</f>
        <v/>
      </c>
      <c r="G76" s="15" t="n"/>
    </row>
    <row r="77">
      <c r="A77" s="19" t="n"/>
      <c r="B77" s="15" t="n"/>
      <c r="C77">
        <f>IF(B77="","",IFERROR(INDEX(Items!$B$5:$B$304,MATCH(B77,Items!$A$5:$A$304,0)),"Unknown code"))</f>
        <v/>
      </c>
      <c r="D77" s="15" t="n"/>
      <c r="E77" s="16" t="n"/>
      <c r="F77" s="18">
        <f>IF(OR(D77="",E77=""),"",D77*E77)</f>
        <v/>
      </c>
      <c r="G77" s="15" t="n"/>
    </row>
    <row r="78">
      <c r="A78" s="19" t="n"/>
      <c r="B78" s="15" t="n"/>
      <c r="C78">
        <f>IF(B78="","",IFERROR(INDEX(Items!$B$5:$B$304,MATCH(B78,Items!$A$5:$A$304,0)),"Unknown code"))</f>
        <v/>
      </c>
      <c r="D78" s="15" t="n"/>
      <c r="E78" s="16" t="n"/>
      <c r="F78" s="18">
        <f>IF(OR(D78="",E78=""),"",D78*E78)</f>
        <v/>
      </c>
      <c r="G78" s="15" t="n"/>
    </row>
    <row r="79">
      <c r="A79" s="19" t="n"/>
      <c r="B79" s="15" t="n"/>
      <c r="C79">
        <f>IF(B79="","",IFERROR(INDEX(Items!$B$5:$B$304,MATCH(B79,Items!$A$5:$A$304,0)),"Unknown code"))</f>
        <v/>
      </c>
      <c r="D79" s="15" t="n"/>
      <c r="E79" s="16" t="n"/>
      <c r="F79" s="18">
        <f>IF(OR(D79="",E79=""),"",D79*E79)</f>
        <v/>
      </c>
      <c r="G79" s="15" t="n"/>
    </row>
    <row r="80">
      <c r="A80" s="19" t="n"/>
      <c r="B80" s="15" t="n"/>
      <c r="C80">
        <f>IF(B80="","",IFERROR(INDEX(Items!$B$5:$B$304,MATCH(B80,Items!$A$5:$A$304,0)),"Unknown code"))</f>
        <v/>
      </c>
      <c r="D80" s="15" t="n"/>
      <c r="E80" s="16" t="n"/>
      <c r="F80" s="18">
        <f>IF(OR(D80="",E80=""),"",D80*E80)</f>
        <v/>
      </c>
      <c r="G80" s="15" t="n"/>
    </row>
    <row r="81">
      <c r="A81" s="19" t="n"/>
      <c r="B81" s="15" t="n"/>
      <c r="C81">
        <f>IF(B81="","",IFERROR(INDEX(Items!$B$5:$B$304,MATCH(B81,Items!$A$5:$A$304,0)),"Unknown code"))</f>
        <v/>
      </c>
      <c r="D81" s="15" t="n"/>
      <c r="E81" s="16" t="n"/>
      <c r="F81" s="18">
        <f>IF(OR(D81="",E81=""),"",D81*E81)</f>
        <v/>
      </c>
      <c r="G81" s="15" t="n"/>
    </row>
    <row r="82">
      <c r="A82" s="19" t="n"/>
      <c r="B82" s="15" t="n"/>
      <c r="C82">
        <f>IF(B82="","",IFERROR(INDEX(Items!$B$5:$B$304,MATCH(B82,Items!$A$5:$A$304,0)),"Unknown code"))</f>
        <v/>
      </c>
      <c r="D82" s="15" t="n"/>
      <c r="E82" s="16" t="n"/>
      <c r="F82" s="18">
        <f>IF(OR(D82="",E82=""),"",D82*E82)</f>
        <v/>
      </c>
      <c r="G82" s="15" t="n"/>
    </row>
    <row r="83">
      <c r="A83" s="19" t="n"/>
      <c r="B83" s="15" t="n"/>
      <c r="C83">
        <f>IF(B83="","",IFERROR(INDEX(Items!$B$5:$B$304,MATCH(B83,Items!$A$5:$A$304,0)),"Unknown code"))</f>
        <v/>
      </c>
      <c r="D83" s="15" t="n"/>
      <c r="E83" s="16" t="n"/>
      <c r="F83" s="18">
        <f>IF(OR(D83="",E83=""),"",D83*E83)</f>
        <v/>
      </c>
      <c r="G83" s="15" t="n"/>
    </row>
    <row r="84">
      <c r="A84" s="19" t="n"/>
      <c r="B84" s="15" t="n"/>
      <c r="C84">
        <f>IF(B84="","",IFERROR(INDEX(Items!$B$5:$B$304,MATCH(B84,Items!$A$5:$A$304,0)),"Unknown code"))</f>
        <v/>
      </c>
      <c r="D84" s="15" t="n"/>
      <c r="E84" s="16" t="n"/>
      <c r="F84" s="18">
        <f>IF(OR(D84="",E84=""),"",D84*E84)</f>
        <v/>
      </c>
      <c r="G84" s="15" t="n"/>
    </row>
    <row r="85">
      <c r="A85" s="19" t="n"/>
      <c r="B85" s="15" t="n"/>
      <c r="C85">
        <f>IF(B85="","",IFERROR(INDEX(Items!$B$5:$B$304,MATCH(B85,Items!$A$5:$A$304,0)),"Unknown code"))</f>
        <v/>
      </c>
      <c r="D85" s="15" t="n"/>
      <c r="E85" s="16" t="n"/>
      <c r="F85" s="18">
        <f>IF(OR(D85="",E85=""),"",D85*E85)</f>
        <v/>
      </c>
      <c r="G85" s="15" t="n"/>
    </row>
    <row r="86">
      <c r="A86" s="19" t="n"/>
      <c r="B86" s="15" t="n"/>
      <c r="C86">
        <f>IF(B86="","",IFERROR(INDEX(Items!$B$5:$B$304,MATCH(B86,Items!$A$5:$A$304,0)),"Unknown code"))</f>
        <v/>
      </c>
      <c r="D86" s="15" t="n"/>
      <c r="E86" s="16" t="n"/>
      <c r="F86" s="18">
        <f>IF(OR(D86="",E86=""),"",D86*E86)</f>
        <v/>
      </c>
      <c r="G86" s="15" t="n"/>
    </row>
    <row r="87">
      <c r="A87" s="19" t="n"/>
      <c r="B87" s="15" t="n"/>
      <c r="C87">
        <f>IF(B87="","",IFERROR(INDEX(Items!$B$5:$B$304,MATCH(B87,Items!$A$5:$A$304,0)),"Unknown code"))</f>
        <v/>
      </c>
      <c r="D87" s="15" t="n"/>
      <c r="E87" s="16" t="n"/>
      <c r="F87" s="18">
        <f>IF(OR(D87="",E87=""),"",D87*E87)</f>
        <v/>
      </c>
      <c r="G87" s="15" t="n"/>
    </row>
    <row r="88">
      <c r="A88" s="19" t="n"/>
      <c r="B88" s="15" t="n"/>
      <c r="C88">
        <f>IF(B88="","",IFERROR(INDEX(Items!$B$5:$B$304,MATCH(B88,Items!$A$5:$A$304,0)),"Unknown code"))</f>
        <v/>
      </c>
      <c r="D88" s="15" t="n"/>
      <c r="E88" s="16" t="n"/>
      <c r="F88" s="18">
        <f>IF(OR(D88="",E88=""),"",D88*E88)</f>
        <v/>
      </c>
      <c r="G88" s="15" t="n"/>
    </row>
    <row r="89">
      <c r="A89" s="19" t="n"/>
      <c r="B89" s="15" t="n"/>
      <c r="C89">
        <f>IF(B89="","",IFERROR(INDEX(Items!$B$5:$B$304,MATCH(B89,Items!$A$5:$A$304,0)),"Unknown code"))</f>
        <v/>
      </c>
      <c r="D89" s="15" t="n"/>
      <c r="E89" s="16" t="n"/>
      <c r="F89" s="18">
        <f>IF(OR(D89="",E89=""),"",D89*E89)</f>
        <v/>
      </c>
      <c r="G89" s="15" t="n"/>
    </row>
    <row r="90">
      <c r="A90" s="19" t="n"/>
      <c r="B90" s="15" t="n"/>
      <c r="C90">
        <f>IF(B90="","",IFERROR(INDEX(Items!$B$5:$B$304,MATCH(B90,Items!$A$5:$A$304,0)),"Unknown code"))</f>
        <v/>
      </c>
      <c r="D90" s="15" t="n"/>
      <c r="E90" s="16" t="n"/>
      <c r="F90" s="18">
        <f>IF(OR(D90="",E90=""),"",D90*E90)</f>
        <v/>
      </c>
      <c r="G90" s="15" t="n"/>
    </row>
    <row r="91">
      <c r="A91" s="19" t="n"/>
      <c r="B91" s="15" t="n"/>
      <c r="C91">
        <f>IF(B91="","",IFERROR(INDEX(Items!$B$5:$B$304,MATCH(B91,Items!$A$5:$A$304,0)),"Unknown code"))</f>
        <v/>
      </c>
      <c r="D91" s="15" t="n"/>
      <c r="E91" s="16" t="n"/>
      <c r="F91" s="18">
        <f>IF(OR(D91="",E91=""),"",D91*E91)</f>
        <v/>
      </c>
      <c r="G91" s="15" t="n"/>
    </row>
    <row r="92">
      <c r="A92" s="19" t="n"/>
      <c r="B92" s="15" t="n"/>
      <c r="C92">
        <f>IF(B92="","",IFERROR(INDEX(Items!$B$5:$B$304,MATCH(B92,Items!$A$5:$A$304,0)),"Unknown code"))</f>
        <v/>
      </c>
      <c r="D92" s="15" t="n"/>
      <c r="E92" s="16" t="n"/>
      <c r="F92" s="18">
        <f>IF(OR(D92="",E92=""),"",D92*E92)</f>
        <v/>
      </c>
      <c r="G92" s="15" t="n"/>
    </row>
    <row r="93">
      <c r="A93" s="19" t="n"/>
      <c r="B93" s="15" t="n"/>
      <c r="C93">
        <f>IF(B93="","",IFERROR(INDEX(Items!$B$5:$B$304,MATCH(B93,Items!$A$5:$A$304,0)),"Unknown code"))</f>
        <v/>
      </c>
      <c r="D93" s="15" t="n"/>
      <c r="E93" s="16" t="n"/>
      <c r="F93" s="18">
        <f>IF(OR(D93="",E93=""),"",D93*E93)</f>
        <v/>
      </c>
      <c r="G93" s="15" t="n"/>
    </row>
    <row r="94">
      <c r="A94" s="19" t="n"/>
      <c r="B94" s="15" t="n"/>
      <c r="C94">
        <f>IF(B94="","",IFERROR(INDEX(Items!$B$5:$B$304,MATCH(B94,Items!$A$5:$A$304,0)),"Unknown code"))</f>
        <v/>
      </c>
      <c r="D94" s="15" t="n"/>
      <c r="E94" s="16" t="n"/>
      <c r="F94" s="18">
        <f>IF(OR(D94="",E94=""),"",D94*E94)</f>
        <v/>
      </c>
      <c r="G94" s="15" t="n"/>
    </row>
    <row r="95">
      <c r="A95" s="19" t="n"/>
      <c r="B95" s="15" t="n"/>
      <c r="C95">
        <f>IF(B95="","",IFERROR(INDEX(Items!$B$5:$B$304,MATCH(B95,Items!$A$5:$A$304,0)),"Unknown code"))</f>
        <v/>
      </c>
      <c r="D95" s="15" t="n"/>
      <c r="E95" s="16" t="n"/>
      <c r="F95" s="18">
        <f>IF(OR(D95="",E95=""),"",D95*E95)</f>
        <v/>
      </c>
      <c r="G95" s="15" t="n"/>
    </row>
    <row r="96">
      <c r="A96" s="19" t="n"/>
      <c r="B96" s="15" t="n"/>
      <c r="C96">
        <f>IF(B96="","",IFERROR(INDEX(Items!$B$5:$B$304,MATCH(B96,Items!$A$5:$A$304,0)),"Unknown code"))</f>
        <v/>
      </c>
      <c r="D96" s="15" t="n"/>
      <c r="E96" s="16" t="n"/>
      <c r="F96" s="18">
        <f>IF(OR(D96="",E96=""),"",D96*E96)</f>
        <v/>
      </c>
      <c r="G96" s="15" t="n"/>
    </row>
    <row r="97">
      <c r="A97" s="19" t="n"/>
      <c r="B97" s="15" t="n"/>
      <c r="C97">
        <f>IF(B97="","",IFERROR(INDEX(Items!$B$5:$B$304,MATCH(B97,Items!$A$5:$A$304,0)),"Unknown code"))</f>
        <v/>
      </c>
      <c r="D97" s="15" t="n"/>
      <c r="E97" s="16" t="n"/>
      <c r="F97" s="18">
        <f>IF(OR(D97="",E97=""),"",D97*E97)</f>
        <v/>
      </c>
      <c r="G97" s="15" t="n"/>
    </row>
    <row r="98">
      <c r="A98" s="19" t="n"/>
      <c r="B98" s="15" t="n"/>
      <c r="C98">
        <f>IF(B98="","",IFERROR(INDEX(Items!$B$5:$B$304,MATCH(B98,Items!$A$5:$A$304,0)),"Unknown code"))</f>
        <v/>
      </c>
      <c r="D98" s="15" t="n"/>
      <c r="E98" s="16" t="n"/>
      <c r="F98" s="18">
        <f>IF(OR(D98="",E98=""),"",D98*E98)</f>
        <v/>
      </c>
      <c r="G98" s="15" t="n"/>
    </row>
    <row r="99">
      <c r="A99" s="19" t="n"/>
      <c r="B99" s="15" t="n"/>
      <c r="C99">
        <f>IF(B99="","",IFERROR(INDEX(Items!$B$5:$B$304,MATCH(B99,Items!$A$5:$A$304,0)),"Unknown code"))</f>
        <v/>
      </c>
      <c r="D99" s="15" t="n"/>
      <c r="E99" s="16" t="n"/>
      <c r="F99" s="18">
        <f>IF(OR(D99="",E99=""),"",D99*E99)</f>
        <v/>
      </c>
      <c r="G99" s="15" t="n"/>
    </row>
    <row r="100">
      <c r="A100" s="19" t="n"/>
      <c r="B100" s="15" t="n"/>
      <c r="C100">
        <f>IF(B100="","",IFERROR(INDEX(Items!$B$5:$B$304,MATCH(B100,Items!$A$5:$A$304,0)),"Unknown code"))</f>
        <v/>
      </c>
      <c r="D100" s="15" t="n"/>
      <c r="E100" s="16" t="n"/>
      <c r="F100" s="18">
        <f>IF(OR(D100="",E100=""),"",D100*E100)</f>
        <v/>
      </c>
      <c r="G100" s="15" t="n"/>
    </row>
    <row r="101">
      <c r="A101" s="19" t="n"/>
      <c r="B101" s="15" t="n"/>
      <c r="C101">
        <f>IF(B101="","",IFERROR(INDEX(Items!$B$5:$B$304,MATCH(B101,Items!$A$5:$A$304,0)),"Unknown code"))</f>
        <v/>
      </c>
      <c r="D101" s="15" t="n"/>
      <c r="E101" s="16" t="n"/>
      <c r="F101" s="18">
        <f>IF(OR(D101="",E101=""),"",D101*E101)</f>
        <v/>
      </c>
      <c r="G101" s="15" t="n"/>
    </row>
    <row r="102">
      <c r="A102" s="19" t="n"/>
      <c r="B102" s="15" t="n"/>
      <c r="C102">
        <f>IF(B102="","",IFERROR(INDEX(Items!$B$5:$B$304,MATCH(B102,Items!$A$5:$A$304,0)),"Unknown code"))</f>
        <v/>
      </c>
      <c r="D102" s="15" t="n"/>
      <c r="E102" s="16" t="n"/>
      <c r="F102" s="18">
        <f>IF(OR(D102="",E102=""),"",D102*E102)</f>
        <v/>
      </c>
      <c r="G102" s="15" t="n"/>
    </row>
    <row r="103">
      <c r="A103" s="19" t="n"/>
      <c r="B103" s="15" t="n"/>
      <c r="C103">
        <f>IF(B103="","",IFERROR(INDEX(Items!$B$5:$B$304,MATCH(B103,Items!$A$5:$A$304,0)),"Unknown code"))</f>
        <v/>
      </c>
      <c r="D103" s="15" t="n"/>
      <c r="E103" s="16" t="n"/>
      <c r="F103" s="18">
        <f>IF(OR(D103="",E103=""),"",D103*E103)</f>
        <v/>
      </c>
      <c r="G103" s="15" t="n"/>
    </row>
    <row r="104">
      <c r="A104" s="19" t="n"/>
      <c r="B104" s="15" t="n"/>
      <c r="C104">
        <f>IF(B104="","",IFERROR(INDEX(Items!$B$5:$B$304,MATCH(B104,Items!$A$5:$A$304,0)),"Unknown code"))</f>
        <v/>
      </c>
      <c r="D104" s="15" t="n"/>
      <c r="E104" s="16" t="n"/>
      <c r="F104" s="18">
        <f>IF(OR(D104="",E104=""),"",D104*E104)</f>
        <v/>
      </c>
      <c r="G104" s="15" t="n"/>
    </row>
    <row r="105">
      <c r="A105" s="19" t="n"/>
      <c r="B105" s="15" t="n"/>
      <c r="C105">
        <f>IF(B105="","",IFERROR(INDEX(Items!$B$5:$B$304,MATCH(B105,Items!$A$5:$A$304,0)),"Unknown code"))</f>
        <v/>
      </c>
      <c r="D105" s="15" t="n"/>
      <c r="E105" s="16" t="n"/>
      <c r="F105" s="18">
        <f>IF(OR(D105="",E105=""),"",D105*E105)</f>
        <v/>
      </c>
      <c r="G105" s="15" t="n"/>
    </row>
    <row r="106">
      <c r="A106" s="19" t="n"/>
      <c r="B106" s="15" t="n"/>
      <c r="C106">
        <f>IF(B106="","",IFERROR(INDEX(Items!$B$5:$B$304,MATCH(B106,Items!$A$5:$A$304,0)),"Unknown code"))</f>
        <v/>
      </c>
      <c r="D106" s="15" t="n"/>
      <c r="E106" s="16" t="n"/>
      <c r="F106" s="18">
        <f>IF(OR(D106="",E106=""),"",D106*E106)</f>
        <v/>
      </c>
      <c r="G106" s="15" t="n"/>
    </row>
    <row r="107">
      <c r="A107" s="19" t="n"/>
      <c r="B107" s="15" t="n"/>
      <c r="C107">
        <f>IF(B107="","",IFERROR(INDEX(Items!$B$5:$B$304,MATCH(B107,Items!$A$5:$A$304,0)),"Unknown code"))</f>
        <v/>
      </c>
      <c r="D107" s="15" t="n"/>
      <c r="E107" s="16" t="n"/>
      <c r="F107" s="18">
        <f>IF(OR(D107="",E107=""),"",D107*E107)</f>
        <v/>
      </c>
      <c r="G107" s="15" t="n"/>
    </row>
    <row r="108">
      <c r="A108" s="19" t="n"/>
      <c r="B108" s="15" t="n"/>
      <c r="C108">
        <f>IF(B108="","",IFERROR(INDEX(Items!$B$5:$B$304,MATCH(B108,Items!$A$5:$A$304,0)),"Unknown code"))</f>
        <v/>
      </c>
      <c r="D108" s="15" t="n"/>
      <c r="E108" s="16" t="n"/>
      <c r="F108" s="18">
        <f>IF(OR(D108="",E108=""),"",D108*E108)</f>
        <v/>
      </c>
      <c r="G108" s="15" t="n"/>
    </row>
    <row r="109">
      <c r="A109" s="19" t="n"/>
      <c r="B109" s="15" t="n"/>
      <c r="C109">
        <f>IF(B109="","",IFERROR(INDEX(Items!$B$5:$B$304,MATCH(B109,Items!$A$5:$A$304,0)),"Unknown code"))</f>
        <v/>
      </c>
      <c r="D109" s="15" t="n"/>
      <c r="E109" s="16" t="n"/>
      <c r="F109" s="18">
        <f>IF(OR(D109="",E109=""),"",D109*E109)</f>
        <v/>
      </c>
      <c r="G109" s="15" t="n"/>
    </row>
    <row r="110">
      <c r="A110" s="19" t="n"/>
      <c r="B110" s="15" t="n"/>
      <c r="C110">
        <f>IF(B110="","",IFERROR(INDEX(Items!$B$5:$B$304,MATCH(B110,Items!$A$5:$A$304,0)),"Unknown code"))</f>
        <v/>
      </c>
      <c r="D110" s="15" t="n"/>
      <c r="E110" s="16" t="n"/>
      <c r="F110" s="18">
        <f>IF(OR(D110="",E110=""),"",D110*E110)</f>
        <v/>
      </c>
      <c r="G110" s="15" t="n"/>
    </row>
    <row r="111">
      <c r="A111" s="19" t="n"/>
      <c r="B111" s="15" t="n"/>
      <c r="C111">
        <f>IF(B111="","",IFERROR(INDEX(Items!$B$5:$B$304,MATCH(B111,Items!$A$5:$A$304,0)),"Unknown code"))</f>
        <v/>
      </c>
      <c r="D111" s="15" t="n"/>
      <c r="E111" s="16" t="n"/>
      <c r="F111" s="18">
        <f>IF(OR(D111="",E111=""),"",D111*E111)</f>
        <v/>
      </c>
      <c r="G111" s="15" t="n"/>
    </row>
    <row r="112">
      <c r="A112" s="19" t="n"/>
      <c r="B112" s="15" t="n"/>
      <c r="C112">
        <f>IF(B112="","",IFERROR(INDEX(Items!$B$5:$B$304,MATCH(B112,Items!$A$5:$A$304,0)),"Unknown code"))</f>
        <v/>
      </c>
      <c r="D112" s="15" t="n"/>
      <c r="E112" s="16" t="n"/>
      <c r="F112" s="18">
        <f>IF(OR(D112="",E112=""),"",D112*E112)</f>
        <v/>
      </c>
      <c r="G112" s="15" t="n"/>
    </row>
    <row r="113">
      <c r="A113" s="19" t="n"/>
      <c r="B113" s="15" t="n"/>
      <c r="C113">
        <f>IF(B113="","",IFERROR(INDEX(Items!$B$5:$B$304,MATCH(B113,Items!$A$5:$A$304,0)),"Unknown code"))</f>
        <v/>
      </c>
      <c r="D113" s="15" t="n"/>
      <c r="E113" s="16" t="n"/>
      <c r="F113" s="18">
        <f>IF(OR(D113="",E113=""),"",D113*E113)</f>
        <v/>
      </c>
      <c r="G113" s="15" t="n"/>
    </row>
    <row r="114">
      <c r="A114" s="19" t="n"/>
      <c r="B114" s="15" t="n"/>
      <c r="C114">
        <f>IF(B114="","",IFERROR(INDEX(Items!$B$5:$B$304,MATCH(B114,Items!$A$5:$A$304,0)),"Unknown code"))</f>
        <v/>
      </c>
      <c r="D114" s="15" t="n"/>
      <c r="E114" s="16" t="n"/>
      <c r="F114" s="18">
        <f>IF(OR(D114="",E114=""),"",D114*E114)</f>
        <v/>
      </c>
      <c r="G114" s="15" t="n"/>
    </row>
    <row r="115">
      <c r="A115" s="19" t="n"/>
      <c r="B115" s="15" t="n"/>
      <c r="C115">
        <f>IF(B115="","",IFERROR(INDEX(Items!$B$5:$B$304,MATCH(B115,Items!$A$5:$A$304,0)),"Unknown code"))</f>
        <v/>
      </c>
      <c r="D115" s="15" t="n"/>
      <c r="E115" s="16" t="n"/>
      <c r="F115" s="18">
        <f>IF(OR(D115="",E115=""),"",D115*E115)</f>
        <v/>
      </c>
      <c r="G115" s="15" t="n"/>
    </row>
    <row r="116">
      <c r="A116" s="19" t="n"/>
      <c r="B116" s="15" t="n"/>
      <c r="C116">
        <f>IF(B116="","",IFERROR(INDEX(Items!$B$5:$B$304,MATCH(B116,Items!$A$5:$A$304,0)),"Unknown code"))</f>
        <v/>
      </c>
      <c r="D116" s="15" t="n"/>
      <c r="E116" s="16" t="n"/>
      <c r="F116" s="18">
        <f>IF(OR(D116="",E116=""),"",D116*E116)</f>
        <v/>
      </c>
      <c r="G116" s="15" t="n"/>
    </row>
    <row r="117">
      <c r="A117" s="19" t="n"/>
      <c r="B117" s="15" t="n"/>
      <c r="C117">
        <f>IF(B117="","",IFERROR(INDEX(Items!$B$5:$B$304,MATCH(B117,Items!$A$5:$A$304,0)),"Unknown code"))</f>
        <v/>
      </c>
      <c r="D117" s="15" t="n"/>
      <c r="E117" s="16" t="n"/>
      <c r="F117" s="18">
        <f>IF(OR(D117="",E117=""),"",D117*E117)</f>
        <v/>
      </c>
      <c r="G117" s="15" t="n"/>
    </row>
    <row r="118">
      <c r="A118" s="19" t="n"/>
      <c r="B118" s="15" t="n"/>
      <c r="C118">
        <f>IF(B118="","",IFERROR(INDEX(Items!$B$5:$B$304,MATCH(B118,Items!$A$5:$A$304,0)),"Unknown code"))</f>
        <v/>
      </c>
      <c r="D118" s="15" t="n"/>
      <c r="E118" s="16" t="n"/>
      <c r="F118" s="18">
        <f>IF(OR(D118="",E118=""),"",D118*E118)</f>
        <v/>
      </c>
      <c r="G118" s="15" t="n"/>
    </row>
    <row r="119">
      <c r="A119" s="19" t="n"/>
      <c r="B119" s="15" t="n"/>
      <c r="C119">
        <f>IF(B119="","",IFERROR(INDEX(Items!$B$5:$B$304,MATCH(B119,Items!$A$5:$A$304,0)),"Unknown code"))</f>
        <v/>
      </c>
      <c r="D119" s="15" t="n"/>
      <c r="E119" s="16" t="n"/>
      <c r="F119" s="18">
        <f>IF(OR(D119="",E119=""),"",D119*E119)</f>
        <v/>
      </c>
      <c r="G119" s="15" t="n"/>
    </row>
    <row r="120">
      <c r="A120" s="19" t="n"/>
      <c r="B120" s="15" t="n"/>
      <c r="C120">
        <f>IF(B120="","",IFERROR(INDEX(Items!$B$5:$B$304,MATCH(B120,Items!$A$5:$A$304,0)),"Unknown code"))</f>
        <v/>
      </c>
      <c r="D120" s="15" t="n"/>
      <c r="E120" s="16" t="n"/>
      <c r="F120" s="18">
        <f>IF(OR(D120="",E120=""),"",D120*E120)</f>
        <v/>
      </c>
      <c r="G120" s="15" t="n"/>
    </row>
    <row r="121">
      <c r="A121" s="19" t="n"/>
      <c r="B121" s="15" t="n"/>
      <c r="C121">
        <f>IF(B121="","",IFERROR(INDEX(Items!$B$5:$B$304,MATCH(B121,Items!$A$5:$A$304,0)),"Unknown code"))</f>
        <v/>
      </c>
      <c r="D121" s="15" t="n"/>
      <c r="E121" s="16" t="n"/>
      <c r="F121" s="18">
        <f>IF(OR(D121="",E121=""),"",D121*E121)</f>
        <v/>
      </c>
      <c r="G121" s="15" t="n"/>
    </row>
    <row r="122">
      <c r="A122" s="19" t="n"/>
      <c r="B122" s="15" t="n"/>
      <c r="C122">
        <f>IF(B122="","",IFERROR(INDEX(Items!$B$5:$B$304,MATCH(B122,Items!$A$5:$A$304,0)),"Unknown code"))</f>
        <v/>
      </c>
      <c r="D122" s="15" t="n"/>
      <c r="E122" s="16" t="n"/>
      <c r="F122" s="18">
        <f>IF(OR(D122="",E122=""),"",D122*E122)</f>
        <v/>
      </c>
      <c r="G122" s="15" t="n"/>
    </row>
    <row r="123">
      <c r="A123" s="19" t="n"/>
      <c r="B123" s="15" t="n"/>
      <c r="C123">
        <f>IF(B123="","",IFERROR(INDEX(Items!$B$5:$B$304,MATCH(B123,Items!$A$5:$A$304,0)),"Unknown code"))</f>
        <v/>
      </c>
      <c r="D123" s="15" t="n"/>
      <c r="E123" s="16" t="n"/>
      <c r="F123" s="18">
        <f>IF(OR(D123="",E123=""),"",D123*E123)</f>
        <v/>
      </c>
      <c r="G123" s="15" t="n"/>
    </row>
    <row r="124">
      <c r="A124" s="19" t="n"/>
      <c r="B124" s="15" t="n"/>
      <c r="C124">
        <f>IF(B124="","",IFERROR(INDEX(Items!$B$5:$B$304,MATCH(B124,Items!$A$5:$A$304,0)),"Unknown code"))</f>
        <v/>
      </c>
      <c r="D124" s="15" t="n"/>
      <c r="E124" s="16" t="n"/>
      <c r="F124" s="18">
        <f>IF(OR(D124="",E124=""),"",D124*E124)</f>
        <v/>
      </c>
      <c r="G124" s="15" t="n"/>
    </row>
    <row r="125">
      <c r="A125" s="19" t="n"/>
      <c r="B125" s="15" t="n"/>
      <c r="C125">
        <f>IF(B125="","",IFERROR(INDEX(Items!$B$5:$B$304,MATCH(B125,Items!$A$5:$A$304,0)),"Unknown code"))</f>
        <v/>
      </c>
      <c r="D125" s="15" t="n"/>
      <c r="E125" s="16" t="n"/>
      <c r="F125" s="18">
        <f>IF(OR(D125="",E125=""),"",D125*E125)</f>
        <v/>
      </c>
      <c r="G125" s="15" t="n"/>
    </row>
    <row r="126">
      <c r="A126" s="19" t="n"/>
      <c r="B126" s="15" t="n"/>
      <c r="C126">
        <f>IF(B126="","",IFERROR(INDEX(Items!$B$5:$B$304,MATCH(B126,Items!$A$5:$A$304,0)),"Unknown code"))</f>
        <v/>
      </c>
      <c r="D126" s="15" t="n"/>
      <c r="E126" s="16" t="n"/>
      <c r="F126" s="18">
        <f>IF(OR(D126="",E126=""),"",D126*E126)</f>
        <v/>
      </c>
      <c r="G126" s="15" t="n"/>
    </row>
    <row r="127">
      <c r="A127" s="19" t="n"/>
      <c r="B127" s="15" t="n"/>
      <c r="C127">
        <f>IF(B127="","",IFERROR(INDEX(Items!$B$5:$B$304,MATCH(B127,Items!$A$5:$A$304,0)),"Unknown code"))</f>
        <v/>
      </c>
      <c r="D127" s="15" t="n"/>
      <c r="E127" s="16" t="n"/>
      <c r="F127" s="18">
        <f>IF(OR(D127="",E127=""),"",D127*E127)</f>
        <v/>
      </c>
      <c r="G127" s="15" t="n"/>
    </row>
    <row r="128">
      <c r="A128" s="19" t="n"/>
      <c r="B128" s="15" t="n"/>
      <c r="C128">
        <f>IF(B128="","",IFERROR(INDEX(Items!$B$5:$B$304,MATCH(B128,Items!$A$5:$A$304,0)),"Unknown code"))</f>
        <v/>
      </c>
      <c r="D128" s="15" t="n"/>
      <c r="E128" s="16" t="n"/>
      <c r="F128" s="18">
        <f>IF(OR(D128="",E128=""),"",D128*E128)</f>
        <v/>
      </c>
      <c r="G128" s="15" t="n"/>
    </row>
    <row r="129">
      <c r="A129" s="19" t="n"/>
      <c r="B129" s="15" t="n"/>
      <c r="C129">
        <f>IF(B129="","",IFERROR(INDEX(Items!$B$5:$B$304,MATCH(B129,Items!$A$5:$A$304,0)),"Unknown code"))</f>
        <v/>
      </c>
      <c r="D129" s="15" t="n"/>
      <c r="E129" s="16" t="n"/>
      <c r="F129" s="18">
        <f>IF(OR(D129="",E129=""),"",D129*E129)</f>
        <v/>
      </c>
      <c r="G129" s="15" t="n"/>
    </row>
    <row r="130">
      <c r="A130" s="19" t="n"/>
      <c r="B130" s="15" t="n"/>
      <c r="C130">
        <f>IF(B130="","",IFERROR(INDEX(Items!$B$5:$B$304,MATCH(B130,Items!$A$5:$A$304,0)),"Unknown code"))</f>
        <v/>
      </c>
      <c r="D130" s="15" t="n"/>
      <c r="E130" s="16" t="n"/>
      <c r="F130" s="18">
        <f>IF(OR(D130="",E130=""),"",D130*E130)</f>
        <v/>
      </c>
      <c r="G130" s="15" t="n"/>
    </row>
    <row r="131">
      <c r="A131" s="19" t="n"/>
      <c r="B131" s="15" t="n"/>
      <c r="C131">
        <f>IF(B131="","",IFERROR(INDEX(Items!$B$5:$B$304,MATCH(B131,Items!$A$5:$A$304,0)),"Unknown code"))</f>
        <v/>
      </c>
      <c r="D131" s="15" t="n"/>
      <c r="E131" s="16" t="n"/>
      <c r="F131" s="18">
        <f>IF(OR(D131="",E131=""),"",D131*E131)</f>
        <v/>
      </c>
      <c r="G131" s="15" t="n"/>
    </row>
    <row r="132">
      <c r="A132" s="19" t="n"/>
      <c r="B132" s="15" t="n"/>
      <c r="C132">
        <f>IF(B132="","",IFERROR(INDEX(Items!$B$5:$B$304,MATCH(B132,Items!$A$5:$A$304,0)),"Unknown code"))</f>
        <v/>
      </c>
      <c r="D132" s="15" t="n"/>
      <c r="E132" s="16" t="n"/>
      <c r="F132" s="18">
        <f>IF(OR(D132="",E132=""),"",D132*E132)</f>
        <v/>
      </c>
      <c r="G132" s="15" t="n"/>
    </row>
    <row r="133">
      <c r="A133" s="19" t="n"/>
      <c r="B133" s="15" t="n"/>
      <c r="C133">
        <f>IF(B133="","",IFERROR(INDEX(Items!$B$5:$B$304,MATCH(B133,Items!$A$5:$A$304,0)),"Unknown code"))</f>
        <v/>
      </c>
      <c r="D133" s="15" t="n"/>
      <c r="E133" s="16" t="n"/>
      <c r="F133" s="18">
        <f>IF(OR(D133="",E133=""),"",D133*E133)</f>
        <v/>
      </c>
      <c r="G133" s="15" t="n"/>
    </row>
    <row r="134">
      <c r="A134" s="19" t="n"/>
      <c r="B134" s="15" t="n"/>
      <c r="C134">
        <f>IF(B134="","",IFERROR(INDEX(Items!$B$5:$B$304,MATCH(B134,Items!$A$5:$A$304,0)),"Unknown code"))</f>
        <v/>
      </c>
      <c r="D134" s="15" t="n"/>
      <c r="E134" s="16" t="n"/>
      <c r="F134" s="18">
        <f>IF(OR(D134="",E134=""),"",D134*E134)</f>
        <v/>
      </c>
      <c r="G134" s="15" t="n"/>
    </row>
    <row r="135">
      <c r="A135" s="19" t="n"/>
      <c r="B135" s="15" t="n"/>
      <c r="C135">
        <f>IF(B135="","",IFERROR(INDEX(Items!$B$5:$B$304,MATCH(B135,Items!$A$5:$A$304,0)),"Unknown code"))</f>
        <v/>
      </c>
      <c r="D135" s="15" t="n"/>
      <c r="E135" s="16" t="n"/>
      <c r="F135" s="18">
        <f>IF(OR(D135="",E135=""),"",D135*E135)</f>
        <v/>
      </c>
      <c r="G135" s="15" t="n"/>
    </row>
    <row r="136">
      <c r="A136" s="19" t="n"/>
      <c r="B136" s="15" t="n"/>
      <c r="C136">
        <f>IF(B136="","",IFERROR(INDEX(Items!$B$5:$B$304,MATCH(B136,Items!$A$5:$A$304,0)),"Unknown code"))</f>
        <v/>
      </c>
      <c r="D136" s="15" t="n"/>
      <c r="E136" s="16" t="n"/>
      <c r="F136" s="18">
        <f>IF(OR(D136="",E136=""),"",D136*E136)</f>
        <v/>
      </c>
      <c r="G136" s="15" t="n"/>
    </row>
    <row r="137">
      <c r="A137" s="19" t="n"/>
      <c r="B137" s="15" t="n"/>
      <c r="C137">
        <f>IF(B137="","",IFERROR(INDEX(Items!$B$5:$B$304,MATCH(B137,Items!$A$5:$A$304,0)),"Unknown code"))</f>
        <v/>
      </c>
      <c r="D137" s="15" t="n"/>
      <c r="E137" s="16" t="n"/>
      <c r="F137" s="18">
        <f>IF(OR(D137="",E137=""),"",D137*E137)</f>
        <v/>
      </c>
      <c r="G137" s="15" t="n"/>
    </row>
    <row r="138">
      <c r="A138" s="19" t="n"/>
      <c r="B138" s="15" t="n"/>
      <c r="C138">
        <f>IF(B138="","",IFERROR(INDEX(Items!$B$5:$B$304,MATCH(B138,Items!$A$5:$A$304,0)),"Unknown code"))</f>
        <v/>
      </c>
      <c r="D138" s="15" t="n"/>
      <c r="E138" s="16" t="n"/>
      <c r="F138" s="18">
        <f>IF(OR(D138="",E138=""),"",D138*E138)</f>
        <v/>
      </c>
      <c r="G138" s="15" t="n"/>
    </row>
    <row r="139">
      <c r="A139" s="19" t="n"/>
      <c r="B139" s="15" t="n"/>
      <c r="C139">
        <f>IF(B139="","",IFERROR(INDEX(Items!$B$5:$B$304,MATCH(B139,Items!$A$5:$A$304,0)),"Unknown code"))</f>
        <v/>
      </c>
      <c r="D139" s="15" t="n"/>
      <c r="E139" s="16" t="n"/>
      <c r="F139" s="18">
        <f>IF(OR(D139="",E139=""),"",D139*E139)</f>
        <v/>
      </c>
      <c r="G139" s="15" t="n"/>
    </row>
    <row r="140">
      <c r="A140" s="19" t="n"/>
      <c r="B140" s="15" t="n"/>
      <c r="C140">
        <f>IF(B140="","",IFERROR(INDEX(Items!$B$5:$B$304,MATCH(B140,Items!$A$5:$A$304,0)),"Unknown code"))</f>
        <v/>
      </c>
      <c r="D140" s="15" t="n"/>
      <c r="E140" s="16" t="n"/>
      <c r="F140" s="18">
        <f>IF(OR(D140="",E140=""),"",D140*E140)</f>
        <v/>
      </c>
      <c r="G140" s="15" t="n"/>
    </row>
    <row r="141">
      <c r="A141" s="19" t="n"/>
      <c r="B141" s="15" t="n"/>
      <c r="C141">
        <f>IF(B141="","",IFERROR(INDEX(Items!$B$5:$B$304,MATCH(B141,Items!$A$5:$A$304,0)),"Unknown code"))</f>
        <v/>
      </c>
      <c r="D141" s="15" t="n"/>
      <c r="E141" s="16" t="n"/>
      <c r="F141" s="18">
        <f>IF(OR(D141="",E141=""),"",D141*E141)</f>
        <v/>
      </c>
      <c r="G141" s="15" t="n"/>
    </row>
    <row r="142">
      <c r="A142" s="19" t="n"/>
      <c r="B142" s="15" t="n"/>
      <c r="C142">
        <f>IF(B142="","",IFERROR(INDEX(Items!$B$5:$B$304,MATCH(B142,Items!$A$5:$A$304,0)),"Unknown code"))</f>
        <v/>
      </c>
      <c r="D142" s="15" t="n"/>
      <c r="E142" s="16" t="n"/>
      <c r="F142" s="18">
        <f>IF(OR(D142="",E142=""),"",D142*E142)</f>
        <v/>
      </c>
      <c r="G142" s="15" t="n"/>
    </row>
    <row r="143">
      <c r="A143" s="19" t="n"/>
      <c r="B143" s="15" t="n"/>
      <c r="C143">
        <f>IF(B143="","",IFERROR(INDEX(Items!$B$5:$B$304,MATCH(B143,Items!$A$5:$A$304,0)),"Unknown code"))</f>
        <v/>
      </c>
      <c r="D143" s="15" t="n"/>
      <c r="E143" s="16" t="n"/>
      <c r="F143" s="18">
        <f>IF(OR(D143="",E143=""),"",D143*E143)</f>
        <v/>
      </c>
      <c r="G143" s="15" t="n"/>
    </row>
    <row r="144">
      <c r="A144" s="19" t="n"/>
      <c r="B144" s="15" t="n"/>
      <c r="C144">
        <f>IF(B144="","",IFERROR(INDEX(Items!$B$5:$B$304,MATCH(B144,Items!$A$5:$A$304,0)),"Unknown code"))</f>
        <v/>
      </c>
      <c r="D144" s="15" t="n"/>
      <c r="E144" s="16" t="n"/>
      <c r="F144" s="18">
        <f>IF(OR(D144="",E144=""),"",D144*E144)</f>
        <v/>
      </c>
      <c r="G144" s="15" t="n"/>
    </row>
    <row r="145">
      <c r="A145" s="19" t="n"/>
      <c r="B145" s="15" t="n"/>
      <c r="C145">
        <f>IF(B145="","",IFERROR(INDEX(Items!$B$5:$B$304,MATCH(B145,Items!$A$5:$A$304,0)),"Unknown code"))</f>
        <v/>
      </c>
      <c r="D145" s="15" t="n"/>
      <c r="E145" s="16" t="n"/>
      <c r="F145" s="18">
        <f>IF(OR(D145="",E145=""),"",D145*E145)</f>
        <v/>
      </c>
      <c r="G145" s="15" t="n"/>
    </row>
    <row r="146">
      <c r="A146" s="19" t="n"/>
      <c r="B146" s="15" t="n"/>
      <c r="C146">
        <f>IF(B146="","",IFERROR(INDEX(Items!$B$5:$B$304,MATCH(B146,Items!$A$5:$A$304,0)),"Unknown code"))</f>
        <v/>
      </c>
      <c r="D146" s="15" t="n"/>
      <c r="E146" s="16" t="n"/>
      <c r="F146" s="18">
        <f>IF(OR(D146="",E146=""),"",D146*E146)</f>
        <v/>
      </c>
      <c r="G146" s="15" t="n"/>
    </row>
    <row r="147">
      <c r="A147" s="19" t="n"/>
      <c r="B147" s="15" t="n"/>
      <c r="C147">
        <f>IF(B147="","",IFERROR(INDEX(Items!$B$5:$B$304,MATCH(B147,Items!$A$5:$A$304,0)),"Unknown code"))</f>
        <v/>
      </c>
      <c r="D147" s="15" t="n"/>
      <c r="E147" s="16" t="n"/>
      <c r="F147" s="18">
        <f>IF(OR(D147="",E147=""),"",D147*E147)</f>
        <v/>
      </c>
      <c r="G147" s="15" t="n"/>
    </row>
    <row r="148">
      <c r="A148" s="19" t="n"/>
      <c r="B148" s="15" t="n"/>
      <c r="C148">
        <f>IF(B148="","",IFERROR(INDEX(Items!$B$5:$B$304,MATCH(B148,Items!$A$5:$A$304,0)),"Unknown code"))</f>
        <v/>
      </c>
      <c r="D148" s="15" t="n"/>
      <c r="E148" s="16" t="n"/>
      <c r="F148" s="18">
        <f>IF(OR(D148="",E148=""),"",D148*E148)</f>
        <v/>
      </c>
      <c r="G148" s="15" t="n"/>
    </row>
    <row r="149">
      <c r="A149" s="19" t="n"/>
      <c r="B149" s="15" t="n"/>
      <c r="C149">
        <f>IF(B149="","",IFERROR(INDEX(Items!$B$5:$B$304,MATCH(B149,Items!$A$5:$A$304,0)),"Unknown code"))</f>
        <v/>
      </c>
      <c r="D149" s="15" t="n"/>
      <c r="E149" s="16" t="n"/>
      <c r="F149" s="18">
        <f>IF(OR(D149="",E149=""),"",D149*E149)</f>
        <v/>
      </c>
      <c r="G149" s="15" t="n"/>
    </row>
    <row r="150">
      <c r="A150" s="19" t="n"/>
      <c r="B150" s="15" t="n"/>
      <c r="C150">
        <f>IF(B150="","",IFERROR(INDEX(Items!$B$5:$B$304,MATCH(B150,Items!$A$5:$A$304,0)),"Unknown code"))</f>
        <v/>
      </c>
      <c r="D150" s="15" t="n"/>
      <c r="E150" s="16" t="n"/>
      <c r="F150" s="18">
        <f>IF(OR(D150="",E150=""),"",D150*E150)</f>
        <v/>
      </c>
      <c r="G150" s="15" t="n"/>
    </row>
    <row r="151">
      <c r="A151" s="19" t="n"/>
      <c r="B151" s="15" t="n"/>
      <c r="C151">
        <f>IF(B151="","",IFERROR(INDEX(Items!$B$5:$B$304,MATCH(B151,Items!$A$5:$A$304,0)),"Unknown code"))</f>
        <v/>
      </c>
      <c r="D151" s="15" t="n"/>
      <c r="E151" s="16" t="n"/>
      <c r="F151" s="18">
        <f>IF(OR(D151="",E151=""),"",D151*E151)</f>
        <v/>
      </c>
      <c r="G151" s="15" t="n"/>
    </row>
    <row r="152">
      <c r="A152" s="19" t="n"/>
      <c r="B152" s="15" t="n"/>
      <c r="C152">
        <f>IF(B152="","",IFERROR(INDEX(Items!$B$5:$B$304,MATCH(B152,Items!$A$5:$A$304,0)),"Unknown code"))</f>
        <v/>
      </c>
      <c r="D152" s="15" t="n"/>
      <c r="E152" s="16" t="n"/>
      <c r="F152" s="18">
        <f>IF(OR(D152="",E152=""),"",D152*E152)</f>
        <v/>
      </c>
      <c r="G152" s="15" t="n"/>
    </row>
    <row r="153">
      <c r="A153" s="19" t="n"/>
      <c r="B153" s="15" t="n"/>
      <c r="C153">
        <f>IF(B153="","",IFERROR(INDEX(Items!$B$5:$B$304,MATCH(B153,Items!$A$5:$A$304,0)),"Unknown code"))</f>
        <v/>
      </c>
      <c r="D153" s="15" t="n"/>
      <c r="E153" s="16" t="n"/>
      <c r="F153" s="18">
        <f>IF(OR(D153="",E153=""),"",D153*E153)</f>
        <v/>
      </c>
      <c r="G153" s="15" t="n"/>
    </row>
    <row r="154">
      <c r="A154" s="19" t="n"/>
      <c r="B154" s="15" t="n"/>
      <c r="C154">
        <f>IF(B154="","",IFERROR(INDEX(Items!$B$5:$B$304,MATCH(B154,Items!$A$5:$A$304,0)),"Unknown code"))</f>
        <v/>
      </c>
      <c r="D154" s="15" t="n"/>
      <c r="E154" s="16" t="n"/>
      <c r="F154" s="18">
        <f>IF(OR(D154="",E154=""),"",D154*E154)</f>
        <v/>
      </c>
      <c r="G154" s="15" t="n"/>
    </row>
    <row r="155">
      <c r="A155" s="19" t="n"/>
      <c r="B155" s="15" t="n"/>
      <c r="C155">
        <f>IF(B155="","",IFERROR(INDEX(Items!$B$5:$B$304,MATCH(B155,Items!$A$5:$A$304,0)),"Unknown code"))</f>
        <v/>
      </c>
      <c r="D155" s="15" t="n"/>
      <c r="E155" s="16" t="n"/>
      <c r="F155" s="18">
        <f>IF(OR(D155="",E155=""),"",D155*E155)</f>
        <v/>
      </c>
      <c r="G155" s="15" t="n"/>
    </row>
    <row r="156">
      <c r="A156" s="19" t="n"/>
      <c r="B156" s="15" t="n"/>
      <c r="C156">
        <f>IF(B156="","",IFERROR(INDEX(Items!$B$5:$B$304,MATCH(B156,Items!$A$5:$A$304,0)),"Unknown code"))</f>
        <v/>
      </c>
      <c r="D156" s="15" t="n"/>
      <c r="E156" s="16" t="n"/>
      <c r="F156" s="18">
        <f>IF(OR(D156="",E156=""),"",D156*E156)</f>
        <v/>
      </c>
      <c r="G156" s="15" t="n"/>
    </row>
    <row r="157">
      <c r="A157" s="19" t="n"/>
      <c r="B157" s="15" t="n"/>
      <c r="C157">
        <f>IF(B157="","",IFERROR(INDEX(Items!$B$5:$B$304,MATCH(B157,Items!$A$5:$A$304,0)),"Unknown code"))</f>
        <v/>
      </c>
      <c r="D157" s="15" t="n"/>
      <c r="E157" s="16" t="n"/>
      <c r="F157" s="18">
        <f>IF(OR(D157="",E157=""),"",D157*E157)</f>
        <v/>
      </c>
      <c r="G157" s="15" t="n"/>
    </row>
    <row r="158">
      <c r="A158" s="19" t="n"/>
      <c r="B158" s="15" t="n"/>
      <c r="C158">
        <f>IF(B158="","",IFERROR(INDEX(Items!$B$5:$B$304,MATCH(B158,Items!$A$5:$A$304,0)),"Unknown code"))</f>
        <v/>
      </c>
      <c r="D158" s="15" t="n"/>
      <c r="E158" s="16" t="n"/>
      <c r="F158" s="18">
        <f>IF(OR(D158="",E158=""),"",D158*E158)</f>
        <v/>
      </c>
      <c r="G158" s="15" t="n"/>
    </row>
    <row r="159">
      <c r="A159" s="19" t="n"/>
      <c r="B159" s="15" t="n"/>
      <c r="C159">
        <f>IF(B159="","",IFERROR(INDEX(Items!$B$5:$B$304,MATCH(B159,Items!$A$5:$A$304,0)),"Unknown code"))</f>
        <v/>
      </c>
      <c r="D159" s="15" t="n"/>
      <c r="E159" s="16" t="n"/>
      <c r="F159" s="18">
        <f>IF(OR(D159="",E159=""),"",D159*E159)</f>
        <v/>
      </c>
      <c r="G159" s="15" t="n"/>
    </row>
    <row r="160">
      <c r="A160" s="19" t="n"/>
      <c r="B160" s="15" t="n"/>
      <c r="C160">
        <f>IF(B160="","",IFERROR(INDEX(Items!$B$5:$B$304,MATCH(B160,Items!$A$5:$A$304,0)),"Unknown code"))</f>
        <v/>
      </c>
      <c r="D160" s="15" t="n"/>
      <c r="E160" s="16" t="n"/>
      <c r="F160" s="18">
        <f>IF(OR(D160="",E160=""),"",D160*E160)</f>
        <v/>
      </c>
      <c r="G160" s="15" t="n"/>
    </row>
    <row r="161">
      <c r="A161" s="19" t="n"/>
      <c r="B161" s="15" t="n"/>
      <c r="C161">
        <f>IF(B161="","",IFERROR(INDEX(Items!$B$5:$B$304,MATCH(B161,Items!$A$5:$A$304,0)),"Unknown code"))</f>
        <v/>
      </c>
      <c r="D161" s="15" t="n"/>
      <c r="E161" s="16" t="n"/>
      <c r="F161" s="18">
        <f>IF(OR(D161="",E161=""),"",D161*E161)</f>
        <v/>
      </c>
      <c r="G161" s="15" t="n"/>
    </row>
    <row r="162">
      <c r="A162" s="19" t="n"/>
      <c r="B162" s="15" t="n"/>
      <c r="C162">
        <f>IF(B162="","",IFERROR(INDEX(Items!$B$5:$B$304,MATCH(B162,Items!$A$5:$A$304,0)),"Unknown code"))</f>
        <v/>
      </c>
      <c r="D162" s="15" t="n"/>
      <c r="E162" s="16" t="n"/>
      <c r="F162" s="18">
        <f>IF(OR(D162="",E162=""),"",D162*E162)</f>
        <v/>
      </c>
      <c r="G162" s="15" t="n"/>
    </row>
    <row r="163">
      <c r="A163" s="19" t="n"/>
      <c r="B163" s="15" t="n"/>
      <c r="C163">
        <f>IF(B163="","",IFERROR(INDEX(Items!$B$5:$B$304,MATCH(B163,Items!$A$5:$A$304,0)),"Unknown code"))</f>
        <v/>
      </c>
      <c r="D163" s="15" t="n"/>
      <c r="E163" s="16" t="n"/>
      <c r="F163" s="18">
        <f>IF(OR(D163="",E163=""),"",D163*E163)</f>
        <v/>
      </c>
      <c r="G163" s="15" t="n"/>
    </row>
    <row r="164">
      <c r="A164" s="19" t="n"/>
      <c r="B164" s="15" t="n"/>
      <c r="C164">
        <f>IF(B164="","",IFERROR(INDEX(Items!$B$5:$B$304,MATCH(B164,Items!$A$5:$A$304,0)),"Unknown code"))</f>
        <v/>
      </c>
      <c r="D164" s="15" t="n"/>
      <c r="E164" s="16" t="n"/>
      <c r="F164" s="18">
        <f>IF(OR(D164="",E164=""),"",D164*E164)</f>
        <v/>
      </c>
      <c r="G164" s="15" t="n"/>
    </row>
    <row r="165">
      <c r="A165" s="19" t="n"/>
      <c r="B165" s="15" t="n"/>
      <c r="C165">
        <f>IF(B165="","",IFERROR(INDEX(Items!$B$5:$B$304,MATCH(B165,Items!$A$5:$A$304,0)),"Unknown code"))</f>
        <v/>
      </c>
      <c r="D165" s="15" t="n"/>
      <c r="E165" s="16" t="n"/>
      <c r="F165" s="18">
        <f>IF(OR(D165="",E165=""),"",D165*E165)</f>
        <v/>
      </c>
      <c r="G165" s="15" t="n"/>
    </row>
    <row r="166">
      <c r="A166" s="19" t="n"/>
      <c r="B166" s="15" t="n"/>
      <c r="C166">
        <f>IF(B166="","",IFERROR(INDEX(Items!$B$5:$B$304,MATCH(B166,Items!$A$5:$A$304,0)),"Unknown code"))</f>
        <v/>
      </c>
      <c r="D166" s="15" t="n"/>
      <c r="E166" s="16" t="n"/>
      <c r="F166" s="18">
        <f>IF(OR(D166="",E166=""),"",D166*E166)</f>
        <v/>
      </c>
      <c r="G166" s="15" t="n"/>
    </row>
    <row r="167">
      <c r="A167" s="19" t="n"/>
      <c r="B167" s="15" t="n"/>
      <c r="C167">
        <f>IF(B167="","",IFERROR(INDEX(Items!$B$5:$B$304,MATCH(B167,Items!$A$5:$A$304,0)),"Unknown code"))</f>
        <v/>
      </c>
      <c r="D167" s="15" t="n"/>
      <c r="E167" s="16" t="n"/>
      <c r="F167" s="18">
        <f>IF(OR(D167="",E167=""),"",D167*E167)</f>
        <v/>
      </c>
      <c r="G167" s="15" t="n"/>
    </row>
    <row r="168">
      <c r="A168" s="19" t="n"/>
      <c r="B168" s="15" t="n"/>
      <c r="C168">
        <f>IF(B168="","",IFERROR(INDEX(Items!$B$5:$B$304,MATCH(B168,Items!$A$5:$A$304,0)),"Unknown code"))</f>
        <v/>
      </c>
      <c r="D168" s="15" t="n"/>
      <c r="E168" s="16" t="n"/>
      <c r="F168" s="18">
        <f>IF(OR(D168="",E168=""),"",D168*E168)</f>
        <v/>
      </c>
      <c r="G168" s="15" t="n"/>
    </row>
    <row r="169">
      <c r="A169" s="19" t="n"/>
      <c r="B169" s="15" t="n"/>
      <c r="C169">
        <f>IF(B169="","",IFERROR(INDEX(Items!$B$5:$B$304,MATCH(B169,Items!$A$5:$A$304,0)),"Unknown code"))</f>
        <v/>
      </c>
      <c r="D169" s="15" t="n"/>
      <c r="E169" s="16" t="n"/>
      <c r="F169" s="18">
        <f>IF(OR(D169="",E169=""),"",D169*E169)</f>
        <v/>
      </c>
      <c r="G169" s="15" t="n"/>
    </row>
    <row r="170">
      <c r="A170" s="19" t="n"/>
      <c r="B170" s="15" t="n"/>
      <c r="C170">
        <f>IF(B170="","",IFERROR(INDEX(Items!$B$5:$B$304,MATCH(B170,Items!$A$5:$A$304,0)),"Unknown code"))</f>
        <v/>
      </c>
      <c r="D170" s="15" t="n"/>
      <c r="E170" s="16" t="n"/>
      <c r="F170" s="18">
        <f>IF(OR(D170="",E170=""),"",D170*E170)</f>
        <v/>
      </c>
      <c r="G170" s="15" t="n"/>
    </row>
    <row r="171">
      <c r="A171" s="19" t="n"/>
      <c r="B171" s="15" t="n"/>
      <c r="C171">
        <f>IF(B171="","",IFERROR(INDEX(Items!$B$5:$B$304,MATCH(B171,Items!$A$5:$A$304,0)),"Unknown code"))</f>
        <v/>
      </c>
      <c r="D171" s="15" t="n"/>
      <c r="E171" s="16" t="n"/>
      <c r="F171" s="18">
        <f>IF(OR(D171="",E171=""),"",D171*E171)</f>
        <v/>
      </c>
      <c r="G171" s="15" t="n"/>
    </row>
    <row r="172">
      <c r="A172" s="19" t="n"/>
      <c r="B172" s="15" t="n"/>
      <c r="C172">
        <f>IF(B172="","",IFERROR(INDEX(Items!$B$5:$B$304,MATCH(B172,Items!$A$5:$A$304,0)),"Unknown code"))</f>
        <v/>
      </c>
      <c r="D172" s="15" t="n"/>
      <c r="E172" s="16" t="n"/>
      <c r="F172" s="18">
        <f>IF(OR(D172="",E172=""),"",D172*E172)</f>
        <v/>
      </c>
      <c r="G172" s="15" t="n"/>
    </row>
    <row r="173">
      <c r="A173" s="19" t="n"/>
      <c r="B173" s="15" t="n"/>
      <c r="C173">
        <f>IF(B173="","",IFERROR(INDEX(Items!$B$5:$B$304,MATCH(B173,Items!$A$5:$A$304,0)),"Unknown code"))</f>
        <v/>
      </c>
      <c r="D173" s="15" t="n"/>
      <c r="E173" s="16" t="n"/>
      <c r="F173" s="18">
        <f>IF(OR(D173="",E173=""),"",D173*E173)</f>
        <v/>
      </c>
      <c r="G173" s="15" t="n"/>
    </row>
    <row r="174">
      <c r="A174" s="19" t="n"/>
      <c r="B174" s="15" t="n"/>
      <c r="C174">
        <f>IF(B174="","",IFERROR(INDEX(Items!$B$5:$B$304,MATCH(B174,Items!$A$5:$A$304,0)),"Unknown code"))</f>
        <v/>
      </c>
      <c r="D174" s="15" t="n"/>
      <c r="E174" s="16" t="n"/>
      <c r="F174" s="18">
        <f>IF(OR(D174="",E174=""),"",D174*E174)</f>
        <v/>
      </c>
      <c r="G174" s="15" t="n"/>
    </row>
    <row r="175">
      <c r="A175" s="19" t="n"/>
      <c r="B175" s="15" t="n"/>
      <c r="C175">
        <f>IF(B175="","",IFERROR(INDEX(Items!$B$5:$B$304,MATCH(B175,Items!$A$5:$A$304,0)),"Unknown code"))</f>
        <v/>
      </c>
      <c r="D175" s="15" t="n"/>
      <c r="E175" s="16" t="n"/>
      <c r="F175" s="18">
        <f>IF(OR(D175="",E175=""),"",D175*E175)</f>
        <v/>
      </c>
      <c r="G175" s="15" t="n"/>
    </row>
    <row r="176">
      <c r="A176" s="19" t="n"/>
      <c r="B176" s="15" t="n"/>
      <c r="C176">
        <f>IF(B176="","",IFERROR(INDEX(Items!$B$5:$B$304,MATCH(B176,Items!$A$5:$A$304,0)),"Unknown code"))</f>
        <v/>
      </c>
      <c r="D176" s="15" t="n"/>
      <c r="E176" s="16" t="n"/>
      <c r="F176" s="18">
        <f>IF(OR(D176="",E176=""),"",D176*E176)</f>
        <v/>
      </c>
      <c r="G176" s="15" t="n"/>
    </row>
    <row r="177">
      <c r="A177" s="19" t="n"/>
      <c r="B177" s="15" t="n"/>
      <c r="C177">
        <f>IF(B177="","",IFERROR(INDEX(Items!$B$5:$B$304,MATCH(B177,Items!$A$5:$A$304,0)),"Unknown code"))</f>
        <v/>
      </c>
      <c r="D177" s="15" t="n"/>
      <c r="E177" s="16" t="n"/>
      <c r="F177" s="18">
        <f>IF(OR(D177="",E177=""),"",D177*E177)</f>
        <v/>
      </c>
      <c r="G177" s="15" t="n"/>
    </row>
    <row r="178">
      <c r="A178" s="19" t="n"/>
      <c r="B178" s="15" t="n"/>
      <c r="C178">
        <f>IF(B178="","",IFERROR(INDEX(Items!$B$5:$B$304,MATCH(B178,Items!$A$5:$A$304,0)),"Unknown code"))</f>
        <v/>
      </c>
      <c r="D178" s="15" t="n"/>
      <c r="E178" s="16" t="n"/>
      <c r="F178" s="18">
        <f>IF(OR(D178="",E178=""),"",D178*E178)</f>
        <v/>
      </c>
      <c r="G178" s="15" t="n"/>
    </row>
    <row r="179">
      <c r="A179" s="19" t="n"/>
      <c r="B179" s="15" t="n"/>
      <c r="C179">
        <f>IF(B179="","",IFERROR(INDEX(Items!$B$5:$B$304,MATCH(B179,Items!$A$5:$A$304,0)),"Unknown code"))</f>
        <v/>
      </c>
      <c r="D179" s="15" t="n"/>
      <c r="E179" s="16" t="n"/>
      <c r="F179" s="18">
        <f>IF(OR(D179="",E179=""),"",D179*E179)</f>
        <v/>
      </c>
      <c r="G179" s="15" t="n"/>
    </row>
    <row r="180">
      <c r="A180" s="19" t="n"/>
      <c r="B180" s="15" t="n"/>
      <c r="C180">
        <f>IF(B180="","",IFERROR(INDEX(Items!$B$5:$B$304,MATCH(B180,Items!$A$5:$A$304,0)),"Unknown code"))</f>
        <v/>
      </c>
      <c r="D180" s="15" t="n"/>
      <c r="E180" s="16" t="n"/>
      <c r="F180" s="18">
        <f>IF(OR(D180="",E180=""),"",D180*E180)</f>
        <v/>
      </c>
      <c r="G180" s="15" t="n"/>
    </row>
    <row r="181">
      <c r="A181" s="19" t="n"/>
      <c r="B181" s="15" t="n"/>
      <c r="C181">
        <f>IF(B181="","",IFERROR(INDEX(Items!$B$5:$B$304,MATCH(B181,Items!$A$5:$A$304,0)),"Unknown code"))</f>
        <v/>
      </c>
      <c r="D181" s="15" t="n"/>
      <c r="E181" s="16" t="n"/>
      <c r="F181" s="18">
        <f>IF(OR(D181="",E181=""),"",D181*E181)</f>
        <v/>
      </c>
      <c r="G181" s="15" t="n"/>
    </row>
    <row r="182">
      <c r="A182" s="19" t="n"/>
      <c r="B182" s="15" t="n"/>
      <c r="C182">
        <f>IF(B182="","",IFERROR(INDEX(Items!$B$5:$B$304,MATCH(B182,Items!$A$5:$A$304,0)),"Unknown code"))</f>
        <v/>
      </c>
      <c r="D182" s="15" t="n"/>
      <c r="E182" s="16" t="n"/>
      <c r="F182" s="18">
        <f>IF(OR(D182="",E182=""),"",D182*E182)</f>
        <v/>
      </c>
      <c r="G182" s="15" t="n"/>
    </row>
    <row r="183">
      <c r="A183" s="19" t="n"/>
      <c r="B183" s="15" t="n"/>
      <c r="C183">
        <f>IF(B183="","",IFERROR(INDEX(Items!$B$5:$B$304,MATCH(B183,Items!$A$5:$A$304,0)),"Unknown code"))</f>
        <v/>
      </c>
      <c r="D183" s="15" t="n"/>
      <c r="E183" s="16" t="n"/>
      <c r="F183" s="18">
        <f>IF(OR(D183="",E183=""),"",D183*E183)</f>
        <v/>
      </c>
      <c r="G183" s="15" t="n"/>
    </row>
    <row r="184">
      <c r="A184" s="19" t="n"/>
      <c r="B184" s="15" t="n"/>
      <c r="C184">
        <f>IF(B184="","",IFERROR(INDEX(Items!$B$5:$B$304,MATCH(B184,Items!$A$5:$A$304,0)),"Unknown code"))</f>
        <v/>
      </c>
      <c r="D184" s="15" t="n"/>
      <c r="E184" s="16" t="n"/>
      <c r="F184" s="18">
        <f>IF(OR(D184="",E184=""),"",D184*E184)</f>
        <v/>
      </c>
      <c r="G184" s="15" t="n"/>
    </row>
    <row r="185">
      <c r="A185" s="19" t="n"/>
      <c r="B185" s="15" t="n"/>
      <c r="C185">
        <f>IF(B185="","",IFERROR(INDEX(Items!$B$5:$B$304,MATCH(B185,Items!$A$5:$A$304,0)),"Unknown code"))</f>
        <v/>
      </c>
      <c r="D185" s="15" t="n"/>
      <c r="E185" s="16" t="n"/>
      <c r="F185" s="18">
        <f>IF(OR(D185="",E185=""),"",D185*E185)</f>
        <v/>
      </c>
      <c r="G185" s="15" t="n"/>
    </row>
    <row r="186">
      <c r="A186" s="19" t="n"/>
      <c r="B186" s="15" t="n"/>
      <c r="C186">
        <f>IF(B186="","",IFERROR(INDEX(Items!$B$5:$B$304,MATCH(B186,Items!$A$5:$A$304,0)),"Unknown code"))</f>
        <v/>
      </c>
      <c r="D186" s="15" t="n"/>
      <c r="E186" s="16" t="n"/>
      <c r="F186" s="18">
        <f>IF(OR(D186="",E186=""),"",D186*E186)</f>
        <v/>
      </c>
      <c r="G186" s="15" t="n"/>
    </row>
    <row r="187">
      <c r="A187" s="19" t="n"/>
      <c r="B187" s="15" t="n"/>
      <c r="C187">
        <f>IF(B187="","",IFERROR(INDEX(Items!$B$5:$B$304,MATCH(B187,Items!$A$5:$A$304,0)),"Unknown code"))</f>
        <v/>
      </c>
      <c r="D187" s="15" t="n"/>
      <c r="E187" s="16" t="n"/>
      <c r="F187" s="18">
        <f>IF(OR(D187="",E187=""),"",D187*E187)</f>
        <v/>
      </c>
      <c r="G187" s="15" t="n"/>
    </row>
    <row r="188">
      <c r="A188" s="19" t="n"/>
      <c r="B188" s="15" t="n"/>
      <c r="C188">
        <f>IF(B188="","",IFERROR(INDEX(Items!$B$5:$B$304,MATCH(B188,Items!$A$5:$A$304,0)),"Unknown code"))</f>
        <v/>
      </c>
      <c r="D188" s="15" t="n"/>
      <c r="E188" s="16" t="n"/>
      <c r="F188" s="18">
        <f>IF(OR(D188="",E188=""),"",D188*E188)</f>
        <v/>
      </c>
      <c r="G188" s="15" t="n"/>
    </row>
    <row r="189">
      <c r="A189" s="19" t="n"/>
      <c r="B189" s="15" t="n"/>
      <c r="C189">
        <f>IF(B189="","",IFERROR(INDEX(Items!$B$5:$B$304,MATCH(B189,Items!$A$5:$A$304,0)),"Unknown code"))</f>
        <v/>
      </c>
      <c r="D189" s="15" t="n"/>
      <c r="E189" s="16" t="n"/>
      <c r="F189" s="18">
        <f>IF(OR(D189="",E189=""),"",D189*E189)</f>
        <v/>
      </c>
      <c r="G189" s="15" t="n"/>
    </row>
    <row r="190">
      <c r="A190" s="19" t="n"/>
      <c r="B190" s="15" t="n"/>
      <c r="C190">
        <f>IF(B190="","",IFERROR(INDEX(Items!$B$5:$B$304,MATCH(B190,Items!$A$5:$A$304,0)),"Unknown code"))</f>
        <v/>
      </c>
      <c r="D190" s="15" t="n"/>
      <c r="E190" s="16" t="n"/>
      <c r="F190" s="18">
        <f>IF(OR(D190="",E190=""),"",D190*E190)</f>
        <v/>
      </c>
      <c r="G190" s="15" t="n"/>
    </row>
    <row r="191">
      <c r="A191" s="19" t="n"/>
      <c r="B191" s="15" t="n"/>
      <c r="C191">
        <f>IF(B191="","",IFERROR(INDEX(Items!$B$5:$B$304,MATCH(B191,Items!$A$5:$A$304,0)),"Unknown code"))</f>
        <v/>
      </c>
      <c r="D191" s="15" t="n"/>
      <c r="E191" s="16" t="n"/>
      <c r="F191" s="18">
        <f>IF(OR(D191="",E191=""),"",D191*E191)</f>
        <v/>
      </c>
      <c r="G191" s="15" t="n"/>
    </row>
    <row r="192">
      <c r="A192" s="19" t="n"/>
      <c r="B192" s="15" t="n"/>
      <c r="C192">
        <f>IF(B192="","",IFERROR(INDEX(Items!$B$5:$B$304,MATCH(B192,Items!$A$5:$A$304,0)),"Unknown code"))</f>
        <v/>
      </c>
      <c r="D192" s="15" t="n"/>
      <c r="E192" s="16" t="n"/>
      <c r="F192" s="18">
        <f>IF(OR(D192="",E192=""),"",D192*E192)</f>
        <v/>
      </c>
      <c r="G192" s="15" t="n"/>
    </row>
    <row r="193">
      <c r="A193" s="19" t="n"/>
      <c r="B193" s="15" t="n"/>
      <c r="C193">
        <f>IF(B193="","",IFERROR(INDEX(Items!$B$5:$B$304,MATCH(B193,Items!$A$5:$A$304,0)),"Unknown code"))</f>
        <v/>
      </c>
      <c r="D193" s="15" t="n"/>
      <c r="E193" s="16" t="n"/>
      <c r="F193" s="18">
        <f>IF(OR(D193="",E193=""),"",D193*E193)</f>
        <v/>
      </c>
      <c r="G193" s="15" t="n"/>
    </row>
    <row r="194">
      <c r="A194" s="19" t="n"/>
      <c r="B194" s="15" t="n"/>
      <c r="C194">
        <f>IF(B194="","",IFERROR(INDEX(Items!$B$5:$B$304,MATCH(B194,Items!$A$5:$A$304,0)),"Unknown code"))</f>
        <v/>
      </c>
      <c r="D194" s="15" t="n"/>
      <c r="E194" s="16" t="n"/>
      <c r="F194" s="18">
        <f>IF(OR(D194="",E194=""),"",D194*E194)</f>
        <v/>
      </c>
      <c r="G194" s="15" t="n"/>
    </row>
    <row r="195">
      <c r="A195" s="19" t="n"/>
      <c r="B195" s="15" t="n"/>
      <c r="C195">
        <f>IF(B195="","",IFERROR(INDEX(Items!$B$5:$B$304,MATCH(B195,Items!$A$5:$A$304,0)),"Unknown code"))</f>
        <v/>
      </c>
      <c r="D195" s="15" t="n"/>
      <c r="E195" s="16" t="n"/>
      <c r="F195" s="18">
        <f>IF(OR(D195="",E195=""),"",D195*E195)</f>
        <v/>
      </c>
      <c r="G195" s="15" t="n"/>
    </row>
    <row r="196">
      <c r="A196" s="19" t="n"/>
      <c r="B196" s="15" t="n"/>
      <c r="C196">
        <f>IF(B196="","",IFERROR(INDEX(Items!$B$5:$B$304,MATCH(B196,Items!$A$5:$A$304,0)),"Unknown code"))</f>
        <v/>
      </c>
      <c r="D196" s="15" t="n"/>
      <c r="E196" s="16" t="n"/>
      <c r="F196" s="18">
        <f>IF(OR(D196="",E196=""),"",D196*E196)</f>
        <v/>
      </c>
      <c r="G196" s="15" t="n"/>
    </row>
    <row r="197">
      <c r="A197" s="19" t="n"/>
      <c r="B197" s="15" t="n"/>
      <c r="C197">
        <f>IF(B197="","",IFERROR(INDEX(Items!$B$5:$B$304,MATCH(B197,Items!$A$5:$A$304,0)),"Unknown code"))</f>
        <v/>
      </c>
      <c r="D197" s="15" t="n"/>
      <c r="E197" s="16" t="n"/>
      <c r="F197" s="18">
        <f>IF(OR(D197="",E197=""),"",D197*E197)</f>
        <v/>
      </c>
      <c r="G197" s="15" t="n"/>
    </row>
    <row r="198">
      <c r="A198" s="19" t="n"/>
      <c r="B198" s="15" t="n"/>
      <c r="C198">
        <f>IF(B198="","",IFERROR(INDEX(Items!$B$5:$B$304,MATCH(B198,Items!$A$5:$A$304,0)),"Unknown code"))</f>
        <v/>
      </c>
      <c r="D198" s="15" t="n"/>
      <c r="E198" s="16" t="n"/>
      <c r="F198" s="18">
        <f>IF(OR(D198="",E198=""),"",D198*E198)</f>
        <v/>
      </c>
      <c r="G198" s="15" t="n"/>
    </row>
    <row r="199">
      <c r="A199" s="19" t="n"/>
      <c r="B199" s="15" t="n"/>
      <c r="C199">
        <f>IF(B199="","",IFERROR(INDEX(Items!$B$5:$B$304,MATCH(B199,Items!$A$5:$A$304,0)),"Unknown code"))</f>
        <v/>
      </c>
      <c r="D199" s="15" t="n"/>
      <c r="E199" s="16" t="n"/>
      <c r="F199" s="18">
        <f>IF(OR(D199="",E199=""),"",D199*E199)</f>
        <v/>
      </c>
      <c r="G199" s="15" t="n"/>
    </row>
    <row r="200">
      <c r="A200" s="19" t="n"/>
      <c r="B200" s="15" t="n"/>
      <c r="C200">
        <f>IF(B200="","",IFERROR(INDEX(Items!$B$5:$B$304,MATCH(B200,Items!$A$5:$A$304,0)),"Unknown code"))</f>
        <v/>
      </c>
      <c r="D200" s="15" t="n"/>
      <c r="E200" s="16" t="n"/>
      <c r="F200" s="18">
        <f>IF(OR(D200="",E200=""),"",D200*E200)</f>
        <v/>
      </c>
      <c r="G200" s="15" t="n"/>
    </row>
    <row r="201">
      <c r="A201" s="19" t="n"/>
      <c r="B201" s="15" t="n"/>
      <c r="C201">
        <f>IF(B201="","",IFERROR(INDEX(Items!$B$5:$B$304,MATCH(B201,Items!$A$5:$A$304,0)),"Unknown code"))</f>
        <v/>
      </c>
      <c r="D201" s="15" t="n"/>
      <c r="E201" s="16" t="n"/>
      <c r="F201" s="18">
        <f>IF(OR(D201="",E201=""),"",D201*E201)</f>
        <v/>
      </c>
      <c r="G201" s="15" t="n"/>
    </row>
    <row r="202">
      <c r="A202" s="19" t="n"/>
      <c r="B202" s="15" t="n"/>
      <c r="C202">
        <f>IF(B202="","",IFERROR(INDEX(Items!$B$5:$B$304,MATCH(B202,Items!$A$5:$A$304,0)),"Unknown code"))</f>
        <v/>
      </c>
      <c r="D202" s="15" t="n"/>
      <c r="E202" s="16" t="n"/>
      <c r="F202" s="18">
        <f>IF(OR(D202="",E202=""),"",D202*E202)</f>
        <v/>
      </c>
      <c r="G202" s="15" t="n"/>
    </row>
    <row r="203">
      <c r="A203" s="19" t="n"/>
      <c r="B203" s="15" t="n"/>
      <c r="C203">
        <f>IF(B203="","",IFERROR(INDEX(Items!$B$5:$B$304,MATCH(B203,Items!$A$5:$A$304,0)),"Unknown code"))</f>
        <v/>
      </c>
      <c r="D203" s="15" t="n"/>
      <c r="E203" s="16" t="n"/>
      <c r="F203" s="18">
        <f>IF(OR(D203="",E203=""),"",D203*E203)</f>
        <v/>
      </c>
      <c r="G203" s="15" t="n"/>
    </row>
    <row r="204">
      <c r="A204" s="19" t="n"/>
      <c r="B204" s="15" t="n"/>
      <c r="C204">
        <f>IF(B204="","",IFERROR(INDEX(Items!$B$5:$B$304,MATCH(B204,Items!$A$5:$A$304,0)),"Unknown code"))</f>
        <v/>
      </c>
      <c r="D204" s="15" t="n"/>
      <c r="E204" s="16" t="n"/>
      <c r="F204" s="18">
        <f>IF(OR(D204="",E204=""),"",D204*E204)</f>
        <v/>
      </c>
      <c r="G204" s="15" t="n"/>
    </row>
    <row r="205">
      <c r="A205" s="19" t="n"/>
      <c r="B205" s="15" t="n"/>
      <c r="C205">
        <f>IF(B205="","",IFERROR(INDEX(Items!$B$5:$B$304,MATCH(B205,Items!$A$5:$A$304,0)),"Unknown code"))</f>
        <v/>
      </c>
      <c r="D205" s="15" t="n"/>
      <c r="E205" s="16" t="n"/>
      <c r="F205" s="18">
        <f>IF(OR(D205="",E205=""),"",D205*E205)</f>
        <v/>
      </c>
      <c r="G205" s="15" t="n"/>
    </row>
    <row r="206">
      <c r="A206" s="19" t="n"/>
      <c r="B206" s="15" t="n"/>
      <c r="C206">
        <f>IF(B206="","",IFERROR(INDEX(Items!$B$5:$B$304,MATCH(B206,Items!$A$5:$A$304,0)),"Unknown code"))</f>
        <v/>
      </c>
      <c r="D206" s="15" t="n"/>
      <c r="E206" s="16" t="n"/>
      <c r="F206" s="18">
        <f>IF(OR(D206="",E206=""),"",D206*E206)</f>
        <v/>
      </c>
      <c r="G206" s="15" t="n"/>
    </row>
    <row r="207">
      <c r="A207" s="19" t="n"/>
      <c r="B207" s="15" t="n"/>
      <c r="C207">
        <f>IF(B207="","",IFERROR(INDEX(Items!$B$5:$B$304,MATCH(B207,Items!$A$5:$A$304,0)),"Unknown code"))</f>
        <v/>
      </c>
      <c r="D207" s="15" t="n"/>
      <c r="E207" s="16" t="n"/>
      <c r="F207" s="18">
        <f>IF(OR(D207="",E207=""),"",D207*E207)</f>
        <v/>
      </c>
      <c r="G207" s="15" t="n"/>
    </row>
    <row r="208">
      <c r="A208" s="19" t="n"/>
      <c r="B208" s="15" t="n"/>
      <c r="C208">
        <f>IF(B208="","",IFERROR(INDEX(Items!$B$5:$B$304,MATCH(B208,Items!$A$5:$A$304,0)),"Unknown code"))</f>
        <v/>
      </c>
      <c r="D208" s="15" t="n"/>
      <c r="E208" s="16" t="n"/>
      <c r="F208" s="18">
        <f>IF(OR(D208="",E208=""),"",D208*E208)</f>
        <v/>
      </c>
      <c r="G208" s="15" t="n"/>
    </row>
    <row r="209">
      <c r="A209" s="19" t="n"/>
      <c r="B209" s="15" t="n"/>
      <c r="C209">
        <f>IF(B209="","",IFERROR(INDEX(Items!$B$5:$B$304,MATCH(B209,Items!$A$5:$A$304,0)),"Unknown code"))</f>
        <v/>
      </c>
      <c r="D209" s="15" t="n"/>
      <c r="E209" s="16" t="n"/>
      <c r="F209" s="18">
        <f>IF(OR(D209="",E209=""),"",D209*E209)</f>
        <v/>
      </c>
      <c r="G209" s="15" t="n"/>
    </row>
    <row r="210">
      <c r="A210" s="19" t="n"/>
      <c r="B210" s="15" t="n"/>
      <c r="C210">
        <f>IF(B210="","",IFERROR(INDEX(Items!$B$5:$B$304,MATCH(B210,Items!$A$5:$A$304,0)),"Unknown code"))</f>
        <v/>
      </c>
      <c r="D210" s="15" t="n"/>
      <c r="E210" s="16" t="n"/>
      <c r="F210" s="18">
        <f>IF(OR(D210="",E210=""),"",D210*E210)</f>
        <v/>
      </c>
      <c r="G210" s="15" t="n"/>
    </row>
    <row r="211">
      <c r="A211" s="19" t="n"/>
      <c r="B211" s="15" t="n"/>
      <c r="C211">
        <f>IF(B211="","",IFERROR(INDEX(Items!$B$5:$B$304,MATCH(B211,Items!$A$5:$A$304,0)),"Unknown code"))</f>
        <v/>
      </c>
      <c r="D211" s="15" t="n"/>
      <c r="E211" s="16" t="n"/>
      <c r="F211" s="18">
        <f>IF(OR(D211="",E211=""),"",D211*E211)</f>
        <v/>
      </c>
      <c r="G211" s="15" t="n"/>
    </row>
    <row r="212">
      <c r="A212" s="19" t="n"/>
      <c r="B212" s="15" t="n"/>
      <c r="C212">
        <f>IF(B212="","",IFERROR(INDEX(Items!$B$5:$B$304,MATCH(B212,Items!$A$5:$A$304,0)),"Unknown code"))</f>
        <v/>
      </c>
      <c r="D212" s="15" t="n"/>
      <c r="E212" s="16" t="n"/>
      <c r="F212" s="18">
        <f>IF(OR(D212="",E212=""),"",D212*E212)</f>
        <v/>
      </c>
      <c r="G212" s="15" t="n"/>
    </row>
    <row r="213">
      <c r="A213" s="19" t="n"/>
      <c r="B213" s="15" t="n"/>
      <c r="C213">
        <f>IF(B213="","",IFERROR(INDEX(Items!$B$5:$B$304,MATCH(B213,Items!$A$5:$A$304,0)),"Unknown code"))</f>
        <v/>
      </c>
      <c r="D213" s="15" t="n"/>
      <c r="E213" s="16" t="n"/>
      <c r="F213" s="18">
        <f>IF(OR(D213="",E213=""),"",D213*E213)</f>
        <v/>
      </c>
      <c r="G213" s="15" t="n"/>
    </row>
    <row r="214">
      <c r="A214" s="19" t="n"/>
      <c r="B214" s="15" t="n"/>
      <c r="C214">
        <f>IF(B214="","",IFERROR(INDEX(Items!$B$5:$B$304,MATCH(B214,Items!$A$5:$A$304,0)),"Unknown code"))</f>
        <v/>
      </c>
      <c r="D214" s="15" t="n"/>
      <c r="E214" s="16" t="n"/>
      <c r="F214" s="18">
        <f>IF(OR(D214="",E214=""),"",D214*E214)</f>
        <v/>
      </c>
      <c r="G214" s="15" t="n"/>
    </row>
    <row r="215">
      <c r="A215" s="19" t="n"/>
      <c r="B215" s="15" t="n"/>
      <c r="C215">
        <f>IF(B215="","",IFERROR(INDEX(Items!$B$5:$B$304,MATCH(B215,Items!$A$5:$A$304,0)),"Unknown code"))</f>
        <v/>
      </c>
      <c r="D215" s="15" t="n"/>
      <c r="E215" s="16" t="n"/>
      <c r="F215" s="18">
        <f>IF(OR(D215="",E215=""),"",D215*E215)</f>
        <v/>
      </c>
      <c r="G215" s="15" t="n"/>
    </row>
    <row r="216">
      <c r="A216" s="19" t="n"/>
      <c r="B216" s="15" t="n"/>
      <c r="C216">
        <f>IF(B216="","",IFERROR(INDEX(Items!$B$5:$B$304,MATCH(B216,Items!$A$5:$A$304,0)),"Unknown code"))</f>
        <v/>
      </c>
      <c r="D216" s="15" t="n"/>
      <c r="E216" s="16" t="n"/>
      <c r="F216" s="18">
        <f>IF(OR(D216="",E216=""),"",D216*E216)</f>
        <v/>
      </c>
      <c r="G216" s="15" t="n"/>
    </row>
    <row r="217">
      <c r="A217" s="19" t="n"/>
      <c r="B217" s="15" t="n"/>
      <c r="C217">
        <f>IF(B217="","",IFERROR(INDEX(Items!$B$5:$B$304,MATCH(B217,Items!$A$5:$A$304,0)),"Unknown code"))</f>
        <v/>
      </c>
      <c r="D217" s="15" t="n"/>
      <c r="E217" s="16" t="n"/>
      <c r="F217" s="18">
        <f>IF(OR(D217="",E217=""),"",D217*E217)</f>
        <v/>
      </c>
      <c r="G217" s="15" t="n"/>
    </row>
    <row r="218">
      <c r="A218" s="19" t="n"/>
      <c r="B218" s="15" t="n"/>
      <c r="C218">
        <f>IF(B218="","",IFERROR(INDEX(Items!$B$5:$B$304,MATCH(B218,Items!$A$5:$A$304,0)),"Unknown code"))</f>
        <v/>
      </c>
      <c r="D218" s="15" t="n"/>
      <c r="E218" s="16" t="n"/>
      <c r="F218" s="18">
        <f>IF(OR(D218="",E218=""),"",D218*E218)</f>
        <v/>
      </c>
      <c r="G218" s="15" t="n"/>
    </row>
    <row r="219">
      <c r="A219" s="19" t="n"/>
      <c r="B219" s="15" t="n"/>
      <c r="C219">
        <f>IF(B219="","",IFERROR(INDEX(Items!$B$5:$B$304,MATCH(B219,Items!$A$5:$A$304,0)),"Unknown code"))</f>
        <v/>
      </c>
      <c r="D219" s="15" t="n"/>
      <c r="E219" s="16" t="n"/>
      <c r="F219" s="18">
        <f>IF(OR(D219="",E219=""),"",D219*E219)</f>
        <v/>
      </c>
      <c r="G219" s="15" t="n"/>
    </row>
    <row r="220">
      <c r="A220" s="19" t="n"/>
      <c r="B220" s="15" t="n"/>
      <c r="C220">
        <f>IF(B220="","",IFERROR(INDEX(Items!$B$5:$B$304,MATCH(B220,Items!$A$5:$A$304,0)),"Unknown code"))</f>
        <v/>
      </c>
      <c r="D220" s="15" t="n"/>
      <c r="E220" s="16" t="n"/>
      <c r="F220" s="18">
        <f>IF(OR(D220="",E220=""),"",D220*E220)</f>
        <v/>
      </c>
      <c r="G220" s="15" t="n"/>
    </row>
    <row r="221">
      <c r="A221" s="19" t="n"/>
      <c r="B221" s="15" t="n"/>
      <c r="C221">
        <f>IF(B221="","",IFERROR(INDEX(Items!$B$5:$B$304,MATCH(B221,Items!$A$5:$A$304,0)),"Unknown code"))</f>
        <v/>
      </c>
      <c r="D221" s="15" t="n"/>
      <c r="E221" s="16" t="n"/>
      <c r="F221" s="18">
        <f>IF(OR(D221="",E221=""),"",D221*E221)</f>
        <v/>
      </c>
      <c r="G221" s="15" t="n"/>
    </row>
    <row r="222">
      <c r="A222" s="19" t="n"/>
      <c r="B222" s="15" t="n"/>
      <c r="C222">
        <f>IF(B222="","",IFERROR(INDEX(Items!$B$5:$B$304,MATCH(B222,Items!$A$5:$A$304,0)),"Unknown code"))</f>
        <v/>
      </c>
      <c r="D222" s="15" t="n"/>
      <c r="E222" s="16" t="n"/>
      <c r="F222" s="18">
        <f>IF(OR(D222="",E222=""),"",D222*E222)</f>
        <v/>
      </c>
      <c r="G222" s="15" t="n"/>
    </row>
    <row r="223">
      <c r="A223" s="19" t="n"/>
      <c r="B223" s="15" t="n"/>
      <c r="C223">
        <f>IF(B223="","",IFERROR(INDEX(Items!$B$5:$B$304,MATCH(B223,Items!$A$5:$A$304,0)),"Unknown code"))</f>
        <v/>
      </c>
      <c r="D223" s="15" t="n"/>
      <c r="E223" s="16" t="n"/>
      <c r="F223" s="18">
        <f>IF(OR(D223="",E223=""),"",D223*E223)</f>
        <v/>
      </c>
      <c r="G223" s="15" t="n"/>
    </row>
    <row r="224">
      <c r="A224" s="19" t="n"/>
      <c r="B224" s="15" t="n"/>
      <c r="C224">
        <f>IF(B224="","",IFERROR(INDEX(Items!$B$5:$B$304,MATCH(B224,Items!$A$5:$A$304,0)),"Unknown code"))</f>
        <v/>
      </c>
      <c r="D224" s="15" t="n"/>
      <c r="E224" s="16" t="n"/>
      <c r="F224" s="18">
        <f>IF(OR(D224="",E224=""),"",D224*E224)</f>
        <v/>
      </c>
      <c r="G224" s="15" t="n"/>
    </row>
    <row r="225">
      <c r="A225" s="19" t="n"/>
      <c r="B225" s="15" t="n"/>
      <c r="C225">
        <f>IF(B225="","",IFERROR(INDEX(Items!$B$5:$B$304,MATCH(B225,Items!$A$5:$A$304,0)),"Unknown code"))</f>
        <v/>
      </c>
      <c r="D225" s="15" t="n"/>
      <c r="E225" s="16" t="n"/>
      <c r="F225" s="18">
        <f>IF(OR(D225="",E225=""),"",D225*E225)</f>
        <v/>
      </c>
      <c r="G225" s="15" t="n"/>
    </row>
    <row r="226">
      <c r="A226" s="19" t="n"/>
      <c r="B226" s="15" t="n"/>
      <c r="C226">
        <f>IF(B226="","",IFERROR(INDEX(Items!$B$5:$B$304,MATCH(B226,Items!$A$5:$A$304,0)),"Unknown code"))</f>
        <v/>
      </c>
      <c r="D226" s="15" t="n"/>
      <c r="E226" s="16" t="n"/>
      <c r="F226" s="18">
        <f>IF(OR(D226="",E226=""),"",D226*E226)</f>
        <v/>
      </c>
      <c r="G226" s="15" t="n"/>
    </row>
    <row r="227">
      <c r="A227" s="19" t="n"/>
      <c r="B227" s="15" t="n"/>
      <c r="C227">
        <f>IF(B227="","",IFERROR(INDEX(Items!$B$5:$B$304,MATCH(B227,Items!$A$5:$A$304,0)),"Unknown code"))</f>
        <v/>
      </c>
      <c r="D227" s="15" t="n"/>
      <c r="E227" s="16" t="n"/>
      <c r="F227" s="18">
        <f>IF(OR(D227="",E227=""),"",D227*E227)</f>
        <v/>
      </c>
      <c r="G227" s="15" t="n"/>
    </row>
    <row r="228">
      <c r="A228" s="19" t="n"/>
      <c r="B228" s="15" t="n"/>
      <c r="C228">
        <f>IF(B228="","",IFERROR(INDEX(Items!$B$5:$B$304,MATCH(B228,Items!$A$5:$A$304,0)),"Unknown code"))</f>
        <v/>
      </c>
      <c r="D228" s="15" t="n"/>
      <c r="E228" s="16" t="n"/>
      <c r="F228" s="18">
        <f>IF(OR(D228="",E228=""),"",D228*E228)</f>
        <v/>
      </c>
      <c r="G228" s="15" t="n"/>
    </row>
    <row r="229">
      <c r="A229" s="19" t="n"/>
      <c r="B229" s="15" t="n"/>
      <c r="C229">
        <f>IF(B229="","",IFERROR(INDEX(Items!$B$5:$B$304,MATCH(B229,Items!$A$5:$A$304,0)),"Unknown code"))</f>
        <v/>
      </c>
      <c r="D229" s="15" t="n"/>
      <c r="E229" s="16" t="n"/>
      <c r="F229" s="18">
        <f>IF(OR(D229="",E229=""),"",D229*E229)</f>
        <v/>
      </c>
      <c r="G229" s="15" t="n"/>
    </row>
    <row r="230">
      <c r="A230" s="19" t="n"/>
      <c r="B230" s="15" t="n"/>
      <c r="C230">
        <f>IF(B230="","",IFERROR(INDEX(Items!$B$5:$B$304,MATCH(B230,Items!$A$5:$A$304,0)),"Unknown code"))</f>
        <v/>
      </c>
      <c r="D230" s="15" t="n"/>
      <c r="E230" s="16" t="n"/>
      <c r="F230" s="18">
        <f>IF(OR(D230="",E230=""),"",D230*E230)</f>
        <v/>
      </c>
      <c r="G230" s="15" t="n"/>
    </row>
    <row r="231">
      <c r="A231" s="19" t="n"/>
      <c r="B231" s="15" t="n"/>
      <c r="C231">
        <f>IF(B231="","",IFERROR(INDEX(Items!$B$5:$B$304,MATCH(B231,Items!$A$5:$A$304,0)),"Unknown code"))</f>
        <v/>
      </c>
      <c r="D231" s="15" t="n"/>
      <c r="E231" s="16" t="n"/>
      <c r="F231" s="18">
        <f>IF(OR(D231="",E231=""),"",D231*E231)</f>
        <v/>
      </c>
      <c r="G231" s="15" t="n"/>
    </row>
    <row r="232">
      <c r="A232" s="19" t="n"/>
      <c r="B232" s="15" t="n"/>
      <c r="C232">
        <f>IF(B232="","",IFERROR(INDEX(Items!$B$5:$B$304,MATCH(B232,Items!$A$5:$A$304,0)),"Unknown code"))</f>
        <v/>
      </c>
      <c r="D232" s="15" t="n"/>
      <c r="E232" s="16" t="n"/>
      <c r="F232" s="18">
        <f>IF(OR(D232="",E232=""),"",D232*E232)</f>
        <v/>
      </c>
      <c r="G232" s="15" t="n"/>
    </row>
    <row r="233">
      <c r="A233" s="19" t="n"/>
      <c r="B233" s="15" t="n"/>
      <c r="C233">
        <f>IF(B233="","",IFERROR(INDEX(Items!$B$5:$B$304,MATCH(B233,Items!$A$5:$A$304,0)),"Unknown code"))</f>
        <v/>
      </c>
      <c r="D233" s="15" t="n"/>
      <c r="E233" s="16" t="n"/>
      <c r="F233" s="18">
        <f>IF(OR(D233="",E233=""),"",D233*E233)</f>
        <v/>
      </c>
      <c r="G233" s="15" t="n"/>
    </row>
    <row r="234">
      <c r="A234" s="19" t="n"/>
      <c r="B234" s="15" t="n"/>
      <c r="C234">
        <f>IF(B234="","",IFERROR(INDEX(Items!$B$5:$B$304,MATCH(B234,Items!$A$5:$A$304,0)),"Unknown code"))</f>
        <v/>
      </c>
      <c r="D234" s="15" t="n"/>
      <c r="E234" s="16" t="n"/>
      <c r="F234" s="18">
        <f>IF(OR(D234="",E234=""),"",D234*E234)</f>
        <v/>
      </c>
      <c r="G234" s="15" t="n"/>
    </row>
    <row r="235">
      <c r="A235" s="19" t="n"/>
      <c r="B235" s="15" t="n"/>
      <c r="C235">
        <f>IF(B235="","",IFERROR(INDEX(Items!$B$5:$B$304,MATCH(B235,Items!$A$5:$A$304,0)),"Unknown code"))</f>
        <v/>
      </c>
      <c r="D235" s="15" t="n"/>
      <c r="E235" s="16" t="n"/>
      <c r="F235" s="18">
        <f>IF(OR(D235="",E235=""),"",D235*E235)</f>
        <v/>
      </c>
      <c r="G235" s="15" t="n"/>
    </row>
    <row r="236">
      <c r="A236" s="19" t="n"/>
      <c r="B236" s="15" t="n"/>
      <c r="C236">
        <f>IF(B236="","",IFERROR(INDEX(Items!$B$5:$B$304,MATCH(B236,Items!$A$5:$A$304,0)),"Unknown code"))</f>
        <v/>
      </c>
      <c r="D236" s="15" t="n"/>
      <c r="E236" s="16" t="n"/>
      <c r="F236" s="18">
        <f>IF(OR(D236="",E236=""),"",D236*E236)</f>
        <v/>
      </c>
      <c r="G236" s="15" t="n"/>
    </row>
    <row r="237">
      <c r="A237" s="19" t="n"/>
      <c r="B237" s="15" t="n"/>
      <c r="C237">
        <f>IF(B237="","",IFERROR(INDEX(Items!$B$5:$B$304,MATCH(B237,Items!$A$5:$A$304,0)),"Unknown code"))</f>
        <v/>
      </c>
      <c r="D237" s="15" t="n"/>
      <c r="E237" s="16" t="n"/>
      <c r="F237" s="18">
        <f>IF(OR(D237="",E237=""),"",D237*E237)</f>
        <v/>
      </c>
      <c r="G237" s="15" t="n"/>
    </row>
    <row r="238">
      <c r="A238" s="19" t="n"/>
      <c r="B238" s="15" t="n"/>
      <c r="C238">
        <f>IF(B238="","",IFERROR(INDEX(Items!$B$5:$B$304,MATCH(B238,Items!$A$5:$A$304,0)),"Unknown code"))</f>
        <v/>
      </c>
      <c r="D238" s="15" t="n"/>
      <c r="E238" s="16" t="n"/>
      <c r="F238" s="18">
        <f>IF(OR(D238="",E238=""),"",D238*E238)</f>
        <v/>
      </c>
      <c r="G238" s="15" t="n"/>
    </row>
    <row r="239">
      <c r="A239" s="19" t="n"/>
      <c r="B239" s="15" t="n"/>
      <c r="C239">
        <f>IF(B239="","",IFERROR(INDEX(Items!$B$5:$B$304,MATCH(B239,Items!$A$5:$A$304,0)),"Unknown code"))</f>
        <v/>
      </c>
      <c r="D239" s="15" t="n"/>
      <c r="E239" s="16" t="n"/>
      <c r="F239" s="18">
        <f>IF(OR(D239="",E239=""),"",D239*E239)</f>
        <v/>
      </c>
      <c r="G239" s="15" t="n"/>
    </row>
    <row r="240">
      <c r="A240" s="19" t="n"/>
      <c r="B240" s="15" t="n"/>
      <c r="C240">
        <f>IF(B240="","",IFERROR(INDEX(Items!$B$5:$B$304,MATCH(B240,Items!$A$5:$A$304,0)),"Unknown code"))</f>
        <v/>
      </c>
      <c r="D240" s="15" t="n"/>
      <c r="E240" s="16" t="n"/>
      <c r="F240" s="18">
        <f>IF(OR(D240="",E240=""),"",D240*E240)</f>
        <v/>
      </c>
      <c r="G240" s="15" t="n"/>
    </row>
    <row r="241">
      <c r="A241" s="19" t="n"/>
      <c r="B241" s="15" t="n"/>
      <c r="C241">
        <f>IF(B241="","",IFERROR(INDEX(Items!$B$5:$B$304,MATCH(B241,Items!$A$5:$A$304,0)),"Unknown code"))</f>
        <v/>
      </c>
      <c r="D241" s="15" t="n"/>
      <c r="E241" s="16" t="n"/>
      <c r="F241" s="18">
        <f>IF(OR(D241="",E241=""),"",D241*E241)</f>
        <v/>
      </c>
      <c r="G241" s="15" t="n"/>
    </row>
    <row r="242">
      <c r="A242" s="19" t="n"/>
      <c r="B242" s="15" t="n"/>
      <c r="C242">
        <f>IF(B242="","",IFERROR(INDEX(Items!$B$5:$B$304,MATCH(B242,Items!$A$5:$A$304,0)),"Unknown code"))</f>
        <v/>
      </c>
      <c r="D242" s="15" t="n"/>
      <c r="E242" s="16" t="n"/>
      <c r="F242" s="18">
        <f>IF(OR(D242="",E242=""),"",D242*E242)</f>
        <v/>
      </c>
      <c r="G242" s="15" t="n"/>
    </row>
    <row r="243">
      <c r="A243" s="19" t="n"/>
      <c r="B243" s="15" t="n"/>
      <c r="C243">
        <f>IF(B243="","",IFERROR(INDEX(Items!$B$5:$B$304,MATCH(B243,Items!$A$5:$A$304,0)),"Unknown code"))</f>
        <v/>
      </c>
      <c r="D243" s="15" t="n"/>
      <c r="E243" s="16" t="n"/>
      <c r="F243" s="18">
        <f>IF(OR(D243="",E243=""),"",D243*E243)</f>
        <v/>
      </c>
      <c r="G243" s="15" t="n"/>
    </row>
    <row r="244">
      <c r="A244" s="19" t="n"/>
      <c r="B244" s="15" t="n"/>
      <c r="C244">
        <f>IF(B244="","",IFERROR(INDEX(Items!$B$5:$B$304,MATCH(B244,Items!$A$5:$A$304,0)),"Unknown code"))</f>
        <v/>
      </c>
      <c r="D244" s="15" t="n"/>
      <c r="E244" s="16" t="n"/>
      <c r="F244" s="18">
        <f>IF(OR(D244="",E244=""),"",D244*E244)</f>
        <v/>
      </c>
      <c r="G244" s="15" t="n"/>
    </row>
    <row r="245">
      <c r="A245" s="19" t="n"/>
      <c r="B245" s="15" t="n"/>
      <c r="C245">
        <f>IF(B245="","",IFERROR(INDEX(Items!$B$5:$B$304,MATCH(B245,Items!$A$5:$A$304,0)),"Unknown code"))</f>
        <v/>
      </c>
      <c r="D245" s="15" t="n"/>
      <c r="E245" s="16" t="n"/>
      <c r="F245" s="18">
        <f>IF(OR(D245="",E245=""),"",D245*E245)</f>
        <v/>
      </c>
      <c r="G245" s="15" t="n"/>
    </row>
    <row r="246">
      <c r="A246" s="19" t="n"/>
      <c r="B246" s="15" t="n"/>
      <c r="C246">
        <f>IF(B246="","",IFERROR(INDEX(Items!$B$5:$B$304,MATCH(B246,Items!$A$5:$A$304,0)),"Unknown code"))</f>
        <v/>
      </c>
      <c r="D246" s="15" t="n"/>
      <c r="E246" s="16" t="n"/>
      <c r="F246" s="18">
        <f>IF(OR(D246="",E246=""),"",D246*E246)</f>
        <v/>
      </c>
      <c r="G246" s="15" t="n"/>
    </row>
    <row r="247">
      <c r="A247" s="19" t="n"/>
      <c r="B247" s="15" t="n"/>
      <c r="C247">
        <f>IF(B247="","",IFERROR(INDEX(Items!$B$5:$B$304,MATCH(B247,Items!$A$5:$A$304,0)),"Unknown code"))</f>
        <v/>
      </c>
      <c r="D247" s="15" t="n"/>
      <c r="E247" s="16" t="n"/>
      <c r="F247" s="18">
        <f>IF(OR(D247="",E247=""),"",D247*E247)</f>
        <v/>
      </c>
      <c r="G247" s="15" t="n"/>
    </row>
    <row r="248">
      <c r="A248" s="19" t="n"/>
      <c r="B248" s="15" t="n"/>
      <c r="C248">
        <f>IF(B248="","",IFERROR(INDEX(Items!$B$5:$B$304,MATCH(B248,Items!$A$5:$A$304,0)),"Unknown code"))</f>
        <v/>
      </c>
      <c r="D248" s="15" t="n"/>
      <c r="E248" s="16" t="n"/>
      <c r="F248" s="18">
        <f>IF(OR(D248="",E248=""),"",D248*E248)</f>
        <v/>
      </c>
      <c r="G248" s="15" t="n"/>
    </row>
    <row r="249">
      <c r="A249" s="19" t="n"/>
      <c r="B249" s="15" t="n"/>
      <c r="C249">
        <f>IF(B249="","",IFERROR(INDEX(Items!$B$5:$B$304,MATCH(B249,Items!$A$5:$A$304,0)),"Unknown code"))</f>
        <v/>
      </c>
      <c r="D249" s="15" t="n"/>
      <c r="E249" s="16" t="n"/>
      <c r="F249" s="18">
        <f>IF(OR(D249="",E249=""),"",D249*E249)</f>
        <v/>
      </c>
      <c r="G249" s="15" t="n"/>
    </row>
    <row r="250">
      <c r="A250" s="19" t="n"/>
      <c r="B250" s="15" t="n"/>
      <c r="C250">
        <f>IF(B250="","",IFERROR(INDEX(Items!$B$5:$B$304,MATCH(B250,Items!$A$5:$A$304,0)),"Unknown code"))</f>
        <v/>
      </c>
      <c r="D250" s="15" t="n"/>
      <c r="E250" s="16" t="n"/>
      <c r="F250" s="18">
        <f>IF(OR(D250="",E250=""),"",D250*E250)</f>
        <v/>
      </c>
      <c r="G250" s="15" t="n"/>
    </row>
    <row r="251">
      <c r="A251" s="19" t="n"/>
      <c r="B251" s="15" t="n"/>
      <c r="C251">
        <f>IF(B251="","",IFERROR(INDEX(Items!$B$5:$B$304,MATCH(B251,Items!$A$5:$A$304,0)),"Unknown code"))</f>
        <v/>
      </c>
      <c r="D251" s="15" t="n"/>
      <c r="E251" s="16" t="n"/>
      <c r="F251" s="18">
        <f>IF(OR(D251="",E251=""),"",D251*E251)</f>
        <v/>
      </c>
      <c r="G251" s="15" t="n"/>
    </row>
    <row r="252">
      <c r="A252" s="19" t="n"/>
      <c r="B252" s="15" t="n"/>
      <c r="C252">
        <f>IF(B252="","",IFERROR(INDEX(Items!$B$5:$B$304,MATCH(B252,Items!$A$5:$A$304,0)),"Unknown code"))</f>
        <v/>
      </c>
      <c r="D252" s="15" t="n"/>
      <c r="E252" s="16" t="n"/>
      <c r="F252" s="18">
        <f>IF(OR(D252="",E252=""),"",D252*E252)</f>
        <v/>
      </c>
      <c r="G252" s="15" t="n"/>
    </row>
    <row r="253">
      <c r="A253" s="19" t="n"/>
      <c r="B253" s="15" t="n"/>
      <c r="C253">
        <f>IF(B253="","",IFERROR(INDEX(Items!$B$5:$B$304,MATCH(B253,Items!$A$5:$A$304,0)),"Unknown code"))</f>
        <v/>
      </c>
      <c r="D253" s="15" t="n"/>
      <c r="E253" s="16" t="n"/>
      <c r="F253" s="18">
        <f>IF(OR(D253="",E253=""),"",D253*E253)</f>
        <v/>
      </c>
      <c r="G253" s="15" t="n"/>
    </row>
    <row r="254">
      <c r="A254" s="19" t="n"/>
      <c r="B254" s="15" t="n"/>
      <c r="C254">
        <f>IF(B254="","",IFERROR(INDEX(Items!$B$5:$B$304,MATCH(B254,Items!$A$5:$A$304,0)),"Unknown code"))</f>
        <v/>
      </c>
      <c r="D254" s="15" t="n"/>
      <c r="E254" s="16" t="n"/>
      <c r="F254" s="18">
        <f>IF(OR(D254="",E254=""),"",D254*E254)</f>
        <v/>
      </c>
      <c r="G254" s="15" t="n"/>
    </row>
    <row r="255">
      <c r="A255" s="19" t="n"/>
      <c r="B255" s="15" t="n"/>
      <c r="C255">
        <f>IF(B255="","",IFERROR(INDEX(Items!$B$5:$B$304,MATCH(B255,Items!$A$5:$A$304,0)),"Unknown code"))</f>
        <v/>
      </c>
      <c r="D255" s="15" t="n"/>
      <c r="E255" s="16" t="n"/>
      <c r="F255" s="18">
        <f>IF(OR(D255="",E255=""),"",D255*E255)</f>
        <v/>
      </c>
      <c r="G255" s="15" t="n"/>
    </row>
    <row r="256">
      <c r="A256" s="19" t="n"/>
      <c r="B256" s="15" t="n"/>
      <c r="C256">
        <f>IF(B256="","",IFERROR(INDEX(Items!$B$5:$B$304,MATCH(B256,Items!$A$5:$A$304,0)),"Unknown code"))</f>
        <v/>
      </c>
      <c r="D256" s="15" t="n"/>
      <c r="E256" s="16" t="n"/>
      <c r="F256" s="18">
        <f>IF(OR(D256="",E256=""),"",D256*E256)</f>
        <v/>
      </c>
      <c r="G256" s="15" t="n"/>
    </row>
    <row r="257">
      <c r="A257" s="19" t="n"/>
      <c r="B257" s="15" t="n"/>
      <c r="C257">
        <f>IF(B257="","",IFERROR(INDEX(Items!$B$5:$B$304,MATCH(B257,Items!$A$5:$A$304,0)),"Unknown code"))</f>
        <v/>
      </c>
      <c r="D257" s="15" t="n"/>
      <c r="E257" s="16" t="n"/>
      <c r="F257" s="18">
        <f>IF(OR(D257="",E257=""),"",D257*E257)</f>
        <v/>
      </c>
      <c r="G257" s="15" t="n"/>
    </row>
    <row r="258">
      <c r="A258" s="19" t="n"/>
      <c r="B258" s="15" t="n"/>
      <c r="C258">
        <f>IF(B258="","",IFERROR(INDEX(Items!$B$5:$B$304,MATCH(B258,Items!$A$5:$A$304,0)),"Unknown code"))</f>
        <v/>
      </c>
      <c r="D258" s="15" t="n"/>
      <c r="E258" s="16" t="n"/>
      <c r="F258" s="18">
        <f>IF(OR(D258="",E258=""),"",D258*E258)</f>
        <v/>
      </c>
      <c r="G258" s="15" t="n"/>
    </row>
    <row r="259">
      <c r="A259" s="19" t="n"/>
      <c r="B259" s="15" t="n"/>
      <c r="C259">
        <f>IF(B259="","",IFERROR(INDEX(Items!$B$5:$B$304,MATCH(B259,Items!$A$5:$A$304,0)),"Unknown code"))</f>
        <v/>
      </c>
      <c r="D259" s="15" t="n"/>
      <c r="E259" s="16" t="n"/>
      <c r="F259" s="18">
        <f>IF(OR(D259="",E259=""),"",D259*E259)</f>
        <v/>
      </c>
      <c r="G259" s="15" t="n"/>
    </row>
    <row r="260">
      <c r="A260" s="19" t="n"/>
      <c r="B260" s="15" t="n"/>
      <c r="C260">
        <f>IF(B260="","",IFERROR(INDEX(Items!$B$5:$B$304,MATCH(B260,Items!$A$5:$A$304,0)),"Unknown code"))</f>
        <v/>
      </c>
      <c r="D260" s="15" t="n"/>
      <c r="E260" s="16" t="n"/>
      <c r="F260" s="18">
        <f>IF(OR(D260="",E260=""),"",D260*E260)</f>
        <v/>
      </c>
      <c r="G260" s="15" t="n"/>
    </row>
    <row r="261">
      <c r="A261" s="19" t="n"/>
      <c r="B261" s="15" t="n"/>
      <c r="C261">
        <f>IF(B261="","",IFERROR(INDEX(Items!$B$5:$B$304,MATCH(B261,Items!$A$5:$A$304,0)),"Unknown code"))</f>
        <v/>
      </c>
      <c r="D261" s="15" t="n"/>
      <c r="E261" s="16" t="n"/>
      <c r="F261" s="18">
        <f>IF(OR(D261="",E261=""),"",D261*E261)</f>
        <v/>
      </c>
      <c r="G261" s="15" t="n"/>
    </row>
    <row r="262">
      <c r="A262" s="19" t="n"/>
      <c r="B262" s="15" t="n"/>
      <c r="C262">
        <f>IF(B262="","",IFERROR(INDEX(Items!$B$5:$B$304,MATCH(B262,Items!$A$5:$A$304,0)),"Unknown code"))</f>
        <v/>
      </c>
      <c r="D262" s="15" t="n"/>
      <c r="E262" s="16" t="n"/>
      <c r="F262" s="18">
        <f>IF(OR(D262="",E262=""),"",D262*E262)</f>
        <v/>
      </c>
      <c r="G262" s="15" t="n"/>
    </row>
    <row r="263">
      <c r="A263" s="19" t="n"/>
      <c r="B263" s="15" t="n"/>
      <c r="C263">
        <f>IF(B263="","",IFERROR(INDEX(Items!$B$5:$B$304,MATCH(B263,Items!$A$5:$A$304,0)),"Unknown code"))</f>
        <v/>
      </c>
      <c r="D263" s="15" t="n"/>
      <c r="E263" s="16" t="n"/>
      <c r="F263" s="18">
        <f>IF(OR(D263="",E263=""),"",D263*E263)</f>
        <v/>
      </c>
      <c r="G263" s="15" t="n"/>
    </row>
    <row r="264">
      <c r="A264" s="19" t="n"/>
      <c r="B264" s="15" t="n"/>
      <c r="C264">
        <f>IF(B264="","",IFERROR(INDEX(Items!$B$5:$B$304,MATCH(B264,Items!$A$5:$A$304,0)),"Unknown code"))</f>
        <v/>
      </c>
      <c r="D264" s="15" t="n"/>
      <c r="E264" s="16" t="n"/>
      <c r="F264" s="18">
        <f>IF(OR(D264="",E264=""),"",D264*E264)</f>
        <v/>
      </c>
      <c r="G264" s="15" t="n"/>
    </row>
    <row r="265">
      <c r="A265" s="19" t="n"/>
      <c r="B265" s="15" t="n"/>
      <c r="C265">
        <f>IF(B265="","",IFERROR(INDEX(Items!$B$5:$B$304,MATCH(B265,Items!$A$5:$A$304,0)),"Unknown code"))</f>
        <v/>
      </c>
      <c r="D265" s="15" t="n"/>
      <c r="E265" s="16" t="n"/>
      <c r="F265" s="18">
        <f>IF(OR(D265="",E265=""),"",D265*E265)</f>
        <v/>
      </c>
      <c r="G265" s="15" t="n"/>
    </row>
    <row r="266">
      <c r="A266" s="19" t="n"/>
      <c r="B266" s="15" t="n"/>
      <c r="C266">
        <f>IF(B266="","",IFERROR(INDEX(Items!$B$5:$B$304,MATCH(B266,Items!$A$5:$A$304,0)),"Unknown code"))</f>
        <v/>
      </c>
      <c r="D266" s="15" t="n"/>
      <c r="E266" s="16" t="n"/>
      <c r="F266" s="18">
        <f>IF(OR(D266="",E266=""),"",D266*E266)</f>
        <v/>
      </c>
      <c r="G266" s="15" t="n"/>
    </row>
    <row r="267">
      <c r="A267" s="19" t="n"/>
      <c r="B267" s="15" t="n"/>
      <c r="C267">
        <f>IF(B267="","",IFERROR(INDEX(Items!$B$5:$B$304,MATCH(B267,Items!$A$5:$A$304,0)),"Unknown code"))</f>
        <v/>
      </c>
      <c r="D267" s="15" t="n"/>
      <c r="E267" s="16" t="n"/>
      <c r="F267" s="18">
        <f>IF(OR(D267="",E267=""),"",D267*E267)</f>
        <v/>
      </c>
      <c r="G267" s="15" t="n"/>
    </row>
    <row r="268">
      <c r="A268" s="19" t="n"/>
      <c r="B268" s="15" t="n"/>
      <c r="C268">
        <f>IF(B268="","",IFERROR(INDEX(Items!$B$5:$B$304,MATCH(B268,Items!$A$5:$A$304,0)),"Unknown code"))</f>
        <v/>
      </c>
      <c r="D268" s="15" t="n"/>
      <c r="E268" s="16" t="n"/>
      <c r="F268" s="18">
        <f>IF(OR(D268="",E268=""),"",D268*E268)</f>
        <v/>
      </c>
      <c r="G268" s="15" t="n"/>
    </row>
    <row r="269">
      <c r="A269" s="19" t="n"/>
      <c r="B269" s="15" t="n"/>
      <c r="C269">
        <f>IF(B269="","",IFERROR(INDEX(Items!$B$5:$B$304,MATCH(B269,Items!$A$5:$A$304,0)),"Unknown code"))</f>
        <v/>
      </c>
      <c r="D269" s="15" t="n"/>
      <c r="E269" s="16" t="n"/>
      <c r="F269" s="18">
        <f>IF(OR(D269="",E269=""),"",D269*E269)</f>
        <v/>
      </c>
      <c r="G269" s="15" t="n"/>
    </row>
    <row r="270">
      <c r="A270" s="19" t="n"/>
      <c r="B270" s="15" t="n"/>
      <c r="C270">
        <f>IF(B270="","",IFERROR(INDEX(Items!$B$5:$B$304,MATCH(B270,Items!$A$5:$A$304,0)),"Unknown code"))</f>
        <v/>
      </c>
      <c r="D270" s="15" t="n"/>
      <c r="E270" s="16" t="n"/>
      <c r="F270" s="18">
        <f>IF(OR(D270="",E270=""),"",D270*E270)</f>
        <v/>
      </c>
      <c r="G270" s="15" t="n"/>
    </row>
    <row r="271">
      <c r="A271" s="19" t="n"/>
      <c r="B271" s="15" t="n"/>
      <c r="C271">
        <f>IF(B271="","",IFERROR(INDEX(Items!$B$5:$B$304,MATCH(B271,Items!$A$5:$A$304,0)),"Unknown code"))</f>
        <v/>
      </c>
      <c r="D271" s="15" t="n"/>
      <c r="E271" s="16" t="n"/>
      <c r="F271" s="18">
        <f>IF(OR(D271="",E271=""),"",D271*E271)</f>
        <v/>
      </c>
      <c r="G271" s="15" t="n"/>
    </row>
    <row r="272">
      <c r="A272" s="19" t="n"/>
      <c r="B272" s="15" t="n"/>
      <c r="C272">
        <f>IF(B272="","",IFERROR(INDEX(Items!$B$5:$B$304,MATCH(B272,Items!$A$5:$A$304,0)),"Unknown code"))</f>
        <v/>
      </c>
      <c r="D272" s="15" t="n"/>
      <c r="E272" s="16" t="n"/>
      <c r="F272" s="18">
        <f>IF(OR(D272="",E272=""),"",D272*E272)</f>
        <v/>
      </c>
      <c r="G272" s="15" t="n"/>
    </row>
    <row r="273">
      <c r="A273" s="19" t="n"/>
      <c r="B273" s="15" t="n"/>
      <c r="C273">
        <f>IF(B273="","",IFERROR(INDEX(Items!$B$5:$B$304,MATCH(B273,Items!$A$5:$A$304,0)),"Unknown code"))</f>
        <v/>
      </c>
      <c r="D273" s="15" t="n"/>
      <c r="E273" s="16" t="n"/>
      <c r="F273" s="18">
        <f>IF(OR(D273="",E273=""),"",D273*E273)</f>
        <v/>
      </c>
      <c r="G273" s="15" t="n"/>
    </row>
    <row r="274">
      <c r="A274" s="19" t="n"/>
      <c r="B274" s="15" t="n"/>
      <c r="C274">
        <f>IF(B274="","",IFERROR(INDEX(Items!$B$5:$B$304,MATCH(B274,Items!$A$5:$A$304,0)),"Unknown code"))</f>
        <v/>
      </c>
      <c r="D274" s="15" t="n"/>
      <c r="E274" s="16" t="n"/>
      <c r="F274" s="18">
        <f>IF(OR(D274="",E274=""),"",D274*E274)</f>
        <v/>
      </c>
      <c r="G274" s="15" t="n"/>
    </row>
    <row r="275">
      <c r="A275" s="19" t="n"/>
      <c r="B275" s="15" t="n"/>
      <c r="C275">
        <f>IF(B275="","",IFERROR(INDEX(Items!$B$5:$B$304,MATCH(B275,Items!$A$5:$A$304,0)),"Unknown code"))</f>
        <v/>
      </c>
      <c r="D275" s="15" t="n"/>
      <c r="E275" s="16" t="n"/>
      <c r="F275" s="18">
        <f>IF(OR(D275="",E275=""),"",D275*E275)</f>
        <v/>
      </c>
      <c r="G275" s="15" t="n"/>
    </row>
    <row r="276">
      <c r="A276" s="19" t="n"/>
      <c r="B276" s="15" t="n"/>
      <c r="C276">
        <f>IF(B276="","",IFERROR(INDEX(Items!$B$5:$B$304,MATCH(B276,Items!$A$5:$A$304,0)),"Unknown code"))</f>
        <v/>
      </c>
      <c r="D276" s="15" t="n"/>
      <c r="E276" s="16" t="n"/>
      <c r="F276" s="18">
        <f>IF(OR(D276="",E276=""),"",D276*E276)</f>
        <v/>
      </c>
      <c r="G276" s="15" t="n"/>
    </row>
    <row r="277">
      <c r="A277" s="19" t="n"/>
      <c r="B277" s="15" t="n"/>
      <c r="C277">
        <f>IF(B277="","",IFERROR(INDEX(Items!$B$5:$B$304,MATCH(B277,Items!$A$5:$A$304,0)),"Unknown code"))</f>
        <v/>
      </c>
      <c r="D277" s="15" t="n"/>
      <c r="E277" s="16" t="n"/>
      <c r="F277" s="18">
        <f>IF(OR(D277="",E277=""),"",D277*E277)</f>
        <v/>
      </c>
      <c r="G277" s="15" t="n"/>
    </row>
    <row r="278">
      <c r="A278" s="19" t="n"/>
      <c r="B278" s="15" t="n"/>
      <c r="C278">
        <f>IF(B278="","",IFERROR(INDEX(Items!$B$5:$B$304,MATCH(B278,Items!$A$5:$A$304,0)),"Unknown code"))</f>
        <v/>
      </c>
      <c r="D278" s="15" t="n"/>
      <c r="E278" s="16" t="n"/>
      <c r="F278" s="18">
        <f>IF(OR(D278="",E278=""),"",D278*E278)</f>
        <v/>
      </c>
      <c r="G278" s="15" t="n"/>
    </row>
    <row r="279">
      <c r="A279" s="19" t="n"/>
      <c r="B279" s="15" t="n"/>
      <c r="C279">
        <f>IF(B279="","",IFERROR(INDEX(Items!$B$5:$B$304,MATCH(B279,Items!$A$5:$A$304,0)),"Unknown code"))</f>
        <v/>
      </c>
      <c r="D279" s="15" t="n"/>
      <c r="E279" s="16" t="n"/>
      <c r="F279" s="18">
        <f>IF(OR(D279="",E279=""),"",D279*E279)</f>
        <v/>
      </c>
      <c r="G279" s="15" t="n"/>
    </row>
    <row r="280">
      <c r="A280" s="19" t="n"/>
      <c r="B280" s="15" t="n"/>
      <c r="C280">
        <f>IF(B280="","",IFERROR(INDEX(Items!$B$5:$B$304,MATCH(B280,Items!$A$5:$A$304,0)),"Unknown code"))</f>
        <v/>
      </c>
      <c r="D280" s="15" t="n"/>
      <c r="E280" s="16" t="n"/>
      <c r="F280" s="18">
        <f>IF(OR(D280="",E280=""),"",D280*E280)</f>
        <v/>
      </c>
      <c r="G280" s="15" t="n"/>
    </row>
    <row r="281">
      <c r="A281" s="19" t="n"/>
      <c r="B281" s="15" t="n"/>
      <c r="C281">
        <f>IF(B281="","",IFERROR(INDEX(Items!$B$5:$B$304,MATCH(B281,Items!$A$5:$A$304,0)),"Unknown code"))</f>
        <v/>
      </c>
      <c r="D281" s="15" t="n"/>
      <c r="E281" s="16" t="n"/>
      <c r="F281" s="18">
        <f>IF(OR(D281="",E281=""),"",D281*E281)</f>
        <v/>
      </c>
      <c r="G281" s="15" t="n"/>
    </row>
    <row r="282">
      <c r="A282" s="19" t="n"/>
      <c r="B282" s="15" t="n"/>
      <c r="C282">
        <f>IF(B282="","",IFERROR(INDEX(Items!$B$5:$B$304,MATCH(B282,Items!$A$5:$A$304,0)),"Unknown code"))</f>
        <v/>
      </c>
      <c r="D282" s="15" t="n"/>
      <c r="E282" s="16" t="n"/>
      <c r="F282" s="18">
        <f>IF(OR(D282="",E282=""),"",D282*E282)</f>
        <v/>
      </c>
      <c r="G282" s="15" t="n"/>
    </row>
    <row r="283">
      <c r="A283" s="19" t="n"/>
      <c r="B283" s="15" t="n"/>
      <c r="C283">
        <f>IF(B283="","",IFERROR(INDEX(Items!$B$5:$B$304,MATCH(B283,Items!$A$5:$A$304,0)),"Unknown code"))</f>
        <v/>
      </c>
      <c r="D283" s="15" t="n"/>
      <c r="E283" s="16" t="n"/>
      <c r="F283" s="18">
        <f>IF(OR(D283="",E283=""),"",D283*E283)</f>
        <v/>
      </c>
      <c r="G283" s="15" t="n"/>
    </row>
    <row r="284">
      <c r="A284" s="19" t="n"/>
      <c r="B284" s="15" t="n"/>
      <c r="C284">
        <f>IF(B284="","",IFERROR(INDEX(Items!$B$5:$B$304,MATCH(B284,Items!$A$5:$A$304,0)),"Unknown code"))</f>
        <v/>
      </c>
      <c r="D284" s="15" t="n"/>
      <c r="E284" s="16" t="n"/>
      <c r="F284" s="18">
        <f>IF(OR(D284="",E284=""),"",D284*E284)</f>
        <v/>
      </c>
      <c r="G284" s="15" t="n"/>
    </row>
    <row r="285">
      <c r="A285" s="19" t="n"/>
      <c r="B285" s="15" t="n"/>
      <c r="C285">
        <f>IF(B285="","",IFERROR(INDEX(Items!$B$5:$B$304,MATCH(B285,Items!$A$5:$A$304,0)),"Unknown code"))</f>
        <v/>
      </c>
      <c r="D285" s="15" t="n"/>
      <c r="E285" s="16" t="n"/>
      <c r="F285" s="18">
        <f>IF(OR(D285="",E285=""),"",D285*E285)</f>
        <v/>
      </c>
      <c r="G285" s="15" t="n"/>
    </row>
    <row r="286">
      <c r="A286" s="19" t="n"/>
      <c r="B286" s="15" t="n"/>
      <c r="C286">
        <f>IF(B286="","",IFERROR(INDEX(Items!$B$5:$B$304,MATCH(B286,Items!$A$5:$A$304,0)),"Unknown code"))</f>
        <v/>
      </c>
      <c r="D286" s="15" t="n"/>
      <c r="E286" s="16" t="n"/>
      <c r="F286" s="18">
        <f>IF(OR(D286="",E286=""),"",D286*E286)</f>
        <v/>
      </c>
      <c r="G286" s="15" t="n"/>
    </row>
    <row r="287">
      <c r="A287" s="19" t="n"/>
      <c r="B287" s="15" t="n"/>
      <c r="C287">
        <f>IF(B287="","",IFERROR(INDEX(Items!$B$5:$B$304,MATCH(B287,Items!$A$5:$A$304,0)),"Unknown code"))</f>
        <v/>
      </c>
      <c r="D287" s="15" t="n"/>
      <c r="E287" s="16" t="n"/>
      <c r="F287" s="18">
        <f>IF(OR(D287="",E287=""),"",D287*E287)</f>
        <v/>
      </c>
      <c r="G287" s="15" t="n"/>
    </row>
    <row r="288">
      <c r="A288" s="19" t="n"/>
      <c r="B288" s="15" t="n"/>
      <c r="C288">
        <f>IF(B288="","",IFERROR(INDEX(Items!$B$5:$B$304,MATCH(B288,Items!$A$5:$A$304,0)),"Unknown code"))</f>
        <v/>
      </c>
      <c r="D288" s="15" t="n"/>
      <c r="E288" s="16" t="n"/>
      <c r="F288" s="18">
        <f>IF(OR(D288="",E288=""),"",D288*E288)</f>
        <v/>
      </c>
      <c r="G288" s="15" t="n"/>
    </row>
    <row r="289">
      <c r="A289" s="19" t="n"/>
      <c r="B289" s="15" t="n"/>
      <c r="C289">
        <f>IF(B289="","",IFERROR(INDEX(Items!$B$5:$B$304,MATCH(B289,Items!$A$5:$A$304,0)),"Unknown code"))</f>
        <v/>
      </c>
      <c r="D289" s="15" t="n"/>
      <c r="E289" s="16" t="n"/>
      <c r="F289" s="18">
        <f>IF(OR(D289="",E289=""),"",D289*E289)</f>
        <v/>
      </c>
      <c r="G289" s="15" t="n"/>
    </row>
    <row r="290">
      <c r="A290" s="19" t="n"/>
      <c r="B290" s="15" t="n"/>
      <c r="C290">
        <f>IF(B290="","",IFERROR(INDEX(Items!$B$5:$B$304,MATCH(B290,Items!$A$5:$A$304,0)),"Unknown code"))</f>
        <v/>
      </c>
      <c r="D290" s="15" t="n"/>
      <c r="E290" s="16" t="n"/>
      <c r="F290" s="18">
        <f>IF(OR(D290="",E290=""),"",D290*E290)</f>
        <v/>
      </c>
      <c r="G290" s="15" t="n"/>
    </row>
    <row r="291">
      <c r="A291" s="19" t="n"/>
      <c r="B291" s="15" t="n"/>
      <c r="C291">
        <f>IF(B291="","",IFERROR(INDEX(Items!$B$5:$B$304,MATCH(B291,Items!$A$5:$A$304,0)),"Unknown code"))</f>
        <v/>
      </c>
      <c r="D291" s="15" t="n"/>
      <c r="E291" s="16" t="n"/>
      <c r="F291" s="18">
        <f>IF(OR(D291="",E291=""),"",D291*E291)</f>
        <v/>
      </c>
      <c r="G291" s="15" t="n"/>
    </row>
    <row r="292">
      <c r="A292" s="19" t="n"/>
      <c r="B292" s="15" t="n"/>
      <c r="C292">
        <f>IF(B292="","",IFERROR(INDEX(Items!$B$5:$B$304,MATCH(B292,Items!$A$5:$A$304,0)),"Unknown code"))</f>
        <v/>
      </c>
      <c r="D292" s="15" t="n"/>
      <c r="E292" s="16" t="n"/>
      <c r="F292" s="18">
        <f>IF(OR(D292="",E292=""),"",D292*E292)</f>
        <v/>
      </c>
      <c r="G292" s="15" t="n"/>
    </row>
    <row r="293">
      <c r="A293" s="19" t="n"/>
      <c r="B293" s="15" t="n"/>
      <c r="C293">
        <f>IF(B293="","",IFERROR(INDEX(Items!$B$5:$B$304,MATCH(B293,Items!$A$5:$A$304,0)),"Unknown code"))</f>
        <v/>
      </c>
      <c r="D293" s="15" t="n"/>
      <c r="E293" s="16" t="n"/>
      <c r="F293" s="18">
        <f>IF(OR(D293="",E293=""),"",D293*E293)</f>
        <v/>
      </c>
      <c r="G293" s="15" t="n"/>
    </row>
    <row r="294">
      <c r="A294" s="19" t="n"/>
      <c r="B294" s="15" t="n"/>
      <c r="C294">
        <f>IF(B294="","",IFERROR(INDEX(Items!$B$5:$B$304,MATCH(B294,Items!$A$5:$A$304,0)),"Unknown code"))</f>
        <v/>
      </c>
      <c r="D294" s="15" t="n"/>
      <c r="E294" s="16" t="n"/>
      <c r="F294" s="18">
        <f>IF(OR(D294="",E294=""),"",D294*E294)</f>
        <v/>
      </c>
      <c r="G294" s="15" t="n"/>
    </row>
    <row r="295">
      <c r="A295" s="19" t="n"/>
      <c r="B295" s="15" t="n"/>
      <c r="C295">
        <f>IF(B295="","",IFERROR(INDEX(Items!$B$5:$B$304,MATCH(B295,Items!$A$5:$A$304,0)),"Unknown code"))</f>
        <v/>
      </c>
      <c r="D295" s="15" t="n"/>
      <c r="E295" s="16" t="n"/>
      <c r="F295" s="18">
        <f>IF(OR(D295="",E295=""),"",D295*E295)</f>
        <v/>
      </c>
      <c r="G295" s="15" t="n"/>
    </row>
    <row r="296">
      <c r="A296" s="19" t="n"/>
      <c r="B296" s="15" t="n"/>
      <c r="C296">
        <f>IF(B296="","",IFERROR(INDEX(Items!$B$5:$B$304,MATCH(B296,Items!$A$5:$A$304,0)),"Unknown code"))</f>
        <v/>
      </c>
      <c r="D296" s="15" t="n"/>
      <c r="E296" s="16" t="n"/>
      <c r="F296" s="18">
        <f>IF(OR(D296="",E296=""),"",D296*E296)</f>
        <v/>
      </c>
      <c r="G296" s="15" t="n"/>
    </row>
    <row r="297">
      <c r="A297" s="19" t="n"/>
      <c r="B297" s="15" t="n"/>
      <c r="C297">
        <f>IF(B297="","",IFERROR(INDEX(Items!$B$5:$B$304,MATCH(B297,Items!$A$5:$A$304,0)),"Unknown code"))</f>
        <v/>
      </c>
      <c r="D297" s="15" t="n"/>
      <c r="E297" s="16" t="n"/>
      <c r="F297" s="18">
        <f>IF(OR(D297="",E297=""),"",D297*E297)</f>
        <v/>
      </c>
      <c r="G297" s="15" t="n"/>
    </row>
    <row r="298">
      <c r="A298" s="19" t="n"/>
      <c r="B298" s="15" t="n"/>
      <c r="C298">
        <f>IF(B298="","",IFERROR(INDEX(Items!$B$5:$B$304,MATCH(B298,Items!$A$5:$A$304,0)),"Unknown code"))</f>
        <v/>
      </c>
      <c r="D298" s="15" t="n"/>
      <c r="E298" s="16" t="n"/>
      <c r="F298" s="18">
        <f>IF(OR(D298="",E298=""),"",D298*E298)</f>
        <v/>
      </c>
      <c r="G298" s="15" t="n"/>
    </row>
    <row r="299">
      <c r="A299" s="19" t="n"/>
      <c r="B299" s="15" t="n"/>
      <c r="C299">
        <f>IF(B299="","",IFERROR(INDEX(Items!$B$5:$B$304,MATCH(B299,Items!$A$5:$A$304,0)),"Unknown code"))</f>
        <v/>
      </c>
      <c r="D299" s="15" t="n"/>
      <c r="E299" s="16" t="n"/>
      <c r="F299" s="18">
        <f>IF(OR(D299="",E299=""),"",D299*E299)</f>
        <v/>
      </c>
      <c r="G299" s="15" t="n"/>
    </row>
    <row r="300">
      <c r="A300" s="19" t="n"/>
      <c r="B300" s="15" t="n"/>
      <c r="C300">
        <f>IF(B300="","",IFERROR(INDEX(Items!$B$5:$B$304,MATCH(B300,Items!$A$5:$A$304,0)),"Unknown code"))</f>
        <v/>
      </c>
      <c r="D300" s="15" t="n"/>
      <c r="E300" s="16" t="n"/>
      <c r="F300" s="18">
        <f>IF(OR(D300="",E300=""),"",D300*E300)</f>
        <v/>
      </c>
      <c r="G300" s="15" t="n"/>
    </row>
    <row r="301">
      <c r="A301" s="19" t="n"/>
      <c r="B301" s="15" t="n"/>
      <c r="C301">
        <f>IF(B301="","",IFERROR(INDEX(Items!$B$5:$B$304,MATCH(B301,Items!$A$5:$A$304,0)),"Unknown code"))</f>
        <v/>
      </c>
      <c r="D301" s="15" t="n"/>
      <c r="E301" s="16" t="n"/>
      <c r="F301" s="18">
        <f>IF(OR(D301="",E301=""),"",D301*E301)</f>
        <v/>
      </c>
      <c r="G301" s="15" t="n"/>
    </row>
    <row r="302">
      <c r="A302" s="19" t="n"/>
      <c r="B302" s="15" t="n"/>
      <c r="C302">
        <f>IF(B302="","",IFERROR(INDEX(Items!$B$5:$B$304,MATCH(B302,Items!$A$5:$A$304,0)),"Unknown code"))</f>
        <v/>
      </c>
      <c r="D302" s="15" t="n"/>
      <c r="E302" s="16" t="n"/>
      <c r="F302" s="18">
        <f>IF(OR(D302="",E302=""),"",D302*E302)</f>
        <v/>
      </c>
      <c r="G302" s="15" t="n"/>
    </row>
    <row r="303">
      <c r="A303" s="19" t="n"/>
      <c r="B303" s="15" t="n"/>
      <c r="C303">
        <f>IF(B303="","",IFERROR(INDEX(Items!$B$5:$B$304,MATCH(B303,Items!$A$5:$A$304,0)),"Unknown code"))</f>
        <v/>
      </c>
      <c r="D303" s="15" t="n"/>
      <c r="E303" s="16" t="n"/>
      <c r="F303" s="18">
        <f>IF(OR(D303="",E303=""),"",D303*E303)</f>
        <v/>
      </c>
      <c r="G303" s="15" t="n"/>
    </row>
    <row r="304">
      <c r="A304" s="19" t="n"/>
      <c r="B304" s="15" t="n"/>
      <c r="C304">
        <f>IF(B304="","",IFERROR(INDEX(Items!$B$5:$B$304,MATCH(B304,Items!$A$5:$A$304,0)),"Unknown code"))</f>
        <v/>
      </c>
      <c r="D304" s="15" t="n"/>
      <c r="E304" s="16" t="n"/>
      <c r="F304" s="18">
        <f>IF(OR(D304="",E304=""),"",D304*E304)</f>
        <v/>
      </c>
      <c r="G304" s="15" t="n"/>
    </row>
    <row r="305">
      <c r="A305" s="19" t="n"/>
      <c r="B305" s="15" t="n"/>
      <c r="C305">
        <f>IF(B305="","",IFERROR(INDEX(Items!$B$5:$B$304,MATCH(B305,Items!$A$5:$A$304,0)),"Unknown code"))</f>
        <v/>
      </c>
      <c r="D305" s="15" t="n"/>
      <c r="E305" s="16" t="n"/>
      <c r="F305" s="18">
        <f>IF(OR(D305="",E305=""),"",D305*E305)</f>
        <v/>
      </c>
      <c r="G305" s="15" t="n"/>
    </row>
    <row r="306">
      <c r="A306" s="19" t="n"/>
      <c r="B306" s="15" t="n"/>
      <c r="C306">
        <f>IF(B306="","",IFERROR(INDEX(Items!$B$5:$B$304,MATCH(B306,Items!$A$5:$A$304,0)),"Unknown code"))</f>
        <v/>
      </c>
      <c r="D306" s="15" t="n"/>
      <c r="E306" s="16" t="n"/>
      <c r="F306" s="18">
        <f>IF(OR(D306="",E306=""),"",D306*E306)</f>
        <v/>
      </c>
      <c r="G306" s="15" t="n"/>
    </row>
    <row r="307">
      <c r="A307" s="19" t="n"/>
      <c r="B307" s="15" t="n"/>
      <c r="C307">
        <f>IF(B307="","",IFERROR(INDEX(Items!$B$5:$B$304,MATCH(B307,Items!$A$5:$A$304,0)),"Unknown code"))</f>
        <v/>
      </c>
      <c r="D307" s="15" t="n"/>
      <c r="E307" s="16" t="n"/>
      <c r="F307" s="18">
        <f>IF(OR(D307="",E307=""),"",D307*E307)</f>
        <v/>
      </c>
      <c r="G307" s="15" t="n"/>
    </row>
    <row r="308">
      <c r="A308" s="19" t="n"/>
      <c r="B308" s="15" t="n"/>
      <c r="C308">
        <f>IF(B308="","",IFERROR(INDEX(Items!$B$5:$B$304,MATCH(B308,Items!$A$5:$A$304,0)),"Unknown code"))</f>
        <v/>
      </c>
      <c r="D308" s="15" t="n"/>
      <c r="E308" s="16" t="n"/>
      <c r="F308" s="18">
        <f>IF(OR(D308="",E308=""),"",D308*E308)</f>
        <v/>
      </c>
      <c r="G308" s="15" t="n"/>
    </row>
    <row r="309">
      <c r="A309" s="19" t="n"/>
      <c r="B309" s="15" t="n"/>
      <c r="C309">
        <f>IF(B309="","",IFERROR(INDEX(Items!$B$5:$B$304,MATCH(B309,Items!$A$5:$A$304,0)),"Unknown code"))</f>
        <v/>
      </c>
      <c r="D309" s="15" t="n"/>
      <c r="E309" s="16" t="n"/>
      <c r="F309" s="18">
        <f>IF(OR(D309="",E309=""),"",D309*E309)</f>
        <v/>
      </c>
      <c r="G309" s="15" t="n"/>
    </row>
    <row r="310">
      <c r="A310" s="19" t="n"/>
      <c r="B310" s="15" t="n"/>
      <c r="C310">
        <f>IF(B310="","",IFERROR(INDEX(Items!$B$5:$B$304,MATCH(B310,Items!$A$5:$A$304,0)),"Unknown code"))</f>
        <v/>
      </c>
      <c r="D310" s="15" t="n"/>
      <c r="E310" s="16" t="n"/>
      <c r="F310" s="18">
        <f>IF(OR(D310="",E310=""),"",D310*E310)</f>
        <v/>
      </c>
      <c r="G310" s="15" t="n"/>
    </row>
    <row r="311">
      <c r="A311" s="19" t="n"/>
      <c r="B311" s="15" t="n"/>
      <c r="C311">
        <f>IF(B311="","",IFERROR(INDEX(Items!$B$5:$B$304,MATCH(B311,Items!$A$5:$A$304,0)),"Unknown code"))</f>
        <v/>
      </c>
      <c r="D311" s="15" t="n"/>
      <c r="E311" s="16" t="n"/>
      <c r="F311" s="18">
        <f>IF(OR(D311="",E311=""),"",D311*E311)</f>
        <v/>
      </c>
      <c r="G311" s="15" t="n"/>
    </row>
    <row r="312">
      <c r="A312" s="19" t="n"/>
      <c r="B312" s="15" t="n"/>
      <c r="C312">
        <f>IF(B312="","",IFERROR(INDEX(Items!$B$5:$B$304,MATCH(B312,Items!$A$5:$A$304,0)),"Unknown code"))</f>
        <v/>
      </c>
      <c r="D312" s="15" t="n"/>
      <c r="E312" s="16" t="n"/>
      <c r="F312" s="18">
        <f>IF(OR(D312="",E312=""),"",D312*E312)</f>
        <v/>
      </c>
      <c r="G312" s="15" t="n"/>
    </row>
    <row r="313">
      <c r="A313" s="19" t="n"/>
      <c r="B313" s="15" t="n"/>
      <c r="C313">
        <f>IF(B313="","",IFERROR(INDEX(Items!$B$5:$B$304,MATCH(B313,Items!$A$5:$A$304,0)),"Unknown code"))</f>
        <v/>
      </c>
      <c r="D313" s="15" t="n"/>
      <c r="E313" s="16" t="n"/>
      <c r="F313" s="18">
        <f>IF(OR(D313="",E313=""),"",D313*E313)</f>
        <v/>
      </c>
      <c r="G313" s="15" t="n"/>
    </row>
    <row r="314">
      <c r="A314" s="19" t="n"/>
      <c r="B314" s="15" t="n"/>
      <c r="C314">
        <f>IF(B314="","",IFERROR(INDEX(Items!$B$5:$B$304,MATCH(B314,Items!$A$5:$A$304,0)),"Unknown code"))</f>
        <v/>
      </c>
      <c r="D314" s="15" t="n"/>
      <c r="E314" s="16" t="n"/>
      <c r="F314" s="18">
        <f>IF(OR(D314="",E314=""),"",D314*E314)</f>
        <v/>
      </c>
      <c r="G314" s="15" t="n"/>
    </row>
    <row r="315">
      <c r="A315" s="19" t="n"/>
      <c r="B315" s="15" t="n"/>
      <c r="C315">
        <f>IF(B315="","",IFERROR(INDEX(Items!$B$5:$B$304,MATCH(B315,Items!$A$5:$A$304,0)),"Unknown code"))</f>
        <v/>
      </c>
      <c r="D315" s="15" t="n"/>
      <c r="E315" s="16" t="n"/>
      <c r="F315" s="18">
        <f>IF(OR(D315="",E315=""),"",D315*E315)</f>
        <v/>
      </c>
      <c r="G315" s="15" t="n"/>
    </row>
    <row r="316">
      <c r="A316" s="19" t="n"/>
      <c r="B316" s="15" t="n"/>
      <c r="C316">
        <f>IF(B316="","",IFERROR(INDEX(Items!$B$5:$B$304,MATCH(B316,Items!$A$5:$A$304,0)),"Unknown code"))</f>
        <v/>
      </c>
      <c r="D316" s="15" t="n"/>
      <c r="E316" s="16" t="n"/>
      <c r="F316" s="18">
        <f>IF(OR(D316="",E316=""),"",D316*E316)</f>
        <v/>
      </c>
      <c r="G316" s="15" t="n"/>
    </row>
    <row r="317">
      <c r="A317" s="19" t="n"/>
      <c r="B317" s="15" t="n"/>
      <c r="C317">
        <f>IF(B317="","",IFERROR(INDEX(Items!$B$5:$B$304,MATCH(B317,Items!$A$5:$A$304,0)),"Unknown code"))</f>
        <v/>
      </c>
      <c r="D317" s="15" t="n"/>
      <c r="E317" s="16" t="n"/>
      <c r="F317" s="18">
        <f>IF(OR(D317="",E317=""),"",D317*E317)</f>
        <v/>
      </c>
      <c r="G317" s="15" t="n"/>
    </row>
    <row r="318">
      <c r="A318" s="19" t="n"/>
      <c r="B318" s="15" t="n"/>
      <c r="C318">
        <f>IF(B318="","",IFERROR(INDEX(Items!$B$5:$B$304,MATCH(B318,Items!$A$5:$A$304,0)),"Unknown code"))</f>
        <v/>
      </c>
      <c r="D318" s="15" t="n"/>
      <c r="E318" s="16" t="n"/>
      <c r="F318" s="18">
        <f>IF(OR(D318="",E318=""),"",D318*E318)</f>
        <v/>
      </c>
      <c r="G318" s="15" t="n"/>
    </row>
    <row r="319">
      <c r="A319" s="19" t="n"/>
      <c r="B319" s="15" t="n"/>
      <c r="C319">
        <f>IF(B319="","",IFERROR(INDEX(Items!$B$5:$B$304,MATCH(B319,Items!$A$5:$A$304,0)),"Unknown code"))</f>
        <v/>
      </c>
      <c r="D319" s="15" t="n"/>
      <c r="E319" s="16" t="n"/>
      <c r="F319" s="18">
        <f>IF(OR(D319="",E319=""),"",D319*E319)</f>
        <v/>
      </c>
      <c r="G319" s="15" t="n"/>
    </row>
    <row r="320">
      <c r="A320" s="19" t="n"/>
      <c r="B320" s="15" t="n"/>
      <c r="C320">
        <f>IF(B320="","",IFERROR(INDEX(Items!$B$5:$B$304,MATCH(B320,Items!$A$5:$A$304,0)),"Unknown code"))</f>
        <v/>
      </c>
      <c r="D320" s="15" t="n"/>
      <c r="E320" s="16" t="n"/>
      <c r="F320" s="18">
        <f>IF(OR(D320="",E320=""),"",D320*E320)</f>
        <v/>
      </c>
      <c r="G320" s="15" t="n"/>
    </row>
    <row r="321">
      <c r="A321" s="19" t="n"/>
      <c r="B321" s="15" t="n"/>
      <c r="C321">
        <f>IF(B321="","",IFERROR(INDEX(Items!$B$5:$B$304,MATCH(B321,Items!$A$5:$A$304,0)),"Unknown code"))</f>
        <v/>
      </c>
      <c r="D321" s="15" t="n"/>
      <c r="E321" s="16" t="n"/>
      <c r="F321" s="18">
        <f>IF(OR(D321="",E321=""),"",D321*E321)</f>
        <v/>
      </c>
      <c r="G321" s="15" t="n"/>
    </row>
    <row r="322">
      <c r="A322" s="19" t="n"/>
      <c r="B322" s="15" t="n"/>
      <c r="C322">
        <f>IF(B322="","",IFERROR(INDEX(Items!$B$5:$B$304,MATCH(B322,Items!$A$5:$A$304,0)),"Unknown code"))</f>
        <v/>
      </c>
      <c r="D322" s="15" t="n"/>
      <c r="E322" s="16" t="n"/>
      <c r="F322" s="18">
        <f>IF(OR(D322="",E322=""),"",D322*E322)</f>
        <v/>
      </c>
      <c r="G322" s="15" t="n"/>
    </row>
    <row r="323">
      <c r="A323" s="19" t="n"/>
      <c r="B323" s="15" t="n"/>
      <c r="C323">
        <f>IF(B323="","",IFERROR(INDEX(Items!$B$5:$B$304,MATCH(B323,Items!$A$5:$A$304,0)),"Unknown code"))</f>
        <v/>
      </c>
      <c r="D323" s="15" t="n"/>
      <c r="E323" s="16" t="n"/>
      <c r="F323" s="18">
        <f>IF(OR(D323="",E323=""),"",D323*E323)</f>
        <v/>
      </c>
      <c r="G323" s="15" t="n"/>
    </row>
    <row r="324">
      <c r="A324" s="19" t="n"/>
      <c r="B324" s="15" t="n"/>
      <c r="C324">
        <f>IF(B324="","",IFERROR(INDEX(Items!$B$5:$B$304,MATCH(B324,Items!$A$5:$A$304,0)),"Unknown code"))</f>
        <v/>
      </c>
      <c r="D324" s="15" t="n"/>
      <c r="E324" s="16" t="n"/>
      <c r="F324" s="18">
        <f>IF(OR(D324="",E324=""),"",D324*E324)</f>
        <v/>
      </c>
      <c r="G324" s="15" t="n"/>
    </row>
    <row r="325">
      <c r="A325" s="19" t="n"/>
      <c r="B325" s="15" t="n"/>
      <c r="C325">
        <f>IF(B325="","",IFERROR(INDEX(Items!$B$5:$B$304,MATCH(B325,Items!$A$5:$A$304,0)),"Unknown code"))</f>
        <v/>
      </c>
      <c r="D325" s="15" t="n"/>
      <c r="E325" s="16" t="n"/>
      <c r="F325" s="18">
        <f>IF(OR(D325="",E325=""),"",D325*E325)</f>
        <v/>
      </c>
      <c r="G325" s="15" t="n"/>
    </row>
    <row r="326">
      <c r="A326" s="19" t="n"/>
      <c r="B326" s="15" t="n"/>
      <c r="C326">
        <f>IF(B326="","",IFERROR(INDEX(Items!$B$5:$B$304,MATCH(B326,Items!$A$5:$A$304,0)),"Unknown code"))</f>
        <v/>
      </c>
      <c r="D326" s="15" t="n"/>
      <c r="E326" s="16" t="n"/>
      <c r="F326" s="18">
        <f>IF(OR(D326="",E326=""),"",D326*E326)</f>
        <v/>
      </c>
      <c r="G326" s="15" t="n"/>
    </row>
    <row r="327">
      <c r="A327" s="19" t="n"/>
      <c r="B327" s="15" t="n"/>
      <c r="C327">
        <f>IF(B327="","",IFERROR(INDEX(Items!$B$5:$B$304,MATCH(B327,Items!$A$5:$A$304,0)),"Unknown code"))</f>
        <v/>
      </c>
      <c r="D327" s="15" t="n"/>
      <c r="E327" s="16" t="n"/>
      <c r="F327" s="18">
        <f>IF(OR(D327="",E327=""),"",D327*E327)</f>
        <v/>
      </c>
      <c r="G327" s="15" t="n"/>
    </row>
    <row r="328">
      <c r="A328" s="19" t="n"/>
      <c r="B328" s="15" t="n"/>
      <c r="C328">
        <f>IF(B328="","",IFERROR(INDEX(Items!$B$5:$B$304,MATCH(B328,Items!$A$5:$A$304,0)),"Unknown code"))</f>
        <v/>
      </c>
      <c r="D328" s="15" t="n"/>
      <c r="E328" s="16" t="n"/>
      <c r="F328" s="18">
        <f>IF(OR(D328="",E328=""),"",D328*E328)</f>
        <v/>
      </c>
      <c r="G328" s="15" t="n"/>
    </row>
    <row r="329">
      <c r="A329" s="19" t="n"/>
      <c r="B329" s="15" t="n"/>
      <c r="C329">
        <f>IF(B329="","",IFERROR(INDEX(Items!$B$5:$B$304,MATCH(B329,Items!$A$5:$A$304,0)),"Unknown code"))</f>
        <v/>
      </c>
      <c r="D329" s="15" t="n"/>
      <c r="E329" s="16" t="n"/>
      <c r="F329" s="18">
        <f>IF(OR(D329="",E329=""),"",D329*E329)</f>
        <v/>
      </c>
      <c r="G329" s="15" t="n"/>
    </row>
    <row r="330">
      <c r="A330" s="19" t="n"/>
      <c r="B330" s="15" t="n"/>
      <c r="C330">
        <f>IF(B330="","",IFERROR(INDEX(Items!$B$5:$B$304,MATCH(B330,Items!$A$5:$A$304,0)),"Unknown code"))</f>
        <v/>
      </c>
      <c r="D330" s="15" t="n"/>
      <c r="E330" s="16" t="n"/>
      <c r="F330" s="18">
        <f>IF(OR(D330="",E330=""),"",D330*E330)</f>
        <v/>
      </c>
      <c r="G330" s="15" t="n"/>
    </row>
    <row r="331">
      <c r="A331" s="19" t="n"/>
      <c r="B331" s="15" t="n"/>
      <c r="C331">
        <f>IF(B331="","",IFERROR(INDEX(Items!$B$5:$B$304,MATCH(B331,Items!$A$5:$A$304,0)),"Unknown code"))</f>
        <v/>
      </c>
      <c r="D331" s="15" t="n"/>
      <c r="E331" s="16" t="n"/>
      <c r="F331" s="18">
        <f>IF(OR(D331="",E331=""),"",D331*E331)</f>
        <v/>
      </c>
      <c r="G331" s="15" t="n"/>
    </row>
    <row r="332">
      <c r="A332" s="19" t="n"/>
      <c r="B332" s="15" t="n"/>
      <c r="C332">
        <f>IF(B332="","",IFERROR(INDEX(Items!$B$5:$B$304,MATCH(B332,Items!$A$5:$A$304,0)),"Unknown code"))</f>
        <v/>
      </c>
      <c r="D332" s="15" t="n"/>
      <c r="E332" s="16" t="n"/>
      <c r="F332" s="18">
        <f>IF(OR(D332="",E332=""),"",D332*E332)</f>
        <v/>
      </c>
      <c r="G332" s="15" t="n"/>
    </row>
    <row r="333">
      <c r="A333" s="19" t="n"/>
      <c r="B333" s="15" t="n"/>
      <c r="C333">
        <f>IF(B333="","",IFERROR(INDEX(Items!$B$5:$B$304,MATCH(B333,Items!$A$5:$A$304,0)),"Unknown code"))</f>
        <v/>
      </c>
      <c r="D333" s="15" t="n"/>
      <c r="E333" s="16" t="n"/>
      <c r="F333" s="18">
        <f>IF(OR(D333="",E333=""),"",D333*E333)</f>
        <v/>
      </c>
      <c r="G333" s="15" t="n"/>
    </row>
    <row r="334">
      <c r="A334" s="19" t="n"/>
      <c r="B334" s="15" t="n"/>
      <c r="C334">
        <f>IF(B334="","",IFERROR(INDEX(Items!$B$5:$B$304,MATCH(B334,Items!$A$5:$A$304,0)),"Unknown code"))</f>
        <v/>
      </c>
      <c r="D334" s="15" t="n"/>
      <c r="E334" s="16" t="n"/>
      <c r="F334" s="18">
        <f>IF(OR(D334="",E334=""),"",D334*E334)</f>
        <v/>
      </c>
      <c r="G334" s="15" t="n"/>
    </row>
    <row r="335">
      <c r="A335" s="19" t="n"/>
      <c r="B335" s="15" t="n"/>
      <c r="C335">
        <f>IF(B335="","",IFERROR(INDEX(Items!$B$5:$B$304,MATCH(B335,Items!$A$5:$A$304,0)),"Unknown code"))</f>
        <v/>
      </c>
      <c r="D335" s="15" t="n"/>
      <c r="E335" s="16" t="n"/>
      <c r="F335" s="18">
        <f>IF(OR(D335="",E335=""),"",D335*E335)</f>
        <v/>
      </c>
      <c r="G335" s="15" t="n"/>
    </row>
    <row r="336">
      <c r="A336" s="19" t="n"/>
      <c r="B336" s="15" t="n"/>
      <c r="C336">
        <f>IF(B336="","",IFERROR(INDEX(Items!$B$5:$B$304,MATCH(B336,Items!$A$5:$A$304,0)),"Unknown code"))</f>
        <v/>
      </c>
      <c r="D336" s="15" t="n"/>
      <c r="E336" s="16" t="n"/>
      <c r="F336" s="18">
        <f>IF(OR(D336="",E336=""),"",D336*E336)</f>
        <v/>
      </c>
      <c r="G336" s="15" t="n"/>
    </row>
    <row r="337">
      <c r="A337" s="19" t="n"/>
      <c r="B337" s="15" t="n"/>
      <c r="C337">
        <f>IF(B337="","",IFERROR(INDEX(Items!$B$5:$B$304,MATCH(B337,Items!$A$5:$A$304,0)),"Unknown code"))</f>
        <v/>
      </c>
      <c r="D337" s="15" t="n"/>
      <c r="E337" s="16" t="n"/>
      <c r="F337" s="18">
        <f>IF(OR(D337="",E337=""),"",D337*E337)</f>
        <v/>
      </c>
      <c r="G337" s="15" t="n"/>
    </row>
    <row r="338">
      <c r="A338" s="19" t="n"/>
      <c r="B338" s="15" t="n"/>
      <c r="C338">
        <f>IF(B338="","",IFERROR(INDEX(Items!$B$5:$B$304,MATCH(B338,Items!$A$5:$A$304,0)),"Unknown code"))</f>
        <v/>
      </c>
      <c r="D338" s="15" t="n"/>
      <c r="E338" s="16" t="n"/>
      <c r="F338" s="18">
        <f>IF(OR(D338="",E338=""),"",D338*E338)</f>
        <v/>
      </c>
      <c r="G338" s="15" t="n"/>
    </row>
    <row r="339">
      <c r="A339" s="19" t="n"/>
      <c r="B339" s="15" t="n"/>
      <c r="C339">
        <f>IF(B339="","",IFERROR(INDEX(Items!$B$5:$B$304,MATCH(B339,Items!$A$5:$A$304,0)),"Unknown code"))</f>
        <v/>
      </c>
      <c r="D339" s="15" t="n"/>
      <c r="E339" s="16" t="n"/>
      <c r="F339" s="18">
        <f>IF(OR(D339="",E339=""),"",D339*E339)</f>
        <v/>
      </c>
      <c r="G339" s="15" t="n"/>
    </row>
    <row r="340">
      <c r="A340" s="19" t="n"/>
      <c r="B340" s="15" t="n"/>
      <c r="C340">
        <f>IF(B340="","",IFERROR(INDEX(Items!$B$5:$B$304,MATCH(B340,Items!$A$5:$A$304,0)),"Unknown code"))</f>
        <v/>
      </c>
      <c r="D340" s="15" t="n"/>
      <c r="E340" s="16" t="n"/>
      <c r="F340" s="18">
        <f>IF(OR(D340="",E340=""),"",D340*E340)</f>
        <v/>
      </c>
      <c r="G340" s="15" t="n"/>
    </row>
    <row r="341">
      <c r="A341" s="19" t="n"/>
      <c r="B341" s="15" t="n"/>
      <c r="C341">
        <f>IF(B341="","",IFERROR(INDEX(Items!$B$5:$B$304,MATCH(B341,Items!$A$5:$A$304,0)),"Unknown code"))</f>
        <v/>
      </c>
      <c r="D341" s="15" t="n"/>
      <c r="E341" s="16" t="n"/>
      <c r="F341" s="18">
        <f>IF(OR(D341="",E341=""),"",D341*E341)</f>
        <v/>
      </c>
      <c r="G341" s="15" t="n"/>
    </row>
    <row r="342">
      <c r="A342" s="19" t="n"/>
      <c r="B342" s="15" t="n"/>
      <c r="C342">
        <f>IF(B342="","",IFERROR(INDEX(Items!$B$5:$B$304,MATCH(B342,Items!$A$5:$A$304,0)),"Unknown code"))</f>
        <v/>
      </c>
      <c r="D342" s="15" t="n"/>
      <c r="E342" s="16" t="n"/>
      <c r="F342" s="18">
        <f>IF(OR(D342="",E342=""),"",D342*E342)</f>
        <v/>
      </c>
      <c r="G342" s="15" t="n"/>
    </row>
    <row r="343">
      <c r="A343" s="19" t="n"/>
      <c r="B343" s="15" t="n"/>
      <c r="C343">
        <f>IF(B343="","",IFERROR(INDEX(Items!$B$5:$B$304,MATCH(B343,Items!$A$5:$A$304,0)),"Unknown code"))</f>
        <v/>
      </c>
      <c r="D343" s="15" t="n"/>
      <c r="E343" s="16" t="n"/>
      <c r="F343" s="18">
        <f>IF(OR(D343="",E343=""),"",D343*E343)</f>
        <v/>
      </c>
      <c r="G343" s="15" t="n"/>
    </row>
    <row r="344">
      <c r="A344" s="19" t="n"/>
      <c r="B344" s="15" t="n"/>
      <c r="C344">
        <f>IF(B344="","",IFERROR(INDEX(Items!$B$5:$B$304,MATCH(B344,Items!$A$5:$A$304,0)),"Unknown code"))</f>
        <v/>
      </c>
      <c r="D344" s="15" t="n"/>
      <c r="E344" s="16" t="n"/>
      <c r="F344" s="18">
        <f>IF(OR(D344="",E344=""),"",D344*E344)</f>
        <v/>
      </c>
      <c r="G344" s="15" t="n"/>
    </row>
    <row r="345">
      <c r="A345" s="19" t="n"/>
      <c r="B345" s="15" t="n"/>
      <c r="C345">
        <f>IF(B345="","",IFERROR(INDEX(Items!$B$5:$B$304,MATCH(B345,Items!$A$5:$A$304,0)),"Unknown code"))</f>
        <v/>
      </c>
      <c r="D345" s="15" t="n"/>
      <c r="E345" s="16" t="n"/>
      <c r="F345" s="18">
        <f>IF(OR(D345="",E345=""),"",D345*E345)</f>
        <v/>
      </c>
      <c r="G345" s="15" t="n"/>
    </row>
    <row r="346">
      <c r="A346" s="19" t="n"/>
      <c r="B346" s="15" t="n"/>
      <c r="C346">
        <f>IF(B346="","",IFERROR(INDEX(Items!$B$5:$B$304,MATCH(B346,Items!$A$5:$A$304,0)),"Unknown code"))</f>
        <v/>
      </c>
      <c r="D346" s="15" t="n"/>
      <c r="E346" s="16" t="n"/>
      <c r="F346" s="18">
        <f>IF(OR(D346="",E346=""),"",D346*E346)</f>
        <v/>
      </c>
      <c r="G346" s="15" t="n"/>
    </row>
    <row r="347">
      <c r="A347" s="19" t="n"/>
      <c r="B347" s="15" t="n"/>
      <c r="C347">
        <f>IF(B347="","",IFERROR(INDEX(Items!$B$5:$B$304,MATCH(B347,Items!$A$5:$A$304,0)),"Unknown code"))</f>
        <v/>
      </c>
      <c r="D347" s="15" t="n"/>
      <c r="E347" s="16" t="n"/>
      <c r="F347" s="18">
        <f>IF(OR(D347="",E347=""),"",D347*E347)</f>
        <v/>
      </c>
      <c r="G347" s="15" t="n"/>
    </row>
    <row r="348">
      <c r="A348" s="19" t="n"/>
      <c r="B348" s="15" t="n"/>
      <c r="C348">
        <f>IF(B348="","",IFERROR(INDEX(Items!$B$5:$B$304,MATCH(B348,Items!$A$5:$A$304,0)),"Unknown code"))</f>
        <v/>
      </c>
      <c r="D348" s="15" t="n"/>
      <c r="E348" s="16" t="n"/>
      <c r="F348" s="18">
        <f>IF(OR(D348="",E348=""),"",D348*E348)</f>
        <v/>
      </c>
      <c r="G348" s="15" t="n"/>
    </row>
    <row r="349">
      <c r="A349" s="19" t="n"/>
      <c r="B349" s="15" t="n"/>
      <c r="C349">
        <f>IF(B349="","",IFERROR(INDEX(Items!$B$5:$B$304,MATCH(B349,Items!$A$5:$A$304,0)),"Unknown code"))</f>
        <v/>
      </c>
      <c r="D349" s="15" t="n"/>
      <c r="E349" s="16" t="n"/>
      <c r="F349" s="18">
        <f>IF(OR(D349="",E349=""),"",D349*E349)</f>
        <v/>
      </c>
      <c r="G349" s="15" t="n"/>
    </row>
    <row r="350">
      <c r="A350" s="19" t="n"/>
      <c r="B350" s="15" t="n"/>
      <c r="C350">
        <f>IF(B350="","",IFERROR(INDEX(Items!$B$5:$B$304,MATCH(B350,Items!$A$5:$A$304,0)),"Unknown code"))</f>
        <v/>
      </c>
      <c r="D350" s="15" t="n"/>
      <c r="E350" s="16" t="n"/>
      <c r="F350" s="18">
        <f>IF(OR(D350="",E350=""),"",D350*E350)</f>
        <v/>
      </c>
      <c r="G350" s="15" t="n"/>
    </row>
    <row r="351">
      <c r="A351" s="19" t="n"/>
      <c r="B351" s="15" t="n"/>
      <c r="C351">
        <f>IF(B351="","",IFERROR(INDEX(Items!$B$5:$B$304,MATCH(B351,Items!$A$5:$A$304,0)),"Unknown code"))</f>
        <v/>
      </c>
      <c r="D351" s="15" t="n"/>
      <c r="E351" s="16" t="n"/>
      <c r="F351" s="18">
        <f>IF(OR(D351="",E351=""),"",D351*E351)</f>
        <v/>
      </c>
      <c r="G351" s="15" t="n"/>
    </row>
    <row r="352">
      <c r="A352" s="19" t="n"/>
      <c r="B352" s="15" t="n"/>
      <c r="C352">
        <f>IF(B352="","",IFERROR(INDEX(Items!$B$5:$B$304,MATCH(B352,Items!$A$5:$A$304,0)),"Unknown code"))</f>
        <v/>
      </c>
      <c r="D352" s="15" t="n"/>
      <c r="E352" s="16" t="n"/>
      <c r="F352" s="18">
        <f>IF(OR(D352="",E352=""),"",D352*E352)</f>
        <v/>
      </c>
      <c r="G352" s="15" t="n"/>
    </row>
    <row r="353">
      <c r="A353" s="19" t="n"/>
      <c r="B353" s="15" t="n"/>
      <c r="C353">
        <f>IF(B353="","",IFERROR(INDEX(Items!$B$5:$B$304,MATCH(B353,Items!$A$5:$A$304,0)),"Unknown code"))</f>
        <v/>
      </c>
      <c r="D353" s="15" t="n"/>
      <c r="E353" s="16" t="n"/>
      <c r="F353" s="18">
        <f>IF(OR(D353="",E353=""),"",D353*E353)</f>
        <v/>
      </c>
      <c r="G353" s="15" t="n"/>
    </row>
    <row r="354">
      <c r="A354" s="19" t="n"/>
      <c r="B354" s="15" t="n"/>
      <c r="C354">
        <f>IF(B354="","",IFERROR(INDEX(Items!$B$5:$B$304,MATCH(B354,Items!$A$5:$A$304,0)),"Unknown code"))</f>
        <v/>
      </c>
      <c r="D354" s="15" t="n"/>
      <c r="E354" s="16" t="n"/>
      <c r="F354" s="18">
        <f>IF(OR(D354="",E354=""),"",D354*E354)</f>
        <v/>
      </c>
      <c r="G354" s="15" t="n"/>
    </row>
    <row r="355">
      <c r="A355" s="19" t="n"/>
      <c r="B355" s="15" t="n"/>
      <c r="C355">
        <f>IF(B355="","",IFERROR(INDEX(Items!$B$5:$B$304,MATCH(B355,Items!$A$5:$A$304,0)),"Unknown code"))</f>
        <v/>
      </c>
      <c r="D355" s="15" t="n"/>
      <c r="E355" s="16" t="n"/>
      <c r="F355" s="18">
        <f>IF(OR(D355="",E355=""),"",D355*E355)</f>
        <v/>
      </c>
      <c r="G355" s="15" t="n"/>
    </row>
    <row r="356">
      <c r="A356" s="19" t="n"/>
      <c r="B356" s="15" t="n"/>
      <c r="C356">
        <f>IF(B356="","",IFERROR(INDEX(Items!$B$5:$B$304,MATCH(B356,Items!$A$5:$A$304,0)),"Unknown code"))</f>
        <v/>
      </c>
      <c r="D356" s="15" t="n"/>
      <c r="E356" s="16" t="n"/>
      <c r="F356" s="18">
        <f>IF(OR(D356="",E356=""),"",D356*E356)</f>
        <v/>
      </c>
      <c r="G356" s="15" t="n"/>
    </row>
    <row r="357">
      <c r="A357" s="19" t="n"/>
      <c r="B357" s="15" t="n"/>
      <c r="C357">
        <f>IF(B357="","",IFERROR(INDEX(Items!$B$5:$B$304,MATCH(B357,Items!$A$5:$A$304,0)),"Unknown code"))</f>
        <v/>
      </c>
      <c r="D357" s="15" t="n"/>
      <c r="E357" s="16" t="n"/>
      <c r="F357" s="18">
        <f>IF(OR(D357="",E357=""),"",D357*E357)</f>
        <v/>
      </c>
      <c r="G357" s="15" t="n"/>
    </row>
    <row r="358">
      <c r="A358" s="19" t="n"/>
      <c r="B358" s="15" t="n"/>
      <c r="C358">
        <f>IF(B358="","",IFERROR(INDEX(Items!$B$5:$B$304,MATCH(B358,Items!$A$5:$A$304,0)),"Unknown code"))</f>
        <v/>
      </c>
      <c r="D358" s="15" t="n"/>
      <c r="E358" s="16" t="n"/>
      <c r="F358" s="18">
        <f>IF(OR(D358="",E358=""),"",D358*E358)</f>
        <v/>
      </c>
      <c r="G358" s="15" t="n"/>
    </row>
    <row r="359">
      <c r="A359" s="19" t="n"/>
      <c r="B359" s="15" t="n"/>
      <c r="C359">
        <f>IF(B359="","",IFERROR(INDEX(Items!$B$5:$B$304,MATCH(B359,Items!$A$5:$A$304,0)),"Unknown code"))</f>
        <v/>
      </c>
      <c r="D359" s="15" t="n"/>
      <c r="E359" s="16" t="n"/>
      <c r="F359" s="18">
        <f>IF(OR(D359="",E359=""),"",D359*E359)</f>
        <v/>
      </c>
      <c r="G359" s="15" t="n"/>
    </row>
    <row r="360">
      <c r="A360" s="19" t="n"/>
      <c r="B360" s="15" t="n"/>
      <c r="C360">
        <f>IF(B360="","",IFERROR(INDEX(Items!$B$5:$B$304,MATCH(B360,Items!$A$5:$A$304,0)),"Unknown code"))</f>
        <v/>
      </c>
      <c r="D360" s="15" t="n"/>
      <c r="E360" s="16" t="n"/>
      <c r="F360" s="18">
        <f>IF(OR(D360="",E360=""),"",D360*E360)</f>
        <v/>
      </c>
      <c r="G360" s="15" t="n"/>
    </row>
    <row r="361">
      <c r="A361" s="19" t="n"/>
      <c r="B361" s="15" t="n"/>
      <c r="C361">
        <f>IF(B361="","",IFERROR(INDEX(Items!$B$5:$B$304,MATCH(B361,Items!$A$5:$A$304,0)),"Unknown code"))</f>
        <v/>
      </c>
      <c r="D361" s="15" t="n"/>
      <c r="E361" s="16" t="n"/>
      <c r="F361" s="18">
        <f>IF(OR(D361="",E361=""),"",D361*E361)</f>
        <v/>
      </c>
      <c r="G361" s="15" t="n"/>
    </row>
    <row r="362">
      <c r="A362" s="19" t="n"/>
      <c r="B362" s="15" t="n"/>
      <c r="C362">
        <f>IF(B362="","",IFERROR(INDEX(Items!$B$5:$B$304,MATCH(B362,Items!$A$5:$A$304,0)),"Unknown code"))</f>
        <v/>
      </c>
      <c r="D362" s="15" t="n"/>
      <c r="E362" s="16" t="n"/>
      <c r="F362" s="18">
        <f>IF(OR(D362="",E362=""),"",D362*E362)</f>
        <v/>
      </c>
      <c r="G362" s="15" t="n"/>
    </row>
    <row r="363">
      <c r="A363" s="19" t="n"/>
      <c r="B363" s="15" t="n"/>
      <c r="C363">
        <f>IF(B363="","",IFERROR(INDEX(Items!$B$5:$B$304,MATCH(B363,Items!$A$5:$A$304,0)),"Unknown code"))</f>
        <v/>
      </c>
      <c r="D363" s="15" t="n"/>
      <c r="E363" s="16" t="n"/>
      <c r="F363" s="18">
        <f>IF(OR(D363="",E363=""),"",D363*E363)</f>
        <v/>
      </c>
      <c r="G363" s="15" t="n"/>
    </row>
    <row r="364">
      <c r="A364" s="19" t="n"/>
      <c r="B364" s="15" t="n"/>
      <c r="C364">
        <f>IF(B364="","",IFERROR(INDEX(Items!$B$5:$B$304,MATCH(B364,Items!$A$5:$A$304,0)),"Unknown code"))</f>
        <v/>
      </c>
      <c r="D364" s="15" t="n"/>
      <c r="E364" s="16" t="n"/>
      <c r="F364" s="18">
        <f>IF(OR(D364="",E364=""),"",D364*E364)</f>
        <v/>
      </c>
      <c r="G364" s="15" t="n"/>
    </row>
    <row r="365">
      <c r="A365" s="19" t="n"/>
      <c r="B365" s="15" t="n"/>
      <c r="C365">
        <f>IF(B365="","",IFERROR(INDEX(Items!$B$5:$B$304,MATCH(B365,Items!$A$5:$A$304,0)),"Unknown code"))</f>
        <v/>
      </c>
      <c r="D365" s="15" t="n"/>
      <c r="E365" s="16" t="n"/>
      <c r="F365" s="18">
        <f>IF(OR(D365="",E365=""),"",D365*E365)</f>
        <v/>
      </c>
      <c r="G365" s="15" t="n"/>
    </row>
    <row r="366">
      <c r="A366" s="19" t="n"/>
      <c r="B366" s="15" t="n"/>
      <c r="C366">
        <f>IF(B366="","",IFERROR(INDEX(Items!$B$5:$B$304,MATCH(B366,Items!$A$5:$A$304,0)),"Unknown code"))</f>
        <v/>
      </c>
      <c r="D366" s="15" t="n"/>
      <c r="E366" s="16" t="n"/>
      <c r="F366" s="18">
        <f>IF(OR(D366="",E366=""),"",D366*E366)</f>
        <v/>
      </c>
      <c r="G366" s="15" t="n"/>
    </row>
    <row r="367">
      <c r="A367" s="19" t="n"/>
      <c r="B367" s="15" t="n"/>
      <c r="C367">
        <f>IF(B367="","",IFERROR(INDEX(Items!$B$5:$B$304,MATCH(B367,Items!$A$5:$A$304,0)),"Unknown code"))</f>
        <v/>
      </c>
      <c r="D367" s="15" t="n"/>
      <c r="E367" s="16" t="n"/>
      <c r="F367" s="18">
        <f>IF(OR(D367="",E367=""),"",D367*E367)</f>
        <v/>
      </c>
      <c r="G367" s="15" t="n"/>
    </row>
    <row r="368">
      <c r="A368" s="19" t="n"/>
      <c r="B368" s="15" t="n"/>
      <c r="C368">
        <f>IF(B368="","",IFERROR(INDEX(Items!$B$5:$B$304,MATCH(B368,Items!$A$5:$A$304,0)),"Unknown code"))</f>
        <v/>
      </c>
      <c r="D368" s="15" t="n"/>
      <c r="E368" s="16" t="n"/>
      <c r="F368" s="18">
        <f>IF(OR(D368="",E368=""),"",D368*E368)</f>
        <v/>
      </c>
      <c r="G368" s="15" t="n"/>
    </row>
    <row r="369">
      <c r="A369" s="19" t="n"/>
      <c r="B369" s="15" t="n"/>
      <c r="C369">
        <f>IF(B369="","",IFERROR(INDEX(Items!$B$5:$B$304,MATCH(B369,Items!$A$5:$A$304,0)),"Unknown code"))</f>
        <v/>
      </c>
      <c r="D369" s="15" t="n"/>
      <c r="E369" s="16" t="n"/>
      <c r="F369" s="18">
        <f>IF(OR(D369="",E369=""),"",D369*E369)</f>
        <v/>
      </c>
      <c r="G369" s="15" t="n"/>
    </row>
    <row r="370">
      <c r="A370" s="19" t="n"/>
      <c r="B370" s="15" t="n"/>
      <c r="C370">
        <f>IF(B370="","",IFERROR(INDEX(Items!$B$5:$B$304,MATCH(B370,Items!$A$5:$A$304,0)),"Unknown code"))</f>
        <v/>
      </c>
      <c r="D370" s="15" t="n"/>
      <c r="E370" s="16" t="n"/>
      <c r="F370" s="18">
        <f>IF(OR(D370="",E370=""),"",D370*E370)</f>
        <v/>
      </c>
      <c r="G370" s="15" t="n"/>
    </row>
    <row r="371">
      <c r="A371" s="19" t="n"/>
      <c r="B371" s="15" t="n"/>
      <c r="C371">
        <f>IF(B371="","",IFERROR(INDEX(Items!$B$5:$B$304,MATCH(B371,Items!$A$5:$A$304,0)),"Unknown code"))</f>
        <v/>
      </c>
      <c r="D371" s="15" t="n"/>
      <c r="E371" s="16" t="n"/>
      <c r="F371" s="18">
        <f>IF(OR(D371="",E371=""),"",D371*E371)</f>
        <v/>
      </c>
      <c r="G371" s="15" t="n"/>
    </row>
    <row r="372">
      <c r="A372" s="19" t="n"/>
      <c r="B372" s="15" t="n"/>
      <c r="C372">
        <f>IF(B372="","",IFERROR(INDEX(Items!$B$5:$B$304,MATCH(B372,Items!$A$5:$A$304,0)),"Unknown code"))</f>
        <v/>
      </c>
      <c r="D372" s="15" t="n"/>
      <c r="E372" s="16" t="n"/>
      <c r="F372" s="18">
        <f>IF(OR(D372="",E372=""),"",D372*E372)</f>
        <v/>
      </c>
      <c r="G372" s="15" t="n"/>
    </row>
    <row r="373">
      <c r="A373" s="19" t="n"/>
      <c r="B373" s="15" t="n"/>
      <c r="C373">
        <f>IF(B373="","",IFERROR(INDEX(Items!$B$5:$B$304,MATCH(B373,Items!$A$5:$A$304,0)),"Unknown code"))</f>
        <v/>
      </c>
      <c r="D373" s="15" t="n"/>
      <c r="E373" s="16" t="n"/>
      <c r="F373" s="18">
        <f>IF(OR(D373="",E373=""),"",D373*E373)</f>
        <v/>
      </c>
      <c r="G373" s="15" t="n"/>
    </row>
    <row r="374">
      <c r="A374" s="19" t="n"/>
      <c r="B374" s="15" t="n"/>
      <c r="C374">
        <f>IF(B374="","",IFERROR(INDEX(Items!$B$5:$B$304,MATCH(B374,Items!$A$5:$A$304,0)),"Unknown code"))</f>
        <v/>
      </c>
      <c r="D374" s="15" t="n"/>
      <c r="E374" s="16" t="n"/>
      <c r="F374" s="18">
        <f>IF(OR(D374="",E374=""),"",D374*E374)</f>
        <v/>
      </c>
      <c r="G374" s="15" t="n"/>
    </row>
    <row r="375">
      <c r="A375" s="19" t="n"/>
      <c r="B375" s="15" t="n"/>
      <c r="C375">
        <f>IF(B375="","",IFERROR(INDEX(Items!$B$5:$B$304,MATCH(B375,Items!$A$5:$A$304,0)),"Unknown code"))</f>
        <v/>
      </c>
      <c r="D375" s="15" t="n"/>
      <c r="E375" s="16" t="n"/>
      <c r="F375" s="18">
        <f>IF(OR(D375="",E375=""),"",D375*E375)</f>
        <v/>
      </c>
      <c r="G375" s="15" t="n"/>
    </row>
    <row r="376">
      <c r="A376" s="19" t="n"/>
      <c r="B376" s="15" t="n"/>
      <c r="C376">
        <f>IF(B376="","",IFERROR(INDEX(Items!$B$5:$B$304,MATCH(B376,Items!$A$5:$A$304,0)),"Unknown code"))</f>
        <v/>
      </c>
      <c r="D376" s="15" t="n"/>
      <c r="E376" s="16" t="n"/>
      <c r="F376" s="18">
        <f>IF(OR(D376="",E376=""),"",D376*E376)</f>
        <v/>
      </c>
      <c r="G376" s="15" t="n"/>
    </row>
    <row r="377">
      <c r="A377" s="19" t="n"/>
      <c r="B377" s="15" t="n"/>
      <c r="C377">
        <f>IF(B377="","",IFERROR(INDEX(Items!$B$5:$B$304,MATCH(B377,Items!$A$5:$A$304,0)),"Unknown code"))</f>
        <v/>
      </c>
      <c r="D377" s="15" t="n"/>
      <c r="E377" s="16" t="n"/>
      <c r="F377" s="18">
        <f>IF(OR(D377="",E377=""),"",D377*E377)</f>
        <v/>
      </c>
      <c r="G377" s="15" t="n"/>
    </row>
    <row r="378">
      <c r="A378" s="19" t="n"/>
      <c r="B378" s="15" t="n"/>
      <c r="C378">
        <f>IF(B378="","",IFERROR(INDEX(Items!$B$5:$B$304,MATCH(B378,Items!$A$5:$A$304,0)),"Unknown code"))</f>
        <v/>
      </c>
      <c r="D378" s="15" t="n"/>
      <c r="E378" s="16" t="n"/>
      <c r="F378" s="18">
        <f>IF(OR(D378="",E378=""),"",D378*E378)</f>
        <v/>
      </c>
      <c r="G378" s="15" t="n"/>
    </row>
    <row r="379">
      <c r="A379" s="19" t="n"/>
      <c r="B379" s="15" t="n"/>
      <c r="C379">
        <f>IF(B379="","",IFERROR(INDEX(Items!$B$5:$B$304,MATCH(B379,Items!$A$5:$A$304,0)),"Unknown code"))</f>
        <v/>
      </c>
      <c r="D379" s="15" t="n"/>
      <c r="E379" s="16" t="n"/>
      <c r="F379" s="18">
        <f>IF(OR(D379="",E379=""),"",D379*E379)</f>
        <v/>
      </c>
      <c r="G379" s="15" t="n"/>
    </row>
    <row r="380">
      <c r="A380" s="19" t="n"/>
      <c r="B380" s="15" t="n"/>
      <c r="C380">
        <f>IF(B380="","",IFERROR(INDEX(Items!$B$5:$B$304,MATCH(B380,Items!$A$5:$A$304,0)),"Unknown code"))</f>
        <v/>
      </c>
      <c r="D380" s="15" t="n"/>
      <c r="E380" s="16" t="n"/>
      <c r="F380" s="18">
        <f>IF(OR(D380="",E380=""),"",D380*E380)</f>
        <v/>
      </c>
      <c r="G380" s="15" t="n"/>
    </row>
    <row r="381">
      <c r="A381" s="19" t="n"/>
      <c r="B381" s="15" t="n"/>
      <c r="C381">
        <f>IF(B381="","",IFERROR(INDEX(Items!$B$5:$B$304,MATCH(B381,Items!$A$5:$A$304,0)),"Unknown code"))</f>
        <v/>
      </c>
      <c r="D381" s="15" t="n"/>
      <c r="E381" s="16" t="n"/>
      <c r="F381" s="18">
        <f>IF(OR(D381="",E381=""),"",D381*E381)</f>
        <v/>
      </c>
      <c r="G381" s="15" t="n"/>
    </row>
    <row r="382">
      <c r="A382" s="19" t="n"/>
      <c r="B382" s="15" t="n"/>
      <c r="C382">
        <f>IF(B382="","",IFERROR(INDEX(Items!$B$5:$B$304,MATCH(B382,Items!$A$5:$A$304,0)),"Unknown code"))</f>
        <v/>
      </c>
      <c r="D382" s="15" t="n"/>
      <c r="E382" s="16" t="n"/>
      <c r="F382" s="18">
        <f>IF(OR(D382="",E382=""),"",D382*E382)</f>
        <v/>
      </c>
      <c r="G382" s="15" t="n"/>
    </row>
    <row r="383">
      <c r="A383" s="19" t="n"/>
      <c r="B383" s="15" t="n"/>
      <c r="C383">
        <f>IF(B383="","",IFERROR(INDEX(Items!$B$5:$B$304,MATCH(B383,Items!$A$5:$A$304,0)),"Unknown code"))</f>
        <v/>
      </c>
      <c r="D383" s="15" t="n"/>
      <c r="E383" s="16" t="n"/>
      <c r="F383" s="18">
        <f>IF(OR(D383="",E383=""),"",D383*E383)</f>
        <v/>
      </c>
      <c r="G383" s="15" t="n"/>
    </row>
    <row r="384">
      <c r="A384" s="19" t="n"/>
      <c r="B384" s="15" t="n"/>
      <c r="C384">
        <f>IF(B384="","",IFERROR(INDEX(Items!$B$5:$B$304,MATCH(B384,Items!$A$5:$A$304,0)),"Unknown code"))</f>
        <v/>
      </c>
      <c r="D384" s="15" t="n"/>
      <c r="E384" s="16" t="n"/>
      <c r="F384" s="18">
        <f>IF(OR(D384="",E384=""),"",D384*E384)</f>
        <v/>
      </c>
      <c r="G384" s="15" t="n"/>
    </row>
    <row r="385">
      <c r="A385" s="19" t="n"/>
      <c r="B385" s="15" t="n"/>
      <c r="C385">
        <f>IF(B385="","",IFERROR(INDEX(Items!$B$5:$B$304,MATCH(B385,Items!$A$5:$A$304,0)),"Unknown code"))</f>
        <v/>
      </c>
      <c r="D385" s="15" t="n"/>
      <c r="E385" s="16" t="n"/>
      <c r="F385" s="18">
        <f>IF(OR(D385="",E385=""),"",D385*E385)</f>
        <v/>
      </c>
      <c r="G385" s="15" t="n"/>
    </row>
    <row r="386">
      <c r="A386" s="19" t="n"/>
      <c r="B386" s="15" t="n"/>
      <c r="C386">
        <f>IF(B386="","",IFERROR(INDEX(Items!$B$5:$B$304,MATCH(B386,Items!$A$5:$A$304,0)),"Unknown code"))</f>
        <v/>
      </c>
      <c r="D386" s="15" t="n"/>
      <c r="E386" s="16" t="n"/>
      <c r="F386" s="18">
        <f>IF(OR(D386="",E386=""),"",D386*E386)</f>
        <v/>
      </c>
      <c r="G386" s="15" t="n"/>
    </row>
    <row r="387">
      <c r="A387" s="19" t="n"/>
      <c r="B387" s="15" t="n"/>
      <c r="C387">
        <f>IF(B387="","",IFERROR(INDEX(Items!$B$5:$B$304,MATCH(B387,Items!$A$5:$A$304,0)),"Unknown code"))</f>
        <v/>
      </c>
      <c r="D387" s="15" t="n"/>
      <c r="E387" s="16" t="n"/>
      <c r="F387" s="18">
        <f>IF(OR(D387="",E387=""),"",D387*E387)</f>
        <v/>
      </c>
      <c r="G387" s="15" t="n"/>
    </row>
    <row r="388">
      <c r="A388" s="19" t="n"/>
      <c r="B388" s="15" t="n"/>
      <c r="C388">
        <f>IF(B388="","",IFERROR(INDEX(Items!$B$5:$B$304,MATCH(B388,Items!$A$5:$A$304,0)),"Unknown code"))</f>
        <v/>
      </c>
      <c r="D388" s="15" t="n"/>
      <c r="E388" s="16" t="n"/>
      <c r="F388" s="18">
        <f>IF(OR(D388="",E388=""),"",D388*E388)</f>
        <v/>
      </c>
      <c r="G388" s="15" t="n"/>
    </row>
    <row r="389">
      <c r="A389" s="19" t="n"/>
      <c r="B389" s="15" t="n"/>
      <c r="C389">
        <f>IF(B389="","",IFERROR(INDEX(Items!$B$5:$B$304,MATCH(B389,Items!$A$5:$A$304,0)),"Unknown code"))</f>
        <v/>
      </c>
      <c r="D389" s="15" t="n"/>
      <c r="E389" s="16" t="n"/>
      <c r="F389" s="18">
        <f>IF(OR(D389="",E389=""),"",D389*E389)</f>
        <v/>
      </c>
      <c r="G389" s="15" t="n"/>
    </row>
    <row r="390">
      <c r="A390" s="19" t="n"/>
      <c r="B390" s="15" t="n"/>
      <c r="C390">
        <f>IF(B390="","",IFERROR(INDEX(Items!$B$5:$B$304,MATCH(B390,Items!$A$5:$A$304,0)),"Unknown code"))</f>
        <v/>
      </c>
      <c r="D390" s="15" t="n"/>
      <c r="E390" s="16" t="n"/>
      <c r="F390" s="18">
        <f>IF(OR(D390="",E390=""),"",D390*E390)</f>
        <v/>
      </c>
      <c r="G390" s="15" t="n"/>
    </row>
    <row r="391">
      <c r="A391" s="19" t="n"/>
      <c r="B391" s="15" t="n"/>
      <c r="C391">
        <f>IF(B391="","",IFERROR(INDEX(Items!$B$5:$B$304,MATCH(B391,Items!$A$5:$A$304,0)),"Unknown code"))</f>
        <v/>
      </c>
      <c r="D391" s="15" t="n"/>
      <c r="E391" s="16" t="n"/>
      <c r="F391" s="18">
        <f>IF(OR(D391="",E391=""),"",D391*E391)</f>
        <v/>
      </c>
      <c r="G391" s="15" t="n"/>
    </row>
    <row r="392">
      <c r="A392" s="19" t="n"/>
      <c r="B392" s="15" t="n"/>
      <c r="C392">
        <f>IF(B392="","",IFERROR(INDEX(Items!$B$5:$B$304,MATCH(B392,Items!$A$5:$A$304,0)),"Unknown code"))</f>
        <v/>
      </c>
      <c r="D392" s="15" t="n"/>
      <c r="E392" s="16" t="n"/>
      <c r="F392" s="18">
        <f>IF(OR(D392="",E392=""),"",D392*E392)</f>
        <v/>
      </c>
      <c r="G392" s="15" t="n"/>
    </row>
    <row r="393">
      <c r="A393" s="19" t="n"/>
      <c r="B393" s="15" t="n"/>
      <c r="C393">
        <f>IF(B393="","",IFERROR(INDEX(Items!$B$5:$B$304,MATCH(B393,Items!$A$5:$A$304,0)),"Unknown code"))</f>
        <v/>
      </c>
      <c r="D393" s="15" t="n"/>
      <c r="E393" s="16" t="n"/>
      <c r="F393" s="18">
        <f>IF(OR(D393="",E393=""),"",D393*E393)</f>
        <v/>
      </c>
      <c r="G393" s="15" t="n"/>
    </row>
    <row r="394">
      <c r="A394" s="19" t="n"/>
      <c r="B394" s="15" t="n"/>
      <c r="C394">
        <f>IF(B394="","",IFERROR(INDEX(Items!$B$5:$B$304,MATCH(B394,Items!$A$5:$A$304,0)),"Unknown code"))</f>
        <v/>
      </c>
      <c r="D394" s="15" t="n"/>
      <c r="E394" s="16" t="n"/>
      <c r="F394" s="18">
        <f>IF(OR(D394="",E394=""),"",D394*E394)</f>
        <v/>
      </c>
      <c r="G394" s="15" t="n"/>
    </row>
    <row r="395">
      <c r="A395" s="19" t="n"/>
      <c r="B395" s="15" t="n"/>
      <c r="C395">
        <f>IF(B395="","",IFERROR(INDEX(Items!$B$5:$B$304,MATCH(B395,Items!$A$5:$A$304,0)),"Unknown code"))</f>
        <v/>
      </c>
      <c r="D395" s="15" t="n"/>
      <c r="E395" s="16" t="n"/>
      <c r="F395" s="18">
        <f>IF(OR(D395="",E395=""),"",D395*E395)</f>
        <v/>
      </c>
      <c r="G395" s="15" t="n"/>
    </row>
    <row r="396">
      <c r="A396" s="19" t="n"/>
      <c r="B396" s="15" t="n"/>
      <c r="C396">
        <f>IF(B396="","",IFERROR(INDEX(Items!$B$5:$B$304,MATCH(B396,Items!$A$5:$A$304,0)),"Unknown code"))</f>
        <v/>
      </c>
      <c r="D396" s="15" t="n"/>
      <c r="E396" s="16" t="n"/>
      <c r="F396" s="18">
        <f>IF(OR(D396="",E396=""),"",D396*E396)</f>
        <v/>
      </c>
      <c r="G396" s="15" t="n"/>
    </row>
    <row r="397">
      <c r="A397" s="19" t="n"/>
      <c r="B397" s="15" t="n"/>
      <c r="C397">
        <f>IF(B397="","",IFERROR(INDEX(Items!$B$5:$B$304,MATCH(B397,Items!$A$5:$A$304,0)),"Unknown code"))</f>
        <v/>
      </c>
      <c r="D397" s="15" t="n"/>
      <c r="E397" s="16" t="n"/>
      <c r="F397" s="18">
        <f>IF(OR(D397="",E397=""),"",D397*E397)</f>
        <v/>
      </c>
      <c r="G397" s="15" t="n"/>
    </row>
    <row r="398">
      <c r="A398" s="19" t="n"/>
      <c r="B398" s="15" t="n"/>
      <c r="C398">
        <f>IF(B398="","",IFERROR(INDEX(Items!$B$5:$B$304,MATCH(B398,Items!$A$5:$A$304,0)),"Unknown code"))</f>
        <v/>
      </c>
      <c r="D398" s="15" t="n"/>
      <c r="E398" s="16" t="n"/>
      <c r="F398" s="18">
        <f>IF(OR(D398="",E398=""),"",D398*E398)</f>
        <v/>
      </c>
      <c r="G398" s="15" t="n"/>
    </row>
    <row r="399">
      <c r="A399" s="19" t="n"/>
      <c r="B399" s="15" t="n"/>
      <c r="C399">
        <f>IF(B399="","",IFERROR(INDEX(Items!$B$5:$B$304,MATCH(B399,Items!$A$5:$A$304,0)),"Unknown code"))</f>
        <v/>
      </c>
      <c r="D399" s="15" t="n"/>
      <c r="E399" s="16" t="n"/>
      <c r="F399" s="18">
        <f>IF(OR(D399="",E399=""),"",D399*E399)</f>
        <v/>
      </c>
      <c r="G399" s="15" t="n"/>
    </row>
    <row r="400">
      <c r="A400" s="19" t="n"/>
      <c r="B400" s="15" t="n"/>
      <c r="C400">
        <f>IF(B400="","",IFERROR(INDEX(Items!$B$5:$B$304,MATCH(B400,Items!$A$5:$A$304,0)),"Unknown code"))</f>
        <v/>
      </c>
      <c r="D400" s="15" t="n"/>
      <c r="E400" s="16" t="n"/>
      <c r="F400" s="18">
        <f>IF(OR(D400="",E400=""),"",D400*E400)</f>
        <v/>
      </c>
      <c r="G400" s="15" t="n"/>
    </row>
    <row r="401">
      <c r="A401" s="19" t="n"/>
      <c r="B401" s="15" t="n"/>
      <c r="C401">
        <f>IF(B401="","",IFERROR(INDEX(Items!$B$5:$B$304,MATCH(B401,Items!$A$5:$A$304,0)),"Unknown code"))</f>
        <v/>
      </c>
      <c r="D401" s="15" t="n"/>
      <c r="E401" s="16" t="n"/>
      <c r="F401" s="18">
        <f>IF(OR(D401="",E401=""),"",D401*E401)</f>
        <v/>
      </c>
      <c r="G401" s="15" t="n"/>
    </row>
    <row r="402">
      <c r="A402" s="19" t="n"/>
      <c r="B402" s="15" t="n"/>
      <c r="C402">
        <f>IF(B402="","",IFERROR(INDEX(Items!$B$5:$B$304,MATCH(B402,Items!$A$5:$A$304,0)),"Unknown code"))</f>
        <v/>
      </c>
      <c r="D402" s="15" t="n"/>
      <c r="E402" s="16" t="n"/>
      <c r="F402" s="18">
        <f>IF(OR(D402="",E402=""),"",D402*E402)</f>
        <v/>
      </c>
      <c r="G402" s="15" t="n"/>
    </row>
    <row r="403">
      <c r="A403" s="19" t="n"/>
      <c r="B403" s="15" t="n"/>
      <c r="C403">
        <f>IF(B403="","",IFERROR(INDEX(Items!$B$5:$B$304,MATCH(B403,Items!$A$5:$A$304,0)),"Unknown code"))</f>
        <v/>
      </c>
      <c r="D403" s="15" t="n"/>
      <c r="E403" s="16" t="n"/>
      <c r="F403" s="18">
        <f>IF(OR(D403="",E403=""),"",D403*E403)</f>
        <v/>
      </c>
      <c r="G403" s="15" t="n"/>
    </row>
    <row r="404">
      <c r="A404" s="19" t="n"/>
      <c r="B404" s="15" t="n"/>
      <c r="C404">
        <f>IF(B404="","",IFERROR(INDEX(Items!$B$5:$B$304,MATCH(B404,Items!$A$5:$A$304,0)),"Unknown code"))</f>
        <v/>
      </c>
      <c r="D404" s="15" t="n"/>
      <c r="E404" s="16" t="n"/>
      <c r="F404" s="18">
        <f>IF(OR(D404="",E404=""),"",D404*E404)</f>
        <v/>
      </c>
      <c r="G404" s="15" t="n"/>
    </row>
    <row r="405">
      <c r="A405" s="19" t="n"/>
      <c r="B405" s="15" t="n"/>
      <c r="C405">
        <f>IF(B405="","",IFERROR(INDEX(Items!$B$5:$B$304,MATCH(B405,Items!$A$5:$A$304,0)),"Unknown code"))</f>
        <v/>
      </c>
      <c r="D405" s="15" t="n"/>
      <c r="E405" s="16" t="n"/>
      <c r="F405" s="18">
        <f>IF(OR(D405="",E405=""),"",D405*E405)</f>
        <v/>
      </c>
      <c r="G405" s="15" t="n"/>
    </row>
    <row r="406">
      <c r="A406" s="19" t="n"/>
      <c r="B406" s="15" t="n"/>
      <c r="C406">
        <f>IF(B406="","",IFERROR(INDEX(Items!$B$5:$B$304,MATCH(B406,Items!$A$5:$A$304,0)),"Unknown code"))</f>
        <v/>
      </c>
      <c r="D406" s="15" t="n"/>
      <c r="E406" s="16" t="n"/>
      <c r="F406" s="18">
        <f>IF(OR(D406="",E406=""),"",D406*E406)</f>
        <v/>
      </c>
      <c r="G406" s="15" t="n"/>
    </row>
    <row r="407">
      <c r="A407" s="19" t="n"/>
      <c r="B407" s="15" t="n"/>
      <c r="C407">
        <f>IF(B407="","",IFERROR(INDEX(Items!$B$5:$B$304,MATCH(B407,Items!$A$5:$A$304,0)),"Unknown code"))</f>
        <v/>
      </c>
      <c r="D407" s="15" t="n"/>
      <c r="E407" s="16" t="n"/>
      <c r="F407" s="18">
        <f>IF(OR(D407="",E407=""),"",D407*E407)</f>
        <v/>
      </c>
      <c r="G407" s="15" t="n"/>
    </row>
    <row r="408">
      <c r="A408" s="19" t="n"/>
      <c r="B408" s="15" t="n"/>
      <c r="C408">
        <f>IF(B408="","",IFERROR(INDEX(Items!$B$5:$B$304,MATCH(B408,Items!$A$5:$A$304,0)),"Unknown code"))</f>
        <v/>
      </c>
      <c r="D408" s="15" t="n"/>
      <c r="E408" s="16" t="n"/>
      <c r="F408" s="18">
        <f>IF(OR(D408="",E408=""),"",D408*E408)</f>
        <v/>
      </c>
      <c r="G408" s="15" t="n"/>
    </row>
    <row r="409">
      <c r="A409" s="19" t="n"/>
      <c r="B409" s="15" t="n"/>
      <c r="C409">
        <f>IF(B409="","",IFERROR(INDEX(Items!$B$5:$B$304,MATCH(B409,Items!$A$5:$A$304,0)),"Unknown code"))</f>
        <v/>
      </c>
      <c r="D409" s="15" t="n"/>
      <c r="E409" s="16" t="n"/>
      <c r="F409" s="18">
        <f>IF(OR(D409="",E409=""),"",D409*E409)</f>
        <v/>
      </c>
      <c r="G409" s="15" t="n"/>
    </row>
    <row r="410">
      <c r="A410" s="19" t="n"/>
      <c r="B410" s="15" t="n"/>
      <c r="C410">
        <f>IF(B410="","",IFERROR(INDEX(Items!$B$5:$B$304,MATCH(B410,Items!$A$5:$A$304,0)),"Unknown code"))</f>
        <v/>
      </c>
      <c r="D410" s="15" t="n"/>
      <c r="E410" s="16" t="n"/>
      <c r="F410" s="18">
        <f>IF(OR(D410="",E410=""),"",D410*E410)</f>
        <v/>
      </c>
      <c r="G410" s="15" t="n"/>
    </row>
    <row r="411">
      <c r="A411" s="19" t="n"/>
      <c r="B411" s="15" t="n"/>
      <c r="C411">
        <f>IF(B411="","",IFERROR(INDEX(Items!$B$5:$B$304,MATCH(B411,Items!$A$5:$A$304,0)),"Unknown code"))</f>
        <v/>
      </c>
      <c r="D411" s="15" t="n"/>
      <c r="E411" s="16" t="n"/>
      <c r="F411" s="18">
        <f>IF(OR(D411="",E411=""),"",D411*E411)</f>
        <v/>
      </c>
      <c r="G411" s="15" t="n"/>
    </row>
    <row r="412">
      <c r="A412" s="19" t="n"/>
      <c r="B412" s="15" t="n"/>
      <c r="C412">
        <f>IF(B412="","",IFERROR(INDEX(Items!$B$5:$B$304,MATCH(B412,Items!$A$5:$A$304,0)),"Unknown code"))</f>
        <v/>
      </c>
      <c r="D412" s="15" t="n"/>
      <c r="E412" s="16" t="n"/>
      <c r="F412" s="18">
        <f>IF(OR(D412="",E412=""),"",D412*E412)</f>
        <v/>
      </c>
      <c r="G412" s="15" t="n"/>
    </row>
    <row r="413">
      <c r="A413" s="19" t="n"/>
      <c r="B413" s="15" t="n"/>
      <c r="C413">
        <f>IF(B413="","",IFERROR(INDEX(Items!$B$5:$B$304,MATCH(B413,Items!$A$5:$A$304,0)),"Unknown code"))</f>
        <v/>
      </c>
      <c r="D413" s="15" t="n"/>
      <c r="E413" s="16" t="n"/>
      <c r="F413" s="18">
        <f>IF(OR(D413="",E413=""),"",D413*E413)</f>
        <v/>
      </c>
      <c r="G413" s="15" t="n"/>
    </row>
    <row r="414">
      <c r="A414" s="19" t="n"/>
      <c r="B414" s="15" t="n"/>
      <c r="C414">
        <f>IF(B414="","",IFERROR(INDEX(Items!$B$5:$B$304,MATCH(B414,Items!$A$5:$A$304,0)),"Unknown code"))</f>
        <v/>
      </c>
      <c r="D414" s="15" t="n"/>
      <c r="E414" s="16" t="n"/>
      <c r="F414" s="18">
        <f>IF(OR(D414="",E414=""),"",D414*E414)</f>
        <v/>
      </c>
      <c r="G414" s="15" t="n"/>
    </row>
    <row r="415">
      <c r="A415" s="19" t="n"/>
      <c r="B415" s="15" t="n"/>
      <c r="C415">
        <f>IF(B415="","",IFERROR(INDEX(Items!$B$5:$B$304,MATCH(B415,Items!$A$5:$A$304,0)),"Unknown code"))</f>
        <v/>
      </c>
      <c r="D415" s="15" t="n"/>
      <c r="E415" s="16" t="n"/>
      <c r="F415" s="18">
        <f>IF(OR(D415="",E415=""),"",D415*E415)</f>
        <v/>
      </c>
      <c r="G415" s="15" t="n"/>
    </row>
    <row r="416">
      <c r="A416" s="19" t="n"/>
      <c r="B416" s="15" t="n"/>
      <c r="C416">
        <f>IF(B416="","",IFERROR(INDEX(Items!$B$5:$B$304,MATCH(B416,Items!$A$5:$A$304,0)),"Unknown code"))</f>
        <v/>
      </c>
      <c r="D416" s="15" t="n"/>
      <c r="E416" s="16" t="n"/>
      <c r="F416" s="18">
        <f>IF(OR(D416="",E416=""),"",D416*E416)</f>
        <v/>
      </c>
      <c r="G416" s="15" t="n"/>
    </row>
    <row r="417">
      <c r="A417" s="19" t="n"/>
      <c r="B417" s="15" t="n"/>
      <c r="C417">
        <f>IF(B417="","",IFERROR(INDEX(Items!$B$5:$B$304,MATCH(B417,Items!$A$5:$A$304,0)),"Unknown code"))</f>
        <v/>
      </c>
      <c r="D417" s="15" t="n"/>
      <c r="E417" s="16" t="n"/>
      <c r="F417" s="18">
        <f>IF(OR(D417="",E417=""),"",D417*E417)</f>
        <v/>
      </c>
      <c r="G417" s="15" t="n"/>
    </row>
    <row r="418">
      <c r="A418" s="19" t="n"/>
      <c r="B418" s="15" t="n"/>
      <c r="C418">
        <f>IF(B418="","",IFERROR(INDEX(Items!$B$5:$B$304,MATCH(B418,Items!$A$5:$A$304,0)),"Unknown code"))</f>
        <v/>
      </c>
      <c r="D418" s="15" t="n"/>
      <c r="E418" s="16" t="n"/>
      <c r="F418" s="18">
        <f>IF(OR(D418="",E418=""),"",D418*E418)</f>
        <v/>
      </c>
      <c r="G418" s="15" t="n"/>
    </row>
    <row r="419">
      <c r="A419" s="19" t="n"/>
      <c r="B419" s="15" t="n"/>
      <c r="C419">
        <f>IF(B419="","",IFERROR(INDEX(Items!$B$5:$B$304,MATCH(B419,Items!$A$5:$A$304,0)),"Unknown code"))</f>
        <v/>
      </c>
      <c r="D419" s="15" t="n"/>
      <c r="E419" s="16" t="n"/>
      <c r="F419" s="18">
        <f>IF(OR(D419="",E419=""),"",D419*E419)</f>
        <v/>
      </c>
      <c r="G419" s="15" t="n"/>
    </row>
    <row r="420">
      <c r="A420" s="19" t="n"/>
      <c r="B420" s="15" t="n"/>
      <c r="C420">
        <f>IF(B420="","",IFERROR(INDEX(Items!$B$5:$B$304,MATCH(B420,Items!$A$5:$A$304,0)),"Unknown code"))</f>
        <v/>
      </c>
      <c r="D420" s="15" t="n"/>
      <c r="E420" s="16" t="n"/>
      <c r="F420" s="18">
        <f>IF(OR(D420="",E420=""),"",D420*E420)</f>
        <v/>
      </c>
      <c r="G420" s="15" t="n"/>
    </row>
    <row r="421">
      <c r="A421" s="19" t="n"/>
      <c r="B421" s="15" t="n"/>
      <c r="C421">
        <f>IF(B421="","",IFERROR(INDEX(Items!$B$5:$B$304,MATCH(B421,Items!$A$5:$A$304,0)),"Unknown code"))</f>
        <v/>
      </c>
      <c r="D421" s="15" t="n"/>
      <c r="E421" s="16" t="n"/>
      <c r="F421" s="18">
        <f>IF(OR(D421="",E421=""),"",D421*E421)</f>
        <v/>
      </c>
      <c r="G421" s="15" t="n"/>
    </row>
    <row r="422">
      <c r="A422" s="19" t="n"/>
      <c r="B422" s="15" t="n"/>
      <c r="C422">
        <f>IF(B422="","",IFERROR(INDEX(Items!$B$5:$B$304,MATCH(B422,Items!$A$5:$A$304,0)),"Unknown code"))</f>
        <v/>
      </c>
      <c r="D422" s="15" t="n"/>
      <c r="E422" s="16" t="n"/>
      <c r="F422" s="18">
        <f>IF(OR(D422="",E422=""),"",D422*E422)</f>
        <v/>
      </c>
      <c r="G422" s="15" t="n"/>
    </row>
    <row r="423">
      <c r="A423" s="19" t="n"/>
      <c r="B423" s="15" t="n"/>
      <c r="C423">
        <f>IF(B423="","",IFERROR(INDEX(Items!$B$5:$B$304,MATCH(B423,Items!$A$5:$A$304,0)),"Unknown code"))</f>
        <v/>
      </c>
      <c r="D423" s="15" t="n"/>
      <c r="E423" s="16" t="n"/>
      <c r="F423" s="18">
        <f>IF(OR(D423="",E423=""),"",D423*E423)</f>
        <v/>
      </c>
      <c r="G423" s="15" t="n"/>
    </row>
    <row r="424">
      <c r="A424" s="19" t="n"/>
      <c r="B424" s="15" t="n"/>
      <c r="C424">
        <f>IF(B424="","",IFERROR(INDEX(Items!$B$5:$B$304,MATCH(B424,Items!$A$5:$A$304,0)),"Unknown code"))</f>
        <v/>
      </c>
      <c r="D424" s="15" t="n"/>
      <c r="E424" s="16" t="n"/>
      <c r="F424" s="18">
        <f>IF(OR(D424="",E424=""),"",D424*E424)</f>
        <v/>
      </c>
      <c r="G424" s="15" t="n"/>
    </row>
    <row r="425">
      <c r="A425" s="19" t="n"/>
      <c r="B425" s="15" t="n"/>
      <c r="C425">
        <f>IF(B425="","",IFERROR(INDEX(Items!$B$5:$B$304,MATCH(B425,Items!$A$5:$A$304,0)),"Unknown code"))</f>
        <v/>
      </c>
      <c r="D425" s="15" t="n"/>
      <c r="E425" s="16" t="n"/>
      <c r="F425" s="18">
        <f>IF(OR(D425="",E425=""),"",D425*E425)</f>
        <v/>
      </c>
      <c r="G425" s="15" t="n"/>
    </row>
    <row r="426">
      <c r="A426" s="19" t="n"/>
      <c r="B426" s="15" t="n"/>
      <c r="C426">
        <f>IF(B426="","",IFERROR(INDEX(Items!$B$5:$B$304,MATCH(B426,Items!$A$5:$A$304,0)),"Unknown code"))</f>
        <v/>
      </c>
      <c r="D426" s="15" t="n"/>
      <c r="E426" s="16" t="n"/>
      <c r="F426" s="18">
        <f>IF(OR(D426="",E426=""),"",D426*E426)</f>
        <v/>
      </c>
      <c r="G426" s="15" t="n"/>
    </row>
    <row r="427">
      <c r="A427" s="19" t="n"/>
      <c r="B427" s="15" t="n"/>
      <c r="C427">
        <f>IF(B427="","",IFERROR(INDEX(Items!$B$5:$B$304,MATCH(B427,Items!$A$5:$A$304,0)),"Unknown code"))</f>
        <v/>
      </c>
      <c r="D427" s="15" t="n"/>
      <c r="E427" s="16" t="n"/>
      <c r="F427" s="18">
        <f>IF(OR(D427="",E427=""),"",D427*E427)</f>
        <v/>
      </c>
      <c r="G427" s="15" t="n"/>
    </row>
    <row r="428">
      <c r="A428" s="19" t="n"/>
      <c r="B428" s="15" t="n"/>
      <c r="C428">
        <f>IF(B428="","",IFERROR(INDEX(Items!$B$5:$B$304,MATCH(B428,Items!$A$5:$A$304,0)),"Unknown code"))</f>
        <v/>
      </c>
      <c r="D428" s="15" t="n"/>
      <c r="E428" s="16" t="n"/>
      <c r="F428" s="18">
        <f>IF(OR(D428="",E428=""),"",D428*E428)</f>
        <v/>
      </c>
      <c r="G428" s="15" t="n"/>
    </row>
    <row r="429">
      <c r="A429" s="19" t="n"/>
      <c r="B429" s="15" t="n"/>
      <c r="C429">
        <f>IF(B429="","",IFERROR(INDEX(Items!$B$5:$B$304,MATCH(B429,Items!$A$5:$A$304,0)),"Unknown code"))</f>
        <v/>
      </c>
      <c r="D429" s="15" t="n"/>
      <c r="E429" s="16" t="n"/>
      <c r="F429" s="18">
        <f>IF(OR(D429="",E429=""),"",D429*E429)</f>
        <v/>
      </c>
      <c r="G429" s="15" t="n"/>
    </row>
    <row r="430">
      <c r="A430" s="19" t="n"/>
      <c r="B430" s="15" t="n"/>
      <c r="C430">
        <f>IF(B430="","",IFERROR(INDEX(Items!$B$5:$B$304,MATCH(B430,Items!$A$5:$A$304,0)),"Unknown code"))</f>
        <v/>
      </c>
      <c r="D430" s="15" t="n"/>
      <c r="E430" s="16" t="n"/>
      <c r="F430" s="18">
        <f>IF(OR(D430="",E430=""),"",D430*E430)</f>
        <v/>
      </c>
      <c r="G430" s="15" t="n"/>
    </row>
    <row r="431">
      <c r="A431" s="19" t="n"/>
      <c r="B431" s="15" t="n"/>
      <c r="C431">
        <f>IF(B431="","",IFERROR(INDEX(Items!$B$5:$B$304,MATCH(B431,Items!$A$5:$A$304,0)),"Unknown code"))</f>
        <v/>
      </c>
      <c r="D431" s="15" t="n"/>
      <c r="E431" s="16" t="n"/>
      <c r="F431" s="18">
        <f>IF(OR(D431="",E431=""),"",D431*E431)</f>
        <v/>
      </c>
      <c r="G431" s="15" t="n"/>
    </row>
    <row r="432">
      <c r="A432" s="19" t="n"/>
      <c r="B432" s="15" t="n"/>
      <c r="C432">
        <f>IF(B432="","",IFERROR(INDEX(Items!$B$5:$B$304,MATCH(B432,Items!$A$5:$A$304,0)),"Unknown code"))</f>
        <v/>
      </c>
      <c r="D432" s="15" t="n"/>
      <c r="E432" s="16" t="n"/>
      <c r="F432" s="18">
        <f>IF(OR(D432="",E432=""),"",D432*E432)</f>
        <v/>
      </c>
      <c r="G432" s="15" t="n"/>
    </row>
    <row r="433">
      <c r="A433" s="19" t="n"/>
      <c r="B433" s="15" t="n"/>
      <c r="C433">
        <f>IF(B433="","",IFERROR(INDEX(Items!$B$5:$B$304,MATCH(B433,Items!$A$5:$A$304,0)),"Unknown code"))</f>
        <v/>
      </c>
      <c r="D433" s="15" t="n"/>
      <c r="E433" s="16" t="n"/>
      <c r="F433" s="18">
        <f>IF(OR(D433="",E433=""),"",D433*E433)</f>
        <v/>
      </c>
      <c r="G433" s="15" t="n"/>
    </row>
    <row r="434">
      <c r="A434" s="19" t="n"/>
      <c r="B434" s="15" t="n"/>
      <c r="C434">
        <f>IF(B434="","",IFERROR(INDEX(Items!$B$5:$B$304,MATCH(B434,Items!$A$5:$A$304,0)),"Unknown code"))</f>
        <v/>
      </c>
      <c r="D434" s="15" t="n"/>
      <c r="E434" s="16" t="n"/>
      <c r="F434" s="18">
        <f>IF(OR(D434="",E434=""),"",D434*E434)</f>
        <v/>
      </c>
      <c r="G434" s="15" t="n"/>
    </row>
    <row r="435">
      <c r="A435" s="19" t="n"/>
      <c r="B435" s="15" t="n"/>
      <c r="C435">
        <f>IF(B435="","",IFERROR(INDEX(Items!$B$5:$B$304,MATCH(B435,Items!$A$5:$A$304,0)),"Unknown code"))</f>
        <v/>
      </c>
      <c r="D435" s="15" t="n"/>
      <c r="E435" s="16" t="n"/>
      <c r="F435" s="18">
        <f>IF(OR(D435="",E435=""),"",D435*E435)</f>
        <v/>
      </c>
      <c r="G435" s="15" t="n"/>
    </row>
    <row r="436">
      <c r="A436" s="19" t="n"/>
      <c r="B436" s="15" t="n"/>
      <c r="C436">
        <f>IF(B436="","",IFERROR(INDEX(Items!$B$5:$B$304,MATCH(B436,Items!$A$5:$A$304,0)),"Unknown code"))</f>
        <v/>
      </c>
      <c r="D436" s="15" t="n"/>
      <c r="E436" s="16" t="n"/>
      <c r="F436" s="18">
        <f>IF(OR(D436="",E436=""),"",D436*E436)</f>
        <v/>
      </c>
      <c r="G436" s="15" t="n"/>
    </row>
    <row r="437">
      <c r="A437" s="19" t="n"/>
      <c r="B437" s="15" t="n"/>
      <c r="C437">
        <f>IF(B437="","",IFERROR(INDEX(Items!$B$5:$B$304,MATCH(B437,Items!$A$5:$A$304,0)),"Unknown code"))</f>
        <v/>
      </c>
      <c r="D437" s="15" t="n"/>
      <c r="E437" s="16" t="n"/>
      <c r="F437" s="18">
        <f>IF(OR(D437="",E437=""),"",D437*E437)</f>
        <v/>
      </c>
      <c r="G437" s="15" t="n"/>
    </row>
    <row r="438">
      <c r="A438" s="19" t="n"/>
      <c r="B438" s="15" t="n"/>
      <c r="C438">
        <f>IF(B438="","",IFERROR(INDEX(Items!$B$5:$B$304,MATCH(B438,Items!$A$5:$A$304,0)),"Unknown code"))</f>
        <v/>
      </c>
      <c r="D438" s="15" t="n"/>
      <c r="E438" s="16" t="n"/>
      <c r="F438" s="18">
        <f>IF(OR(D438="",E438=""),"",D438*E438)</f>
        <v/>
      </c>
      <c r="G438" s="15" t="n"/>
    </row>
    <row r="439">
      <c r="A439" s="19" t="n"/>
      <c r="B439" s="15" t="n"/>
      <c r="C439">
        <f>IF(B439="","",IFERROR(INDEX(Items!$B$5:$B$304,MATCH(B439,Items!$A$5:$A$304,0)),"Unknown code"))</f>
        <v/>
      </c>
      <c r="D439" s="15" t="n"/>
      <c r="E439" s="16" t="n"/>
      <c r="F439" s="18">
        <f>IF(OR(D439="",E439=""),"",D439*E439)</f>
        <v/>
      </c>
      <c r="G439" s="15" t="n"/>
    </row>
    <row r="440">
      <c r="A440" s="19" t="n"/>
      <c r="B440" s="15" t="n"/>
      <c r="C440">
        <f>IF(B440="","",IFERROR(INDEX(Items!$B$5:$B$304,MATCH(B440,Items!$A$5:$A$304,0)),"Unknown code"))</f>
        <v/>
      </c>
      <c r="D440" s="15" t="n"/>
      <c r="E440" s="16" t="n"/>
      <c r="F440" s="18">
        <f>IF(OR(D440="",E440=""),"",D440*E440)</f>
        <v/>
      </c>
      <c r="G440" s="15" t="n"/>
    </row>
    <row r="441">
      <c r="A441" s="19" t="n"/>
      <c r="B441" s="15" t="n"/>
      <c r="C441">
        <f>IF(B441="","",IFERROR(INDEX(Items!$B$5:$B$304,MATCH(B441,Items!$A$5:$A$304,0)),"Unknown code"))</f>
        <v/>
      </c>
      <c r="D441" s="15" t="n"/>
      <c r="E441" s="16" t="n"/>
      <c r="F441" s="18">
        <f>IF(OR(D441="",E441=""),"",D441*E441)</f>
        <v/>
      </c>
      <c r="G441" s="15" t="n"/>
    </row>
    <row r="442">
      <c r="A442" s="19" t="n"/>
      <c r="B442" s="15" t="n"/>
      <c r="C442">
        <f>IF(B442="","",IFERROR(INDEX(Items!$B$5:$B$304,MATCH(B442,Items!$A$5:$A$304,0)),"Unknown code"))</f>
        <v/>
      </c>
      <c r="D442" s="15" t="n"/>
      <c r="E442" s="16" t="n"/>
      <c r="F442" s="18">
        <f>IF(OR(D442="",E442=""),"",D442*E442)</f>
        <v/>
      </c>
      <c r="G442" s="15" t="n"/>
    </row>
    <row r="443">
      <c r="A443" s="19" t="n"/>
      <c r="B443" s="15" t="n"/>
      <c r="C443">
        <f>IF(B443="","",IFERROR(INDEX(Items!$B$5:$B$304,MATCH(B443,Items!$A$5:$A$304,0)),"Unknown code"))</f>
        <v/>
      </c>
      <c r="D443" s="15" t="n"/>
      <c r="E443" s="16" t="n"/>
      <c r="F443" s="18">
        <f>IF(OR(D443="",E443=""),"",D443*E443)</f>
        <v/>
      </c>
      <c r="G443" s="15" t="n"/>
    </row>
    <row r="444">
      <c r="A444" s="19" t="n"/>
      <c r="B444" s="15" t="n"/>
      <c r="C444">
        <f>IF(B444="","",IFERROR(INDEX(Items!$B$5:$B$304,MATCH(B444,Items!$A$5:$A$304,0)),"Unknown code"))</f>
        <v/>
      </c>
      <c r="D444" s="15" t="n"/>
      <c r="E444" s="16" t="n"/>
      <c r="F444" s="18">
        <f>IF(OR(D444="",E444=""),"",D444*E444)</f>
        <v/>
      </c>
      <c r="G444" s="15" t="n"/>
    </row>
    <row r="445">
      <c r="A445" s="19" t="n"/>
      <c r="B445" s="15" t="n"/>
      <c r="C445">
        <f>IF(B445="","",IFERROR(INDEX(Items!$B$5:$B$304,MATCH(B445,Items!$A$5:$A$304,0)),"Unknown code"))</f>
        <v/>
      </c>
      <c r="D445" s="15" t="n"/>
      <c r="E445" s="16" t="n"/>
      <c r="F445" s="18">
        <f>IF(OR(D445="",E445=""),"",D445*E445)</f>
        <v/>
      </c>
      <c r="G445" s="15" t="n"/>
    </row>
    <row r="446">
      <c r="A446" s="19" t="n"/>
      <c r="B446" s="15" t="n"/>
      <c r="C446">
        <f>IF(B446="","",IFERROR(INDEX(Items!$B$5:$B$304,MATCH(B446,Items!$A$5:$A$304,0)),"Unknown code"))</f>
        <v/>
      </c>
      <c r="D446" s="15" t="n"/>
      <c r="E446" s="16" t="n"/>
      <c r="F446" s="18">
        <f>IF(OR(D446="",E446=""),"",D446*E446)</f>
        <v/>
      </c>
      <c r="G446" s="15" t="n"/>
    </row>
    <row r="447">
      <c r="A447" s="19" t="n"/>
      <c r="B447" s="15" t="n"/>
      <c r="C447">
        <f>IF(B447="","",IFERROR(INDEX(Items!$B$5:$B$304,MATCH(B447,Items!$A$5:$A$304,0)),"Unknown code"))</f>
        <v/>
      </c>
      <c r="D447" s="15" t="n"/>
      <c r="E447" s="16" t="n"/>
      <c r="F447" s="18">
        <f>IF(OR(D447="",E447=""),"",D447*E447)</f>
        <v/>
      </c>
      <c r="G447" s="15" t="n"/>
    </row>
    <row r="448">
      <c r="A448" s="19" t="n"/>
      <c r="B448" s="15" t="n"/>
      <c r="C448">
        <f>IF(B448="","",IFERROR(INDEX(Items!$B$5:$B$304,MATCH(B448,Items!$A$5:$A$304,0)),"Unknown code"))</f>
        <v/>
      </c>
      <c r="D448" s="15" t="n"/>
      <c r="E448" s="16" t="n"/>
      <c r="F448" s="18">
        <f>IF(OR(D448="",E448=""),"",D448*E448)</f>
        <v/>
      </c>
      <c r="G448" s="15" t="n"/>
    </row>
    <row r="449">
      <c r="A449" s="19" t="n"/>
      <c r="B449" s="15" t="n"/>
      <c r="C449">
        <f>IF(B449="","",IFERROR(INDEX(Items!$B$5:$B$304,MATCH(B449,Items!$A$5:$A$304,0)),"Unknown code"))</f>
        <v/>
      </c>
      <c r="D449" s="15" t="n"/>
      <c r="E449" s="16" t="n"/>
      <c r="F449" s="18">
        <f>IF(OR(D449="",E449=""),"",D449*E449)</f>
        <v/>
      </c>
      <c r="G449" s="15" t="n"/>
    </row>
    <row r="450">
      <c r="A450" s="19" t="n"/>
      <c r="B450" s="15" t="n"/>
      <c r="C450">
        <f>IF(B450="","",IFERROR(INDEX(Items!$B$5:$B$304,MATCH(B450,Items!$A$5:$A$304,0)),"Unknown code"))</f>
        <v/>
      </c>
      <c r="D450" s="15" t="n"/>
      <c r="E450" s="16" t="n"/>
      <c r="F450" s="18">
        <f>IF(OR(D450="",E450=""),"",D450*E450)</f>
        <v/>
      </c>
      <c r="G450" s="15" t="n"/>
    </row>
    <row r="451">
      <c r="A451" s="19" t="n"/>
      <c r="B451" s="15" t="n"/>
      <c r="C451">
        <f>IF(B451="","",IFERROR(INDEX(Items!$B$5:$B$304,MATCH(B451,Items!$A$5:$A$304,0)),"Unknown code"))</f>
        <v/>
      </c>
      <c r="D451" s="15" t="n"/>
      <c r="E451" s="16" t="n"/>
      <c r="F451" s="18">
        <f>IF(OR(D451="",E451=""),"",D451*E451)</f>
        <v/>
      </c>
      <c r="G451" s="15" t="n"/>
    </row>
    <row r="452">
      <c r="A452" s="19" t="n"/>
      <c r="B452" s="15" t="n"/>
      <c r="C452">
        <f>IF(B452="","",IFERROR(INDEX(Items!$B$5:$B$304,MATCH(B452,Items!$A$5:$A$304,0)),"Unknown code"))</f>
        <v/>
      </c>
      <c r="D452" s="15" t="n"/>
      <c r="E452" s="16" t="n"/>
      <c r="F452" s="18">
        <f>IF(OR(D452="",E452=""),"",D452*E452)</f>
        <v/>
      </c>
      <c r="G452" s="15" t="n"/>
    </row>
    <row r="453">
      <c r="A453" s="19" t="n"/>
      <c r="B453" s="15" t="n"/>
      <c r="C453">
        <f>IF(B453="","",IFERROR(INDEX(Items!$B$5:$B$304,MATCH(B453,Items!$A$5:$A$304,0)),"Unknown code"))</f>
        <v/>
      </c>
      <c r="D453" s="15" t="n"/>
      <c r="E453" s="16" t="n"/>
      <c r="F453" s="18">
        <f>IF(OR(D453="",E453=""),"",D453*E453)</f>
        <v/>
      </c>
      <c r="G453" s="15" t="n"/>
    </row>
    <row r="454">
      <c r="A454" s="19" t="n"/>
      <c r="B454" s="15" t="n"/>
      <c r="C454">
        <f>IF(B454="","",IFERROR(INDEX(Items!$B$5:$B$304,MATCH(B454,Items!$A$5:$A$304,0)),"Unknown code"))</f>
        <v/>
      </c>
      <c r="D454" s="15" t="n"/>
      <c r="E454" s="16" t="n"/>
      <c r="F454" s="18">
        <f>IF(OR(D454="",E454=""),"",D454*E454)</f>
        <v/>
      </c>
      <c r="G454" s="15" t="n"/>
    </row>
    <row r="455">
      <c r="A455" s="19" t="n"/>
      <c r="B455" s="15" t="n"/>
      <c r="C455">
        <f>IF(B455="","",IFERROR(INDEX(Items!$B$5:$B$304,MATCH(B455,Items!$A$5:$A$304,0)),"Unknown code"))</f>
        <v/>
      </c>
      <c r="D455" s="15" t="n"/>
      <c r="E455" s="16" t="n"/>
      <c r="F455" s="18">
        <f>IF(OR(D455="",E455=""),"",D455*E455)</f>
        <v/>
      </c>
      <c r="G455" s="15" t="n"/>
    </row>
    <row r="456">
      <c r="A456" s="19" t="n"/>
      <c r="B456" s="15" t="n"/>
      <c r="C456">
        <f>IF(B456="","",IFERROR(INDEX(Items!$B$5:$B$304,MATCH(B456,Items!$A$5:$A$304,0)),"Unknown code"))</f>
        <v/>
      </c>
      <c r="D456" s="15" t="n"/>
      <c r="E456" s="16" t="n"/>
      <c r="F456" s="18">
        <f>IF(OR(D456="",E456=""),"",D456*E456)</f>
        <v/>
      </c>
      <c r="G456" s="15" t="n"/>
    </row>
    <row r="457">
      <c r="A457" s="19" t="n"/>
      <c r="B457" s="15" t="n"/>
      <c r="C457">
        <f>IF(B457="","",IFERROR(INDEX(Items!$B$5:$B$304,MATCH(B457,Items!$A$5:$A$304,0)),"Unknown code"))</f>
        <v/>
      </c>
      <c r="D457" s="15" t="n"/>
      <c r="E457" s="16" t="n"/>
      <c r="F457" s="18">
        <f>IF(OR(D457="",E457=""),"",D457*E457)</f>
        <v/>
      </c>
      <c r="G457" s="15" t="n"/>
    </row>
    <row r="458">
      <c r="A458" s="19" t="n"/>
      <c r="B458" s="15" t="n"/>
      <c r="C458">
        <f>IF(B458="","",IFERROR(INDEX(Items!$B$5:$B$304,MATCH(B458,Items!$A$5:$A$304,0)),"Unknown code"))</f>
        <v/>
      </c>
      <c r="D458" s="15" t="n"/>
      <c r="E458" s="16" t="n"/>
      <c r="F458" s="18">
        <f>IF(OR(D458="",E458=""),"",D458*E458)</f>
        <v/>
      </c>
      <c r="G458" s="15" t="n"/>
    </row>
    <row r="459">
      <c r="A459" s="19" t="n"/>
      <c r="B459" s="15" t="n"/>
      <c r="C459">
        <f>IF(B459="","",IFERROR(INDEX(Items!$B$5:$B$304,MATCH(B459,Items!$A$5:$A$304,0)),"Unknown code"))</f>
        <v/>
      </c>
      <c r="D459" s="15" t="n"/>
      <c r="E459" s="16" t="n"/>
      <c r="F459" s="18">
        <f>IF(OR(D459="",E459=""),"",D459*E459)</f>
        <v/>
      </c>
      <c r="G459" s="15" t="n"/>
    </row>
    <row r="460">
      <c r="A460" s="19" t="n"/>
      <c r="B460" s="15" t="n"/>
      <c r="C460">
        <f>IF(B460="","",IFERROR(INDEX(Items!$B$5:$B$304,MATCH(B460,Items!$A$5:$A$304,0)),"Unknown code"))</f>
        <v/>
      </c>
      <c r="D460" s="15" t="n"/>
      <c r="E460" s="16" t="n"/>
      <c r="F460" s="18">
        <f>IF(OR(D460="",E460=""),"",D460*E460)</f>
        <v/>
      </c>
      <c r="G460" s="15" t="n"/>
    </row>
    <row r="461">
      <c r="A461" s="19" t="n"/>
      <c r="B461" s="15" t="n"/>
      <c r="C461">
        <f>IF(B461="","",IFERROR(INDEX(Items!$B$5:$B$304,MATCH(B461,Items!$A$5:$A$304,0)),"Unknown code"))</f>
        <v/>
      </c>
      <c r="D461" s="15" t="n"/>
      <c r="E461" s="16" t="n"/>
      <c r="F461" s="18">
        <f>IF(OR(D461="",E461=""),"",D461*E461)</f>
        <v/>
      </c>
      <c r="G461" s="15" t="n"/>
    </row>
    <row r="462">
      <c r="A462" s="19" t="n"/>
      <c r="B462" s="15" t="n"/>
      <c r="C462">
        <f>IF(B462="","",IFERROR(INDEX(Items!$B$5:$B$304,MATCH(B462,Items!$A$5:$A$304,0)),"Unknown code"))</f>
        <v/>
      </c>
      <c r="D462" s="15" t="n"/>
      <c r="E462" s="16" t="n"/>
      <c r="F462" s="18">
        <f>IF(OR(D462="",E462=""),"",D462*E462)</f>
        <v/>
      </c>
      <c r="G462" s="15" t="n"/>
    </row>
    <row r="463">
      <c r="A463" s="19" t="n"/>
      <c r="B463" s="15" t="n"/>
      <c r="C463">
        <f>IF(B463="","",IFERROR(INDEX(Items!$B$5:$B$304,MATCH(B463,Items!$A$5:$A$304,0)),"Unknown code"))</f>
        <v/>
      </c>
      <c r="D463" s="15" t="n"/>
      <c r="E463" s="16" t="n"/>
      <c r="F463" s="18">
        <f>IF(OR(D463="",E463=""),"",D463*E463)</f>
        <v/>
      </c>
      <c r="G463" s="15" t="n"/>
    </row>
    <row r="464">
      <c r="A464" s="19" t="n"/>
      <c r="B464" s="15" t="n"/>
      <c r="C464">
        <f>IF(B464="","",IFERROR(INDEX(Items!$B$5:$B$304,MATCH(B464,Items!$A$5:$A$304,0)),"Unknown code"))</f>
        <v/>
      </c>
      <c r="D464" s="15" t="n"/>
      <c r="E464" s="16" t="n"/>
      <c r="F464" s="18">
        <f>IF(OR(D464="",E464=""),"",D464*E464)</f>
        <v/>
      </c>
      <c r="G464" s="15" t="n"/>
    </row>
    <row r="465">
      <c r="A465" s="19" t="n"/>
      <c r="B465" s="15" t="n"/>
      <c r="C465">
        <f>IF(B465="","",IFERROR(INDEX(Items!$B$5:$B$304,MATCH(B465,Items!$A$5:$A$304,0)),"Unknown code"))</f>
        <v/>
      </c>
      <c r="D465" s="15" t="n"/>
      <c r="E465" s="16" t="n"/>
      <c r="F465" s="18">
        <f>IF(OR(D465="",E465=""),"",D465*E465)</f>
        <v/>
      </c>
      <c r="G465" s="15" t="n"/>
    </row>
    <row r="466">
      <c r="A466" s="19" t="n"/>
      <c r="B466" s="15" t="n"/>
      <c r="C466">
        <f>IF(B466="","",IFERROR(INDEX(Items!$B$5:$B$304,MATCH(B466,Items!$A$5:$A$304,0)),"Unknown code"))</f>
        <v/>
      </c>
      <c r="D466" s="15" t="n"/>
      <c r="E466" s="16" t="n"/>
      <c r="F466" s="18">
        <f>IF(OR(D466="",E466=""),"",D466*E466)</f>
        <v/>
      </c>
      <c r="G466" s="15" t="n"/>
    </row>
    <row r="467">
      <c r="A467" s="19" t="n"/>
      <c r="B467" s="15" t="n"/>
      <c r="C467">
        <f>IF(B467="","",IFERROR(INDEX(Items!$B$5:$B$304,MATCH(B467,Items!$A$5:$A$304,0)),"Unknown code"))</f>
        <v/>
      </c>
      <c r="D467" s="15" t="n"/>
      <c r="E467" s="16" t="n"/>
      <c r="F467" s="18">
        <f>IF(OR(D467="",E467=""),"",D467*E467)</f>
        <v/>
      </c>
      <c r="G467" s="15" t="n"/>
    </row>
    <row r="468">
      <c r="A468" s="19" t="n"/>
      <c r="B468" s="15" t="n"/>
      <c r="C468">
        <f>IF(B468="","",IFERROR(INDEX(Items!$B$5:$B$304,MATCH(B468,Items!$A$5:$A$304,0)),"Unknown code"))</f>
        <v/>
      </c>
      <c r="D468" s="15" t="n"/>
      <c r="E468" s="16" t="n"/>
      <c r="F468" s="18">
        <f>IF(OR(D468="",E468=""),"",D468*E468)</f>
        <v/>
      </c>
      <c r="G468" s="15" t="n"/>
    </row>
    <row r="469">
      <c r="A469" s="19" t="n"/>
      <c r="B469" s="15" t="n"/>
      <c r="C469">
        <f>IF(B469="","",IFERROR(INDEX(Items!$B$5:$B$304,MATCH(B469,Items!$A$5:$A$304,0)),"Unknown code"))</f>
        <v/>
      </c>
      <c r="D469" s="15" t="n"/>
      <c r="E469" s="16" t="n"/>
      <c r="F469" s="18">
        <f>IF(OR(D469="",E469=""),"",D469*E469)</f>
        <v/>
      </c>
      <c r="G469" s="15" t="n"/>
    </row>
    <row r="470">
      <c r="A470" s="19" t="n"/>
      <c r="B470" s="15" t="n"/>
      <c r="C470">
        <f>IF(B470="","",IFERROR(INDEX(Items!$B$5:$B$304,MATCH(B470,Items!$A$5:$A$304,0)),"Unknown code"))</f>
        <v/>
      </c>
      <c r="D470" s="15" t="n"/>
      <c r="E470" s="16" t="n"/>
      <c r="F470" s="18">
        <f>IF(OR(D470="",E470=""),"",D470*E470)</f>
        <v/>
      </c>
      <c r="G470" s="15" t="n"/>
    </row>
    <row r="471">
      <c r="A471" s="19" t="n"/>
      <c r="B471" s="15" t="n"/>
      <c r="C471">
        <f>IF(B471="","",IFERROR(INDEX(Items!$B$5:$B$304,MATCH(B471,Items!$A$5:$A$304,0)),"Unknown code"))</f>
        <v/>
      </c>
      <c r="D471" s="15" t="n"/>
      <c r="E471" s="16" t="n"/>
      <c r="F471" s="18">
        <f>IF(OR(D471="",E471=""),"",D471*E471)</f>
        <v/>
      </c>
      <c r="G471" s="15" t="n"/>
    </row>
    <row r="472">
      <c r="A472" s="19" t="n"/>
      <c r="B472" s="15" t="n"/>
      <c r="C472">
        <f>IF(B472="","",IFERROR(INDEX(Items!$B$5:$B$304,MATCH(B472,Items!$A$5:$A$304,0)),"Unknown code"))</f>
        <v/>
      </c>
      <c r="D472" s="15" t="n"/>
      <c r="E472" s="16" t="n"/>
      <c r="F472" s="18">
        <f>IF(OR(D472="",E472=""),"",D472*E472)</f>
        <v/>
      </c>
      <c r="G472" s="15" t="n"/>
    </row>
    <row r="473">
      <c r="A473" s="19" t="n"/>
      <c r="B473" s="15" t="n"/>
      <c r="C473">
        <f>IF(B473="","",IFERROR(INDEX(Items!$B$5:$B$304,MATCH(B473,Items!$A$5:$A$304,0)),"Unknown code"))</f>
        <v/>
      </c>
      <c r="D473" s="15" t="n"/>
      <c r="E473" s="16" t="n"/>
      <c r="F473" s="18">
        <f>IF(OR(D473="",E473=""),"",D473*E473)</f>
        <v/>
      </c>
      <c r="G473" s="15" t="n"/>
    </row>
    <row r="474">
      <c r="A474" s="19" t="n"/>
      <c r="B474" s="15" t="n"/>
      <c r="C474">
        <f>IF(B474="","",IFERROR(INDEX(Items!$B$5:$B$304,MATCH(B474,Items!$A$5:$A$304,0)),"Unknown code"))</f>
        <v/>
      </c>
      <c r="D474" s="15" t="n"/>
      <c r="E474" s="16" t="n"/>
      <c r="F474" s="18">
        <f>IF(OR(D474="",E474=""),"",D474*E474)</f>
        <v/>
      </c>
      <c r="G474" s="15" t="n"/>
    </row>
    <row r="475">
      <c r="A475" s="19" t="n"/>
      <c r="B475" s="15" t="n"/>
      <c r="C475">
        <f>IF(B475="","",IFERROR(INDEX(Items!$B$5:$B$304,MATCH(B475,Items!$A$5:$A$304,0)),"Unknown code"))</f>
        <v/>
      </c>
      <c r="D475" s="15" t="n"/>
      <c r="E475" s="16" t="n"/>
      <c r="F475" s="18">
        <f>IF(OR(D475="",E475=""),"",D475*E475)</f>
        <v/>
      </c>
      <c r="G475" s="15" t="n"/>
    </row>
    <row r="476">
      <c r="A476" s="19" t="n"/>
      <c r="B476" s="15" t="n"/>
      <c r="C476">
        <f>IF(B476="","",IFERROR(INDEX(Items!$B$5:$B$304,MATCH(B476,Items!$A$5:$A$304,0)),"Unknown code"))</f>
        <v/>
      </c>
      <c r="D476" s="15" t="n"/>
      <c r="E476" s="16" t="n"/>
      <c r="F476" s="18">
        <f>IF(OR(D476="",E476=""),"",D476*E476)</f>
        <v/>
      </c>
      <c r="G476" s="15" t="n"/>
    </row>
    <row r="477">
      <c r="A477" s="19" t="n"/>
      <c r="B477" s="15" t="n"/>
      <c r="C477">
        <f>IF(B477="","",IFERROR(INDEX(Items!$B$5:$B$304,MATCH(B477,Items!$A$5:$A$304,0)),"Unknown code"))</f>
        <v/>
      </c>
      <c r="D477" s="15" t="n"/>
      <c r="E477" s="16" t="n"/>
      <c r="F477" s="18">
        <f>IF(OR(D477="",E477=""),"",D477*E477)</f>
        <v/>
      </c>
      <c r="G477" s="15" t="n"/>
    </row>
    <row r="478">
      <c r="A478" s="19" t="n"/>
      <c r="B478" s="15" t="n"/>
      <c r="C478">
        <f>IF(B478="","",IFERROR(INDEX(Items!$B$5:$B$304,MATCH(B478,Items!$A$5:$A$304,0)),"Unknown code"))</f>
        <v/>
      </c>
      <c r="D478" s="15" t="n"/>
      <c r="E478" s="16" t="n"/>
      <c r="F478" s="18">
        <f>IF(OR(D478="",E478=""),"",D478*E478)</f>
        <v/>
      </c>
      <c r="G478" s="15" t="n"/>
    </row>
    <row r="479">
      <c r="A479" s="19" t="n"/>
      <c r="B479" s="15" t="n"/>
      <c r="C479">
        <f>IF(B479="","",IFERROR(INDEX(Items!$B$5:$B$304,MATCH(B479,Items!$A$5:$A$304,0)),"Unknown code"))</f>
        <v/>
      </c>
      <c r="D479" s="15" t="n"/>
      <c r="E479" s="16" t="n"/>
      <c r="F479" s="18">
        <f>IF(OR(D479="",E479=""),"",D479*E479)</f>
        <v/>
      </c>
      <c r="G479" s="15" t="n"/>
    </row>
    <row r="480">
      <c r="A480" s="19" t="n"/>
      <c r="B480" s="15" t="n"/>
      <c r="C480">
        <f>IF(B480="","",IFERROR(INDEX(Items!$B$5:$B$304,MATCH(B480,Items!$A$5:$A$304,0)),"Unknown code"))</f>
        <v/>
      </c>
      <c r="D480" s="15" t="n"/>
      <c r="E480" s="16" t="n"/>
      <c r="F480" s="18">
        <f>IF(OR(D480="",E480=""),"",D480*E480)</f>
        <v/>
      </c>
      <c r="G480" s="15" t="n"/>
    </row>
    <row r="481">
      <c r="A481" s="19" t="n"/>
      <c r="B481" s="15" t="n"/>
      <c r="C481">
        <f>IF(B481="","",IFERROR(INDEX(Items!$B$5:$B$304,MATCH(B481,Items!$A$5:$A$304,0)),"Unknown code"))</f>
        <v/>
      </c>
      <c r="D481" s="15" t="n"/>
      <c r="E481" s="16" t="n"/>
      <c r="F481" s="18">
        <f>IF(OR(D481="",E481=""),"",D481*E481)</f>
        <v/>
      </c>
      <c r="G481" s="15" t="n"/>
    </row>
    <row r="482">
      <c r="A482" s="19" t="n"/>
      <c r="B482" s="15" t="n"/>
      <c r="C482">
        <f>IF(B482="","",IFERROR(INDEX(Items!$B$5:$B$304,MATCH(B482,Items!$A$5:$A$304,0)),"Unknown code"))</f>
        <v/>
      </c>
      <c r="D482" s="15" t="n"/>
      <c r="E482" s="16" t="n"/>
      <c r="F482" s="18">
        <f>IF(OR(D482="",E482=""),"",D482*E482)</f>
        <v/>
      </c>
      <c r="G482" s="15" t="n"/>
    </row>
    <row r="483">
      <c r="A483" s="19" t="n"/>
      <c r="B483" s="15" t="n"/>
      <c r="C483">
        <f>IF(B483="","",IFERROR(INDEX(Items!$B$5:$B$304,MATCH(B483,Items!$A$5:$A$304,0)),"Unknown code"))</f>
        <v/>
      </c>
      <c r="D483" s="15" t="n"/>
      <c r="E483" s="16" t="n"/>
      <c r="F483" s="18">
        <f>IF(OR(D483="",E483=""),"",D483*E483)</f>
        <v/>
      </c>
      <c r="G483" s="15" t="n"/>
    </row>
    <row r="484">
      <c r="A484" s="19" t="n"/>
      <c r="B484" s="15" t="n"/>
      <c r="C484">
        <f>IF(B484="","",IFERROR(INDEX(Items!$B$5:$B$304,MATCH(B484,Items!$A$5:$A$304,0)),"Unknown code"))</f>
        <v/>
      </c>
      <c r="D484" s="15" t="n"/>
      <c r="E484" s="16" t="n"/>
      <c r="F484" s="18">
        <f>IF(OR(D484="",E484=""),"",D484*E484)</f>
        <v/>
      </c>
      <c r="G484" s="15" t="n"/>
    </row>
    <row r="485">
      <c r="A485" s="19" t="n"/>
      <c r="B485" s="15" t="n"/>
      <c r="C485">
        <f>IF(B485="","",IFERROR(INDEX(Items!$B$5:$B$304,MATCH(B485,Items!$A$5:$A$304,0)),"Unknown code"))</f>
        <v/>
      </c>
      <c r="D485" s="15" t="n"/>
      <c r="E485" s="16" t="n"/>
      <c r="F485" s="18">
        <f>IF(OR(D485="",E485=""),"",D485*E485)</f>
        <v/>
      </c>
      <c r="G485" s="15" t="n"/>
    </row>
    <row r="486">
      <c r="A486" s="19" t="n"/>
      <c r="B486" s="15" t="n"/>
      <c r="C486">
        <f>IF(B486="","",IFERROR(INDEX(Items!$B$5:$B$304,MATCH(B486,Items!$A$5:$A$304,0)),"Unknown code"))</f>
        <v/>
      </c>
      <c r="D486" s="15" t="n"/>
      <c r="E486" s="16" t="n"/>
      <c r="F486" s="18">
        <f>IF(OR(D486="",E486=""),"",D486*E486)</f>
        <v/>
      </c>
      <c r="G486" s="15" t="n"/>
    </row>
    <row r="487">
      <c r="A487" s="19" t="n"/>
      <c r="B487" s="15" t="n"/>
      <c r="C487">
        <f>IF(B487="","",IFERROR(INDEX(Items!$B$5:$B$304,MATCH(B487,Items!$A$5:$A$304,0)),"Unknown code"))</f>
        <v/>
      </c>
      <c r="D487" s="15" t="n"/>
      <c r="E487" s="16" t="n"/>
      <c r="F487" s="18">
        <f>IF(OR(D487="",E487=""),"",D487*E487)</f>
        <v/>
      </c>
      <c r="G487" s="15" t="n"/>
    </row>
    <row r="488">
      <c r="A488" s="19" t="n"/>
      <c r="B488" s="15" t="n"/>
      <c r="C488">
        <f>IF(B488="","",IFERROR(INDEX(Items!$B$5:$B$304,MATCH(B488,Items!$A$5:$A$304,0)),"Unknown code"))</f>
        <v/>
      </c>
      <c r="D488" s="15" t="n"/>
      <c r="E488" s="16" t="n"/>
      <c r="F488" s="18">
        <f>IF(OR(D488="",E488=""),"",D488*E488)</f>
        <v/>
      </c>
      <c r="G488" s="15" t="n"/>
    </row>
    <row r="489">
      <c r="A489" s="19" t="n"/>
      <c r="B489" s="15" t="n"/>
      <c r="C489">
        <f>IF(B489="","",IFERROR(INDEX(Items!$B$5:$B$304,MATCH(B489,Items!$A$5:$A$304,0)),"Unknown code"))</f>
        <v/>
      </c>
      <c r="D489" s="15" t="n"/>
      <c r="E489" s="16" t="n"/>
      <c r="F489" s="18">
        <f>IF(OR(D489="",E489=""),"",D489*E489)</f>
        <v/>
      </c>
      <c r="G489" s="15" t="n"/>
    </row>
    <row r="490">
      <c r="A490" s="19" t="n"/>
      <c r="B490" s="15" t="n"/>
      <c r="C490">
        <f>IF(B490="","",IFERROR(INDEX(Items!$B$5:$B$304,MATCH(B490,Items!$A$5:$A$304,0)),"Unknown code"))</f>
        <v/>
      </c>
      <c r="D490" s="15" t="n"/>
      <c r="E490" s="16" t="n"/>
      <c r="F490" s="18">
        <f>IF(OR(D490="",E490=""),"",D490*E490)</f>
        <v/>
      </c>
      <c r="G490" s="15" t="n"/>
    </row>
    <row r="491">
      <c r="A491" s="19" t="n"/>
      <c r="B491" s="15" t="n"/>
      <c r="C491">
        <f>IF(B491="","",IFERROR(INDEX(Items!$B$5:$B$304,MATCH(B491,Items!$A$5:$A$304,0)),"Unknown code"))</f>
        <v/>
      </c>
      <c r="D491" s="15" t="n"/>
      <c r="E491" s="16" t="n"/>
      <c r="F491" s="18">
        <f>IF(OR(D491="",E491=""),"",D491*E491)</f>
        <v/>
      </c>
      <c r="G491" s="15" t="n"/>
    </row>
    <row r="492">
      <c r="A492" s="19" t="n"/>
      <c r="B492" s="15" t="n"/>
      <c r="C492">
        <f>IF(B492="","",IFERROR(INDEX(Items!$B$5:$B$304,MATCH(B492,Items!$A$5:$A$304,0)),"Unknown code"))</f>
        <v/>
      </c>
      <c r="D492" s="15" t="n"/>
      <c r="E492" s="16" t="n"/>
      <c r="F492" s="18">
        <f>IF(OR(D492="",E492=""),"",D492*E492)</f>
        <v/>
      </c>
      <c r="G492" s="15" t="n"/>
    </row>
    <row r="493">
      <c r="A493" s="19" t="n"/>
      <c r="B493" s="15" t="n"/>
      <c r="C493">
        <f>IF(B493="","",IFERROR(INDEX(Items!$B$5:$B$304,MATCH(B493,Items!$A$5:$A$304,0)),"Unknown code"))</f>
        <v/>
      </c>
      <c r="D493" s="15" t="n"/>
      <c r="E493" s="16" t="n"/>
      <c r="F493" s="18">
        <f>IF(OR(D493="",E493=""),"",D493*E493)</f>
        <v/>
      </c>
      <c r="G493" s="15" t="n"/>
    </row>
    <row r="494">
      <c r="A494" s="19" t="n"/>
      <c r="B494" s="15" t="n"/>
      <c r="C494">
        <f>IF(B494="","",IFERROR(INDEX(Items!$B$5:$B$304,MATCH(B494,Items!$A$5:$A$304,0)),"Unknown code"))</f>
        <v/>
      </c>
      <c r="D494" s="15" t="n"/>
      <c r="E494" s="16" t="n"/>
      <c r="F494" s="18">
        <f>IF(OR(D494="",E494=""),"",D494*E494)</f>
        <v/>
      </c>
      <c r="G494" s="15" t="n"/>
    </row>
    <row r="495">
      <c r="A495" s="19" t="n"/>
      <c r="B495" s="15" t="n"/>
      <c r="C495">
        <f>IF(B495="","",IFERROR(INDEX(Items!$B$5:$B$304,MATCH(B495,Items!$A$5:$A$304,0)),"Unknown code"))</f>
        <v/>
      </c>
      <c r="D495" s="15" t="n"/>
      <c r="E495" s="16" t="n"/>
      <c r="F495" s="18">
        <f>IF(OR(D495="",E495=""),"",D495*E495)</f>
        <v/>
      </c>
      <c r="G495" s="15" t="n"/>
    </row>
    <row r="496">
      <c r="A496" s="19" t="n"/>
      <c r="B496" s="15" t="n"/>
      <c r="C496">
        <f>IF(B496="","",IFERROR(INDEX(Items!$B$5:$B$304,MATCH(B496,Items!$A$5:$A$304,0)),"Unknown code"))</f>
        <v/>
      </c>
      <c r="D496" s="15" t="n"/>
      <c r="E496" s="16" t="n"/>
      <c r="F496" s="18">
        <f>IF(OR(D496="",E496=""),"",D496*E496)</f>
        <v/>
      </c>
      <c r="G496" s="15" t="n"/>
    </row>
    <row r="497">
      <c r="A497" s="19" t="n"/>
      <c r="B497" s="15" t="n"/>
      <c r="C497">
        <f>IF(B497="","",IFERROR(INDEX(Items!$B$5:$B$304,MATCH(B497,Items!$A$5:$A$304,0)),"Unknown code"))</f>
        <v/>
      </c>
      <c r="D497" s="15" t="n"/>
      <c r="E497" s="16" t="n"/>
      <c r="F497" s="18">
        <f>IF(OR(D497="",E497=""),"",D497*E497)</f>
        <v/>
      </c>
      <c r="G497" s="15" t="n"/>
    </row>
    <row r="498">
      <c r="A498" s="19" t="n"/>
      <c r="B498" s="15" t="n"/>
      <c r="C498">
        <f>IF(B498="","",IFERROR(INDEX(Items!$B$5:$B$304,MATCH(B498,Items!$A$5:$A$304,0)),"Unknown code"))</f>
        <v/>
      </c>
      <c r="D498" s="15" t="n"/>
      <c r="E498" s="16" t="n"/>
      <c r="F498" s="18">
        <f>IF(OR(D498="",E498=""),"",D498*E498)</f>
        <v/>
      </c>
      <c r="G498" s="15" t="n"/>
    </row>
    <row r="499">
      <c r="A499" s="19" t="n"/>
      <c r="B499" s="15" t="n"/>
      <c r="C499">
        <f>IF(B499="","",IFERROR(INDEX(Items!$B$5:$B$304,MATCH(B499,Items!$A$5:$A$304,0)),"Unknown code"))</f>
        <v/>
      </c>
      <c r="D499" s="15" t="n"/>
      <c r="E499" s="16" t="n"/>
      <c r="F499" s="18">
        <f>IF(OR(D499="",E499=""),"",D499*E499)</f>
        <v/>
      </c>
      <c r="G499" s="15" t="n"/>
    </row>
    <row r="500">
      <c r="A500" s="19" t="n"/>
      <c r="B500" s="15" t="n"/>
      <c r="C500">
        <f>IF(B500="","",IFERROR(INDEX(Items!$B$5:$B$304,MATCH(B500,Items!$A$5:$A$304,0)),"Unknown code"))</f>
        <v/>
      </c>
      <c r="D500" s="15" t="n"/>
      <c r="E500" s="16" t="n"/>
      <c r="F500" s="18">
        <f>IF(OR(D500="",E500=""),"",D500*E500)</f>
        <v/>
      </c>
      <c r="G500" s="15" t="n"/>
    </row>
    <row r="501">
      <c r="A501" s="19" t="n"/>
      <c r="B501" s="15" t="n"/>
      <c r="C501">
        <f>IF(B501="","",IFERROR(INDEX(Items!$B$5:$B$304,MATCH(B501,Items!$A$5:$A$304,0)),"Unknown code"))</f>
        <v/>
      </c>
      <c r="D501" s="15" t="n"/>
      <c r="E501" s="16" t="n"/>
      <c r="F501" s="18">
        <f>IF(OR(D501="",E501=""),"",D501*E501)</f>
        <v/>
      </c>
      <c r="G501" s="15" t="n"/>
    </row>
    <row r="502">
      <c r="A502" s="19" t="n"/>
      <c r="B502" s="15" t="n"/>
      <c r="C502">
        <f>IF(B502="","",IFERROR(INDEX(Items!$B$5:$B$304,MATCH(B502,Items!$A$5:$A$304,0)),"Unknown code"))</f>
        <v/>
      </c>
      <c r="D502" s="15" t="n"/>
      <c r="E502" s="16" t="n"/>
      <c r="F502" s="18">
        <f>IF(OR(D502="",E502=""),"",D502*E502)</f>
        <v/>
      </c>
      <c r="G502" s="15" t="n"/>
    </row>
    <row r="503">
      <c r="A503" s="19" t="n"/>
      <c r="B503" s="15" t="n"/>
      <c r="C503">
        <f>IF(B503="","",IFERROR(INDEX(Items!$B$5:$B$304,MATCH(B503,Items!$A$5:$A$304,0)),"Unknown code"))</f>
        <v/>
      </c>
      <c r="D503" s="15" t="n"/>
      <c r="E503" s="16" t="n"/>
      <c r="F503" s="18">
        <f>IF(OR(D503="",E503=""),"",D503*E503)</f>
        <v/>
      </c>
      <c r="G503" s="15" t="n"/>
    </row>
    <row r="504">
      <c r="A504" s="19" t="n"/>
      <c r="B504" s="15" t="n"/>
      <c r="C504">
        <f>IF(B504="","",IFERROR(INDEX(Items!$B$5:$B$304,MATCH(B504,Items!$A$5:$A$304,0)),"Unknown code"))</f>
        <v/>
      </c>
      <c r="D504" s="15" t="n"/>
      <c r="E504" s="16" t="n"/>
      <c r="F504" s="18">
        <f>IF(OR(D504="",E504=""),"",D504*E504)</f>
        <v/>
      </c>
      <c r="G504" s="15" t="n"/>
    </row>
    <row r="505">
      <c r="A505" s="19" t="n"/>
      <c r="B505" s="15" t="n"/>
      <c r="C505">
        <f>IF(B505="","",IFERROR(INDEX(Items!$B$5:$B$304,MATCH(B505,Items!$A$5:$A$304,0)),"Unknown code"))</f>
        <v/>
      </c>
      <c r="D505" s="15" t="n"/>
      <c r="E505" s="16" t="n"/>
      <c r="F505" s="18">
        <f>IF(OR(D505="",E505=""),"",D505*E505)</f>
        <v/>
      </c>
      <c r="G505" s="15" t="n"/>
    </row>
    <row r="506">
      <c r="A506" s="19" t="n"/>
      <c r="B506" s="15" t="n"/>
      <c r="C506">
        <f>IF(B506="","",IFERROR(INDEX(Items!$B$5:$B$304,MATCH(B506,Items!$A$5:$A$304,0)),"Unknown code"))</f>
        <v/>
      </c>
      <c r="D506" s="15" t="n"/>
      <c r="E506" s="16" t="n"/>
      <c r="F506" s="18">
        <f>IF(OR(D506="",E506=""),"",D506*E506)</f>
        <v/>
      </c>
      <c r="G506" s="15" t="n"/>
    </row>
    <row r="507">
      <c r="A507" s="19" t="n"/>
      <c r="B507" s="15" t="n"/>
      <c r="C507">
        <f>IF(B507="","",IFERROR(INDEX(Items!$B$5:$B$304,MATCH(B507,Items!$A$5:$A$304,0)),"Unknown code"))</f>
        <v/>
      </c>
      <c r="D507" s="15" t="n"/>
      <c r="E507" s="16" t="n"/>
      <c r="F507" s="18">
        <f>IF(OR(D507="",E507=""),"",D507*E507)</f>
        <v/>
      </c>
      <c r="G507" s="15" t="n"/>
    </row>
    <row r="508">
      <c r="A508" s="19" t="n"/>
      <c r="B508" s="15" t="n"/>
      <c r="C508">
        <f>IF(B508="","",IFERROR(INDEX(Items!$B$5:$B$304,MATCH(B508,Items!$A$5:$A$304,0)),"Unknown code"))</f>
        <v/>
      </c>
      <c r="D508" s="15" t="n"/>
      <c r="E508" s="16" t="n"/>
      <c r="F508" s="18">
        <f>IF(OR(D508="",E508=""),"",D508*E508)</f>
        <v/>
      </c>
      <c r="G508" s="15" t="n"/>
    </row>
    <row r="509">
      <c r="A509" s="19" t="n"/>
      <c r="B509" s="15" t="n"/>
      <c r="C509">
        <f>IF(B509="","",IFERROR(INDEX(Items!$B$5:$B$304,MATCH(B509,Items!$A$5:$A$304,0)),"Unknown code"))</f>
        <v/>
      </c>
      <c r="D509" s="15" t="n"/>
      <c r="E509" s="16" t="n"/>
      <c r="F509" s="18">
        <f>IF(OR(D509="",E509=""),"",D509*E509)</f>
        <v/>
      </c>
      <c r="G509" s="15" t="n"/>
    </row>
    <row r="510">
      <c r="A510" s="19" t="n"/>
      <c r="B510" s="15" t="n"/>
      <c r="C510">
        <f>IF(B510="","",IFERROR(INDEX(Items!$B$5:$B$304,MATCH(B510,Items!$A$5:$A$304,0)),"Unknown code"))</f>
        <v/>
      </c>
      <c r="D510" s="15" t="n"/>
      <c r="E510" s="16" t="n"/>
      <c r="F510" s="18">
        <f>IF(OR(D510="",E510=""),"",D510*E510)</f>
        <v/>
      </c>
      <c r="G510" s="15" t="n"/>
    </row>
    <row r="511">
      <c r="A511" s="19" t="n"/>
      <c r="B511" s="15" t="n"/>
      <c r="C511">
        <f>IF(B511="","",IFERROR(INDEX(Items!$B$5:$B$304,MATCH(B511,Items!$A$5:$A$304,0)),"Unknown code"))</f>
        <v/>
      </c>
      <c r="D511" s="15" t="n"/>
      <c r="E511" s="16" t="n"/>
      <c r="F511" s="18">
        <f>IF(OR(D511="",E511=""),"",D511*E511)</f>
        <v/>
      </c>
      <c r="G511" s="15" t="n"/>
    </row>
    <row r="512">
      <c r="A512" s="19" t="n"/>
      <c r="B512" s="15" t="n"/>
      <c r="C512">
        <f>IF(B512="","",IFERROR(INDEX(Items!$B$5:$B$304,MATCH(B512,Items!$A$5:$A$304,0)),"Unknown code"))</f>
        <v/>
      </c>
      <c r="D512" s="15" t="n"/>
      <c r="E512" s="16" t="n"/>
      <c r="F512" s="18">
        <f>IF(OR(D512="",E512=""),"",D512*E512)</f>
        <v/>
      </c>
      <c r="G512" s="15" t="n"/>
    </row>
    <row r="513">
      <c r="A513" s="19" t="n"/>
      <c r="B513" s="15" t="n"/>
      <c r="C513">
        <f>IF(B513="","",IFERROR(INDEX(Items!$B$5:$B$304,MATCH(B513,Items!$A$5:$A$304,0)),"Unknown code"))</f>
        <v/>
      </c>
      <c r="D513" s="15" t="n"/>
      <c r="E513" s="16" t="n"/>
      <c r="F513" s="18">
        <f>IF(OR(D513="",E513=""),"",D513*E513)</f>
        <v/>
      </c>
      <c r="G513" s="15" t="n"/>
    </row>
    <row r="514">
      <c r="A514" s="19" t="n"/>
      <c r="B514" s="15" t="n"/>
      <c r="C514">
        <f>IF(B514="","",IFERROR(INDEX(Items!$B$5:$B$304,MATCH(B514,Items!$A$5:$A$304,0)),"Unknown code"))</f>
        <v/>
      </c>
      <c r="D514" s="15" t="n"/>
      <c r="E514" s="16" t="n"/>
      <c r="F514" s="18">
        <f>IF(OR(D514="",E514=""),"",D514*E514)</f>
        <v/>
      </c>
      <c r="G514" s="15" t="n"/>
    </row>
    <row r="515">
      <c r="A515" s="19" t="n"/>
      <c r="B515" s="15" t="n"/>
      <c r="C515">
        <f>IF(B515="","",IFERROR(INDEX(Items!$B$5:$B$304,MATCH(B515,Items!$A$5:$A$304,0)),"Unknown code"))</f>
        <v/>
      </c>
      <c r="D515" s="15" t="n"/>
      <c r="E515" s="16" t="n"/>
      <c r="F515" s="18">
        <f>IF(OR(D515="",E515=""),"",D515*E515)</f>
        <v/>
      </c>
      <c r="G515" s="15" t="n"/>
    </row>
    <row r="516">
      <c r="A516" s="19" t="n"/>
      <c r="B516" s="15" t="n"/>
      <c r="C516">
        <f>IF(B516="","",IFERROR(INDEX(Items!$B$5:$B$304,MATCH(B516,Items!$A$5:$A$304,0)),"Unknown code"))</f>
        <v/>
      </c>
      <c r="D516" s="15" t="n"/>
      <c r="E516" s="16" t="n"/>
      <c r="F516" s="18">
        <f>IF(OR(D516="",E516=""),"",D516*E516)</f>
        <v/>
      </c>
      <c r="G516" s="15" t="n"/>
    </row>
    <row r="517">
      <c r="A517" s="19" t="n"/>
      <c r="B517" s="15" t="n"/>
      <c r="C517">
        <f>IF(B517="","",IFERROR(INDEX(Items!$B$5:$B$304,MATCH(B517,Items!$A$5:$A$304,0)),"Unknown code"))</f>
        <v/>
      </c>
      <c r="D517" s="15" t="n"/>
      <c r="E517" s="16" t="n"/>
      <c r="F517" s="18">
        <f>IF(OR(D517="",E517=""),"",D517*E517)</f>
        <v/>
      </c>
      <c r="G517" s="15" t="n"/>
    </row>
    <row r="518">
      <c r="A518" s="19" t="n"/>
      <c r="B518" s="15" t="n"/>
      <c r="C518">
        <f>IF(B518="","",IFERROR(INDEX(Items!$B$5:$B$304,MATCH(B518,Items!$A$5:$A$304,0)),"Unknown code"))</f>
        <v/>
      </c>
      <c r="D518" s="15" t="n"/>
      <c r="E518" s="16" t="n"/>
      <c r="F518" s="18">
        <f>IF(OR(D518="",E518=""),"",D518*E518)</f>
        <v/>
      </c>
      <c r="G518" s="15" t="n"/>
    </row>
    <row r="519">
      <c r="A519" s="19" t="n"/>
      <c r="B519" s="15" t="n"/>
      <c r="C519">
        <f>IF(B519="","",IFERROR(INDEX(Items!$B$5:$B$304,MATCH(B519,Items!$A$5:$A$304,0)),"Unknown code"))</f>
        <v/>
      </c>
      <c r="D519" s="15" t="n"/>
      <c r="E519" s="16" t="n"/>
      <c r="F519" s="18">
        <f>IF(OR(D519="",E519=""),"",D519*E519)</f>
        <v/>
      </c>
      <c r="G519" s="15" t="n"/>
    </row>
    <row r="520">
      <c r="A520" s="19" t="n"/>
      <c r="B520" s="15" t="n"/>
      <c r="C520">
        <f>IF(B520="","",IFERROR(INDEX(Items!$B$5:$B$304,MATCH(B520,Items!$A$5:$A$304,0)),"Unknown code"))</f>
        <v/>
      </c>
      <c r="D520" s="15" t="n"/>
      <c r="E520" s="16" t="n"/>
      <c r="F520" s="18">
        <f>IF(OR(D520="",E520=""),"",D520*E520)</f>
        <v/>
      </c>
      <c r="G520" s="15" t="n"/>
    </row>
    <row r="521">
      <c r="A521" s="19" t="n"/>
      <c r="B521" s="15" t="n"/>
      <c r="C521">
        <f>IF(B521="","",IFERROR(INDEX(Items!$B$5:$B$304,MATCH(B521,Items!$A$5:$A$304,0)),"Unknown code"))</f>
        <v/>
      </c>
      <c r="D521" s="15" t="n"/>
      <c r="E521" s="16" t="n"/>
      <c r="F521" s="18">
        <f>IF(OR(D521="",E521=""),"",D521*E521)</f>
        <v/>
      </c>
      <c r="G521" s="15" t="n"/>
    </row>
    <row r="522">
      <c r="A522" s="19" t="n"/>
      <c r="B522" s="15" t="n"/>
      <c r="C522">
        <f>IF(B522="","",IFERROR(INDEX(Items!$B$5:$B$304,MATCH(B522,Items!$A$5:$A$304,0)),"Unknown code"))</f>
        <v/>
      </c>
      <c r="D522" s="15" t="n"/>
      <c r="E522" s="16" t="n"/>
      <c r="F522" s="18">
        <f>IF(OR(D522="",E522=""),"",D522*E522)</f>
        <v/>
      </c>
      <c r="G522" s="15" t="n"/>
    </row>
    <row r="523">
      <c r="A523" s="19" t="n"/>
      <c r="B523" s="15" t="n"/>
      <c r="C523">
        <f>IF(B523="","",IFERROR(INDEX(Items!$B$5:$B$304,MATCH(B523,Items!$A$5:$A$304,0)),"Unknown code"))</f>
        <v/>
      </c>
      <c r="D523" s="15" t="n"/>
      <c r="E523" s="16" t="n"/>
      <c r="F523" s="18">
        <f>IF(OR(D523="",E523=""),"",D523*E523)</f>
        <v/>
      </c>
      <c r="G523" s="15" t="n"/>
    </row>
    <row r="524">
      <c r="A524" s="19" t="n"/>
      <c r="B524" s="15" t="n"/>
      <c r="C524">
        <f>IF(B524="","",IFERROR(INDEX(Items!$B$5:$B$304,MATCH(B524,Items!$A$5:$A$304,0)),"Unknown code"))</f>
        <v/>
      </c>
      <c r="D524" s="15" t="n"/>
      <c r="E524" s="16" t="n"/>
      <c r="F524" s="18">
        <f>IF(OR(D524="",E524=""),"",D524*E524)</f>
        <v/>
      </c>
      <c r="G524" s="15" t="n"/>
    </row>
    <row r="525">
      <c r="A525" s="19" t="n"/>
      <c r="B525" s="15" t="n"/>
      <c r="C525">
        <f>IF(B525="","",IFERROR(INDEX(Items!$B$5:$B$304,MATCH(B525,Items!$A$5:$A$304,0)),"Unknown code"))</f>
        <v/>
      </c>
      <c r="D525" s="15" t="n"/>
      <c r="E525" s="16" t="n"/>
      <c r="F525" s="18">
        <f>IF(OR(D525="",E525=""),"",D525*E525)</f>
        <v/>
      </c>
      <c r="G525" s="15" t="n"/>
    </row>
    <row r="526">
      <c r="A526" s="19" t="n"/>
      <c r="B526" s="15" t="n"/>
      <c r="C526">
        <f>IF(B526="","",IFERROR(INDEX(Items!$B$5:$B$304,MATCH(B526,Items!$A$5:$A$304,0)),"Unknown code"))</f>
        <v/>
      </c>
      <c r="D526" s="15" t="n"/>
      <c r="E526" s="16" t="n"/>
      <c r="F526" s="18">
        <f>IF(OR(D526="",E526=""),"",D526*E526)</f>
        <v/>
      </c>
      <c r="G526" s="15" t="n"/>
    </row>
    <row r="527">
      <c r="A527" s="19" t="n"/>
      <c r="B527" s="15" t="n"/>
      <c r="C527">
        <f>IF(B527="","",IFERROR(INDEX(Items!$B$5:$B$304,MATCH(B527,Items!$A$5:$A$304,0)),"Unknown code"))</f>
        <v/>
      </c>
      <c r="D527" s="15" t="n"/>
      <c r="E527" s="16" t="n"/>
      <c r="F527" s="18">
        <f>IF(OR(D527="",E527=""),"",D527*E527)</f>
        <v/>
      </c>
      <c r="G527" s="15" t="n"/>
    </row>
    <row r="528">
      <c r="A528" s="19" t="n"/>
      <c r="B528" s="15" t="n"/>
      <c r="C528">
        <f>IF(B528="","",IFERROR(INDEX(Items!$B$5:$B$304,MATCH(B528,Items!$A$5:$A$304,0)),"Unknown code"))</f>
        <v/>
      </c>
      <c r="D528" s="15" t="n"/>
      <c r="E528" s="16" t="n"/>
      <c r="F528" s="18">
        <f>IF(OR(D528="",E528=""),"",D528*E528)</f>
        <v/>
      </c>
      <c r="G528" s="15" t="n"/>
    </row>
    <row r="529">
      <c r="A529" s="19" t="n"/>
      <c r="B529" s="15" t="n"/>
      <c r="C529">
        <f>IF(B529="","",IFERROR(INDEX(Items!$B$5:$B$304,MATCH(B529,Items!$A$5:$A$304,0)),"Unknown code"))</f>
        <v/>
      </c>
      <c r="D529" s="15" t="n"/>
      <c r="E529" s="16" t="n"/>
      <c r="F529" s="18">
        <f>IF(OR(D529="",E529=""),"",D529*E529)</f>
        <v/>
      </c>
      <c r="G529" s="15" t="n"/>
    </row>
    <row r="530">
      <c r="A530" s="19" t="n"/>
      <c r="B530" s="15" t="n"/>
      <c r="C530">
        <f>IF(B530="","",IFERROR(INDEX(Items!$B$5:$B$304,MATCH(B530,Items!$A$5:$A$304,0)),"Unknown code"))</f>
        <v/>
      </c>
      <c r="D530" s="15" t="n"/>
      <c r="E530" s="16" t="n"/>
      <c r="F530" s="18">
        <f>IF(OR(D530="",E530=""),"",D530*E530)</f>
        <v/>
      </c>
      <c r="G530" s="15" t="n"/>
    </row>
    <row r="531">
      <c r="A531" s="19" t="n"/>
      <c r="B531" s="15" t="n"/>
      <c r="C531">
        <f>IF(B531="","",IFERROR(INDEX(Items!$B$5:$B$304,MATCH(B531,Items!$A$5:$A$304,0)),"Unknown code"))</f>
        <v/>
      </c>
      <c r="D531" s="15" t="n"/>
      <c r="E531" s="16" t="n"/>
      <c r="F531" s="18">
        <f>IF(OR(D531="",E531=""),"",D531*E531)</f>
        <v/>
      </c>
      <c r="G531" s="15" t="n"/>
    </row>
    <row r="532">
      <c r="A532" s="19" t="n"/>
      <c r="B532" s="15" t="n"/>
      <c r="C532">
        <f>IF(B532="","",IFERROR(INDEX(Items!$B$5:$B$304,MATCH(B532,Items!$A$5:$A$304,0)),"Unknown code"))</f>
        <v/>
      </c>
      <c r="D532" s="15" t="n"/>
      <c r="E532" s="16" t="n"/>
      <c r="F532" s="18">
        <f>IF(OR(D532="",E532=""),"",D532*E532)</f>
        <v/>
      </c>
      <c r="G532" s="15" t="n"/>
    </row>
    <row r="533">
      <c r="A533" s="19" t="n"/>
      <c r="B533" s="15" t="n"/>
      <c r="C533">
        <f>IF(B533="","",IFERROR(INDEX(Items!$B$5:$B$304,MATCH(B533,Items!$A$5:$A$304,0)),"Unknown code"))</f>
        <v/>
      </c>
      <c r="D533" s="15" t="n"/>
      <c r="E533" s="16" t="n"/>
      <c r="F533" s="18">
        <f>IF(OR(D533="",E533=""),"",D533*E533)</f>
        <v/>
      </c>
      <c r="G533" s="15" t="n"/>
    </row>
    <row r="534">
      <c r="A534" s="19" t="n"/>
      <c r="B534" s="15" t="n"/>
      <c r="C534">
        <f>IF(B534="","",IFERROR(INDEX(Items!$B$5:$B$304,MATCH(B534,Items!$A$5:$A$304,0)),"Unknown code"))</f>
        <v/>
      </c>
      <c r="D534" s="15" t="n"/>
      <c r="E534" s="16" t="n"/>
      <c r="F534" s="18">
        <f>IF(OR(D534="",E534=""),"",D534*E534)</f>
        <v/>
      </c>
      <c r="G534" s="15" t="n"/>
    </row>
    <row r="535">
      <c r="A535" s="19" t="n"/>
      <c r="B535" s="15" t="n"/>
      <c r="C535">
        <f>IF(B535="","",IFERROR(INDEX(Items!$B$5:$B$304,MATCH(B535,Items!$A$5:$A$304,0)),"Unknown code"))</f>
        <v/>
      </c>
      <c r="D535" s="15" t="n"/>
      <c r="E535" s="16" t="n"/>
      <c r="F535" s="18">
        <f>IF(OR(D535="",E535=""),"",D535*E535)</f>
        <v/>
      </c>
      <c r="G535" s="15" t="n"/>
    </row>
    <row r="536">
      <c r="A536" s="19" t="n"/>
      <c r="B536" s="15" t="n"/>
      <c r="C536">
        <f>IF(B536="","",IFERROR(INDEX(Items!$B$5:$B$304,MATCH(B536,Items!$A$5:$A$304,0)),"Unknown code"))</f>
        <v/>
      </c>
      <c r="D536" s="15" t="n"/>
      <c r="E536" s="16" t="n"/>
      <c r="F536" s="18">
        <f>IF(OR(D536="",E536=""),"",D536*E536)</f>
        <v/>
      </c>
      <c r="G536" s="15" t="n"/>
    </row>
    <row r="537">
      <c r="A537" s="19" t="n"/>
      <c r="B537" s="15" t="n"/>
      <c r="C537">
        <f>IF(B537="","",IFERROR(INDEX(Items!$B$5:$B$304,MATCH(B537,Items!$A$5:$A$304,0)),"Unknown code"))</f>
        <v/>
      </c>
      <c r="D537" s="15" t="n"/>
      <c r="E537" s="16" t="n"/>
      <c r="F537" s="18">
        <f>IF(OR(D537="",E537=""),"",D537*E537)</f>
        <v/>
      </c>
      <c r="G537" s="15" t="n"/>
    </row>
    <row r="538">
      <c r="A538" s="19" t="n"/>
      <c r="B538" s="15" t="n"/>
      <c r="C538">
        <f>IF(B538="","",IFERROR(INDEX(Items!$B$5:$B$304,MATCH(B538,Items!$A$5:$A$304,0)),"Unknown code"))</f>
        <v/>
      </c>
      <c r="D538" s="15" t="n"/>
      <c r="E538" s="16" t="n"/>
      <c r="F538" s="18">
        <f>IF(OR(D538="",E538=""),"",D538*E538)</f>
        <v/>
      </c>
      <c r="G538" s="15" t="n"/>
    </row>
    <row r="539">
      <c r="A539" s="19" t="n"/>
      <c r="B539" s="15" t="n"/>
      <c r="C539">
        <f>IF(B539="","",IFERROR(INDEX(Items!$B$5:$B$304,MATCH(B539,Items!$A$5:$A$304,0)),"Unknown code"))</f>
        <v/>
      </c>
      <c r="D539" s="15" t="n"/>
      <c r="E539" s="16" t="n"/>
      <c r="F539" s="18">
        <f>IF(OR(D539="",E539=""),"",D539*E539)</f>
        <v/>
      </c>
      <c r="G539" s="15" t="n"/>
    </row>
    <row r="540">
      <c r="A540" s="19" t="n"/>
      <c r="B540" s="15" t="n"/>
      <c r="C540">
        <f>IF(B540="","",IFERROR(INDEX(Items!$B$5:$B$304,MATCH(B540,Items!$A$5:$A$304,0)),"Unknown code"))</f>
        <v/>
      </c>
      <c r="D540" s="15" t="n"/>
      <c r="E540" s="16" t="n"/>
      <c r="F540" s="18">
        <f>IF(OR(D540="",E540=""),"",D540*E540)</f>
        <v/>
      </c>
      <c r="G540" s="15" t="n"/>
    </row>
    <row r="541">
      <c r="A541" s="19" t="n"/>
      <c r="B541" s="15" t="n"/>
      <c r="C541">
        <f>IF(B541="","",IFERROR(INDEX(Items!$B$5:$B$304,MATCH(B541,Items!$A$5:$A$304,0)),"Unknown code"))</f>
        <v/>
      </c>
      <c r="D541" s="15" t="n"/>
      <c r="E541" s="16" t="n"/>
      <c r="F541" s="18">
        <f>IF(OR(D541="",E541=""),"",D541*E541)</f>
        <v/>
      </c>
      <c r="G541" s="15" t="n"/>
    </row>
    <row r="542">
      <c r="A542" s="19" t="n"/>
      <c r="B542" s="15" t="n"/>
      <c r="C542">
        <f>IF(B542="","",IFERROR(INDEX(Items!$B$5:$B$304,MATCH(B542,Items!$A$5:$A$304,0)),"Unknown code"))</f>
        <v/>
      </c>
      <c r="D542" s="15" t="n"/>
      <c r="E542" s="16" t="n"/>
      <c r="F542" s="18">
        <f>IF(OR(D542="",E542=""),"",D542*E542)</f>
        <v/>
      </c>
      <c r="G542" s="15" t="n"/>
    </row>
    <row r="543">
      <c r="A543" s="19" t="n"/>
      <c r="B543" s="15" t="n"/>
      <c r="C543">
        <f>IF(B543="","",IFERROR(INDEX(Items!$B$5:$B$304,MATCH(B543,Items!$A$5:$A$304,0)),"Unknown code"))</f>
        <v/>
      </c>
      <c r="D543" s="15" t="n"/>
      <c r="E543" s="16" t="n"/>
      <c r="F543" s="18">
        <f>IF(OR(D543="",E543=""),"",D543*E543)</f>
        <v/>
      </c>
      <c r="G543" s="15" t="n"/>
    </row>
    <row r="544">
      <c r="A544" s="19" t="n"/>
      <c r="B544" s="15" t="n"/>
      <c r="C544">
        <f>IF(B544="","",IFERROR(INDEX(Items!$B$5:$B$304,MATCH(B544,Items!$A$5:$A$304,0)),"Unknown code"))</f>
        <v/>
      </c>
      <c r="D544" s="15" t="n"/>
      <c r="E544" s="16" t="n"/>
      <c r="F544" s="18">
        <f>IF(OR(D544="",E544=""),"",D544*E544)</f>
        <v/>
      </c>
      <c r="G544" s="15" t="n"/>
    </row>
    <row r="545">
      <c r="A545" s="19" t="n"/>
      <c r="B545" s="15" t="n"/>
      <c r="C545">
        <f>IF(B545="","",IFERROR(INDEX(Items!$B$5:$B$304,MATCH(B545,Items!$A$5:$A$304,0)),"Unknown code"))</f>
        <v/>
      </c>
      <c r="D545" s="15" t="n"/>
      <c r="E545" s="16" t="n"/>
      <c r="F545" s="18">
        <f>IF(OR(D545="",E545=""),"",D545*E545)</f>
        <v/>
      </c>
      <c r="G545" s="15" t="n"/>
    </row>
    <row r="546">
      <c r="A546" s="19" t="n"/>
      <c r="B546" s="15" t="n"/>
      <c r="C546">
        <f>IF(B546="","",IFERROR(INDEX(Items!$B$5:$B$304,MATCH(B546,Items!$A$5:$A$304,0)),"Unknown code"))</f>
        <v/>
      </c>
      <c r="D546" s="15" t="n"/>
      <c r="E546" s="16" t="n"/>
      <c r="F546" s="18">
        <f>IF(OR(D546="",E546=""),"",D546*E546)</f>
        <v/>
      </c>
      <c r="G546" s="15" t="n"/>
    </row>
    <row r="547">
      <c r="A547" s="19" t="n"/>
      <c r="B547" s="15" t="n"/>
      <c r="C547">
        <f>IF(B547="","",IFERROR(INDEX(Items!$B$5:$B$304,MATCH(B547,Items!$A$5:$A$304,0)),"Unknown code"))</f>
        <v/>
      </c>
      <c r="D547" s="15" t="n"/>
      <c r="E547" s="16" t="n"/>
      <c r="F547" s="18">
        <f>IF(OR(D547="",E547=""),"",D547*E547)</f>
        <v/>
      </c>
      <c r="G547" s="15" t="n"/>
    </row>
    <row r="548">
      <c r="A548" s="19" t="n"/>
      <c r="B548" s="15" t="n"/>
      <c r="C548">
        <f>IF(B548="","",IFERROR(INDEX(Items!$B$5:$B$304,MATCH(B548,Items!$A$5:$A$304,0)),"Unknown code"))</f>
        <v/>
      </c>
      <c r="D548" s="15" t="n"/>
      <c r="E548" s="16" t="n"/>
      <c r="F548" s="18">
        <f>IF(OR(D548="",E548=""),"",D548*E548)</f>
        <v/>
      </c>
      <c r="G548" s="15" t="n"/>
    </row>
    <row r="549">
      <c r="A549" s="19" t="n"/>
      <c r="B549" s="15" t="n"/>
      <c r="C549">
        <f>IF(B549="","",IFERROR(INDEX(Items!$B$5:$B$304,MATCH(B549,Items!$A$5:$A$304,0)),"Unknown code"))</f>
        <v/>
      </c>
      <c r="D549" s="15" t="n"/>
      <c r="E549" s="16" t="n"/>
      <c r="F549" s="18">
        <f>IF(OR(D549="",E549=""),"",D549*E549)</f>
        <v/>
      </c>
      <c r="G549" s="15" t="n"/>
    </row>
    <row r="550">
      <c r="A550" s="19" t="n"/>
      <c r="B550" s="15" t="n"/>
      <c r="C550">
        <f>IF(B550="","",IFERROR(INDEX(Items!$B$5:$B$304,MATCH(B550,Items!$A$5:$A$304,0)),"Unknown code"))</f>
        <v/>
      </c>
      <c r="D550" s="15" t="n"/>
      <c r="E550" s="16" t="n"/>
      <c r="F550" s="18">
        <f>IF(OR(D550="",E550=""),"",D550*E550)</f>
        <v/>
      </c>
      <c r="G550" s="15" t="n"/>
    </row>
    <row r="551">
      <c r="A551" s="19" t="n"/>
      <c r="B551" s="15" t="n"/>
      <c r="C551">
        <f>IF(B551="","",IFERROR(INDEX(Items!$B$5:$B$304,MATCH(B551,Items!$A$5:$A$304,0)),"Unknown code"))</f>
        <v/>
      </c>
      <c r="D551" s="15" t="n"/>
      <c r="E551" s="16" t="n"/>
      <c r="F551" s="18">
        <f>IF(OR(D551="",E551=""),"",D551*E551)</f>
        <v/>
      </c>
      <c r="G551" s="15" t="n"/>
    </row>
    <row r="552">
      <c r="A552" s="19" t="n"/>
      <c r="B552" s="15" t="n"/>
      <c r="C552">
        <f>IF(B552="","",IFERROR(INDEX(Items!$B$5:$B$304,MATCH(B552,Items!$A$5:$A$304,0)),"Unknown code"))</f>
        <v/>
      </c>
      <c r="D552" s="15" t="n"/>
      <c r="E552" s="16" t="n"/>
      <c r="F552" s="18">
        <f>IF(OR(D552="",E552=""),"",D552*E552)</f>
        <v/>
      </c>
      <c r="G552" s="15" t="n"/>
    </row>
    <row r="553">
      <c r="A553" s="19" t="n"/>
      <c r="B553" s="15" t="n"/>
      <c r="C553">
        <f>IF(B553="","",IFERROR(INDEX(Items!$B$5:$B$304,MATCH(B553,Items!$A$5:$A$304,0)),"Unknown code"))</f>
        <v/>
      </c>
      <c r="D553" s="15" t="n"/>
      <c r="E553" s="16" t="n"/>
      <c r="F553" s="18">
        <f>IF(OR(D553="",E553=""),"",D553*E553)</f>
        <v/>
      </c>
      <c r="G553" s="15" t="n"/>
    </row>
    <row r="554">
      <c r="A554" s="19" t="n"/>
      <c r="B554" s="15" t="n"/>
      <c r="C554">
        <f>IF(B554="","",IFERROR(INDEX(Items!$B$5:$B$304,MATCH(B554,Items!$A$5:$A$304,0)),"Unknown code"))</f>
        <v/>
      </c>
      <c r="D554" s="15" t="n"/>
      <c r="E554" s="16" t="n"/>
      <c r="F554" s="18">
        <f>IF(OR(D554="",E554=""),"",D554*E554)</f>
        <v/>
      </c>
      <c r="G554" s="15" t="n"/>
    </row>
    <row r="555">
      <c r="A555" s="19" t="n"/>
      <c r="B555" s="15" t="n"/>
      <c r="C555">
        <f>IF(B555="","",IFERROR(INDEX(Items!$B$5:$B$304,MATCH(B555,Items!$A$5:$A$304,0)),"Unknown code"))</f>
        <v/>
      </c>
      <c r="D555" s="15" t="n"/>
      <c r="E555" s="16" t="n"/>
      <c r="F555" s="18">
        <f>IF(OR(D555="",E555=""),"",D555*E555)</f>
        <v/>
      </c>
      <c r="G555" s="15" t="n"/>
    </row>
    <row r="556">
      <c r="A556" s="19" t="n"/>
      <c r="B556" s="15" t="n"/>
      <c r="C556">
        <f>IF(B556="","",IFERROR(INDEX(Items!$B$5:$B$304,MATCH(B556,Items!$A$5:$A$304,0)),"Unknown code"))</f>
        <v/>
      </c>
      <c r="D556" s="15" t="n"/>
      <c r="E556" s="16" t="n"/>
      <c r="F556" s="18">
        <f>IF(OR(D556="",E556=""),"",D556*E556)</f>
        <v/>
      </c>
      <c r="G556" s="15" t="n"/>
    </row>
    <row r="557">
      <c r="A557" s="19" t="n"/>
      <c r="B557" s="15" t="n"/>
      <c r="C557">
        <f>IF(B557="","",IFERROR(INDEX(Items!$B$5:$B$304,MATCH(B557,Items!$A$5:$A$304,0)),"Unknown code"))</f>
        <v/>
      </c>
      <c r="D557" s="15" t="n"/>
      <c r="E557" s="16" t="n"/>
      <c r="F557" s="18">
        <f>IF(OR(D557="",E557=""),"",D557*E557)</f>
        <v/>
      </c>
      <c r="G557" s="15" t="n"/>
    </row>
    <row r="558">
      <c r="A558" s="19" t="n"/>
      <c r="B558" s="15" t="n"/>
      <c r="C558">
        <f>IF(B558="","",IFERROR(INDEX(Items!$B$5:$B$304,MATCH(B558,Items!$A$5:$A$304,0)),"Unknown code"))</f>
        <v/>
      </c>
      <c r="D558" s="15" t="n"/>
      <c r="E558" s="16" t="n"/>
      <c r="F558" s="18">
        <f>IF(OR(D558="",E558=""),"",D558*E558)</f>
        <v/>
      </c>
      <c r="G558" s="15" t="n"/>
    </row>
    <row r="559">
      <c r="A559" s="19" t="n"/>
      <c r="B559" s="15" t="n"/>
      <c r="C559">
        <f>IF(B559="","",IFERROR(INDEX(Items!$B$5:$B$304,MATCH(B559,Items!$A$5:$A$304,0)),"Unknown code"))</f>
        <v/>
      </c>
      <c r="D559" s="15" t="n"/>
      <c r="E559" s="16" t="n"/>
      <c r="F559" s="18">
        <f>IF(OR(D559="",E559=""),"",D559*E559)</f>
        <v/>
      </c>
      <c r="G559" s="15" t="n"/>
    </row>
    <row r="560">
      <c r="A560" s="19" t="n"/>
      <c r="B560" s="15" t="n"/>
      <c r="C560">
        <f>IF(B560="","",IFERROR(INDEX(Items!$B$5:$B$304,MATCH(B560,Items!$A$5:$A$304,0)),"Unknown code"))</f>
        <v/>
      </c>
      <c r="D560" s="15" t="n"/>
      <c r="E560" s="16" t="n"/>
      <c r="F560" s="18">
        <f>IF(OR(D560="",E560=""),"",D560*E560)</f>
        <v/>
      </c>
      <c r="G560" s="15" t="n"/>
    </row>
    <row r="561">
      <c r="A561" s="19" t="n"/>
      <c r="B561" s="15" t="n"/>
      <c r="C561">
        <f>IF(B561="","",IFERROR(INDEX(Items!$B$5:$B$304,MATCH(B561,Items!$A$5:$A$304,0)),"Unknown code"))</f>
        <v/>
      </c>
      <c r="D561" s="15" t="n"/>
      <c r="E561" s="16" t="n"/>
      <c r="F561" s="18">
        <f>IF(OR(D561="",E561=""),"",D561*E561)</f>
        <v/>
      </c>
      <c r="G561" s="15" t="n"/>
    </row>
    <row r="562">
      <c r="A562" s="19" t="n"/>
      <c r="B562" s="15" t="n"/>
      <c r="C562">
        <f>IF(B562="","",IFERROR(INDEX(Items!$B$5:$B$304,MATCH(B562,Items!$A$5:$A$304,0)),"Unknown code"))</f>
        <v/>
      </c>
      <c r="D562" s="15" t="n"/>
      <c r="E562" s="16" t="n"/>
      <c r="F562" s="18">
        <f>IF(OR(D562="",E562=""),"",D562*E562)</f>
        <v/>
      </c>
      <c r="G562" s="15" t="n"/>
    </row>
    <row r="563">
      <c r="A563" s="19" t="n"/>
      <c r="B563" s="15" t="n"/>
      <c r="C563">
        <f>IF(B563="","",IFERROR(INDEX(Items!$B$5:$B$304,MATCH(B563,Items!$A$5:$A$304,0)),"Unknown code"))</f>
        <v/>
      </c>
      <c r="D563" s="15" t="n"/>
      <c r="E563" s="16" t="n"/>
      <c r="F563" s="18">
        <f>IF(OR(D563="",E563=""),"",D563*E563)</f>
        <v/>
      </c>
      <c r="G563" s="15" t="n"/>
    </row>
    <row r="564">
      <c r="A564" s="19" t="n"/>
      <c r="B564" s="15" t="n"/>
      <c r="C564">
        <f>IF(B564="","",IFERROR(INDEX(Items!$B$5:$B$304,MATCH(B564,Items!$A$5:$A$304,0)),"Unknown code"))</f>
        <v/>
      </c>
      <c r="D564" s="15" t="n"/>
      <c r="E564" s="16" t="n"/>
      <c r="F564" s="18">
        <f>IF(OR(D564="",E564=""),"",D564*E564)</f>
        <v/>
      </c>
      <c r="G564" s="15" t="n"/>
    </row>
    <row r="565">
      <c r="A565" s="19" t="n"/>
      <c r="B565" s="15" t="n"/>
      <c r="C565">
        <f>IF(B565="","",IFERROR(INDEX(Items!$B$5:$B$304,MATCH(B565,Items!$A$5:$A$304,0)),"Unknown code"))</f>
        <v/>
      </c>
      <c r="D565" s="15" t="n"/>
      <c r="E565" s="16" t="n"/>
      <c r="F565" s="18">
        <f>IF(OR(D565="",E565=""),"",D565*E565)</f>
        <v/>
      </c>
      <c r="G565" s="15" t="n"/>
    </row>
    <row r="566">
      <c r="A566" s="19" t="n"/>
      <c r="B566" s="15" t="n"/>
      <c r="C566">
        <f>IF(B566="","",IFERROR(INDEX(Items!$B$5:$B$304,MATCH(B566,Items!$A$5:$A$304,0)),"Unknown code"))</f>
        <v/>
      </c>
      <c r="D566" s="15" t="n"/>
      <c r="E566" s="16" t="n"/>
      <c r="F566" s="18">
        <f>IF(OR(D566="",E566=""),"",D566*E566)</f>
        <v/>
      </c>
      <c r="G566" s="15" t="n"/>
    </row>
    <row r="567">
      <c r="A567" s="19" t="n"/>
      <c r="B567" s="15" t="n"/>
      <c r="C567">
        <f>IF(B567="","",IFERROR(INDEX(Items!$B$5:$B$304,MATCH(B567,Items!$A$5:$A$304,0)),"Unknown code"))</f>
        <v/>
      </c>
      <c r="D567" s="15" t="n"/>
      <c r="E567" s="16" t="n"/>
      <c r="F567" s="18">
        <f>IF(OR(D567="",E567=""),"",D567*E567)</f>
        <v/>
      </c>
      <c r="G567" s="15" t="n"/>
    </row>
    <row r="568">
      <c r="A568" s="19" t="n"/>
      <c r="B568" s="15" t="n"/>
      <c r="C568">
        <f>IF(B568="","",IFERROR(INDEX(Items!$B$5:$B$304,MATCH(B568,Items!$A$5:$A$304,0)),"Unknown code"))</f>
        <v/>
      </c>
      <c r="D568" s="15" t="n"/>
      <c r="E568" s="16" t="n"/>
      <c r="F568" s="18">
        <f>IF(OR(D568="",E568=""),"",D568*E568)</f>
        <v/>
      </c>
      <c r="G568" s="15" t="n"/>
    </row>
    <row r="569">
      <c r="A569" s="19" t="n"/>
      <c r="B569" s="15" t="n"/>
      <c r="C569">
        <f>IF(B569="","",IFERROR(INDEX(Items!$B$5:$B$304,MATCH(B569,Items!$A$5:$A$304,0)),"Unknown code"))</f>
        <v/>
      </c>
      <c r="D569" s="15" t="n"/>
      <c r="E569" s="16" t="n"/>
      <c r="F569" s="18">
        <f>IF(OR(D569="",E569=""),"",D569*E569)</f>
        <v/>
      </c>
      <c r="G569" s="15" t="n"/>
    </row>
    <row r="570">
      <c r="A570" s="19" t="n"/>
      <c r="B570" s="15" t="n"/>
      <c r="C570">
        <f>IF(B570="","",IFERROR(INDEX(Items!$B$5:$B$304,MATCH(B570,Items!$A$5:$A$304,0)),"Unknown code"))</f>
        <v/>
      </c>
      <c r="D570" s="15" t="n"/>
      <c r="E570" s="16" t="n"/>
      <c r="F570" s="18">
        <f>IF(OR(D570="",E570=""),"",D570*E570)</f>
        <v/>
      </c>
      <c r="G570" s="15" t="n"/>
    </row>
    <row r="571">
      <c r="A571" s="19" t="n"/>
      <c r="B571" s="15" t="n"/>
      <c r="C571">
        <f>IF(B571="","",IFERROR(INDEX(Items!$B$5:$B$304,MATCH(B571,Items!$A$5:$A$304,0)),"Unknown code"))</f>
        <v/>
      </c>
      <c r="D571" s="15" t="n"/>
      <c r="E571" s="16" t="n"/>
      <c r="F571" s="18">
        <f>IF(OR(D571="",E571=""),"",D571*E571)</f>
        <v/>
      </c>
      <c r="G571" s="15" t="n"/>
    </row>
    <row r="572">
      <c r="A572" s="19" t="n"/>
      <c r="B572" s="15" t="n"/>
      <c r="C572">
        <f>IF(B572="","",IFERROR(INDEX(Items!$B$5:$B$304,MATCH(B572,Items!$A$5:$A$304,0)),"Unknown code"))</f>
        <v/>
      </c>
      <c r="D572" s="15" t="n"/>
      <c r="E572" s="16" t="n"/>
      <c r="F572" s="18">
        <f>IF(OR(D572="",E572=""),"",D572*E572)</f>
        <v/>
      </c>
      <c r="G572" s="15" t="n"/>
    </row>
    <row r="573">
      <c r="A573" s="19" t="n"/>
      <c r="B573" s="15" t="n"/>
      <c r="C573">
        <f>IF(B573="","",IFERROR(INDEX(Items!$B$5:$B$304,MATCH(B573,Items!$A$5:$A$304,0)),"Unknown code"))</f>
        <v/>
      </c>
      <c r="D573" s="15" t="n"/>
      <c r="E573" s="16" t="n"/>
      <c r="F573" s="18">
        <f>IF(OR(D573="",E573=""),"",D573*E573)</f>
        <v/>
      </c>
      <c r="G573" s="15" t="n"/>
    </row>
    <row r="574">
      <c r="A574" s="19" t="n"/>
      <c r="B574" s="15" t="n"/>
      <c r="C574">
        <f>IF(B574="","",IFERROR(INDEX(Items!$B$5:$B$304,MATCH(B574,Items!$A$5:$A$304,0)),"Unknown code"))</f>
        <v/>
      </c>
      <c r="D574" s="15" t="n"/>
      <c r="E574" s="16" t="n"/>
      <c r="F574" s="18">
        <f>IF(OR(D574="",E574=""),"",D574*E574)</f>
        <v/>
      </c>
      <c r="G574" s="15" t="n"/>
    </row>
    <row r="575">
      <c r="A575" s="19" t="n"/>
      <c r="B575" s="15" t="n"/>
      <c r="C575">
        <f>IF(B575="","",IFERROR(INDEX(Items!$B$5:$B$304,MATCH(B575,Items!$A$5:$A$304,0)),"Unknown code"))</f>
        <v/>
      </c>
      <c r="D575" s="15" t="n"/>
      <c r="E575" s="16" t="n"/>
      <c r="F575" s="18">
        <f>IF(OR(D575="",E575=""),"",D575*E575)</f>
        <v/>
      </c>
      <c r="G575" s="15" t="n"/>
    </row>
    <row r="576">
      <c r="A576" s="19" t="n"/>
      <c r="B576" s="15" t="n"/>
      <c r="C576">
        <f>IF(B576="","",IFERROR(INDEX(Items!$B$5:$B$304,MATCH(B576,Items!$A$5:$A$304,0)),"Unknown code"))</f>
        <v/>
      </c>
      <c r="D576" s="15" t="n"/>
      <c r="E576" s="16" t="n"/>
      <c r="F576" s="18">
        <f>IF(OR(D576="",E576=""),"",D576*E576)</f>
        <v/>
      </c>
      <c r="G576" s="15" t="n"/>
    </row>
    <row r="577">
      <c r="A577" s="19" t="n"/>
      <c r="B577" s="15" t="n"/>
      <c r="C577">
        <f>IF(B577="","",IFERROR(INDEX(Items!$B$5:$B$304,MATCH(B577,Items!$A$5:$A$304,0)),"Unknown code"))</f>
        <v/>
      </c>
      <c r="D577" s="15" t="n"/>
      <c r="E577" s="16" t="n"/>
      <c r="F577" s="18">
        <f>IF(OR(D577="",E577=""),"",D577*E577)</f>
        <v/>
      </c>
      <c r="G577" s="15" t="n"/>
    </row>
    <row r="578">
      <c r="A578" s="19" t="n"/>
      <c r="B578" s="15" t="n"/>
      <c r="C578">
        <f>IF(B578="","",IFERROR(INDEX(Items!$B$5:$B$304,MATCH(B578,Items!$A$5:$A$304,0)),"Unknown code"))</f>
        <v/>
      </c>
      <c r="D578" s="15" t="n"/>
      <c r="E578" s="16" t="n"/>
      <c r="F578" s="18">
        <f>IF(OR(D578="",E578=""),"",D578*E578)</f>
        <v/>
      </c>
      <c r="G578" s="15" t="n"/>
    </row>
    <row r="579">
      <c r="A579" s="19" t="n"/>
      <c r="B579" s="15" t="n"/>
      <c r="C579">
        <f>IF(B579="","",IFERROR(INDEX(Items!$B$5:$B$304,MATCH(B579,Items!$A$5:$A$304,0)),"Unknown code"))</f>
        <v/>
      </c>
      <c r="D579" s="15" t="n"/>
      <c r="E579" s="16" t="n"/>
      <c r="F579" s="18">
        <f>IF(OR(D579="",E579=""),"",D579*E579)</f>
        <v/>
      </c>
      <c r="G579" s="15" t="n"/>
    </row>
    <row r="580">
      <c r="A580" s="19" t="n"/>
      <c r="B580" s="15" t="n"/>
      <c r="C580">
        <f>IF(B580="","",IFERROR(INDEX(Items!$B$5:$B$304,MATCH(B580,Items!$A$5:$A$304,0)),"Unknown code"))</f>
        <v/>
      </c>
      <c r="D580" s="15" t="n"/>
      <c r="E580" s="16" t="n"/>
      <c r="F580" s="18">
        <f>IF(OR(D580="",E580=""),"",D580*E580)</f>
        <v/>
      </c>
      <c r="G580" s="15" t="n"/>
    </row>
    <row r="581">
      <c r="A581" s="19" t="n"/>
      <c r="B581" s="15" t="n"/>
      <c r="C581">
        <f>IF(B581="","",IFERROR(INDEX(Items!$B$5:$B$304,MATCH(B581,Items!$A$5:$A$304,0)),"Unknown code"))</f>
        <v/>
      </c>
      <c r="D581" s="15" t="n"/>
      <c r="E581" s="16" t="n"/>
      <c r="F581" s="18">
        <f>IF(OR(D581="",E581=""),"",D581*E581)</f>
        <v/>
      </c>
      <c r="G581" s="15" t="n"/>
    </row>
    <row r="582">
      <c r="A582" s="19" t="n"/>
      <c r="B582" s="15" t="n"/>
      <c r="C582">
        <f>IF(B582="","",IFERROR(INDEX(Items!$B$5:$B$304,MATCH(B582,Items!$A$5:$A$304,0)),"Unknown code"))</f>
        <v/>
      </c>
      <c r="D582" s="15" t="n"/>
      <c r="E582" s="16" t="n"/>
      <c r="F582" s="18">
        <f>IF(OR(D582="",E582=""),"",D582*E582)</f>
        <v/>
      </c>
      <c r="G582" s="15" t="n"/>
    </row>
    <row r="583">
      <c r="A583" s="19" t="n"/>
      <c r="B583" s="15" t="n"/>
      <c r="C583">
        <f>IF(B583="","",IFERROR(INDEX(Items!$B$5:$B$304,MATCH(B583,Items!$A$5:$A$304,0)),"Unknown code"))</f>
        <v/>
      </c>
      <c r="D583" s="15" t="n"/>
      <c r="E583" s="16" t="n"/>
      <c r="F583" s="18">
        <f>IF(OR(D583="",E583=""),"",D583*E583)</f>
        <v/>
      </c>
      <c r="G583" s="15" t="n"/>
    </row>
    <row r="584">
      <c r="A584" s="19" t="n"/>
      <c r="B584" s="15" t="n"/>
      <c r="C584">
        <f>IF(B584="","",IFERROR(INDEX(Items!$B$5:$B$304,MATCH(B584,Items!$A$5:$A$304,0)),"Unknown code"))</f>
        <v/>
      </c>
      <c r="D584" s="15" t="n"/>
      <c r="E584" s="16" t="n"/>
      <c r="F584" s="18">
        <f>IF(OR(D584="",E584=""),"",D584*E584)</f>
        <v/>
      </c>
      <c r="G584" s="15" t="n"/>
    </row>
    <row r="585">
      <c r="A585" s="19" t="n"/>
      <c r="B585" s="15" t="n"/>
      <c r="C585">
        <f>IF(B585="","",IFERROR(INDEX(Items!$B$5:$B$304,MATCH(B585,Items!$A$5:$A$304,0)),"Unknown code"))</f>
        <v/>
      </c>
      <c r="D585" s="15" t="n"/>
      <c r="E585" s="16" t="n"/>
      <c r="F585" s="18">
        <f>IF(OR(D585="",E585=""),"",D585*E585)</f>
        <v/>
      </c>
      <c r="G585" s="15" t="n"/>
    </row>
    <row r="586">
      <c r="A586" s="19" t="n"/>
      <c r="B586" s="15" t="n"/>
      <c r="C586">
        <f>IF(B586="","",IFERROR(INDEX(Items!$B$5:$B$304,MATCH(B586,Items!$A$5:$A$304,0)),"Unknown code"))</f>
        <v/>
      </c>
      <c r="D586" s="15" t="n"/>
      <c r="E586" s="16" t="n"/>
      <c r="F586" s="18">
        <f>IF(OR(D586="",E586=""),"",D586*E586)</f>
        <v/>
      </c>
      <c r="G586" s="15" t="n"/>
    </row>
    <row r="587">
      <c r="A587" s="19" t="n"/>
      <c r="B587" s="15" t="n"/>
      <c r="C587">
        <f>IF(B587="","",IFERROR(INDEX(Items!$B$5:$B$304,MATCH(B587,Items!$A$5:$A$304,0)),"Unknown code"))</f>
        <v/>
      </c>
      <c r="D587" s="15" t="n"/>
      <c r="E587" s="16" t="n"/>
      <c r="F587" s="18">
        <f>IF(OR(D587="",E587=""),"",D587*E587)</f>
        <v/>
      </c>
      <c r="G587" s="15" t="n"/>
    </row>
    <row r="588">
      <c r="A588" s="19" t="n"/>
      <c r="B588" s="15" t="n"/>
      <c r="C588">
        <f>IF(B588="","",IFERROR(INDEX(Items!$B$5:$B$304,MATCH(B588,Items!$A$5:$A$304,0)),"Unknown code"))</f>
        <v/>
      </c>
      <c r="D588" s="15" t="n"/>
      <c r="E588" s="16" t="n"/>
      <c r="F588" s="18">
        <f>IF(OR(D588="",E588=""),"",D588*E588)</f>
        <v/>
      </c>
      <c r="G588" s="15" t="n"/>
    </row>
    <row r="589">
      <c r="A589" s="19" t="n"/>
      <c r="B589" s="15" t="n"/>
      <c r="C589">
        <f>IF(B589="","",IFERROR(INDEX(Items!$B$5:$B$304,MATCH(B589,Items!$A$5:$A$304,0)),"Unknown code"))</f>
        <v/>
      </c>
      <c r="D589" s="15" t="n"/>
      <c r="E589" s="16" t="n"/>
      <c r="F589" s="18">
        <f>IF(OR(D589="",E589=""),"",D589*E589)</f>
        <v/>
      </c>
      <c r="G589" s="15" t="n"/>
    </row>
    <row r="590">
      <c r="A590" s="19" t="n"/>
      <c r="B590" s="15" t="n"/>
      <c r="C590">
        <f>IF(B590="","",IFERROR(INDEX(Items!$B$5:$B$304,MATCH(B590,Items!$A$5:$A$304,0)),"Unknown code"))</f>
        <v/>
      </c>
      <c r="D590" s="15" t="n"/>
      <c r="E590" s="16" t="n"/>
      <c r="F590" s="18">
        <f>IF(OR(D590="",E590=""),"",D590*E590)</f>
        <v/>
      </c>
      <c r="G590" s="15" t="n"/>
    </row>
    <row r="591">
      <c r="A591" s="19" t="n"/>
      <c r="B591" s="15" t="n"/>
      <c r="C591">
        <f>IF(B591="","",IFERROR(INDEX(Items!$B$5:$B$304,MATCH(B591,Items!$A$5:$A$304,0)),"Unknown code"))</f>
        <v/>
      </c>
      <c r="D591" s="15" t="n"/>
      <c r="E591" s="16" t="n"/>
      <c r="F591" s="18">
        <f>IF(OR(D591="",E591=""),"",D591*E591)</f>
        <v/>
      </c>
      <c r="G591" s="15" t="n"/>
    </row>
    <row r="592">
      <c r="A592" s="19" t="n"/>
      <c r="B592" s="15" t="n"/>
      <c r="C592">
        <f>IF(B592="","",IFERROR(INDEX(Items!$B$5:$B$304,MATCH(B592,Items!$A$5:$A$304,0)),"Unknown code"))</f>
        <v/>
      </c>
      <c r="D592" s="15" t="n"/>
      <c r="E592" s="16" t="n"/>
      <c r="F592" s="18">
        <f>IF(OR(D592="",E592=""),"",D592*E592)</f>
        <v/>
      </c>
      <c r="G592" s="15" t="n"/>
    </row>
    <row r="593">
      <c r="A593" s="19" t="n"/>
      <c r="B593" s="15" t="n"/>
      <c r="C593">
        <f>IF(B593="","",IFERROR(INDEX(Items!$B$5:$B$304,MATCH(B593,Items!$A$5:$A$304,0)),"Unknown code"))</f>
        <v/>
      </c>
      <c r="D593" s="15" t="n"/>
      <c r="E593" s="16" t="n"/>
      <c r="F593" s="18">
        <f>IF(OR(D593="",E593=""),"",D593*E593)</f>
        <v/>
      </c>
      <c r="G593" s="15" t="n"/>
    </row>
    <row r="594">
      <c r="A594" s="19" t="n"/>
      <c r="B594" s="15" t="n"/>
      <c r="C594">
        <f>IF(B594="","",IFERROR(INDEX(Items!$B$5:$B$304,MATCH(B594,Items!$A$5:$A$304,0)),"Unknown code"))</f>
        <v/>
      </c>
      <c r="D594" s="15" t="n"/>
      <c r="E594" s="16" t="n"/>
      <c r="F594" s="18">
        <f>IF(OR(D594="",E594=""),"",D594*E594)</f>
        <v/>
      </c>
      <c r="G594" s="15" t="n"/>
    </row>
    <row r="595">
      <c r="A595" s="19" t="n"/>
      <c r="B595" s="15" t="n"/>
      <c r="C595">
        <f>IF(B595="","",IFERROR(INDEX(Items!$B$5:$B$304,MATCH(B595,Items!$A$5:$A$304,0)),"Unknown code"))</f>
        <v/>
      </c>
      <c r="D595" s="15" t="n"/>
      <c r="E595" s="16" t="n"/>
      <c r="F595" s="18">
        <f>IF(OR(D595="",E595=""),"",D595*E595)</f>
        <v/>
      </c>
      <c r="G595" s="15" t="n"/>
    </row>
    <row r="596">
      <c r="A596" s="19" t="n"/>
      <c r="B596" s="15" t="n"/>
      <c r="C596">
        <f>IF(B596="","",IFERROR(INDEX(Items!$B$5:$B$304,MATCH(B596,Items!$A$5:$A$304,0)),"Unknown code"))</f>
        <v/>
      </c>
      <c r="D596" s="15" t="n"/>
      <c r="E596" s="16" t="n"/>
      <c r="F596" s="18">
        <f>IF(OR(D596="",E596=""),"",D596*E596)</f>
        <v/>
      </c>
      <c r="G596" s="15" t="n"/>
    </row>
    <row r="597">
      <c r="A597" s="19" t="n"/>
      <c r="B597" s="15" t="n"/>
      <c r="C597">
        <f>IF(B597="","",IFERROR(INDEX(Items!$B$5:$B$304,MATCH(B597,Items!$A$5:$A$304,0)),"Unknown code"))</f>
        <v/>
      </c>
      <c r="D597" s="15" t="n"/>
      <c r="E597" s="16" t="n"/>
      <c r="F597" s="18">
        <f>IF(OR(D597="",E597=""),"",D597*E597)</f>
        <v/>
      </c>
      <c r="G597" s="15" t="n"/>
    </row>
    <row r="598">
      <c r="A598" s="19" t="n"/>
      <c r="B598" s="15" t="n"/>
      <c r="C598">
        <f>IF(B598="","",IFERROR(INDEX(Items!$B$5:$B$304,MATCH(B598,Items!$A$5:$A$304,0)),"Unknown code"))</f>
        <v/>
      </c>
      <c r="D598" s="15" t="n"/>
      <c r="E598" s="16" t="n"/>
      <c r="F598" s="18">
        <f>IF(OR(D598="",E598=""),"",D598*E598)</f>
        <v/>
      </c>
      <c r="G598" s="15" t="n"/>
    </row>
    <row r="599">
      <c r="A599" s="19" t="n"/>
      <c r="B599" s="15" t="n"/>
      <c r="C599">
        <f>IF(B599="","",IFERROR(INDEX(Items!$B$5:$B$304,MATCH(B599,Items!$A$5:$A$304,0)),"Unknown code"))</f>
        <v/>
      </c>
      <c r="D599" s="15" t="n"/>
      <c r="E599" s="16" t="n"/>
      <c r="F599" s="18">
        <f>IF(OR(D599="",E599=""),"",D599*E599)</f>
        <v/>
      </c>
      <c r="G599" s="15" t="n"/>
    </row>
    <row r="600">
      <c r="A600" s="19" t="n"/>
      <c r="B600" s="15" t="n"/>
      <c r="C600">
        <f>IF(B600="","",IFERROR(INDEX(Items!$B$5:$B$304,MATCH(B600,Items!$A$5:$A$304,0)),"Unknown code"))</f>
        <v/>
      </c>
      <c r="D600" s="15" t="n"/>
      <c r="E600" s="16" t="n"/>
      <c r="F600" s="18">
        <f>IF(OR(D600="",E600=""),"",D600*E600)</f>
        <v/>
      </c>
      <c r="G600" s="15" t="n"/>
    </row>
    <row r="601">
      <c r="A601" s="19" t="n"/>
      <c r="B601" s="15" t="n"/>
      <c r="C601">
        <f>IF(B601="","",IFERROR(INDEX(Items!$B$5:$B$304,MATCH(B601,Items!$A$5:$A$304,0)),"Unknown code"))</f>
        <v/>
      </c>
      <c r="D601" s="15" t="n"/>
      <c r="E601" s="16" t="n"/>
      <c r="F601" s="18">
        <f>IF(OR(D601="",E601=""),"",D601*E601)</f>
        <v/>
      </c>
      <c r="G601" s="15" t="n"/>
    </row>
    <row r="602">
      <c r="A602" s="19" t="n"/>
      <c r="B602" s="15" t="n"/>
      <c r="C602">
        <f>IF(B602="","",IFERROR(INDEX(Items!$B$5:$B$304,MATCH(B602,Items!$A$5:$A$304,0)),"Unknown code"))</f>
        <v/>
      </c>
      <c r="D602" s="15" t="n"/>
      <c r="E602" s="16" t="n"/>
      <c r="F602" s="18">
        <f>IF(OR(D602="",E602=""),"",D602*E602)</f>
        <v/>
      </c>
      <c r="G602" s="15" t="n"/>
    </row>
    <row r="603">
      <c r="A603" s="19" t="n"/>
      <c r="B603" s="15" t="n"/>
      <c r="C603">
        <f>IF(B603="","",IFERROR(INDEX(Items!$B$5:$B$304,MATCH(B603,Items!$A$5:$A$304,0)),"Unknown code"))</f>
        <v/>
      </c>
      <c r="D603" s="15" t="n"/>
      <c r="E603" s="16" t="n"/>
      <c r="F603" s="18">
        <f>IF(OR(D603="",E603=""),"",D603*E603)</f>
        <v/>
      </c>
      <c r="G603" s="15" t="n"/>
    </row>
    <row r="604">
      <c r="A604" s="19" t="n"/>
      <c r="B604" s="15" t="n"/>
      <c r="C604">
        <f>IF(B604="","",IFERROR(INDEX(Items!$B$5:$B$304,MATCH(B604,Items!$A$5:$A$304,0)),"Unknown code"))</f>
        <v/>
      </c>
      <c r="D604" s="15" t="n"/>
      <c r="E604" s="16" t="n"/>
      <c r="F604" s="18">
        <f>IF(OR(D604="",E604=""),"",D604*E604)</f>
        <v/>
      </c>
      <c r="G604" s="15" t="n"/>
    </row>
    <row r="605">
      <c r="A605" s="19" t="n"/>
      <c r="B605" s="15" t="n"/>
      <c r="C605">
        <f>IF(B605="","",IFERROR(INDEX(Items!$B$5:$B$304,MATCH(B605,Items!$A$5:$A$304,0)),"Unknown code"))</f>
        <v/>
      </c>
      <c r="D605" s="15" t="n"/>
      <c r="E605" s="16" t="n"/>
      <c r="F605" s="18">
        <f>IF(OR(D605="",E605=""),"",D605*E605)</f>
        <v/>
      </c>
      <c r="G605" s="15" t="n"/>
    </row>
    <row r="606">
      <c r="A606" s="19" t="n"/>
      <c r="B606" s="15" t="n"/>
      <c r="C606">
        <f>IF(B606="","",IFERROR(INDEX(Items!$B$5:$B$304,MATCH(B606,Items!$A$5:$A$304,0)),"Unknown code"))</f>
        <v/>
      </c>
      <c r="D606" s="15" t="n"/>
      <c r="E606" s="16" t="n"/>
      <c r="F606" s="18">
        <f>IF(OR(D606="",E606=""),"",D606*E606)</f>
        <v/>
      </c>
      <c r="G606" s="15" t="n"/>
    </row>
    <row r="607">
      <c r="A607" s="19" t="n"/>
      <c r="B607" s="15" t="n"/>
      <c r="C607">
        <f>IF(B607="","",IFERROR(INDEX(Items!$B$5:$B$304,MATCH(B607,Items!$A$5:$A$304,0)),"Unknown code"))</f>
        <v/>
      </c>
      <c r="D607" s="15" t="n"/>
      <c r="E607" s="16" t="n"/>
      <c r="F607" s="18">
        <f>IF(OR(D607="",E607=""),"",D607*E607)</f>
        <v/>
      </c>
      <c r="G607" s="15" t="n"/>
    </row>
    <row r="608">
      <c r="A608" s="19" t="n"/>
      <c r="B608" s="15" t="n"/>
      <c r="C608">
        <f>IF(B608="","",IFERROR(INDEX(Items!$B$5:$B$304,MATCH(B608,Items!$A$5:$A$304,0)),"Unknown code"))</f>
        <v/>
      </c>
      <c r="D608" s="15" t="n"/>
      <c r="E608" s="16" t="n"/>
      <c r="F608" s="18">
        <f>IF(OR(D608="",E608=""),"",D608*E608)</f>
        <v/>
      </c>
      <c r="G608" s="15" t="n"/>
    </row>
    <row r="609">
      <c r="A609" s="19" t="n"/>
      <c r="B609" s="15" t="n"/>
      <c r="C609">
        <f>IF(B609="","",IFERROR(INDEX(Items!$B$5:$B$304,MATCH(B609,Items!$A$5:$A$304,0)),"Unknown code"))</f>
        <v/>
      </c>
      <c r="D609" s="15" t="n"/>
      <c r="E609" s="16" t="n"/>
      <c r="F609" s="18">
        <f>IF(OR(D609="",E609=""),"",D609*E609)</f>
        <v/>
      </c>
      <c r="G609" s="15" t="n"/>
    </row>
    <row r="610">
      <c r="A610" s="19" t="n"/>
      <c r="B610" s="15" t="n"/>
      <c r="C610">
        <f>IF(B610="","",IFERROR(INDEX(Items!$B$5:$B$304,MATCH(B610,Items!$A$5:$A$304,0)),"Unknown code"))</f>
        <v/>
      </c>
      <c r="D610" s="15" t="n"/>
      <c r="E610" s="16" t="n"/>
      <c r="F610" s="18">
        <f>IF(OR(D610="",E610=""),"",D610*E610)</f>
        <v/>
      </c>
      <c r="G610" s="15" t="n"/>
    </row>
    <row r="611">
      <c r="A611" s="19" t="n"/>
      <c r="B611" s="15" t="n"/>
      <c r="C611">
        <f>IF(B611="","",IFERROR(INDEX(Items!$B$5:$B$304,MATCH(B611,Items!$A$5:$A$304,0)),"Unknown code"))</f>
        <v/>
      </c>
      <c r="D611" s="15" t="n"/>
      <c r="E611" s="16" t="n"/>
      <c r="F611" s="18">
        <f>IF(OR(D611="",E611=""),"",D611*E611)</f>
        <v/>
      </c>
      <c r="G611" s="15" t="n"/>
    </row>
    <row r="612">
      <c r="A612" s="19" t="n"/>
      <c r="B612" s="15" t="n"/>
      <c r="C612">
        <f>IF(B612="","",IFERROR(INDEX(Items!$B$5:$B$304,MATCH(B612,Items!$A$5:$A$304,0)),"Unknown code"))</f>
        <v/>
      </c>
      <c r="D612" s="15" t="n"/>
      <c r="E612" s="16" t="n"/>
      <c r="F612" s="18">
        <f>IF(OR(D612="",E612=""),"",D612*E612)</f>
        <v/>
      </c>
      <c r="G612" s="15" t="n"/>
    </row>
    <row r="613">
      <c r="A613" s="19" t="n"/>
      <c r="B613" s="15" t="n"/>
      <c r="C613">
        <f>IF(B613="","",IFERROR(INDEX(Items!$B$5:$B$304,MATCH(B613,Items!$A$5:$A$304,0)),"Unknown code"))</f>
        <v/>
      </c>
      <c r="D613" s="15" t="n"/>
      <c r="E613" s="16" t="n"/>
      <c r="F613" s="18">
        <f>IF(OR(D613="",E613=""),"",D613*E613)</f>
        <v/>
      </c>
      <c r="G613" s="15" t="n"/>
    </row>
    <row r="614">
      <c r="A614" s="19" t="n"/>
      <c r="B614" s="15" t="n"/>
      <c r="C614">
        <f>IF(B614="","",IFERROR(INDEX(Items!$B$5:$B$304,MATCH(B614,Items!$A$5:$A$304,0)),"Unknown code"))</f>
        <v/>
      </c>
      <c r="D614" s="15" t="n"/>
      <c r="E614" s="16" t="n"/>
      <c r="F614" s="18">
        <f>IF(OR(D614="",E614=""),"",D614*E614)</f>
        <v/>
      </c>
      <c r="G614" s="15" t="n"/>
    </row>
    <row r="615">
      <c r="A615" s="19" t="n"/>
      <c r="B615" s="15" t="n"/>
      <c r="C615">
        <f>IF(B615="","",IFERROR(INDEX(Items!$B$5:$B$304,MATCH(B615,Items!$A$5:$A$304,0)),"Unknown code"))</f>
        <v/>
      </c>
      <c r="D615" s="15" t="n"/>
      <c r="E615" s="16" t="n"/>
      <c r="F615" s="18">
        <f>IF(OR(D615="",E615=""),"",D615*E615)</f>
        <v/>
      </c>
      <c r="G615" s="15" t="n"/>
    </row>
    <row r="616">
      <c r="A616" s="19" t="n"/>
      <c r="B616" s="15" t="n"/>
      <c r="C616">
        <f>IF(B616="","",IFERROR(INDEX(Items!$B$5:$B$304,MATCH(B616,Items!$A$5:$A$304,0)),"Unknown code"))</f>
        <v/>
      </c>
      <c r="D616" s="15" t="n"/>
      <c r="E616" s="16" t="n"/>
      <c r="F616" s="18">
        <f>IF(OR(D616="",E616=""),"",D616*E616)</f>
        <v/>
      </c>
      <c r="G616" s="15" t="n"/>
    </row>
    <row r="617">
      <c r="A617" s="19" t="n"/>
      <c r="B617" s="15" t="n"/>
      <c r="C617">
        <f>IF(B617="","",IFERROR(INDEX(Items!$B$5:$B$304,MATCH(B617,Items!$A$5:$A$304,0)),"Unknown code"))</f>
        <v/>
      </c>
      <c r="D617" s="15" t="n"/>
      <c r="E617" s="16" t="n"/>
      <c r="F617" s="18">
        <f>IF(OR(D617="",E617=""),"",D617*E617)</f>
        <v/>
      </c>
      <c r="G617" s="15" t="n"/>
    </row>
    <row r="618">
      <c r="A618" s="19" t="n"/>
      <c r="B618" s="15" t="n"/>
      <c r="C618">
        <f>IF(B618="","",IFERROR(INDEX(Items!$B$5:$B$304,MATCH(B618,Items!$A$5:$A$304,0)),"Unknown code"))</f>
        <v/>
      </c>
      <c r="D618" s="15" t="n"/>
      <c r="E618" s="16" t="n"/>
      <c r="F618" s="18">
        <f>IF(OR(D618="",E618=""),"",D618*E618)</f>
        <v/>
      </c>
      <c r="G618" s="15" t="n"/>
    </row>
    <row r="619">
      <c r="A619" s="19" t="n"/>
      <c r="B619" s="15" t="n"/>
      <c r="C619">
        <f>IF(B619="","",IFERROR(INDEX(Items!$B$5:$B$304,MATCH(B619,Items!$A$5:$A$304,0)),"Unknown code"))</f>
        <v/>
      </c>
      <c r="D619" s="15" t="n"/>
      <c r="E619" s="16" t="n"/>
      <c r="F619" s="18">
        <f>IF(OR(D619="",E619=""),"",D619*E619)</f>
        <v/>
      </c>
      <c r="G619" s="15" t="n"/>
    </row>
    <row r="620">
      <c r="A620" s="19" t="n"/>
      <c r="B620" s="15" t="n"/>
      <c r="C620">
        <f>IF(B620="","",IFERROR(INDEX(Items!$B$5:$B$304,MATCH(B620,Items!$A$5:$A$304,0)),"Unknown code"))</f>
        <v/>
      </c>
      <c r="D620" s="15" t="n"/>
      <c r="E620" s="16" t="n"/>
      <c r="F620" s="18">
        <f>IF(OR(D620="",E620=""),"",D620*E620)</f>
        <v/>
      </c>
      <c r="G620" s="15" t="n"/>
    </row>
    <row r="621">
      <c r="A621" s="19" t="n"/>
      <c r="B621" s="15" t="n"/>
      <c r="C621">
        <f>IF(B621="","",IFERROR(INDEX(Items!$B$5:$B$304,MATCH(B621,Items!$A$5:$A$304,0)),"Unknown code"))</f>
        <v/>
      </c>
      <c r="D621" s="15" t="n"/>
      <c r="E621" s="16" t="n"/>
      <c r="F621" s="18">
        <f>IF(OR(D621="",E621=""),"",D621*E621)</f>
        <v/>
      </c>
      <c r="G621" s="15" t="n"/>
    </row>
    <row r="622">
      <c r="A622" s="19" t="n"/>
      <c r="B622" s="15" t="n"/>
      <c r="C622">
        <f>IF(B622="","",IFERROR(INDEX(Items!$B$5:$B$304,MATCH(B622,Items!$A$5:$A$304,0)),"Unknown code"))</f>
        <v/>
      </c>
      <c r="D622" s="15" t="n"/>
      <c r="E622" s="16" t="n"/>
      <c r="F622" s="18">
        <f>IF(OR(D622="",E622=""),"",D622*E622)</f>
        <v/>
      </c>
      <c r="G622" s="15" t="n"/>
    </row>
    <row r="623">
      <c r="A623" s="19" t="n"/>
      <c r="B623" s="15" t="n"/>
      <c r="C623">
        <f>IF(B623="","",IFERROR(INDEX(Items!$B$5:$B$304,MATCH(B623,Items!$A$5:$A$304,0)),"Unknown code"))</f>
        <v/>
      </c>
      <c r="D623" s="15" t="n"/>
      <c r="E623" s="16" t="n"/>
      <c r="F623" s="18">
        <f>IF(OR(D623="",E623=""),"",D623*E623)</f>
        <v/>
      </c>
      <c r="G623" s="15" t="n"/>
    </row>
    <row r="624">
      <c r="A624" s="19" t="n"/>
      <c r="B624" s="15" t="n"/>
      <c r="C624">
        <f>IF(B624="","",IFERROR(INDEX(Items!$B$5:$B$304,MATCH(B624,Items!$A$5:$A$304,0)),"Unknown code"))</f>
        <v/>
      </c>
      <c r="D624" s="15" t="n"/>
      <c r="E624" s="16" t="n"/>
      <c r="F624" s="18">
        <f>IF(OR(D624="",E624=""),"",D624*E624)</f>
        <v/>
      </c>
      <c r="G624" s="15" t="n"/>
    </row>
    <row r="625">
      <c r="A625" s="19" t="n"/>
      <c r="B625" s="15" t="n"/>
      <c r="C625">
        <f>IF(B625="","",IFERROR(INDEX(Items!$B$5:$B$304,MATCH(B625,Items!$A$5:$A$304,0)),"Unknown code"))</f>
        <v/>
      </c>
      <c r="D625" s="15" t="n"/>
      <c r="E625" s="16" t="n"/>
      <c r="F625" s="18">
        <f>IF(OR(D625="",E625=""),"",D625*E625)</f>
        <v/>
      </c>
      <c r="G625" s="15" t="n"/>
    </row>
    <row r="626">
      <c r="A626" s="19" t="n"/>
      <c r="B626" s="15" t="n"/>
      <c r="C626">
        <f>IF(B626="","",IFERROR(INDEX(Items!$B$5:$B$304,MATCH(B626,Items!$A$5:$A$304,0)),"Unknown code"))</f>
        <v/>
      </c>
      <c r="D626" s="15" t="n"/>
      <c r="E626" s="16" t="n"/>
      <c r="F626" s="18">
        <f>IF(OR(D626="",E626=""),"",D626*E626)</f>
        <v/>
      </c>
      <c r="G626" s="15" t="n"/>
    </row>
    <row r="627">
      <c r="A627" s="19" t="n"/>
      <c r="B627" s="15" t="n"/>
      <c r="C627">
        <f>IF(B627="","",IFERROR(INDEX(Items!$B$5:$B$304,MATCH(B627,Items!$A$5:$A$304,0)),"Unknown code"))</f>
        <v/>
      </c>
      <c r="D627" s="15" t="n"/>
      <c r="E627" s="16" t="n"/>
      <c r="F627" s="18">
        <f>IF(OR(D627="",E627=""),"",D627*E627)</f>
        <v/>
      </c>
      <c r="G627" s="15" t="n"/>
    </row>
    <row r="628">
      <c r="A628" s="19" t="n"/>
      <c r="B628" s="15" t="n"/>
      <c r="C628">
        <f>IF(B628="","",IFERROR(INDEX(Items!$B$5:$B$304,MATCH(B628,Items!$A$5:$A$304,0)),"Unknown code"))</f>
        <v/>
      </c>
      <c r="D628" s="15" t="n"/>
      <c r="E628" s="16" t="n"/>
      <c r="F628" s="18">
        <f>IF(OR(D628="",E628=""),"",D628*E628)</f>
        <v/>
      </c>
      <c r="G628" s="15" t="n"/>
    </row>
    <row r="629">
      <c r="A629" s="19" t="n"/>
      <c r="B629" s="15" t="n"/>
      <c r="C629">
        <f>IF(B629="","",IFERROR(INDEX(Items!$B$5:$B$304,MATCH(B629,Items!$A$5:$A$304,0)),"Unknown code"))</f>
        <v/>
      </c>
      <c r="D629" s="15" t="n"/>
      <c r="E629" s="16" t="n"/>
      <c r="F629" s="18">
        <f>IF(OR(D629="",E629=""),"",D629*E629)</f>
        <v/>
      </c>
      <c r="G629" s="15" t="n"/>
    </row>
    <row r="630">
      <c r="A630" s="19" t="n"/>
      <c r="B630" s="15" t="n"/>
      <c r="C630">
        <f>IF(B630="","",IFERROR(INDEX(Items!$B$5:$B$304,MATCH(B630,Items!$A$5:$A$304,0)),"Unknown code"))</f>
        <v/>
      </c>
      <c r="D630" s="15" t="n"/>
      <c r="E630" s="16" t="n"/>
      <c r="F630" s="18">
        <f>IF(OR(D630="",E630=""),"",D630*E630)</f>
        <v/>
      </c>
      <c r="G630" s="15" t="n"/>
    </row>
    <row r="631">
      <c r="A631" s="19" t="n"/>
      <c r="B631" s="15" t="n"/>
      <c r="C631">
        <f>IF(B631="","",IFERROR(INDEX(Items!$B$5:$B$304,MATCH(B631,Items!$A$5:$A$304,0)),"Unknown code"))</f>
        <v/>
      </c>
      <c r="D631" s="15" t="n"/>
      <c r="E631" s="16" t="n"/>
      <c r="F631" s="18">
        <f>IF(OR(D631="",E631=""),"",D631*E631)</f>
        <v/>
      </c>
      <c r="G631" s="15" t="n"/>
    </row>
    <row r="632">
      <c r="A632" s="19" t="n"/>
      <c r="B632" s="15" t="n"/>
      <c r="C632">
        <f>IF(B632="","",IFERROR(INDEX(Items!$B$5:$B$304,MATCH(B632,Items!$A$5:$A$304,0)),"Unknown code"))</f>
        <v/>
      </c>
      <c r="D632" s="15" t="n"/>
      <c r="E632" s="16" t="n"/>
      <c r="F632" s="18">
        <f>IF(OR(D632="",E632=""),"",D632*E632)</f>
        <v/>
      </c>
      <c r="G632" s="15" t="n"/>
    </row>
    <row r="633">
      <c r="A633" s="19" t="n"/>
      <c r="B633" s="15" t="n"/>
      <c r="C633">
        <f>IF(B633="","",IFERROR(INDEX(Items!$B$5:$B$304,MATCH(B633,Items!$A$5:$A$304,0)),"Unknown code"))</f>
        <v/>
      </c>
      <c r="D633" s="15" t="n"/>
      <c r="E633" s="16" t="n"/>
      <c r="F633" s="18">
        <f>IF(OR(D633="",E633=""),"",D633*E633)</f>
        <v/>
      </c>
      <c r="G633" s="15" t="n"/>
    </row>
    <row r="634">
      <c r="A634" s="19" t="n"/>
      <c r="B634" s="15" t="n"/>
      <c r="C634">
        <f>IF(B634="","",IFERROR(INDEX(Items!$B$5:$B$304,MATCH(B634,Items!$A$5:$A$304,0)),"Unknown code"))</f>
        <v/>
      </c>
      <c r="D634" s="15" t="n"/>
      <c r="E634" s="16" t="n"/>
      <c r="F634" s="18">
        <f>IF(OR(D634="",E634=""),"",D634*E634)</f>
        <v/>
      </c>
      <c r="G634" s="15" t="n"/>
    </row>
    <row r="635">
      <c r="A635" s="19" t="n"/>
      <c r="B635" s="15" t="n"/>
      <c r="C635">
        <f>IF(B635="","",IFERROR(INDEX(Items!$B$5:$B$304,MATCH(B635,Items!$A$5:$A$304,0)),"Unknown code"))</f>
        <v/>
      </c>
      <c r="D635" s="15" t="n"/>
      <c r="E635" s="16" t="n"/>
      <c r="F635" s="18">
        <f>IF(OR(D635="",E635=""),"",D635*E635)</f>
        <v/>
      </c>
      <c r="G635" s="15" t="n"/>
    </row>
    <row r="636">
      <c r="A636" s="19" t="n"/>
      <c r="B636" s="15" t="n"/>
      <c r="C636">
        <f>IF(B636="","",IFERROR(INDEX(Items!$B$5:$B$304,MATCH(B636,Items!$A$5:$A$304,0)),"Unknown code"))</f>
        <v/>
      </c>
      <c r="D636" s="15" t="n"/>
      <c r="E636" s="16" t="n"/>
      <c r="F636" s="18">
        <f>IF(OR(D636="",E636=""),"",D636*E636)</f>
        <v/>
      </c>
      <c r="G636" s="15" t="n"/>
    </row>
    <row r="637">
      <c r="A637" s="19" t="n"/>
      <c r="B637" s="15" t="n"/>
      <c r="C637">
        <f>IF(B637="","",IFERROR(INDEX(Items!$B$5:$B$304,MATCH(B637,Items!$A$5:$A$304,0)),"Unknown code"))</f>
        <v/>
      </c>
      <c r="D637" s="15" t="n"/>
      <c r="E637" s="16" t="n"/>
      <c r="F637" s="18">
        <f>IF(OR(D637="",E637=""),"",D637*E637)</f>
        <v/>
      </c>
      <c r="G637" s="15" t="n"/>
    </row>
    <row r="638">
      <c r="A638" s="19" t="n"/>
      <c r="B638" s="15" t="n"/>
      <c r="C638">
        <f>IF(B638="","",IFERROR(INDEX(Items!$B$5:$B$304,MATCH(B638,Items!$A$5:$A$304,0)),"Unknown code"))</f>
        <v/>
      </c>
      <c r="D638" s="15" t="n"/>
      <c r="E638" s="16" t="n"/>
      <c r="F638" s="18">
        <f>IF(OR(D638="",E638=""),"",D638*E638)</f>
        <v/>
      </c>
      <c r="G638" s="15" t="n"/>
    </row>
    <row r="639">
      <c r="A639" s="19" t="n"/>
      <c r="B639" s="15" t="n"/>
      <c r="C639">
        <f>IF(B639="","",IFERROR(INDEX(Items!$B$5:$B$304,MATCH(B639,Items!$A$5:$A$304,0)),"Unknown code"))</f>
        <v/>
      </c>
      <c r="D639" s="15" t="n"/>
      <c r="E639" s="16" t="n"/>
      <c r="F639" s="18">
        <f>IF(OR(D639="",E639=""),"",D639*E639)</f>
        <v/>
      </c>
      <c r="G639" s="15" t="n"/>
    </row>
    <row r="640">
      <c r="A640" s="19" t="n"/>
      <c r="B640" s="15" t="n"/>
      <c r="C640">
        <f>IF(B640="","",IFERROR(INDEX(Items!$B$5:$B$304,MATCH(B640,Items!$A$5:$A$304,0)),"Unknown code"))</f>
        <v/>
      </c>
      <c r="D640" s="15" t="n"/>
      <c r="E640" s="16" t="n"/>
      <c r="F640" s="18">
        <f>IF(OR(D640="",E640=""),"",D640*E640)</f>
        <v/>
      </c>
      <c r="G640" s="15" t="n"/>
    </row>
    <row r="641">
      <c r="A641" s="19" t="n"/>
      <c r="B641" s="15" t="n"/>
      <c r="C641">
        <f>IF(B641="","",IFERROR(INDEX(Items!$B$5:$B$304,MATCH(B641,Items!$A$5:$A$304,0)),"Unknown code"))</f>
        <v/>
      </c>
      <c r="D641" s="15" t="n"/>
      <c r="E641" s="16" t="n"/>
      <c r="F641" s="18">
        <f>IF(OR(D641="",E641=""),"",D641*E641)</f>
        <v/>
      </c>
      <c r="G641" s="15" t="n"/>
    </row>
    <row r="642">
      <c r="A642" s="19" t="n"/>
      <c r="B642" s="15" t="n"/>
      <c r="C642">
        <f>IF(B642="","",IFERROR(INDEX(Items!$B$5:$B$304,MATCH(B642,Items!$A$5:$A$304,0)),"Unknown code"))</f>
        <v/>
      </c>
      <c r="D642" s="15" t="n"/>
      <c r="E642" s="16" t="n"/>
      <c r="F642" s="18">
        <f>IF(OR(D642="",E642=""),"",D642*E642)</f>
        <v/>
      </c>
      <c r="G642" s="15" t="n"/>
    </row>
    <row r="643">
      <c r="A643" s="19" t="n"/>
      <c r="B643" s="15" t="n"/>
      <c r="C643">
        <f>IF(B643="","",IFERROR(INDEX(Items!$B$5:$B$304,MATCH(B643,Items!$A$5:$A$304,0)),"Unknown code"))</f>
        <v/>
      </c>
      <c r="D643" s="15" t="n"/>
      <c r="E643" s="16" t="n"/>
      <c r="F643" s="18">
        <f>IF(OR(D643="",E643=""),"",D643*E643)</f>
        <v/>
      </c>
      <c r="G643" s="15" t="n"/>
    </row>
    <row r="644">
      <c r="A644" s="19" t="n"/>
      <c r="B644" s="15" t="n"/>
      <c r="C644">
        <f>IF(B644="","",IFERROR(INDEX(Items!$B$5:$B$304,MATCH(B644,Items!$A$5:$A$304,0)),"Unknown code"))</f>
        <v/>
      </c>
      <c r="D644" s="15" t="n"/>
      <c r="E644" s="16" t="n"/>
      <c r="F644" s="18">
        <f>IF(OR(D644="",E644=""),"",D644*E644)</f>
        <v/>
      </c>
      <c r="G644" s="15" t="n"/>
    </row>
    <row r="645">
      <c r="A645" s="19" t="n"/>
      <c r="B645" s="15" t="n"/>
      <c r="C645">
        <f>IF(B645="","",IFERROR(INDEX(Items!$B$5:$B$304,MATCH(B645,Items!$A$5:$A$304,0)),"Unknown code"))</f>
        <v/>
      </c>
      <c r="D645" s="15" t="n"/>
      <c r="E645" s="16" t="n"/>
      <c r="F645" s="18">
        <f>IF(OR(D645="",E645=""),"",D645*E645)</f>
        <v/>
      </c>
      <c r="G645" s="15" t="n"/>
    </row>
    <row r="646">
      <c r="A646" s="19" t="n"/>
      <c r="B646" s="15" t="n"/>
      <c r="C646">
        <f>IF(B646="","",IFERROR(INDEX(Items!$B$5:$B$304,MATCH(B646,Items!$A$5:$A$304,0)),"Unknown code"))</f>
        <v/>
      </c>
      <c r="D646" s="15" t="n"/>
      <c r="E646" s="16" t="n"/>
      <c r="F646" s="18">
        <f>IF(OR(D646="",E646=""),"",D646*E646)</f>
        <v/>
      </c>
      <c r="G646" s="15" t="n"/>
    </row>
    <row r="647">
      <c r="A647" s="19" t="n"/>
      <c r="B647" s="15" t="n"/>
      <c r="C647">
        <f>IF(B647="","",IFERROR(INDEX(Items!$B$5:$B$304,MATCH(B647,Items!$A$5:$A$304,0)),"Unknown code"))</f>
        <v/>
      </c>
      <c r="D647" s="15" t="n"/>
      <c r="E647" s="16" t="n"/>
      <c r="F647" s="18">
        <f>IF(OR(D647="",E647=""),"",D647*E647)</f>
        <v/>
      </c>
      <c r="G647" s="15" t="n"/>
    </row>
    <row r="648">
      <c r="A648" s="19" t="n"/>
      <c r="B648" s="15" t="n"/>
      <c r="C648">
        <f>IF(B648="","",IFERROR(INDEX(Items!$B$5:$B$304,MATCH(B648,Items!$A$5:$A$304,0)),"Unknown code"))</f>
        <v/>
      </c>
      <c r="D648" s="15" t="n"/>
      <c r="E648" s="16" t="n"/>
      <c r="F648" s="18">
        <f>IF(OR(D648="",E648=""),"",D648*E648)</f>
        <v/>
      </c>
      <c r="G648" s="15" t="n"/>
    </row>
    <row r="649">
      <c r="A649" s="19" t="n"/>
      <c r="B649" s="15" t="n"/>
      <c r="C649">
        <f>IF(B649="","",IFERROR(INDEX(Items!$B$5:$B$304,MATCH(B649,Items!$A$5:$A$304,0)),"Unknown code"))</f>
        <v/>
      </c>
      <c r="D649" s="15" t="n"/>
      <c r="E649" s="16" t="n"/>
      <c r="F649" s="18">
        <f>IF(OR(D649="",E649=""),"",D649*E649)</f>
        <v/>
      </c>
      <c r="G649" s="15" t="n"/>
    </row>
    <row r="650">
      <c r="A650" s="19" t="n"/>
      <c r="B650" s="15" t="n"/>
      <c r="C650">
        <f>IF(B650="","",IFERROR(INDEX(Items!$B$5:$B$304,MATCH(B650,Items!$A$5:$A$304,0)),"Unknown code"))</f>
        <v/>
      </c>
      <c r="D650" s="15" t="n"/>
      <c r="E650" s="16" t="n"/>
      <c r="F650" s="18">
        <f>IF(OR(D650="",E650=""),"",D650*E650)</f>
        <v/>
      </c>
      <c r="G650" s="15" t="n"/>
    </row>
    <row r="651">
      <c r="A651" s="19" t="n"/>
      <c r="B651" s="15" t="n"/>
      <c r="C651">
        <f>IF(B651="","",IFERROR(INDEX(Items!$B$5:$B$304,MATCH(B651,Items!$A$5:$A$304,0)),"Unknown code"))</f>
        <v/>
      </c>
      <c r="D651" s="15" t="n"/>
      <c r="E651" s="16" t="n"/>
      <c r="F651" s="18">
        <f>IF(OR(D651="",E651=""),"",D651*E651)</f>
        <v/>
      </c>
      <c r="G651" s="15" t="n"/>
    </row>
    <row r="652">
      <c r="A652" s="19" t="n"/>
      <c r="B652" s="15" t="n"/>
      <c r="C652">
        <f>IF(B652="","",IFERROR(INDEX(Items!$B$5:$B$304,MATCH(B652,Items!$A$5:$A$304,0)),"Unknown code"))</f>
        <v/>
      </c>
      <c r="D652" s="15" t="n"/>
      <c r="E652" s="16" t="n"/>
      <c r="F652" s="18">
        <f>IF(OR(D652="",E652=""),"",D652*E652)</f>
        <v/>
      </c>
      <c r="G652" s="15" t="n"/>
    </row>
    <row r="653">
      <c r="A653" s="19" t="n"/>
      <c r="B653" s="15" t="n"/>
      <c r="C653">
        <f>IF(B653="","",IFERROR(INDEX(Items!$B$5:$B$304,MATCH(B653,Items!$A$5:$A$304,0)),"Unknown code"))</f>
        <v/>
      </c>
      <c r="D653" s="15" t="n"/>
      <c r="E653" s="16" t="n"/>
      <c r="F653" s="18">
        <f>IF(OR(D653="",E653=""),"",D653*E653)</f>
        <v/>
      </c>
      <c r="G653" s="15" t="n"/>
    </row>
    <row r="654">
      <c r="A654" s="19" t="n"/>
      <c r="B654" s="15" t="n"/>
      <c r="C654">
        <f>IF(B654="","",IFERROR(INDEX(Items!$B$5:$B$304,MATCH(B654,Items!$A$5:$A$304,0)),"Unknown code"))</f>
        <v/>
      </c>
      <c r="D654" s="15" t="n"/>
      <c r="E654" s="16" t="n"/>
      <c r="F654" s="18">
        <f>IF(OR(D654="",E654=""),"",D654*E654)</f>
        <v/>
      </c>
      <c r="G654" s="15" t="n"/>
    </row>
    <row r="655">
      <c r="A655" s="19" t="n"/>
      <c r="B655" s="15" t="n"/>
      <c r="C655">
        <f>IF(B655="","",IFERROR(INDEX(Items!$B$5:$B$304,MATCH(B655,Items!$A$5:$A$304,0)),"Unknown code"))</f>
        <v/>
      </c>
      <c r="D655" s="15" t="n"/>
      <c r="E655" s="16" t="n"/>
      <c r="F655" s="18">
        <f>IF(OR(D655="",E655=""),"",D655*E655)</f>
        <v/>
      </c>
      <c r="G655" s="15" t="n"/>
    </row>
    <row r="656">
      <c r="A656" s="19" t="n"/>
      <c r="B656" s="15" t="n"/>
      <c r="C656">
        <f>IF(B656="","",IFERROR(INDEX(Items!$B$5:$B$304,MATCH(B656,Items!$A$5:$A$304,0)),"Unknown code"))</f>
        <v/>
      </c>
      <c r="D656" s="15" t="n"/>
      <c r="E656" s="16" t="n"/>
      <c r="F656" s="18">
        <f>IF(OR(D656="",E656=""),"",D656*E656)</f>
        <v/>
      </c>
      <c r="G656" s="15" t="n"/>
    </row>
    <row r="657">
      <c r="A657" s="19" t="n"/>
      <c r="B657" s="15" t="n"/>
      <c r="C657">
        <f>IF(B657="","",IFERROR(INDEX(Items!$B$5:$B$304,MATCH(B657,Items!$A$5:$A$304,0)),"Unknown code"))</f>
        <v/>
      </c>
      <c r="D657" s="15" t="n"/>
      <c r="E657" s="16" t="n"/>
      <c r="F657" s="18">
        <f>IF(OR(D657="",E657=""),"",D657*E657)</f>
        <v/>
      </c>
      <c r="G657" s="15" t="n"/>
    </row>
    <row r="658">
      <c r="A658" s="19" t="n"/>
      <c r="B658" s="15" t="n"/>
      <c r="C658">
        <f>IF(B658="","",IFERROR(INDEX(Items!$B$5:$B$304,MATCH(B658,Items!$A$5:$A$304,0)),"Unknown code"))</f>
        <v/>
      </c>
      <c r="D658" s="15" t="n"/>
      <c r="E658" s="16" t="n"/>
      <c r="F658" s="18">
        <f>IF(OR(D658="",E658=""),"",D658*E658)</f>
        <v/>
      </c>
      <c r="G658" s="15" t="n"/>
    </row>
    <row r="659">
      <c r="A659" s="19" t="n"/>
      <c r="B659" s="15" t="n"/>
      <c r="C659">
        <f>IF(B659="","",IFERROR(INDEX(Items!$B$5:$B$304,MATCH(B659,Items!$A$5:$A$304,0)),"Unknown code"))</f>
        <v/>
      </c>
      <c r="D659" s="15" t="n"/>
      <c r="E659" s="16" t="n"/>
      <c r="F659" s="18">
        <f>IF(OR(D659="",E659=""),"",D659*E659)</f>
        <v/>
      </c>
      <c r="G659" s="15" t="n"/>
    </row>
    <row r="660">
      <c r="A660" s="19" t="n"/>
      <c r="B660" s="15" t="n"/>
      <c r="C660">
        <f>IF(B660="","",IFERROR(INDEX(Items!$B$5:$B$304,MATCH(B660,Items!$A$5:$A$304,0)),"Unknown code"))</f>
        <v/>
      </c>
      <c r="D660" s="15" t="n"/>
      <c r="E660" s="16" t="n"/>
      <c r="F660" s="18">
        <f>IF(OR(D660="",E660=""),"",D660*E660)</f>
        <v/>
      </c>
      <c r="G660" s="15" t="n"/>
    </row>
    <row r="661">
      <c r="A661" s="19" t="n"/>
      <c r="B661" s="15" t="n"/>
      <c r="C661">
        <f>IF(B661="","",IFERROR(INDEX(Items!$B$5:$B$304,MATCH(B661,Items!$A$5:$A$304,0)),"Unknown code"))</f>
        <v/>
      </c>
      <c r="D661" s="15" t="n"/>
      <c r="E661" s="16" t="n"/>
      <c r="F661" s="18">
        <f>IF(OR(D661="",E661=""),"",D661*E661)</f>
        <v/>
      </c>
      <c r="G661" s="15" t="n"/>
    </row>
    <row r="662">
      <c r="A662" s="19" t="n"/>
      <c r="B662" s="15" t="n"/>
      <c r="C662">
        <f>IF(B662="","",IFERROR(INDEX(Items!$B$5:$B$304,MATCH(B662,Items!$A$5:$A$304,0)),"Unknown code"))</f>
        <v/>
      </c>
      <c r="D662" s="15" t="n"/>
      <c r="E662" s="16" t="n"/>
      <c r="F662" s="18">
        <f>IF(OR(D662="",E662=""),"",D662*E662)</f>
        <v/>
      </c>
      <c r="G662" s="15" t="n"/>
    </row>
    <row r="663">
      <c r="A663" s="19" t="n"/>
      <c r="B663" s="15" t="n"/>
      <c r="C663">
        <f>IF(B663="","",IFERROR(INDEX(Items!$B$5:$B$304,MATCH(B663,Items!$A$5:$A$304,0)),"Unknown code"))</f>
        <v/>
      </c>
      <c r="D663" s="15" t="n"/>
      <c r="E663" s="16" t="n"/>
      <c r="F663" s="18">
        <f>IF(OR(D663="",E663=""),"",D663*E663)</f>
        <v/>
      </c>
      <c r="G663" s="15" t="n"/>
    </row>
    <row r="664">
      <c r="A664" s="19" t="n"/>
      <c r="B664" s="15" t="n"/>
      <c r="C664">
        <f>IF(B664="","",IFERROR(INDEX(Items!$B$5:$B$304,MATCH(B664,Items!$A$5:$A$304,0)),"Unknown code"))</f>
        <v/>
      </c>
      <c r="D664" s="15" t="n"/>
      <c r="E664" s="16" t="n"/>
      <c r="F664" s="18">
        <f>IF(OR(D664="",E664=""),"",D664*E664)</f>
        <v/>
      </c>
      <c r="G664" s="15" t="n"/>
    </row>
    <row r="665">
      <c r="A665" s="19" t="n"/>
      <c r="B665" s="15" t="n"/>
      <c r="C665">
        <f>IF(B665="","",IFERROR(INDEX(Items!$B$5:$B$304,MATCH(B665,Items!$A$5:$A$304,0)),"Unknown code"))</f>
        <v/>
      </c>
      <c r="D665" s="15" t="n"/>
      <c r="E665" s="16" t="n"/>
      <c r="F665" s="18">
        <f>IF(OR(D665="",E665=""),"",D665*E665)</f>
        <v/>
      </c>
      <c r="G665" s="15" t="n"/>
    </row>
    <row r="666">
      <c r="A666" s="19" t="n"/>
      <c r="B666" s="15" t="n"/>
      <c r="C666">
        <f>IF(B666="","",IFERROR(INDEX(Items!$B$5:$B$304,MATCH(B666,Items!$A$5:$A$304,0)),"Unknown code"))</f>
        <v/>
      </c>
      <c r="D666" s="15" t="n"/>
      <c r="E666" s="16" t="n"/>
      <c r="F666" s="18">
        <f>IF(OR(D666="",E666=""),"",D666*E666)</f>
        <v/>
      </c>
      <c r="G666" s="15" t="n"/>
    </row>
    <row r="667">
      <c r="A667" s="19" t="n"/>
      <c r="B667" s="15" t="n"/>
      <c r="C667">
        <f>IF(B667="","",IFERROR(INDEX(Items!$B$5:$B$304,MATCH(B667,Items!$A$5:$A$304,0)),"Unknown code"))</f>
        <v/>
      </c>
      <c r="D667" s="15" t="n"/>
      <c r="E667" s="16" t="n"/>
      <c r="F667" s="18">
        <f>IF(OR(D667="",E667=""),"",D667*E667)</f>
        <v/>
      </c>
      <c r="G667" s="15" t="n"/>
    </row>
    <row r="668">
      <c r="A668" s="19" t="n"/>
      <c r="B668" s="15" t="n"/>
      <c r="C668">
        <f>IF(B668="","",IFERROR(INDEX(Items!$B$5:$B$304,MATCH(B668,Items!$A$5:$A$304,0)),"Unknown code"))</f>
        <v/>
      </c>
      <c r="D668" s="15" t="n"/>
      <c r="E668" s="16" t="n"/>
      <c r="F668" s="18">
        <f>IF(OR(D668="",E668=""),"",D668*E668)</f>
        <v/>
      </c>
      <c r="G668" s="15" t="n"/>
    </row>
    <row r="669">
      <c r="A669" s="19" t="n"/>
      <c r="B669" s="15" t="n"/>
      <c r="C669">
        <f>IF(B669="","",IFERROR(INDEX(Items!$B$5:$B$304,MATCH(B669,Items!$A$5:$A$304,0)),"Unknown code"))</f>
        <v/>
      </c>
      <c r="D669" s="15" t="n"/>
      <c r="E669" s="16" t="n"/>
      <c r="F669" s="18">
        <f>IF(OR(D669="",E669=""),"",D669*E669)</f>
        <v/>
      </c>
      <c r="G669" s="15" t="n"/>
    </row>
    <row r="670">
      <c r="A670" s="19" t="n"/>
      <c r="B670" s="15" t="n"/>
      <c r="C670">
        <f>IF(B670="","",IFERROR(INDEX(Items!$B$5:$B$304,MATCH(B670,Items!$A$5:$A$304,0)),"Unknown code"))</f>
        <v/>
      </c>
      <c r="D670" s="15" t="n"/>
      <c r="E670" s="16" t="n"/>
      <c r="F670" s="18">
        <f>IF(OR(D670="",E670=""),"",D670*E670)</f>
        <v/>
      </c>
      <c r="G670" s="15" t="n"/>
    </row>
    <row r="671">
      <c r="A671" s="19" t="n"/>
      <c r="B671" s="15" t="n"/>
      <c r="C671">
        <f>IF(B671="","",IFERROR(INDEX(Items!$B$5:$B$304,MATCH(B671,Items!$A$5:$A$304,0)),"Unknown code"))</f>
        <v/>
      </c>
      <c r="D671" s="15" t="n"/>
      <c r="E671" s="16" t="n"/>
      <c r="F671" s="18">
        <f>IF(OR(D671="",E671=""),"",D671*E671)</f>
        <v/>
      </c>
      <c r="G671" s="15" t="n"/>
    </row>
    <row r="672">
      <c r="A672" s="19" t="n"/>
      <c r="B672" s="15" t="n"/>
      <c r="C672">
        <f>IF(B672="","",IFERROR(INDEX(Items!$B$5:$B$304,MATCH(B672,Items!$A$5:$A$304,0)),"Unknown code"))</f>
        <v/>
      </c>
      <c r="D672" s="15" t="n"/>
      <c r="E672" s="16" t="n"/>
      <c r="F672" s="18">
        <f>IF(OR(D672="",E672=""),"",D672*E672)</f>
        <v/>
      </c>
      <c r="G672" s="15" t="n"/>
    </row>
    <row r="673">
      <c r="A673" s="19" t="n"/>
      <c r="B673" s="15" t="n"/>
      <c r="C673">
        <f>IF(B673="","",IFERROR(INDEX(Items!$B$5:$B$304,MATCH(B673,Items!$A$5:$A$304,0)),"Unknown code"))</f>
        <v/>
      </c>
      <c r="D673" s="15" t="n"/>
      <c r="E673" s="16" t="n"/>
      <c r="F673" s="18">
        <f>IF(OR(D673="",E673=""),"",D673*E673)</f>
        <v/>
      </c>
      <c r="G673" s="15" t="n"/>
    </row>
    <row r="674">
      <c r="A674" s="19" t="n"/>
      <c r="B674" s="15" t="n"/>
      <c r="C674">
        <f>IF(B674="","",IFERROR(INDEX(Items!$B$5:$B$304,MATCH(B674,Items!$A$5:$A$304,0)),"Unknown code"))</f>
        <v/>
      </c>
      <c r="D674" s="15" t="n"/>
      <c r="E674" s="16" t="n"/>
      <c r="F674" s="18">
        <f>IF(OR(D674="",E674=""),"",D674*E674)</f>
        <v/>
      </c>
      <c r="G674" s="15" t="n"/>
    </row>
    <row r="675">
      <c r="A675" s="19" t="n"/>
      <c r="B675" s="15" t="n"/>
      <c r="C675">
        <f>IF(B675="","",IFERROR(INDEX(Items!$B$5:$B$304,MATCH(B675,Items!$A$5:$A$304,0)),"Unknown code"))</f>
        <v/>
      </c>
      <c r="D675" s="15" t="n"/>
      <c r="E675" s="16" t="n"/>
      <c r="F675" s="18">
        <f>IF(OR(D675="",E675=""),"",D675*E675)</f>
        <v/>
      </c>
      <c r="G675" s="15" t="n"/>
    </row>
    <row r="676">
      <c r="A676" s="19" t="n"/>
      <c r="B676" s="15" t="n"/>
      <c r="C676">
        <f>IF(B676="","",IFERROR(INDEX(Items!$B$5:$B$304,MATCH(B676,Items!$A$5:$A$304,0)),"Unknown code"))</f>
        <v/>
      </c>
      <c r="D676" s="15" t="n"/>
      <c r="E676" s="16" t="n"/>
      <c r="F676" s="18">
        <f>IF(OR(D676="",E676=""),"",D676*E676)</f>
        <v/>
      </c>
      <c r="G676" s="15" t="n"/>
    </row>
    <row r="677">
      <c r="A677" s="19" t="n"/>
      <c r="B677" s="15" t="n"/>
      <c r="C677">
        <f>IF(B677="","",IFERROR(INDEX(Items!$B$5:$B$304,MATCH(B677,Items!$A$5:$A$304,0)),"Unknown code"))</f>
        <v/>
      </c>
      <c r="D677" s="15" t="n"/>
      <c r="E677" s="16" t="n"/>
      <c r="F677" s="18">
        <f>IF(OR(D677="",E677=""),"",D677*E677)</f>
        <v/>
      </c>
      <c r="G677" s="15" t="n"/>
    </row>
    <row r="678">
      <c r="A678" s="19" t="n"/>
      <c r="B678" s="15" t="n"/>
      <c r="C678">
        <f>IF(B678="","",IFERROR(INDEX(Items!$B$5:$B$304,MATCH(B678,Items!$A$5:$A$304,0)),"Unknown code"))</f>
        <v/>
      </c>
      <c r="D678" s="15" t="n"/>
      <c r="E678" s="16" t="n"/>
      <c r="F678" s="18">
        <f>IF(OR(D678="",E678=""),"",D678*E678)</f>
        <v/>
      </c>
      <c r="G678" s="15" t="n"/>
    </row>
    <row r="679">
      <c r="A679" s="19" t="n"/>
      <c r="B679" s="15" t="n"/>
      <c r="C679">
        <f>IF(B679="","",IFERROR(INDEX(Items!$B$5:$B$304,MATCH(B679,Items!$A$5:$A$304,0)),"Unknown code"))</f>
        <v/>
      </c>
      <c r="D679" s="15" t="n"/>
      <c r="E679" s="16" t="n"/>
      <c r="F679" s="18">
        <f>IF(OR(D679="",E679=""),"",D679*E679)</f>
        <v/>
      </c>
      <c r="G679" s="15" t="n"/>
    </row>
    <row r="680">
      <c r="A680" s="19" t="n"/>
      <c r="B680" s="15" t="n"/>
      <c r="C680">
        <f>IF(B680="","",IFERROR(INDEX(Items!$B$5:$B$304,MATCH(B680,Items!$A$5:$A$304,0)),"Unknown code"))</f>
        <v/>
      </c>
      <c r="D680" s="15" t="n"/>
      <c r="E680" s="16" t="n"/>
      <c r="F680" s="18">
        <f>IF(OR(D680="",E680=""),"",D680*E680)</f>
        <v/>
      </c>
      <c r="G680" s="15" t="n"/>
    </row>
    <row r="681">
      <c r="A681" s="19" t="n"/>
      <c r="B681" s="15" t="n"/>
      <c r="C681">
        <f>IF(B681="","",IFERROR(INDEX(Items!$B$5:$B$304,MATCH(B681,Items!$A$5:$A$304,0)),"Unknown code"))</f>
        <v/>
      </c>
      <c r="D681" s="15" t="n"/>
      <c r="E681" s="16" t="n"/>
      <c r="F681" s="18">
        <f>IF(OR(D681="",E681=""),"",D681*E681)</f>
        <v/>
      </c>
      <c r="G681" s="15" t="n"/>
    </row>
    <row r="682">
      <c r="A682" s="19" t="n"/>
      <c r="B682" s="15" t="n"/>
      <c r="C682">
        <f>IF(B682="","",IFERROR(INDEX(Items!$B$5:$B$304,MATCH(B682,Items!$A$5:$A$304,0)),"Unknown code"))</f>
        <v/>
      </c>
      <c r="D682" s="15" t="n"/>
      <c r="E682" s="16" t="n"/>
      <c r="F682" s="18">
        <f>IF(OR(D682="",E682=""),"",D682*E682)</f>
        <v/>
      </c>
      <c r="G682" s="15" t="n"/>
    </row>
    <row r="683">
      <c r="A683" s="19" t="n"/>
      <c r="B683" s="15" t="n"/>
      <c r="C683">
        <f>IF(B683="","",IFERROR(INDEX(Items!$B$5:$B$304,MATCH(B683,Items!$A$5:$A$304,0)),"Unknown code"))</f>
        <v/>
      </c>
      <c r="D683" s="15" t="n"/>
      <c r="E683" s="16" t="n"/>
      <c r="F683" s="18">
        <f>IF(OR(D683="",E683=""),"",D683*E683)</f>
        <v/>
      </c>
      <c r="G683" s="15" t="n"/>
    </row>
    <row r="684">
      <c r="A684" s="19" t="n"/>
      <c r="B684" s="15" t="n"/>
      <c r="C684">
        <f>IF(B684="","",IFERROR(INDEX(Items!$B$5:$B$304,MATCH(B684,Items!$A$5:$A$304,0)),"Unknown code"))</f>
        <v/>
      </c>
      <c r="D684" s="15" t="n"/>
      <c r="E684" s="16" t="n"/>
      <c r="F684" s="18">
        <f>IF(OR(D684="",E684=""),"",D684*E684)</f>
        <v/>
      </c>
      <c r="G684" s="15" t="n"/>
    </row>
    <row r="685">
      <c r="A685" s="19" t="n"/>
      <c r="B685" s="15" t="n"/>
      <c r="C685">
        <f>IF(B685="","",IFERROR(INDEX(Items!$B$5:$B$304,MATCH(B685,Items!$A$5:$A$304,0)),"Unknown code"))</f>
        <v/>
      </c>
      <c r="D685" s="15" t="n"/>
      <c r="E685" s="16" t="n"/>
      <c r="F685" s="18">
        <f>IF(OR(D685="",E685=""),"",D685*E685)</f>
        <v/>
      </c>
      <c r="G685" s="15" t="n"/>
    </row>
    <row r="686">
      <c r="A686" s="19" t="n"/>
      <c r="B686" s="15" t="n"/>
      <c r="C686">
        <f>IF(B686="","",IFERROR(INDEX(Items!$B$5:$B$304,MATCH(B686,Items!$A$5:$A$304,0)),"Unknown code"))</f>
        <v/>
      </c>
      <c r="D686" s="15" t="n"/>
      <c r="E686" s="16" t="n"/>
      <c r="F686" s="18">
        <f>IF(OR(D686="",E686=""),"",D686*E686)</f>
        <v/>
      </c>
      <c r="G686" s="15" t="n"/>
    </row>
    <row r="687">
      <c r="A687" s="19" t="n"/>
      <c r="B687" s="15" t="n"/>
      <c r="C687">
        <f>IF(B687="","",IFERROR(INDEX(Items!$B$5:$B$304,MATCH(B687,Items!$A$5:$A$304,0)),"Unknown code"))</f>
        <v/>
      </c>
      <c r="D687" s="15" t="n"/>
      <c r="E687" s="16" t="n"/>
      <c r="F687" s="18">
        <f>IF(OR(D687="",E687=""),"",D687*E687)</f>
        <v/>
      </c>
      <c r="G687" s="15" t="n"/>
    </row>
    <row r="688">
      <c r="A688" s="19" t="n"/>
      <c r="B688" s="15" t="n"/>
      <c r="C688">
        <f>IF(B688="","",IFERROR(INDEX(Items!$B$5:$B$304,MATCH(B688,Items!$A$5:$A$304,0)),"Unknown code"))</f>
        <v/>
      </c>
      <c r="D688" s="15" t="n"/>
      <c r="E688" s="16" t="n"/>
      <c r="F688" s="18">
        <f>IF(OR(D688="",E688=""),"",D688*E688)</f>
        <v/>
      </c>
      <c r="G688" s="15" t="n"/>
    </row>
    <row r="689">
      <c r="A689" s="19" t="n"/>
      <c r="B689" s="15" t="n"/>
      <c r="C689">
        <f>IF(B689="","",IFERROR(INDEX(Items!$B$5:$B$304,MATCH(B689,Items!$A$5:$A$304,0)),"Unknown code"))</f>
        <v/>
      </c>
      <c r="D689" s="15" t="n"/>
      <c r="E689" s="16" t="n"/>
      <c r="F689" s="18">
        <f>IF(OR(D689="",E689=""),"",D689*E689)</f>
        <v/>
      </c>
      <c r="G689" s="15" t="n"/>
    </row>
    <row r="690">
      <c r="A690" s="19" t="n"/>
      <c r="B690" s="15" t="n"/>
      <c r="C690">
        <f>IF(B690="","",IFERROR(INDEX(Items!$B$5:$B$304,MATCH(B690,Items!$A$5:$A$304,0)),"Unknown code"))</f>
        <v/>
      </c>
      <c r="D690" s="15" t="n"/>
      <c r="E690" s="16" t="n"/>
      <c r="F690" s="18">
        <f>IF(OR(D690="",E690=""),"",D690*E690)</f>
        <v/>
      </c>
      <c r="G690" s="15" t="n"/>
    </row>
    <row r="691">
      <c r="A691" s="19" t="n"/>
      <c r="B691" s="15" t="n"/>
      <c r="C691">
        <f>IF(B691="","",IFERROR(INDEX(Items!$B$5:$B$304,MATCH(B691,Items!$A$5:$A$304,0)),"Unknown code"))</f>
        <v/>
      </c>
      <c r="D691" s="15" t="n"/>
      <c r="E691" s="16" t="n"/>
      <c r="F691" s="18">
        <f>IF(OR(D691="",E691=""),"",D691*E691)</f>
        <v/>
      </c>
      <c r="G691" s="15" t="n"/>
    </row>
    <row r="692">
      <c r="A692" s="19" t="n"/>
      <c r="B692" s="15" t="n"/>
      <c r="C692">
        <f>IF(B692="","",IFERROR(INDEX(Items!$B$5:$B$304,MATCH(B692,Items!$A$5:$A$304,0)),"Unknown code"))</f>
        <v/>
      </c>
      <c r="D692" s="15" t="n"/>
      <c r="E692" s="16" t="n"/>
      <c r="F692" s="18">
        <f>IF(OR(D692="",E692=""),"",D692*E692)</f>
        <v/>
      </c>
      <c r="G692" s="15" t="n"/>
    </row>
    <row r="693">
      <c r="A693" s="19" t="n"/>
      <c r="B693" s="15" t="n"/>
      <c r="C693">
        <f>IF(B693="","",IFERROR(INDEX(Items!$B$5:$B$304,MATCH(B693,Items!$A$5:$A$304,0)),"Unknown code"))</f>
        <v/>
      </c>
      <c r="D693" s="15" t="n"/>
      <c r="E693" s="16" t="n"/>
      <c r="F693" s="18">
        <f>IF(OR(D693="",E693=""),"",D693*E693)</f>
        <v/>
      </c>
      <c r="G693" s="15" t="n"/>
    </row>
    <row r="694">
      <c r="A694" s="19" t="n"/>
      <c r="B694" s="15" t="n"/>
      <c r="C694">
        <f>IF(B694="","",IFERROR(INDEX(Items!$B$5:$B$304,MATCH(B694,Items!$A$5:$A$304,0)),"Unknown code"))</f>
        <v/>
      </c>
      <c r="D694" s="15" t="n"/>
      <c r="E694" s="16" t="n"/>
      <c r="F694" s="18">
        <f>IF(OR(D694="",E694=""),"",D694*E694)</f>
        <v/>
      </c>
      <c r="G694" s="15" t="n"/>
    </row>
    <row r="695">
      <c r="A695" s="19" t="n"/>
      <c r="B695" s="15" t="n"/>
      <c r="C695">
        <f>IF(B695="","",IFERROR(INDEX(Items!$B$5:$B$304,MATCH(B695,Items!$A$5:$A$304,0)),"Unknown code"))</f>
        <v/>
      </c>
      <c r="D695" s="15" t="n"/>
      <c r="E695" s="16" t="n"/>
      <c r="F695" s="18">
        <f>IF(OR(D695="",E695=""),"",D695*E695)</f>
        <v/>
      </c>
      <c r="G695" s="15" t="n"/>
    </row>
    <row r="696">
      <c r="A696" s="19" t="n"/>
      <c r="B696" s="15" t="n"/>
      <c r="C696">
        <f>IF(B696="","",IFERROR(INDEX(Items!$B$5:$B$304,MATCH(B696,Items!$A$5:$A$304,0)),"Unknown code"))</f>
        <v/>
      </c>
      <c r="D696" s="15" t="n"/>
      <c r="E696" s="16" t="n"/>
      <c r="F696" s="18">
        <f>IF(OR(D696="",E696=""),"",D696*E696)</f>
        <v/>
      </c>
      <c r="G696" s="15" t="n"/>
    </row>
    <row r="697">
      <c r="A697" s="19" t="n"/>
      <c r="B697" s="15" t="n"/>
      <c r="C697">
        <f>IF(B697="","",IFERROR(INDEX(Items!$B$5:$B$304,MATCH(B697,Items!$A$5:$A$304,0)),"Unknown code"))</f>
        <v/>
      </c>
      <c r="D697" s="15" t="n"/>
      <c r="E697" s="16" t="n"/>
      <c r="F697" s="18">
        <f>IF(OR(D697="",E697=""),"",D697*E697)</f>
        <v/>
      </c>
      <c r="G697" s="15" t="n"/>
    </row>
    <row r="698">
      <c r="A698" s="19" t="n"/>
      <c r="B698" s="15" t="n"/>
      <c r="C698">
        <f>IF(B698="","",IFERROR(INDEX(Items!$B$5:$B$304,MATCH(B698,Items!$A$5:$A$304,0)),"Unknown code"))</f>
        <v/>
      </c>
      <c r="D698" s="15" t="n"/>
      <c r="E698" s="16" t="n"/>
      <c r="F698" s="18">
        <f>IF(OR(D698="",E698=""),"",D698*E698)</f>
        <v/>
      </c>
      <c r="G698" s="15" t="n"/>
    </row>
    <row r="699">
      <c r="A699" s="19" t="n"/>
      <c r="B699" s="15" t="n"/>
      <c r="C699">
        <f>IF(B699="","",IFERROR(INDEX(Items!$B$5:$B$304,MATCH(B699,Items!$A$5:$A$304,0)),"Unknown code"))</f>
        <v/>
      </c>
      <c r="D699" s="15" t="n"/>
      <c r="E699" s="16" t="n"/>
      <c r="F699" s="18">
        <f>IF(OR(D699="",E699=""),"",D699*E699)</f>
        <v/>
      </c>
      <c r="G699" s="15" t="n"/>
    </row>
    <row r="700">
      <c r="A700" s="19" t="n"/>
      <c r="B700" s="15" t="n"/>
      <c r="C700">
        <f>IF(B700="","",IFERROR(INDEX(Items!$B$5:$B$304,MATCH(B700,Items!$A$5:$A$304,0)),"Unknown code"))</f>
        <v/>
      </c>
      <c r="D700" s="15" t="n"/>
      <c r="E700" s="16" t="n"/>
      <c r="F700" s="18">
        <f>IF(OR(D700="",E700=""),"",D700*E700)</f>
        <v/>
      </c>
      <c r="G700" s="15" t="n"/>
    </row>
    <row r="701">
      <c r="A701" s="19" t="n"/>
      <c r="B701" s="15" t="n"/>
      <c r="C701">
        <f>IF(B701="","",IFERROR(INDEX(Items!$B$5:$B$304,MATCH(B701,Items!$A$5:$A$304,0)),"Unknown code"))</f>
        <v/>
      </c>
      <c r="D701" s="15" t="n"/>
      <c r="E701" s="16" t="n"/>
      <c r="F701" s="18">
        <f>IF(OR(D701="",E701=""),"",D701*E701)</f>
        <v/>
      </c>
      <c r="G701" s="15" t="n"/>
    </row>
    <row r="702">
      <c r="A702" s="19" t="n"/>
      <c r="B702" s="15" t="n"/>
      <c r="C702">
        <f>IF(B702="","",IFERROR(INDEX(Items!$B$5:$B$304,MATCH(B702,Items!$A$5:$A$304,0)),"Unknown code"))</f>
        <v/>
      </c>
      <c r="D702" s="15" t="n"/>
      <c r="E702" s="16" t="n"/>
      <c r="F702" s="18">
        <f>IF(OR(D702="",E702=""),"",D702*E702)</f>
        <v/>
      </c>
      <c r="G702" s="15" t="n"/>
    </row>
    <row r="703">
      <c r="A703" s="19" t="n"/>
      <c r="B703" s="15" t="n"/>
      <c r="C703">
        <f>IF(B703="","",IFERROR(INDEX(Items!$B$5:$B$304,MATCH(B703,Items!$A$5:$A$304,0)),"Unknown code"))</f>
        <v/>
      </c>
      <c r="D703" s="15" t="n"/>
      <c r="E703" s="16" t="n"/>
      <c r="F703" s="18">
        <f>IF(OR(D703="",E703=""),"",D703*E703)</f>
        <v/>
      </c>
      <c r="G703" s="15" t="n"/>
    </row>
    <row r="704">
      <c r="A704" s="19" t="n"/>
      <c r="B704" s="15" t="n"/>
      <c r="C704">
        <f>IF(B704="","",IFERROR(INDEX(Items!$B$5:$B$304,MATCH(B704,Items!$A$5:$A$304,0)),"Unknown code"))</f>
        <v/>
      </c>
      <c r="D704" s="15" t="n"/>
      <c r="E704" s="16" t="n"/>
      <c r="F704" s="18">
        <f>IF(OR(D704="",E704=""),"",D704*E704)</f>
        <v/>
      </c>
      <c r="G704" s="15" t="n"/>
    </row>
    <row r="705">
      <c r="A705" s="19" t="n"/>
      <c r="B705" s="15" t="n"/>
      <c r="C705">
        <f>IF(B705="","",IFERROR(INDEX(Items!$B$5:$B$304,MATCH(B705,Items!$A$5:$A$304,0)),"Unknown code"))</f>
        <v/>
      </c>
      <c r="D705" s="15" t="n"/>
      <c r="E705" s="16" t="n"/>
      <c r="F705" s="18">
        <f>IF(OR(D705="",E705=""),"",D705*E705)</f>
        <v/>
      </c>
      <c r="G705" s="15" t="n"/>
    </row>
    <row r="706">
      <c r="A706" s="19" t="n"/>
      <c r="B706" s="15" t="n"/>
      <c r="C706">
        <f>IF(B706="","",IFERROR(INDEX(Items!$B$5:$B$304,MATCH(B706,Items!$A$5:$A$304,0)),"Unknown code"))</f>
        <v/>
      </c>
      <c r="D706" s="15" t="n"/>
      <c r="E706" s="16" t="n"/>
      <c r="F706" s="18">
        <f>IF(OR(D706="",E706=""),"",D706*E706)</f>
        <v/>
      </c>
      <c r="G706" s="15" t="n"/>
    </row>
    <row r="707">
      <c r="A707" s="19" t="n"/>
      <c r="B707" s="15" t="n"/>
      <c r="C707">
        <f>IF(B707="","",IFERROR(INDEX(Items!$B$5:$B$304,MATCH(B707,Items!$A$5:$A$304,0)),"Unknown code"))</f>
        <v/>
      </c>
      <c r="D707" s="15" t="n"/>
      <c r="E707" s="16" t="n"/>
      <c r="F707" s="18">
        <f>IF(OR(D707="",E707=""),"",D707*E707)</f>
        <v/>
      </c>
      <c r="G707" s="15" t="n"/>
    </row>
    <row r="708">
      <c r="A708" s="19" t="n"/>
      <c r="B708" s="15" t="n"/>
      <c r="C708">
        <f>IF(B708="","",IFERROR(INDEX(Items!$B$5:$B$304,MATCH(B708,Items!$A$5:$A$304,0)),"Unknown code"))</f>
        <v/>
      </c>
      <c r="D708" s="15" t="n"/>
      <c r="E708" s="16" t="n"/>
      <c r="F708" s="18">
        <f>IF(OR(D708="",E708=""),"",D708*E708)</f>
        <v/>
      </c>
      <c r="G708" s="15" t="n"/>
    </row>
    <row r="709">
      <c r="A709" s="19" t="n"/>
      <c r="B709" s="15" t="n"/>
      <c r="C709">
        <f>IF(B709="","",IFERROR(INDEX(Items!$B$5:$B$304,MATCH(B709,Items!$A$5:$A$304,0)),"Unknown code"))</f>
        <v/>
      </c>
      <c r="D709" s="15" t="n"/>
      <c r="E709" s="16" t="n"/>
      <c r="F709" s="18">
        <f>IF(OR(D709="",E709=""),"",D709*E709)</f>
        <v/>
      </c>
      <c r="G709" s="15" t="n"/>
    </row>
    <row r="710">
      <c r="A710" s="19" t="n"/>
      <c r="B710" s="15" t="n"/>
      <c r="C710">
        <f>IF(B710="","",IFERROR(INDEX(Items!$B$5:$B$304,MATCH(B710,Items!$A$5:$A$304,0)),"Unknown code"))</f>
        <v/>
      </c>
      <c r="D710" s="15" t="n"/>
      <c r="E710" s="16" t="n"/>
      <c r="F710" s="18">
        <f>IF(OR(D710="",E710=""),"",D710*E710)</f>
        <v/>
      </c>
      <c r="G710" s="15" t="n"/>
    </row>
    <row r="711">
      <c r="A711" s="19" t="n"/>
      <c r="B711" s="15" t="n"/>
      <c r="C711">
        <f>IF(B711="","",IFERROR(INDEX(Items!$B$5:$B$304,MATCH(B711,Items!$A$5:$A$304,0)),"Unknown code"))</f>
        <v/>
      </c>
      <c r="D711" s="15" t="n"/>
      <c r="E711" s="16" t="n"/>
      <c r="F711" s="18">
        <f>IF(OR(D711="",E711=""),"",D711*E711)</f>
        <v/>
      </c>
      <c r="G711" s="15" t="n"/>
    </row>
    <row r="712">
      <c r="A712" s="19" t="n"/>
      <c r="B712" s="15" t="n"/>
      <c r="C712">
        <f>IF(B712="","",IFERROR(INDEX(Items!$B$5:$B$304,MATCH(B712,Items!$A$5:$A$304,0)),"Unknown code"))</f>
        <v/>
      </c>
      <c r="D712" s="15" t="n"/>
      <c r="E712" s="16" t="n"/>
      <c r="F712" s="18">
        <f>IF(OR(D712="",E712=""),"",D712*E712)</f>
        <v/>
      </c>
      <c r="G712" s="15" t="n"/>
    </row>
    <row r="713">
      <c r="A713" s="19" t="n"/>
      <c r="B713" s="15" t="n"/>
      <c r="C713">
        <f>IF(B713="","",IFERROR(INDEX(Items!$B$5:$B$304,MATCH(B713,Items!$A$5:$A$304,0)),"Unknown code"))</f>
        <v/>
      </c>
      <c r="D713" s="15" t="n"/>
      <c r="E713" s="16" t="n"/>
      <c r="F713" s="18">
        <f>IF(OR(D713="",E713=""),"",D713*E713)</f>
        <v/>
      </c>
      <c r="G713" s="15" t="n"/>
    </row>
    <row r="714">
      <c r="A714" s="19" t="n"/>
      <c r="B714" s="15" t="n"/>
      <c r="C714">
        <f>IF(B714="","",IFERROR(INDEX(Items!$B$5:$B$304,MATCH(B714,Items!$A$5:$A$304,0)),"Unknown code"))</f>
        <v/>
      </c>
      <c r="D714" s="15" t="n"/>
      <c r="E714" s="16" t="n"/>
      <c r="F714" s="18">
        <f>IF(OR(D714="",E714=""),"",D714*E714)</f>
        <v/>
      </c>
      <c r="G714" s="15" t="n"/>
    </row>
    <row r="715">
      <c r="A715" s="19" t="n"/>
      <c r="B715" s="15" t="n"/>
      <c r="C715">
        <f>IF(B715="","",IFERROR(INDEX(Items!$B$5:$B$304,MATCH(B715,Items!$A$5:$A$304,0)),"Unknown code"))</f>
        <v/>
      </c>
      <c r="D715" s="15" t="n"/>
      <c r="E715" s="16" t="n"/>
      <c r="F715" s="18">
        <f>IF(OR(D715="",E715=""),"",D715*E715)</f>
        <v/>
      </c>
      <c r="G715" s="15" t="n"/>
    </row>
    <row r="716">
      <c r="A716" s="19" t="n"/>
      <c r="B716" s="15" t="n"/>
      <c r="C716">
        <f>IF(B716="","",IFERROR(INDEX(Items!$B$5:$B$304,MATCH(B716,Items!$A$5:$A$304,0)),"Unknown code"))</f>
        <v/>
      </c>
      <c r="D716" s="15" t="n"/>
      <c r="E716" s="16" t="n"/>
      <c r="F716" s="18">
        <f>IF(OR(D716="",E716=""),"",D716*E716)</f>
        <v/>
      </c>
      <c r="G716" s="15" t="n"/>
    </row>
    <row r="717">
      <c r="A717" s="19" t="n"/>
      <c r="B717" s="15" t="n"/>
      <c r="C717">
        <f>IF(B717="","",IFERROR(INDEX(Items!$B$5:$B$304,MATCH(B717,Items!$A$5:$A$304,0)),"Unknown code"))</f>
        <v/>
      </c>
      <c r="D717" s="15" t="n"/>
      <c r="E717" s="16" t="n"/>
      <c r="F717" s="18">
        <f>IF(OR(D717="",E717=""),"",D717*E717)</f>
        <v/>
      </c>
      <c r="G717" s="15" t="n"/>
    </row>
    <row r="718">
      <c r="A718" s="19" t="n"/>
      <c r="B718" s="15" t="n"/>
      <c r="C718">
        <f>IF(B718="","",IFERROR(INDEX(Items!$B$5:$B$304,MATCH(B718,Items!$A$5:$A$304,0)),"Unknown code"))</f>
        <v/>
      </c>
      <c r="D718" s="15" t="n"/>
      <c r="E718" s="16" t="n"/>
      <c r="F718" s="18">
        <f>IF(OR(D718="",E718=""),"",D718*E718)</f>
        <v/>
      </c>
      <c r="G718" s="15" t="n"/>
    </row>
    <row r="719">
      <c r="A719" s="19" t="n"/>
      <c r="B719" s="15" t="n"/>
      <c r="C719">
        <f>IF(B719="","",IFERROR(INDEX(Items!$B$5:$B$304,MATCH(B719,Items!$A$5:$A$304,0)),"Unknown code"))</f>
        <v/>
      </c>
      <c r="D719" s="15" t="n"/>
      <c r="E719" s="16" t="n"/>
      <c r="F719" s="18">
        <f>IF(OR(D719="",E719=""),"",D719*E719)</f>
        <v/>
      </c>
      <c r="G719" s="15" t="n"/>
    </row>
    <row r="720">
      <c r="A720" s="19" t="n"/>
      <c r="B720" s="15" t="n"/>
      <c r="C720">
        <f>IF(B720="","",IFERROR(INDEX(Items!$B$5:$B$304,MATCH(B720,Items!$A$5:$A$304,0)),"Unknown code"))</f>
        <v/>
      </c>
      <c r="D720" s="15" t="n"/>
      <c r="E720" s="16" t="n"/>
      <c r="F720" s="18">
        <f>IF(OR(D720="",E720=""),"",D720*E720)</f>
        <v/>
      </c>
      <c r="G720" s="15" t="n"/>
    </row>
    <row r="721">
      <c r="A721" s="19" t="n"/>
      <c r="B721" s="15" t="n"/>
      <c r="C721">
        <f>IF(B721="","",IFERROR(INDEX(Items!$B$5:$B$304,MATCH(B721,Items!$A$5:$A$304,0)),"Unknown code"))</f>
        <v/>
      </c>
      <c r="D721" s="15" t="n"/>
      <c r="E721" s="16" t="n"/>
      <c r="F721" s="18">
        <f>IF(OR(D721="",E721=""),"",D721*E721)</f>
        <v/>
      </c>
      <c r="G721" s="15" t="n"/>
    </row>
    <row r="722">
      <c r="A722" s="19" t="n"/>
      <c r="B722" s="15" t="n"/>
      <c r="C722">
        <f>IF(B722="","",IFERROR(INDEX(Items!$B$5:$B$304,MATCH(B722,Items!$A$5:$A$304,0)),"Unknown code"))</f>
        <v/>
      </c>
      <c r="D722" s="15" t="n"/>
      <c r="E722" s="16" t="n"/>
      <c r="F722" s="18">
        <f>IF(OR(D722="",E722=""),"",D722*E722)</f>
        <v/>
      </c>
      <c r="G722" s="15" t="n"/>
    </row>
    <row r="723">
      <c r="A723" s="19" t="n"/>
      <c r="B723" s="15" t="n"/>
      <c r="C723">
        <f>IF(B723="","",IFERROR(INDEX(Items!$B$5:$B$304,MATCH(B723,Items!$A$5:$A$304,0)),"Unknown code"))</f>
        <v/>
      </c>
      <c r="D723" s="15" t="n"/>
      <c r="E723" s="16" t="n"/>
      <c r="F723" s="18">
        <f>IF(OR(D723="",E723=""),"",D723*E723)</f>
        <v/>
      </c>
      <c r="G723" s="15" t="n"/>
    </row>
    <row r="724">
      <c r="A724" s="19" t="n"/>
      <c r="B724" s="15" t="n"/>
      <c r="C724">
        <f>IF(B724="","",IFERROR(INDEX(Items!$B$5:$B$304,MATCH(B724,Items!$A$5:$A$304,0)),"Unknown code"))</f>
        <v/>
      </c>
      <c r="D724" s="15" t="n"/>
      <c r="E724" s="16" t="n"/>
      <c r="F724" s="18">
        <f>IF(OR(D724="",E724=""),"",D724*E724)</f>
        <v/>
      </c>
      <c r="G724" s="15" t="n"/>
    </row>
    <row r="725">
      <c r="A725" s="19" t="n"/>
      <c r="B725" s="15" t="n"/>
      <c r="C725">
        <f>IF(B725="","",IFERROR(INDEX(Items!$B$5:$B$304,MATCH(B725,Items!$A$5:$A$304,0)),"Unknown code"))</f>
        <v/>
      </c>
      <c r="D725" s="15" t="n"/>
      <c r="E725" s="16" t="n"/>
      <c r="F725" s="18">
        <f>IF(OR(D725="",E725=""),"",D725*E725)</f>
        <v/>
      </c>
      <c r="G725" s="15" t="n"/>
    </row>
    <row r="726">
      <c r="A726" s="19" t="n"/>
      <c r="B726" s="15" t="n"/>
      <c r="C726">
        <f>IF(B726="","",IFERROR(INDEX(Items!$B$5:$B$304,MATCH(B726,Items!$A$5:$A$304,0)),"Unknown code"))</f>
        <v/>
      </c>
      <c r="D726" s="15" t="n"/>
      <c r="E726" s="16" t="n"/>
      <c r="F726" s="18">
        <f>IF(OR(D726="",E726=""),"",D726*E726)</f>
        <v/>
      </c>
      <c r="G726" s="15" t="n"/>
    </row>
    <row r="727">
      <c r="A727" s="19" t="n"/>
      <c r="B727" s="15" t="n"/>
      <c r="C727">
        <f>IF(B727="","",IFERROR(INDEX(Items!$B$5:$B$304,MATCH(B727,Items!$A$5:$A$304,0)),"Unknown code"))</f>
        <v/>
      </c>
      <c r="D727" s="15" t="n"/>
      <c r="E727" s="16" t="n"/>
      <c r="F727" s="18">
        <f>IF(OR(D727="",E727=""),"",D727*E727)</f>
        <v/>
      </c>
      <c r="G727" s="15" t="n"/>
    </row>
    <row r="728">
      <c r="A728" s="19" t="n"/>
      <c r="B728" s="15" t="n"/>
      <c r="C728">
        <f>IF(B728="","",IFERROR(INDEX(Items!$B$5:$B$304,MATCH(B728,Items!$A$5:$A$304,0)),"Unknown code"))</f>
        <v/>
      </c>
      <c r="D728" s="15" t="n"/>
      <c r="E728" s="16" t="n"/>
      <c r="F728" s="18">
        <f>IF(OR(D728="",E728=""),"",D728*E728)</f>
        <v/>
      </c>
      <c r="G728" s="15" t="n"/>
    </row>
    <row r="729">
      <c r="A729" s="19" t="n"/>
      <c r="B729" s="15" t="n"/>
      <c r="C729">
        <f>IF(B729="","",IFERROR(INDEX(Items!$B$5:$B$304,MATCH(B729,Items!$A$5:$A$304,0)),"Unknown code"))</f>
        <v/>
      </c>
      <c r="D729" s="15" t="n"/>
      <c r="E729" s="16" t="n"/>
      <c r="F729" s="18">
        <f>IF(OR(D729="",E729=""),"",D729*E729)</f>
        <v/>
      </c>
      <c r="G729" s="15" t="n"/>
    </row>
    <row r="730">
      <c r="A730" s="19" t="n"/>
      <c r="B730" s="15" t="n"/>
      <c r="C730">
        <f>IF(B730="","",IFERROR(INDEX(Items!$B$5:$B$304,MATCH(B730,Items!$A$5:$A$304,0)),"Unknown code"))</f>
        <v/>
      </c>
      <c r="D730" s="15" t="n"/>
      <c r="E730" s="16" t="n"/>
      <c r="F730" s="18">
        <f>IF(OR(D730="",E730=""),"",D730*E730)</f>
        <v/>
      </c>
      <c r="G730" s="15" t="n"/>
    </row>
    <row r="731">
      <c r="A731" s="19" t="n"/>
      <c r="B731" s="15" t="n"/>
      <c r="C731">
        <f>IF(B731="","",IFERROR(INDEX(Items!$B$5:$B$304,MATCH(B731,Items!$A$5:$A$304,0)),"Unknown code"))</f>
        <v/>
      </c>
      <c r="D731" s="15" t="n"/>
      <c r="E731" s="16" t="n"/>
      <c r="F731" s="18">
        <f>IF(OR(D731="",E731=""),"",D731*E731)</f>
        <v/>
      </c>
      <c r="G731" s="15" t="n"/>
    </row>
    <row r="732">
      <c r="A732" s="19" t="n"/>
      <c r="B732" s="15" t="n"/>
      <c r="C732">
        <f>IF(B732="","",IFERROR(INDEX(Items!$B$5:$B$304,MATCH(B732,Items!$A$5:$A$304,0)),"Unknown code"))</f>
        <v/>
      </c>
      <c r="D732" s="15" t="n"/>
      <c r="E732" s="16" t="n"/>
      <c r="F732" s="18">
        <f>IF(OR(D732="",E732=""),"",D732*E732)</f>
        <v/>
      </c>
      <c r="G732" s="15" t="n"/>
    </row>
    <row r="733">
      <c r="A733" s="19" t="n"/>
      <c r="B733" s="15" t="n"/>
      <c r="C733">
        <f>IF(B733="","",IFERROR(INDEX(Items!$B$5:$B$304,MATCH(B733,Items!$A$5:$A$304,0)),"Unknown code"))</f>
        <v/>
      </c>
      <c r="D733" s="15" t="n"/>
      <c r="E733" s="16" t="n"/>
      <c r="F733" s="18">
        <f>IF(OR(D733="",E733=""),"",D733*E733)</f>
        <v/>
      </c>
      <c r="G733" s="15" t="n"/>
    </row>
    <row r="734">
      <c r="A734" s="19" t="n"/>
      <c r="B734" s="15" t="n"/>
      <c r="C734">
        <f>IF(B734="","",IFERROR(INDEX(Items!$B$5:$B$304,MATCH(B734,Items!$A$5:$A$304,0)),"Unknown code"))</f>
        <v/>
      </c>
      <c r="D734" s="15" t="n"/>
      <c r="E734" s="16" t="n"/>
      <c r="F734" s="18">
        <f>IF(OR(D734="",E734=""),"",D734*E734)</f>
        <v/>
      </c>
      <c r="G734" s="15" t="n"/>
    </row>
    <row r="735">
      <c r="A735" s="19" t="n"/>
      <c r="B735" s="15" t="n"/>
      <c r="C735">
        <f>IF(B735="","",IFERROR(INDEX(Items!$B$5:$B$304,MATCH(B735,Items!$A$5:$A$304,0)),"Unknown code"))</f>
        <v/>
      </c>
      <c r="D735" s="15" t="n"/>
      <c r="E735" s="16" t="n"/>
      <c r="F735" s="18">
        <f>IF(OR(D735="",E735=""),"",D735*E735)</f>
        <v/>
      </c>
      <c r="G735" s="15" t="n"/>
    </row>
    <row r="736">
      <c r="A736" s="19" t="n"/>
      <c r="B736" s="15" t="n"/>
      <c r="C736">
        <f>IF(B736="","",IFERROR(INDEX(Items!$B$5:$B$304,MATCH(B736,Items!$A$5:$A$304,0)),"Unknown code"))</f>
        <v/>
      </c>
      <c r="D736" s="15" t="n"/>
      <c r="E736" s="16" t="n"/>
      <c r="F736" s="18">
        <f>IF(OR(D736="",E736=""),"",D736*E736)</f>
        <v/>
      </c>
      <c r="G736" s="15" t="n"/>
    </row>
    <row r="737">
      <c r="A737" s="19" t="n"/>
      <c r="B737" s="15" t="n"/>
      <c r="C737">
        <f>IF(B737="","",IFERROR(INDEX(Items!$B$5:$B$304,MATCH(B737,Items!$A$5:$A$304,0)),"Unknown code"))</f>
        <v/>
      </c>
      <c r="D737" s="15" t="n"/>
      <c r="E737" s="16" t="n"/>
      <c r="F737" s="18">
        <f>IF(OR(D737="",E737=""),"",D737*E737)</f>
        <v/>
      </c>
      <c r="G737" s="15" t="n"/>
    </row>
    <row r="738">
      <c r="A738" s="19" t="n"/>
      <c r="B738" s="15" t="n"/>
      <c r="C738">
        <f>IF(B738="","",IFERROR(INDEX(Items!$B$5:$B$304,MATCH(B738,Items!$A$5:$A$304,0)),"Unknown code"))</f>
        <v/>
      </c>
      <c r="D738" s="15" t="n"/>
      <c r="E738" s="16" t="n"/>
      <c r="F738" s="18">
        <f>IF(OR(D738="",E738=""),"",D738*E738)</f>
        <v/>
      </c>
      <c r="G738" s="15" t="n"/>
    </row>
    <row r="739">
      <c r="A739" s="19" t="n"/>
      <c r="B739" s="15" t="n"/>
      <c r="C739">
        <f>IF(B739="","",IFERROR(INDEX(Items!$B$5:$B$304,MATCH(B739,Items!$A$5:$A$304,0)),"Unknown code"))</f>
        <v/>
      </c>
      <c r="D739" s="15" t="n"/>
      <c r="E739" s="16" t="n"/>
      <c r="F739" s="18">
        <f>IF(OR(D739="",E739=""),"",D739*E739)</f>
        <v/>
      </c>
      <c r="G739" s="15" t="n"/>
    </row>
    <row r="740">
      <c r="A740" s="19" t="n"/>
      <c r="B740" s="15" t="n"/>
      <c r="C740">
        <f>IF(B740="","",IFERROR(INDEX(Items!$B$5:$B$304,MATCH(B740,Items!$A$5:$A$304,0)),"Unknown code"))</f>
        <v/>
      </c>
      <c r="D740" s="15" t="n"/>
      <c r="E740" s="16" t="n"/>
      <c r="F740" s="18">
        <f>IF(OR(D740="",E740=""),"",D740*E740)</f>
        <v/>
      </c>
      <c r="G740" s="15" t="n"/>
    </row>
    <row r="741">
      <c r="A741" s="19" t="n"/>
      <c r="B741" s="15" t="n"/>
      <c r="C741">
        <f>IF(B741="","",IFERROR(INDEX(Items!$B$5:$B$304,MATCH(B741,Items!$A$5:$A$304,0)),"Unknown code"))</f>
        <v/>
      </c>
      <c r="D741" s="15" t="n"/>
      <c r="E741" s="16" t="n"/>
      <c r="F741" s="18">
        <f>IF(OR(D741="",E741=""),"",D741*E741)</f>
        <v/>
      </c>
      <c r="G741" s="15" t="n"/>
    </row>
    <row r="742">
      <c r="A742" s="19" t="n"/>
      <c r="B742" s="15" t="n"/>
      <c r="C742">
        <f>IF(B742="","",IFERROR(INDEX(Items!$B$5:$B$304,MATCH(B742,Items!$A$5:$A$304,0)),"Unknown code"))</f>
        <v/>
      </c>
      <c r="D742" s="15" t="n"/>
      <c r="E742" s="16" t="n"/>
      <c r="F742" s="18">
        <f>IF(OR(D742="",E742=""),"",D742*E742)</f>
        <v/>
      </c>
      <c r="G742" s="15" t="n"/>
    </row>
    <row r="743">
      <c r="A743" s="19" t="n"/>
      <c r="B743" s="15" t="n"/>
      <c r="C743">
        <f>IF(B743="","",IFERROR(INDEX(Items!$B$5:$B$304,MATCH(B743,Items!$A$5:$A$304,0)),"Unknown code"))</f>
        <v/>
      </c>
      <c r="D743" s="15" t="n"/>
      <c r="E743" s="16" t="n"/>
      <c r="F743" s="18">
        <f>IF(OR(D743="",E743=""),"",D743*E743)</f>
        <v/>
      </c>
      <c r="G743" s="15" t="n"/>
    </row>
    <row r="744">
      <c r="A744" s="19" t="n"/>
      <c r="B744" s="15" t="n"/>
      <c r="C744">
        <f>IF(B744="","",IFERROR(INDEX(Items!$B$5:$B$304,MATCH(B744,Items!$A$5:$A$304,0)),"Unknown code"))</f>
        <v/>
      </c>
      <c r="D744" s="15" t="n"/>
      <c r="E744" s="16" t="n"/>
      <c r="F744" s="18">
        <f>IF(OR(D744="",E744=""),"",D744*E744)</f>
        <v/>
      </c>
      <c r="G744" s="15" t="n"/>
    </row>
    <row r="745">
      <c r="A745" s="19" t="n"/>
      <c r="B745" s="15" t="n"/>
      <c r="C745">
        <f>IF(B745="","",IFERROR(INDEX(Items!$B$5:$B$304,MATCH(B745,Items!$A$5:$A$304,0)),"Unknown code"))</f>
        <v/>
      </c>
      <c r="D745" s="15" t="n"/>
      <c r="E745" s="16" t="n"/>
      <c r="F745" s="18">
        <f>IF(OR(D745="",E745=""),"",D745*E745)</f>
        <v/>
      </c>
      <c r="G745" s="15" t="n"/>
    </row>
    <row r="746">
      <c r="A746" s="19" t="n"/>
      <c r="B746" s="15" t="n"/>
      <c r="C746">
        <f>IF(B746="","",IFERROR(INDEX(Items!$B$5:$B$304,MATCH(B746,Items!$A$5:$A$304,0)),"Unknown code"))</f>
        <v/>
      </c>
      <c r="D746" s="15" t="n"/>
      <c r="E746" s="16" t="n"/>
      <c r="F746" s="18">
        <f>IF(OR(D746="",E746=""),"",D746*E746)</f>
        <v/>
      </c>
      <c r="G746" s="15" t="n"/>
    </row>
    <row r="747">
      <c r="A747" s="19" t="n"/>
      <c r="B747" s="15" t="n"/>
      <c r="C747">
        <f>IF(B747="","",IFERROR(INDEX(Items!$B$5:$B$304,MATCH(B747,Items!$A$5:$A$304,0)),"Unknown code"))</f>
        <v/>
      </c>
      <c r="D747" s="15" t="n"/>
      <c r="E747" s="16" t="n"/>
      <c r="F747" s="18">
        <f>IF(OR(D747="",E747=""),"",D747*E747)</f>
        <v/>
      </c>
      <c r="G747" s="15" t="n"/>
    </row>
    <row r="748">
      <c r="A748" s="19" t="n"/>
      <c r="B748" s="15" t="n"/>
      <c r="C748">
        <f>IF(B748="","",IFERROR(INDEX(Items!$B$5:$B$304,MATCH(B748,Items!$A$5:$A$304,0)),"Unknown code"))</f>
        <v/>
      </c>
      <c r="D748" s="15" t="n"/>
      <c r="E748" s="16" t="n"/>
      <c r="F748" s="18">
        <f>IF(OR(D748="",E748=""),"",D748*E748)</f>
        <v/>
      </c>
      <c r="G748" s="15" t="n"/>
    </row>
    <row r="749">
      <c r="A749" s="19" t="n"/>
      <c r="B749" s="15" t="n"/>
      <c r="C749">
        <f>IF(B749="","",IFERROR(INDEX(Items!$B$5:$B$304,MATCH(B749,Items!$A$5:$A$304,0)),"Unknown code"))</f>
        <v/>
      </c>
      <c r="D749" s="15" t="n"/>
      <c r="E749" s="16" t="n"/>
      <c r="F749" s="18">
        <f>IF(OR(D749="",E749=""),"",D749*E749)</f>
        <v/>
      </c>
      <c r="G749" s="15" t="n"/>
    </row>
    <row r="750">
      <c r="A750" s="19" t="n"/>
      <c r="B750" s="15" t="n"/>
      <c r="C750">
        <f>IF(B750="","",IFERROR(INDEX(Items!$B$5:$B$304,MATCH(B750,Items!$A$5:$A$304,0)),"Unknown code"))</f>
        <v/>
      </c>
      <c r="D750" s="15" t="n"/>
      <c r="E750" s="16" t="n"/>
      <c r="F750" s="18">
        <f>IF(OR(D750="",E750=""),"",D750*E750)</f>
        <v/>
      </c>
      <c r="G750" s="15" t="n"/>
    </row>
    <row r="751">
      <c r="A751" s="19" t="n"/>
      <c r="B751" s="15" t="n"/>
      <c r="C751">
        <f>IF(B751="","",IFERROR(INDEX(Items!$B$5:$B$304,MATCH(B751,Items!$A$5:$A$304,0)),"Unknown code"))</f>
        <v/>
      </c>
      <c r="D751" s="15" t="n"/>
      <c r="E751" s="16" t="n"/>
      <c r="F751" s="18">
        <f>IF(OR(D751="",E751=""),"",D751*E751)</f>
        <v/>
      </c>
      <c r="G751" s="15" t="n"/>
    </row>
    <row r="752">
      <c r="A752" s="19" t="n"/>
      <c r="B752" s="15" t="n"/>
      <c r="C752">
        <f>IF(B752="","",IFERROR(INDEX(Items!$B$5:$B$304,MATCH(B752,Items!$A$5:$A$304,0)),"Unknown code"))</f>
        <v/>
      </c>
      <c r="D752" s="15" t="n"/>
      <c r="E752" s="16" t="n"/>
      <c r="F752" s="18">
        <f>IF(OR(D752="",E752=""),"",D752*E752)</f>
        <v/>
      </c>
      <c r="G752" s="15" t="n"/>
    </row>
    <row r="753">
      <c r="A753" s="19" t="n"/>
      <c r="B753" s="15" t="n"/>
      <c r="C753">
        <f>IF(B753="","",IFERROR(INDEX(Items!$B$5:$B$304,MATCH(B753,Items!$A$5:$A$304,0)),"Unknown code"))</f>
        <v/>
      </c>
      <c r="D753" s="15" t="n"/>
      <c r="E753" s="16" t="n"/>
      <c r="F753" s="18">
        <f>IF(OR(D753="",E753=""),"",D753*E753)</f>
        <v/>
      </c>
      <c r="G753" s="15" t="n"/>
    </row>
    <row r="754">
      <c r="A754" s="19" t="n"/>
      <c r="B754" s="15" t="n"/>
      <c r="C754">
        <f>IF(B754="","",IFERROR(INDEX(Items!$B$5:$B$304,MATCH(B754,Items!$A$5:$A$304,0)),"Unknown code"))</f>
        <v/>
      </c>
      <c r="D754" s="15" t="n"/>
      <c r="E754" s="16" t="n"/>
      <c r="F754" s="18">
        <f>IF(OR(D754="",E754=""),"",D754*E754)</f>
        <v/>
      </c>
      <c r="G754" s="15" t="n"/>
    </row>
    <row r="755">
      <c r="A755" s="19" t="n"/>
      <c r="B755" s="15" t="n"/>
      <c r="C755">
        <f>IF(B755="","",IFERROR(INDEX(Items!$B$5:$B$304,MATCH(B755,Items!$A$5:$A$304,0)),"Unknown code"))</f>
        <v/>
      </c>
      <c r="D755" s="15" t="n"/>
      <c r="E755" s="16" t="n"/>
      <c r="F755" s="18">
        <f>IF(OR(D755="",E755=""),"",D755*E755)</f>
        <v/>
      </c>
      <c r="G755" s="15" t="n"/>
    </row>
    <row r="756">
      <c r="A756" s="19" t="n"/>
      <c r="B756" s="15" t="n"/>
      <c r="C756">
        <f>IF(B756="","",IFERROR(INDEX(Items!$B$5:$B$304,MATCH(B756,Items!$A$5:$A$304,0)),"Unknown code"))</f>
        <v/>
      </c>
      <c r="D756" s="15" t="n"/>
      <c r="E756" s="16" t="n"/>
      <c r="F756" s="18">
        <f>IF(OR(D756="",E756=""),"",D756*E756)</f>
        <v/>
      </c>
      <c r="G756" s="15" t="n"/>
    </row>
    <row r="757">
      <c r="A757" s="19" t="n"/>
      <c r="B757" s="15" t="n"/>
      <c r="C757">
        <f>IF(B757="","",IFERROR(INDEX(Items!$B$5:$B$304,MATCH(B757,Items!$A$5:$A$304,0)),"Unknown code"))</f>
        <v/>
      </c>
      <c r="D757" s="15" t="n"/>
      <c r="E757" s="16" t="n"/>
      <c r="F757" s="18">
        <f>IF(OR(D757="",E757=""),"",D757*E757)</f>
        <v/>
      </c>
      <c r="G757" s="15" t="n"/>
    </row>
    <row r="758">
      <c r="A758" s="19" t="n"/>
      <c r="B758" s="15" t="n"/>
      <c r="C758">
        <f>IF(B758="","",IFERROR(INDEX(Items!$B$5:$B$304,MATCH(B758,Items!$A$5:$A$304,0)),"Unknown code"))</f>
        <v/>
      </c>
      <c r="D758" s="15" t="n"/>
      <c r="E758" s="16" t="n"/>
      <c r="F758" s="18">
        <f>IF(OR(D758="",E758=""),"",D758*E758)</f>
        <v/>
      </c>
      <c r="G758" s="15" t="n"/>
    </row>
    <row r="759">
      <c r="A759" s="19" t="n"/>
      <c r="B759" s="15" t="n"/>
      <c r="C759">
        <f>IF(B759="","",IFERROR(INDEX(Items!$B$5:$B$304,MATCH(B759,Items!$A$5:$A$304,0)),"Unknown code"))</f>
        <v/>
      </c>
      <c r="D759" s="15" t="n"/>
      <c r="E759" s="16" t="n"/>
      <c r="F759" s="18">
        <f>IF(OR(D759="",E759=""),"",D759*E759)</f>
        <v/>
      </c>
      <c r="G759" s="15" t="n"/>
    </row>
    <row r="760">
      <c r="A760" s="19" t="n"/>
      <c r="B760" s="15" t="n"/>
      <c r="C760">
        <f>IF(B760="","",IFERROR(INDEX(Items!$B$5:$B$304,MATCH(B760,Items!$A$5:$A$304,0)),"Unknown code"))</f>
        <v/>
      </c>
      <c r="D760" s="15" t="n"/>
      <c r="E760" s="16" t="n"/>
      <c r="F760" s="18">
        <f>IF(OR(D760="",E760=""),"",D760*E760)</f>
        <v/>
      </c>
      <c r="G760" s="15" t="n"/>
    </row>
    <row r="761">
      <c r="A761" s="19" t="n"/>
      <c r="B761" s="15" t="n"/>
      <c r="C761">
        <f>IF(B761="","",IFERROR(INDEX(Items!$B$5:$B$304,MATCH(B761,Items!$A$5:$A$304,0)),"Unknown code"))</f>
        <v/>
      </c>
      <c r="D761" s="15" t="n"/>
      <c r="E761" s="16" t="n"/>
      <c r="F761" s="18">
        <f>IF(OR(D761="",E761=""),"",D761*E761)</f>
        <v/>
      </c>
      <c r="G761" s="15" t="n"/>
    </row>
    <row r="762">
      <c r="A762" s="19" t="n"/>
      <c r="B762" s="15" t="n"/>
      <c r="C762">
        <f>IF(B762="","",IFERROR(INDEX(Items!$B$5:$B$304,MATCH(B762,Items!$A$5:$A$304,0)),"Unknown code"))</f>
        <v/>
      </c>
      <c r="D762" s="15" t="n"/>
      <c r="E762" s="16" t="n"/>
      <c r="F762" s="18">
        <f>IF(OR(D762="",E762=""),"",D762*E762)</f>
        <v/>
      </c>
      <c r="G762" s="15" t="n"/>
    </row>
    <row r="763">
      <c r="A763" s="19" t="n"/>
      <c r="B763" s="15" t="n"/>
      <c r="C763">
        <f>IF(B763="","",IFERROR(INDEX(Items!$B$5:$B$304,MATCH(B763,Items!$A$5:$A$304,0)),"Unknown code"))</f>
        <v/>
      </c>
      <c r="D763" s="15" t="n"/>
      <c r="E763" s="16" t="n"/>
      <c r="F763" s="18">
        <f>IF(OR(D763="",E763=""),"",D763*E763)</f>
        <v/>
      </c>
      <c r="G763" s="15" t="n"/>
    </row>
    <row r="764">
      <c r="A764" s="19" t="n"/>
      <c r="B764" s="15" t="n"/>
      <c r="C764">
        <f>IF(B764="","",IFERROR(INDEX(Items!$B$5:$B$304,MATCH(B764,Items!$A$5:$A$304,0)),"Unknown code"))</f>
        <v/>
      </c>
      <c r="D764" s="15" t="n"/>
      <c r="E764" s="16" t="n"/>
      <c r="F764" s="18">
        <f>IF(OR(D764="",E764=""),"",D764*E764)</f>
        <v/>
      </c>
      <c r="G764" s="15" t="n"/>
    </row>
    <row r="765">
      <c r="A765" s="19" t="n"/>
      <c r="B765" s="15" t="n"/>
      <c r="C765">
        <f>IF(B765="","",IFERROR(INDEX(Items!$B$5:$B$304,MATCH(B765,Items!$A$5:$A$304,0)),"Unknown code"))</f>
        <v/>
      </c>
      <c r="D765" s="15" t="n"/>
      <c r="E765" s="16" t="n"/>
      <c r="F765" s="18">
        <f>IF(OR(D765="",E765=""),"",D765*E765)</f>
        <v/>
      </c>
      <c r="G765" s="15" t="n"/>
    </row>
    <row r="766">
      <c r="A766" s="19" t="n"/>
      <c r="B766" s="15" t="n"/>
      <c r="C766">
        <f>IF(B766="","",IFERROR(INDEX(Items!$B$5:$B$304,MATCH(B766,Items!$A$5:$A$304,0)),"Unknown code"))</f>
        <v/>
      </c>
      <c r="D766" s="15" t="n"/>
      <c r="E766" s="16" t="n"/>
      <c r="F766" s="18">
        <f>IF(OR(D766="",E766=""),"",D766*E766)</f>
        <v/>
      </c>
      <c r="G766" s="15" t="n"/>
    </row>
    <row r="767">
      <c r="A767" s="19" t="n"/>
      <c r="B767" s="15" t="n"/>
      <c r="C767">
        <f>IF(B767="","",IFERROR(INDEX(Items!$B$5:$B$304,MATCH(B767,Items!$A$5:$A$304,0)),"Unknown code"))</f>
        <v/>
      </c>
      <c r="D767" s="15" t="n"/>
      <c r="E767" s="16" t="n"/>
      <c r="F767" s="18">
        <f>IF(OR(D767="",E767=""),"",D767*E767)</f>
        <v/>
      </c>
      <c r="G767" s="15" t="n"/>
    </row>
    <row r="768">
      <c r="A768" s="19" t="n"/>
      <c r="B768" s="15" t="n"/>
      <c r="C768">
        <f>IF(B768="","",IFERROR(INDEX(Items!$B$5:$B$304,MATCH(B768,Items!$A$5:$A$304,0)),"Unknown code"))</f>
        <v/>
      </c>
      <c r="D768" s="15" t="n"/>
      <c r="E768" s="16" t="n"/>
      <c r="F768" s="18">
        <f>IF(OR(D768="",E768=""),"",D768*E768)</f>
        <v/>
      </c>
      <c r="G768" s="15" t="n"/>
    </row>
    <row r="769">
      <c r="A769" s="19" t="n"/>
      <c r="B769" s="15" t="n"/>
      <c r="C769">
        <f>IF(B769="","",IFERROR(INDEX(Items!$B$5:$B$304,MATCH(B769,Items!$A$5:$A$304,0)),"Unknown code"))</f>
        <v/>
      </c>
      <c r="D769" s="15" t="n"/>
      <c r="E769" s="16" t="n"/>
      <c r="F769" s="18">
        <f>IF(OR(D769="",E769=""),"",D769*E769)</f>
        <v/>
      </c>
      <c r="G769" s="15" t="n"/>
    </row>
    <row r="770">
      <c r="A770" s="19" t="n"/>
      <c r="B770" s="15" t="n"/>
      <c r="C770">
        <f>IF(B770="","",IFERROR(INDEX(Items!$B$5:$B$304,MATCH(B770,Items!$A$5:$A$304,0)),"Unknown code"))</f>
        <v/>
      </c>
      <c r="D770" s="15" t="n"/>
      <c r="E770" s="16" t="n"/>
      <c r="F770" s="18">
        <f>IF(OR(D770="",E770=""),"",D770*E770)</f>
        <v/>
      </c>
      <c r="G770" s="15" t="n"/>
    </row>
    <row r="771">
      <c r="A771" s="19" t="n"/>
      <c r="B771" s="15" t="n"/>
      <c r="C771">
        <f>IF(B771="","",IFERROR(INDEX(Items!$B$5:$B$304,MATCH(B771,Items!$A$5:$A$304,0)),"Unknown code"))</f>
        <v/>
      </c>
      <c r="D771" s="15" t="n"/>
      <c r="E771" s="16" t="n"/>
      <c r="F771" s="18">
        <f>IF(OR(D771="",E771=""),"",D771*E771)</f>
        <v/>
      </c>
      <c r="G771" s="15" t="n"/>
    </row>
    <row r="772">
      <c r="A772" s="19" t="n"/>
      <c r="B772" s="15" t="n"/>
      <c r="C772">
        <f>IF(B772="","",IFERROR(INDEX(Items!$B$5:$B$304,MATCH(B772,Items!$A$5:$A$304,0)),"Unknown code"))</f>
        <v/>
      </c>
      <c r="D772" s="15" t="n"/>
      <c r="E772" s="16" t="n"/>
      <c r="F772" s="18">
        <f>IF(OR(D772="",E772=""),"",D772*E772)</f>
        <v/>
      </c>
      <c r="G772" s="15" t="n"/>
    </row>
    <row r="773">
      <c r="A773" s="19" t="n"/>
      <c r="B773" s="15" t="n"/>
      <c r="C773">
        <f>IF(B773="","",IFERROR(INDEX(Items!$B$5:$B$304,MATCH(B773,Items!$A$5:$A$304,0)),"Unknown code"))</f>
        <v/>
      </c>
      <c r="D773" s="15" t="n"/>
      <c r="E773" s="16" t="n"/>
      <c r="F773" s="18">
        <f>IF(OR(D773="",E773=""),"",D773*E773)</f>
        <v/>
      </c>
      <c r="G773" s="15" t="n"/>
    </row>
    <row r="774">
      <c r="A774" s="19" t="n"/>
      <c r="B774" s="15" t="n"/>
      <c r="C774">
        <f>IF(B774="","",IFERROR(INDEX(Items!$B$5:$B$304,MATCH(B774,Items!$A$5:$A$304,0)),"Unknown code"))</f>
        <v/>
      </c>
      <c r="D774" s="15" t="n"/>
      <c r="E774" s="16" t="n"/>
      <c r="F774" s="18">
        <f>IF(OR(D774="",E774=""),"",D774*E774)</f>
        <v/>
      </c>
      <c r="G774" s="15" t="n"/>
    </row>
    <row r="775">
      <c r="A775" s="19" t="n"/>
      <c r="B775" s="15" t="n"/>
      <c r="C775">
        <f>IF(B775="","",IFERROR(INDEX(Items!$B$5:$B$304,MATCH(B775,Items!$A$5:$A$304,0)),"Unknown code"))</f>
        <v/>
      </c>
      <c r="D775" s="15" t="n"/>
      <c r="E775" s="16" t="n"/>
      <c r="F775" s="18">
        <f>IF(OR(D775="",E775=""),"",D775*E775)</f>
        <v/>
      </c>
      <c r="G775" s="15" t="n"/>
    </row>
    <row r="776">
      <c r="A776" s="19" t="n"/>
      <c r="B776" s="15" t="n"/>
      <c r="C776">
        <f>IF(B776="","",IFERROR(INDEX(Items!$B$5:$B$304,MATCH(B776,Items!$A$5:$A$304,0)),"Unknown code"))</f>
        <v/>
      </c>
      <c r="D776" s="15" t="n"/>
      <c r="E776" s="16" t="n"/>
      <c r="F776" s="18">
        <f>IF(OR(D776="",E776=""),"",D776*E776)</f>
        <v/>
      </c>
      <c r="G776" s="15" t="n"/>
    </row>
    <row r="777">
      <c r="A777" s="19" t="n"/>
      <c r="B777" s="15" t="n"/>
      <c r="C777">
        <f>IF(B777="","",IFERROR(INDEX(Items!$B$5:$B$304,MATCH(B777,Items!$A$5:$A$304,0)),"Unknown code"))</f>
        <v/>
      </c>
      <c r="D777" s="15" t="n"/>
      <c r="E777" s="16" t="n"/>
      <c r="F777" s="18">
        <f>IF(OR(D777="",E777=""),"",D777*E777)</f>
        <v/>
      </c>
      <c r="G777" s="15" t="n"/>
    </row>
    <row r="778">
      <c r="A778" s="19" t="n"/>
      <c r="B778" s="15" t="n"/>
      <c r="C778">
        <f>IF(B778="","",IFERROR(INDEX(Items!$B$5:$B$304,MATCH(B778,Items!$A$5:$A$304,0)),"Unknown code"))</f>
        <v/>
      </c>
      <c r="D778" s="15" t="n"/>
      <c r="E778" s="16" t="n"/>
      <c r="F778" s="18">
        <f>IF(OR(D778="",E778=""),"",D778*E778)</f>
        <v/>
      </c>
      <c r="G778" s="15" t="n"/>
    </row>
    <row r="779">
      <c r="A779" s="19" t="n"/>
      <c r="B779" s="15" t="n"/>
      <c r="C779">
        <f>IF(B779="","",IFERROR(INDEX(Items!$B$5:$B$304,MATCH(B779,Items!$A$5:$A$304,0)),"Unknown code"))</f>
        <v/>
      </c>
      <c r="D779" s="15" t="n"/>
      <c r="E779" s="16" t="n"/>
      <c r="F779" s="18">
        <f>IF(OR(D779="",E779=""),"",D779*E779)</f>
        <v/>
      </c>
      <c r="G779" s="15" t="n"/>
    </row>
    <row r="780">
      <c r="A780" s="19" t="n"/>
      <c r="B780" s="15" t="n"/>
      <c r="C780">
        <f>IF(B780="","",IFERROR(INDEX(Items!$B$5:$B$304,MATCH(B780,Items!$A$5:$A$304,0)),"Unknown code"))</f>
        <v/>
      </c>
      <c r="D780" s="15" t="n"/>
      <c r="E780" s="16" t="n"/>
      <c r="F780" s="18">
        <f>IF(OR(D780="",E780=""),"",D780*E780)</f>
        <v/>
      </c>
      <c r="G780" s="15" t="n"/>
    </row>
    <row r="781">
      <c r="A781" s="19" t="n"/>
      <c r="B781" s="15" t="n"/>
      <c r="C781">
        <f>IF(B781="","",IFERROR(INDEX(Items!$B$5:$B$304,MATCH(B781,Items!$A$5:$A$304,0)),"Unknown code"))</f>
        <v/>
      </c>
      <c r="D781" s="15" t="n"/>
      <c r="E781" s="16" t="n"/>
      <c r="F781" s="18">
        <f>IF(OR(D781="",E781=""),"",D781*E781)</f>
        <v/>
      </c>
      <c r="G781" s="15" t="n"/>
    </row>
    <row r="782">
      <c r="A782" s="19" t="n"/>
      <c r="B782" s="15" t="n"/>
      <c r="C782">
        <f>IF(B782="","",IFERROR(INDEX(Items!$B$5:$B$304,MATCH(B782,Items!$A$5:$A$304,0)),"Unknown code"))</f>
        <v/>
      </c>
      <c r="D782" s="15" t="n"/>
      <c r="E782" s="16" t="n"/>
      <c r="F782" s="18">
        <f>IF(OR(D782="",E782=""),"",D782*E782)</f>
        <v/>
      </c>
      <c r="G782" s="15" t="n"/>
    </row>
    <row r="783">
      <c r="A783" s="19" t="n"/>
      <c r="B783" s="15" t="n"/>
      <c r="C783">
        <f>IF(B783="","",IFERROR(INDEX(Items!$B$5:$B$304,MATCH(B783,Items!$A$5:$A$304,0)),"Unknown code"))</f>
        <v/>
      </c>
      <c r="D783" s="15" t="n"/>
      <c r="E783" s="16" t="n"/>
      <c r="F783" s="18">
        <f>IF(OR(D783="",E783=""),"",D783*E783)</f>
        <v/>
      </c>
      <c r="G783" s="15" t="n"/>
    </row>
    <row r="784">
      <c r="A784" s="19" t="n"/>
      <c r="B784" s="15" t="n"/>
      <c r="C784">
        <f>IF(B784="","",IFERROR(INDEX(Items!$B$5:$B$304,MATCH(B784,Items!$A$5:$A$304,0)),"Unknown code"))</f>
        <v/>
      </c>
      <c r="D784" s="15" t="n"/>
      <c r="E784" s="16" t="n"/>
      <c r="F784" s="18">
        <f>IF(OR(D784="",E784=""),"",D784*E784)</f>
        <v/>
      </c>
      <c r="G784" s="15" t="n"/>
    </row>
    <row r="785">
      <c r="A785" s="19" t="n"/>
      <c r="B785" s="15" t="n"/>
      <c r="C785">
        <f>IF(B785="","",IFERROR(INDEX(Items!$B$5:$B$304,MATCH(B785,Items!$A$5:$A$304,0)),"Unknown code"))</f>
        <v/>
      </c>
      <c r="D785" s="15" t="n"/>
      <c r="E785" s="16" t="n"/>
      <c r="F785" s="18">
        <f>IF(OR(D785="",E785=""),"",D785*E785)</f>
        <v/>
      </c>
      <c r="G785" s="15" t="n"/>
    </row>
    <row r="786">
      <c r="A786" s="19" t="n"/>
      <c r="B786" s="15" t="n"/>
      <c r="C786">
        <f>IF(B786="","",IFERROR(INDEX(Items!$B$5:$B$304,MATCH(B786,Items!$A$5:$A$304,0)),"Unknown code"))</f>
        <v/>
      </c>
      <c r="D786" s="15" t="n"/>
      <c r="E786" s="16" t="n"/>
      <c r="F786" s="18">
        <f>IF(OR(D786="",E786=""),"",D786*E786)</f>
        <v/>
      </c>
      <c r="G786" s="15" t="n"/>
    </row>
    <row r="787">
      <c r="A787" s="19" t="n"/>
      <c r="B787" s="15" t="n"/>
      <c r="C787">
        <f>IF(B787="","",IFERROR(INDEX(Items!$B$5:$B$304,MATCH(B787,Items!$A$5:$A$304,0)),"Unknown code"))</f>
        <v/>
      </c>
      <c r="D787" s="15" t="n"/>
      <c r="E787" s="16" t="n"/>
      <c r="F787" s="18">
        <f>IF(OR(D787="",E787=""),"",D787*E787)</f>
        <v/>
      </c>
      <c r="G787" s="15" t="n"/>
    </row>
    <row r="788">
      <c r="A788" s="19" t="n"/>
      <c r="B788" s="15" t="n"/>
      <c r="C788">
        <f>IF(B788="","",IFERROR(INDEX(Items!$B$5:$B$304,MATCH(B788,Items!$A$5:$A$304,0)),"Unknown code"))</f>
        <v/>
      </c>
      <c r="D788" s="15" t="n"/>
      <c r="E788" s="16" t="n"/>
      <c r="F788" s="18">
        <f>IF(OR(D788="",E788=""),"",D788*E788)</f>
        <v/>
      </c>
      <c r="G788" s="15" t="n"/>
    </row>
    <row r="789">
      <c r="A789" s="19" t="n"/>
      <c r="B789" s="15" t="n"/>
      <c r="C789">
        <f>IF(B789="","",IFERROR(INDEX(Items!$B$5:$B$304,MATCH(B789,Items!$A$5:$A$304,0)),"Unknown code"))</f>
        <v/>
      </c>
      <c r="D789" s="15" t="n"/>
      <c r="E789" s="16" t="n"/>
      <c r="F789" s="18">
        <f>IF(OR(D789="",E789=""),"",D789*E789)</f>
        <v/>
      </c>
      <c r="G789" s="15" t="n"/>
    </row>
    <row r="790">
      <c r="A790" s="19" t="n"/>
      <c r="B790" s="15" t="n"/>
      <c r="C790">
        <f>IF(B790="","",IFERROR(INDEX(Items!$B$5:$B$304,MATCH(B790,Items!$A$5:$A$304,0)),"Unknown code"))</f>
        <v/>
      </c>
      <c r="D790" s="15" t="n"/>
      <c r="E790" s="16" t="n"/>
      <c r="F790" s="18">
        <f>IF(OR(D790="",E790=""),"",D790*E790)</f>
        <v/>
      </c>
      <c r="G790" s="15" t="n"/>
    </row>
    <row r="791">
      <c r="A791" s="19" t="n"/>
      <c r="B791" s="15" t="n"/>
      <c r="C791">
        <f>IF(B791="","",IFERROR(INDEX(Items!$B$5:$B$304,MATCH(B791,Items!$A$5:$A$304,0)),"Unknown code"))</f>
        <v/>
      </c>
      <c r="D791" s="15" t="n"/>
      <c r="E791" s="16" t="n"/>
      <c r="F791" s="18">
        <f>IF(OR(D791="",E791=""),"",D791*E791)</f>
        <v/>
      </c>
      <c r="G791" s="15" t="n"/>
    </row>
    <row r="792">
      <c r="A792" s="19" t="n"/>
      <c r="B792" s="15" t="n"/>
      <c r="C792">
        <f>IF(B792="","",IFERROR(INDEX(Items!$B$5:$B$304,MATCH(B792,Items!$A$5:$A$304,0)),"Unknown code"))</f>
        <v/>
      </c>
      <c r="D792" s="15" t="n"/>
      <c r="E792" s="16" t="n"/>
      <c r="F792" s="18">
        <f>IF(OR(D792="",E792=""),"",D792*E792)</f>
        <v/>
      </c>
      <c r="G792" s="15" t="n"/>
    </row>
    <row r="793">
      <c r="A793" s="19" t="n"/>
      <c r="B793" s="15" t="n"/>
      <c r="C793">
        <f>IF(B793="","",IFERROR(INDEX(Items!$B$5:$B$304,MATCH(B793,Items!$A$5:$A$304,0)),"Unknown code"))</f>
        <v/>
      </c>
      <c r="D793" s="15" t="n"/>
      <c r="E793" s="16" t="n"/>
      <c r="F793" s="18">
        <f>IF(OR(D793="",E793=""),"",D793*E793)</f>
        <v/>
      </c>
      <c r="G793" s="15" t="n"/>
    </row>
    <row r="794">
      <c r="A794" s="19" t="n"/>
      <c r="B794" s="15" t="n"/>
      <c r="C794">
        <f>IF(B794="","",IFERROR(INDEX(Items!$B$5:$B$304,MATCH(B794,Items!$A$5:$A$304,0)),"Unknown code"))</f>
        <v/>
      </c>
      <c r="D794" s="15" t="n"/>
      <c r="E794" s="16" t="n"/>
      <c r="F794" s="18">
        <f>IF(OR(D794="",E794=""),"",D794*E794)</f>
        <v/>
      </c>
      <c r="G794" s="15" t="n"/>
    </row>
    <row r="795">
      <c r="A795" s="19" t="n"/>
      <c r="B795" s="15" t="n"/>
      <c r="C795">
        <f>IF(B795="","",IFERROR(INDEX(Items!$B$5:$B$304,MATCH(B795,Items!$A$5:$A$304,0)),"Unknown code"))</f>
        <v/>
      </c>
      <c r="D795" s="15" t="n"/>
      <c r="E795" s="16" t="n"/>
      <c r="F795" s="18">
        <f>IF(OR(D795="",E795=""),"",D795*E795)</f>
        <v/>
      </c>
      <c r="G795" s="15" t="n"/>
    </row>
    <row r="796">
      <c r="A796" s="19" t="n"/>
      <c r="B796" s="15" t="n"/>
      <c r="C796">
        <f>IF(B796="","",IFERROR(INDEX(Items!$B$5:$B$304,MATCH(B796,Items!$A$5:$A$304,0)),"Unknown code"))</f>
        <v/>
      </c>
      <c r="D796" s="15" t="n"/>
      <c r="E796" s="16" t="n"/>
      <c r="F796" s="18">
        <f>IF(OR(D796="",E796=""),"",D796*E796)</f>
        <v/>
      </c>
      <c r="G796" s="15" t="n"/>
    </row>
    <row r="797">
      <c r="A797" s="19" t="n"/>
      <c r="B797" s="15" t="n"/>
      <c r="C797">
        <f>IF(B797="","",IFERROR(INDEX(Items!$B$5:$B$304,MATCH(B797,Items!$A$5:$A$304,0)),"Unknown code"))</f>
        <v/>
      </c>
      <c r="D797" s="15" t="n"/>
      <c r="E797" s="16" t="n"/>
      <c r="F797" s="18">
        <f>IF(OR(D797="",E797=""),"",D797*E797)</f>
        <v/>
      </c>
      <c r="G797" s="15" t="n"/>
    </row>
    <row r="798">
      <c r="A798" s="19" t="n"/>
      <c r="B798" s="15" t="n"/>
      <c r="C798">
        <f>IF(B798="","",IFERROR(INDEX(Items!$B$5:$B$304,MATCH(B798,Items!$A$5:$A$304,0)),"Unknown code"))</f>
        <v/>
      </c>
      <c r="D798" s="15" t="n"/>
      <c r="E798" s="16" t="n"/>
      <c r="F798" s="18">
        <f>IF(OR(D798="",E798=""),"",D798*E798)</f>
        <v/>
      </c>
      <c r="G798" s="15" t="n"/>
    </row>
    <row r="799">
      <c r="A799" s="19" t="n"/>
      <c r="B799" s="15" t="n"/>
      <c r="C799">
        <f>IF(B799="","",IFERROR(INDEX(Items!$B$5:$B$304,MATCH(B799,Items!$A$5:$A$304,0)),"Unknown code"))</f>
        <v/>
      </c>
      <c r="D799" s="15" t="n"/>
      <c r="E799" s="16" t="n"/>
      <c r="F799" s="18">
        <f>IF(OR(D799="",E799=""),"",D799*E799)</f>
        <v/>
      </c>
      <c r="G799" s="15" t="n"/>
    </row>
    <row r="800">
      <c r="A800" s="19" t="n"/>
      <c r="B800" s="15" t="n"/>
      <c r="C800">
        <f>IF(B800="","",IFERROR(INDEX(Items!$B$5:$B$304,MATCH(B800,Items!$A$5:$A$304,0)),"Unknown code"))</f>
        <v/>
      </c>
      <c r="D800" s="15" t="n"/>
      <c r="E800" s="16" t="n"/>
      <c r="F800" s="18">
        <f>IF(OR(D800="",E800=""),"",D800*E800)</f>
        <v/>
      </c>
      <c r="G800" s="15" t="n"/>
    </row>
    <row r="801">
      <c r="A801" s="19" t="n"/>
      <c r="B801" s="15" t="n"/>
      <c r="C801">
        <f>IF(B801="","",IFERROR(INDEX(Items!$B$5:$B$304,MATCH(B801,Items!$A$5:$A$304,0)),"Unknown code"))</f>
        <v/>
      </c>
      <c r="D801" s="15" t="n"/>
      <c r="E801" s="16" t="n"/>
      <c r="F801" s="18">
        <f>IF(OR(D801="",E801=""),"",D801*E801)</f>
        <v/>
      </c>
      <c r="G801" s="15" t="n"/>
    </row>
    <row r="802">
      <c r="A802" s="19" t="n"/>
      <c r="B802" s="15" t="n"/>
      <c r="C802">
        <f>IF(B802="","",IFERROR(INDEX(Items!$B$5:$B$304,MATCH(B802,Items!$A$5:$A$304,0)),"Unknown code"))</f>
        <v/>
      </c>
      <c r="D802" s="15" t="n"/>
      <c r="E802" s="16" t="n"/>
      <c r="F802" s="18">
        <f>IF(OR(D802="",E802=""),"",D802*E802)</f>
        <v/>
      </c>
      <c r="G802" s="15" t="n"/>
    </row>
    <row r="803">
      <c r="A803" s="19" t="n"/>
      <c r="B803" s="15" t="n"/>
      <c r="C803">
        <f>IF(B803="","",IFERROR(INDEX(Items!$B$5:$B$304,MATCH(B803,Items!$A$5:$A$304,0)),"Unknown code"))</f>
        <v/>
      </c>
      <c r="D803" s="15" t="n"/>
      <c r="E803" s="16" t="n"/>
      <c r="F803" s="18">
        <f>IF(OR(D803="",E803=""),"",D803*E803)</f>
        <v/>
      </c>
      <c r="G803" s="15" t="n"/>
    </row>
    <row r="804">
      <c r="A804" s="19" t="n"/>
      <c r="B804" s="15" t="n"/>
      <c r="C804">
        <f>IF(B804="","",IFERROR(INDEX(Items!$B$5:$B$304,MATCH(B804,Items!$A$5:$A$304,0)),"Unknown code"))</f>
        <v/>
      </c>
      <c r="D804" s="15" t="n"/>
      <c r="E804" s="16" t="n"/>
      <c r="F804" s="18">
        <f>IF(OR(D804="",E804=""),"",D804*E804)</f>
        <v/>
      </c>
      <c r="G804" s="15" t="n"/>
    </row>
    <row r="805">
      <c r="A805" s="19" t="n"/>
      <c r="B805" s="15" t="n"/>
      <c r="C805">
        <f>IF(B805="","",IFERROR(INDEX(Items!$B$5:$B$304,MATCH(B805,Items!$A$5:$A$304,0)),"Unknown code"))</f>
        <v/>
      </c>
      <c r="D805" s="15" t="n"/>
      <c r="E805" s="16" t="n"/>
      <c r="F805" s="18">
        <f>IF(OR(D805="",E805=""),"",D805*E805)</f>
        <v/>
      </c>
      <c r="G805" s="15" t="n"/>
    </row>
    <row r="806">
      <c r="A806" s="19" t="n"/>
      <c r="B806" s="15" t="n"/>
      <c r="C806">
        <f>IF(B806="","",IFERROR(INDEX(Items!$B$5:$B$304,MATCH(B806,Items!$A$5:$A$304,0)),"Unknown code"))</f>
        <v/>
      </c>
      <c r="D806" s="15" t="n"/>
      <c r="E806" s="16" t="n"/>
      <c r="F806" s="18">
        <f>IF(OR(D806="",E806=""),"",D806*E806)</f>
        <v/>
      </c>
      <c r="G806" s="15" t="n"/>
    </row>
    <row r="807">
      <c r="A807" s="19" t="n"/>
      <c r="B807" s="15" t="n"/>
      <c r="C807">
        <f>IF(B807="","",IFERROR(INDEX(Items!$B$5:$B$304,MATCH(B807,Items!$A$5:$A$304,0)),"Unknown code"))</f>
        <v/>
      </c>
      <c r="D807" s="15" t="n"/>
      <c r="E807" s="16" t="n"/>
      <c r="F807" s="18">
        <f>IF(OR(D807="",E807=""),"",D807*E807)</f>
        <v/>
      </c>
      <c r="G807" s="15" t="n"/>
    </row>
    <row r="808">
      <c r="A808" s="19" t="n"/>
      <c r="B808" s="15" t="n"/>
      <c r="C808">
        <f>IF(B808="","",IFERROR(INDEX(Items!$B$5:$B$304,MATCH(B808,Items!$A$5:$A$304,0)),"Unknown code"))</f>
        <v/>
      </c>
      <c r="D808" s="15" t="n"/>
      <c r="E808" s="16" t="n"/>
      <c r="F808" s="18">
        <f>IF(OR(D808="",E808=""),"",D808*E808)</f>
        <v/>
      </c>
      <c r="G808" s="15" t="n"/>
    </row>
    <row r="809">
      <c r="A809" s="19" t="n"/>
      <c r="B809" s="15" t="n"/>
      <c r="C809">
        <f>IF(B809="","",IFERROR(INDEX(Items!$B$5:$B$304,MATCH(B809,Items!$A$5:$A$304,0)),"Unknown code"))</f>
        <v/>
      </c>
      <c r="D809" s="15" t="n"/>
      <c r="E809" s="16" t="n"/>
      <c r="F809" s="18">
        <f>IF(OR(D809="",E809=""),"",D809*E809)</f>
        <v/>
      </c>
      <c r="G809" s="15" t="n"/>
    </row>
    <row r="810">
      <c r="A810" s="19" t="n"/>
      <c r="B810" s="15" t="n"/>
      <c r="C810">
        <f>IF(B810="","",IFERROR(INDEX(Items!$B$5:$B$304,MATCH(B810,Items!$A$5:$A$304,0)),"Unknown code"))</f>
        <v/>
      </c>
      <c r="D810" s="15" t="n"/>
      <c r="E810" s="16" t="n"/>
      <c r="F810" s="18">
        <f>IF(OR(D810="",E810=""),"",D810*E810)</f>
        <v/>
      </c>
      <c r="G810" s="15" t="n"/>
    </row>
    <row r="811">
      <c r="A811" s="19" t="n"/>
      <c r="B811" s="15" t="n"/>
      <c r="C811">
        <f>IF(B811="","",IFERROR(INDEX(Items!$B$5:$B$304,MATCH(B811,Items!$A$5:$A$304,0)),"Unknown code"))</f>
        <v/>
      </c>
      <c r="D811" s="15" t="n"/>
      <c r="E811" s="16" t="n"/>
      <c r="F811" s="18">
        <f>IF(OR(D811="",E811=""),"",D811*E811)</f>
        <v/>
      </c>
      <c r="G811" s="15" t="n"/>
    </row>
    <row r="812">
      <c r="A812" s="19" t="n"/>
      <c r="B812" s="15" t="n"/>
      <c r="C812">
        <f>IF(B812="","",IFERROR(INDEX(Items!$B$5:$B$304,MATCH(B812,Items!$A$5:$A$304,0)),"Unknown code"))</f>
        <v/>
      </c>
      <c r="D812" s="15" t="n"/>
      <c r="E812" s="16" t="n"/>
      <c r="F812" s="18">
        <f>IF(OR(D812="",E812=""),"",D812*E812)</f>
        <v/>
      </c>
      <c r="G812" s="15" t="n"/>
    </row>
    <row r="813">
      <c r="A813" s="19" t="n"/>
      <c r="B813" s="15" t="n"/>
      <c r="C813">
        <f>IF(B813="","",IFERROR(INDEX(Items!$B$5:$B$304,MATCH(B813,Items!$A$5:$A$304,0)),"Unknown code"))</f>
        <v/>
      </c>
      <c r="D813" s="15" t="n"/>
      <c r="E813" s="16" t="n"/>
      <c r="F813" s="18">
        <f>IF(OR(D813="",E813=""),"",D813*E813)</f>
        <v/>
      </c>
      <c r="G813" s="15" t="n"/>
    </row>
    <row r="814">
      <c r="A814" s="19" t="n"/>
      <c r="B814" s="15" t="n"/>
      <c r="C814">
        <f>IF(B814="","",IFERROR(INDEX(Items!$B$5:$B$304,MATCH(B814,Items!$A$5:$A$304,0)),"Unknown code"))</f>
        <v/>
      </c>
      <c r="D814" s="15" t="n"/>
      <c r="E814" s="16" t="n"/>
      <c r="F814" s="18">
        <f>IF(OR(D814="",E814=""),"",D814*E814)</f>
        <v/>
      </c>
      <c r="G814" s="15" t="n"/>
    </row>
    <row r="815">
      <c r="A815" s="19" t="n"/>
      <c r="B815" s="15" t="n"/>
      <c r="C815">
        <f>IF(B815="","",IFERROR(INDEX(Items!$B$5:$B$304,MATCH(B815,Items!$A$5:$A$304,0)),"Unknown code"))</f>
        <v/>
      </c>
      <c r="D815" s="15" t="n"/>
      <c r="E815" s="16" t="n"/>
      <c r="F815" s="18">
        <f>IF(OR(D815="",E815=""),"",D815*E815)</f>
        <v/>
      </c>
      <c r="G815" s="15" t="n"/>
    </row>
    <row r="816">
      <c r="A816" s="19" t="n"/>
      <c r="B816" s="15" t="n"/>
      <c r="C816">
        <f>IF(B816="","",IFERROR(INDEX(Items!$B$5:$B$304,MATCH(B816,Items!$A$5:$A$304,0)),"Unknown code"))</f>
        <v/>
      </c>
      <c r="D816" s="15" t="n"/>
      <c r="E816" s="16" t="n"/>
      <c r="F816" s="18">
        <f>IF(OR(D816="",E816=""),"",D816*E816)</f>
        <v/>
      </c>
      <c r="G816" s="15" t="n"/>
    </row>
    <row r="817">
      <c r="A817" s="19" t="n"/>
      <c r="B817" s="15" t="n"/>
      <c r="C817">
        <f>IF(B817="","",IFERROR(INDEX(Items!$B$5:$B$304,MATCH(B817,Items!$A$5:$A$304,0)),"Unknown code"))</f>
        <v/>
      </c>
      <c r="D817" s="15" t="n"/>
      <c r="E817" s="16" t="n"/>
      <c r="F817" s="18">
        <f>IF(OR(D817="",E817=""),"",D817*E817)</f>
        <v/>
      </c>
      <c r="G817" s="15" t="n"/>
    </row>
    <row r="818">
      <c r="A818" s="19" t="n"/>
      <c r="B818" s="15" t="n"/>
      <c r="C818">
        <f>IF(B818="","",IFERROR(INDEX(Items!$B$5:$B$304,MATCH(B818,Items!$A$5:$A$304,0)),"Unknown code"))</f>
        <v/>
      </c>
      <c r="D818" s="15" t="n"/>
      <c r="E818" s="16" t="n"/>
      <c r="F818" s="18">
        <f>IF(OR(D818="",E818=""),"",D818*E818)</f>
        <v/>
      </c>
      <c r="G818" s="15" t="n"/>
    </row>
    <row r="819">
      <c r="A819" s="19" t="n"/>
      <c r="B819" s="15" t="n"/>
      <c r="C819">
        <f>IF(B819="","",IFERROR(INDEX(Items!$B$5:$B$304,MATCH(B819,Items!$A$5:$A$304,0)),"Unknown code"))</f>
        <v/>
      </c>
      <c r="D819" s="15" t="n"/>
      <c r="E819" s="16" t="n"/>
      <c r="F819" s="18">
        <f>IF(OR(D819="",E819=""),"",D819*E819)</f>
        <v/>
      </c>
      <c r="G819" s="15" t="n"/>
    </row>
    <row r="820">
      <c r="A820" s="19" t="n"/>
      <c r="B820" s="15" t="n"/>
      <c r="C820">
        <f>IF(B820="","",IFERROR(INDEX(Items!$B$5:$B$304,MATCH(B820,Items!$A$5:$A$304,0)),"Unknown code"))</f>
        <v/>
      </c>
      <c r="D820" s="15" t="n"/>
      <c r="E820" s="16" t="n"/>
      <c r="F820" s="18">
        <f>IF(OR(D820="",E820=""),"",D820*E820)</f>
        <v/>
      </c>
      <c r="G820" s="15" t="n"/>
    </row>
    <row r="821">
      <c r="A821" s="19" t="n"/>
      <c r="B821" s="15" t="n"/>
      <c r="C821">
        <f>IF(B821="","",IFERROR(INDEX(Items!$B$5:$B$304,MATCH(B821,Items!$A$5:$A$304,0)),"Unknown code"))</f>
        <v/>
      </c>
      <c r="D821" s="15" t="n"/>
      <c r="E821" s="16" t="n"/>
      <c r="F821" s="18">
        <f>IF(OR(D821="",E821=""),"",D821*E821)</f>
        <v/>
      </c>
      <c r="G821" s="15" t="n"/>
    </row>
    <row r="822">
      <c r="A822" s="19" t="n"/>
      <c r="B822" s="15" t="n"/>
      <c r="C822">
        <f>IF(B822="","",IFERROR(INDEX(Items!$B$5:$B$304,MATCH(B822,Items!$A$5:$A$304,0)),"Unknown code"))</f>
        <v/>
      </c>
      <c r="D822" s="15" t="n"/>
      <c r="E822" s="16" t="n"/>
      <c r="F822" s="18">
        <f>IF(OR(D822="",E822=""),"",D822*E822)</f>
        <v/>
      </c>
      <c r="G822" s="15" t="n"/>
    </row>
    <row r="823">
      <c r="A823" s="19" t="n"/>
      <c r="B823" s="15" t="n"/>
      <c r="C823">
        <f>IF(B823="","",IFERROR(INDEX(Items!$B$5:$B$304,MATCH(B823,Items!$A$5:$A$304,0)),"Unknown code"))</f>
        <v/>
      </c>
      <c r="D823" s="15" t="n"/>
      <c r="E823" s="16" t="n"/>
      <c r="F823" s="18">
        <f>IF(OR(D823="",E823=""),"",D823*E823)</f>
        <v/>
      </c>
      <c r="G823" s="15" t="n"/>
    </row>
    <row r="824">
      <c r="A824" s="19" t="n"/>
      <c r="B824" s="15" t="n"/>
      <c r="C824">
        <f>IF(B824="","",IFERROR(INDEX(Items!$B$5:$B$304,MATCH(B824,Items!$A$5:$A$304,0)),"Unknown code"))</f>
        <v/>
      </c>
      <c r="D824" s="15" t="n"/>
      <c r="E824" s="16" t="n"/>
      <c r="F824" s="18">
        <f>IF(OR(D824="",E824=""),"",D824*E824)</f>
        <v/>
      </c>
      <c r="G824" s="15" t="n"/>
    </row>
    <row r="825">
      <c r="A825" s="19" t="n"/>
      <c r="B825" s="15" t="n"/>
      <c r="C825">
        <f>IF(B825="","",IFERROR(INDEX(Items!$B$5:$B$304,MATCH(B825,Items!$A$5:$A$304,0)),"Unknown code"))</f>
        <v/>
      </c>
      <c r="D825" s="15" t="n"/>
      <c r="E825" s="16" t="n"/>
      <c r="F825" s="18">
        <f>IF(OR(D825="",E825=""),"",D825*E825)</f>
        <v/>
      </c>
      <c r="G825" s="15" t="n"/>
    </row>
    <row r="826">
      <c r="A826" s="19" t="n"/>
      <c r="B826" s="15" t="n"/>
      <c r="C826">
        <f>IF(B826="","",IFERROR(INDEX(Items!$B$5:$B$304,MATCH(B826,Items!$A$5:$A$304,0)),"Unknown code"))</f>
        <v/>
      </c>
      <c r="D826" s="15" t="n"/>
      <c r="E826" s="16" t="n"/>
      <c r="F826" s="18">
        <f>IF(OR(D826="",E826=""),"",D826*E826)</f>
        <v/>
      </c>
      <c r="G826" s="15" t="n"/>
    </row>
    <row r="827">
      <c r="A827" s="19" t="n"/>
      <c r="B827" s="15" t="n"/>
      <c r="C827">
        <f>IF(B827="","",IFERROR(INDEX(Items!$B$5:$B$304,MATCH(B827,Items!$A$5:$A$304,0)),"Unknown code"))</f>
        <v/>
      </c>
      <c r="D827" s="15" t="n"/>
      <c r="E827" s="16" t="n"/>
      <c r="F827" s="18">
        <f>IF(OR(D827="",E827=""),"",D827*E827)</f>
        <v/>
      </c>
      <c r="G827" s="15" t="n"/>
    </row>
    <row r="828">
      <c r="A828" s="19" t="n"/>
      <c r="B828" s="15" t="n"/>
      <c r="C828">
        <f>IF(B828="","",IFERROR(INDEX(Items!$B$5:$B$304,MATCH(B828,Items!$A$5:$A$304,0)),"Unknown code"))</f>
        <v/>
      </c>
      <c r="D828" s="15" t="n"/>
      <c r="E828" s="16" t="n"/>
      <c r="F828" s="18">
        <f>IF(OR(D828="",E828=""),"",D828*E828)</f>
        <v/>
      </c>
      <c r="G828" s="15" t="n"/>
    </row>
    <row r="829">
      <c r="A829" s="19" t="n"/>
      <c r="B829" s="15" t="n"/>
      <c r="C829">
        <f>IF(B829="","",IFERROR(INDEX(Items!$B$5:$B$304,MATCH(B829,Items!$A$5:$A$304,0)),"Unknown code"))</f>
        <v/>
      </c>
      <c r="D829" s="15" t="n"/>
      <c r="E829" s="16" t="n"/>
      <c r="F829" s="18">
        <f>IF(OR(D829="",E829=""),"",D829*E829)</f>
        <v/>
      </c>
      <c r="G829" s="15" t="n"/>
    </row>
    <row r="830">
      <c r="A830" s="19" t="n"/>
      <c r="B830" s="15" t="n"/>
      <c r="C830">
        <f>IF(B830="","",IFERROR(INDEX(Items!$B$5:$B$304,MATCH(B830,Items!$A$5:$A$304,0)),"Unknown code"))</f>
        <v/>
      </c>
      <c r="D830" s="15" t="n"/>
      <c r="E830" s="16" t="n"/>
      <c r="F830" s="18">
        <f>IF(OR(D830="",E830=""),"",D830*E830)</f>
        <v/>
      </c>
      <c r="G830" s="15" t="n"/>
    </row>
    <row r="831">
      <c r="A831" s="19" t="n"/>
      <c r="B831" s="15" t="n"/>
      <c r="C831">
        <f>IF(B831="","",IFERROR(INDEX(Items!$B$5:$B$304,MATCH(B831,Items!$A$5:$A$304,0)),"Unknown code"))</f>
        <v/>
      </c>
      <c r="D831" s="15" t="n"/>
      <c r="E831" s="16" t="n"/>
      <c r="F831" s="18">
        <f>IF(OR(D831="",E831=""),"",D831*E831)</f>
        <v/>
      </c>
      <c r="G831" s="15" t="n"/>
    </row>
    <row r="832">
      <c r="A832" s="19" t="n"/>
      <c r="B832" s="15" t="n"/>
      <c r="C832">
        <f>IF(B832="","",IFERROR(INDEX(Items!$B$5:$B$304,MATCH(B832,Items!$A$5:$A$304,0)),"Unknown code"))</f>
        <v/>
      </c>
      <c r="D832" s="15" t="n"/>
      <c r="E832" s="16" t="n"/>
      <c r="F832" s="18">
        <f>IF(OR(D832="",E832=""),"",D832*E832)</f>
        <v/>
      </c>
      <c r="G832" s="15" t="n"/>
    </row>
    <row r="833">
      <c r="A833" s="19" t="n"/>
      <c r="B833" s="15" t="n"/>
      <c r="C833">
        <f>IF(B833="","",IFERROR(INDEX(Items!$B$5:$B$304,MATCH(B833,Items!$A$5:$A$304,0)),"Unknown code"))</f>
        <v/>
      </c>
      <c r="D833" s="15" t="n"/>
      <c r="E833" s="16" t="n"/>
      <c r="F833" s="18">
        <f>IF(OR(D833="",E833=""),"",D833*E833)</f>
        <v/>
      </c>
      <c r="G833" s="15" t="n"/>
    </row>
    <row r="834">
      <c r="A834" s="19" t="n"/>
      <c r="B834" s="15" t="n"/>
      <c r="C834">
        <f>IF(B834="","",IFERROR(INDEX(Items!$B$5:$B$304,MATCH(B834,Items!$A$5:$A$304,0)),"Unknown code"))</f>
        <v/>
      </c>
      <c r="D834" s="15" t="n"/>
      <c r="E834" s="16" t="n"/>
      <c r="F834" s="18">
        <f>IF(OR(D834="",E834=""),"",D834*E834)</f>
        <v/>
      </c>
      <c r="G834" s="15" t="n"/>
    </row>
    <row r="835">
      <c r="A835" s="19" t="n"/>
      <c r="B835" s="15" t="n"/>
      <c r="C835">
        <f>IF(B835="","",IFERROR(INDEX(Items!$B$5:$B$304,MATCH(B835,Items!$A$5:$A$304,0)),"Unknown code"))</f>
        <v/>
      </c>
      <c r="D835" s="15" t="n"/>
      <c r="E835" s="16" t="n"/>
      <c r="F835" s="18">
        <f>IF(OR(D835="",E835=""),"",D835*E835)</f>
        <v/>
      </c>
      <c r="G835" s="15" t="n"/>
    </row>
    <row r="836">
      <c r="A836" s="19" t="n"/>
      <c r="B836" s="15" t="n"/>
      <c r="C836">
        <f>IF(B836="","",IFERROR(INDEX(Items!$B$5:$B$304,MATCH(B836,Items!$A$5:$A$304,0)),"Unknown code"))</f>
        <v/>
      </c>
      <c r="D836" s="15" t="n"/>
      <c r="E836" s="16" t="n"/>
      <c r="F836" s="18">
        <f>IF(OR(D836="",E836=""),"",D836*E836)</f>
        <v/>
      </c>
      <c r="G836" s="15" t="n"/>
    </row>
    <row r="837">
      <c r="A837" s="19" t="n"/>
      <c r="B837" s="15" t="n"/>
      <c r="C837">
        <f>IF(B837="","",IFERROR(INDEX(Items!$B$5:$B$304,MATCH(B837,Items!$A$5:$A$304,0)),"Unknown code"))</f>
        <v/>
      </c>
      <c r="D837" s="15" t="n"/>
      <c r="E837" s="16" t="n"/>
      <c r="F837" s="18">
        <f>IF(OR(D837="",E837=""),"",D837*E837)</f>
        <v/>
      </c>
      <c r="G837" s="15" t="n"/>
    </row>
    <row r="838">
      <c r="A838" s="19" t="n"/>
      <c r="B838" s="15" t="n"/>
      <c r="C838">
        <f>IF(B838="","",IFERROR(INDEX(Items!$B$5:$B$304,MATCH(B838,Items!$A$5:$A$304,0)),"Unknown code"))</f>
        <v/>
      </c>
      <c r="D838" s="15" t="n"/>
      <c r="E838" s="16" t="n"/>
      <c r="F838" s="18">
        <f>IF(OR(D838="",E838=""),"",D838*E838)</f>
        <v/>
      </c>
      <c r="G838" s="15" t="n"/>
    </row>
    <row r="839">
      <c r="A839" s="19" t="n"/>
      <c r="B839" s="15" t="n"/>
      <c r="C839">
        <f>IF(B839="","",IFERROR(INDEX(Items!$B$5:$B$304,MATCH(B839,Items!$A$5:$A$304,0)),"Unknown code"))</f>
        <v/>
      </c>
      <c r="D839" s="15" t="n"/>
      <c r="E839" s="16" t="n"/>
      <c r="F839" s="18">
        <f>IF(OR(D839="",E839=""),"",D839*E839)</f>
        <v/>
      </c>
      <c r="G839" s="15" t="n"/>
    </row>
    <row r="840">
      <c r="A840" s="19" t="n"/>
      <c r="B840" s="15" t="n"/>
      <c r="C840">
        <f>IF(B840="","",IFERROR(INDEX(Items!$B$5:$B$304,MATCH(B840,Items!$A$5:$A$304,0)),"Unknown code"))</f>
        <v/>
      </c>
      <c r="D840" s="15" t="n"/>
      <c r="E840" s="16" t="n"/>
      <c r="F840" s="18">
        <f>IF(OR(D840="",E840=""),"",D840*E840)</f>
        <v/>
      </c>
      <c r="G840" s="15" t="n"/>
    </row>
    <row r="841">
      <c r="A841" s="19" t="n"/>
      <c r="B841" s="15" t="n"/>
      <c r="C841">
        <f>IF(B841="","",IFERROR(INDEX(Items!$B$5:$B$304,MATCH(B841,Items!$A$5:$A$304,0)),"Unknown code"))</f>
        <v/>
      </c>
      <c r="D841" s="15" t="n"/>
      <c r="E841" s="16" t="n"/>
      <c r="F841" s="18">
        <f>IF(OR(D841="",E841=""),"",D841*E841)</f>
        <v/>
      </c>
      <c r="G841" s="15" t="n"/>
    </row>
    <row r="842">
      <c r="A842" s="19" t="n"/>
      <c r="B842" s="15" t="n"/>
      <c r="C842">
        <f>IF(B842="","",IFERROR(INDEX(Items!$B$5:$B$304,MATCH(B842,Items!$A$5:$A$304,0)),"Unknown code"))</f>
        <v/>
      </c>
      <c r="D842" s="15" t="n"/>
      <c r="E842" s="16" t="n"/>
      <c r="F842" s="18">
        <f>IF(OR(D842="",E842=""),"",D842*E842)</f>
        <v/>
      </c>
      <c r="G842" s="15" t="n"/>
    </row>
    <row r="843">
      <c r="A843" s="19" t="n"/>
      <c r="B843" s="15" t="n"/>
      <c r="C843">
        <f>IF(B843="","",IFERROR(INDEX(Items!$B$5:$B$304,MATCH(B843,Items!$A$5:$A$304,0)),"Unknown code"))</f>
        <v/>
      </c>
      <c r="D843" s="15" t="n"/>
      <c r="E843" s="16" t="n"/>
      <c r="F843" s="18">
        <f>IF(OR(D843="",E843=""),"",D843*E843)</f>
        <v/>
      </c>
      <c r="G843" s="15" t="n"/>
    </row>
    <row r="844">
      <c r="A844" s="19" t="n"/>
      <c r="B844" s="15" t="n"/>
      <c r="C844">
        <f>IF(B844="","",IFERROR(INDEX(Items!$B$5:$B$304,MATCH(B844,Items!$A$5:$A$304,0)),"Unknown code"))</f>
        <v/>
      </c>
      <c r="D844" s="15" t="n"/>
      <c r="E844" s="16" t="n"/>
      <c r="F844" s="18">
        <f>IF(OR(D844="",E844=""),"",D844*E844)</f>
        <v/>
      </c>
      <c r="G844" s="15" t="n"/>
    </row>
    <row r="845">
      <c r="A845" s="19" t="n"/>
      <c r="B845" s="15" t="n"/>
      <c r="C845">
        <f>IF(B845="","",IFERROR(INDEX(Items!$B$5:$B$304,MATCH(B845,Items!$A$5:$A$304,0)),"Unknown code"))</f>
        <v/>
      </c>
      <c r="D845" s="15" t="n"/>
      <c r="E845" s="16" t="n"/>
      <c r="F845" s="18">
        <f>IF(OR(D845="",E845=""),"",D845*E845)</f>
        <v/>
      </c>
      <c r="G845" s="15" t="n"/>
    </row>
    <row r="846">
      <c r="A846" s="19" t="n"/>
      <c r="B846" s="15" t="n"/>
      <c r="C846">
        <f>IF(B846="","",IFERROR(INDEX(Items!$B$5:$B$304,MATCH(B846,Items!$A$5:$A$304,0)),"Unknown code"))</f>
        <v/>
      </c>
      <c r="D846" s="15" t="n"/>
      <c r="E846" s="16" t="n"/>
      <c r="F846" s="18">
        <f>IF(OR(D846="",E846=""),"",D846*E846)</f>
        <v/>
      </c>
      <c r="G846" s="15" t="n"/>
    </row>
    <row r="847">
      <c r="A847" s="19" t="n"/>
      <c r="B847" s="15" t="n"/>
      <c r="C847">
        <f>IF(B847="","",IFERROR(INDEX(Items!$B$5:$B$304,MATCH(B847,Items!$A$5:$A$304,0)),"Unknown code"))</f>
        <v/>
      </c>
      <c r="D847" s="15" t="n"/>
      <c r="E847" s="16" t="n"/>
      <c r="F847" s="18">
        <f>IF(OR(D847="",E847=""),"",D847*E847)</f>
        <v/>
      </c>
      <c r="G847" s="15" t="n"/>
    </row>
    <row r="848">
      <c r="A848" s="19" t="n"/>
      <c r="B848" s="15" t="n"/>
      <c r="C848">
        <f>IF(B848="","",IFERROR(INDEX(Items!$B$5:$B$304,MATCH(B848,Items!$A$5:$A$304,0)),"Unknown code"))</f>
        <v/>
      </c>
      <c r="D848" s="15" t="n"/>
      <c r="E848" s="16" t="n"/>
      <c r="F848" s="18">
        <f>IF(OR(D848="",E848=""),"",D848*E848)</f>
        <v/>
      </c>
      <c r="G848" s="15" t="n"/>
    </row>
    <row r="849">
      <c r="A849" s="19" t="n"/>
      <c r="B849" s="15" t="n"/>
      <c r="C849">
        <f>IF(B849="","",IFERROR(INDEX(Items!$B$5:$B$304,MATCH(B849,Items!$A$5:$A$304,0)),"Unknown code"))</f>
        <v/>
      </c>
      <c r="D849" s="15" t="n"/>
      <c r="E849" s="16" t="n"/>
      <c r="F849" s="18">
        <f>IF(OR(D849="",E849=""),"",D849*E849)</f>
        <v/>
      </c>
      <c r="G849" s="15" t="n"/>
    </row>
    <row r="850">
      <c r="A850" s="19" t="n"/>
      <c r="B850" s="15" t="n"/>
      <c r="C850">
        <f>IF(B850="","",IFERROR(INDEX(Items!$B$5:$B$304,MATCH(B850,Items!$A$5:$A$304,0)),"Unknown code"))</f>
        <v/>
      </c>
      <c r="D850" s="15" t="n"/>
      <c r="E850" s="16" t="n"/>
      <c r="F850" s="18">
        <f>IF(OR(D850="",E850=""),"",D850*E850)</f>
        <v/>
      </c>
      <c r="G850" s="15" t="n"/>
    </row>
    <row r="851">
      <c r="A851" s="19" t="n"/>
      <c r="B851" s="15" t="n"/>
      <c r="C851">
        <f>IF(B851="","",IFERROR(INDEX(Items!$B$5:$B$304,MATCH(B851,Items!$A$5:$A$304,0)),"Unknown code"))</f>
        <v/>
      </c>
      <c r="D851" s="15" t="n"/>
      <c r="E851" s="16" t="n"/>
      <c r="F851" s="18">
        <f>IF(OR(D851="",E851=""),"",D851*E851)</f>
        <v/>
      </c>
      <c r="G851" s="15" t="n"/>
    </row>
    <row r="852">
      <c r="A852" s="19" t="n"/>
      <c r="B852" s="15" t="n"/>
      <c r="C852">
        <f>IF(B852="","",IFERROR(INDEX(Items!$B$5:$B$304,MATCH(B852,Items!$A$5:$A$304,0)),"Unknown code"))</f>
        <v/>
      </c>
      <c r="D852" s="15" t="n"/>
      <c r="E852" s="16" t="n"/>
      <c r="F852" s="18">
        <f>IF(OR(D852="",E852=""),"",D852*E852)</f>
        <v/>
      </c>
      <c r="G852" s="15" t="n"/>
    </row>
    <row r="853">
      <c r="A853" s="19" t="n"/>
      <c r="B853" s="15" t="n"/>
      <c r="C853">
        <f>IF(B853="","",IFERROR(INDEX(Items!$B$5:$B$304,MATCH(B853,Items!$A$5:$A$304,0)),"Unknown code"))</f>
        <v/>
      </c>
      <c r="D853" s="15" t="n"/>
      <c r="E853" s="16" t="n"/>
      <c r="F853" s="18">
        <f>IF(OR(D853="",E853=""),"",D853*E853)</f>
        <v/>
      </c>
      <c r="G853" s="15" t="n"/>
    </row>
    <row r="854">
      <c r="A854" s="19" t="n"/>
      <c r="B854" s="15" t="n"/>
      <c r="C854">
        <f>IF(B854="","",IFERROR(INDEX(Items!$B$5:$B$304,MATCH(B854,Items!$A$5:$A$304,0)),"Unknown code"))</f>
        <v/>
      </c>
      <c r="D854" s="15" t="n"/>
      <c r="E854" s="16" t="n"/>
      <c r="F854" s="18">
        <f>IF(OR(D854="",E854=""),"",D854*E854)</f>
        <v/>
      </c>
      <c r="G854" s="15" t="n"/>
    </row>
    <row r="855">
      <c r="A855" s="19" t="n"/>
      <c r="B855" s="15" t="n"/>
      <c r="C855">
        <f>IF(B855="","",IFERROR(INDEX(Items!$B$5:$B$304,MATCH(B855,Items!$A$5:$A$304,0)),"Unknown code"))</f>
        <v/>
      </c>
      <c r="D855" s="15" t="n"/>
      <c r="E855" s="16" t="n"/>
      <c r="F855" s="18">
        <f>IF(OR(D855="",E855=""),"",D855*E855)</f>
        <v/>
      </c>
      <c r="G855" s="15" t="n"/>
    </row>
    <row r="856">
      <c r="A856" s="19" t="n"/>
      <c r="B856" s="15" t="n"/>
      <c r="C856">
        <f>IF(B856="","",IFERROR(INDEX(Items!$B$5:$B$304,MATCH(B856,Items!$A$5:$A$304,0)),"Unknown code"))</f>
        <v/>
      </c>
      <c r="D856" s="15" t="n"/>
      <c r="E856" s="16" t="n"/>
      <c r="F856" s="18">
        <f>IF(OR(D856="",E856=""),"",D856*E856)</f>
        <v/>
      </c>
      <c r="G856" s="15" t="n"/>
    </row>
    <row r="857">
      <c r="A857" s="19" t="n"/>
      <c r="B857" s="15" t="n"/>
      <c r="C857">
        <f>IF(B857="","",IFERROR(INDEX(Items!$B$5:$B$304,MATCH(B857,Items!$A$5:$A$304,0)),"Unknown code"))</f>
        <v/>
      </c>
      <c r="D857" s="15" t="n"/>
      <c r="E857" s="16" t="n"/>
      <c r="F857" s="18">
        <f>IF(OR(D857="",E857=""),"",D857*E857)</f>
        <v/>
      </c>
      <c r="G857" s="15" t="n"/>
    </row>
    <row r="858">
      <c r="A858" s="19" t="n"/>
      <c r="B858" s="15" t="n"/>
      <c r="C858">
        <f>IF(B858="","",IFERROR(INDEX(Items!$B$5:$B$304,MATCH(B858,Items!$A$5:$A$304,0)),"Unknown code"))</f>
        <v/>
      </c>
      <c r="D858" s="15" t="n"/>
      <c r="E858" s="16" t="n"/>
      <c r="F858" s="18">
        <f>IF(OR(D858="",E858=""),"",D858*E858)</f>
        <v/>
      </c>
      <c r="G858" s="15" t="n"/>
    </row>
    <row r="859">
      <c r="A859" s="19" t="n"/>
      <c r="B859" s="15" t="n"/>
      <c r="C859">
        <f>IF(B859="","",IFERROR(INDEX(Items!$B$5:$B$304,MATCH(B859,Items!$A$5:$A$304,0)),"Unknown code"))</f>
        <v/>
      </c>
      <c r="D859" s="15" t="n"/>
      <c r="E859" s="16" t="n"/>
      <c r="F859" s="18">
        <f>IF(OR(D859="",E859=""),"",D859*E859)</f>
        <v/>
      </c>
      <c r="G859" s="15" t="n"/>
    </row>
    <row r="860">
      <c r="A860" s="19" t="n"/>
      <c r="B860" s="15" t="n"/>
      <c r="C860">
        <f>IF(B860="","",IFERROR(INDEX(Items!$B$5:$B$304,MATCH(B860,Items!$A$5:$A$304,0)),"Unknown code"))</f>
        <v/>
      </c>
      <c r="D860" s="15" t="n"/>
      <c r="E860" s="16" t="n"/>
      <c r="F860" s="18">
        <f>IF(OR(D860="",E860=""),"",D860*E860)</f>
        <v/>
      </c>
      <c r="G860" s="15" t="n"/>
    </row>
    <row r="861">
      <c r="A861" s="19" t="n"/>
      <c r="B861" s="15" t="n"/>
      <c r="C861">
        <f>IF(B861="","",IFERROR(INDEX(Items!$B$5:$B$304,MATCH(B861,Items!$A$5:$A$304,0)),"Unknown code"))</f>
        <v/>
      </c>
      <c r="D861" s="15" t="n"/>
      <c r="E861" s="16" t="n"/>
      <c r="F861" s="18">
        <f>IF(OR(D861="",E861=""),"",D861*E861)</f>
        <v/>
      </c>
      <c r="G861" s="15" t="n"/>
    </row>
    <row r="862">
      <c r="A862" s="19" t="n"/>
      <c r="B862" s="15" t="n"/>
      <c r="C862">
        <f>IF(B862="","",IFERROR(INDEX(Items!$B$5:$B$304,MATCH(B862,Items!$A$5:$A$304,0)),"Unknown code"))</f>
        <v/>
      </c>
      <c r="D862" s="15" t="n"/>
      <c r="E862" s="16" t="n"/>
      <c r="F862" s="18">
        <f>IF(OR(D862="",E862=""),"",D862*E862)</f>
        <v/>
      </c>
      <c r="G862" s="15" t="n"/>
    </row>
    <row r="863">
      <c r="A863" s="19" t="n"/>
      <c r="B863" s="15" t="n"/>
      <c r="C863">
        <f>IF(B863="","",IFERROR(INDEX(Items!$B$5:$B$304,MATCH(B863,Items!$A$5:$A$304,0)),"Unknown code"))</f>
        <v/>
      </c>
      <c r="D863" s="15" t="n"/>
      <c r="E863" s="16" t="n"/>
      <c r="F863" s="18">
        <f>IF(OR(D863="",E863=""),"",D863*E863)</f>
        <v/>
      </c>
      <c r="G863" s="15" t="n"/>
    </row>
    <row r="864">
      <c r="A864" s="19" t="n"/>
      <c r="B864" s="15" t="n"/>
      <c r="C864">
        <f>IF(B864="","",IFERROR(INDEX(Items!$B$5:$B$304,MATCH(B864,Items!$A$5:$A$304,0)),"Unknown code"))</f>
        <v/>
      </c>
      <c r="D864" s="15" t="n"/>
      <c r="E864" s="16" t="n"/>
      <c r="F864" s="18">
        <f>IF(OR(D864="",E864=""),"",D864*E864)</f>
        <v/>
      </c>
      <c r="G864" s="15" t="n"/>
    </row>
    <row r="865">
      <c r="A865" s="19" t="n"/>
      <c r="B865" s="15" t="n"/>
      <c r="C865">
        <f>IF(B865="","",IFERROR(INDEX(Items!$B$5:$B$304,MATCH(B865,Items!$A$5:$A$304,0)),"Unknown code"))</f>
        <v/>
      </c>
      <c r="D865" s="15" t="n"/>
      <c r="E865" s="16" t="n"/>
      <c r="F865" s="18">
        <f>IF(OR(D865="",E865=""),"",D865*E865)</f>
        <v/>
      </c>
      <c r="G865" s="15" t="n"/>
    </row>
    <row r="866">
      <c r="A866" s="19" t="n"/>
      <c r="B866" s="15" t="n"/>
      <c r="C866">
        <f>IF(B866="","",IFERROR(INDEX(Items!$B$5:$B$304,MATCH(B866,Items!$A$5:$A$304,0)),"Unknown code"))</f>
        <v/>
      </c>
      <c r="D866" s="15" t="n"/>
      <c r="E866" s="16" t="n"/>
      <c r="F866" s="18">
        <f>IF(OR(D866="",E866=""),"",D866*E866)</f>
        <v/>
      </c>
      <c r="G866" s="15" t="n"/>
    </row>
    <row r="867">
      <c r="A867" s="19" t="n"/>
      <c r="B867" s="15" t="n"/>
      <c r="C867">
        <f>IF(B867="","",IFERROR(INDEX(Items!$B$5:$B$304,MATCH(B867,Items!$A$5:$A$304,0)),"Unknown code"))</f>
        <v/>
      </c>
      <c r="D867" s="15" t="n"/>
      <c r="E867" s="16" t="n"/>
      <c r="F867" s="18">
        <f>IF(OR(D867="",E867=""),"",D867*E867)</f>
        <v/>
      </c>
      <c r="G867" s="15" t="n"/>
    </row>
    <row r="868">
      <c r="A868" s="19" t="n"/>
      <c r="B868" s="15" t="n"/>
      <c r="C868">
        <f>IF(B868="","",IFERROR(INDEX(Items!$B$5:$B$304,MATCH(B868,Items!$A$5:$A$304,0)),"Unknown code"))</f>
        <v/>
      </c>
      <c r="D868" s="15" t="n"/>
      <c r="E868" s="16" t="n"/>
      <c r="F868" s="18">
        <f>IF(OR(D868="",E868=""),"",D868*E868)</f>
        <v/>
      </c>
      <c r="G868" s="15" t="n"/>
    </row>
    <row r="869">
      <c r="A869" s="19" t="n"/>
      <c r="B869" s="15" t="n"/>
      <c r="C869">
        <f>IF(B869="","",IFERROR(INDEX(Items!$B$5:$B$304,MATCH(B869,Items!$A$5:$A$304,0)),"Unknown code"))</f>
        <v/>
      </c>
      <c r="D869" s="15" t="n"/>
      <c r="E869" s="16" t="n"/>
      <c r="F869" s="18">
        <f>IF(OR(D869="",E869=""),"",D869*E869)</f>
        <v/>
      </c>
      <c r="G869" s="15" t="n"/>
    </row>
    <row r="870">
      <c r="A870" s="19" t="n"/>
      <c r="B870" s="15" t="n"/>
      <c r="C870">
        <f>IF(B870="","",IFERROR(INDEX(Items!$B$5:$B$304,MATCH(B870,Items!$A$5:$A$304,0)),"Unknown code"))</f>
        <v/>
      </c>
      <c r="D870" s="15" t="n"/>
      <c r="E870" s="16" t="n"/>
      <c r="F870" s="18">
        <f>IF(OR(D870="",E870=""),"",D870*E870)</f>
        <v/>
      </c>
      <c r="G870" s="15" t="n"/>
    </row>
    <row r="871">
      <c r="A871" s="19" t="n"/>
      <c r="B871" s="15" t="n"/>
      <c r="C871">
        <f>IF(B871="","",IFERROR(INDEX(Items!$B$5:$B$304,MATCH(B871,Items!$A$5:$A$304,0)),"Unknown code"))</f>
        <v/>
      </c>
      <c r="D871" s="15" t="n"/>
      <c r="E871" s="16" t="n"/>
      <c r="F871" s="18">
        <f>IF(OR(D871="",E871=""),"",D871*E871)</f>
        <v/>
      </c>
      <c r="G871" s="15" t="n"/>
    </row>
    <row r="872">
      <c r="A872" s="19" t="n"/>
      <c r="B872" s="15" t="n"/>
      <c r="C872">
        <f>IF(B872="","",IFERROR(INDEX(Items!$B$5:$B$304,MATCH(B872,Items!$A$5:$A$304,0)),"Unknown code"))</f>
        <v/>
      </c>
      <c r="D872" s="15" t="n"/>
      <c r="E872" s="16" t="n"/>
      <c r="F872" s="18">
        <f>IF(OR(D872="",E872=""),"",D872*E872)</f>
        <v/>
      </c>
      <c r="G872" s="15" t="n"/>
    </row>
    <row r="873">
      <c r="A873" s="19" t="n"/>
      <c r="B873" s="15" t="n"/>
      <c r="C873">
        <f>IF(B873="","",IFERROR(INDEX(Items!$B$5:$B$304,MATCH(B873,Items!$A$5:$A$304,0)),"Unknown code"))</f>
        <v/>
      </c>
      <c r="D873" s="15" t="n"/>
      <c r="E873" s="16" t="n"/>
      <c r="F873" s="18">
        <f>IF(OR(D873="",E873=""),"",D873*E873)</f>
        <v/>
      </c>
      <c r="G873" s="15" t="n"/>
    </row>
    <row r="874">
      <c r="A874" s="19" t="n"/>
      <c r="B874" s="15" t="n"/>
      <c r="C874">
        <f>IF(B874="","",IFERROR(INDEX(Items!$B$5:$B$304,MATCH(B874,Items!$A$5:$A$304,0)),"Unknown code"))</f>
        <v/>
      </c>
      <c r="D874" s="15" t="n"/>
      <c r="E874" s="16" t="n"/>
      <c r="F874" s="18">
        <f>IF(OR(D874="",E874=""),"",D874*E874)</f>
        <v/>
      </c>
      <c r="G874" s="15" t="n"/>
    </row>
    <row r="875">
      <c r="A875" s="19" t="n"/>
      <c r="B875" s="15" t="n"/>
      <c r="C875">
        <f>IF(B875="","",IFERROR(INDEX(Items!$B$5:$B$304,MATCH(B875,Items!$A$5:$A$304,0)),"Unknown code"))</f>
        <v/>
      </c>
      <c r="D875" s="15" t="n"/>
      <c r="E875" s="16" t="n"/>
      <c r="F875" s="18">
        <f>IF(OR(D875="",E875=""),"",D875*E875)</f>
        <v/>
      </c>
      <c r="G875" s="15" t="n"/>
    </row>
    <row r="876">
      <c r="A876" s="19" t="n"/>
      <c r="B876" s="15" t="n"/>
      <c r="C876">
        <f>IF(B876="","",IFERROR(INDEX(Items!$B$5:$B$304,MATCH(B876,Items!$A$5:$A$304,0)),"Unknown code"))</f>
        <v/>
      </c>
      <c r="D876" s="15" t="n"/>
      <c r="E876" s="16" t="n"/>
      <c r="F876" s="18">
        <f>IF(OR(D876="",E876=""),"",D876*E876)</f>
        <v/>
      </c>
      <c r="G876" s="15" t="n"/>
    </row>
    <row r="877">
      <c r="A877" s="19" t="n"/>
      <c r="B877" s="15" t="n"/>
      <c r="C877">
        <f>IF(B877="","",IFERROR(INDEX(Items!$B$5:$B$304,MATCH(B877,Items!$A$5:$A$304,0)),"Unknown code"))</f>
        <v/>
      </c>
      <c r="D877" s="15" t="n"/>
      <c r="E877" s="16" t="n"/>
      <c r="F877" s="18">
        <f>IF(OR(D877="",E877=""),"",D877*E877)</f>
        <v/>
      </c>
      <c r="G877" s="15" t="n"/>
    </row>
    <row r="878">
      <c r="A878" s="19" t="n"/>
      <c r="B878" s="15" t="n"/>
      <c r="C878">
        <f>IF(B878="","",IFERROR(INDEX(Items!$B$5:$B$304,MATCH(B878,Items!$A$5:$A$304,0)),"Unknown code"))</f>
        <v/>
      </c>
      <c r="D878" s="15" t="n"/>
      <c r="E878" s="16" t="n"/>
      <c r="F878" s="18">
        <f>IF(OR(D878="",E878=""),"",D878*E878)</f>
        <v/>
      </c>
      <c r="G878" s="15" t="n"/>
    </row>
    <row r="879">
      <c r="A879" s="19" t="n"/>
      <c r="B879" s="15" t="n"/>
      <c r="C879">
        <f>IF(B879="","",IFERROR(INDEX(Items!$B$5:$B$304,MATCH(B879,Items!$A$5:$A$304,0)),"Unknown code"))</f>
        <v/>
      </c>
      <c r="D879" s="15" t="n"/>
      <c r="E879" s="16" t="n"/>
      <c r="F879" s="18">
        <f>IF(OR(D879="",E879=""),"",D879*E879)</f>
        <v/>
      </c>
      <c r="G879" s="15" t="n"/>
    </row>
    <row r="880">
      <c r="A880" s="19" t="n"/>
      <c r="B880" s="15" t="n"/>
      <c r="C880">
        <f>IF(B880="","",IFERROR(INDEX(Items!$B$5:$B$304,MATCH(B880,Items!$A$5:$A$304,0)),"Unknown code"))</f>
        <v/>
      </c>
      <c r="D880" s="15" t="n"/>
      <c r="E880" s="16" t="n"/>
      <c r="F880" s="18">
        <f>IF(OR(D880="",E880=""),"",D880*E880)</f>
        <v/>
      </c>
      <c r="G880" s="15" t="n"/>
    </row>
    <row r="881">
      <c r="A881" s="19" t="n"/>
      <c r="B881" s="15" t="n"/>
      <c r="C881">
        <f>IF(B881="","",IFERROR(INDEX(Items!$B$5:$B$304,MATCH(B881,Items!$A$5:$A$304,0)),"Unknown code"))</f>
        <v/>
      </c>
      <c r="D881" s="15" t="n"/>
      <c r="E881" s="16" t="n"/>
      <c r="F881" s="18">
        <f>IF(OR(D881="",E881=""),"",D881*E881)</f>
        <v/>
      </c>
      <c r="G881" s="15" t="n"/>
    </row>
    <row r="882">
      <c r="A882" s="19" t="n"/>
      <c r="B882" s="15" t="n"/>
      <c r="C882">
        <f>IF(B882="","",IFERROR(INDEX(Items!$B$5:$B$304,MATCH(B882,Items!$A$5:$A$304,0)),"Unknown code"))</f>
        <v/>
      </c>
      <c r="D882" s="15" t="n"/>
      <c r="E882" s="16" t="n"/>
      <c r="F882" s="18">
        <f>IF(OR(D882="",E882=""),"",D882*E882)</f>
        <v/>
      </c>
      <c r="G882" s="15" t="n"/>
    </row>
    <row r="883">
      <c r="A883" s="19" t="n"/>
      <c r="B883" s="15" t="n"/>
      <c r="C883">
        <f>IF(B883="","",IFERROR(INDEX(Items!$B$5:$B$304,MATCH(B883,Items!$A$5:$A$304,0)),"Unknown code"))</f>
        <v/>
      </c>
      <c r="D883" s="15" t="n"/>
      <c r="E883" s="16" t="n"/>
      <c r="F883" s="18">
        <f>IF(OR(D883="",E883=""),"",D883*E883)</f>
        <v/>
      </c>
      <c r="G883" s="15" t="n"/>
    </row>
    <row r="884">
      <c r="A884" s="19" t="n"/>
      <c r="B884" s="15" t="n"/>
      <c r="C884">
        <f>IF(B884="","",IFERROR(INDEX(Items!$B$5:$B$304,MATCH(B884,Items!$A$5:$A$304,0)),"Unknown code"))</f>
        <v/>
      </c>
      <c r="D884" s="15" t="n"/>
      <c r="E884" s="16" t="n"/>
      <c r="F884" s="18">
        <f>IF(OR(D884="",E884=""),"",D884*E884)</f>
        <v/>
      </c>
      <c r="G884" s="15" t="n"/>
    </row>
    <row r="885">
      <c r="A885" s="19" t="n"/>
      <c r="B885" s="15" t="n"/>
      <c r="C885">
        <f>IF(B885="","",IFERROR(INDEX(Items!$B$5:$B$304,MATCH(B885,Items!$A$5:$A$304,0)),"Unknown code"))</f>
        <v/>
      </c>
      <c r="D885" s="15" t="n"/>
      <c r="E885" s="16" t="n"/>
      <c r="F885" s="18">
        <f>IF(OR(D885="",E885=""),"",D885*E885)</f>
        <v/>
      </c>
      <c r="G885" s="15" t="n"/>
    </row>
    <row r="886">
      <c r="A886" s="19" t="n"/>
      <c r="B886" s="15" t="n"/>
      <c r="C886">
        <f>IF(B886="","",IFERROR(INDEX(Items!$B$5:$B$304,MATCH(B886,Items!$A$5:$A$304,0)),"Unknown code"))</f>
        <v/>
      </c>
      <c r="D886" s="15" t="n"/>
      <c r="E886" s="16" t="n"/>
      <c r="F886" s="18">
        <f>IF(OR(D886="",E886=""),"",D886*E886)</f>
        <v/>
      </c>
      <c r="G886" s="15" t="n"/>
    </row>
    <row r="887">
      <c r="A887" s="19" t="n"/>
      <c r="B887" s="15" t="n"/>
      <c r="C887">
        <f>IF(B887="","",IFERROR(INDEX(Items!$B$5:$B$304,MATCH(B887,Items!$A$5:$A$304,0)),"Unknown code"))</f>
        <v/>
      </c>
      <c r="D887" s="15" t="n"/>
      <c r="E887" s="16" t="n"/>
      <c r="F887" s="18">
        <f>IF(OR(D887="",E887=""),"",D887*E887)</f>
        <v/>
      </c>
      <c r="G887" s="15" t="n"/>
    </row>
    <row r="888">
      <c r="A888" s="19" t="n"/>
      <c r="B888" s="15" t="n"/>
      <c r="C888">
        <f>IF(B888="","",IFERROR(INDEX(Items!$B$5:$B$304,MATCH(B888,Items!$A$5:$A$304,0)),"Unknown code"))</f>
        <v/>
      </c>
      <c r="D888" s="15" t="n"/>
      <c r="E888" s="16" t="n"/>
      <c r="F888" s="18">
        <f>IF(OR(D888="",E888=""),"",D888*E888)</f>
        <v/>
      </c>
      <c r="G888" s="15" t="n"/>
    </row>
    <row r="889">
      <c r="A889" s="19" t="n"/>
      <c r="B889" s="15" t="n"/>
      <c r="C889">
        <f>IF(B889="","",IFERROR(INDEX(Items!$B$5:$B$304,MATCH(B889,Items!$A$5:$A$304,0)),"Unknown code"))</f>
        <v/>
      </c>
      <c r="D889" s="15" t="n"/>
      <c r="E889" s="16" t="n"/>
      <c r="F889" s="18">
        <f>IF(OR(D889="",E889=""),"",D889*E889)</f>
        <v/>
      </c>
      <c r="G889" s="15" t="n"/>
    </row>
    <row r="890">
      <c r="A890" s="19" t="n"/>
      <c r="B890" s="15" t="n"/>
      <c r="C890">
        <f>IF(B890="","",IFERROR(INDEX(Items!$B$5:$B$304,MATCH(B890,Items!$A$5:$A$304,0)),"Unknown code"))</f>
        <v/>
      </c>
      <c r="D890" s="15" t="n"/>
      <c r="E890" s="16" t="n"/>
      <c r="F890" s="18">
        <f>IF(OR(D890="",E890=""),"",D890*E890)</f>
        <v/>
      </c>
      <c r="G890" s="15" t="n"/>
    </row>
    <row r="891">
      <c r="A891" s="19" t="n"/>
      <c r="B891" s="15" t="n"/>
      <c r="C891">
        <f>IF(B891="","",IFERROR(INDEX(Items!$B$5:$B$304,MATCH(B891,Items!$A$5:$A$304,0)),"Unknown code"))</f>
        <v/>
      </c>
      <c r="D891" s="15" t="n"/>
      <c r="E891" s="16" t="n"/>
      <c r="F891" s="18">
        <f>IF(OR(D891="",E891=""),"",D891*E891)</f>
        <v/>
      </c>
      <c r="G891" s="15" t="n"/>
    </row>
    <row r="892">
      <c r="A892" s="19" t="n"/>
      <c r="B892" s="15" t="n"/>
      <c r="C892">
        <f>IF(B892="","",IFERROR(INDEX(Items!$B$5:$B$304,MATCH(B892,Items!$A$5:$A$304,0)),"Unknown code"))</f>
        <v/>
      </c>
      <c r="D892" s="15" t="n"/>
      <c r="E892" s="16" t="n"/>
      <c r="F892" s="18">
        <f>IF(OR(D892="",E892=""),"",D892*E892)</f>
        <v/>
      </c>
      <c r="G892" s="15" t="n"/>
    </row>
    <row r="893">
      <c r="A893" s="19" t="n"/>
      <c r="B893" s="15" t="n"/>
      <c r="C893">
        <f>IF(B893="","",IFERROR(INDEX(Items!$B$5:$B$304,MATCH(B893,Items!$A$5:$A$304,0)),"Unknown code"))</f>
        <v/>
      </c>
      <c r="D893" s="15" t="n"/>
      <c r="E893" s="16" t="n"/>
      <c r="F893" s="18">
        <f>IF(OR(D893="",E893=""),"",D893*E893)</f>
        <v/>
      </c>
      <c r="G893" s="15" t="n"/>
    </row>
    <row r="894">
      <c r="A894" s="19" t="n"/>
      <c r="B894" s="15" t="n"/>
      <c r="C894">
        <f>IF(B894="","",IFERROR(INDEX(Items!$B$5:$B$304,MATCH(B894,Items!$A$5:$A$304,0)),"Unknown code"))</f>
        <v/>
      </c>
      <c r="D894" s="15" t="n"/>
      <c r="E894" s="16" t="n"/>
      <c r="F894" s="18">
        <f>IF(OR(D894="",E894=""),"",D894*E894)</f>
        <v/>
      </c>
      <c r="G894" s="15" t="n"/>
    </row>
    <row r="895">
      <c r="A895" s="19" t="n"/>
      <c r="B895" s="15" t="n"/>
      <c r="C895">
        <f>IF(B895="","",IFERROR(INDEX(Items!$B$5:$B$304,MATCH(B895,Items!$A$5:$A$304,0)),"Unknown code"))</f>
        <v/>
      </c>
      <c r="D895" s="15" t="n"/>
      <c r="E895" s="16" t="n"/>
      <c r="F895" s="18">
        <f>IF(OR(D895="",E895=""),"",D895*E895)</f>
        <v/>
      </c>
      <c r="G895" s="15" t="n"/>
    </row>
    <row r="896">
      <c r="A896" s="19" t="n"/>
      <c r="B896" s="15" t="n"/>
      <c r="C896">
        <f>IF(B896="","",IFERROR(INDEX(Items!$B$5:$B$304,MATCH(B896,Items!$A$5:$A$304,0)),"Unknown code"))</f>
        <v/>
      </c>
      <c r="D896" s="15" t="n"/>
      <c r="E896" s="16" t="n"/>
      <c r="F896" s="18">
        <f>IF(OR(D896="",E896=""),"",D896*E896)</f>
        <v/>
      </c>
      <c r="G896" s="15" t="n"/>
    </row>
    <row r="897">
      <c r="A897" s="19" t="n"/>
      <c r="B897" s="15" t="n"/>
      <c r="C897">
        <f>IF(B897="","",IFERROR(INDEX(Items!$B$5:$B$304,MATCH(B897,Items!$A$5:$A$304,0)),"Unknown code"))</f>
        <v/>
      </c>
      <c r="D897" s="15" t="n"/>
      <c r="E897" s="16" t="n"/>
      <c r="F897" s="18">
        <f>IF(OR(D897="",E897=""),"",D897*E897)</f>
        <v/>
      </c>
      <c r="G897" s="15" t="n"/>
    </row>
    <row r="898">
      <c r="A898" s="19" t="n"/>
      <c r="B898" s="15" t="n"/>
      <c r="C898">
        <f>IF(B898="","",IFERROR(INDEX(Items!$B$5:$B$304,MATCH(B898,Items!$A$5:$A$304,0)),"Unknown code"))</f>
        <v/>
      </c>
      <c r="D898" s="15" t="n"/>
      <c r="E898" s="16" t="n"/>
      <c r="F898" s="18">
        <f>IF(OR(D898="",E898=""),"",D898*E898)</f>
        <v/>
      </c>
      <c r="G898" s="15" t="n"/>
    </row>
    <row r="899">
      <c r="A899" s="19" t="n"/>
      <c r="B899" s="15" t="n"/>
      <c r="C899">
        <f>IF(B899="","",IFERROR(INDEX(Items!$B$5:$B$304,MATCH(B899,Items!$A$5:$A$304,0)),"Unknown code"))</f>
        <v/>
      </c>
      <c r="D899" s="15" t="n"/>
      <c r="E899" s="16" t="n"/>
      <c r="F899" s="18">
        <f>IF(OR(D899="",E899=""),"",D899*E899)</f>
        <v/>
      </c>
      <c r="G899" s="15" t="n"/>
    </row>
    <row r="900">
      <c r="A900" s="19" t="n"/>
      <c r="B900" s="15" t="n"/>
      <c r="C900">
        <f>IF(B900="","",IFERROR(INDEX(Items!$B$5:$B$304,MATCH(B900,Items!$A$5:$A$304,0)),"Unknown code"))</f>
        <v/>
      </c>
      <c r="D900" s="15" t="n"/>
      <c r="E900" s="16" t="n"/>
      <c r="F900" s="18">
        <f>IF(OR(D900="",E900=""),"",D900*E900)</f>
        <v/>
      </c>
      <c r="G900" s="15" t="n"/>
    </row>
    <row r="901">
      <c r="A901" s="19" t="n"/>
      <c r="B901" s="15" t="n"/>
      <c r="C901">
        <f>IF(B901="","",IFERROR(INDEX(Items!$B$5:$B$304,MATCH(B901,Items!$A$5:$A$304,0)),"Unknown code"))</f>
        <v/>
      </c>
      <c r="D901" s="15" t="n"/>
      <c r="E901" s="16" t="n"/>
      <c r="F901" s="18">
        <f>IF(OR(D901="",E901=""),"",D901*E901)</f>
        <v/>
      </c>
      <c r="G901" s="15" t="n"/>
    </row>
    <row r="902">
      <c r="A902" s="19" t="n"/>
      <c r="B902" s="15" t="n"/>
      <c r="C902">
        <f>IF(B902="","",IFERROR(INDEX(Items!$B$5:$B$304,MATCH(B902,Items!$A$5:$A$304,0)),"Unknown code"))</f>
        <v/>
      </c>
      <c r="D902" s="15" t="n"/>
      <c r="E902" s="16" t="n"/>
      <c r="F902" s="18">
        <f>IF(OR(D902="",E902=""),"",D902*E902)</f>
        <v/>
      </c>
      <c r="G902" s="15" t="n"/>
    </row>
    <row r="903">
      <c r="A903" s="19" t="n"/>
      <c r="B903" s="15" t="n"/>
      <c r="C903">
        <f>IF(B903="","",IFERROR(INDEX(Items!$B$5:$B$304,MATCH(B903,Items!$A$5:$A$304,0)),"Unknown code"))</f>
        <v/>
      </c>
      <c r="D903" s="15" t="n"/>
      <c r="E903" s="16" t="n"/>
      <c r="F903" s="18">
        <f>IF(OR(D903="",E903=""),"",D903*E903)</f>
        <v/>
      </c>
      <c r="G903" s="15" t="n"/>
    </row>
    <row r="904">
      <c r="A904" s="19" t="n"/>
      <c r="B904" s="15" t="n"/>
      <c r="C904">
        <f>IF(B904="","",IFERROR(INDEX(Items!$B$5:$B$304,MATCH(B904,Items!$A$5:$A$304,0)),"Unknown code"))</f>
        <v/>
      </c>
      <c r="D904" s="15" t="n"/>
      <c r="E904" s="16" t="n"/>
      <c r="F904" s="18">
        <f>IF(OR(D904="",E904=""),"",D904*E904)</f>
        <v/>
      </c>
      <c r="G904" s="15" t="n"/>
    </row>
    <row r="905">
      <c r="A905" s="19" t="n"/>
      <c r="B905" s="15" t="n"/>
      <c r="C905">
        <f>IF(B905="","",IFERROR(INDEX(Items!$B$5:$B$304,MATCH(B905,Items!$A$5:$A$304,0)),"Unknown code"))</f>
        <v/>
      </c>
      <c r="D905" s="15" t="n"/>
      <c r="E905" s="16" t="n"/>
      <c r="F905" s="18">
        <f>IF(OR(D905="",E905=""),"",D905*E905)</f>
        <v/>
      </c>
      <c r="G905" s="15" t="n"/>
    </row>
    <row r="906">
      <c r="A906" s="19" t="n"/>
      <c r="B906" s="15" t="n"/>
      <c r="C906">
        <f>IF(B906="","",IFERROR(INDEX(Items!$B$5:$B$304,MATCH(B906,Items!$A$5:$A$304,0)),"Unknown code"))</f>
        <v/>
      </c>
      <c r="D906" s="15" t="n"/>
      <c r="E906" s="16" t="n"/>
      <c r="F906" s="18">
        <f>IF(OR(D906="",E906=""),"",D906*E906)</f>
        <v/>
      </c>
      <c r="G906" s="15" t="n"/>
    </row>
    <row r="907">
      <c r="A907" s="19" t="n"/>
      <c r="B907" s="15" t="n"/>
      <c r="C907">
        <f>IF(B907="","",IFERROR(INDEX(Items!$B$5:$B$304,MATCH(B907,Items!$A$5:$A$304,0)),"Unknown code"))</f>
        <v/>
      </c>
      <c r="D907" s="15" t="n"/>
      <c r="E907" s="16" t="n"/>
      <c r="F907" s="18">
        <f>IF(OR(D907="",E907=""),"",D907*E907)</f>
        <v/>
      </c>
      <c r="G907" s="15" t="n"/>
    </row>
    <row r="908">
      <c r="A908" s="19" t="n"/>
      <c r="B908" s="15" t="n"/>
      <c r="C908">
        <f>IF(B908="","",IFERROR(INDEX(Items!$B$5:$B$304,MATCH(B908,Items!$A$5:$A$304,0)),"Unknown code"))</f>
        <v/>
      </c>
      <c r="D908" s="15" t="n"/>
      <c r="E908" s="16" t="n"/>
      <c r="F908" s="18">
        <f>IF(OR(D908="",E908=""),"",D908*E908)</f>
        <v/>
      </c>
      <c r="G908" s="15" t="n"/>
    </row>
    <row r="909">
      <c r="A909" s="19" t="n"/>
      <c r="B909" s="15" t="n"/>
      <c r="C909">
        <f>IF(B909="","",IFERROR(INDEX(Items!$B$5:$B$304,MATCH(B909,Items!$A$5:$A$304,0)),"Unknown code"))</f>
        <v/>
      </c>
      <c r="D909" s="15" t="n"/>
      <c r="E909" s="16" t="n"/>
      <c r="F909" s="18">
        <f>IF(OR(D909="",E909=""),"",D909*E909)</f>
        <v/>
      </c>
      <c r="G909" s="15" t="n"/>
    </row>
    <row r="910">
      <c r="A910" s="19" t="n"/>
      <c r="B910" s="15" t="n"/>
      <c r="C910">
        <f>IF(B910="","",IFERROR(INDEX(Items!$B$5:$B$304,MATCH(B910,Items!$A$5:$A$304,0)),"Unknown code"))</f>
        <v/>
      </c>
      <c r="D910" s="15" t="n"/>
      <c r="E910" s="16" t="n"/>
      <c r="F910" s="18">
        <f>IF(OR(D910="",E910=""),"",D910*E910)</f>
        <v/>
      </c>
      <c r="G910" s="15" t="n"/>
    </row>
    <row r="911">
      <c r="A911" s="19" t="n"/>
      <c r="B911" s="15" t="n"/>
      <c r="C911">
        <f>IF(B911="","",IFERROR(INDEX(Items!$B$5:$B$304,MATCH(B911,Items!$A$5:$A$304,0)),"Unknown code"))</f>
        <v/>
      </c>
      <c r="D911" s="15" t="n"/>
      <c r="E911" s="16" t="n"/>
      <c r="F911" s="18">
        <f>IF(OR(D911="",E911=""),"",D911*E911)</f>
        <v/>
      </c>
      <c r="G911" s="15" t="n"/>
    </row>
    <row r="912">
      <c r="A912" s="19" t="n"/>
      <c r="B912" s="15" t="n"/>
      <c r="C912">
        <f>IF(B912="","",IFERROR(INDEX(Items!$B$5:$B$304,MATCH(B912,Items!$A$5:$A$304,0)),"Unknown code"))</f>
        <v/>
      </c>
      <c r="D912" s="15" t="n"/>
      <c r="E912" s="16" t="n"/>
      <c r="F912" s="18">
        <f>IF(OR(D912="",E912=""),"",D912*E912)</f>
        <v/>
      </c>
      <c r="G912" s="15" t="n"/>
    </row>
    <row r="913">
      <c r="A913" s="19" t="n"/>
      <c r="B913" s="15" t="n"/>
      <c r="C913">
        <f>IF(B913="","",IFERROR(INDEX(Items!$B$5:$B$304,MATCH(B913,Items!$A$5:$A$304,0)),"Unknown code"))</f>
        <v/>
      </c>
      <c r="D913" s="15" t="n"/>
      <c r="E913" s="16" t="n"/>
      <c r="F913" s="18">
        <f>IF(OR(D913="",E913=""),"",D913*E913)</f>
        <v/>
      </c>
      <c r="G913" s="15" t="n"/>
    </row>
    <row r="914">
      <c r="A914" s="19" t="n"/>
      <c r="B914" s="15" t="n"/>
      <c r="C914">
        <f>IF(B914="","",IFERROR(INDEX(Items!$B$5:$B$304,MATCH(B914,Items!$A$5:$A$304,0)),"Unknown code"))</f>
        <v/>
      </c>
      <c r="D914" s="15" t="n"/>
      <c r="E914" s="16" t="n"/>
      <c r="F914" s="18">
        <f>IF(OR(D914="",E914=""),"",D914*E914)</f>
        <v/>
      </c>
      <c r="G914" s="15" t="n"/>
    </row>
    <row r="915">
      <c r="A915" s="19" t="n"/>
      <c r="B915" s="15" t="n"/>
      <c r="C915">
        <f>IF(B915="","",IFERROR(INDEX(Items!$B$5:$B$304,MATCH(B915,Items!$A$5:$A$304,0)),"Unknown code"))</f>
        <v/>
      </c>
      <c r="D915" s="15" t="n"/>
      <c r="E915" s="16" t="n"/>
      <c r="F915" s="18">
        <f>IF(OR(D915="",E915=""),"",D915*E915)</f>
        <v/>
      </c>
      <c r="G915" s="15" t="n"/>
    </row>
    <row r="916">
      <c r="A916" s="19" t="n"/>
      <c r="B916" s="15" t="n"/>
      <c r="C916">
        <f>IF(B916="","",IFERROR(INDEX(Items!$B$5:$B$304,MATCH(B916,Items!$A$5:$A$304,0)),"Unknown code"))</f>
        <v/>
      </c>
      <c r="D916" s="15" t="n"/>
      <c r="E916" s="16" t="n"/>
      <c r="F916" s="18">
        <f>IF(OR(D916="",E916=""),"",D916*E916)</f>
        <v/>
      </c>
      <c r="G916" s="15" t="n"/>
    </row>
    <row r="917">
      <c r="A917" s="19" t="n"/>
      <c r="B917" s="15" t="n"/>
      <c r="C917">
        <f>IF(B917="","",IFERROR(INDEX(Items!$B$5:$B$304,MATCH(B917,Items!$A$5:$A$304,0)),"Unknown code"))</f>
        <v/>
      </c>
      <c r="D917" s="15" t="n"/>
      <c r="E917" s="16" t="n"/>
      <c r="F917" s="18">
        <f>IF(OR(D917="",E917=""),"",D917*E917)</f>
        <v/>
      </c>
      <c r="G917" s="15" t="n"/>
    </row>
    <row r="918">
      <c r="A918" s="19" t="n"/>
      <c r="B918" s="15" t="n"/>
      <c r="C918">
        <f>IF(B918="","",IFERROR(INDEX(Items!$B$5:$B$304,MATCH(B918,Items!$A$5:$A$304,0)),"Unknown code"))</f>
        <v/>
      </c>
      <c r="D918" s="15" t="n"/>
      <c r="E918" s="16" t="n"/>
      <c r="F918" s="18">
        <f>IF(OR(D918="",E918=""),"",D918*E918)</f>
        <v/>
      </c>
      <c r="G918" s="15" t="n"/>
    </row>
    <row r="919">
      <c r="A919" s="19" t="n"/>
      <c r="B919" s="15" t="n"/>
      <c r="C919">
        <f>IF(B919="","",IFERROR(INDEX(Items!$B$5:$B$304,MATCH(B919,Items!$A$5:$A$304,0)),"Unknown code"))</f>
        <v/>
      </c>
      <c r="D919" s="15" t="n"/>
      <c r="E919" s="16" t="n"/>
      <c r="F919" s="18">
        <f>IF(OR(D919="",E919=""),"",D919*E919)</f>
        <v/>
      </c>
      <c r="G919" s="15" t="n"/>
    </row>
    <row r="920">
      <c r="A920" s="19" t="n"/>
      <c r="B920" s="15" t="n"/>
      <c r="C920">
        <f>IF(B920="","",IFERROR(INDEX(Items!$B$5:$B$304,MATCH(B920,Items!$A$5:$A$304,0)),"Unknown code"))</f>
        <v/>
      </c>
      <c r="D920" s="15" t="n"/>
      <c r="E920" s="16" t="n"/>
      <c r="F920" s="18">
        <f>IF(OR(D920="",E920=""),"",D920*E920)</f>
        <v/>
      </c>
      <c r="G920" s="15" t="n"/>
    </row>
    <row r="921">
      <c r="A921" s="19" t="n"/>
      <c r="B921" s="15" t="n"/>
      <c r="C921">
        <f>IF(B921="","",IFERROR(INDEX(Items!$B$5:$B$304,MATCH(B921,Items!$A$5:$A$304,0)),"Unknown code"))</f>
        <v/>
      </c>
      <c r="D921" s="15" t="n"/>
      <c r="E921" s="16" t="n"/>
      <c r="F921" s="18">
        <f>IF(OR(D921="",E921=""),"",D921*E921)</f>
        <v/>
      </c>
      <c r="G921" s="15" t="n"/>
    </row>
    <row r="922">
      <c r="A922" s="19" t="n"/>
      <c r="B922" s="15" t="n"/>
      <c r="C922">
        <f>IF(B922="","",IFERROR(INDEX(Items!$B$5:$B$304,MATCH(B922,Items!$A$5:$A$304,0)),"Unknown code"))</f>
        <v/>
      </c>
      <c r="D922" s="15" t="n"/>
      <c r="E922" s="16" t="n"/>
      <c r="F922" s="18">
        <f>IF(OR(D922="",E922=""),"",D922*E922)</f>
        <v/>
      </c>
      <c r="G922" s="15" t="n"/>
    </row>
    <row r="923">
      <c r="A923" s="19" t="n"/>
      <c r="B923" s="15" t="n"/>
      <c r="C923">
        <f>IF(B923="","",IFERROR(INDEX(Items!$B$5:$B$304,MATCH(B923,Items!$A$5:$A$304,0)),"Unknown code"))</f>
        <v/>
      </c>
      <c r="D923" s="15" t="n"/>
      <c r="E923" s="16" t="n"/>
      <c r="F923" s="18">
        <f>IF(OR(D923="",E923=""),"",D923*E923)</f>
        <v/>
      </c>
      <c r="G923" s="15" t="n"/>
    </row>
    <row r="924">
      <c r="A924" s="19" t="n"/>
      <c r="B924" s="15" t="n"/>
      <c r="C924">
        <f>IF(B924="","",IFERROR(INDEX(Items!$B$5:$B$304,MATCH(B924,Items!$A$5:$A$304,0)),"Unknown code"))</f>
        <v/>
      </c>
      <c r="D924" s="15" t="n"/>
      <c r="E924" s="16" t="n"/>
      <c r="F924" s="18">
        <f>IF(OR(D924="",E924=""),"",D924*E924)</f>
        <v/>
      </c>
      <c r="G924" s="15" t="n"/>
    </row>
    <row r="925">
      <c r="A925" s="19" t="n"/>
      <c r="B925" s="15" t="n"/>
      <c r="C925">
        <f>IF(B925="","",IFERROR(INDEX(Items!$B$5:$B$304,MATCH(B925,Items!$A$5:$A$304,0)),"Unknown code"))</f>
        <v/>
      </c>
      <c r="D925" s="15" t="n"/>
      <c r="E925" s="16" t="n"/>
      <c r="F925" s="18">
        <f>IF(OR(D925="",E925=""),"",D925*E925)</f>
        <v/>
      </c>
      <c r="G925" s="15" t="n"/>
    </row>
    <row r="926">
      <c r="A926" s="19" t="n"/>
      <c r="B926" s="15" t="n"/>
      <c r="C926">
        <f>IF(B926="","",IFERROR(INDEX(Items!$B$5:$B$304,MATCH(B926,Items!$A$5:$A$304,0)),"Unknown code"))</f>
        <v/>
      </c>
      <c r="D926" s="15" t="n"/>
      <c r="E926" s="16" t="n"/>
      <c r="F926" s="18">
        <f>IF(OR(D926="",E926=""),"",D926*E926)</f>
        <v/>
      </c>
      <c r="G926" s="15" t="n"/>
    </row>
    <row r="927">
      <c r="A927" s="19" t="n"/>
      <c r="B927" s="15" t="n"/>
      <c r="C927">
        <f>IF(B927="","",IFERROR(INDEX(Items!$B$5:$B$304,MATCH(B927,Items!$A$5:$A$304,0)),"Unknown code"))</f>
        <v/>
      </c>
      <c r="D927" s="15" t="n"/>
      <c r="E927" s="16" t="n"/>
      <c r="F927" s="18">
        <f>IF(OR(D927="",E927=""),"",D927*E927)</f>
        <v/>
      </c>
      <c r="G927" s="15" t="n"/>
    </row>
    <row r="928">
      <c r="A928" s="19" t="n"/>
      <c r="B928" s="15" t="n"/>
      <c r="C928">
        <f>IF(B928="","",IFERROR(INDEX(Items!$B$5:$B$304,MATCH(B928,Items!$A$5:$A$304,0)),"Unknown code"))</f>
        <v/>
      </c>
      <c r="D928" s="15" t="n"/>
      <c r="E928" s="16" t="n"/>
      <c r="F928" s="18">
        <f>IF(OR(D928="",E928=""),"",D928*E928)</f>
        <v/>
      </c>
      <c r="G928" s="15" t="n"/>
    </row>
    <row r="929">
      <c r="A929" s="19" t="n"/>
      <c r="B929" s="15" t="n"/>
      <c r="C929">
        <f>IF(B929="","",IFERROR(INDEX(Items!$B$5:$B$304,MATCH(B929,Items!$A$5:$A$304,0)),"Unknown code"))</f>
        <v/>
      </c>
      <c r="D929" s="15" t="n"/>
      <c r="E929" s="16" t="n"/>
      <c r="F929" s="18">
        <f>IF(OR(D929="",E929=""),"",D929*E929)</f>
        <v/>
      </c>
      <c r="G929" s="15" t="n"/>
    </row>
    <row r="930">
      <c r="A930" s="19" t="n"/>
      <c r="B930" s="15" t="n"/>
      <c r="C930">
        <f>IF(B930="","",IFERROR(INDEX(Items!$B$5:$B$304,MATCH(B930,Items!$A$5:$A$304,0)),"Unknown code"))</f>
        <v/>
      </c>
      <c r="D930" s="15" t="n"/>
      <c r="E930" s="16" t="n"/>
      <c r="F930" s="18">
        <f>IF(OR(D930="",E930=""),"",D930*E930)</f>
        <v/>
      </c>
      <c r="G930" s="15" t="n"/>
    </row>
    <row r="931">
      <c r="A931" s="19" t="n"/>
      <c r="B931" s="15" t="n"/>
      <c r="C931">
        <f>IF(B931="","",IFERROR(INDEX(Items!$B$5:$B$304,MATCH(B931,Items!$A$5:$A$304,0)),"Unknown code"))</f>
        <v/>
      </c>
      <c r="D931" s="15" t="n"/>
      <c r="E931" s="16" t="n"/>
      <c r="F931" s="18">
        <f>IF(OR(D931="",E931=""),"",D931*E931)</f>
        <v/>
      </c>
      <c r="G931" s="15" t="n"/>
    </row>
    <row r="932">
      <c r="A932" s="19" t="n"/>
      <c r="B932" s="15" t="n"/>
      <c r="C932">
        <f>IF(B932="","",IFERROR(INDEX(Items!$B$5:$B$304,MATCH(B932,Items!$A$5:$A$304,0)),"Unknown code"))</f>
        <v/>
      </c>
      <c r="D932" s="15" t="n"/>
      <c r="E932" s="16" t="n"/>
      <c r="F932" s="18">
        <f>IF(OR(D932="",E932=""),"",D932*E932)</f>
        <v/>
      </c>
      <c r="G932" s="15" t="n"/>
    </row>
    <row r="933">
      <c r="A933" s="19" t="n"/>
      <c r="B933" s="15" t="n"/>
      <c r="C933">
        <f>IF(B933="","",IFERROR(INDEX(Items!$B$5:$B$304,MATCH(B933,Items!$A$5:$A$304,0)),"Unknown code"))</f>
        <v/>
      </c>
      <c r="D933" s="15" t="n"/>
      <c r="E933" s="16" t="n"/>
      <c r="F933" s="18">
        <f>IF(OR(D933="",E933=""),"",D933*E933)</f>
        <v/>
      </c>
      <c r="G933" s="15" t="n"/>
    </row>
    <row r="934">
      <c r="A934" s="19" t="n"/>
      <c r="B934" s="15" t="n"/>
      <c r="C934">
        <f>IF(B934="","",IFERROR(INDEX(Items!$B$5:$B$304,MATCH(B934,Items!$A$5:$A$304,0)),"Unknown code"))</f>
        <v/>
      </c>
      <c r="D934" s="15" t="n"/>
      <c r="E934" s="16" t="n"/>
      <c r="F934" s="18">
        <f>IF(OR(D934="",E934=""),"",D934*E934)</f>
        <v/>
      </c>
      <c r="G934" s="15" t="n"/>
    </row>
    <row r="935">
      <c r="A935" s="19" t="n"/>
      <c r="B935" s="15" t="n"/>
      <c r="C935">
        <f>IF(B935="","",IFERROR(INDEX(Items!$B$5:$B$304,MATCH(B935,Items!$A$5:$A$304,0)),"Unknown code"))</f>
        <v/>
      </c>
      <c r="D935" s="15" t="n"/>
      <c r="E935" s="16" t="n"/>
      <c r="F935" s="18">
        <f>IF(OR(D935="",E935=""),"",D935*E935)</f>
        <v/>
      </c>
      <c r="G935" s="15" t="n"/>
    </row>
    <row r="936">
      <c r="A936" s="19" t="n"/>
      <c r="B936" s="15" t="n"/>
      <c r="C936">
        <f>IF(B936="","",IFERROR(INDEX(Items!$B$5:$B$304,MATCH(B936,Items!$A$5:$A$304,0)),"Unknown code"))</f>
        <v/>
      </c>
      <c r="D936" s="15" t="n"/>
      <c r="E936" s="16" t="n"/>
      <c r="F936" s="18">
        <f>IF(OR(D936="",E936=""),"",D936*E936)</f>
        <v/>
      </c>
      <c r="G936" s="15" t="n"/>
    </row>
    <row r="937">
      <c r="A937" s="19" t="n"/>
      <c r="B937" s="15" t="n"/>
      <c r="C937">
        <f>IF(B937="","",IFERROR(INDEX(Items!$B$5:$B$304,MATCH(B937,Items!$A$5:$A$304,0)),"Unknown code"))</f>
        <v/>
      </c>
      <c r="D937" s="15" t="n"/>
      <c r="E937" s="16" t="n"/>
      <c r="F937" s="18">
        <f>IF(OR(D937="",E937=""),"",D937*E937)</f>
        <v/>
      </c>
      <c r="G937" s="15" t="n"/>
    </row>
    <row r="938">
      <c r="A938" s="19" t="n"/>
      <c r="B938" s="15" t="n"/>
      <c r="C938">
        <f>IF(B938="","",IFERROR(INDEX(Items!$B$5:$B$304,MATCH(B938,Items!$A$5:$A$304,0)),"Unknown code"))</f>
        <v/>
      </c>
      <c r="D938" s="15" t="n"/>
      <c r="E938" s="16" t="n"/>
      <c r="F938" s="18">
        <f>IF(OR(D938="",E938=""),"",D938*E938)</f>
        <v/>
      </c>
      <c r="G938" s="15" t="n"/>
    </row>
    <row r="939">
      <c r="A939" s="19" t="n"/>
      <c r="B939" s="15" t="n"/>
      <c r="C939">
        <f>IF(B939="","",IFERROR(INDEX(Items!$B$5:$B$304,MATCH(B939,Items!$A$5:$A$304,0)),"Unknown code"))</f>
        <v/>
      </c>
      <c r="D939" s="15" t="n"/>
      <c r="E939" s="16" t="n"/>
      <c r="F939" s="18">
        <f>IF(OR(D939="",E939=""),"",D939*E939)</f>
        <v/>
      </c>
      <c r="G939" s="15" t="n"/>
    </row>
    <row r="940">
      <c r="A940" s="19" t="n"/>
      <c r="B940" s="15" t="n"/>
      <c r="C940">
        <f>IF(B940="","",IFERROR(INDEX(Items!$B$5:$B$304,MATCH(B940,Items!$A$5:$A$304,0)),"Unknown code"))</f>
        <v/>
      </c>
      <c r="D940" s="15" t="n"/>
      <c r="E940" s="16" t="n"/>
      <c r="F940" s="18">
        <f>IF(OR(D940="",E940=""),"",D940*E940)</f>
        <v/>
      </c>
      <c r="G940" s="15" t="n"/>
    </row>
    <row r="941">
      <c r="A941" s="19" t="n"/>
      <c r="B941" s="15" t="n"/>
      <c r="C941">
        <f>IF(B941="","",IFERROR(INDEX(Items!$B$5:$B$304,MATCH(B941,Items!$A$5:$A$304,0)),"Unknown code"))</f>
        <v/>
      </c>
      <c r="D941" s="15" t="n"/>
      <c r="E941" s="16" t="n"/>
      <c r="F941" s="18">
        <f>IF(OR(D941="",E941=""),"",D941*E941)</f>
        <v/>
      </c>
      <c r="G941" s="15" t="n"/>
    </row>
    <row r="942">
      <c r="A942" s="19" t="n"/>
      <c r="B942" s="15" t="n"/>
      <c r="C942">
        <f>IF(B942="","",IFERROR(INDEX(Items!$B$5:$B$304,MATCH(B942,Items!$A$5:$A$304,0)),"Unknown code"))</f>
        <v/>
      </c>
      <c r="D942" s="15" t="n"/>
      <c r="E942" s="16" t="n"/>
      <c r="F942" s="18">
        <f>IF(OR(D942="",E942=""),"",D942*E942)</f>
        <v/>
      </c>
      <c r="G942" s="15" t="n"/>
    </row>
    <row r="943">
      <c r="A943" s="19" t="n"/>
      <c r="B943" s="15" t="n"/>
      <c r="C943">
        <f>IF(B943="","",IFERROR(INDEX(Items!$B$5:$B$304,MATCH(B943,Items!$A$5:$A$304,0)),"Unknown code"))</f>
        <v/>
      </c>
      <c r="D943" s="15" t="n"/>
      <c r="E943" s="16" t="n"/>
      <c r="F943" s="18">
        <f>IF(OR(D943="",E943=""),"",D943*E943)</f>
        <v/>
      </c>
      <c r="G943" s="15" t="n"/>
    </row>
    <row r="944">
      <c r="A944" s="19" t="n"/>
      <c r="B944" s="15" t="n"/>
      <c r="C944">
        <f>IF(B944="","",IFERROR(INDEX(Items!$B$5:$B$304,MATCH(B944,Items!$A$5:$A$304,0)),"Unknown code"))</f>
        <v/>
      </c>
      <c r="D944" s="15" t="n"/>
      <c r="E944" s="16" t="n"/>
      <c r="F944" s="18">
        <f>IF(OR(D944="",E944=""),"",D944*E944)</f>
        <v/>
      </c>
      <c r="G944" s="15" t="n"/>
    </row>
    <row r="945">
      <c r="A945" s="19" t="n"/>
      <c r="B945" s="15" t="n"/>
      <c r="C945">
        <f>IF(B945="","",IFERROR(INDEX(Items!$B$5:$B$304,MATCH(B945,Items!$A$5:$A$304,0)),"Unknown code"))</f>
        <v/>
      </c>
      <c r="D945" s="15" t="n"/>
      <c r="E945" s="16" t="n"/>
      <c r="F945" s="18">
        <f>IF(OR(D945="",E945=""),"",D945*E945)</f>
        <v/>
      </c>
      <c r="G945" s="15" t="n"/>
    </row>
    <row r="946">
      <c r="A946" s="19" t="n"/>
      <c r="B946" s="15" t="n"/>
      <c r="C946">
        <f>IF(B946="","",IFERROR(INDEX(Items!$B$5:$B$304,MATCH(B946,Items!$A$5:$A$304,0)),"Unknown code"))</f>
        <v/>
      </c>
      <c r="D946" s="15" t="n"/>
      <c r="E946" s="16" t="n"/>
      <c r="F946" s="18">
        <f>IF(OR(D946="",E946=""),"",D946*E946)</f>
        <v/>
      </c>
      <c r="G946" s="15" t="n"/>
    </row>
    <row r="947">
      <c r="A947" s="19" t="n"/>
      <c r="B947" s="15" t="n"/>
      <c r="C947">
        <f>IF(B947="","",IFERROR(INDEX(Items!$B$5:$B$304,MATCH(B947,Items!$A$5:$A$304,0)),"Unknown code"))</f>
        <v/>
      </c>
      <c r="D947" s="15" t="n"/>
      <c r="E947" s="16" t="n"/>
      <c r="F947" s="18">
        <f>IF(OR(D947="",E947=""),"",D947*E947)</f>
        <v/>
      </c>
      <c r="G947" s="15" t="n"/>
    </row>
    <row r="948">
      <c r="A948" s="19" t="n"/>
      <c r="B948" s="15" t="n"/>
      <c r="C948">
        <f>IF(B948="","",IFERROR(INDEX(Items!$B$5:$B$304,MATCH(B948,Items!$A$5:$A$304,0)),"Unknown code"))</f>
        <v/>
      </c>
      <c r="D948" s="15" t="n"/>
      <c r="E948" s="16" t="n"/>
      <c r="F948" s="18">
        <f>IF(OR(D948="",E948=""),"",D948*E948)</f>
        <v/>
      </c>
      <c r="G948" s="15" t="n"/>
    </row>
    <row r="949">
      <c r="A949" s="19" t="n"/>
      <c r="B949" s="15" t="n"/>
      <c r="C949">
        <f>IF(B949="","",IFERROR(INDEX(Items!$B$5:$B$304,MATCH(B949,Items!$A$5:$A$304,0)),"Unknown code"))</f>
        <v/>
      </c>
      <c r="D949" s="15" t="n"/>
      <c r="E949" s="16" t="n"/>
      <c r="F949" s="18">
        <f>IF(OR(D949="",E949=""),"",D949*E949)</f>
        <v/>
      </c>
      <c r="G949" s="15" t="n"/>
    </row>
    <row r="950">
      <c r="A950" s="19" t="n"/>
      <c r="B950" s="15" t="n"/>
      <c r="C950">
        <f>IF(B950="","",IFERROR(INDEX(Items!$B$5:$B$304,MATCH(B950,Items!$A$5:$A$304,0)),"Unknown code"))</f>
        <v/>
      </c>
      <c r="D950" s="15" t="n"/>
      <c r="E950" s="16" t="n"/>
      <c r="F950" s="18">
        <f>IF(OR(D950="",E950=""),"",D950*E950)</f>
        <v/>
      </c>
      <c r="G950" s="15" t="n"/>
    </row>
    <row r="951">
      <c r="A951" s="19" t="n"/>
      <c r="B951" s="15" t="n"/>
      <c r="C951">
        <f>IF(B951="","",IFERROR(INDEX(Items!$B$5:$B$304,MATCH(B951,Items!$A$5:$A$304,0)),"Unknown code"))</f>
        <v/>
      </c>
      <c r="D951" s="15" t="n"/>
      <c r="E951" s="16" t="n"/>
      <c r="F951" s="18">
        <f>IF(OR(D951="",E951=""),"",D951*E951)</f>
        <v/>
      </c>
      <c r="G951" s="15" t="n"/>
    </row>
    <row r="952">
      <c r="A952" s="19" t="n"/>
      <c r="B952" s="15" t="n"/>
      <c r="C952">
        <f>IF(B952="","",IFERROR(INDEX(Items!$B$5:$B$304,MATCH(B952,Items!$A$5:$A$304,0)),"Unknown code"))</f>
        <v/>
      </c>
      <c r="D952" s="15" t="n"/>
      <c r="E952" s="16" t="n"/>
      <c r="F952" s="18">
        <f>IF(OR(D952="",E952=""),"",D952*E952)</f>
        <v/>
      </c>
      <c r="G952" s="15" t="n"/>
    </row>
    <row r="953">
      <c r="A953" s="19" t="n"/>
      <c r="B953" s="15" t="n"/>
      <c r="C953">
        <f>IF(B953="","",IFERROR(INDEX(Items!$B$5:$B$304,MATCH(B953,Items!$A$5:$A$304,0)),"Unknown code"))</f>
        <v/>
      </c>
      <c r="D953" s="15" t="n"/>
      <c r="E953" s="16" t="n"/>
      <c r="F953" s="18">
        <f>IF(OR(D953="",E953=""),"",D953*E953)</f>
        <v/>
      </c>
      <c r="G953" s="15" t="n"/>
    </row>
    <row r="954">
      <c r="A954" s="19" t="n"/>
      <c r="B954" s="15" t="n"/>
      <c r="C954">
        <f>IF(B954="","",IFERROR(INDEX(Items!$B$5:$B$304,MATCH(B954,Items!$A$5:$A$304,0)),"Unknown code"))</f>
        <v/>
      </c>
      <c r="D954" s="15" t="n"/>
      <c r="E954" s="16" t="n"/>
      <c r="F954" s="18">
        <f>IF(OR(D954="",E954=""),"",D954*E954)</f>
        <v/>
      </c>
      <c r="G954" s="15" t="n"/>
    </row>
    <row r="955">
      <c r="A955" s="19" t="n"/>
      <c r="B955" s="15" t="n"/>
      <c r="C955">
        <f>IF(B955="","",IFERROR(INDEX(Items!$B$5:$B$304,MATCH(B955,Items!$A$5:$A$304,0)),"Unknown code"))</f>
        <v/>
      </c>
      <c r="D955" s="15" t="n"/>
      <c r="E955" s="16" t="n"/>
      <c r="F955" s="18">
        <f>IF(OR(D955="",E955=""),"",D955*E955)</f>
        <v/>
      </c>
      <c r="G955" s="15" t="n"/>
    </row>
    <row r="956">
      <c r="A956" s="19" t="n"/>
      <c r="B956" s="15" t="n"/>
      <c r="C956">
        <f>IF(B956="","",IFERROR(INDEX(Items!$B$5:$B$304,MATCH(B956,Items!$A$5:$A$304,0)),"Unknown code"))</f>
        <v/>
      </c>
      <c r="D956" s="15" t="n"/>
      <c r="E956" s="16" t="n"/>
      <c r="F956" s="18">
        <f>IF(OR(D956="",E956=""),"",D956*E956)</f>
        <v/>
      </c>
      <c r="G956" s="15" t="n"/>
    </row>
    <row r="957">
      <c r="A957" s="19" t="n"/>
      <c r="B957" s="15" t="n"/>
      <c r="C957">
        <f>IF(B957="","",IFERROR(INDEX(Items!$B$5:$B$304,MATCH(B957,Items!$A$5:$A$304,0)),"Unknown code"))</f>
        <v/>
      </c>
      <c r="D957" s="15" t="n"/>
      <c r="E957" s="16" t="n"/>
      <c r="F957" s="18">
        <f>IF(OR(D957="",E957=""),"",D957*E957)</f>
        <v/>
      </c>
      <c r="G957" s="15" t="n"/>
    </row>
    <row r="958">
      <c r="A958" s="19" t="n"/>
      <c r="B958" s="15" t="n"/>
      <c r="C958">
        <f>IF(B958="","",IFERROR(INDEX(Items!$B$5:$B$304,MATCH(B958,Items!$A$5:$A$304,0)),"Unknown code"))</f>
        <v/>
      </c>
      <c r="D958" s="15" t="n"/>
      <c r="E958" s="16" t="n"/>
      <c r="F958" s="18">
        <f>IF(OR(D958="",E958=""),"",D958*E958)</f>
        <v/>
      </c>
      <c r="G958" s="15" t="n"/>
    </row>
    <row r="959">
      <c r="A959" s="19" t="n"/>
      <c r="B959" s="15" t="n"/>
      <c r="C959">
        <f>IF(B959="","",IFERROR(INDEX(Items!$B$5:$B$304,MATCH(B959,Items!$A$5:$A$304,0)),"Unknown code"))</f>
        <v/>
      </c>
      <c r="D959" s="15" t="n"/>
      <c r="E959" s="16" t="n"/>
      <c r="F959" s="18">
        <f>IF(OR(D959="",E959=""),"",D959*E959)</f>
        <v/>
      </c>
      <c r="G959" s="15" t="n"/>
    </row>
    <row r="960">
      <c r="A960" s="19" t="n"/>
      <c r="B960" s="15" t="n"/>
      <c r="C960">
        <f>IF(B960="","",IFERROR(INDEX(Items!$B$5:$B$304,MATCH(B960,Items!$A$5:$A$304,0)),"Unknown code"))</f>
        <v/>
      </c>
      <c r="D960" s="15" t="n"/>
      <c r="E960" s="16" t="n"/>
      <c r="F960" s="18">
        <f>IF(OR(D960="",E960=""),"",D960*E960)</f>
        <v/>
      </c>
      <c r="G960" s="15" t="n"/>
    </row>
    <row r="961">
      <c r="A961" s="19" t="n"/>
      <c r="B961" s="15" t="n"/>
      <c r="C961">
        <f>IF(B961="","",IFERROR(INDEX(Items!$B$5:$B$304,MATCH(B961,Items!$A$5:$A$304,0)),"Unknown code"))</f>
        <v/>
      </c>
      <c r="D961" s="15" t="n"/>
      <c r="E961" s="16" t="n"/>
      <c r="F961" s="18">
        <f>IF(OR(D961="",E961=""),"",D961*E961)</f>
        <v/>
      </c>
      <c r="G961" s="15" t="n"/>
    </row>
    <row r="962">
      <c r="A962" s="19" t="n"/>
      <c r="B962" s="15" t="n"/>
      <c r="C962">
        <f>IF(B962="","",IFERROR(INDEX(Items!$B$5:$B$304,MATCH(B962,Items!$A$5:$A$304,0)),"Unknown code"))</f>
        <v/>
      </c>
      <c r="D962" s="15" t="n"/>
      <c r="E962" s="16" t="n"/>
      <c r="F962" s="18">
        <f>IF(OR(D962="",E962=""),"",D962*E962)</f>
        <v/>
      </c>
      <c r="G962" s="15" t="n"/>
    </row>
    <row r="963">
      <c r="A963" s="19" t="n"/>
      <c r="B963" s="15" t="n"/>
      <c r="C963">
        <f>IF(B963="","",IFERROR(INDEX(Items!$B$5:$B$304,MATCH(B963,Items!$A$5:$A$304,0)),"Unknown code"))</f>
        <v/>
      </c>
      <c r="D963" s="15" t="n"/>
      <c r="E963" s="16" t="n"/>
      <c r="F963" s="18">
        <f>IF(OR(D963="",E963=""),"",D963*E963)</f>
        <v/>
      </c>
      <c r="G963" s="15" t="n"/>
    </row>
    <row r="964">
      <c r="A964" s="19" t="n"/>
      <c r="B964" s="15" t="n"/>
      <c r="C964">
        <f>IF(B964="","",IFERROR(INDEX(Items!$B$5:$B$304,MATCH(B964,Items!$A$5:$A$304,0)),"Unknown code"))</f>
        <v/>
      </c>
      <c r="D964" s="15" t="n"/>
      <c r="E964" s="16" t="n"/>
      <c r="F964" s="18">
        <f>IF(OR(D964="",E964=""),"",D964*E964)</f>
        <v/>
      </c>
      <c r="G964" s="15" t="n"/>
    </row>
    <row r="965">
      <c r="A965" s="19" t="n"/>
      <c r="B965" s="15" t="n"/>
      <c r="C965">
        <f>IF(B965="","",IFERROR(INDEX(Items!$B$5:$B$304,MATCH(B965,Items!$A$5:$A$304,0)),"Unknown code"))</f>
        <v/>
      </c>
      <c r="D965" s="15" t="n"/>
      <c r="E965" s="16" t="n"/>
      <c r="F965" s="18">
        <f>IF(OR(D965="",E965=""),"",D965*E965)</f>
        <v/>
      </c>
      <c r="G965" s="15" t="n"/>
    </row>
    <row r="966">
      <c r="A966" s="19" t="n"/>
      <c r="B966" s="15" t="n"/>
      <c r="C966">
        <f>IF(B966="","",IFERROR(INDEX(Items!$B$5:$B$304,MATCH(B966,Items!$A$5:$A$304,0)),"Unknown code"))</f>
        <v/>
      </c>
      <c r="D966" s="15" t="n"/>
      <c r="E966" s="16" t="n"/>
      <c r="F966" s="18">
        <f>IF(OR(D966="",E966=""),"",D966*E966)</f>
        <v/>
      </c>
      <c r="G966" s="15" t="n"/>
    </row>
    <row r="967">
      <c r="A967" s="19" t="n"/>
      <c r="B967" s="15" t="n"/>
      <c r="C967">
        <f>IF(B967="","",IFERROR(INDEX(Items!$B$5:$B$304,MATCH(B967,Items!$A$5:$A$304,0)),"Unknown code"))</f>
        <v/>
      </c>
      <c r="D967" s="15" t="n"/>
      <c r="E967" s="16" t="n"/>
      <c r="F967" s="18">
        <f>IF(OR(D967="",E967=""),"",D967*E967)</f>
        <v/>
      </c>
      <c r="G967" s="15" t="n"/>
    </row>
    <row r="968">
      <c r="A968" s="19" t="n"/>
      <c r="B968" s="15" t="n"/>
      <c r="C968">
        <f>IF(B968="","",IFERROR(INDEX(Items!$B$5:$B$304,MATCH(B968,Items!$A$5:$A$304,0)),"Unknown code"))</f>
        <v/>
      </c>
      <c r="D968" s="15" t="n"/>
      <c r="E968" s="16" t="n"/>
      <c r="F968" s="18">
        <f>IF(OR(D968="",E968=""),"",D968*E968)</f>
        <v/>
      </c>
      <c r="G968" s="15" t="n"/>
    </row>
    <row r="969">
      <c r="A969" s="19" t="n"/>
      <c r="B969" s="15" t="n"/>
      <c r="C969">
        <f>IF(B969="","",IFERROR(INDEX(Items!$B$5:$B$304,MATCH(B969,Items!$A$5:$A$304,0)),"Unknown code"))</f>
        <v/>
      </c>
      <c r="D969" s="15" t="n"/>
      <c r="E969" s="16" t="n"/>
      <c r="F969" s="18">
        <f>IF(OR(D969="",E969=""),"",D969*E969)</f>
        <v/>
      </c>
      <c r="G969" s="15" t="n"/>
    </row>
    <row r="970">
      <c r="A970" s="19" t="n"/>
      <c r="B970" s="15" t="n"/>
      <c r="C970">
        <f>IF(B970="","",IFERROR(INDEX(Items!$B$5:$B$304,MATCH(B970,Items!$A$5:$A$304,0)),"Unknown code"))</f>
        <v/>
      </c>
      <c r="D970" s="15" t="n"/>
      <c r="E970" s="16" t="n"/>
      <c r="F970" s="18">
        <f>IF(OR(D970="",E970=""),"",D970*E970)</f>
        <v/>
      </c>
      <c r="G970" s="15" t="n"/>
    </row>
    <row r="971">
      <c r="A971" s="19" t="n"/>
      <c r="B971" s="15" t="n"/>
      <c r="C971">
        <f>IF(B971="","",IFERROR(INDEX(Items!$B$5:$B$304,MATCH(B971,Items!$A$5:$A$304,0)),"Unknown code"))</f>
        <v/>
      </c>
      <c r="D971" s="15" t="n"/>
      <c r="E971" s="16" t="n"/>
      <c r="F971" s="18">
        <f>IF(OR(D971="",E971=""),"",D971*E971)</f>
        <v/>
      </c>
      <c r="G971" s="15" t="n"/>
    </row>
    <row r="972">
      <c r="A972" s="19" t="n"/>
      <c r="B972" s="15" t="n"/>
      <c r="C972">
        <f>IF(B972="","",IFERROR(INDEX(Items!$B$5:$B$304,MATCH(B972,Items!$A$5:$A$304,0)),"Unknown code"))</f>
        <v/>
      </c>
      <c r="D972" s="15" t="n"/>
      <c r="E972" s="16" t="n"/>
      <c r="F972" s="18">
        <f>IF(OR(D972="",E972=""),"",D972*E972)</f>
        <v/>
      </c>
      <c r="G972" s="15" t="n"/>
    </row>
    <row r="973">
      <c r="A973" s="19" t="n"/>
      <c r="B973" s="15" t="n"/>
      <c r="C973">
        <f>IF(B973="","",IFERROR(INDEX(Items!$B$5:$B$304,MATCH(B973,Items!$A$5:$A$304,0)),"Unknown code"))</f>
        <v/>
      </c>
      <c r="D973" s="15" t="n"/>
      <c r="E973" s="16" t="n"/>
      <c r="F973" s="18">
        <f>IF(OR(D973="",E973=""),"",D973*E973)</f>
        <v/>
      </c>
      <c r="G973" s="15" t="n"/>
    </row>
    <row r="974">
      <c r="A974" s="19" t="n"/>
      <c r="B974" s="15" t="n"/>
      <c r="C974">
        <f>IF(B974="","",IFERROR(INDEX(Items!$B$5:$B$304,MATCH(B974,Items!$A$5:$A$304,0)),"Unknown code"))</f>
        <v/>
      </c>
      <c r="D974" s="15" t="n"/>
      <c r="E974" s="16" t="n"/>
      <c r="F974" s="18">
        <f>IF(OR(D974="",E974=""),"",D974*E974)</f>
        <v/>
      </c>
      <c r="G974" s="15" t="n"/>
    </row>
    <row r="975">
      <c r="A975" s="19" t="n"/>
      <c r="B975" s="15" t="n"/>
      <c r="C975">
        <f>IF(B975="","",IFERROR(INDEX(Items!$B$5:$B$304,MATCH(B975,Items!$A$5:$A$304,0)),"Unknown code"))</f>
        <v/>
      </c>
      <c r="D975" s="15" t="n"/>
      <c r="E975" s="16" t="n"/>
      <c r="F975" s="18">
        <f>IF(OR(D975="",E975=""),"",D975*E975)</f>
        <v/>
      </c>
      <c r="G975" s="15" t="n"/>
    </row>
    <row r="976">
      <c r="A976" s="19" t="n"/>
      <c r="B976" s="15" t="n"/>
      <c r="C976">
        <f>IF(B976="","",IFERROR(INDEX(Items!$B$5:$B$304,MATCH(B976,Items!$A$5:$A$304,0)),"Unknown code"))</f>
        <v/>
      </c>
      <c r="D976" s="15" t="n"/>
      <c r="E976" s="16" t="n"/>
      <c r="F976" s="18">
        <f>IF(OR(D976="",E976=""),"",D976*E976)</f>
        <v/>
      </c>
      <c r="G976" s="15" t="n"/>
    </row>
    <row r="977">
      <c r="A977" s="19" t="n"/>
      <c r="B977" s="15" t="n"/>
      <c r="C977">
        <f>IF(B977="","",IFERROR(INDEX(Items!$B$5:$B$304,MATCH(B977,Items!$A$5:$A$304,0)),"Unknown code"))</f>
        <v/>
      </c>
      <c r="D977" s="15" t="n"/>
      <c r="E977" s="16" t="n"/>
      <c r="F977" s="18">
        <f>IF(OR(D977="",E977=""),"",D977*E977)</f>
        <v/>
      </c>
      <c r="G977" s="15" t="n"/>
    </row>
    <row r="978">
      <c r="A978" s="19" t="n"/>
      <c r="B978" s="15" t="n"/>
      <c r="C978">
        <f>IF(B978="","",IFERROR(INDEX(Items!$B$5:$B$304,MATCH(B978,Items!$A$5:$A$304,0)),"Unknown code"))</f>
        <v/>
      </c>
      <c r="D978" s="15" t="n"/>
      <c r="E978" s="16" t="n"/>
      <c r="F978" s="18">
        <f>IF(OR(D978="",E978=""),"",D978*E978)</f>
        <v/>
      </c>
      <c r="G978" s="15" t="n"/>
    </row>
    <row r="979">
      <c r="A979" s="19" t="n"/>
      <c r="B979" s="15" t="n"/>
      <c r="C979">
        <f>IF(B979="","",IFERROR(INDEX(Items!$B$5:$B$304,MATCH(B979,Items!$A$5:$A$304,0)),"Unknown code"))</f>
        <v/>
      </c>
      <c r="D979" s="15" t="n"/>
      <c r="E979" s="16" t="n"/>
      <c r="F979" s="18">
        <f>IF(OR(D979="",E979=""),"",D979*E979)</f>
        <v/>
      </c>
      <c r="G979" s="15" t="n"/>
    </row>
    <row r="980">
      <c r="A980" s="19" t="n"/>
      <c r="B980" s="15" t="n"/>
      <c r="C980">
        <f>IF(B980="","",IFERROR(INDEX(Items!$B$5:$B$304,MATCH(B980,Items!$A$5:$A$304,0)),"Unknown code"))</f>
        <v/>
      </c>
      <c r="D980" s="15" t="n"/>
      <c r="E980" s="16" t="n"/>
      <c r="F980" s="18">
        <f>IF(OR(D980="",E980=""),"",D980*E980)</f>
        <v/>
      </c>
      <c r="G980" s="15" t="n"/>
    </row>
    <row r="981">
      <c r="A981" s="19" t="n"/>
      <c r="B981" s="15" t="n"/>
      <c r="C981">
        <f>IF(B981="","",IFERROR(INDEX(Items!$B$5:$B$304,MATCH(B981,Items!$A$5:$A$304,0)),"Unknown code"))</f>
        <v/>
      </c>
      <c r="D981" s="15" t="n"/>
      <c r="E981" s="16" t="n"/>
      <c r="F981" s="18">
        <f>IF(OR(D981="",E981=""),"",D981*E981)</f>
        <v/>
      </c>
      <c r="G981" s="15" t="n"/>
    </row>
    <row r="982">
      <c r="A982" s="19" t="n"/>
      <c r="B982" s="15" t="n"/>
      <c r="C982">
        <f>IF(B982="","",IFERROR(INDEX(Items!$B$5:$B$304,MATCH(B982,Items!$A$5:$A$304,0)),"Unknown code"))</f>
        <v/>
      </c>
      <c r="D982" s="15" t="n"/>
      <c r="E982" s="16" t="n"/>
      <c r="F982" s="18">
        <f>IF(OR(D982="",E982=""),"",D982*E982)</f>
        <v/>
      </c>
      <c r="G982" s="15" t="n"/>
    </row>
    <row r="983">
      <c r="A983" s="19" t="n"/>
      <c r="B983" s="15" t="n"/>
      <c r="C983">
        <f>IF(B983="","",IFERROR(INDEX(Items!$B$5:$B$304,MATCH(B983,Items!$A$5:$A$304,0)),"Unknown code"))</f>
        <v/>
      </c>
      <c r="D983" s="15" t="n"/>
      <c r="E983" s="16" t="n"/>
      <c r="F983" s="18">
        <f>IF(OR(D983="",E983=""),"",D983*E983)</f>
        <v/>
      </c>
      <c r="G983" s="15" t="n"/>
    </row>
    <row r="984">
      <c r="A984" s="19" t="n"/>
      <c r="B984" s="15" t="n"/>
      <c r="C984">
        <f>IF(B984="","",IFERROR(INDEX(Items!$B$5:$B$304,MATCH(B984,Items!$A$5:$A$304,0)),"Unknown code"))</f>
        <v/>
      </c>
      <c r="D984" s="15" t="n"/>
      <c r="E984" s="16" t="n"/>
      <c r="F984" s="18">
        <f>IF(OR(D984="",E984=""),"",D984*E984)</f>
        <v/>
      </c>
      <c r="G984" s="15" t="n"/>
    </row>
    <row r="985">
      <c r="A985" s="19" t="n"/>
      <c r="B985" s="15" t="n"/>
      <c r="C985">
        <f>IF(B985="","",IFERROR(INDEX(Items!$B$5:$B$304,MATCH(B985,Items!$A$5:$A$304,0)),"Unknown code"))</f>
        <v/>
      </c>
      <c r="D985" s="15" t="n"/>
      <c r="E985" s="16" t="n"/>
      <c r="F985" s="18">
        <f>IF(OR(D985="",E985=""),"",D985*E985)</f>
        <v/>
      </c>
      <c r="G985" s="15" t="n"/>
    </row>
    <row r="986">
      <c r="A986" s="19" t="n"/>
      <c r="B986" s="15" t="n"/>
      <c r="C986">
        <f>IF(B986="","",IFERROR(INDEX(Items!$B$5:$B$304,MATCH(B986,Items!$A$5:$A$304,0)),"Unknown code"))</f>
        <v/>
      </c>
      <c r="D986" s="15" t="n"/>
      <c r="E986" s="16" t="n"/>
      <c r="F986" s="18">
        <f>IF(OR(D986="",E986=""),"",D986*E986)</f>
        <v/>
      </c>
      <c r="G986" s="15" t="n"/>
    </row>
    <row r="987">
      <c r="A987" s="19" t="n"/>
      <c r="B987" s="15" t="n"/>
      <c r="C987">
        <f>IF(B987="","",IFERROR(INDEX(Items!$B$5:$B$304,MATCH(B987,Items!$A$5:$A$304,0)),"Unknown code"))</f>
        <v/>
      </c>
      <c r="D987" s="15" t="n"/>
      <c r="E987" s="16" t="n"/>
      <c r="F987" s="18">
        <f>IF(OR(D987="",E987=""),"",D987*E987)</f>
        <v/>
      </c>
      <c r="G987" s="15" t="n"/>
    </row>
    <row r="988">
      <c r="A988" s="19" t="n"/>
      <c r="B988" s="15" t="n"/>
      <c r="C988">
        <f>IF(B988="","",IFERROR(INDEX(Items!$B$5:$B$304,MATCH(B988,Items!$A$5:$A$304,0)),"Unknown code"))</f>
        <v/>
      </c>
      <c r="D988" s="15" t="n"/>
      <c r="E988" s="16" t="n"/>
      <c r="F988" s="18">
        <f>IF(OR(D988="",E988=""),"",D988*E988)</f>
        <v/>
      </c>
      <c r="G988" s="15" t="n"/>
    </row>
    <row r="989">
      <c r="A989" s="19" t="n"/>
      <c r="B989" s="15" t="n"/>
      <c r="C989">
        <f>IF(B989="","",IFERROR(INDEX(Items!$B$5:$B$304,MATCH(B989,Items!$A$5:$A$304,0)),"Unknown code"))</f>
        <v/>
      </c>
      <c r="D989" s="15" t="n"/>
      <c r="E989" s="16" t="n"/>
      <c r="F989" s="18">
        <f>IF(OR(D989="",E989=""),"",D989*E989)</f>
        <v/>
      </c>
      <c r="G989" s="15" t="n"/>
    </row>
    <row r="990">
      <c r="A990" s="19" t="n"/>
      <c r="B990" s="15" t="n"/>
      <c r="C990">
        <f>IF(B990="","",IFERROR(INDEX(Items!$B$5:$B$304,MATCH(B990,Items!$A$5:$A$304,0)),"Unknown code"))</f>
        <v/>
      </c>
      <c r="D990" s="15" t="n"/>
      <c r="E990" s="16" t="n"/>
      <c r="F990" s="18">
        <f>IF(OR(D990="",E990=""),"",D990*E990)</f>
        <v/>
      </c>
      <c r="G990" s="15" t="n"/>
    </row>
    <row r="991">
      <c r="A991" s="19" t="n"/>
      <c r="B991" s="15" t="n"/>
      <c r="C991">
        <f>IF(B991="","",IFERROR(INDEX(Items!$B$5:$B$304,MATCH(B991,Items!$A$5:$A$304,0)),"Unknown code"))</f>
        <v/>
      </c>
      <c r="D991" s="15" t="n"/>
      <c r="E991" s="16" t="n"/>
      <c r="F991" s="18">
        <f>IF(OR(D991="",E991=""),"",D991*E991)</f>
        <v/>
      </c>
      <c r="G991" s="15" t="n"/>
    </row>
    <row r="992">
      <c r="A992" s="19" t="n"/>
      <c r="B992" s="15" t="n"/>
      <c r="C992">
        <f>IF(B992="","",IFERROR(INDEX(Items!$B$5:$B$304,MATCH(B992,Items!$A$5:$A$304,0)),"Unknown code"))</f>
        <v/>
      </c>
      <c r="D992" s="15" t="n"/>
      <c r="E992" s="16" t="n"/>
      <c r="F992" s="18">
        <f>IF(OR(D992="",E992=""),"",D992*E992)</f>
        <v/>
      </c>
      <c r="G992" s="15" t="n"/>
    </row>
    <row r="993">
      <c r="A993" s="19" t="n"/>
      <c r="B993" s="15" t="n"/>
      <c r="C993">
        <f>IF(B993="","",IFERROR(INDEX(Items!$B$5:$B$304,MATCH(B993,Items!$A$5:$A$304,0)),"Unknown code"))</f>
        <v/>
      </c>
      <c r="D993" s="15" t="n"/>
      <c r="E993" s="16" t="n"/>
      <c r="F993" s="18">
        <f>IF(OR(D993="",E993=""),"",D993*E993)</f>
        <v/>
      </c>
      <c r="G993" s="15" t="n"/>
    </row>
    <row r="994">
      <c r="A994" s="19" t="n"/>
      <c r="B994" s="15" t="n"/>
      <c r="C994">
        <f>IF(B994="","",IFERROR(INDEX(Items!$B$5:$B$304,MATCH(B994,Items!$A$5:$A$304,0)),"Unknown code"))</f>
        <v/>
      </c>
      <c r="D994" s="15" t="n"/>
      <c r="E994" s="16" t="n"/>
      <c r="F994" s="18">
        <f>IF(OR(D994="",E994=""),"",D994*E994)</f>
        <v/>
      </c>
      <c r="G994" s="15" t="n"/>
    </row>
    <row r="995">
      <c r="A995" s="19" t="n"/>
      <c r="B995" s="15" t="n"/>
      <c r="C995">
        <f>IF(B995="","",IFERROR(INDEX(Items!$B$5:$B$304,MATCH(B995,Items!$A$5:$A$304,0)),"Unknown code"))</f>
        <v/>
      </c>
      <c r="D995" s="15" t="n"/>
      <c r="E995" s="16" t="n"/>
      <c r="F995" s="18">
        <f>IF(OR(D995="",E995=""),"",D995*E995)</f>
        <v/>
      </c>
      <c r="G995" s="15" t="n"/>
    </row>
    <row r="996">
      <c r="A996" s="19" t="n"/>
      <c r="B996" s="15" t="n"/>
      <c r="C996">
        <f>IF(B996="","",IFERROR(INDEX(Items!$B$5:$B$304,MATCH(B996,Items!$A$5:$A$304,0)),"Unknown code"))</f>
        <v/>
      </c>
      <c r="D996" s="15" t="n"/>
      <c r="E996" s="16" t="n"/>
      <c r="F996" s="18">
        <f>IF(OR(D996="",E996=""),"",D996*E996)</f>
        <v/>
      </c>
      <c r="G996" s="15" t="n"/>
    </row>
    <row r="997">
      <c r="A997" s="19" t="n"/>
      <c r="B997" s="15" t="n"/>
      <c r="C997">
        <f>IF(B997="","",IFERROR(INDEX(Items!$B$5:$B$304,MATCH(B997,Items!$A$5:$A$304,0)),"Unknown code"))</f>
        <v/>
      </c>
      <c r="D997" s="15" t="n"/>
      <c r="E997" s="16" t="n"/>
      <c r="F997" s="18">
        <f>IF(OR(D997="",E997=""),"",D997*E997)</f>
        <v/>
      </c>
      <c r="G997" s="15" t="n"/>
    </row>
    <row r="998">
      <c r="A998" s="19" t="n"/>
      <c r="B998" s="15" t="n"/>
      <c r="C998">
        <f>IF(B998="","",IFERROR(INDEX(Items!$B$5:$B$304,MATCH(B998,Items!$A$5:$A$304,0)),"Unknown code"))</f>
        <v/>
      </c>
      <c r="D998" s="15" t="n"/>
      <c r="E998" s="16" t="n"/>
      <c r="F998" s="18">
        <f>IF(OR(D998="",E998=""),"",D998*E998)</f>
        <v/>
      </c>
      <c r="G998" s="15" t="n"/>
    </row>
    <row r="999">
      <c r="A999" s="19" t="n"/>
      <c r="B999" s="15" t="n"/>
      <c r="C999">
        <f>IF(B999="","",IFERROR(INDEX(Items!$B$5:$B$304,MATCH(B999,Items!$A$5:$A$304,0)),"Unknown code"))</f>
        <v/>
      </c>
      <c r="D999" s="15" t="n"/>
      <c r="E999" s="16" t="n"/>
      <c r="F999" s="18">
        <f>IF(OR(D999="",E999=""),"",D999*E999)</f>
        <v/>
      </c>
      <c r="G999" s="15" t="n"/>
    </row>
    <row r="1000">
      <c r="A1000" s="19" t="n"/>
      <c r="B1000" s="15" t="n"/>
      <c r="C1000">
        <f>IF(B1000="","",IFERROR(INDEX(Items!$B$5:$B$304,MATCH(B1000,Items!$A$5:$A$304,0)),"Unknown code"))</f>
        <v/>
      </c>
      <c r="D1000" s="15" t="n"/>
      <c r="E1000" s="16" t="n"/>
      <c r="F1000" s="18">
        <f>IF(OR(D1000="",E1000=""),"",D1000*E1000)</f>
        <v/>
      </c>
      <c r="G1000" s="15" t="n"/>
    </row>
    <row r="1001">
      <c r="A1001" s="19" t="n"/>
      <c r="B1001" s="15" t="n"/>
      <c r="C1001">
        <f>IF(B1001="","",IFERROR(INDEX(Items!$B$5:$B$304,MATCH(B1001,Items!$A$5:$A$304,0)),"Unknown code"))</f>
        <v/>
      </c>
      <c r="D1001" s="15" t="n"/>
      <c r="E1001" s="16" t="n"/>
      <c r="F1001" s="18">
        <f>IF(OR(D1001="",E1001=""),"",D1001*E1001)</f>
        <v/>
      </c>
      <c r="G1001" s="15" t="n"/>
    </row>
    <row r="1002">
      <c r="A1002" s="19" t="n"/>
      <c r="B1002" s="15" t="n"/>
      <c r="C1002">
        <f>IF(B1002="","",IFERROR(INDEX(Items!$B$5:$B$304,MATCH(B1002,Items!$A$5:$A$304,0)),"Unknown code"))</f>
        <v/>
      </c>
      <c r="D1002" s="15" t="n"/>
      <c r="E1002" s="16" t="n"/>
      <c r="F1002" s="18">
        <f>IF(OR(D1002="",E1002=""),"",D1002*E1002)</f>
        <v/>
      </c>
      <c r="G1002" s="15" t="n"/>
    </row>
    <row r="1003">
      <c r="A1003" s="19" t="n"/>
      <c r="B1003" s="15" t="n"/>
      <c r="C1003">
        <f>IF(B1003="","",IFERROR(INDEX(Items!$B$5:$B$304,MATCH(B1003,Items!$A$5:$A$304,0)),"Unknown code"))</f>
        <v/>
      </c>
      <c r="D1003" s="15" t="n"/>
      <c r="E1003" s="16" t="n"/>
      <c r="F1003" s="18">
        <f>IF(OR(D1003="",E1003=""),"",D1003*E1003)</f>
        <v/>
      </c>
      <c r="G1003" s="15" t="n"/>
    </row>
    <row r="1004">
      <c r="A1004" s="19" t="n"/>
      <c r="B1004" s="15" t="n"/>
      <c r="C1004">
        <f>IF(B1004="","",IFERROR(INDEX(Items!$B$5:$B$304,MATCH(B1004,Items!$A$5:$A$304,0)),"Unknown code"))</f>
        <v/>
      </c>
      <c r="D1004" s="15" t="n"/>
      <c r="E1004" s="16" t="n"/>
      <c r="F1004" s="18">
        <f>IF(OR(D1004="",E1004=""),"",D1004*E1004)</f>
        <v/>
      </c>
      <c r="G1004" s="15" t="n"/>
    </row>
    <row r="1005">
      <c r="A1005" s="19" t="n"/>
      <c r="B1005" s="15" t="n"/>
      <c r="C1005">
        <f>IF(B1005="","",IFERROR(INDEX(Items!$B$5:$B$304,MATCH(B1005,Items!$A$5:$A$304,0)),"Unknown code"))</f>
        <v/>
      </c>
      <c r="D1005" s="15" t="n"/>
      <c r="E1005" s="16" t="n"/>
      <c r="F1005" s="18">
        <f>IF(OR(D1005="",E1005=""),"",D1005*E1005)</f>
        <v/>
      </c>
      <c r="G1005" s="15" t="n"/>
    </row>
    <row r="1006">
      <c r="A1006" s="19" t="n"/>
      <c r="B1006" s="15" t="n"/>
      <c r="C1006">
        <f>IF(B1006="","",IFERROR(INDEX(Items!$B$5:$B$304,MATCH(B1006,Items!$A$5:$A$304,0)),"Unknown code"))</f>
        <v/>
      </c>
      <c r="D1006" s="15" t="n"/>
      <c r="E1006" s="16" t="n"/>
      <c r="F1006" s="18">
        <f>IF(OR(D1006="",E1006=""),"",D1006*E1006)</f>
        <v/>
      </c>
      <c r="G1006" s="15" t="n"/>
    </row>
    <row r="1007">
      <c r="A1007" s="19" t="n"/>
      <c r="B1007" s="15" t="n"/>
      <c r="C1007">
        <f>IF(B1007="","",IFERROR(INDEX(Items!$B$5:$B$304,MATCH(B1007,Items!$A$5:$A$304,0)),"Unknown code"))</f>
        <v/>
      </c>
      <c r="D1007" s="15" t="n"/>
      <c r="E1007" s="16" t="n"/>
      <c r="F1007" s="18">
        <f>IF(OR(D1007="",E1007=""),"",D1007*E1007)</f>
        <v/>
      </c>
      <c r="G1007" s="15" t="n"/>
    </row>
    <row r="1008">
      <c r="A1008" s="19" t="n"/>
      <c r="B1008" s="15" t="n"/>
      <c r="C1008">
        <f>IF(B1008="","",IFERROR(INDEX(Items!$B$5:$B$304,MATCH(B1008,Items!$A$5:$A$304,0)),"Unknown code"))</f>
        <v/>
      </c>
      <c r="D1008" s="15" t="n"/>
      <c r="E1008" s="16" t="n"/>
      <c r="F1008" s="18">
        <f>IF(OR(D1008="",E1008=""),"",D1008*E1008)</f>
        <v/>
      </c>
      <c r="G1008" s="15" t="n"/>
    </row>
    <row r="1009">
      <c r="A1009" s="19" t="n"/>
      <c r="B1009" s="15" t="n"/>
      <c r="C1009">
        <f>IF(B1009="","",IFERROR(INDEX(Items!$B$5:$B$304,MATCH(B1009,Items!$A$5:$A$304,0)),"Unknown code"))</f>
        <v/>
      </c>
      <c r="D1009" s="15" t="n"/>
      <c r="E1009" s="16" t="n"/>
      <c r="F1009" s="18">
        <f>IF(OR(D1009="",E1009=""),"",D1009*E1009)</f>
        <v/>
      </c>
      <c r="G1009" s="15" t="n"/>
    </row>
    <row r="1010">
      <c r="A1010" s="19" t="n"/>
      <c r="B1010" s="15" t="n"/>
      <c r="C1010">
        <f>IF(B1010="","",IFERROR(INDEX(Items!$B$5:$B$304,MATCH(B1010,Items!$A$5:$A$304,0)),"Unknown code"))</f>
        <v/>
      </c>
      <c r="D1010" s="15" t="n"/>
      <c r="E1010" s="16" t="n"/>
      <c r="F1010" s="18">
        <f>IF(OR(D1010="",E1010=""),"",D1010*E1010)</f>
        <v/>
      </c>
      <c r="G1010" s="15" t="n"/>
    </row>
    <row r="1011">
      <c r="A1011" s="19" t="n"/>
      <c r="B1011" s="15" t="n"/>
      <c r="C1011">
        <f>IF(B1011="","",IFERROR(INDEX(Items!$B$5:$B$304,MATCH(B1011,Items!$A$5:$A$304,0)),"Unknown code"))</f>
        <v/>
      </c>
      <c r="D1011" s="15" t="n"/>
      <c r="E1011" s="16" t="n"/>
      <c r="F1011" s="18">
        <f>IF(OR(D1011="",E1011=""),"",D1011*E1011)</f>
        <v/>
      </c>
      <c r="G1011" s="15" t="n"/>
    </row>
    <row r="1012">
      <c r="A1012" s="19" t="n"/>
      <c r="B1012" s="15" t="n"/>
      <c r="C1012">
        <f>IF(B1012="","",IFERROR(INDEX(Items!$B$5:$B$304,MATCH(B1012,Items!$A$5:$A$304,0)),"Unknown code"))</f>
        <v/>
      </c>
      <c r="D1012" s="15" t="n"/>
      <c r="E1012" s="16" t="n"/>
      <c r="F1012" s="18">
        <f>IF(OR(D1012="",E1012=""),"",D1012*E1012)</f>
        <v/>
      </c>
      <c r="G1012" s="15" t="n"/>
    </row>
    <row r="1013">
      <c r="A1013" s="19" t="n"/>
      <c r="B1013" s="15" t="n"/>
      <c r="C1013">
        <f>IF(B1013="","",IFERROR(INDEX(Items!$B$5:$B$304,MATCH(B1013,Items!$A$5:$A$304,0)),"Unknown code"))</f>
        <v/>
      </c>
      <c r="D1013" s="15" t="n"/>
      <c r="E1013" s="16" t="n"/>
      <c r="F1013" s="18">
        <f>IF(OR(D1013="",E1013=""),"",D1013*E1013)</f>
        <v/>
      </c>
      <c r="G1013" s="15" t="n"/>
    </row>
    <row r="1014">
      <c r="A1014" s="19" t="n"/>
      <c r="B1014" s="15" t="n"/>
      <c r="C1014">
        <f>IF(B1014="","",IFERROR(INDEX(Items!$B$5:$B$304,MATCH(B1014,Items!$A$5:$A$304,0)),"Unknown code"))</f>
        <v/>
      </c>
      <c r="D1014" s="15" t="n"/>
      <c r="E1014" s="16" t="n"/>
      <c r="F1014" s="18">
        <f>IF(OR(D1014="",E1014=""),"",D1014*E1014)</f>
        <v/>
      </c>
      <c r="G1014" s="15" t="n"/>
    </row>
    <row r="1015">
      <c r="A1015" s="19" t="n"/>
      <c r="B1015" s="15" t="n"/>
      <c r="C1015">
        <f>IF(B1015="","",IFERROR(INDEX(Items!$B$5:$B$304,MATCH(B1015,Items!$A$5:$A$304,0)),"Unknown code"))</f>
        <v/>
      </c>
      <c r="D1015" s="15" t="n"/>
      <c r="E1015" s="16" t="n"/>
      <c r="F1015" s="18">
        <f>IF(OR(D1015="",E1015=""),"",D1015*E1015)</f>
        <v/>
      </c>
      <c r="G1015" s="15" t="n"/>
    </row>
    <row r="1016">
      <c r="A1016" s="19" t="n"/>
      <c r="B1016" s="15" t="n"/>
      <c r="C1016">
        <f>IF(B1016="","",IFERROR(INDEX(Items!$B$5:$B$304,MATCH(B1016,Items!$A$5:$A$304,0)),"Unknown code"))</f>
        <v/>
      </c>
      <c r="D1016" s="15" t="n"/>
      <c r="E1016" s="16" t="n"/>
      <c r="F1016" s="18">
        <f>IF(OR(D1016="",E1016=""),"",D1016*E1016)</f>
        <v/>
      </c>
      <c r="G1016" s="15" t="n"/>
    </row>
    <row r="1017">
      <c r="A1017" s="19" t="n"/>
      <c r="B1017" s="15" t="n"/>
      <c r="C1017">
        <f>IF(B1017="","",IFERROR(INDEX(Items!$B$5:$B$304,MATCH(B1017,Items!$A$5:$A$304,0)),"Unknown code"))</f>
        <v/>
      </c>
      <c r="D1017" s="15" t="n"/>
      <c r="E1017" s="16" t="n"/>
      <c r="F1017" s="18">
        <f>IF(OR(D1017="",E1017=""),"",D1017*E1017)</f>
        <v/>
      </c>
      <c r="G1017" s="15" t="n"/>
    </row>
    <row r="1018">
      <c r="A1018" s="19" t="n"/>
      <c r="B1018" s="15" t="n"/>
      <c r="C1018">
        <f>IF(B1018="","",IFERROR(INDEX(Items!$B$5:$B$304,MATCH(B1018,Items!$A$5:$A$304,0)),"Unknown code"))</f>
        <v/>
      </c>
      <c r="D1018" s="15" t="n"/>
      <c r="E1018" s="16" t="n"/>
      <c r="F1018" s="18">
        <f>IF(OR(D1018="",E1018=""),"",D1018*E1018)</f>
        <v/>
      </c>
      <c r="G1018" s="15" t="n"/>
    </row>
    <row r="1019">
      <c r="A1019" s="19" t="n"/>
      <c r="B1019" s="15" t="n"/>
      <c r="C1019">
        <f>IF(B1019="","",IFERROR(INDEX(Items!$B$5:$B$304,MATCH(B1019,Items!$A$5:$A$304,0)),"Unknown code"))</f>
        <v/>
      </c>
      <c r="D1019" s="15" t="n"/>
      <c r="E1019" s="16" t="n"/>
      <c r="F1019" s="18">
        <f>IF(OR(D1019="",E1019=""),"",D1019*E1019)</f>
        <v/>
      </c>
      <c r="G1019" s="15" t="n"/>
    </row>
    <row r="1020">
      <c r="A1020" s="19" t="n"/>
      <c r="B1020" s="15" t="n"/>
      <c r="C1020">
        <f>IF(B1020="","",IFERROR(INDEX(Items!$B$5:$B$304,MATCH(B1020,Items!$A$5:$A$304,0)),"Unknown code"))</f>
        <v/>
      </c>
      <c r="D1020" s="15" t="n"/>
      <c r="E1020" s="16" t="n"/>
      <c r="F1020" s="18">
        <f>IF(OR(D1020="",E1020=""),"",D1020*E1020)</f>
        <v/>
      </c>
      <c r="G1020" s="15" t="n"/>
    </row>
    <row r="1021">
      <c r="A1021" s="19" t="n"/>
      <c r="B1021" s="15" t="n"/>
      <c r="C1021">
        <f>IF(B1021="","",IFERROR(INDEX(Items!$B$5:$B$304,MATCH(B1021,Items!$A$5:$A$304,0)),"Unknown code"))</f>
        <v/>
      </c>
      <c r="D1021" s="15" t="n"/>
      <c r="E1021" s="16" t="n"/>
      <c r="F1021" s="18">
        <f>IF(OR(D1021="",E1021=""),"",D1021*E1021)</f>
        <v/>
      </c>
      <c r="G1021" s="15" t="n"/>
    </row>
    <row r="1022">
      <c r="A1022" s="19" t="n"/>
      <c r="B1022" s="15" t="n"/>
      <c r="C1022">
        <f>IF(B1022="","",IFERROR(INDEX(Items!$B$5:$B$304,MATCH(B1022,Items!$A$5:$A$304,0)),"Unknown code"))</f>
        <v/>
      </c>
      <c r="D1022" s="15" t="n"/>
      <c r="E1022" s="16" t="n"/>
      <c r="F1022" s="18">
        <f>IF(OR(D1022="",E1022=""),"",D1022*E1022)</f>
        <v/>
      </c>
      <c r="G1022" s="15" t="n"/>
    </row>
    <row r="1023">
      <c r="A1023" s="19" t="n"/>
      <c r="B1023" s="15" t="n"/>
      <c r="C1023">
        <f>IF(B1023="","",IFERROR(INDEX(Items!$B$5:$B$304,MATCH(B1023,Items!$A$5:$A$304,0)),"Unknown code"))</f>
        <v/>
      </c>
      <c r="D1023" s="15" t="n"/>
      <c r="E1023" s="16" t="n"/>
      <c r="F1023" s="18">
        <f>IF(OR(D1023="",E1023=""),"",D1023*E1023)</f>
        <v/>
      </c>
      <c r="G1023" s="15" t="n"/>
    </row>
    <row r="1024">
      <c r="A1024" s="19" t="n"/>
      <c r="B1024" s="15" t="n"/>
      <c r="C1024">
        <f>IF(B1024="","",IFERROR(INDEX(Items!$B$5:$B$304,MATCH(B1024,Items!$A$5:$A$304,0)),"Unknown code"))</f>
        <v/>
      </c>
      <c r="D1024" s="15" t="n"/>
      <c r="E1024" s="16" t="n"/>
      <c r="F1024" s="18">
        <f>IF(OR(D1024="",E1024=""),"",D1024*E1024)</f>
        <v/>
      </c>
      <c r="G1024" s="15" t="n"/>
    </row>
    <row r="1025">
      <c r="A1025" s="19" t="n"/>
      <c r="B1025" s="15" t="n"/>
      <c r="C1025">
        <f>IF(B1025="","",IFERROR(INDEX(Items!$B$5:$B$304,MATCH(B1025,Items!$A$5:$A$304,0)),"Unknown code"))</f>
        <v/>
      </c>
      <c r="D1025" s="15" t="n"/>
      <c r="E1025" s="16" t="n"/>
      <c r="F1025" s="18">
        <f>IF(OR(D1025="",E1025=""),"",D1025*E1025)</f>
        <v/>
      </c>
      <c r="G1025" s="15" t="n"/>
    </row>
    <row r="1026">
      <c r="A1026" s="19" t="n"/>
      <c r="B1026" s="15" t="n"/>
      <c r="C1026">
        <f>IF(B1026="","",IFERROR(INDEX(Items!$B$5:$B$304,MATCH(B1026,Items!$A$5:$A$304,0)),"Unknown code"))</f>
        <v/>
      </c>
      <c r="D1026" s="15" t="n"/>
      <c r="E1026" s="16" t="n"/>
      <c r="F1026" s="18">
        <f>IF(OR(D1026="",E1026=""),"",D1026*E1026)</f>
        <v/>
      </c>
      <c r="G1026" s="15" t="n"/>
    </row>
    <row r="1027">
      <c r="A1027" s="19" t="n"/>
      <c r="B1027" s="15" t="n"/>
      <c r="C1027">
        <f>IF(B1027="","",IFERROR(INDEX(Items!$B$5:$B$304,MATCH(B1027,Items!$A$5:$A$304,0)),"Unknown code"))</f>
        <v/>
      </c>
      <c r="D1027" s="15" t="n"/>
      <c r="E1027" s="16" t="n"/>
      <c r="F1027" s="18">
        <f>IF(OR(D1027="",E1027=""),"",D1027*E1027)</f>
        <v/>
      </c>
      <c r="G1027" s="15" t="n"/>
    </row>
    <row r="1028">
      <c r="A1028" s="19" t="n"/>
      <c r="B1028" s="15" t="n"/>
      <c r="C1028">
        <f>IF(B1028="","",IFERROR(INDEX(Items!$B$5:$B$304,MATCH(B1028,Items!$A$5:$A$304,0)),"Unknown code"))</f>
        <v/>
      </c>
      <c r="D1028" s="15" t="n"/>
      <c r="E1028" s="16" t="n"/>
      <c r="F1028" s="18">
        <f>IF(OR(D1028="",E1028=""),"",D1028*E1028)</f>
        <v/>
      </c>
      <c r="G1028" s="15" t="n"/>
    </row>
    <row r="1029">
      <c r="A1029" s="19" t="n"/>
      <c r="B1029" s="15" t="n"/>
      <c r="C1029">
        <f>IF(B1029="","",IFERROR(INDEX(Items!$B$5:$B$304,MATCH(B1029,Items!$A$5:$A$304,0)),"Unknown code"))</f>
        <v/>
      </c>
      <c r="D1029" s="15" t="n"/>
      <c r="E1029" s="16" t="n"/>
      <c r="F1029" s="18">
        <f>IF(OR(D1029="",E1029=""),"",D1029*E1029)</f>
        <v/>
      </c>
      <c r="G1029" s="15" t="n"/>
    </row>
    <row r="1030">
      <c r="A1030" s="19" t="n"/>
      <c r="B1030" s="15" t="n"/>
      <c r="C1030">
        <f>IF(B1030="","",IFERROR(INDEX(Items!$B$5:$B$304,MATCH(B1030,Items!$A$5:$A$304,0)),"Unknown code"))</f>
        <v/>
      </c>
      <c r="D1030" s="15" t="n"/>
      <c r="E1030" s="16" t="n"/>
      <c r="F1030" s="18">
        <f>IF(OR(D1030="",E1030=""),"",D1030*E1030)</f>
        <v/>
      </c>
      <c r="G1030" s="15" t="n"/>
    </row>
    <row r="1031">
      <c r="A1031" s="19" t="n"/>
      <c r="B1031" s="15" t="n"/>
      <c r="C1031">
        <f>IF(B1031="","",IFERROR(INDEX(Items!$B$5:$B$304,MATCH(B1031,Items!$A$5:$A$304,0)),"Unknown code"))</f>
        <v/>
      </c>
      <c r="D1031" s="15" t="n"/>
      <c r="E1031" s="16" t="n"/>
      <c r="F1031" s="18">
        <f>IF(OR(D1031="",E1031=""),"",D1031*E1031)</f>
        <v/>
      </c>
      <c r="G1031" s="15" t="n"/>
    </row>
    <row r="1032">
      <c r="A1032" s="19" t="n"/>
      <c r="B1032" s="15" t="n"/>
      <c r="C1032">
        <f>IF(B1032="","",IFERROR(INDEX(Items!$B$5:$B$304,MATCH(B1032,Items!$A$5:$A$304,0)),"Unknown code"))</f>
        <v/>
      </c>
      <c r="D1032" s="15" t="n"/>
      <c r="E1032" s="16" t="n"/>
      <c r="F1032" s="18">
        <f>IF(OR(D1032="",E1032=""),"",D1032*E1032)</f>
        <v/>
      </c>
      <c r="G1032" s="15" t="n"/>
    </row>
    <row r="1033">
      <c r="A1033" s="19" t="n"/>
      <c r="B1033" s="15" t="n"/>
      <c r="C1033">
        <f>IF(B1033="","",IFERROR(INDEX(Items!$B$5:$B$304,MATCH(B1033,Items!$A$5:$A$304,0)),"Unknown code"))</f>
        <v/>
      </c>
      <c r="D1033" s="15" t="n"/>
      <c r="E1033" s="16" t="n"/>
      <c r="F1033" s="18">
        <f>IF(OR(D1033="",E1033=""),"",D1033*E1033)</f>
        <v/>
      </c>
      <c r="G1033" s="15" t="n"/>
    </row>
    <row r="1034">
      <c r="A1034" s="19" t="n"/>
      <c r="B1034" s="15" t="n"/>
      <c r="C1034">
        <f>IF(B1034="","",IFERROR(INDEX(Items!$B$5:$B$304,MATCH(B1034,Items!$A$5:$A$304,0)),"Unknown code"))</f>
        <v/>
      </c>
      <c r="D1034" s="15" t="n"/>
      <c r="E1034" s="16" t="n"/>
      <c r="F1034" s="18">
        <f>IF(OR(D1034="",E1034=""),"",D1034*E1034)</f>
        <v/>
      </c>
      <c r="G1034" s="15" t="n"/>
    </row>
    <row r="1035">
      <c r="A1035" s="19" t="n"/>
      <c r="B1035" s="15" t="n"/>
      <c r="C1035">
        <f>IF(B1035="","",IFERROR(INDEX(Items!$B$5:$B$304,MATCH(B1035,Items!$A$5:$A$304,0)),"Unknown code"))</f>
        <v/>
      </c>
      <c r="D1035" s="15" t="n"/>
      <c r="E1035" s="16" t="n"/>
      <c r="F1035" s="18">
        <f>IF(OR(D1035="",E1035=""),"",D1035*E1035)</f>
        <v/>
      </c>
      <c r="G1035" s="15" t="n"/>
    </row>
    <row r="1036">
      <c r="A1036" s="19" t="n"/>
      <c r="B1036" s="15" t="n"/>
      <c r="C1036">
        <f>IF(B1036="","",IFERROR(INDEX(Items!$B$5:$B$304,MATCH(B1036,Items!$A$5:$A$304,0)),"Unknown code"))</f>
        <v/>
      </c>
      <c r="D1036" s="15" t="n"/>
      <c r="E1036" s="16" t="n"/>
      <c r="F1036" s="18">
        <f>IF(OR(D1036="",E1036=""),"",D1036*E1036)</f>
        <v/>
      </c>
      <c r="G1036" s="15" t="n"/>
    </row>
    <row r="1037">
      <c r="A1037" s="19" t="n"/>
      <c r="B1037" s="15" t="n"/>
      <c r="C1037">
        <f>IF(B1037="","",IFERROR(INDEX(Items!$B$5:$B$304,MATCH(B1037,Items!$A$5:$A$304,0)),"Unknown code"))</f>
        <v/>
      </c>
      <c r="D1037" s="15" t="n"/>
      <c r="E1037" s="16" t="n"/>
      <c r="F1037" s="18">
        <f>IF(OR(D1037="",E1037=""),"",D1037*E1037)</f>
        <v/>
      </c>
      <c r="G1037" s="15" t="n"/>
    </row>
    <row r="1038">
      <c r="A1038" s="19" t="n"/>
      <c r="B1038" s="15" t="n"/>
      <c r="C1038">
        <f>IF(B1038="","",IFERROR(INDEX(Items!$B$5:$B$304,MATCH(B1038,Items!$A$5:$A$304,0)),"Unknown code"))</f>
        <v/>
      </c>
      <c r="D1038" s="15" t="n"/>
      <c r="E1038" s="16" t="n"/>
      <c r="F1038" s="18">
        <f>IF(OR(D1038="",E1038=""),"",D1038*E1038)</f>
        <v/>
      </c>
      <c r="G1038" s="15" t="n"/>
    </row>
    <row r="1039">
      <c r="A1039" s="19" t="n"/>
      <c r="B1039" s="15" t="n"/>
      <c r="C1039">
        <f>IF(B1039="","",IFERROR(INDEX(Items!$B$5:$B$304,MATCH(B1039,Items!$A$5:$A$304,0)),"Unknown code"))</f>
        <v/>
      </c>
      <c r="D1039" s="15" t="n"/>
      <c r="E1039" s="16" t="n"/>
      <c r="F1039" s="18">
        <f>IF(OR(D1039="",E1039=""),"",D1039*E1039)</f>
        <v/>
      </c>
      <c r="G1039" s="15" t="n"/>
    </row>
    <row r="1040">
      <c r="A1040" s="19" t="n"/>
      <c r="B1040" s="15" t="n"/>
      <c r="C1040">
        <f>IF(B1040="","",IFERROR(INDEX(Items!$B$5:$B$304,MATCH(B1040,Items!$A$5:$A$304,0)),"Unknown code"))</f>
        <v/>
      </c>
      <c r="D1040" s="15" t="n"/>
      <c r="E1040" s="16" t="n"/>
      <c r="F1040" s="18">
        <f>IF(OR(D1040="",E1040=""),"",D1040*E1040)</f>
        <v/>
      </c>
      <c r="G1040" s="15" t="n"/>
    </row>
    <row r="1041">
      <c r="A1041" s="19" t="n"/>
      <c r="B1041" s="15" t="n"/>
      <c r="C1041">
        <f>IF(B1041="","",IFERROR(INDEX(Items!$B$5:$B$304,MATCH(B1041,Items!$A$5:$A$304,0)),"Unknown code"))</f>
        <v/>
      </c>
      <c r="D1041" s="15" t="n"/>
      <c r="E1041" s="16" t="n"/>
      <c r="F1041" s="18">
        <f>IF(OR(D1041="",E1041=""),"",D1041*E1041)</f>
        <v/>
      </c>
      <c r="G1041" s="15" t="n"/>
    </row>
    <row r="1042">
      <c r="A1042" s="19" t="n"/>
      <c r="B1042" s="15" t="n"/>
      <c r="C1042">
        <f>IF(B1042="","",IFERROR(INDEX(Items!$B$5:$B$304,MATCH(B1042,Items!$A$5:$A$304,0)),"Unknown code"))</f>
        <v/>
      </c>
      <c r="D1042" s="15" t="n"/>
      <c r="E1042" s="16" t="n"/>
      <c r="F1042" s="18">
        <f>IF(OR(D1042="",E1042=""),"",D1042*E1042)</f>
        <v/>
      </c>
      <c r="G1042" s="15" t="n"/>
    </row>
    <row r="1043">
      <c r="A1043" s="19" t="n"/>
      <c r="B1043" s="15" t="n"/>
      <c r="C1043">
        <f>IF(B1043="","",IFERROR(INDEX(Items!$B$5:$B$304,MATCH(B1043,Items!$A$5:$A$304,0)),"Unknown code"))</f>
        <v/>
      </c>
      <c r="D1043" s="15" t="n"/>
      <c r="E1043" s="16" t="n"/>
      <c r="F1043" s="18">
        <f>IF(OR(D1043="",E1043=""),"",D1043*E1043)</f>
        <v/>
      </c>
      <c r="G1043" s="15" t="n"/>
    </row>
    <row r="1044">
      <c r="A1044" s="19" t="n"/>
      <c r="B1044" s="15" t="n"/>
      <c r="C1044">
        <f>IF(B1044="","",IFERROR(INDEX(Items!$B$5:$B$304,MATCH(B1044,Items!$A$5:$A$304,0)),"Unknown code"))</f>
        <v/>
      </c>
      <c r="D1044" s="15" t="n"/>
      <c r="E1044" s="16" t="n"/>
      <c r="F1044" s="18">
        <f>IF(OR(D1044="",E1044=""),"",D1044*E1044)</f>
        <v/>
      </c>
      <c r="G1044" s="15" t="n"/>
    </row>
    <row r="1045">
      <c r="A1045" s="19" t="n"/>
      <c r="B1045" s="15" t="n"/>
      <c r="C1045">
        <f>IF(B1045="","",IFERROR(INDEX(Items!$B$5:$B$304,MATCH(B1045,Items!$A$5:$A$304,0)),"Unknown code"))</f>
        <v/>
      </c>
      <c r="D1045" s="15" t="n"/>
      <c r="E1045" s="16" t="n"/>
      <c r="F1045" s="18">
        <f>IF(OR(D1045="",E1045=""),"",D1045*E1045)</f>
        <v/>
      </c>
      <c r="G1045" s="15" t="n"/>
    </row>
    <row r="1046">
      <c r="A1046" s="19" t="n"/>
      <c r="B1046" s="15" t="n"/>
      <c r="C1046">
        <f>IF(B1046="","",IFERROR(INDEX(Items!$B$5:$B$304,MATCH(B1046,Items!$A$5:$A$304,0)),"Unknown code"))</f>
        <v/>
      </c>
      <c r="D1046" s="15" t="n"/>
      <c r="E1046" s="16" t="n"/>
      <c r="F1046" s="18">
        <f>IF(OR(D1046="",E1046=""),"",D1046*E1046)</f>
        <v/>
      </c>
      <c r="G1046" s="15" t="n"/>
    </row>
    <row r="1047">
      <c r="A1047" s="19" t="n"/>
      <c r="B1047" s="15" t="n"/>
      <c r="C1047">
        <f>IF(B1047="","",IFERROR(INDEX(Items!$B$5:$B$304,MATCH(B1047,Items!$A$5:$A$304,0)),"Unknown code"))</f>
        <v/>
      </c>
      <c r="D1047" s="15" t="n"/>
      <c r="E1047" s="16" t="n"/>
      <c r="F1047" s="18">
        <f>IF(OR(D1047="",E1047=""),"",D1047*E1047)</f>
        <v/>
      </c>
      <c r="G1047" s="15" t="n"/>
    </row>
    <row r="1048">
      <c r="A1048" s="19" t="n"/>
      <c r="B1048" s="15" t="n"/>
      <c r="C1048">
        <f>IF(B1048="","",IFERROR(INDEX(Items!$B$5:$B$304,MATCH(B1048,Items!$A$5:$A$304,0)),"Unknown code"))</f>
        <v/>
      </c>
      <c r="D1048" s="15" t="n"/>
      <c r="E1048" s="16" t="n"/>
      <c r="F1048" s="18">
        <f>IF(OR(D1048="",E1048=""),"",D1048*E1048)</f>
        <v/>
      </c>
      <c r="G1048" s="15" t="n"/>
    </row>
    <row r="1049">
      <c r="A1049" s="19" t="n"/>
      <c r="B1049" s="15" t="n"/>
      <c r="C1049">
        <f>IF(B1049="","",IFERROR(INDEX(Items!$B$5:$B$304,MATCH(B1049,Items!$A$5:$A$304,0)),"Unknown code"))</f>
        <v/>
      </c>
      <c r="D1049" s="15" t="n"/>
      <c r="E1049" s="16" t="n"/>
      <c r="F1049" s="18">
        <f>IF(OR(D1049="",E1049=""),"",D1049*E1049)</f>
        <v/>
      </c>
      <c r="G1049" s="15" t="n"/>
    </row>
    <row r="1050">
      <c r="A1050" s="19" t="n"/>
      <c r="B1050" s="15" t="n"/>
      <c r="C1050">
        <f>IF(B1050="","",IFERROR(INDEX(Items!$B$5:$B$304,MATCH(B1050,Items!$A$5:$A$304,0)),"Unknown code"))</f>
        <v/>
      </c>
      <c r="D1050" s="15" t="n"/>
      <c r="E1050" s="16" t="n"/>
      <c r="F1050" s="18">
        <f>IF(OR(D1050="",E1050=""),"",D1050*E1050)</f>
        <v/>
      </c>
      <c r="G1050" s="15" t="n"/>
    </row>
    <row r="1051">
      <c r="A1051" s="19" t="n"/>
      <c r="B1051" s="15" t="n"/>
      <c r="C1051">
        <f>IF(B1051="","",IFERROR(INDEX(Items!$B$5:$B$304,MATCH(B1051,Items!$A$5:$A$304,0)),"Unknown code"))</f>
        <v/>
      </c>
      <c r="D1051" s="15" t="n"/>
      <c r="E1051" s="16" t="n"/>
      <c r="F1051" s="18">
        <f>IF(OR(D1051="",E1051=""),"",D1051*E1051)</f>
        <v/>
      </c>
      <c r="G1051" s="15" t="n"/>
    </row>
    <row r="1052">
      <c r="A1052" s="19" t="n"/>
      <c r="B1052" s="15" t="n"/>
      <c r="C1052">
        <f>IF(B1052="","",IFERROR(INDEX(Items!$B$5:$B$304,MATCH(B1052,Items!$A$5:$A$304,0)),"Unknown code"))</f>
        <v/>
      </c>
      <c r="D1052" s="15" t="n"/>
      <c r="E1052" s="16" t="n"/>
      <c r="F1052" s="18">
        <f>IF(OR(D1052="",E1052=""),"",D1052*E1052)</f>
        <v/>
      </c>
      <c r="G1052" s="15" t="n"/>
    </row>
    <row r="1053">
      <c r="A1053" s="19" t="n"/>
      <c r="B1053" s="15" t="n"/>
      <c r="C1053">
        <f>IF(B1053="","",IFERROR(INDEX(Items!$B$5:$B$304,MATCH(B1053,Items!$A$5:$A$304,0)),"Unknown code"))</f>
        <v/>
      </c>
      <c r="D1053" s="15" t="n"/>
      <c r="E1053" s="16" t="n"/>
      <c r="F1053" s="18">
        <f>IF(OR(D1053="",E1053=""),"",D1053*E1053)</f>
        <v/>
      </c>
      <c r="G1053" s="15" t="n"/>
    </row>
    <row r="1054">
      <c r="A1054" s="19" t="n"/>
      <c r="B1054" s="15" t="n"/>
      <c r="C1054">
        <f>IF(B1054="","",IFERROR(INDEX(Items!$B$5:$B$304,MATCH(B1054,Items!$A$5:$A$304,0)),"Unknown code"))</f>
        <v/>
      </c>
      <c r="D1054" s="15" t="n"/>
      <c r="E1054" s="16" t="n"/>
      <c r="F1054" s="18">
        <f>IF(OR(D1054="",E1054=""),"",D1054*E1054)</f>
        <v/>
      </c>
      <c r="G1054" s="15" t="n"/>
    </row>
    <row r="1055">
      <c r="A1055" s="19" t="n"/>
      <c r="B1055" s="15" t="n"/>
      <c r="C1055">
        <f>IF(B1055="","",IFERROR(INDEX(Items!$B$5:$B$304,MATCH(B1055,Items!$A$5:$A$304,0)),"Unknown code"))</f>
        <v/>
      </c>
      <c r="D1055" s="15" t="n"/>
      <c r="E1055" s="16" t="n"/>
      <c r="F1055" s="18">
        <f>IF(OR(D1055="",E1055=""),"",D1055*E1055)</f>
        <v/>
      </c>
      <c r="G1055" s="15" t="n"/>
    </row>
    <row r="1056">
      <c r="A1056" s="19" t="n"/>
      <c r="B1056" s="15" t="n"/>
      <c r="C1056">
        <f>IF(B1056="","",IFERROR(INDEX(Items!$B$5:$B$304,MATCH(B1056,Items!$A$5:$A$304,0)),"Unknown code"))</f>
        <v/>
      </c>
      <c r="D1056" s="15" t="n"/>
      <c r="E1056" s="16" t="n"/>
      <c r="F1056" s="18">
        <f>IF(OR(D1056="",E1056=""),"",D1056*E1056)</f>
        <v/>
      </c>
      <c r="G1056" s="15" t="n"/>
    </row>
    <row r="1057">
      <c r="A1057" s="19" t="n"/>
      <c r="B1057" s="15" t="n"/>
      <c r="C1057">
        <f>IF(B1057="","",IFERROR(INDEX(Items!$B$5:$B$304,MATCH(B1057,Items!$A$5:$A$304,0)),"Unknown code"))</f>
        <v/>
      </c>
      <c r="D1057" s="15" t="n"/>
      <c r="E1057" s="16" t="n"/>
      <c r="F1057" s="18">
        <f>IF(OR(D1057="",E1057=""),"",D1057*E1057)</f>
        <v/>
      </c>
      <c r="G1057" s="15" t="n"/>
    </row>
    <row r="1058">
      <c r="A1058" s="19" t="n"/>
      <c r="B1058" s="15" t="n"/>
      <c r="C1058">
        <f>IF(B1058="","",IFERROR(INDEX(Items!$B$5:$B$304,MATCH(B1058,Items!$A$5:$A$304,0)),"Unknown code"))</f>
        <v/>
      </c>
      <c r="D1058" s="15" t="n"/>
      <c r="E1058" s="16" t="n"/>
      <c r="F1058" s="18">
        <f>IF(OR(D1058="",E1058=""),"",D1058*E1058)</f>
        <v/>
      </c>
      <c r="G1058" s="15" t="n"/>
    </row>
    <row r="1059">
      <c r="A1059" s="19" t="n"/>
      <c r="B1059" s="15" t="n"/>
      <c r="C1059">
        <f>IF(B1059="","",IFERROR(INDEX(Items!$B$5:$B$304,MATCH(B1059,Items!$A$5:$A$304,0)),"Unknown code"))</f>
        <v/>
      </c>
      <c r="D1059" s="15" t="n"/>
      <c r="E1059" s="16" t="n"/>
      <c r="F1059" s="18">
        <f>IF(OR(D1059="",E1059=""),"",D1059*E1059)</f>
        <v/>
      </c>
      <c r="G1059" s="15" t="n"/>
    </row>
    <row r="1060">
      <c r="A1060" s="19" t="n"/>
      <c r="B1060" s="15" t="n"/>
      <c r="C1060">
        <f>IF(B1060="","",IFERROR(INDEX(Items!$B$5:$B$304,MATCH(B1060,Items!$A$5:$A$304,0)),"Unknown code"))</f>
        <v/>
      </c>
      <c r="D1060" s="15" t="n"/>
      <c r="E1060" s="16" t="n"/>
      <c r="F1060" s="18">
        <f>IF(OR(D1060="",E1060=""),"",D1060*E1060)</f>
        <v/>
      </c>
      <c r="G1060" s="15" t="n"/>
    </row>
    <row r="1061">
      <c r="A1061" s="19" t="n"/>
      <c r="B1061" s="15" t="n"/>
      <c r="C1061">
        <f>IF(B1061="","",IFERROR(INDEX(Items!$B$5:$B$304,MATCH(B1061,Items!$A$5:$A$304,0)),"Unknown code"))</f>
        <v/>
      </c>
      <c r="D1061" s="15" t="n"/>
      <c r="E1061" s="16" t="n"/>
      <c r="F1061" s="18">
        <f>IF(OR(D1061="",E1061=""),"",D1061*E1061)</f>
        <v/>
      </c>
      <c r="G1061" s="15" t="n"/>
    </row>
    <row r="1062">
      <c r="A1062" s="19" t="n"/>
      <c r="B1062" s="15" t="n"/>
      <c r="C1062">
        <f>IF(B1062="","",IFERROR(INDEX(Items!$B$5:$B$304,MATCH(B1062,Items!$A$5:$A$304,0)),"Unknown code"))</f>
        <v/>
      </c>
      <c r="D1062" s="15" t="n"/>
      <c r="E1062" s="16" t="n"/>
      <c r="F1062" s="18">
        <f>IF(OR(D1062="",E1062=""),"",D1062*E1062)</f>
        <v/>
      </c>
      <c r="G1062" s="15" t="n"/>
    </row>
    <row r="1063">
      <c r="A1063" s="19" t="n"/>
      <c r="B1063" s="15" t="n"/>
      <c r="C1063">
        <f>IF(B1063="","",IFERROR(INDEX(Items!$B$5:$B$304,MATCH(B1063,Items!$A$5:$A$304,0)),"Unknown code"))</f>
        <v/>
      </c>
      <c r="D1063" s="15" t="n"/>
      <c r="E1063" s="16" t="n"/>
      <c r="F1063" s="18">
        <f>IF(OR(D1063="",E1063=""),"",D1063*E1063)</f>
        <v/>
      </c>
      <c r="G1063" s="15" t="n"/>
    </row>
    <row r="1064">
      <c r="A1064" s="19" t="n"/>
      <c r="B1064" s="15" t="n"/>
      <c r="C1064">
        <f>IF(B1064="","",IFERROR(INDEX(Items!$B$5:$B$304,MATCH(B1064,Items!$A$5:$A$304,0)),"Unknown code"))</f>
        <v/>
      </c>
      <c r="D1064" s="15" t="n"/>
      <c r="E1064" s="16" t="n"/>
      <c r="F1064" s="18">
        <f>IF(OR(D1064="",E1064=""),"",D1064*E1064)</f>
        <v/>
      </c>
      <c r="G1064" s="15" t="n"/>
    </row>
    <row r="1065">
      <c r="A1065" s="19" t="n"/>
      <c r="B1065" s="15" t="n"/>
      <c r="C1065">
        <f>IF(B1065="","",IFERROR(INDEX(Items!$B$5:$B$304,MATCH(B1065,Items!$A$5:$A$304,0)),"Unknown code"))</f>
        <v/>
      </c>
      <c r="D1065" s="15" t="n"/>
      <c r="E1065" s="16" t="n"/>
      <c r="F1065" s="18">
        <f>IF(OR(D1065="",E1065=""),"",D1065*E1065)</f>
        <v/>
      </c>
      <c r="G1065" s="15" t="n"/>
    </row>
    <row r="1066">
      <c r="A1066" s="19" t="n"/>
      <c r="B1066" s="15" t="n"/>
      <c r="C1066">
        <f>IF(B1066="","",IFERROR(INDEX(Items!$B$5:$B$304,MATCH(B1066,Items!$A$5:$A$304,0)),"Unknown code"))</f>
        <v/>
      </c>
      <c r="D1066" s="15" t="n"/>
      <c r="E1066" s="16" t="n"/>
      <c r="F1066" s="18">
        <f>IF(OR(D1066="",E1066=""),"",D1066*E1066)</f>
        <v/>
      </c>
      <c r="G1066" s="15" t="n"/>
    </row>
    <row r="1067">
      <c r="A1067" s="19" t="n"/>
      <c r="B1067" s="15" t="n"/>
      <c r="C1067">
        <f>IF(B1067="","",IFERROR(INDEX(Items!$B$5:$B$304,MATCH(B1067,Items!$A$5:$A$304,0)),"Unknown code"))</f>
        <v/>
      </c>
      <c r="D1067" s="15" t="n"/>
      <c r="E1067" s="16" t="n"/>
      <c r="F1067" s="18">
        <f>IF(OR(D1067="",E1067=""),"",D1067*E1067)</f>
        <v/>
      </c>
      <c r="G1067" s="15" t="n"/>
    </row>
    <row r="1068">
      <c r="A1068" s="19" t="n"/>
      <c r="B1068" s="15" t="n"/>
      <c r="C1068">
        <f>IF(B1068="","",IFERROR(INDEX(Items!$B$5:$B$304,MATCH(B1068,Items!$A$5:$A$304,0)),"Unknown code"))</f>
        <v/>
      </c>
      <c r="D1068" s="15" t="n"/>
      <c r="E1068" s="16" t="n"/>
      <c r="F1068" s="18">
        <f>IF(OR(D1068="",E1068=""),"",D1068*E1068)</f>
        <v/>
      </c>
      <c r="G1068" s="15" t="n"/>
    </row>
    <row r="1069">
      <c r="A1069" s="19" t="n"/>
      <c r="B1069" s="15" t="n"/>
      <c r="C1069">
        <f>IF(B1069="","",IFERROR(INDEX(Items!$B$5:$B$304,MATCH(B1069,Items!$A$5:$A$304,0)),"Unknown code"))</f>
        <v/>
      </c>
      <c r="D1069" s="15" t="n"/>
      <c r="E1069" s="16" t="n"/>
      <c r="F1069" s="18">
        <f>IF(OR(D1069="",E1069=""),"",D1069*E1069)</f>
        <v/>
      </c>
      <c r="G1069" s="15" t="n"/>
    </row>
    <row r="1070">
      <c r="A1070" s="19" t="n"/>
      <c r="B1070" s="15" t="n"/>
      <c r="C1070">
        <f>IF(B1070="","",IFERROR(INDEX(Items!$B$5:$B$304,MATCH(B1070,Items!$A$5:$A$304,0)),"Unknown code"))</f>
        <v/>
      </c>
      <c r="D1070" s="15" t="n"/>
      <c r="E1070" s="16" t="n"/>
      <c r="F1070" s="18">
        <f>IF(OR(D1070="",E1070=""),"",D1070*E1070)</f>
        <v/>
      </c>
      <c r="G1070" s="15" t="n"/>
    </row>
    <row r="1071">
      <c r="A1071" s="19" t="n"/>
      <c r="B1071" s="15" t="n"/>
      <c r="C1071">
        <f>IF(B1071="","",IFERROR(INDEX(Items!$B$5:$B$304,MATCH(B1071,Items!$A$5:$A$304,0)),"Unknown code"))</f>
        <v/>
      </c>
      <c r="D1071" s="15" t="n"/>
      <c r="E1071" s="16" t="n"/>
      <c r="F1071" s="18">
        <f>IF(OR(D1071="",E1071=""),"",D1071*E1071)</f>
        <v/>
      </c>
      <c r="G1071" s="15" t="n"/>
    </row>
    <row r="1072">
      <c r="A1072" s="19" t="n"/>
      <c r="B1072" s="15" t="n"/>
      <c r="C1072">
        <f>IF(B1072="","",IFERROR(INDEX(Items!$B$5:$B$304,MATCH(B1072,Items!$A$5:$A$304,0)),"Unknown code"))</f>
        <v/>
      </c>
      <c r="D1072" s="15" t="n"/>
      <c r="E1072" s="16" t="n"/>
      <c r="F1072" s="18">
        <f>IF(OR(D1072="",E1072=""),"",D1072*E1072)</f>
        <v/>
      </c>
      <c r="G1072" s="15" t="n"/>
    </row>
    <row r="1073">
      <c r="A1073" s="19" t="n"/>
      <c r="B1073" s="15" t="n"/>
      <c r="C1073">
        <f>IF(B1073="","",IFERROR(INDEX(Items!$B$5:$B$304,MATCH(B1073,Items!$A$5:$A$304,0)),"Unknown code"))</f>
        <v/>
      </c>
      <c r="D1073" s="15" t="n"/>
      <c r="E1073" s="16" t="n"/>
      <c r="F1073" s="18">
        <f>IF(OR(D1073="",E1073=""),"",D1073*E1073)</f>
        <v/>
      </c>
      <c r="G1073" s="15" t="n"/>
    </row>
    <row r="1074">
      <c r="A1074" s="19" t="n"/>
      <c r="B1074" s="15" t="n"/>
      <c r="C1074">
        <f>IF(B1074="","",IFERROR(INDEX(Items!$B$5:$B$304,MATCH(B1074,Items!$A$5:$A$304,0)),"Unknown code"))</f>
        <v/>
      </c>
      <c r="D1074" s="15" t="n"/>
      <c r="E1074" s="16" t="n"/>
      <c r="F1074" s="18">
        <f>IF(OR(D1074="",E1074=""),"",D1074*E1074)</f>
        <v/>
      </c>
      <c r="G1074" s="15" t="n"/>
    </row>
    <row r="1075">
      <c r="A1075" s="19" t="n"/>
      <c r="B1075" s="15" t="n"/>
      <c r="C1075">
        <f>IF(B1075="","",IFERROR(INDEX(Items!$B$5:$B$304,MATCH(B1075,Items!$A$5:$A$304,0)),"Unknown code"))</f>
        <v/>
      </c>
      <c r="D1075" s="15" t="n"/>
      <c r="E1075" s="16" t="n"/>
      <c r="F1075" s="18">
        <f>IF(OR(D1075="",E1075=""),"",D1075*E1075)</f>
        <v/>
      </c>
      <c r="G1075" s="15" t="n"/>
    </row>
    <row r="1076">
      <c r="A1076" s="19" t="n"/>
      <c r="B1076" s="15" t="n"/>
      <c r="C1076">
        <f>IF(B1076="","",IFERROR(INDEX(Items!$B$5:$B$304,MATCH(B1076,Items!$A$5:$A$304,0)),"Unknown code"))</f>
        <v/>
      </c>
      <c r="D1076" s="15" t="n"/>
      <c r="E1076" s="16" t="n"/>
      <c r="F1076" s="18">
        <f>IF(OR(D1076="",E1076=""),"",D1076*E1076)</f>
        <v/>
      </c>
      <c r="G1076" s="15" t="n"/>
    </row>
    <row r="1077">
      <c r="A1077" s="19" t="n"/>
      <c r="B1077" s="15" t="n"/>
      <c r="C1077">
        <f>IF(B1077="","",IFERROR(INDEX(Items!$B$5:$B$304,MATCH(B1077,Items!$A$5:$A$304,0)),"Unknown code"))</f>
        <v/>
      </c>
      <c r="D1077" s="15" t="n"/>
      <c r="E1077" s="16" t="n"/>
      <c r="F1077" s="18">
        <f>IF(OR(D1077="",E1077=""),"",D1077*E1077)</f>
        <v/>
      </c>
      <c r="G1077" s="15" t="n"/>
    </row>
    <row r="1078">
      <c r="A1078" s="19" t="n"/>
      <c r="B1078" s="15" t="n"/>
      <c r="C1078">
        <f>IF(B1078="","",IFERROR(INDEX(Items!$B$5:$B$304,MATCH(B1078,Items!$A$5:$A$304,0)),"Unknown code"))</f>
        <v/>
      </c>
      <c r="D1078" s="15" t="n"/>
      <c r="E1078" s="16" t="n"/>
      <c r="F1078" s="18">
        <f>IF(OR(D1078="",E1078=""),"",D1078*E1078)</f>
        <v/>
      </c>
      <c r="G1078" s="15" t="n"/>
    </row>
    <row r="1079">
      <c r="A1079" s="19" t="n"/>
      <c r="B1079" s="15" t="n"/>
      <c r="C1079">
        <f>IF(B1079="","",IFERROR(INDEX(Items!$B$5:$B$304,MATCH(B1079,Items!$A$5:$A$304,0)),"Unknown code"))</f>
        <v/>
      </c>
      <c r="D1079" s="15" t="n"/>
      <c r="E1079" s="16" t="n"/>
      <c r="F1079" s="18">
        <f>IF(OR(D1079="",E1079=""),"",D1079*E1079)</f>
        <v/>
      </c>
      <c r="G1079" s="15" t="n"/>
    </row>
    <row r="1080">
      <c r="A1080" s="19" t="n"/>
      <c r="B1080" s="15" t="n"/>
      <c r="C1080">
        <f>IF(B1080="","",IFERROR(INDEX(Items!$B$5:$B$304,MATCH(B1080,Items!$A$5:$A$304,0)),"Unknown code"))</f>
        <v/>
      </c>
      <c r="D1080" s="15" t="n"/>
      <c r="E1080" s="16" t="n"/>
      <c r="F1080" s="18">
        <f>IF(OR(D1080="",E1080=""),"",D1080*E1080)</f>
        <v/>
      </c>
      <c r="G1080" s="15" t="n"/>
    </row>
    <row r="1081">
      <c r="A1081" s="19" t="n"/>
      <c r="B1081" s="15" t="n"/>
      <c r="C1081">
        <f>IF(B1081="","",IFERROR(INDEX(Items!$B$5:$B$304,MATCH(B1081,Items!$A$5:$A$304,0)),"Unknown code"))</f>
        <v/>
      </c>
      <c r="D1081" s="15" t="n"/>
      <c r="E1081" s="16" t="n"/>
      <c r="F1081" s="18">
        <f>IF(OR(D1081="",E1081=""),"",D1081*E1081)</f>
        <v/>
      </c>
      <c r="G1081" s="15" t="n"/>
    </row>
    <row r="1082">
      <c r="A1082" s="19" t="n"/>
      <c r="B1082" s="15" t="n"/>
      <c r="C1082">
        <f>IF(B1082="","",IFERROR(INDEX(Items!$B$5:$B$304,MATCH(B1082,Items!$A$5:$A$304,0)),"Unknown code"))</f>
        <v/>
      </c>
      <c r="D1082" s="15" t="n"/>
      <c r="E1082" s="16" t="n"/>
      <c r="F1082" s="18">
        <f>IF(OR(D1082="",E1082=""),"",D1082*E1082)</f>
        <v/>
      </c>
      <c r="G1082" s="15" t="n"/>
    </row>
    <row r="1083">
      <c r="A1083" s="19" t="n"/>
      <c r="B1083" s="15" t="n"/>
      <c r="C1083">
        <f>IF(B1083="","",IFERROR(INDEX(Items!$B$5:$B$304,MATCH(B1083,Items!$A$5:$A$304,0)),"Unknown code"))</f>
        <v/>
      </c>
      <c r="D1083" s="15" t="n"/>
      <c r="E1083" s="16" t="n"/>
      <c r="F1083" s="18">
        <f>IF(OR(D1083="",E1083=""),"",D1083*E1083)</f>
        <v/>
      </c>
      <c r="G1083" s="15" t="n"/>
    </row>
    <row r="1084">
      <c r="A1084" s="19" t="n"/>
      <c r="B1084" s="15" t="n"/>
      <c r="C1084">
        <f>IF(B1084="","",IFERROR(INDEX(Items!$B$5:$B$304,MATCH(B1084,Items!$A$5:$A$304,0)),"Unknown code"))</f>
        <v/>
      </c>
      <c r="D1084" s="15" t="n"/>
      <c r="E1084" s="16" t="n"/>
      <c r="F1084" s="18">
        <f>IF(OR(D1084="",E1084=""),"",D1084*E1084)</f>
        <v/>
      </c>
      <c r="G1084" s="15" t="n"/>
    </row>
    <row r="1085">
      <c r="A1085" s="19" t="n"/>
      <c r="B1085" s="15" t="n"/>
      <c r="C1085">
        <f>IF(B1085="","",IFERROR(INDEX(Items!$B$5:$B$304,MATCH(B1085,Items!$A$5:$A$304,0)),"Unknown code"))</f>
        <v/>
      </c>
      <c r="D1085" s="15" t="n"/>
      <c r="E1085" s="16" t="n"/>
      <c r="F1085" s="18">
        <f>IF(OR(D1085="",E1085=""),"",D1085*E1085)</f>
        <v/>
      </c>
      <c r="G1085" s="15" t="n"/>
    </row>
    <row r="1086">
      <c r="A1086" s="19" t="n"/>
      <c r="B1086" s="15" t="n"/>
      <c r="C1086">
        <f>IF(B1086="","",IFERROR(INDEX(Items!$B$5:$B$304,MATCH(B1086,Items!$A$5:$A$304,0)),"Unknown code"))</f>
        <v/>
      </c>
      <c r="D1086" s="15" t="n"/>
      <c r="E1086" s="16" t="n"/>
      <c r="F1086" s="18">
        <f>IF(OR(D1086="",E1086=""),"",D1086*E1086)</f>
        <v/>
      </c>
      <c r="G1086" s="15" t="n"/>
    </row>
    <row r="1087">
      <c r="A1087" s="19" t="n"/>
      <c r="B1087" s="15" t="n"/>
      <c r="C1087">
        <f>IF(B1087="","",IFERROR(INDEX(Items!$B$5:$B$304,MATCH(B1087,Items!$A$5:$A$304,0)),"Unknown code"))</f>
        <v/>
      </c>
      <c r="D1087" s="15" t="n"/>
      <c r="E1087" s="16" t="n"/>
      <c r="F1087" s="18">
        <f>IF(OR(D1087="",E1087=""),"",D1087*E1087)</f>
        <v/>
      </c>
      <c r="G1087" s="15" t="n"/>
    </row>
    <row r="1088">
      <c r="A1088" s="19" t="n"/>
      <c r="B1088" s="15" t="n"/>
      <c r="C1088">
        <f>IF(B1088="","",IFERROR(INDEX(Items!$B$5:$B$304,MATCH(B1088,Items!$A$5:$A$304,0)),"Unknown code"))</f>
        <v/>
      </c>
      <c r="D1088" s="15" t="n"/>
      <c r="E1088" s="16" t="n"/>
      <c r="F1088" s="18">
        <f>IF(OR(D1088="",E1088=""),"",D1088*E1088)</f>
        <v/>
      </c>
      <c r="G1088" s="15" t="n"/>
    </row>
    <row r="1089">
      <c r="A1089" s="19" t="n"/>
      <c r="B1089" s="15" t="n"/>
      <c r="C1089">
        <f>IF(B1089="","",IFERROR(INDEX(Items!$B$5:$B$304,MATCH(B1089,Items!$A$5:$A$304,0)),"Unknown code"))</f>
        <v/>
      </c>
      <c r="D1089" s="15" t="n"/>
      <c r="E1089" s="16" t="n"/>
      <c r="F1089" s="18">
        <f>IF(OR(D1089="",E1089=""),"",D1089*E1089)</f>
        <v/>
      </c>
      <c r="G1089" s="15" t="n"/>
    </row>
    <row r="1090">
      <c r="A1090" s="19" t="n"/>
      <c r="B1090" s="15" t="n"/>
      <c r="C1090">
        <f>IF(B1090="","",IFERROR(INDEX(Items!$B$5:$B$304,MATCH(B1090,Items!$A$5:$A$304,0)),"Unknown code"))</f>
        <v/>
      </c>
      <c r="D1090" s="15" t="n"/>
      <c r="E1090" s="16" t="n"/>
      <c r="F1090" s="18">
        <f>IF(OR(D1090="",E1090=""),"",D1090*E1090)</f>
        <v/>
      </c>
      <c r="G1090" s="15" t="n"/>
    </row>
    <row r="1091">
      <c r="A1091" s="19" t="n"/>
      <c r="B1091" s="15" t="n"/>
      <c r="C1091">
        <f>IF(B1091="","",IFERROR(INDEX(Items!$B$5:$B$304,MATCH(B1091,Items!$A$5:$A$304,0)),"Unknown code"))</f>
        <v/>
      </c>
      <c r="D1091" s="15" t="n"/>
      <c r="E1091" s="16" t="n"/>
      <c r="F1091" s="18">
        <f>IF(OR(D1091="",E1091=""),"",D1091*E1091)</f>
        <v/>
      </c>
      <c r="G1091" s="15" t="n"/>
    </row>
    <row r="1092">
      <c r="A1092" s="19" t="n"/>
      <c r="B1092" s="15" t="n"/>
      <c r="C1092">
        <f>IF(B1092="","",IFERROR(INDEX(Items!$B$5:$B$304,MATCH(B1092,Items!$A$5:$A$304,0)),"Unknown code"))</f>
        <v/>
      </c>
      <c r="D1092" s="15" t="n"/>
      <c r="E1092" s="16" t="n"/>
      <c r="F1092" s="18">
        <f>IF(OR(D1092="",E1092=""),"",D1092*E1092)</f>
        <v/>
      </c>
      <c r="G1092" s="15" t="n"/>
    </row>
    <row r="1093">
      <c r="A1093" s="19" t="n"/>
      <c r="B1093" s="15" t="n"/>
      <c r="C1093">
        <f>IF(B1093="","",IFERROR(INDEX(Items!$B$5:$B$304,MATCH(B1093,Items!$A$5:$A$304,0)),"Unknown code"))</f>
        <v/>
      </c>
      <c r="D1093" s="15" t="n"/>
      <c r="E1093" s="16" t="n"/>
      <c r="F1093" s="18">
        <f>IF(OR(D1093="",E1093=""),"",D1093*E1093)</f>
        <v/>
      </c>
      <c r="G1093" s="15" t="n"/>
    </row>
    <row r="1094">
      <c r="A1094" s="19" t="n"/>
      <c r="B1094" s="15" t="n"/>
      <c r="C1094">
        <f>IF(B1094="","",IFERROR(INDEX(Items!$B$5:$B$304,MATCH(B1094,Items!$A$5:$A$304,0)),"Unknown code"))</f>
        <v/>
      </c>
      <c r="D1094" s="15" t="n"/>
      <c r="E1094" s="16" t="n"/>
      <c r="F1094" s="18">
        <f>IF(OR(D1094="",E1094=""),"",D1094*E1094)</f>
        <v/>
      </c>
      <c r="G1094" s="15" t="n"/>
    </row>
    <row r="1095">
      <c r="A1095" s="19" t="n"/>
      <c r="B1095" s="15" t="n"/>
      <c r="C1095">
        <f>IF(B1095="","",IFERROR(INDEX(Items!$B$5:$B$304,MATCH(B1095,Items!$A$5:$A$304,0)),"Unknown code"))</f>
        <v/>
      </c>
      <c r="D1095" s="15" t="n"/>
      <c r="E1095" s="16" t="n"/>
      <c r="F1095" s="18">
        <f>IF(OR(D1095="",E1095=""),"",D1095*E1095)</f>
        <v/>
      </c>
      <c r="G1095" s="15" t="n"/>
    </row>
    <row r="1096">
      <c r="A1096" s="19" t="n"/>
      <c r="B1096" s="15" t="n"/>
      <c r="C1096">
        <f>IF(B1096="","",IFERROR(INDEX(Items!$B$5:$B$304,MATCH(B1096,Items!$A$5:$A$304,0)),"Unknown code"))</f>
        <v/>
      </c>
      <c r="D1096" s="15" t="n"/>
      <c r="E1096" s="16" t="n"/>
      <c r="F1096" s="18">
        <f>IF(OR(D1096="",E1096=""),"",D1096*E1096)</f>
        <v/>
      </c>
      <c r="G1096" s="15" t="n"/>
    </row>
    <row r="1097">
      <c r="A1097" s="19" t="n"/>
      <c r="B1097" s="15" t="n"/>
      <c r="C1097">
        <f>IF(B1097="","",IFERROR(INDEX(Items!$B$5:$B$304,MATCH(B1097,Items!$A$5:$A$304,0)),"Unknown code"))</f>
        <v/>
      </c>
      <c r="D1097" s="15" t="n"/>
      <c r="E1097" s="16" t="n"/>
      <c r="F1097" s="18">
        <f>IF(OR(D1097="",E1097=""),"",D1097*E1097)</f>
        <v/>
      </c>
      <c r="G1097" s="15" t="n"/>
    </row>
    <row r="1098">
      <c r="A1098" s="19" t="n"/>
      <c r="B1098" s="15" t="n"/>
      <c r="C1098">
        <f>IF(B1098="","",IFERROR(INDEX(Items!$B$5:$B$304,MATCH(B1098,Items!$A$5:$A$304,0)),"Unknown code"))</f>
        <v/>
      </c>
      <c r="D1098" s="15" t="n"/>
      <c r="E1098" s="16" t="n"/>
      <c r="F1098" s="18">
        <f>IF(OR(D1098="",E1098=""),"",D1098*E1098)</f>
        <v/>
      </c>
      <c r="G1098" s="15" t="n"/>
    </row>
    <row r="1099">
      <c r="A1099" s="19" t="n"/>
      <c r="B1099" s="15" t="n"/>
      <c r="C1099">
        <f>IF(B1099="","",IFERROR(INDEX(Items!$B$5:$B$304,MATCH(B1099,Items!$A$5:$A$304,0)),"Unknown code"))</f>
        <v/>
      </c>
      <c r="D1099" s="15" t="n"/>
      <c r="E1099" s="16" t="n"/>
      <c r="F1099" s="18">
        <f>IF(OR(D1099="",E1099=""),"",D1099*E1099)</f>
        <v/>
      </c>
      <c r="G1099" s="15" t="n"/>
    </row>
    <row r="1100">
      <c r="A1100" s="19" t="n"/>
      <c r="B1100" s="15" t="n"/>
      <c r="C1100">
        <f>IF(B1100="","",IFERROR(INDEX(Items!$B$5:$B$304,MATCH(B1100,Items!$A$5:$A$304,0)),"Unknown code"))</f>
        <v/>
      </c>
      <c r="D1100" s="15" t="n"/>
      <c r="E1100" s="16" t="n"/>
      <c r="F1100" s="18">
        <f>IF(OR(D1100="",E1100=""),"",D1100*E1100)</f>
        <v/>
      </c>
      <c r="G1100" s="15" t="n"/>
    </row>
    <row r="1101">
      <c r="A1101" s="19" t="n"/>
      <c r="B1101" s="15" t="n"/>
      <c r="C1101">
        <f>IF(B1101="","",IFERROR(INDEX(Items!$B$5:$B$304,MATCH(B1101,Items!$A$5:$A$304,0)),"Unknown code"))</f>
        <v/>
      </c>
      <c r="D1101" s="15" t="n"/>
      <c r="E1101" s="16" t="n"/>
      <c r="F1101" s="18">
        <f>IF(OR(D1101="",E1101=""),"",D1101*E1101)</f>
        <v/>
      </c>
      <c r="G1101" s="15" t="n"/>
    </row>
    <row r="1102">
      <c r="A1102" s="19" t="n"/>
      <c r="B1102" s="15" t="n"/>
      <c r="C1102">
        <f>IF(B1102="","",IFERROR(INDEX(Items!$B$5:$B$304,MATCH(B1102,Items!$A$5:$A$304,0)),"Unknown code"))</f>
        <v/>
      </c>
      <c r="D1102" s="15" t="n"/>
      <c r="E1102" s="16" t="n"/>
      <c r="F1102" s="18">
        <f>IF(OR(D1102="",E1102=""),"",D1102*E1102)</f>
        <v/>
      </c>
      <c r="G1102" s="15" t="n"/>
    </row>
    <row r="1103">
      <c r="A1103" s="19" t="n"/>
      <c r="B1103" s="15" t="n"/>
      <c r="C1103">
        <f>IF(B1103="","",IFERROR(INDEX(Items!$B$5:$B$304,MATCH(B1103,Items!$A$5:$A$304,0)),"Unknown code"))</f>
        <v/>
      </c>
      <c r="D1103" s="15" t="n"/>
      <c r="E1103" s="16" t="n"/>
      <c r="F1103" s="18">
        <f>IF(OR(D1103="",E1103=""),"",D1103*E1103)</f>
        <v/>
      </c>
      <c r="G1103" s="15" t="n"/>
    </row>
    <row r="1104">
      <c r="A1104" s="19" t="n"/>
      <c r="B1104" s="15" t="n"/>
      <c r="C1104">
        <f>IF(B1104="","",IFERROR(INDEX(Items!$B$5:$B$304,MATCH(B1104,Items!$A$5:$A$304,0)),"Unknown code"))</f>
        <v/>
      </c>
      <c r="D1104" s="15" t="n"/>
      <c r="E1104" s="16" t="n"/>
      <c r="F1104" s="18">
        <f>IF(OR(D1104="",E1104=""),"",D1104*E1104)</f>
        <v/>
      </c>
      <c r="G1104" s="15" t="n"/>
    </row>
    <row r="1105">
      <c r="A1105" s="19" t="n"/>
      <c r="B1105" s="15" t="n"/>
      <c r="C1105">
        <f>IF(B1105="","",IFERROR(INDEX(Items!$B$5:$B$304,MATCH(B1105,Items!$A$5:$A$304,0)),"Unknown code"))</f>
        <v/>
      </c>
      <c r="D1105" s="15" t="n"/>
      <c r="E1105" s="16" t="n"/>
      <c r="F1105" s="18">
        <f>IF(OR(D1105="",E1105=""),"",D1105*E1105)</f>
        <v/>
      </c>
      <c r="G1105" s="15" t="n"/>
    </row>
    <row r="1106">
      <c r="A1106" s="19" t="n"/>
      <c r="B1106" s="15" t="n"/>
      <c r="C1106">
        <f>IF(B1106="","",IFERROR(INDEX(Items!$B$5:$B$304,MATCH(B1106,Items!$A$5:$A$304,0)),"Unknown code"))</f>
        <v/>
      </c>
      <c r="D1106" s="15" t="n"/>
      <c r="E1106" s="16" t="n"/>
      <c r="F1106" s="18">
        <f>IF(OR(D1106="",E1106=""),"",D1106*E1106)</f>
        <v/>
      </c>
      <c r="G1106" s="15" t="n"/>
    </row>
    <row r="1107">
      <c r="A1107" s="19" t="n"/>
      <c r="B1107" s="15" t="n"/>
      <c r="C1107">
        <f>IF(B1107="","",IFERROR(INDEX(Items!$B$5:$B$304,MATCH(B1107,Items!$A$5:$A$304,0)),"Unknown code"))</f>
        <v/>
      </c>
      <c r="D1107" s="15" t="n"/>
      <c r="E1107" s="16" t="n"/>
      <c r="F1107" s="18">
        <f>IF(OR(D1107="",E1107=""),"",D1107*E1107)</f>
        <v/>
      </c>
      <c r="G1107" s="15" t="n"/>
    </row>
    <row r="1108">
      <c r="A1108" s="19" t="n"/>
      <c r="B1108" s="15" t="n"/>
      <c r="C1108">
        <f>IF(B1108="","",IFERROR(INDEX(Items!$B$5:$B$304,MATCH(B1108,Items!$A$5:$A$304,0)),"Unknown code"))</f>
        <v/>
      </c>
      <c r="D1108" s="15" t="n"/>
      <c r="E1108" s="16" t="n"/>
      <c r="F1108" s="18">
        <f>IF(OR(D1108="",E1108=""),"",D1108*E1108)</f>
        <v/>
      </c>
      <c r="G1108" s="15" t="n"/>
    </row>
    <row r="1109">
      <c r="A1109" s="19" t="n"/>
      <c r="B1109" s="15" t="n"/>
      <c r="C1109">
        <f>IF(B1109="","",IFERROR(INDEX(Items!$B$5:$B$304,MATCH(B1109,Items!$A$5:$A$304,0)),"Unknown code"))</f>
        <v/>
      </c>
      <c r="D1109" s="15" t="n"/>
      <c r="E1109" s="16" t="n"/>
      <c r="F1109" s="18">
        <f>IF(OR(D1109="",E1109=""),"",D1109*E1109)</f>
        <v/>
      </c>
      <c r="G1109" s="15" t="n"/>
    </row>
    <row r="1110">
      <c r="A1110" s="19" t="n"/>
      <c r="B1110" s="15" t="n"/>
      <c r="C1110">
        <f>IF(B1110="","",IFERROR(INDEX(Items!$B$5:$B$304,MATCH(B1110,Items!$A$5:$A$304,0)),"Unknown code"))</f>
        <v/>
      </c>
      <c r="D1110" s="15" t="n"/>
      <c r="E1110" s="16" t="n"/>
      <c r="F1110" s="18">
        <f>IF(OR(D1110="",E1110=""),"",D1110*E1110)</f>
        <v/>
      </c>
      <c r="G1110" s="15" t="n"/>
    </row>
    <row r="1111">
      <c r="A1111" s="19" t="n"/>
      <c r="B1111" s="15" t="n"/>
      <c r="C1111">
        <f>IF(B1111="","",IFERROR(INDEX(Items!$B$5:$B$304,MATCH(B1111,Items!$A$5:$A$304,0)),"Unknown code"))</f>
        <v/>
      </c>
      <c r="D1111" s="15" t="n"/>
      <c r="E1111" s="16" t="n"/>
      <c r="F1111" s="18">
        <f>IF(OR(D1111="",E1111=""),"",D1111*E1111)</f>
        <v/>
      </c>
      <c r="G1111" s="15" t="n"/>
    </row>
    <row r="1112">
      <c r="A1112" s="19" t="n"/>
      <c r="B1112" s="15" t="n"/>
      <c r="C1112">
        <f>IF(B1112="","",IFERROR(INDEX(Items!$B$5:$B$304,MATCH(B1112,Items!$A$5:$A$304,0)),"Unknown code"))</f>
        <v/>
      </c>
      <c r="D1112" s="15" t="n"/>
      <c r="E1112" s="16" t="n"/>
      <c r="F1112" s="18">
        <f>IF(OR(D1112="",E1112=""),"",D1112*E1112)</f>
        <v/>
      </c>
      <c r="G1112" s="15" t="n"/>
    </row>
    <row r="1113">
      <c r="A1113" s="19" t="n"/>
      <c r="B1113" s="15" t="n"/>
      <c r="C1113">
        <f>IF(B1113="","",IFERROR(INDEX(Items!$B$5:$B$304,MATCH(B1113,Items!$A$5:$A$304,0)),"Unknown code"))</f>
        <v/>
      </c>
      <c r="D1113" s="15" t="n"/>
      <c r="E1113" s="16" t="n"/>
      <c r="F1113" s="18">
        <f>IF(OR(D1113="",E1113=""),"",D1113*E1113)</f>
        <v/>
      </c>
      <c r="G1113" s="15" t="n"/>
    </row>
    <row r="1114">
      <c r="A1114" s="19" t="n"/>
      <c r="B1114" s="15" t="n"/>
      <c r="C1114">
        <f>IF(B1114="","",IFERROR(INDEX(Items!$B$5:$B$304,MATCH(B1114,Items!$A$5:$A$304,0)),"Unknown code"))</f>
        <v/>
      </c>
      <c r="D1114" s="15" t="n"/>
      <c r="E1114" s="16" t="n"/>
      <c r="F1114" s="18">
        <f>IF(OR(D1114="",E1114=""),"",D1114*E1114)</f>
        <v/>
      </c>
      <c r="G1114" s="15" t="n"/>
    </row>
    <row r="1115">
      <c r="A1115" s="19" t="n"/>
      <c r="B1115" s="15" t="n"/>
      <c r="C1115">
        <f>IF(B1115="","",IFERROR(INDEX(Items!$B$5:$B$304,MATCH(B1115,Items!$A$5:$A$304,0)),"Unknown code"))</f>
        <v/>
      </c>
      <c r="D1115" s="15" t="n"/>
      <c r="E1115" s="16" t="n"/>
      <c r="F1115" s="18">
        <f>IF(OR(D1115="",E1115=""),"",D1115*E1115)</f>
        <v/>
      </c>
      <c r="G1115" s="15" t="n"/>
    </row>
    <row r="1116">
      <c r="A1116" s="19" t="n"/>
      <c r="B1116" s="15" t="n"/>
      <c r="C1116">
        <f>IF(B1116="","",IFERROR(INDEX(Items!$B$5:$B$304,MATCH(B1116,Items!$A$5:$A$304,0)),"Unknown code"))</f>
        <v/>
      </c>
      <c r="D1116" s="15" t="n"/>
      <c r="E1116" s="16" t="n"/>
      <c r="F1116" s="18">
        <f>IF(OR(D1116="",E1116=""),"",D1116*E1116)</f>
        <v/>
      </c>
      <c r="G1116" s="15" t="n"/>
    </row>
    <row r="1117">
      <c r="A1117" s="19" t="n"/>
      <c r="B1117" s="15" t="n"/>
      <c r="C1117">
        <f>IF(B1117="","",IFERROR(INDEX(Items!$B$5:$B$304,MATCH(B1117,Items!$A$5:$A$304,0)),"Unknown code"))</f>
        <v/>
      </c>
      <c r="D1117" s="15" t="n"/>
      <c r="E1117" s="16" t="n"/>
      <c r="F1117" s="18">
        <f>IF(OR(D1117="",E1117=""),"",D1117*E1117)</f>
        <v/>
      </c>
      <c r="G1117" s="15" t="n"/>
    </row>
    <row r="1118">
      <c r="A1118" s="19" t="n"/>
      <c r="B1118" s="15" t="n"/>
      <c r="C1118">
        <f>IF(B1118="","",IFERROR(INDEX(Items!$B$5:$B$304,MATCH(B1118,Items!$A$5:$A$304,0)),"Unknown code"))</f>
        <v/>
      </c>
      <c r="D1118" s="15" t="n"/>
      <c r="E1118" s="16" t="n"/>
      <c r="F1118" s="18">
        <f>IF(OR(D1118="",E1118=""),"",D1118*E1118)</f>
        <v/>
      </c>
      <c r="G1118" s="15" t="n"/>
    </row>
    <row r="1119">
      <c r="A1119" s="19" t="n"/>
      <c r="B1119" s="15" t="n"/>
      <c r="C1119">
        <f>IF(B1119="","",IFERROR(INDEX(Items!$B$5:$B$304,MATCH(B1119,Items!$A$5:$A$304,0)),"Unknown code"))</f>
        <v/>
      </c>
      <c r="D1119" s="15" t="n"/>
      <c r="E1119" s="16" t="n"/>
      <c r="F1119" s="18">
        <f>IF(OR(D1119="",E1119=""),"",D1119*E1119)</f>
        <v/>
      </c>
      <c r="G1119" s="15" t="n"/>
    </row>
    <row r="1120">
      <c r="A1120" s="19" t="n"/>
      <c r="B1120" s="15" t="n"/>
      <c r="C1120">
        <f>IF(B1120="","",IFERROR(INDEX(Items!$B$5:$B$304,MATCH(B1120,Items!$A$5:$A$304,0)),"Unknown code"))</f>
        <v/>
      </c>
      <c r="D1120" s="15" t="n"/>
      <c r="E1120" s="16" t="n"/>
      <c r="F1120" s="18">
        <f>IF(OR(D1120="",E1120=""),"",D1120*E1120)</f>
        <v/>
      </c>
      <c r="G1120" s="15" t="n"/>
    </row>
    <row r="1121">
      <c r="A1121" s="19" t="n"/>
      <c r="B1121" s="15" t="n"/>
      <c r="C1121">
        <f>IF(B1121="","",IFERROR(INDEX(Items!$B$5:$B$304,MATCH(B1121,Items!$A$5:$A$304,0)),"Unknown code"))</f>
        <v/>
      </c>
      <c r="D1121" s="15" t="n"/>
      <c r="E1121" s="16" t="n"/>
      <c r="F1121" s="18">
        <f>IF(OR(D1121="",E1121=""),"",D1121*E1121)</f>
        <v/>
      </c>
      <c r="G1121" s="15" t="n"/>
    </row>
    <row r="1122">
      <c r="A1122" s="19" t="n"/>
      <c r="B1122" s="15" t="n"/>
      <c r="C1122">
        <f>IF(B1122="","",IFERROR(INDEX(Items!$B$5:$B$304,MATCH(B1122,Items!$A$5:$A$304,0)),"Unknown code"))</f>
        <v/>
      </c>
      <c r="D1122" s="15" t="n"/>
      <c r="E1122" s="16" t="n"/>
      <c r="F1122" s="18">
        <f>IF(OR(D1122="",E1122=""),"",D1122*E1122)</f>
        <v/>
      </c>
      <c r="G1122" s="15" t="n"/>
    </row>
    <row r="1123">
      <c r="A1123" s="19" t="n"/>
      <c r="B1123" s="15" t="n"/>
      <c r="C1123">
        <f>IF(B1123="","",IFERROR(INDEX(Items!$B$5:$B$304,MATCH(B1123,Items!$A$5:$A$304,0)),"Unknown code"))</f>
        <v/>
      </c>
      <c r="D1123" s="15" t="n"/>
      <c r="E1123" s="16" t="n"/>
      <c r="F1123" s="18">
        <f>IF(OR(D1123="",E1123=""),"",D1123*E1123)</f>
        <v/>
      </c>
      <c r="G1123" s="15" t="n"/>
    </row>
    <row r="1124">
      <c r="A1124" s="19" t="n"/>
      <c r="B1124" s="15" t="n"/>
      <c r="C1124">
        <f>IF(B1124="","",IFERROR(INDEX(Items!$B$5:$B$304,MATCH(B1124,Items!$A$5:$A$304,0)),"Unknown code"))</f>
        <v/>
      </c>
      <c r="D1124" s="15" t="n"/>
      <c r="E1124" s="16" t="n"/>
      <c r="F1124" s="18">
        <f>IF(OR(D1124="",E1124=""),"",D1124*E1124)</f>
        <v/>
      </c>
      <c r="G1124" s="15" t="n"/>
    </row>
    <row r="1125">
      <c r="A1125" s="19" t="n"/>
      <c r="B1125" s="15" t="n"/>
      <c r="C1125">
        <f>IF(B1125="","",IFERROR(INDEX(Items!$B$5:$B$304,MATCH(B1125,Items!$A$5:$A$304,0)),"Unknown code"))</f>
        <v/>
      </c>
      <c r="D1125" s="15" t="n"/>
      <c r="E1125" s="16" t="n"/>
      <c r="F1125" s="18">
        <f>IF(OR(D1125="",E1125=""),"",D1125*E1125)</f>
        <v/>
      </c>
      <c r="G1125" s="15" t="n"/>
    </row>
    <row r="1126">
      <c r="A1126" s="19" t="n"/>
      <c r="B1126" s="15" t="n"/>
      <c r="C1126">
        <f>IF(B1126="","",IFERROR(INDEX(Items!$B$5:$B$304,MATCH(B1126,Items!$A$5:$A$304,0)),"Unknown code"))</f>
        <v/>
      </c>
      <c r="D1126" s="15" t="n"/>
      <c r="E1126" s="16" t="n"/>
      <c r="F1126" s="18">
        <f>IF(OR(D1126="",E1126=""),"",D1126*E1126)</f>
        <v/>
      </c>
      <c r="G1126" s="15" t="n"/>
    </row>
    <row r="1127">
      <c r="A1127" s="19" t="n"/>
      <c r="B1127" s="15" t="n"/>
      <c r="C1127">
        <f>IF(B1127="","",IFERROR(INDEX(Items!$B$5:$B$304,MATCH(B1127,Items!$A$5:$A$304,0)),"Unknown code"))</f>
        <v/>
      </c>
      <c r="D1127" s="15" t="n"/>
      <c r="E1127" s="16" t="n"/>
      <c r="F1127" s="18">
        <f>IF(OR(D1127="",E1127=""),"",D1127*E1127)</f>
        <v/>
      </c>
      <c r="G1127" s="15" t="n"/>
    </row>
    <row r="1128">
      <c r="A1128" s="19" t="n"/>
      <c r="B1128" s="15" t="n"/>
      <c r="C1128">
        <f>IF(B1128="","",IFERROR(INDEX(Items!$B$5:$B$304,MATCH(B1128,Items!$A$5:$A$304,0)),"Unknown code"))</f>
        <v/>
      </c>
      <c r="D1128" s="15" t="n"/>
      <c r="E1128" s="16" t="n"/>
      <c r="F1128" s="18">
        <f>IF(OR(D1128="",E1128=""),"",D1128*E1128)</f>
        <v/>
      </c>
      <c r="G1128" s="15" t="n"/>
    </row>
    <row r="1129">
      <c r="A1129" s="19" t="n"/>
      <c r="B1129" s="15" t="n"/>
      <c r="C1129">
        <f>IF(B1129="","",IFERROR(INDEX(Items!$B$5:$B$304,MATCH(B1129,Items!$A$5:$A$304,0)),"Unknown code"))</f>
        <v/>
      </c>
      <c r="D1129" s="15" t="n"/>
      <c r="E1129" s="16" t="n"/>
      <c r="F1129" s="18">
        <f>IF(OR(D1129="",E1129=""),"",D1129*E1129)</f>
        <v/>
      </c>
      <c r="G1129" s="15" t="n"/>
    </row>
    <row r="1130">
      <c r="A1130" s="19" t="n"/>
      <c r="B1130" s="15" t="n"/>
      <c r="C1130">
        <f>IF(B1130="","",IFERROR(INDEX(Items!$B$5:$B$304,MATCH(B1130,Items!$A$5:$A$304,0)),"Unknown code"))</f>
        <v/>
      </c>
      <c r="D1130" s="15" t="n"/>
      <c r="E1130" s="16" t="n"/>
      <c r="F1130" s="18">
        <f>IF(OR(D1130="",E1130=""),"",D1130*E1130)</f>
        <v/>
      </c>
      <c r="G1130" s="15" t="n"/>
    </row>
    <row r="1131">
      <c r="A1131" s="19" t="n"/>
      <c r="B1131" s="15" t="n"/>
      <c r="C1131">
        <f>IF(B1131="","",IFERROR(INDEX(Items!$B$5:$B$304,MATCH(B1131,Items!$A$5:$A$304,0)),"Unknown code"))</f>
        <v/>
      </c>
      <c r="D1131" s="15" t="n"/>
      <c r="E1131" s="16" t="n"/>
      <c r="F1131" s="18">
        <f>IF(OR(D1131="",E1131=""),"",D1131*E1131)</f>
        <v/>
      </c>
      <c r="G1131" s="15" t="n"/>
    </row>
    <row r="1132">
      <c r="A1132" s="19" t="n"/>
      <c r="B1132" s="15" t="n"/>
      <c r="C1132">
        <f>IF(B1132="","",IFERROR(INDEX(Items!$B$5:$B$304,MATCH(B1132,Items!$A$5:$A$304,0)),"Unknown code"))</f>
        <v/>
      </c>
      <c r="D1132" s="15" t="n"/>
      <c r="E1132" s="16" t="n"/>
      <c r="F1132" s="18">
        <f>IF(OR(D1132="",E1132=""),"",D1132*E1132)</f>
        <v/>
      </c>
      <c r="G1132" s="15" t="n"/>
    </row>
    <row r="1133">
      <c r="A1133" s="19" t="n"/>
      <c r="B1133" s="15" t="n"/>
      <c r="C1133">
        <f>IF(B1133="","",IFERROR(INDEX(Items!$B$5:$B$304,MATCH(B1133,Items!$A$5:$A$304,0)),"Unknown code"))</f>
        <v/>
      </c>
      <c r="D1133" s="15" t="n"/>
      <c r="E1133" s="16" t="n"/>
      <c r="F1133" s="18">
        <f>IF(OR(D1133="",E1133=""),"",D1133*E1133)</f>
        <v/>
      </c>
      <c r="G1133" s="15" t="n"/>
    </row>
    <row r="1134">
      <c r="A1134" s="19" t="n"/>
      <c r="B1134" s="15" t="n"/>
      <c r="C1134">
        <f>IF(B1134="","",IFERROR(INDEX(Items!$B$5:$B$304,MATCH(B1134,Items!$A$5:$A$304,0)),"Unknown code"))</f>
        <v/>
      </c>
      <c r="D1134" s="15" t="n"/>
      <c r="E1134" s="16" t="n"/>
      <c r="F1134" s="18">
        <f>IF(OR(D1134="",E1134=""),"",D1134*E1134)</f>
        <v/>
      </c>
      <c r="G1134" s="15" t="n"/>
    </row>
    <row r="1135">
      <c r="A1135" s="19" t="n"/>
      <c r="B1135" s="15" t="n"/>
      <c r="C1135">
        <f>IF(B1135="","",IFERROR(INDEX(Items!$B$5:$B$304,MATCH(B1135,Items!$A$5:$A$304,0)),"Unknown code"))</f>
        <v/>
      </c>
      <c r="D1135" s="15" t="n"/>
      <c r="E1135" s="16" t="n"/>
      <c r="F1135" s="18">
        <f>IF(OR(D1135="",E1135=""),"",D1135*E1135)</f>
        <v/>
      </c>
      <c r="G1135" s="15" t="n"/>
    </row>
    <row r="1136">
      <c r="A1136" s="19" t="n"/>
      <c r="B1136" s="15" t="n"/>
      <c r="C1136">
        <f>IF(B1136="","",IFERROR(INDEX(Items!$B$5:$B$304,MATCH(B1136,Items!$A$5:$A$304,0)),"Unknown code"))</f>
        <v/>
      </c>
      <c r="D1136" s="15" t="n"/>
      <c r="E1136" s="16" t="n"/>
      <c r="F1136" s="18">
        <f>IF(OR(D1136="",E1136=""),"",D1136*E1136)</f>
        <v/>
      </c>
      <c r="G1136" s="15" t="n"/>
    </row>
    <row r="1137">
      <c r="A1137" s="19" t="n"/>
      <c r="B1137" s="15" t="n"/>
      <c r="C1137">
        <f>IF(B1137="","",IFERROR(INDEX(Items!$B$5:$B$304,MATCH(B1137,Items!$A$5:$A$304,0)),"Unknown code"))</f>
        <v/>
      </c>
      <c r="D1137" s="15" t="n"/>
      <c r="E1137" s="16" t="n"/>
      <c r="F1137" s="18">
        <f>IF(OR(D1137="",E1137=""),"",D1137*E1137)</f>
        <v/>
      </c>
      <c r="G1137" s="15" t="n"/>
    </row>
    <row r="1138">
      <c r="A1138" s="19" t="n"/>
      <c r="B1138" s="15" t="n"/>
      <c r="C1138">
        <f>IF(B1138="","",IFERROR(INDEX(Items!$B$5:$B$304,MATCH(B1138,Items!$A$5:$A$304,0)),"Unknown code"))</f>
        <v/>
      </c>
      <c r="D1138" s="15" t="n"/>
      <c r="E1138" s="16" t="n"/>
      <c r="F1138" s="18">
        <f>IF(OR(D1138="",E1138=""),"",D1138*E1138)</f>
        <v/>
      </c>
      <c r="G1138" s="15" t="n"/>
    </row>
    <row r="1139">
      <c r="A1139" s="19" t="n"/>
      <c r="B1139" s="15" t="n"/>
      <c r="C1139">
        <f>IF(B1139="","",IFERROR(INDEX(Items!$B$5:$B$304,MATCH(B1139,Items!$A$5:$A$304,0)),"Unknown code"))</f>
        <v/>
      </c>
      <c r="D1139" s="15" t="n"/>
      <c r="E1139" s="16" t="n"/>
      <c r="F1139" s="18">
        <f>IF(OR(D1139="",E1139=""),"",D1139*E1139)</f>
        <v/>
      </c>
      <c r="G1139" s="15" t="n"/>
    </row>
    <row r="1140">
      <c r="A1140" s="19" t="n"/>
      <c r="B1140" s="15" t="n"/>
      <c r="C1140">
        <f>IF(B1140="","",IFERROR(INDEX(Items!$B$5:$B$304,MATCH(B1140,Items!$A$5:$A$304,0)),"Unknown code"))</f>
        <v/>
      </c>
      <c r="D1140" s="15" t="n"/>
      <c r="E1140" s="16" t="n"/>
      <c r="F1140" s="18">
        <f>IF(OR(D1140="",E1140=""),"",D1140*E1140)</f>
        <v/>
      </c>
      <c r="G1140" s="15" t="n"/>
    </row>
    <row r="1141">
      <c r="A1141" s="19" t="n"/>
      <c r="B1141" s="15" t="n"/>
      <c r="C1141">
        <f>IF(B1141="","",IFERROR(INDEX(Items!$B$5:$B$304,MATCH(B1141,Items!$A$5:$A$304,0)),"Unknown code"))</f>
        <v/>
      </c>
      <c r="D1141" s="15" t="n"/>
      <c r="E1141" s="16" t="n"/>
      <c r="F1141" s="18">
        <f>IF(OR(D1141="",E1141=""),"",D1141*E1141)</f>
        <v/>
      </c>
      <c r="G1141" s="15" t="n"/>
    </row>
    <row r="1142">
      <c r="A1142" s="19" t="n"/>
      <c r="B1142" s="15" t="n"/>
      <c r="C1142">
        <f>IF(B1142="","",IFERROR(INDEX(Items!$B$5:$B$304,MATCH(B1142,Items!$A$5:$A$304,0)),"Unknown code"))</f>
        <v/>
      </c>
      <c r="D1142" s="15" t="n"/>
      <c r="E1142" s="16" t="n"/>
      <c r="F1142" s="18">
        <f>IF(OR(D1142="",E1142=""),"",D1142*E1142)</f>
        <v/>
      </c>
      <c r="G1142" s="15" t="n"/>
    </row>
    <row r="1143">
      <c r="A1143" s="19" t="n"/>
      <c r="B1143" s="15" t="n"/>
      <c r="C1143">
        <f>IF(B1143="","",IFERROR(INDEX(Items!$B$5:$B$304,MATCH(B1143,Items!$A$5:$A$304,0)),"Unknown code"))</f>
        <v/>
      </c>
      <c r="D1143" s="15" t="n"/>
      <c r="E1143" s="16" t="n"/>
      <c r="F1143" s="18">
        <f>IF(OR(D1143="",E1143=""),"",D1143*E1143)</f>
        <v/>
      </c>
      <c r="G1143" s="15" t="n"/>
    </row>
    <row r="1144">
      <c r="A1144" s="19" t="n"/>
      <c r="B1144" s="15" t="n"/>
      <c r="C1144">
        <f>IF(B1144="","",IFERROR(INDEX(Items!$B$5:$B$304,MATCH(B1144,Items!$A$5:$A$304,0)),"Unknown code"))</f>
        <v/>
      </c>
      <c r="D1144" s="15" t="n"/>
      <c r="E1144" s="16" t="n"/>
      <c r="F1144" s="18">
        <f>IF(OR(D1144="",E1144=""),"",D1144*E1144)</f>
        <v/>
      </c>
      <c r="G1144" s="15" t="n"/>
    </row>
    <row r="1145">
      <c r="A1145" s="19" t="n"/>
      <c r="B1145" s="15" t="n"/>
      <c r="C1145">
        <f>IF(B1145="","",IFERROR(INDEX(Items!$B$5:$B$304,MATCH(B1145,Items!$A$5:$A$304,0)),"Unknown code"))</f>
        <v/>
      </c>
      <c r="D1145" s="15" t="n"/>
      <c r="E1145" s="16" t="n"/>
      <c r="F1145" s="18">
        <f>IF(OR(D1145="",E1145=""),"",D1145*E1145)</f>
        <v/>
      </c>
      <c r="G1145" s="15" t="n"/>
    </row>
    <row r="1146">
      <c r="A1146" s="19" t="n"/>
      <c r="B1146" s="15" t="n"/>
      <c r="C1146">
        <f>IF(B1146="","",IFERROR(INDEX(Items!$B$5:$B$304,MATCH(B1146,Items!$A$5:$A$304,0)),"Unknown code"))</f>
        <v/>
      </c>
      <c r="D1146" s="15" t="n"/>
      <c r="E1146" s="16" t="n"/>
      <c r="F1146" s="18">
        <f>IF(OR(D1146="",E1146=""),"",D1146*E1146)</f>
        <v/>
      </c>
      <c r="G1146" s="15" t="n"/>
    </row>
    <row r="1147">
      <c r="A1147" s="19" t="n"/>
      <c r="B1147" s="15" t="n"/>
      <c r="C1147">
        <f>IF(B1147="","",IFERROR(INDEX(Items!$B$5:$B$304,MATCH(B1147,Items!$A$5:$A$304,0)),"Unknown code"))</f>
        <v/>
      </c>
      <c r="D1147" s="15" t="n"/>
      <c r="E1147" s="16" t="n"/>
      <c r="F1147" s="18">
        <f>IF(OR(D1147="",E1147=""),"",D1147*E1147)</f>
        <v/>
      </c>
      <c r="G1147" s="15" t="n"/>
    </row>
    <row r="1148">
      <c r="A1148" s="19" t="n"/>
      <c r="B1148" s="15" t="n"/>
      <c r="C1148">
        <f>IF(B1148="","",IFERROR(INDEX(Items!$B$5:$B$304,MATCH(B1148,Items!$A$5:$A$304,0)),"Unknown code"))</f>
        <v/>
      </c>
      <c r="D1148" s="15" t="n"/>
      <c r="E1148" s="16" t="n"/>
      <c r="F1148" s="18">
        <f>IF(OR(D1148="",E1148=""),"",D1148*E1148)</f>
        <v/>
      </c>
      <c r="G1148" s="15" t="n"/>
    </row>
    <row r="1149">
      <c r="A1149" s="19" t="n"/>
      <c r="B1149" s="15" t="n"/>
      <c r="C1149">
        <f>IF(B1149="","",IFERROR(INDEX(Items!$B$5:$B$304,MATCH(B1149,Items!$A$5:$A$304,0)),"Unknown code"))</f>
        <v/>
      </c>
      <c r="D1149" s="15" t="n"/>
      <c r="E1149" s="16" t="n"/>
      <c r="F1149" s="18">
        <f>IF(OR(D1149="",E1149=""),"",D1149*E1149)</f>
        <v/>
      </c>
      <c r="G1149" s="15" t="n"/>
    </row>
    <row r="1150">
      <c r="A1150" s="19" t="n"/>
      <c r="B1150" s="15" t="n"/>
      <c r="C1150">
        <f>IF(B1150="","",IFERROR(INDEX(Items!$B$5:$B$304,MATCH(B1150,Items!$A$5:$A$304,0)),"Unknown code"))</f>
        <v/>
      </c>
      <c r="D1150" s="15" t="n"/>
      <c r="E1150" s="16" t="n"/>
      <c r="F1150" s="18">
        <f>IF(OR(D1150="",E1150=""),"",D1150*E1150)</f>
        <v/>
      </c>
      <c r="G1150" s="15" t="n"/>
    </row>
    <row r="1151">
      <c r="A1151" s="19" t="n"/>
      <c r="B1151" s="15" t="n"/>
      <c r="C1151">
        <f>IF(B1151="","",IFERROR(INDEX(Items!$B$5:$B$304,MATCH(B1151,Items!$A$5:$A$304,0)),"Unknown code"))</f>
        <v/>
      </c>
      <c r="D1151" s="15" t="n"/>
      <c r="E1151" s="16" t="n"/>
      <c r="F1151" s="18">
        <f>IF(OR(D1151="",E1151=""),"",D1151*E1151)</f>
        <v/>
      </c>
      <c r="G1151" s="15" t="n"/>
    </row>
    <row r="1152">
      <c r="A1152" s="19" t="n"/>
      <c r="B1152" s="15" t="n"/>
      <c r="C1152">
        <f>IF(B1152="","",IFERROR(INDEX(Items!$B$5:$B$304,MATCH(B1152,Items!$A$5:$A$304,0)),"Unknown code"))</f>
        <v/>
      </c>
      <c r="D1152" s="15" t="n"/>
      <c r="E1152" s="16" t="n"/>
      <c r="F1152" s="18">
        <f>IF(OR(D1152="",E1152=""),"",D1152*E1152)</f>
        <v/>
      </c>
      <c r="G1152" s="15" t="n"/>
    </row>
    <row r="1153">
      <c r="A1153" s="19" t="n"/>
      <c r="B1153" s="15" t="n"/>
      <c r="C1153">
        <f>IF(B1153="","",IFERROR(INDEX(Items!$B$5:$B$304,MATCH(B1153,Items!$A$5:$A$304,0)),"Unknown code"))</f>
        <v/>
      </c>
      <c r="D1153" s="15" t="n"/>
      <c r="E1153" s="16" t="n"/>
      <c r="F1153" s="18">
        <f>IF(OR(D1153="",E1153=""),"",D1153*E1153)</f>
        <v/>
      </c>
      <c r="G1153" s="15" t="n"/>
    </row>
    <row r="1154">
      <c r="A1154" s="19" t="n"/>
      <c r="B1154" s="15" t="n"/>
      <c r="C1154">
        <f>IF(B1154="","",IFERROR(INDEX(Items!$B$5:$B$304,MATCH(B1154,Items!$A$5:$A$304,0)),"Unknown code"))</f>
        <v/>
      </c>
      <c r="D1154" s="15" t="n"/>
      <c r="E1154" s="16" t="n"/>
      <c r="F1154" s="18">
        <f>IF(OR(D1154="",E1154=""),"",D1154*E1154)</f>
        <v/>
      </c>
      <c r="G1154" s="15" t="n"/>
    </row>
    <row r="1155">
      <c r="A1155" s="19" t="n"/>
      <c r="B1155" s="15" t="n"/>
      <c r="C1155">
        <f>IF(B1155="","",IFERROR(INDEX(Items!$B$5:$B$304,MATCH(B1155,Items!$A$5:$A$304,0)),"Unknown code"))</f>
        <v/>
      </c>
      <c r="D1155" s="15" t="n"/>
      <c r="E1155" s="16" t="n"/>
      <c r="F1155" s="18">
        <f>IF(OR(D1155="",E1155=""),"",D1155*E1155)</f>
        <v/>
      </c>
      <c r="G1155" s="15" t="n"/>
    </row>
    <row r="1156">
      <c r="A1156" s="19" t="n"/>
      <c r="B1156" s="15" t="n"/>
      <c r="C1156">
        <f>IF(B1156="","",IFERROR(INDEX(Items!$B$5:$B$304,MATCH(B1156,Items!$A$5:$A$304,0)),"Unknown code"))</f>
        <v/>
      </c>
      <c r="D1156" s="15" t="n"/>
      <c r="E1156" s="16" t="n"/>
      <c r="F1156" s="18">
        <f>IF(OR(D1156="",E1156=""),"",D1156*E1156)</f>
        <v/>
      </c>
      <c r="G1156" s="15" t="n"/>
    </row>
    <row r="1157">
      <c r="A1157" s="19" t="n"/>
      <c r="B1157" s="15" t="n"/>
      <c r="C1157">
        <f>IF(B1157="","",IFERROR(INDEX(Items!$B$5:$B$304,MATCH(B1157,Items!$A$5:$A$304,0)),"Unknown code"))</f>
        <v/>
      </c>
      <c r="D1157" s="15" t="n"/>
      <c r="E1157" s="16" t="n"/>
      <c r="F1157" s="18">
        <f>IF(OR(D1157="",E1157=""),"",D1157*E1157)</f>
        <v/>
      </c>
      <c r="G1157" s="15" t="n"/>
    </row>
    <row r="1158">
      <c r="A1158" s="19" t="n"/>
      <c r="B1158" s="15" t="n"/>
      <c r="C1158">
        <f>IF(B1158="","",IFERROR(INDEX(Items!$B$5:$B$304,MATCH(B1158,Items!$A$5:$A$304,0)),"Unknown code"))</f>
        <v/>
      </c>
      <c r="D1158" s="15" t="n"/>
      <c r="E1158" s="16" t="n"/>
      <c r="F1158" s="18">
        <f>IF(OR(D1158="",E1158=""),"",D1158*E1158)</f>
        <v/>
      </c>
      <c r="G1158" s="15" t="n"/>
    </row>
    <row r="1159">
      <c r="A1159" s="19" t="n"/>
      <c r="B1159" s="15" t="n"/>
      <c r="C1159">
        <f>IF(B1159="","",IFERROR(INDEX(Items!$B$5:$B$304,MATCH(B1159,Items!$A$5:$A$304,0)),"Unknown code"))</f>
        <v/>
      </c>
      <c r="D1159" s="15" t="n"/>
      <c r="E1159" s="16" t="n"/>
      <c r="F1159" s="18">
        <f>IF(OR(D1159="",E1159=""),"",D1159*E1159)</f>
        <v/>
      </c>
      <c r="G1159" s="15" t="n"/>
    </row>
    <row r="1160">
      <c r="A1160" s="19" t="n"/>
      <c r="B1160" s="15" t="n"/>
      <c r="C1160">
        <f>IF(B1160="","",IFERROR(INDEX(Items!$B$5:$B$304,MATCH(B1160,Items!$A$5:$A$304,0)),"Unknown code"))</f>
        <v/>
      </c>
      <c r="D1160" s="15" t="n"/>
      <c r="E1160" s="16" t="n"/>
      <c r="F1160" s="18">
        <f>IF(OR(D1160="",E1160=""),"",D1160*E1160)</f>
        <v/>
      </c>
      <c r="G1160" s="15" t="n"/>
    </row>
    <row r="1161">
      <c r="A1161" s="19" t="n"/>
      <c r="B1161" s="15" t="n"/>
      <c r="C1161">
        <f>IF(B1161="","",IFERROR(INDEX(Items!$B$5:$B$304,MATCH(B1161,Items!$A$5:$A$304,0)),"Unknown code"))</f>
        <v/>
      </c>
      <c r="D1161" s="15" t="n"/>
      <c r="E1161" s="16" t="n"/>
      <c r="F1161" s="18">
        <f>IF(OR(D1161="",E1161=""),"",D1161*E1161)</f>
        <v/>
      </c>
      <c r="G1161" s="15" t="n"/>
    </row>
    <row r="1162">
      <c r="A1162" s="19" t="n"/>
      <c r="B1162" s="15" t="n"/>
      <c r="C1162">
        <f>IF(B1162="","",IFERROR(INDEX(Items!$B$5:$B$304,MATCH(B1162,Items!$A$5:$A$304,0)),"Unknown code"))</f>
        <v/>
      </c>
      <c r="D1162" s="15" t="n"/>
      <c r="E1162" s="16" t="n"/>
      <c r="F1162" s="18">
        <f>IF(OR(D1162="",E1162=""),"",D1162*E1162)</f>
        <v/>
      </c>
      <c r="G1162" s="15" t="n"/>
    </row>
    <row r="1163">
      <c r="A1163" s="19" t="n"/>
      <c r="B1163" s="15" t="n"/>
      <c r="C1163">
        <f>IF(B1163="","",IFERROR(INDEX(Items!$B$5:$B$304,MATCH(B1163,Items!$A$5:$A$304,0)),"Unknown code"))</f>
        <v/>
      </c>
      <c r="D1163" s="15" t="n"/>
      <c r="E1163" s="16" t="n"/>
      <c r="F1163" s="18">
        <f>IF(OR(D1163="",E1163=""),"",D1163*E1163)</f>
        <v/>
      </c>
      <c r="G1163" s="15" t="n"/>
    </row>
    <row r="1164">
      <c r="A1164" s="19" t="n"/>
      <c r="B1164" s="15" t="n"/>
      <c r="C1164">
        <f>IF(B1164="","",IFERROR(INDEX(Items!$B$5:$B$304,MATCH(B1164,Items!$A$5:$A$304,0)),"Unknown code"))</f>
        <v/>
      </c>
      <c r="D1164" s="15" t="n"/>
      <c r="E1164" s="16" t="n"/>
      <c r="F1164" s="18">
        <f>IF(OR(D1164="",E1164=""),"",D1164*E1164)</f>
        <v/>
      </c>
      <c r="G1164" s="15" t="n"/>
    </row>
    <row r="1165">
      <c r="A1165" s="19" t="n"/>
      <c r="B1165" s="15" t="n"/>
      <c r="C1165">
        <f>IF(B1165="","",IFERROR(INDEX(Items!$B$5:$B$304,MATCH(B1165,Items!$A$5:$A$304,0)),"Unknown code"))</f>
        <v/>
      </c>
      <c r="D1165" s="15" t="n"/>
      <c r="E1165" s="16" t="n"/>
      <c r="F1165" s="18">
        <f>IF(OR(D1165="",E1165=""),"",D1165*E1165)</f>
        <v/>
      </c>
      <c r="G1165" s="15" t="n"/>
    </row>
    <row r="1166">
      <c r="A1166" s="19" t="n"/>
      <c r="B1166" s="15" t="n"/>
      <c r="C1166">
        <f>IF(B1166="","",IFERROR(INDEX(Items!$B$5:$B$304,MATCH(B1166,Items!$A$5:$A$304,0)),"Unknown code"))</f>
        <v/>
      </c>
      <c r="D1166" s="15" t="n"/>
      <c r="E1166" s="16" t="n"/>
      <c r="F1166" s="18">
        <f>IF(OR(D1166="",E1166=""),"",D1166*E1166)</f>
        <v/>
      </c>
      <c r="G1166" s="15" t="n"/>
    </row>
    <row r="1167">
      <c r="A1167" s="19" t="n"/>
      <c r="B1167" s="15" t="n"/>
      <c r="C1167">
        <f>IF(B1167="","",IFERROR(INDEX(Items!$B$5:$B$304,MATCH(B1167,Items!$A$5:$A$304,0)),"Unknown code"))</f>
        <v/>
      </c>
      <c r="D1167" s="15" t="n"/>
      <c r="E1167" s="16" t="n"/>
      <c r="F1167" s="18">
        <f>IF(OR(D1167="",E1167=""),"",D1167*E1167)</f>
        <v/>
      </c>
      <c r="G1167" s="15" t="n"/>
    </row>
    <row r="1168">
      <c r="A1168" s="19" t="n"/>
      <c r="B1168" s="15" t="n"/>
      <c r="C1168">
        <f>IF(B1168="","",IFERROR(INDEX(Items!$B$5:$B$304,MATCH(B1168,Items!$A$5:$A$304,0)),"Unknown code"))</f>
        <v/>
      </c>
      <c r="D1168" s="15" t="n"/>
      <c r="E1168" s="16" t="n"/>
      <c r="F1168" s="18">
        <f>IF(OR(D1168="",E1168=""),"",D1168*E1168)</f>
        <v/>
      </c>
      <c r="G1168" s="15" t="n"/>
    </row>
    <row r="1169">
      <c r="A1169" s="19" t="n"/>
      <c r="B1169" s="15" t="n"/>
      <c r="C1169">
        <f>IF(B1169="","",IFERROR(INDEX(Items!$B$5:$B$304,MATCH(B1169,Items!$A$5:$A$304,0)),"Unknown code"))</f>
        <v/>
      </c>
      <c r="D1169" s="15" t="n"/>
      <c r="E1169" s="16" t="n"/>
      <c r="F1169" s="18">
        <f>IF(OR(D1169="",E1169=""),"",D1169*E1169)</f>
        <v/>
      </c>
      <c r="G1169" s="15" t="n"/>
    </row>
    <row r="1170">
      <c r="A1170" s="19" t="n"/>
      <c r="B1170" s="15" t="n"/>
      <c r="C1170">
        <f>IF(B1170="","",IFERROR(INDEX(Items!$B$5:$B$304,MATCH(B1170,Items!$A$5:$A$304,0)),"Unknown code"))</f>
        <v/>
      </c>
      <c r="D1170" s="15" t="n"/>
      <c r="E1170" s="16" t="n"/>
      <c r="F1170" s="18">
        <f>IF(OR(D1170="",E1170=""),"",D1170*E1170)</f>
        <v/>
      </c>
      <c r="G1170" s="15" t="n"/>
    </row>
    <row r="1171">
      <c r="A1171" s="19" t="n"/>
      <c r="B1171" s="15" t="n"/>
      <c r="C1171">
        <f>IF(B1171="","",IFERROR(INDEX(Items!$B$5:$B$304,MATCH(B1171,Items!$A$5:$A$304,0)),"Unknown code"))</f>
        <v/>
      </c>
      <c r="D1171" s="15" t="n"/>
      <c r="E1171" s="16" t="n"/>
      <c r="F1171" s="18">
        <f>IF(OR(D1171="",E1171=""),"",D1171*E1171)</f>
        <v/>
      </c>
      <c r="G1171" s="15" t="n"/>
    </row>
    <row r="1172">
      <c r="A1172" s="19" t="n"/>
      <c r="B1172" s="15" t="n"/>
      <c r="C1172">
        <f>IF(B1172="","",IFERROR(INDEX(Items!$B$5:$B$304,MATCH(B1172,Items!$A$5:$A$304,0)),"Unknown code"))</f>
        <v/>
      </c>
      <c r="D1172" s="15" t="n"/>
      <c r="E1172" s="16" t="n"/>
      <c r="F1172" s="18">
        <f>IF(OR(D1172="",E1172=""),"",D1172*E1172)</f>
        <v/>
      </c>
      <c r="G1172" s="15" t="n"/>
    </row>
    <row r="1173">
      <c r="A1173" s="19" t="n"/>
      <c r="B1173" s="15" t="n"/>
      <c r="C1173">
        <f>IF(B1173="","",IFERROR(INDEX(Items!$B$5:$B$304,MATCH(B1173,Items!$A$5:$A$304,0)),"Unknown code"))</f>
        <v/>
      </c>
      <c r="D1173" s="15" t="n"/>
      <c r="E1173" s="16" t="n"/>
      <c r="F1173" s="18">
        <f>IF(OR(D1173="",E1173=""),"",D1173*E1173)</f>
        <v/>
      </c>
      <c r="G1173" s="15" t="n"/>
    </row>
    <row r="1174">
      <c r="A1174" s="19" t="n"/>
      <c r="B1174" s="15" t="n"/>
      <c r="C1174">
        <f>IF(B1174="","",IFERROR(INDEX(Items!$B$5:$B$304,MATCH(B1174,Items!$A$5:$A$304,0)),"Unknown code"))</f>
        <v/>
      </c>
      <c r="D1174" s="15" t="n"/>
      <c r="E1174" s="16" t="n"/>
      <c r="F1174" s="18">
        <f>IF(OR(D1174="",E1174=""),"",D1174*E1174)</f>
        <v/>
      </c>
      <c r="G1174" s="15" t="n"/>
    </row>
    <row r="1175">
      <c r="A1175" s="19" t="n"/>
      <c r="B1175" s="15" t="n"/>
      <c r="C1175">
        <f>IF(B1175="","",IFERROR(INDEX(Items!$B$5:$B$304,MATCH(B1175,Items!$A$5:$A$304,0)),"Unknown code"))</f>
        <v/>
      </c>
      <c r="D1175" s="15" t="n"/>
      <c r="E1175" s="16" t="n"/>
      <c r="F1175" s="18">
        <f>IF(OR(D1175="",E1175=""),"",D1175*E1175)</f>
        <v/>
      </c>
      <c r="G1175" s="15" t="n"/>
    </row>
    <row r="1176">
      <c r="A1176" s="19" t="n"/>
      <c r="B1176" s="15" t="n"/>
      <c r="C1176">
        <f>IF(B1176="","",IFERROR(INDEX(Items!$B$5:$B$304,MATCH(B1176,Items!$A$5:$A$304,0)),"Unknown code"))</f>
        <v/>
      </c>
      <c r="D1176" s="15" t="n"/>
      <c r="E1176" s="16" t="n"/>
      <c r="F1176" s="18">
        <f>IF(OR(D1176="",E1176=""),"",D1176*E1176)</f>
        <v/>
      </c>
      <c r="G1176" s="15" t="n"/>
    </row>
    <row r="1177">
      <c r="A1177" s="19" t="n"/>
      <c r="B1177" s="15" t="n"/>
      <c r="C1177">
        <f>IF(B1177="","",IFERROR(INDEX(Items!$B$5:$B$304,MATCH(B1177,Items!$A$5:$A$304,0)),"Unknown code"))</f>
        <v/>
      </c>
      <c r="D1177" s="15" t="n"/>
      <c r="E1177" s="16" t="n"/>
      <c r="F1177" s="18">
        <f>IF(OR(D1177="",E1177=""),"",D1177*E1177)</f>
        <v/>
      </c>
      <c r="G1177" s="15" t="n"/>
    </row>
    <row r="1178">
      <c r="A1178" s="19" t="n"/>
      <c r="B1178" s="15" t="n"/>
      <c r="C1178">
        <f>IF(B1178="","",IFERROR(INDEX(Items!$B$5:$B$304,MATCH(B1178,Items!$A$5:$A$304,0)),"Unknown code"))</f>
        <v/>
      </c>
      <c r="D1178" s="15" t="n"/>
      <c r="E1178" s="16" t="n"/>
      <c r="F1178" s="18">
        <f>IF(OR(D1178="",E1178=""),"",D1178*E1178)</f>
        <v/>
      </c>
      <c r="G1178" s="15" t="n"/>
    </row>
    <row r="1179">
      <c r="A1179" s="19" t="n"/>
      <c r="B1179" s="15" t="n"/>
      <c r="C1179">
        <f>IF(B1179="","",IFERROR(INDEX(Items!$B$5:$B$304,MATCH(B1179,Items!$A$5:$A$304,0)),"Unknown code"))</f>
        <v/>
      </c>
      <c r="D1179" s="15" t="n"/>
      <c r="E1179" s="16" t="n"/>
      <c r="F1179" s="18">
        <f>IF(OR(D1179="",E1179=""),"",D1179*E1179)</f>
        <v/>
      </c>
      <c r="G1179" s="15" t="n"/>
    </row>
    <row r="1180">
      <c r="A1180" s="19" t="n"/>
      <c r="B1180" s="15" t="n"/>
      <c r="C1180">
        <f>IF(B1180="","",IFERROR(INDEX(Items!$B$5:$B$304,MATCH(B1180,Items!$A$5:$A$304,0)),"Unknown code"))</f>
        <v/>
      </c>
      <c r="D1180" s="15" t="n"/>
      <c r="E1180" s="16" t="n"/>
      <c r="F1180" s="18">
        <f>IF(OR(D1180="",E1180=""),"",D1180*E1180)</f>
        <v/>
      </c>
      <c r="G1180" s="15" t="n"/>
    </row>
    <row r="1181">
      <c r="A1181" s="19" t="n"/>
      <c r="B1181" s="15" t="n"/>
      <c r="C1181">
        <f>IF(B1181="","",IFERROR(INDEX(Items!$B$5:$B$304,MATCH(B1181,Items!$A$5:$A$304,0)),"Unknown code"))</f>
        <v/>
      </c>
      <c r="D1181" s="15" t="n"/>
      <c r="E1181" s="16" t="n"/>
      <c r="F1181" s="18">
        <f>IF(OR(D1181="",E1181=""),"",D1181*E1181)</f>
        <v/>
      </c>
      <c r="G1181" s="15" t="n"/>
    </row>
    <row r="1182">
      <c r="A1182" s="19" t="n"/>
      <c r="B1182" s="15" t="n"/>
      <c r="C1182">
        <f>IF(B1182="","",IFERROR(INDEX(Items!$B$5:$B$304,MATCH(B1182,Items!$A$5:$A$304,0)),"Unknown code"))</f>
        <v/>
      </c>
      <c r="D1182" s="15" t="n"/>
      <c r="E1182" s="16" t="n"/>
      <c r="F1182" s="18">
        <f>IF(OR(D1182="",E1182=""),"",D1182*E1182)</f>
        <v/>
      </c>
      <c r="G1182" s="15" t="n"/>
    </row>
    <row r="1183">
      <c r="A1183" s="19" t="n"/>
      <c r="B1183" s="15" t="n"/>
      <c r="C1183">
        <f>IF(B1183="","",IFERROR(INDEX(Items!$B$5:$B$304,MATCH(B1183,Items!$A$5:$A$304,0)),"Unknown code"))</f>
        <v/>
      </c>
      <c r="D1183" s="15" t="n"/>
      <c r="E1183" s="16" t="n"/>
      <c r="F1183" s="18">
        <f>IF(OR(D1183="",E1183=""),"",D1183*E1183)</f>
        <v/>
      </c>
      <c r="G1183" s="15" t="n"/>
    </row>
    <row r="1184">
      <c r="A1184" s="19" t="n"/>
      <c r="B1184" s="15" t="n"/>
      <c r="C1184">
        <f>IF(B1184="","",IFERROR(INDEX(Items!$B$5:$B$304,MATCH(B1184,Items!$A$5:$A$304,0)),"Unknown code"))</f>
        <v/>
      </c>
      <c r="D1184" s="15" t="n"/>
      <c r="E1184" s="16" t="n"/>
      <c r="F1184" s="18">
        <f>IF(OR(D1184="",E1184=""),"",D1184*E1184)</f>
        <v/>
      </c>
      <c r="G1184" s="15" t="n"/>
    </row>
    <row r="1185">
      <c r="A1185" s="19" t="n"/>
      <c r="B1185" s="15" t="n"/>
      <c r="C1185">
        <f>IF(B1185="","",IFERROR(INDEX(Items!$B$5:$B$304,MATCH(B1185,Items!$A$5:$A$304,0)),"Unknown code"))</f>
        <v/>
      </c>
      <c r="D1185" s="15" t="n"/>
      <c r="E1185" s="16" t="n"/>
      <c r="F1185" s="18">
        <f>IF(OR(D1185="",E1185=""),"",D1185*E1185)</f>
        <v/>
      </c>
      <c r="G1185" s="15" t="n"/>
    </row>
    <row r="1186">
      <c r="A1186" s="19" t="n"/>
      <c r="B1186" s="15" t="n"/>
      <c r="C1186">
        <f>IF(B1186="","",IFERROR(INDEX(Items!$B$5:$B$304,MATCH(B1186,Items!$A$5:$A$304,0)),"Unknown code"))</f>
        <v/>
      </c>
      <c r="D1186" s="15" t="n"/>
      <c r="E1186" s="16" t="n"/>
      <c r="F1186" s="18">
        <f>IF(OR(D1186="",E1186=""),"",D1186*E1186)</f>
        <v/>
      </c>
      <c r="G1186" s="15" t="n"/>
    </row>
    <row r="1187">
      <c r="A1187" s="19" t="n"/>
      <c r="B1187" s="15" t="n"/>
      <c r="C1187">
        <f>IF(B1187="","",IFERROR(INDEX(Items!$B$5:$B$304,MATCH(B1187,Items!$A$5:$A$304,0)),"Unknown code"))</f>
        <v/>
      </c>
      <c r="D1187" s="15" t="n"/>
      <c r="E1187" s="16" t="n"/>
      <c r="F1187" s="18">
        <f>IF(OR(D1187="",E1187=""),"",D1187*E1187)</f>
        <v/>
      </c>
      <c r="G1187" s="15" t="n"/>
    </row>
    <row r="1188">
      <c r="A1188" s="19" t="n"/>
      <c r="B1188" s="15" t="n"/>
      <c r="C1188">
        <f>IF(B1188="","",IFERROR(INDEX(Items!$B$5:$B$304,MATCH(B1188,Items!$A$5:$A$304,0)),"Unknown code"))</f>
        <v/>
      </c>
      <c r="D1188" s="15" t="n"/>
      <c r="E1188" s="16" t="n"/>
      <c r="F1188" s="18">
        <f>IF(OR(D1188="",E1188=""),"",D1188*E1188)</f>
        <v/>
      </c>
      <c r="G1188" s="15" t="n"/>
    </row>
    <row r="1189">
      <c r="A1189" s="19" t="n"/>
      <c r="B1189" s="15" t="n"/>
      <c r="C1189">
        <f>IF(B1189="","",IFERROR(INDEX(Items!$B$5:$B$304,MATCH(B1189,Items!$A$5:$A$304,0)),"Unknown code"))</f>
        <v/>
      </c>
      <c r="D1189" s="15" t="n"/>
      <c r="E1189" s="16" t="n"/>
      <c r="F1189" s="18">
        <f>IF(OR(D1189="",E1189=""),"",D1189*E1189)</f>
        <v/>
      </c>
      <c r="G1189" s="15" t="n"/>
    </row>
    <row r="1190">
      <c r="A1190" s="19" t="n"/>
      <c r="B1190" s="15" t="n"/>
      <c r="C1190">
        <f>IF(B1190="","",IFERROR(INDEX(Items!$B$5:$B$304,MATCH(B1190,Items!$A$5:$A$304,0)),"Unknown code"))</f>
        <v/>
      </c>
      <c r="D1190" s="15" t="n"/>
      <c r="E1190" s="16" t="n"/>
      <c r="F1190" s="18">
        <f>IF(OR(D1190="",E1190=""),"",D1190*E1190)</f>
        <v/>
      </c>
      <c r="G1190" s="15" t="n"/>
    </row>
    <row r="1191">
      <c r="A1191" s="19" t="n"/>
      <c r="B1191" s="15" t="n"/>
      <c r="C1191">
        <f>IF(B1191="","",IFERROR(INDEX(Items!$B$5:$B$304,MATCH(B1191,Items!$A$5:$A$304,0)),"Unknown code"))</f>
        <v/>
      </c>
      <c r="D1191" s="15" t="n"/>
      <c r="E1191" s="16" t="n"/>
      <c r="F1191" s="18">
        <f>IF(OR(D1191="",E1191=""),"",D1191*E1191)</f>
        <v/>
      </c>
      <c r="G1191" s="15" t="n"/>
    </row>
    <row r="1192">
      <c r="A1192" s="19" t="n"/>
      <c r="B1192" s="15" t="n"/>
      <c r="C1192">
        <f>IF(B1192="","",IFERROR(INDEX(Items!$B$5:$B$304,MATCH(B1192,Items!$A$5:$A$304,0)),"Unknown code"))</f>
        <v/>
      </c>
      <c r="D1192" s="15" t="n"/>
      <c r="E1192" s="16" t="n"/>
      <c r="F1192" s="18">
        <f>IF(OR(D1192="",E1192=""),"",D1192*E1192)</f>
        <v/>
      </c>
      <c r="G1192" s="15" t="n"/>
    </row>
    <row r="1193">
      <c r="A1193" s="19" t="n"/>
      <c r="B1193" s="15" t="n"/>
      <c r="C1193">
        <f>IF(B1193="","",IFERROR(INDEX(Items!$B$5:$B$304,MATCH(B1193,Items!$A$5:$A$304,0)),"Unknown code"))</f>
        <v/>
      </c>
      <c r="D1193" s="15" t="n"/>
      <c r="E1193" s="16" t="n"/>
      <c r="F1193" s="18">
        <f>IF(OR(D1193="",E1193=""),"",D1193*E1193)</f>
        <v/>
      </c>
      <c r="G1193" s="15" t="n"/>
    </row>
    <row r="1194">
      <c r="A1194" s="19" t="n"/>
      <c r="B1194" s="15" t="n"/>
      <c r="C1194">
        <f>IF(B1194="","",IFERROR(INDEX(Items!$B$5:$B$304,MATCH(B1194,Items!$A$5:$A$304,0)),"Unknown code"))</f>
        <v/>
      </c>
      <c r="D1194" s="15" t="n"/>
      <c r="E1194" s="16" t="n"/>
      <c r="F1194" s="18">
        <f>IF(OR(D1194="",E1194=""),"",D1194*E1194)</f>
        <v/>
      </c>
      <c r="G1194" s="15" t="n"/>
    </row>
    <row r="1195">
      <c r="A1195" s="19" t="n"/>
      <c r="B1195" s="15" t="n"/>
      <c r="C1195">
        <f>IF(B1195="","",IFERROR(INDEX(Items!$B$5:$B$304,MATCH(B1195,Items!$A$5:$A$304,0)),"Unknown code"))</f>
        <v/>
      </c>
      <c r="D1195" s="15" t="n"/>
      <c r="E1195" s="16" t="n"/>
      <c r="F1195" s="18">
        <f>IF(OR(D1195="",E1195=""),"",D1195*E1195)</f>
        <v/>
      </c>
      <c r="G1195" s="15" t="n"/>
    </row>
    <row r="1196">
      <c r="A1196" s="19" t="n"/>
      <c r="B1196" s="15" t="n"/>
      <c r="C1196">
        <f>IF(B1196="","",IFERROR(INDEX(Items!$B$5:$B$304,MATCH(B1196,Items!$A$5:$A$304,0)),"Unknown code"))</f>
        <v/>
      </c>
      <c r="D1196" s="15" t="n"/>
      <c r="E1196" s="16" t="n"/>
      <c r="F1196" s="18">
        <f>IF(OR(D1196="",E1196=""),"",D1196*E1196)</f>
        <v/>
      </c>
      <c r="G1196" s="15" t="n"/>
    </row>
    <row r="1197">
      <c r="A1197" s="19" t="n"/>
      <c r="B1197" s="15" t="n"/>
      <c r="C1197">
        <f>IF(B1197="","",IFERROR(INDEX(Items!$B$5:$B$304,MATCH(B1197,Items!$A$5:$A$304,0)),"Unknown code"))</f>
        <v/>
      </c>
      <c r="D1197" s="15" t="n"/>
      <c r="E1197" s="16" t="n"/>
      <c r="F1197" s="18">
        <f>IF(OR(D1197="",E1197=""),"",D1197*E1197)</f>
        <v/>
      </c>
      <c r="G1197" s="15" t="n"/>
    </row>
    <row r="1198">
      <c r="A1198" s="19" t="n"/>
      <c r="B1198" s="15" t="n"/>
      <c r="C1198">
        <f>IF(B1198="","",IFERROR(INDEX(Items!$B$5:$B$304,MATCH(B1198,Items!$A$5:$A$304,0)),"Unknown code"))</f>
        <v/>
      </c>
      <c r="D1198" s="15" t="n"/>
      <c r="E1198" s="16" t="n"/>
      <c r="F1198" s="18">
        <f>IF(OR(D1198="",E1198=""),"",D1198*E1198)</f>
        <v/>
      </c>
      <c r="G1198" s="15" t="n"/>
    </row>
    <row r="1199">
      <c r="A1199" s="19" t="n"/>
      <c r="B1199" s="15" t="n"/>
      <c r="C1199">
        <f>IF(B1199="","",IFERROR(INDEX(Items!$B$5:$B$304,MATCH(B1199,Items!$A$5:$A$304,0)),"Unknown code"))</f>
        <v/>
      </c>
      <c r="D1199" s="15" t="n"/>
      <c r="E1199" s="16" t="n"/>
      <c r="F1199" s="18">
        <f>IF(OR(D1199="",E1199=""),"",D1199*E1199)</f>
        <v/>
      </c>
      <c r="G1199" s="15" t="n"/>
    </row>
    <row r="1200">
      <c r="A1200" s="19" t="n"/>
      <c r="B1200" s="15" t="n"/>
      <c r="C1200">
        <f>IF(B1200="","",IFERROR(INDEX(Items!$B$5:$B$304,MATCH(B1200,Items!$A$5:$A$304,0)),"Unknown code"))</f>
        <v/>
      </c>
      <c r="D1200" s="15" t="n"/>
      <c r="E1200" s="16" t="n"/>
      <c r="F1200" s="18">
        <f>IF(OR(D1200="",E1200=""),"",D1200*E1200)</f>
        <v/>
      </c>
      <c r="G1200" s="15" t="n"/>
    </row>
    <row r="1201">
      <c r="A1201" s="19" t="n"/>
      <c r="B1201" s="15" t="n"/>
      <c r="C1201">
        <f>IF(B1201="","",IFERROR(INDEX(Items!$B$5:$B$304,MATCH(B1201,Items!$A$5:$A$304,0)),"Unknown code"))</f>
        <v/>
      </c>
      <c r="D1201" s="15" t="n"/>
      <c r="E1201" s="16" t="n"/>
      <c r="F1201" s="18">
        <f>IF(OR(D1201="",E1201=""),"",D1201*E1201)</f>
        <v/>
      </c>
      <c r="G1201" s="15" t="n"/>
    </row>
    <row r="1202">
      <c r="A1202" s="19" t="n"/>
      <c r="B1202" s="15" t="n"/>
      <c r="C1202">
        <f>IF(B1202="","",IFERROR(INDEX(Items!$B$5:$B$304,MATCH(B1202,Items!$A$5:$A$304,0)),"Unknown code"))</f>
        <v/>
      </c>
      <c r="D1202" s="15" t="n"/>
      <c r="E1202" s="16" t="n"/>
      <c r="F1202" s="18">
        <f>IF(OR(D1202="",E1202=""),"",D1202*E1202)</f>
        <v/>
      </c>
      <c r="G1202" s="15" t="n"/>
    </row>
    <row r="1203">
      <c r="A1203" s="19" t="n"/>
      <c r="B1203" s="15" t="n"/>
      <c r="C1203">
        <f>IF(B1203="","",IFERROR(INDEX(Items!$B$5:$B$304,MATCH(B1203,Items!$A$5:$A$304,0)),"Unknown code"))</f>
        <v/>
      </c>
      <c r="D1203" s="15" t="n"/>
      <c r="E1203" s="16" t="n"/>
      <c r="F1203" s="18">
        <f>IF(OR(D1203="",E1203=""),"",D1203*E1203)</f>
        <v/>
      </c>
      <c r="G1203" s="15" t="n"/>
    </row>
    <row r="1204">
      <c r="A1204" s="19" t="n"/>
      <c r="B1204" s="15" t="n"/>
      <c r="C1204">
        <f>IF(B1204="","",IFERROR(INDEX(Items!$B$5:$B$304,MATCH(B1204,Items!$A$5:$A$304,0)),"Unknown code"))</f>
        <v/>
      </c>
      <c r="D1204" s="15" t="n"/>
      <c r="E1204" s="16" t="n"/>
      <c r="F1204" s="18">
        <f>IF(OR(D1204="",E1204=""),"",D1204*E1204)</f>
        <v/>
      </c>
      <c r="G1204" s="15" t="n"/>
    </row>
    <row r="1205">
      <c r="A1205" s="19" t="n"/>
      <c r="B1205" s="15" t="n"/>
      <c r="C1205">
        <f>IF(B1205="","",IFERROR(INDEX(Items!$B$5:$B$304,MATCH(B1205,Items!$A$5:$A$304,0)),"Unknown code"))</f>
        <v/>
      </c>
      <c r="D1205" s="15" t="n"/>
      <c r="E1205" s="16" t="n"/>
      <c r="F1205" s="18">
        <f>IF(OR(D1205="",E1205=""),"",D1205*E1205)</f>
        <v/>
      </c>
      <c r="G1205" s="15" t="n"/>
    </row>
    <row r="1206">
      <c r="A1206" s="19" t="n"/>
      <c r="B1206" s="15" t="n"/>
      <c r="C1206">
        <f>IF(B1206="","",IFERROR(INDEX(Items!$B$5:$B$304,MATCH(B1206,Items!$A$5:$A$304,0)),"Unknown code"))</f>
        <v/>
      </c>
      <c r="D1206" s="15" t="n"/>
      <c r="E1206" s="16" t="n"/>
      <c r="F1206" s="18">
        <f>IF(OR(D1206="",E1206=""),"",D1206*E1206)</f>
        <v/>
      </c>
      <c r="G1206" s="15" t="n"/>
    </row>
    <row r="1207">
      <c r="A1207" s="19" t="n"/>
      <c r="B1207" s="15" t="n"/>
      <c r="C1207">
        <f>IF(B1207="","",IFERROR(INDEX(Items!$B$5:$B$304,MATCH(B1207,Items!$A$5:$A$304,0)),"Unknown code"))</f>
        <v/>
      </c>
      <c r="D1207" s="15" t="n"/>
      <c r="E1207" s="16" t="n"/>
      <c r="F1207" s="18">
        <f>IF(OR(D1207="",E1207=""),"",D1207*E1207)</f>
        <v/>
      </c>
      <c r="G1207" s="15" t="n"/>
    </row>
    <row r="1208">
      <c r="A1208" s="19" t="n"/>
      <c r="B1208" s="15" t="n"/>
      <c r="C1208">
        <f>IF(B1208="","",IFERROR(INDEX(Items!$B$5:$B$304,MATCH(B1208,Items!$A$5:$A$304,0)),"Unknown code"))</f>
        <v/>
      </c>
      <c r="D1208" s="15" t="n"/>
      <c r="E1208" s="16" t="n"/>
      <c r="F1208" s="18">
        <f>IF(OR(D1208="",E1208=""),"",D1208*E1208)</f>
        <v/>
      </c>
      <c r="G1208" s="15" t="n"/>
    </row>
    <row r="1209">
      <c r="A1209" s="19" t="n"/>
      <c r="B1209" s="15" t="n"/>
      <c r="C1209">
        <f>IF(B1209="","",IFERROR(INDEX(Items!$B$5:$B$304,MATCH(B1209,Items!$A$5:$A$304,0)),"Unknown code"))</f>
        <v/>
      </c>
      <c r="D1209" s="15" t="n"/>
      <c r="E1209" s="16" t="n"/>
      <c r="F1209" s="18">
        <f>IF(OR(D1209="",E1209=""),"",D1209*E1209)</f>
        <v/>
      </c>
      <c r="G1209" s="15" t="n"/>
    </row>
    <row r="1210">
      <c r="A1210" s="19" t="n"/>
      <c r="B1210" s="15" t="n"/>
      <c r="C1210">
        <f>IF(B1210="","",IFERROR(INDEX(Items!$B$5:$B$304,MATCH(B1210,Items!$A$5:$A$304,0)),"Unknown code"))</f>
        <v/>
      </c>
      <c r="D1210" s="15" t="n"/>
      <c r="E1210" s="16" t="n"/>
      <c r="F1210" s="18">
        <f>IF(OR(D1210="",E1210=""),"",D1210*E1210)</f>
        <v/>
      </c>
      <c r="G1210" s="15" t="n"/>
    </row>
    <row r="1211">
      <c r="A1211" s="19" t="n"/>
      <c r="B1211" s="15" t="n"/>
      <c r="C1211">
        <f>IF(B1211="","",IFERROR(INDEX(Items!$B$5:$B$304,MATCH(B1211,Items!$A$5:$A$304,0)),"Unknown code"))</f>
        <v/>
      </c>
      <c r="D1211" s="15" t="n"/>
      <c r="E1211" s="16" t="n"/>
      <c r="F1211" s="18">
        <f>IF(OR(D1211="",E1211=""),"",D1211*E1211)</f>
        <v/>
      </c>
      <c r="G1211" s="15" t="n"/>
    </row>
    <row r="1212">
      <c r="A1212" s="19" t="n"/>
      <c r="B1212" s="15" t="n"/>
      <c r="C1212">
        <f>IF(B1212="","",IFERROR(INDEX(Items!$B$5:$B$304,MATCH(B1212,Items!$A$5:$A$304,0)),"Unknown code"))</f>
        <v/>
      </c>
      <c r="D1212" s="15" t="n"/>
      <c r="E1212" s="16" t="n"/>
      <c r="F1212" s="18">
        <f>IF(OR(D1212="",E1212=""),"",D1212*E1212)</f>
        <v/>
      </c>
      <c r="G1212" s="15" t="n"/>
    </row>
    <row r="1213">
      <c r="A1213" s="19" t="n"/>
      <c r="B1213" s="15" t="n"/>
      <c r="C1213">
        <f>IF(B1213="","",IFERROR(INDEX(Items!$B$5:$B$304,MATCH(B1213,Items!$A$5:$A$304,0)),"Unknown code"))</f>
        <v/>
      </c>
      <c r="D1213" s="15" t="n"/>
      <c r="E1213" s="16" t="n"/>
      <c r="F1213" s="18">
        <f>IF(OR(D1213="",E1213=""),"",D1213*E1213)</f>
        <v/>
      </c>
      <c r="G1213" s="15" t="n"/>
    </row>
    <row r="1214">
      <c r="A1214" s="19" t="n"/>
      <c r="B1214" s="15" t="n"/>
      <c r="C1214">
        <f>IF(B1214="","",IFERROR(INDEX(Items!$B$5:$B$304,MATCH(B1214,Items!$A$5:$A$304,0)),"Unknown code"))</f>
        <v/>
      </c>
      <c r="D1214" s="15" t="n"/>
      <c r="E1214" s="16" t="n"/>
      <c r="F1214" s="18">
        <f>IF(OR(D1214="",E1214=""),"",D1214*E1214)</f>
        <v/>
      </c>
      <c r="G1214" s="15" t="n"/>
    </row>
    <row r="1215">
      <c r="A1215" s="19" t="n"/>
      <c r="B1215" s="15" t="n"/>
      <c r="C1215">
        <f>IF(B1215="","",IFERROR(INDEX(Items!$B$5:$B$304,MATCH(B1215,Items!$A$5:$A$304,0)),"Unknown code"))</f>
        <v/>
      </c>
      <c r="D1215" s="15" t="n"/>
      <c r="E1215" s="16" t="n"/>
      <c r="F1215" s="18">
        <f>IF(OR(D1215="",E1215=""),"",D1215*E1215)</f>
        <v/>
      </c>
      <c r="G1215" s="15" t="n"/>
    </row>
    <row r="1216">
      <c r="A1216" s="19" t="n"/>
      <c r="B1216" s="15" t="n"/>
      <c r="C1216">
        <f>IF(B1216="","",IFERROR(INDEX(Items!$B$5:$B$304,MATCH(B1216,Items!$A$5:$A$304,0)),"Unknown code"))</f>
        <v/>
      </c>
      <c r="D1216" s="15" t="n"/>
      <c r="E1216" s="16" t="n"/>
      <c r="F1216" s="18">
        <f>IF(OR(D1216="",E1216=""),"",D1216*E1216)</f>
        <v/>
      </c>
      <c r="G1216" s="15" t="n"/>
    </row>
    <row r="1217">
      <c r="A1217" s="19" t="n"/>
      <c r="B1217" s="15" t="n"/>
      <c r="C1217">
        <f>IF(B1217="","",IFERROR(INDEX(Items!$B$5:$B$304,MATCH(B1217,Items!$A$5:$A$304,0)),"Unknown code"))</f>
        <v/>
      </c>
      <c r="D1217" s="15" t="n"/>
      <c r="E1217" s="16" t="n"/>
      <c r="F1217" s="18">
        <f>IF(OR(D1217="",E1217=""),"",D1217*E1217)</f>
        <v/>
      </c>
      <c r="G1217" s="15" t="n"/>
    </row>
    <row r="1218">
      <c r="A1218" s="19" t="n"/>
      <c r="B1218" s="15" t="n"/>
      <c r="C1218">
        <f>IF(B1218="","",IFERROR(INDEX(Items!$B$5:$B$304,MATCH(B1218,Items!$A$5:$A$304,0)),"Unknown code"))</f>
        <v/>
      </c>
      <c r="D1218" s="15" t="n"/>
      <c r="E1218" s="16" t="n"/>
      <c r="F1218" s="18">
        <f>IF(OR(D1218="",E1218=""),"",D1218*E1218)</f>
        <v/>
      </c>
      <c r="G1218" s="15" t="n"/>
    </row>
    <row r="1219">
      <c r="A1219" s="19" t="n"/>
      <c r="B1219" s="15" t="n"/>
      <c r="C1219">
        <f>IF(B1219="","",IFERROR(INDEX(Items!$B$5:$B$304,MATCH(B1219,Items!$A$5:$A$304,0)),"Unknown code"))</f>
        <v/>
      </c>
      <c r="D1219" s="15" t="n"/>
      <c r="E1219" s="16" t="n"/>
      <c r="F1219" s="18">
        <f>IF(OR(D1219="",E1219=""),"",D1219*E1219)</f>
        <v/>
      </c>
      <c r="G1219" s="15" t="n"/>
    </row>
    <row r="1220">
      <c r="A1220" s="19" t="n"/>
      <c r="B1220" s="15" t="n"/>
      <c r="C1220">
        <f>IF(B1220="","",IFERROR(INDEX(Items!$B$5:$B$304,MATCH(B1220,Items!$A$5:$A$304,0)),"Unknown code"))</f>
        <v/>
      </c>
      <c r="D1220" s="15" t="n"/>
      <c r="E1220" s="16" t="n"/>
      <c r="F1220" s="18">
        <f>IF(OR(D1220="",E1220=""),"",D1220*E1220)</f>
        <v/>
      </c>
      <c r="G1220" s="15" t="n"/>
    </row>
    <row r="1221">
      <c r="A1221" s="19" t="n"/>
      <c r="B1221" s="15" t="n"/>
      <c r="C1221">
        <f>IF(B1221="","",IFERROR(INDEX(Items!$B$5:$B$304,MATCH(B1221,Items!$A$5:$A$304,0)),"Unknown code"))</f>
        <v/>
      </c>
      <c r="D1221" s="15" t="n"/>
      <c r="E1221" s="16" t="n"/>
      <c r="F1221" s="18">
        <f>IF(OR(D1221="",E1221=""),"",D1221*E1221)</f>
        <v/>
      </c>
      <c r="G1221" s="15" t="n"/>
    </row>
    <row r="1222">
      <c r="A1222" s="19" t="n"/>
      <c r="B1222" s="15" t="n"/>
      <c r="C1222">
        <f>IF(B1222="","",IFERROR(INDEX(Items!$B$5:$B$304,MATCH(B1222,Items!$A$5:$A$304,0)),"Unknown code"))</f>
        <v/>
      </c>
      <c r="D1222" s="15" t="n"/>
      <c r="E1222" s="16" t="n"/>
      <c r="F1222" s="18">
        <f>IF(OR(D1222="",E1222=""),"",D1222*E1222)</f>
        <v/>
      </c>
      <c r="G1222" s="15" t="n"/>
    </row>
    <row r="1223">
      <c r="A1223" s="19" t="n"/>
      <c r="B1223" s="15" t="n"/>
      <c r="C1223">
        <f>IF(B1223="","",IFERROR(INDEX(Items!$B$5:$B$304,MATCH(B1223,Items!$A$5:$A$304,0)),"Unknown code"))</f>
        <v/>
      </c>
      <c r="D1223" s="15" t="n"/>
      <c r="E1223" s="16" t="n"/>
      <c r="F1223" s="18">
        <f>IF(OR(D1223="",E1223=""),"",D1223*E1223)</f>
        <v/>
      </c>
      <c r="G1223" s="15" t="n"/>
    </row>
    <row r="1224">
      <c r="A1224" s="19" t="n"/>
      <c r="B1224" s="15" t="n"/>
      <c r="C1224">
        <f>IF(B1224="","",IFERROR(INDEX(Items!$B$5:$B$304,MATCH(B1224,Items!$A$5:$A$304,0)),"Unknown code"))</f>
        <v/>
      </c>
      <c r="D1224" s="15" t="n"/>
      <c r="E1224" s="16" t="n"/>
      <c r="F1224" s="18">
        <f>IF(OR(D1224="",E1224=""),"",D1224*E1224)</f>
        <v/>
      </c>
      <c r="G1224" s="15" t="n"/>
    </row>
    <row r="1225">
      <c r="A1225" s="19" t="n"/>
      <c r="B1225" s="15" t="n"/>
      <c r="C1225">
        <f>IF(B1225="","",IFERROR(INDEX(Items!$B$5:$B$304,MATCH(B1225,Items!$A$5:$A$304,0)),"Unknown code"))</f>
        <v/>
      </c>
      <c r="D1225" s="15" t="n"/>
      <c r="E1225" s="16" t="n"/>
      <c r="F1225" s="18">
        <f>IF(OR(D1225="",E1225=""),"",D1225*E1225)</f>
        <v/>
      </c>
      <c r="G1225" s="15" t="n"/>
    </row>
    <row r="1226">
      <c r="A1226" s="19" t="n"/>
      <c r="B1226" s="15" t="n"/>
      <c r="C1226">
        <f>IF(B1226="","",IFERROR(INDEX(Items!$B$5:$B$304,MATCH(B1226,Items!$A$5:$A$304,0)),"Unknown code"))</f>
        <v/>
      </c>
      <c r="D1226" s="15" t="n"/>
      <c r="E1226" s="16" t="n"/>
      <c r="F1226" s="18">
        <f>IF(OR(D1226="",E1226=""),"",D1226*E1226)</f>
        <v/>
      </c>
      <c r="G1226" s="15" t="n"/>
    </row>
    <row r="1227">
      <c r="A1227" s="19" t="n"/>
      <c r="B1227" s="15" t="n"/>
      <c r="C1227">
        <f>IF(B1227="","",IFERROR(INDEX(Items!$B$5:$B$304,MATCH(B1227,Items!$A$5:$A$304,0)),"Unknown code"))</f>
        <v/>
      </c>
      <c r="D1227" s="15" t="n"/>
      <c r="E1227" s="16" t="n"/>
      <c r="F1227" s="18">
        <f>IF(OR(D1227="",E1227=""),"",D1227*E1227)</f>
        <v/>
      </c>
      <c r="G1227" s="15" t="n"/>
    </row>
    <row r="1228">
      <c r="A1228" s="19" t="n"/>
      <c r="B1228" s="15" t="n"/>
      <c r="C1228">
        <f>IF(B1228="","",IFERROR(INDEX(Items!$B$5:$B$304,MATCH(B1228,Items!$A$5:$A$304,0)),"Unknown code"))</f>
        <v/>
      </c>
      <c r="D1228" s="15" t="n"/>
      <c r="E1228" s="16" t="n"/>
      <c r="F1228" s="18">
        <f>IF(OR(D1228="",E1228=""),"",D1228*E1228)</f>
        <v/>
      </c>
      <c r="G1228" s="15" t="n"/>
    </row>
    <row r="1229">
      <c r="A1229" s="19" t="n"/>
      <c r="B1229" s="15" t="n"/>
      <c r="C1229">
        <f>IF(B1229="","",IFERROR(INDEX(Items!$B$5:$B$304,MATCH(B1229,Items!$A$5:$A$304,0)),"Unknown code"))</f>
        <v/>
      </c>
      <c r="D1229" s="15" t="n"/>
      <c r="E1229" s="16" t="n"/>
      <c r="F1229" s="18">
        <f>IF(OR(D1229="",E1229=""),"",D1229*E1229)</f>
        <v/>
      </c>
      <c r="G1229" s="15" t="n"/>
    </row>
    <row r="1230">
      <c r="A1230" s="19" t="n"/>
      <c r="B1230" s="15" t="n"/>
      <c r="C1230">
        <f>IF(B1230="","",IFERROR(INDEX(Items!$B$5:$B$304,MATCH(B1230,Items!$A$5:$A$304,0)),"Unknown code"))</f>
        <v/>
      </c>
      <c r="D1230" s="15" t="n"/>
      <c r="E1230" s="16" t="n"/>
      <c r="F1230" s="18">
        <f>IF(OR(D1230="",E1230=""),"",D1230*E1230)</f>
        <v/>
      </c>
      <c r="G1230" s="15" t="n"/>
    </row>
    <row r="1231">
      <c r="A1231" s="19" t="n"/>
      <c r="B1231" s="15" t="n"/>
      <c r="C1231">
        <f>IF(B1231="","",IFERROR(INDEX(Items!$B$5:$B$304,MATCH(B1231,Items!$A$5:$A$304,0)),"Unknown code"))</f>
        <v/>
      </c>
      <c r="D1231" s="15" t="n"/>
      <c r="E1231" s="16" t="n"/>
      <c r="F1231" s="18">
        <f>IF(OR(D1231="",E1231=""),"",D1231*E1231)</f>
        <v/>
      </c>
      <c r="G1231" s="15" t="n"/>
    </row>
    <row r="1232">
      <c r="A1232" s="19" t="n"/>
      <c r="B1232" s="15" t="n"/>
      <c r="C1232">
        <f>IF(B1232="","",IFERROR(INDEX(Items!$B$5:$B$304,MATCH(B1232,Items!$A$5:$A$304,0)),"Unknown code"))</f>
        <v/>
      </c>
      <c r="D1232" s="15" t="n"/>
      <c r="E1232" s="16" t="n"/>
      <c r="F1232" s="18">
        <f>IF(OR(D1232="",E1232=""),"",D1232*E1232)</f>
        <v/>
      </c>
      <c r="G1232" s="15" t="n"/>
    </row>
    <row r="1233">
      <c r="A1233" s="19" t="n"/>
      <c r="B1233" s="15" t="n"/>
      <c r="C1233">
        <f>IF(B1233="","",IFERROR(INDEX(Items!$B$5:$B$304,MATCH(B1233,Items!$A$5:$A$304,0)),"Unknown code"))</f>
        <v/>
      </c>
      <c r="D1233" s="15" t="n"/>
      <c r="E1233" s="16" t="n"/>
      <c r="F1233" s="18">
        <f>IF(OR(D1233="",E1233=""),"",D1233*E1233)</f>
        <v/>
      </c>
      <c r="G1233" s="15" t="n"/>
    </row>
    <row r="1234">
      <c r="A1234" s="19" t="n"/>
      <c r="B1234" s="15" t="n"/>
      <c r="C1234">
        <f>IF(B1234="","",IFERROR(INDEX(Items!$B$5:$B$304,MATCH(B1234,Items!$A$5:$A$304,0)),"Unknown code"))</f>
        <v/>
      </c>
      <c r="D1234" s="15" t="n"/>
      <c r="E1234" s="16" t="n"/>
      <c r="F1234" s="18">
        <f>IF(OR(D1234="",E1234=""),"",D1234*E1234)</f>
        <v/>
      </c>
      <c r="G1234" s="15" t="n"/>
    </row>
    <row r="1235">
      <c r="A1235" s="19" t="n"/>
      <c r="B1235" s="15" t="n"/>
      <c r="C1235">
        <f>IF(B1235="","",IFERROR(INDEX(Items!$B$5:$B$304,MATCH(B1235,Items!$A$5:$A$304,0)),"Unknown code"))</f>
        <v/>
      </c>
      <c r="D1235" s="15" t="n"/>
      <c r="E1235" s="16" t="n"/>
      <c r="F1235" s="18">
        <f>IF(OR(D1235="",E1235=""),"",D1235*E1235)</f>
        <v/>
      </c>
      <c r="G1235" s="15" t="n"/>
    </row>
    <row r="1236">
      <c r="A1236" s="19" t="n"/>
      <c r="B1236" s="15" t="n"/>
      <c r="C1236">
        <f>IF(B1236="","",IFERROR(INDEX(Items!$B$5:$B$304,MATCH(B1236,Items!$A$5:$A$304,0)),"Unknown code"))</f>
        <v/>
      </c>
      <c r="D1236" s="15" t="n"/>
      <c r="E1236" s="16" t="n"/>
      <c r="F1236" s="18">
        <f>IF(OR(D1236="",E1236=""),"",D1236*E1236)</f>
        <v/>
      </c>
      <c r="G1236" s="15" t="n"/>
    </row>
    <row r="1237">
      <c r="A1237" s="19" t="n"/>
      <c r="B1237" s="15" t="n"/>
      <c r="C1237">
        <f>IF(B1237="","",IFERROR(INDEX(Items!$B$5:$B$304,MATCH(B1237,Items!$A$5:$A$304,0)),"Unknown code"))</f>
        <v/>
      </c>
      <c r="D1237" s="15" t="n"/>
      <c r="E1237" s="16" t="n"/>
      <c r="F1237" s="18">
        <f>IF(OR(D1237="",E1237=""),"",D1237*E1237)</f>
        <v/>
      </c>
      <c r="G1237" s="15" t="n"/>
    </row>
    <row r="1238">
      <c r="A1238" s="19" t="n"/>
      <c r="B1238" s="15" t="n"/>
      <c r="C1238">
        <f>IF(B1238="","",IFERROR(INDEX(Items!$B$5:$B$304,MATCH(B1238,Items!$A$5:$A$304,0)),"Unknown code"))</f>
        <v/>
      </c>
      <c r="D1238" s="15" t="n"/>
      <c r="E1238" s="16" t="n"/>
      <c r="F1238" s="18">
        <f>IF(OR(D1238="",E1238=""),"",D1238*E1238)</f>
        <v/>
      </c>
      <c r="G1238" s="15" t="n"/>
    </row>
    <row r="1239">
      <c r="A1239" s="19" t="n"/>
      <c r="B1239" s="15" t="n"/>
      <c r="C1239">
        <f>IF(B1239="","",IFERROR(INDEX(Items!$B$5:$B$304,MATCH(B1239,Items!$A$5:$A$304,0)),"Unknown code"))</f>
        <v/>
      </c>
      <c r="D1239" s="15" t="n"/>
      <c r="E1239" s="16" t="n"/>
      <c r="F1239" s="18">
        <f>IF(OR(D1239="",E1239=""),"",D1239*E1239)</f>
        <v/>
      </c>
      <c r="G1239" s="15" t="n"/>
    </row>
    <row r="1240">
      <c r="A1240" s="19" t="n"/>
      <c r="B1240" s="15" t="n"/>
      <c r="C1240">
        <f>IF(B1240="","",IFERROR(INDEX(Items!$B$5:$B$304,MATCH(B1240,Items!$A$5:$A$304,0)),"Unknown code"))</f>
        <v/>
      </c>
      <c r="D1240" s="15" t="n"/>
      <c r="E1240" s="16" t="n"/>
      <c r="F1240" s="18">
        <f>IF(OR(D1240="",E1240=""),"",D1240*E1240)</f>
        <v/>
      </c>
      <c r="G1240" s="15" t="n"/>
    </row>
    <row r="1241">
      <c r="A1241" s="19" t="n"/>
      <c r="B1241" s="15" t="n"/>
      <c r="C1241">
        <f>IF(B1241="","",IFERROR(INDEX(Items!$B$5:$B$304,MATCH(B1241,Items!$A$5:$A$304,0)),"Unknown code"))</f>
        <v/>
      </c>
      <c r="D1241" s="15" t="n"/>
      <c r="E1241" s="16" t="n"/>
      <c r="F1241" s="18">
        <f>IF(OR(D1241="",E1241=""),"",D1241*E1241)</f>
        <v/>
      </c>
      <c r="G1241" s="15" t="n"/>
    </row>
    <row r="1242">
      <c r="A1242" s="19" t="n"/>
      <c r="B1242" s="15" t="n"/>
      <c r="C1242">
        <f>IF(B1242="","",IFERROR(INDEX(Items!$B$5:$B$304,MATCH(B1242,Items!$A$5:$A$304,0)),"Unknown code"))</f>
        <v/>
      </c>
      <c r="D1242" s="15" t="n"/>
      <c r="E1242" s="16" t="n"/>
      <c r="F1242" s="18">
        <f>IF(OR(D1242="",E1242=""),"",D1242*E1242)</f>
        <v/>
      </c>
      <c r="G1242" s="15" t="n"/>
    </row>
    <row r="1243">
      <c r="A1243" s="19" t="n"/>
      <c r="B1243" s="15" t="n"/>
      <c r="C1243">
        <f>IF(B1243="","",IFERROR(INDEX(Items!$B$5:$B$304,MATCH(B1243,Items!$A$5:$A$304,0)),"Unknown code"))</f>
        <v/>
      </c>
      <c r="D1243" s="15" t="n"/>
      <c r="E1243" s="16" t="n"/>
      <c r="F1243" s="18">
        <f>IF(OR(D1243="",E1243=""),"",D1243*E1243)</f>
        <v/>
      </c>
      <c r="G1243" s="15" t="n"/>
    </row>
    <row r="1244">
      <c r="A1244" s="19" t="n"/>
      <c r="B1244" s="15" t="n"/>
      <c r="C1244">
        <f>IF(B1244="","",IFERROR(INDEX(Items!$B$5:$B$304,MATCH(B1244,Items!$A$5:$A$304,0)),"Unknown code"))</f>
        <v/>
      </c>
      <c r="D1244" s="15" t="n"/>
      <c r="E1244" s="16" t="n"/>
      <c r="F1244" s="18">
        <f>IF(OR(D1244="",E1244=""),"",D1244*E1244)</f>
        <v/>
      </c>
      <c r="G1244" s="15" t="n"/>
    </row>
    <row r="1245">
      <c r="A1245" s="19" t="n"/>
      <c r="B1245" s="15" t="n"/>
      <c r="C1245">
        <f>IF(B1245="","",IFERROR(INDEX(Items!$B$5:$B$304,MATCH(B1245,Items!$A$5:$A$304,0)),"Unknown code"))</f>
        <v/>
      </c>
      <c r="D1245" s="15" t="n"/>
      <c r="E1245" s="16" t="n"/>
      <c r="F1245" s="18">
        <f>IF(OR(D1245="",E1245=""),"",D1245*E1245)</f>
        <v/>
      </c>
      <c r="G1245" s="15" t="n"/>
    </row>
    <row r="1246">
      <c r="A1246" s="19" t="n"/>
      <c r="B1246" s="15" t="n"/>
      <c r="C1246">
        <f>IF(B1246="","",IFERROR(INDEX(Items!$B$5:$B$304,MATCH(B1246,Items!$A$5:$A$304,0)),"Unknown code"))</f>
        <v/>
      </c>
      <c r="D1246" s="15" t="n"/>
      <c r="E1246" s="16" t="n"/>
      <c r="F1246" s="18">
        <f>IF(OR(D1246="",E1246=""),"",D1246*E1246)</f>
        <v/>
      </c>
      <c r="G1246" s="15" t="n"/>
    </row>
    <row r="1247">
      <c r="A1247" s="19" t="n"/>
      <c r="B1247" s="15" t="n"/>
      <c r="C1247">
        <f>IF(B1247="","",IFERROR(INDEX(Items!$B$5:$B$304,MATCH(B1247,Items!$A$5:$A$304,0)),"Unknown code"))</f>
        <v/>
      </c>
      <c r="D1247" s="15" t="n"/>
      <c r="E1247" s="16" t="n"/>
      <c r="F1247" s="18">
        <f>IF(OR(D1247="",E1247=""),"",D1247*E1247)</f>
        <v/>
      </c>
      <c r="G1247" s="15" t="n"/>
    </row>
    <row r="1248">
      <c r="A1248" s="19" t="n"/>
      <c r="B1248" s="15" t="n"/>
      <c r="C1248">
        <f>IF(B1248="","",IFERROR(INDEX(Items!$B$5:$B$304,MATCH(B1248,Items!$A$5:$A$304,0)),"Unknown code"))</f>
        <v/>
      </c>
      <c r="D1248" s="15" t="n"/>
      <c r="E1248" s="16" t="n"/>
      <c r="F1248" s="18">
        <f>IF(OR(D1248="",E1248=""),"",D1248*E1248)</f>
        <v/>
      </c>
      <c r="G1248" s="15" t="n"/>
    </row>
    <row r="1249">
      <c r="A1249" s="19" t="n"/>
      <c r="B1249" s="15" t="n"/>
      <c r="C1249">
        <f>IF(B1249="","",IFERROR(INDEX(Items!$B$5:$B$304,MATCH(B1249,Items!$A$5:$A$304,0)),"Unknown code"))</f>
        <v/>
      </c>
      <c r="D1249" s="15" t="n"/>
      <c r="E1249" s="16" t="n"/>
      <c r="F1249" s="18">
        <f>IF(OR(D1249="",E1249=""),"",D1249*E1249)</f>
        <v/>
      </c>
      <c r="G1249" s="15" t="n"/>
    </row>
    <row r="1250">
      <c r="A1250" s="19" t="n"/>
      <c r="B1250" s="15" t="n"/>
      <c r="C1250">
        <f>IF(B1250="","",IFERROR(INDEX(Items!$B$5:$B$304,MATCH(B1250,Items!$A$5:$A$304,0)),"Unknown code"))</f>
        <v/>
      </c>
      <c r="D1250" s="15" t="n"/>
      <c r="E1250" s="16" t="n"/>
      <c r="F1250" s="18">
        <f>IF(OR(D1250="",E1250=""),"",D1250*E1250)</f>
        <v/>
      </c>
      <c r="G1250" s="15" t="n"/>
    </row>
    <row r="1251">
      <c r="A1251" s="19" t="n"/>
      <c r="B1251" s="15" t="n"/>
      <c r="C1251">
        <f>IF(B1251="","",IFERROR(INDEX(Items!$B$5:$B$304,MATCH(B1251,Items!$A$5:$A$304,0)),"Unknown code"))</f>
        <v/>
      </c>
      <c r="D1251" s="15" t="n"/>
      <c r="E1251" s="16" t="n"/>
      <c r="F1251" s="18">
        <f>IF(OR(D1251="",E1251=""),"",D1251*E1251)</f>
        <v/>
      </c>
      <c r="G1251" s="15" t="n"/>
    </row>
    <row r="1252">
      <c r="A1252" s="19" t="n"/>
      <c r="B1252" s="15" t="n"/>
      <c r="C1252">
        <f>IF(B1252="","",IFERROR(INDEX(Items!$B$5:$B$304,MATCH(B1252,Items!$A$5:$A$304,0)),"Unknown code"))</f>
        <v/>
      </c>
      <c r="D1252" s="15" t="n"/>
      <c r="E1252" s="16" t="n"/>
      <c r="F1252" s="18">
        <f>IF(OR(D1252="",E1252=""),"",D1252*E1252)</f>
        <v/>
      </c>
      <c r="G1252" s="15" t="n"/>
    </row>
    <row r="1253">
      <c r="A1253" s="19" t="n"/>
      <c r="B1253" s="15" t="n"/>
      <c r="C1253">
        <f>IF(B1253="","",IFERROR(INDEX(Items!$B$5:$B$304,MATCH(B1253,Items!$A$5:$A$304,0)),"Unknown code"))</f>
        <v/>
      </c>
      <c r="D1253" s="15" t="n"/>
      <c r="E1253" s="16" t="n"/>
      <c r="F1253" s="18">
        <f>IF(OR(D1253="",E1253=""),"",D1253*E1253)</f>
        <v/>
      </c>
      <c r="G1253" s="15" t="n"/>
    </row>
    <row r="1254">
      <c r="A1254" s="19" t="n"/>
      <c r="B1254" s="15" t="n"/>
      <c r="C1254">
        <f>IF(B1254="","",IFERROR(INDEX(Items!$B$5:$B$304,MATCH(B1254,Items!$A$5:$A$304,0)),"Unknown code"))</f>
        <v/>
      </c>
      <c r="D1254" s="15" t="n"/>
      <c r="E1254" s="16" t="n"/>
      <c r="F1254" s="18">
        <f>IF(OR(D1254="",E1254=""),"",D1254*E1254)</f>
        <v/>
      </c>
      <c r="G1254" s="15" t="n"/>
    </row>
    <row r="1255">
      <c r="A1255" s="19" t="n"/>
      <c r="B1255" s="15" t="n"/>
      <c r="C1255">
        <f>IF(B1255="","",IFERROR(INDEX(Items!$B$5:$B$304,MATCH(B1255,Items!$A$5:$A$304,0)),"Unknown code"))</f>
        <v/>
      </c>
      <c r="D1255" s="15" t="n"/>
      <c r="E1255" s="16" t="n"/>
      <c r="F1255" s="18">
        <f>IF(OR(D1255="",E1255=""),"",D1255*E1255)</f>
        <v/>
      </c>
      <c r="G1255" s="15" t="n"/>
    </row>
    <row r="1256">
      <c r="A1256" s="19" t="n"/>
      <c r="B1256" s="15" t="n"/>
      <c r="C1256">
        <f>IF(B1256="","",IFERROR(INDEX(Items!$B$5:$B$304,MATCH(B1256,Items!$A$5:$A$304,0)),"Unknown code"))</f>
        <v/>
      </c>
      <c r="D1256" s="15" t="n"/>
      <c r="E1256" s="16" t="n"/>
      <c r="F1256" s="18">
        <f>IF(OR(D1256="",E1256=""),"",D1256*E1256)</f>
        <v/>
      </c>
      <c r="G1256" s="15" t="n"/>
    </row>
    <row r="1257">
      <c r="A1257" s="19" t="n"/>
      <c r="B1257" s="15" t="n"/>
      <c r="C1257">
        <f>IF(B1257="","",IFERROR(INDEX(Items!$B$5:$B$304,MATCH(B1257,Items!$A$5:$A$304,0)),"Unknown code"))</f>
        <v/>
      </c>
      <c r="D1257" s="15" t="n"/>
      <c r="E1257" s="16" t="n"/>
      <c r="F1257" s="18">
        <f>IF(OR(D1257="",E1257=""),"",D1257*E1257)</f>
        <v/>
      </c>
      <c r="G1257" s="15" t="n"/>
    </row>
    <row r="1258">
      <c r="A1258" s="19" t="n"/>
      <c r="B1258" s="15" t="n"/>
      <c r="C1258">
        <f>IF(B1258="","",IFERROR(INDEX(Items!$B$5:$B$304,MATCH(B1258,Items!$A$5:$A$304,0)),"Unknown code"))</f>
        <v/>
      </c>
      <c r="D1258" s="15" t="n"/>
      <c r="E1258" s="16" t="n"/>
      <c r="F1258" s="18">
        <f>IF(OR(D1258="",E1258=""),"",D1258*E1258)</f>
        <v/>
      </c>
      <c r="G1258" s="15" t="n"/>
    </row>
    <row r="1259">
      <c r="A1259" s="19" t="n"/>
      <c r="B1259" s="15" t="n"/>
      <c r="C1259">
        <f>IF(B1259="","",IFERROR(INDEX(Items!$B$5:$B$304,MATCH(B1259,Items!$A$5:$A$304,0)),"Unknown code"))</f>
        <v/>
      </c>
      <c r="D1259" s="15" t="n"/>
      <c r="E1259" s="16" t="n"/>
      <c r="F1259" s="18">
        <f>IF(OR(D1259="",E1259=""),"",D1259*E1259)</f>
        <v/>
      </c>
      <c r="G1259" s="15" t="n"/>
    </row>
    <row r="1260">
      <c r="A1260" s="19" t="n"/>
      <c r="B1260" s="15" t="n"/>
      <c r="C1260">
        <f>IF(B1260="","",IFERROR(INDEX(Items!$B$5:$B$304,MATCH(B1260,Items!$A$5:$A$304,0)),"Unknown code"))</f>
        <v/>
      </c>
      <c r="D1260" s="15" t="n"/>
      <c r="E1260" s="16" t="n"/>
      <c r="F1260" s="18">
        <f>IF(OR(D1260="",E1260=""),"",D1260*E1260)</f>
        <v/>
      </c>
      <c r="G1260" s="15" t="n"/>
    </row>
    <row r="1261">
      <c r="A1261" s="19" t="n"/>
      <c r="B1261" s="15" t="n"/>
      <c r="C1261">
        <f>IF(B1261="","",IFERROR(INDEX(Items!$B$5:$B$304,MATCH(B1261,Items!$A$5:$A$304,0)),"Unknown code"))</f>
        <v/>
      </c>
      <c r="D1261" s="15" t="n"/>
      <c r="E1261" s="16" t="n"/>
      <c r="F1261" s="18">
        <f>IF(OR(D1261="",E1261=""),"",D1261*E1261)</f>
        <v/>
      </c>
      <c r="G1261" s="15" t="n"/>
    </row>
    <row r="1262">
      <c r="A1262" s="19" t="n"/>
      <c r="B1262" s="15" t="n"/>
      <c r="C1262">
        <f>IF(B1262="","",IFERROR(INDEX(Items!$B$5:$B$304,MATCH(B1262,Items!$A$5:$A$304,0)),"Unknown code"))</f>
        <v/>
      </c>
      <c r="D1262" s="15" t="n"/>
      <c r="E1262" s="16" t="n"/>
      <c r="F1262" s="18">
        <f>IF(OR(D1262="",E1262=""),"",D1262*E1262)</f>
        <v/>
      </c>
      <c r="G1262" s="15" t="n"/>
    </row>
    <row r="1263">
      <c r="A1263" s="19" t="n"/>
      <c r="B1263" s="15" t="n"/>
      <c r="C1263">
        <f>IF(B1263="","",IFERROR(INDEX(Items!$B$5:$B$304,MATCH(B1263,Items!$A$5:$A$304,0)),"Unknown code"))</f>
        <v/>
      </c>
      <c r="D1263" s="15" t="n"/>
      <c r="E1263" s="16" t="n"/>
      <c r="F1263" s="18">
        <f>IF(OR(D1263="",E1263=""),"",D1263*E1263)</f>
        <v/>
      </c>
      <c r="G1263" s="15" t="n"/>
    </row>
    <row r="1264">
      <c r="A1264" s="19" t="n"/>
      <c r="B1264" s="15" t="n"/>
      <c r="C1264">
        <f>IF(B1264="","",IFERROR(INDEX(Items!$B$5:$B$304,MATCH(B1264,Items!$A$5:$A$304,0)),"Unknown code"))</f>
        <v/>
      </c>
      <c r="D1264" s="15" t="n"/>
      <c r="E1264" s="16" t="n"/>
      <c r="F1264" s="18">
        <f>IF(OR(D1264="",E1264=""),"",D1264*E1264)</f>
        <v/>
      </c>
      <c r="G1264" s="15" t="n"/>
    </row>
    <row r="1265">
      <c r="A1265" s="19" t="n"/>
      <c r="B1265" s="15" t="n"/>
      <c r="C1265">
        <f>IF(B1265="","",IFERROR(INDEX(Items!$B$5:$B$304,MATCH(B1265,Items!$A$5:$A$304,0)),"Unknown code"))</f>
        <v/>
      </c>
      <c r="D1265" s="15" t="n"/>
      <c r="E1265" s="16" t="n"/>
      <c r="F1265" s="18">
        <f>IF(OR(D1265="",E1265=""),"",D1265*E1265)</f>
        <v/>
      </c>
      <c r="G1265" s="15" t="n"/>
    </row>
    <row r="1266">
      <c r="A1266" s="19" t="n"/>
      <c r="B1266" s="15" t="n"/>
      <c r="C1266">
        <f>IF(B1266="","",IFERROR(INDEX(Items!$B$5:$B$304,MATCH(B1266,Items!$A$5:$A$304,0)),"Unknown code"))</f>
        <v/>
      </c>
      <c r="D1266" s="15" t="n"/>
      <c r="E1266" s="16" t="n"/>
      <c r="F1266" s="18">
        <f>IF(OR(D1266="",E1266=""),"",D1266*E1266)</f>
        <v/>
      </c>
      <c r="G1266" s="15" t="n"/>
    </row>
    <row r="1267">
      <c r="A1267" s="19" t="n"/>
      <c r="B1267" s="15" t="n"/>
      <c r="C1267">
        <f>IF(B1267="","",IFERROR(INDEX(Items!$B$5:$B$304,MATCH(B1267,Items!$A$5:$A$304,0)),"Unknown code"))</f>
        <v/>
      </c>
      <c r="D1267" s="15" t="n"/>
      <c r="E1267" s="16" t="n"/>
      <c r="F1267" s="18">
        <f>IF(OR(D1267="",E1267=""),"",D1267*E1267)</f>
        <v/>
      </c>
      <c r="G1267" s="15" t="n"/>
    </row>
    <row r="1268">
      <c r="A1268" s="19" t="n"/>
      <c r="B1268" s="15" t="n"/>
      <c r="C1268">
        <f>IF(B1268="","",IFERROR(INDEX(Items!$B$5:$B$304,MATCH(B1268,Items!$A$5:$A$304,0)),"Unknown code"))</f>
        <v/>
      </c>
      <c r="D1268" s="15" t="n"/>
      <c r="E1268" s="16" t="n"/>
      <c r="F1268" s="18">
        <f>IF(OR(D1268="",E1268=""),"",D1268*E1268)</f>
        <v/>
      </c>
      <c r="G1268" s="15" t="n"/>
    </row>
    <row r="1269">
      <c r="A1269" s="19" t="n"/>
      <c r="B1269" s="15" t="n"/>
      <c r="C1269">
        <f>IF(B1269="","",IFERROR(INDEX(Items!$B$5:$B$304,MATCH(B1269,Items!$A$5:$A$304,0)),"Unknown code"))</f>
        <v/>
      </c>
      <c r="D1269" s="15" t="n"/>
      <c r="E1269" s="16" t="n"/>
      <c r="F1269" s="18">
        <f>IF(OR(D1269="",E1269=""),"",D1269*E1269)</f>
        <v/>
      </c>
      <c r="G1269" s="15" t="n"/>
    </row>
    <row r="1270">
      <c r="A1270" s="19" t="n"/>
      <c r="B1270" s="15" t="n"/>
      <c r="C1270">
        <f>IF(B1270="","",IFERROR(INDEX(Items!$B$5:$B$304,MATCH(B1270,Items!$A$5:$A$304,0)),"Unknown code"))</f>
        <v/>
      </c>
      <c r="D1270" s="15" t="n"/>
      <c r="E1270" s="16" t="n"/>
      <c r="F1270" s="18">
        <f>IF(OR(D1270="",E1270=""),"",D1270*E1270)</f>
        <v/>
      </c>
      <c r="G1270" s="15" t="n"/>
    </row>
    <row r="1271">
      <c r="A1271" s="19" t="n"/>
      <c r="B1271" s="15" t="n"/>
      <c r="C1271">
        <f>IF(B1271="","",IFERROR(INDEX(Items!$B$5:$B$304,MATCH(B1271,Items!$A$5:$A$304,0)),"Unknown code"))</f>
        <v/>
      </c>
      <c r="D1271" s="15" t="n"/>
      <c r="E1271" s="16" t="n"/>
      <c r="F1271" s="18">
        <f>IF(OR(D1271="",E1271=""),"",D1271*E1271)</f>
        <v/>
      </c>
      <c r="G1271" s="15" t="n"/>
    </row>
    <row r="1272">
      <c r="A1272" s="19" t="n"/>
      <c r="B1272" s="15" t="n"/>
      <c r="C1272">
        <f>IF(B1272="","",IFERROR(INDEX(Items!$B$5:$B$304,MATCH(B1272,Items!$A$5:$A$304,0)),"Unknown code"))</f>
        <v/>
      </c>
      <c r="D1272" s="15" t="n"/>
      <c r="E1272" s="16" t="n"/>
      <c r="F1272" s="18">
        <f>IF(OR(D1272="",E1272=""),"",D1272*E1272)</f>
        <v/>
      </c>
      <c r="G1272" s="15" t="n"/>
    </row>
    <row r="1273">
      <c r="A1273" s="19" t="n"/>
      <c r="B1273" s="15" t="n"/>
      <c r="C1273">
        <f>IF(B1273="","",IFERROR(INDEX(Items!$B$5:$B$304,MATCH(B1273,Items!$A$5:$A$304,0)),"Unknown code"))</f>
        <v/>
      </c>
      <c r="D1273" s="15" t="n"/>
      <c r="E1273" s="16" t="n"/>
      <c r="F1273" s="18">
        <f>IF(OR(D1273="",E1273=""),"",D1273*E1273)</f>
        <v/>
      </c>
      <c r="G1273" s="15" t="n"/>
    </row>
    <row r="1274">
      <c r="A1274" s="19" t="n"/>
      <c r="B1274" s="15" t="n"/>
      <c r="C1274">
        <f>IF(B1274="","",IFERROR(INDEX(Items!$B$5:$B$304,MATCH(B1274,Items!$A$5:$A$304,0)),"Unknown code"))</f>
        <v/>
      </c>
      <c r="D1274" s="15" t="n"/>
      <c r="E1274" s="16" t="n"/>
      <c r="F1274" s="18">
        <f>IF(OR(D1274="",E1274=""),"",D1274*E1274)</f>
        <v/>
      </c>
      <c r="G1274" s="15" t="n"/>
    </row>
    <row r="1275">
      <c r="A1275" s="19" t="n"/>
      <c r="B1275" s="15" t="n"/>
      <c r="C1275">
        <f>IF(B1275="","",IFERROR(INDEX(Items!$B$5:$B$304,MATCH(B1275,Items!$A$5:$A$304,0)),"Unknown code"))</f>
        <v/>
      </c>
      <c r="D1275" s="15" t="n"/>
      <c r="E1275" s="16" t="n"/>
      <c r="F1275" s="18">
        <f>IF(OR(D1275="",E1275=""),"",D1275*E1275)</f>
        <v/>
      </c>
      <c r="G1275" s="15" t="n"/>
    </row>
    <row r="1276">
      <c r="A1276" s="19" t="n"/>
      <c r="B1276" s="15" t="n"/>
      <c r="C1276">
        <f>IF(B1276="","",IFERROR(INDEX(Items!$B$5:$B$304,MATCH(B1276,Items!$A$5:$A$304,0)),"Unknown code"))</f>
        <v/>
      </c>
      <c r="D1276" s="15" t="n"/>
      <c r="E1276" s="16" t="n"/>
      <c r="F1276" s="18">
        <f>IF(OR(D1276="",E1276=""),"",D1276*E1276)</f>
        <v/>
      </c>
      <c r="G1276" s="15" t="n"/>
    </row>
    <row r="1277">
      <c r="A1277" s="19" t="n"/>
      <c r="B1277" s="15" t="n"/>
      <c r="C1277">
        <f>IF(B1277="","",IFERROR(INDEX(Items!$B$5:$B$304,MATCH(B1277,Items!$A$5:$A$304,0)),"Unknown code"))</f>
        <v/>
      </c>
      <c r="D1277" s="15" t="n"/>
      <c r="E1277" s="16" t="n"/>
      <c r="F1277" s="18">
        <f>IF(OR(D1277="",E1277=""),"",D1277*E1277)</f>
        <v/>
      </c>
      <c r="G1277" s="15" t="n"/>
    </row>
    <row r="1278">
      <c r="A1278" s="19" t="n"/>
      <c r="B1278" s="15" t="n"/>
      <c r="C1278">
        <f>IF(B1278="","",IFERROR(INDEX(Items!$B$5:$B$304,MATCH(B1278,Items!$A$5:$A$304,0)),"Unknown code"))</f>
        <v/>
      </c>
      <c r="D1278" s="15" t="n"/>
      <c r="E1278" s="16" t="n"/>
      <c r="F1278" s="18">
        <f>IF(OR(D1278="",E1278=""),"",D1278*E1278)</f>
        <v/>
      </c>
      <c r="G1278" s="15" t="n"/>
    </row>
    <row r="1279">
      <c r="A1279" s="19" t="n"/>
      <c r="B1279" s="15" t="n"/>
      <c r="C1279">
        <f>IF(B1279="","",IFERROR(INDEX(Items!$B$5:$B$304,MATCH(B1279,Items!$A$5:$A$304,0)),"Unknown code"))</f>
        <v/>
      </c>
      <c r="D1279" s="15" t="n"/>
      <c r="E1279" s="16" t="n"/>
      <c r="F1279" s="18">
        <f>IF(OR(D1279="",E1279=""),"",D1279*E1279)</f>
        <v/>
      </c>
      <c r="G1279" s="15" t="n"/>
    </row>
    <row r="1280">
      <c r="A1280" s="19" t="n"/>
      <c r="B1280" s="15" t="n"/>
      <c r="C1280">
        <f>IF(B1280="","",IFERROR(INDEX(Items!$B$5:$B$304,MATCH(B1280,Items!$A$5:$A$304,0)),"Unknown code"))</f>
        <v/>
      </c>
      <c r="D1280" s="15" t="n"/>
      <c r="E1280" s="16" t="n"/>
      <c r="F1280" s="18">
        <f>IF(OR(D1280="",E1280=""),"",D1280*E1280)</f>
        <v/>
      </c>
      <c r="G1280" s="15" t="n"/>
    </row>
    <row r="1281">
      <c r="A1281" s="19" t="n"/>
      <c r="B1281" s="15" t="n"/>
      <c r="C1281">
        <f>IF(B1281="","",IFERROR(INDEX(Items!$B$5:$B$304,MATCH(B1281,Items!$A$5:$A$304,0)),"Unknown code"))</f>
        <v/>
      </c>
      <c r="D1281" s="15" t="n"/>
      <c r="E1281" s="16" t="n"/>
      <c r="F1281" s="18">
        <f>IF(OR(D1281="",E1281=""),"",D1281*E1281)</f>
        <v/>
      </c>
      <c r="G1281" s="15" t="n"/>
    </row>
    <row r="1282">
      <c r="A1282" s="19" t="n"/>
      <c r="B1282" s="15" t="n"/>
      <c r="C1282">
        <f>IF(B1282="","",IFERROR(INDEX(Items!$B$5:$B$304,MATCH(B1282,Items!$A$5:$A$304,0)),"Unknown code"))</f>
        <v/>
      </c>
      <c r="D1282" s="15" t="n"/>
      <c r="E1282" s="16" t="n"/>
      <c r="F1282" s="18">
        <f>IF(OR(D1282="",E1282=""),"",D1282*E1282)</f>
        <v/>
      </c>
      <c r="G1282" s="15" t="n"/>
    </row>
    <row r="1283">
      <c r="A1283" s="19" t="n"/>
      <c r="B1283" s="15" t="n"/>
      <c r="C1283">
        <f>IF(B1283="","",IFERROR(INDEX(Items!$B$5:$B$304,MATCH(B1283,Items!$A$5:$A$304,0)),"Unknown code"))</f>
        <v/>
      </c>
      <c r="D1283" s="15" t="n"/>
      <c r="E1283" s="16" t="n"/>
      <c r="F1283" s="18">
        <f>IF(OR(D1283="",E1283=""),"",D1283*E1283)</f>
        <v/>
      </c>
      <c r="G1283" s="15" t="n"/>
    </row>
    <row r="1284">
      <c r="A1284" s="19" t="n"/>
      <c r="B1284" s="15" t="n"/>
      <c r="C1284">
        <f>IF(B1284="","",IFERROR(INDEX(Items!$B$5:$B$304,MATCH(B1284,Items!$A$5:$A$304,0)),"Unknown code"))</f>
        <v/>
      </c>
      <c r="D1284" s="15" t="n"/>
      <c r="E1284" s="16" t="n"/>
      <c r="F1284" s="18">
        <f>IF(OR(D1284="",E1284=""),"",D1284*E1284)</f>
        <v/>
      </c>
      <c r="G1284" s="15" t="n"/>
    </row>
    <row r="1285">
      <c r="A1285" s="19" t="n"/>
      <c r="B1285" s="15" t="n"/>
      <c r="C1285">
        <f>IF(B1285="","",IFERROR(INDEX(Items!$B$5:$B$304,MATCH(B1285,Items!$A$5:$A$304,0)),"Unknown code"))</f>
        <v/>
      </c>
      <c r="D1285" s="15" t="n"/>
      <c r="E1285" s="16" t="n"/>
      <c r="F1285" s="18">
        <f>IF(OR(D1285="",E1285=""),"",D1285*E1285)</f>
        <v/>
      </c>
      <c r="G1285" s="15" t="n"/>
    </row>
    <row r="1286">
      <c r="A1286" s="19" t="n"/>
      <c r="B1286" s="15" t="n"/>
      <c r="C1286">
        <f>IF(B1286="","",IFERROR(INDEX(Items!$B$5:$B$304,MATCH(B1286,Items!$A$5:$A$304,0)),"Unknown code"))</f>
        <v/>
      </c>
      <c r="D1286" s="15" t="n"/>
      <c r="E1286" s="16" t="n"/>
      <c r="F1286" s="18">
        <f>IF(OR(D1286="",E1286=""),"",D1286*E1286)</f>
        <v/>
      </c>
      <c r="G1286" s="15" t="n"/>
    </row>
    <row r="1287">
      <c r="A1287" s="19" t="n"/>
      <c r="B1287" s="15" t="n"/>
      <c r="C1287">
        <f>IF(B1287="","",IFERROR(INDEX(Items!$B$5:$B$304,MATCH(B1287,Items!$A$5:$A$304,0)),"Unknown code"))</f>
        <v/>
      </c>
      <c r="D1287" s="15" t="n"/>
      <c r="E1287" s="16" t="n"/>
      <c r="F1287" s="18">
        <f>IF(OR(D1287="",E1287=""),"",D1287*E1287)</f>
        <v/>
      </c>
      <c r="G1287" s="15" t="n"/>
    </row>
    <row r="1288">
      <c r="A1288" s="19" t="n"/>
      <c r="B1288" s="15" t="n"/>
      <c r="C1288">
        <f>IF(B1288="","",IFERROR(INDEX(Items!$B$5:$B$304,MATCH(B1288,Items!$A$5:$A$304,0)),"Unknown code"))</f>
        <v/>
      </c>
      <c r="D1288" s="15" t="n"/>
      <c r="E1288" s="16" t="n"/>
      <c r="F1288" s="18">
        <f>IF(OR(D1288="",E1288=""),"",D1288*E1288)</f>
        <v/>
      </c>
      <c r="G1288" s="15" t="n"/>
    </row>
    <row r="1289">
      <c r="A1289" s="19" t="n"/>
      <c r="B1289" s="15" t="n"/>
      <c r="C1289">
        <f>IF(B1289="","",IFERROR(INDEX(Items!$B$5:$B$304,MATCH(B1289,Items!$A$5:$A$304,0)),"Unknown code"))</f>
        <v/>
      </c>
      <c r="D1289" s="15" t="n"/>
      <c r="E1289" s="16" t="n"/>
      <c r="F1289" s="18">
        <f>IF(OR(D1289="",E1289=""),"",D1289*E1289)</f>
        <v/>
      </c>
      <c r="G1289" s="15" t="n"/>
    </row>
    <row r="1290">
      <c r="A1290" s="19" t="n"/>
      <c r="B1290" s="15" t="n"/>
      <c r="C1290">
        <f>IF(B1290="","",IFERROR(INDEX(Items!$B$5:$B$304,MATCH(B1290,Items!$A$5:$A$304,0)),"Unknown code"))</f>
        <v/>
      </c>
      <c r="D1290" s="15" t="n"/>
      <c r="E1290" s="16" t="n"/>
      <c r="F1290" s="18">
        <f>IF(OR(D1290="",E1290=""),"",D1290*E1290)</f>
        <v/>
      </c>
      <c r="G1290" s="15" t="n"/>
    </row>
    <row r="1291">
      <c r="A1291" s="19" t="n"/>
      <c r="B1291" s="15" t="n"/>
      <c r="C1291">
        <f>IF(B1291="","",IFERROR(INDEX(Items!$B$5:$B$304,MATCH(B1291,Items!$A$5:$A$304,0)),"Unknown code"))</f>
        <v/>
      </c>
      <c r="D1291" s="15" t="n"/>
      <c r="E1291" s="16" t="n"/>
      <c r="F1291" s="18">
        <f>IF(OR(D1291="",E1291=""),"",D1291*E1291)</f>
        <v/>
      </c>
      <c r="G1291" s="15" t="n"/>
    </row>
    <row r="1292">
      <c r="A1292" s="19" t="n"/>
      <c r="B1292" s="15" t="n"/>
      <c r="C1292">
        <f>IF(B1292="","",IFERROR(INDEX(Items!$B$5:$B$304,MATCH(B1292,Items!$A$5:$A$304,0)),"Unknown code"))</f>
        <v/>
      </c>
      <c r="D1292" s="15" t="n"/>
      <c r="E1292" s="16" t="n"/>
      <c r="F1292" s="18">
        <f>IF(OR(D1292="",E1292=""),"",D1292*E1292)</f>
        <v/>
      </c>
      <c r="G1292" s="15" t="n"/>
    </row>
    <row r="1293">
      <c r="A1293" s="19" t="n"/>
      <c r="B1293" s="15" t="n"/>
      <c r="C1293">
        <f>IF(B1293="","",IFERROR(INDEX(Items!$B$5:$B$304,MATCH(B1293,Items!$A$5:$A$304,0)),"Unknown code"))</f>
        <v/>
      </c>
      <c r="D1293" s="15" t="n"/>
      <c r="E1293" s="16" t="n"/>
      <c r="F1293" s="18">
        <f>IF(OR(D1293="",E1293=""),"",D1293*E1293)</f>
        <v/>
      </c>
      <c r="G1293" s="15" t="n"/>
    </row>
    <row r="1294">
      <c r="A1294" s="19" t="n"/>
      <c r="B1294" s="15" t="n"/>
      <c r="C1294">
        <f>IF(B1294="","",IFERROR(INDEX(Items!$B$5:$B$304,MATCH(B1294,Items!$A$5:$A$304,0)),"Unknown code"))</f>
        <v/>
      </c>
      <c r="D1294" s="15" t="n"/>
      <c r="E1294" s="16" t="n"/>
      <c r="F1294" s="18">
        <f>IF(OR(D1294="",E1294=""),"",D1294*E1294)</f>
        <v/>
      </c>
      <c r="G1294" s="15" t="n"/>
    </row>
    <row r="1295">
      <c r="A1295" s="19" t="n"/>
      <c r="B1295" s="15" t="n"/>
      <c r="C1295">
        <f>IF(B1295="","",IFERROR(INDEX(Items!$B$5:$B$304,MATCH(B1295,Items!$A$5:$A$304,0)),"Unknown code"))</f>
        <v/>
      </c>
      <c r="D1295" s="15" t="n"/>
      <c r="E1295" s="16" t="n"/>
      <c r="F1295" s="18">
        <f>IF(OR(D1295="",E1295=""),"",D1295*E1295)</f>
        <v/>
      </c>
      <c r="G1295" s="15" t="n"/>
    </row>
    <row r="1296">
      <c r="A1296" s="19" t="n"/>
      <c r="B1296" s="15" t="n"/>
      <c r="C1296">
        <f>IF(B1296="","",IFERROR(INDEX(Items!$B$5:$B$304,MATCH(B1296,Items!$A$5:$A$304,0)),"Unknown code"))</f>
        <v/>
      </c>
      <c r="D1296" s="15" t="n"/>
      <c r="E1296" s="16" t="n"/>
      <c r="F1296" s="18">
        <f>IF(OR(D1296="",E1296=""),"",D1296*E1296)</f>
        <v/>
      </c>
      <c r="G1296" s="15" t="n"/>
    </row>
    <row r="1297">
      <c r="A1297" s="19" t="n"/>
      <c r="B1297" s="15" t="n"/>
      <c r="C1297">
        <f>IF(B1297="","",IFERROR(INDEX(Items!$B$5:$B$304,MATCH(B1297,Items!$A$5:$A$304,0)),"Unknown code"))</f>
        <v/>
      </c>
      <c r="D1297" s="15" t="n"/>
      <c r="E1297" s="16" t="n"/>
      <c r="F1297" s="18">
        <f>IF(OR(D1297="",E1297=""),"",D1297*E1297)</f>
        <v/>
      </c>
      <c r="G1297" s="15" t="n"/>
    </row>
    <row r="1298">
      <c r="A1298" s="19" t="n"/>
      <c r="B1298" s="15" t="n"/>
      <c r="C1298">
        <f>IF(B1298="","",IFERROR(INDEX(Items!$B$5:$B$304,MATCH(B1298,Items!$A$5:$A$304,0)),"Unknown code"))</f>
        <v/>
      </c>
      <c r="D1298" s="15" t="n"/>
      <c r="E1298" s="16" t="n"/>
      <c r="F1298" s="18">
        <f>IF(OR(D1298="",E1298=""),"",D1298*E1298)</f>
        <v/>
      </c>
      <c r="G1298" s="15" t="n"/>
    </row>
    <row r="1299">
      <c r="A1299" s="19" t="n"/>
      <c r="B1299" s="15" t="n"/>
      <c r="C1299">
        <f>IF(B1299="","",IFERROR(INDEX(Items!$B$5:$B$304,MATCH(B1299,Items!$A$5:$A$304,0)),"Unknown code"))</f>
        <v/>
      </c>
      <c r="D1299" s="15" t="n"/>
      <c r="E1299" s="16" t="n"/>
      <c r="F1299" s="18">
        <f>IF(OR(D1299="",E1299=""),"",D1299*E1299)</f>
        <v/>
      </c>
      <c r="G1299" s="15" t="n"/>
    </row>
    <row r="1300">
      <c r="A1300" s="19" t="n"/>
      <c r="B1300" s="15" t="n"/>
      <c r="C1300">
        <f>IF(B1300="","",IFERROR(INDEX(Items!$B$5:$B$304,MATCH(B1300,Items!$A$5:$A$304,0)),"Unknown code"))</f>
        <v/>
      </c>
      <c r="D1300" s="15" t="n"/>
      <c r="E1300" s="16" t="n"/>
      <c r="F1300" s="18">
        <f>IF(OR(D1300="",E1300=""),"",D1300*E1300)</f>
        <v/>
      </c>
      <c r="G1300" s="15" t="n"/>
    </row>
    <row r="1301">
      <c r="A1301" s="19" t="n"/>
      <c r="B1301" s="15" t="n"/>
      <c r="C1301">
        <f>IF(B1301="","",IFERROR(INDEX(Items!$B$5:$B$304,MATCH(B1301,Items!$A$5:$A$304,0)),"Unknown code"))</f>
        <v/>
      </c>
      <c r="D1301" s="15" t="n"/>
      <c r="E1301" s="16" t="n"/>
      <c r="F1301" s="18">
        <f>IF(OR(D1301="",E1301=""),"",D1301*E1301)</f>
        <v/>
      </c>
      <c r="G1301" s="15" t="n"/>
    </row>
    <row r="1302">
      <c r="A1302" s="19" t="n"/>
      <c r="B1302" s="15" t="n"/>
      <c r="C1302">
        <f>IF(B1302="","",IFERROR(INDEX(Items!$B$5:$B$304,MATCH(B1302,Items!$A$5:$A$304,0)),"Unknown code"))</f>
        <v/>
      </c>
      <c r="D1302" s="15" t="n"/>
      <c r="E1302" s="16" t="n"/>
      <c r="F1302" s="18">
        <f>IF(OR(D1302="",E1302=""),"",D1302*E1302)</f>
        <v/>
      </c>
      <c r="G1302" s="15" t="n"/>
    </row>
    <row r="1303">
      <c r="A1303" s="19" t="n"/>
      <c r="B1303" s="15" t="n"/>
      <c r="C1303">
        <f>IF(B1303="","",IFERROR(INDEX(Items!$B$5:$B$304,MATCH(B1303,Items!$A$5:$A$304,0)),"Unknown code"))</f>
        <v/>
      </c>
      <c r="D1303" s="15" t="n"/>
      <c r="E1303" s="16" t="n"/>
      <c r="F1303" s="18">
        <f>IF(OR(D1303="",E1303=""),"",D1303*E1303)</f>
        <v/>
      </c>
      <c r="G1303" s="15" t="n"/>
    </row>
    <row r="1304">
      <c r="A1304" s="19" t="n"/>
      <c r="B1304" s="15" t="n"/>
      <c r="C1304">
        <f>IF(B1304="","",IFERROR(INDEX(Items!$B$5:$B$304,MATCH(B1304,Items!$A$5:$A$304,0)),"Unknown code"))</f>
        <v/>
      </c>
      <c r="D1304" s="15" t="n"/>
      <c r="E1304" s="16" t="n"/>
      <c r="F1304" s="18">
        <f>IF(OR(D1304="",E1304=""),"",D1304*E1304)</f>
        <v/>
      </c>
      <c r="G1304" s="15" t="n"/>
    </row>
    <row r="1305">
      <c r="A1305" s="19" t="n"/>
      <c r="B1305" s="15" t="n"/>
      <c r="C1305">
        <f>IF(B1305="","",IFERROR(INDEX(Items!$B$5:$B$304,MATCH(B1305,Items!$A$5:$A$304,0)),"Unknown code"))</f>
        <v/>
      </c>
      <c r="D1305" s="15" t="n"/>
      <c r="E1305" s="16" t="n"/>
      <c r="F1305" s="18">
        <f>IF(OR(D1305="",E1305=""),"",D1305*E1305)</f>
        <v/>
      </c>
      <c r="G1305" s="15" t="n"/>
    </row>
    <row r="1306">
      <c r="A1306" s="19" t="n"/>
      <c r="B1306" s="15" t="n"/>
      <c r="C1306">
        <f>IF(B1306="","",IFERROR(INDEX(Items!$B$5:$B$304,MATCH(B1306,Items!$A$5:$A$304,0)),"Unknown code"))</f>
        <v/>
      </c>
      <c r="D1306" s="15" t="n"/>
      <c r="E1306" s="16" t="n"/>
      <c r="F1306" s="18">
        <f>IF(OR(D1306="",E1306=""),"",D1306*E1306)</f>
        <v/>
      </c>
      <c r="G1306" s="15" t="n"/>
    </row>
    <row r="1307">
      <c r="A1307" s="19" t="n"/>
      <c r="B1307" s="15" t="n"/>
      <c r="C1307">
        <f>IF(B1307="","",IFERROR(INDEX(Items!$B$5:$B$304,MATCH(B1307,Items!$A$5:$A$304,0)),"Unknown code"))</f>
        <v/>
      </c>
      <c r="D1307" s="15" t="n"/>
      <c r="E1307" s="16" t="n"/>
      <c r="F1307" s="18">
        <f>IF(OR(D1307="",E1307=""),"",D1307*E1307)</f>
        <v/>
      </c>
      <c r="G1307" s="15" t="n"/>
    </row>
    <row r="1308">
      <c r="A1308" s="19" t="n"/>
      <c r="B1308" s="15" t="n"/>
      <c r="C1308">
        <f>IF(B1308="","",IFERROR(INDEX(Items!$B$5:$B$304,MATCH(B1308,Items!$A$5:$A$304,0)),"Unknown code"))</f>
        <v/>
      </c>
      <c r="D1308" s="15" t="n"/>
      <c r="E1308" s="16" t="n"/>
      <c r="F1308" s="18">
        <f>IF(OR(D1308="",E1308=""),"",D1308*E1308)</f>
        <v/>
      </c>
      <c r="G1308" s="15" t="n"/>
    </row>
    <row r="1309">
      <c r="A1309" s="19" t="n"/>
      <c r="B1309" s="15" t="n"/>
      <c r="C1309">
        <f>IF(B1309="","",IFERROR(INDEX(Items!$B$5:$B$304,MATCH(B1309,Items!$A$5:$A$304,0)),"Unknown code"))</f>
        <v/>
      </c>
      <c r="D1309" s="15" t="n"/>
      <c r="E1309" s="16" t="n"/>
      <c r="F1309" s="18">
        <f>IF(OR(D1309="",E1309=""),"",D1309*E1309)</f>
        <v/>
      </c>
      <c r="G1309" s="15" t="n"/>
    </row>
    <row r="1310">
      <c r="A1310" s="19" t="n"/>
      <c r="B1310" s="15" t="n"/>
      <c r="C1310">
        <f>IF(B1310="","",IFERROR(INDEX(Items!$B$5:$B$304,MATCH(B1310,Items!$A$5:$A$304,0)),"Unknown code"))</f>
        <v/>
      </c>
      <c r="D1310" s="15" t="n"/>
      <c r="E1310" s="16" t="n"/>
      <c r="F1310" s="18">
        <f>IF(OR(D1310="",E1310=""),"",D1310*E1310)</f>
        <v/>
      </c>
      <c r="G1310" s="15" t="n"/>
    </row>
    <row r="1311">
      <c r="A1311" s="19" t="n"/>
      <c r="B1311" s="15" t="n"/>
      <c r="C1311">
        <f>IF(B1311="","",IFERROR(INDEX(Items!$B$5:$B$304,MATCH(B1311,Items!$A$5:$A$304,0)),"Unknown code"))</f>
        <v/>
      </c>
      <c r="D1311" s="15" t="n"/>
      <c r="E1311" s="16" t="n"/>
      <c r="F1311" s="18">
        <f>IF(OR(D1311="",E1311=""),"",D1311*E1311)</f>
        <v/>
      </c>
      <c r="G1311" s="15" t="n"/>
    </row>
    <row r="1312">
      <c r="A1312" s="19" t="n"/>
      <c r="B1312" s="15" t="n"/>
      <c r="C1312">
        <f>IF(B1312="","",IFERROR(INDEX(Items!$B$5:$B$304,MATCH(B1312,Items!$A$5:$A$304,0)),"Unknown code"))</f>
        <v/>
      </c>
      <c r="D1312" s="15" t="n"/>
      <c r="E1312" s="16" t="n"/>
      <c r="F1312" s="18">
        <f>IF(OR(D1312="",E1312=""),"",D1312*E1312)</f>
        <v/>
      </c>
      <c r="G1312" s="15" t="n"/>
    </row>
    <row r="1313">
      <c r="A1313" s="19" t="n"/>
      <c r="B1313" s="15" t="n"/>
      <c r="C1313">
        <f>IF(B1313="","",IFERROR(INDEX(Items!$B$5:$B$304,MATCH(B1313,Items!$A$5:$A$304,0)),"Unknown code"))</f>
        <v/>
      </c>
      <c r="D1313" s="15" t="n"/>
      <c r="E1313" s="16" t="n"/>
      <c r="F1313" s="18">
        <f>IF(OR(D1313="",E1313=""),"",D1313*E1313)</f>
        <v/>
      </c>
      <c r="G1313" s="15" t="n"/>
    </row>
    <row r="1314">
      <c r="A1314" s="19" t="n"/>
      <c r="B1314" s="15" t="n"/>
      <c r="C1314">
        <f>IF(B1314="","",IFERROR(INDEX(Items!$B$5:$B$304,MATCH(B1314,Items!$A$5:$A$304,0)),"Unknown code"))</f>
        <v/>
      </c>
      <c r="D1314" s="15" t="n"/>
      <c r="E1314" s="16" t="n"/>
      <c r="F1314" s="18">
        <f>IF(OR(D1314="",E1314=""),"",D1314*E1314)</f>
        <v/>
      </c>
      <c r="G1314" s="15" t="n"/>
    </row>
    <row r="1315">
      <c r="A1315" s="19" t="n"/>
      <c r="B1315" s="15" t="n"/>
      <c r="C1315">
        <f>IF(B1315="","",IFERROR(INDEX(Items!$B$5:$B$304,MATCH(B1315,Items!$A$5:$A$304,0)),"Unknown code"))</f>
        <v/>
      </c>
      <c r="D1315" s="15" t="n"/>
      <c r="E1315" s="16" t="n"/>
      <c r="F1315" s="18">
        <f>IF(OR(D1315="",E1315=""),"",D1315*E1315)</f>
        <v/>
      </c>
      <c r="G1315" s="15" t="n"/>
    </row>
    <row r="1316">
      <c r="A1316" s="19" t="n"/>
      <c r="B1316" s="15" t="n"/>
      <c r="C1316">
        <f>IF(B1316="","",IFERROR(INDEX(Items!$B$5:$B$304,MATCH(B1316,Items!$A$5:$A$304,0)),"Unknown code"))</f>
        <v/>
      </c>
      <c r="D1316" s="15" t="n"/>
      <c r="E1316" s="16" t="n"/>
      <c r="F1316" s="18">
        <f>IF(OR(D1316="",E1316=""),"",D1316*E1316)</f>
        <v/>
      </c>
      <c r="G1316" s="15" t="n"/>
    </row>
    <row r="1317">
      <c r="A1317" s="19" t="n"/>
      <c r="B1317" s="15" t="n"/>
      <c r="C1317">
        <f>IF(B1317="","",IFERROR(INDEX(Items!$B$5:$B$304,MATCH(B1317,Items!$A$5:$A$304,0)),"Unknown code"))</f>
        <v/>
      </c>
      <c r="D1317" s="15" t="n"/>
      <c r="E1317" s="16" t="n"/>
      <c r="F1317" s="18">
        <f>IF(OR(D1317="",E1317=""),"",D1317*E1317)</f>
        <v/>
      </c>
      <c r="G1317" s="15" t="n"/>
    </row>
    <row r="1318">
      <c r="A1318" s="19" t="n"/>
      <c r="B1318" s="15" t="n"/>
      <c r="C1318">
        <f>IF(B1318="","",IFERROR(INDEX(Items!$B$5:$B$304,MATCH(B1318,Items!$A$5:$A$304,0)),"Unknown code"))</f>
        <v/>
      </c>
      <c r="D1318" s="15" t="n"/>
      <c r="E1318" s="16" t="n"/>
      <c r="F1318" s="18">
        <f>IF(OR(D1318="",E1318=""),"",D1318*E1318)</f>
        <v/>
      </c>
      <c r="G1318" s="15" t="n"/>
    </row>
    <row r="1319">
      <c r="A1319" s="19" t="n"/>
      <c r="B1319" s="15" t="n"/>
      <c r="C1319">
        <f>IF(B1319="","",IFERROR(INDEX(Items!$B$5:$B$304,MATCH(B1319,Items!$A$5:$A$304,0)),"Unknown code"))</f>
        <v/>
      </c>
      <c r="D1319" s="15" t="n"/>
      <c r="E1319" s="16" t="n"/>
      <c r="F1319" s="18">
        <f>IF(OR(D1319="",E1319=""),"",D1319*E1319)</f>
        <v/>
      </c>
      <c r="G1319" s="15" t="n"/>
    </row>
    <row r="1320">
      <c r="A1320" s="19" t="n"/>
      <c r="B1320" s="15" t="n"/>
      <c r="C1320">
        <f>IF(B1320="","",IFERROR(INDEX(Items!$B$5:$B$304,MATCH(B1320,Items!$A$5:$A$304,0)),"Unknown code"))</f>
        <v/>
      </c>
      <c r="D1320" s="15" t="n"/>
      <c r="E1320" s="16" t="n"/>
      <c r="F1320" s="18">
        <f>IF(OR(D1320="",E1320=""),"",D1320*E1320)</f>
        <v/>
      </c>
      <c r="G1320" s="15" t="n"/>
    </row>
    <row r="1321">
      <c r="A1321" s="19" t="n"/>
      <c r="B1321" s="15" t="n"/>
      <c r="C1321">
        <f>IF(B1321="","",IFERROR(INDEX(Items!$B$5:$B$304,MATCH(B1321,Items!$A$5:$A$304,0)),"Unknown code"))</f>
        <v/>
      </c>
      <c r="D1321" s="15" t="n"/>
      <c r="E1321" s="16" t="n"/>
      <c r="F1321" s="18">
        <f>IF(OR(D1321="",E1321=""),"",D1321*E1321)</f>
        <v/>
      </c>
      <c r="G1321" s="15" t="n"/>
    </row>
    <row r="1322">
      <c r="A1322" s="19" t="n"/>
      <c r="B1322" s="15" t="n"/>
      <c r="C1322">
        <f>IF(B1322="","",IFERROR(INDEX(Items!$B$5:$B$304,MATCH(B1322,Items!$A$5:$A$304,0)),"Unknown code"))</f>
        <v/>
      </c>
      <c r="D1322" s="15" t="n"/>
      <c r="E1322" s="16" t="n"/>
      <c r="F1322" s="18">
        <f>IF(OR(D1322="",E1322=""),"",D1322*E1322)</f>
        <v/>
      </c>
      <c r="G1322" s="15" t="n"/>
    </row>
    <row r="1323">
      <c r="A1323" s="19" t="n"/>
      <c r="B1323" s="15" t="n"/>
      <c r="C1323">
        <f>IF(B1323="","",IFERROR(INDEX(Items!$B$5:$B$304,MATCH(B1323,Items!$A$5:$A$304,0)),"Unknown code"))</f>
        <v/>
      </c>
      <c r="D1323" s="15" t="n"/>
      <c r="E1323" s="16" t="n"/>
      <c r="F1323" s="18">
        <f>IF(OR(D1323="",E1323=""),"",D1323*E1323)</f>
        <v/>
      </c>
      <c r="G1323" s="15" t="n"/>
    </row>
    <row r="1324">
      <c r="A1324" s="19" t="n"/>
      <c r="B1324" s="15" t="n"/>
      <c r="C1324">
        <f>IF(B1324="","",IFERROR(INDEX(Items!$B$5:$B$304,MATCH(B1324,Items!$A$5:$A$304,0)),"Unknown code"))</f>
        <v/>
      </c>
      <c r="D1324" s="15" t="n"/>
      <c r="E1324" s="16" t="n"/>
      <c r="F1324" s="18">
        <f>IF(OR(D1324="",E1324=""),"",D1324*E1324)</f>
        <v/>
      </c>
      <c r="G1324" s="15" t="n"/>
    </row>
    <row r="1325">
      <c r="A1325" s="19" t="n"/>
      <c r="B1325" s="15" t="n"/>
      <c r="C1325">
        <f>IF(B1325="","",IFERROR(INDEX(Items!$B$5:$B$304,MATCH(B1325,Items!$A$5:$A$304,0)),"Unknown code"))</f>
        <v/>
      </c>
      <c r="D1325" s="15" t="n"/>
      <c r="E1325" s="16" t="n"/>
      <c r="F1325" s="18">
        <f>IF(OR(D1325="",E1325=""),"",D1325*E1325)</f>
        <v/>
      </c>
      <c r="G1325" s="15" t="n"/>
    </row>
    <row r="1326">
      <c r="A1326" s="19" t="n"/>
      <c r="B1326" s="15" t="n"/>
      <c r="C1326">
        <f>IF(B1326="","",IFERROR(INDEX(Items!$B$5:$B$304,MATCH(B1326,Items!$A$5:$A$304,0)),"Unknown code"))</f>
        <v/>
      </c>
      <c r="D1326" s="15" t="n"/>
      <c r="E1326" s="16" t="n"/>
      <c r="F1326" s="18">
        <f>IF(OR(D1326="",E1326=""),"",D1326*E1326)</f>
        <v/>
      </c>
      <c r="G1326" s="15" t="n"/>
    </row>
    <row r="1327">
      <c r="A1327" s="19" t="n"/>
      <c r="B1327" s="15" t="n"/>
      <c r="C1327">
        <f>IF(B1327="","",IFERROR(INDEX(Items!$B$5:$B$304,MATCH(B1327,Items!$A$5:$A$304,0)),"Unknown code"))</f>
        <v/>
      </c>
      <c r="D1327" s="15" t="n"/>
      <c r="E1327" s="16" t="n"/>
      <c r="F1327" s="18">
        <f>IF(OR(D1327="",E1327=""),"",D1327*E1327)</f>
        <v/>
      </c>
      <c r="G1327" s="15" t="n"/>
    </row>
    <row r="1328">
      <c r="A1328" s="19" t="n"/>
      <c r="B1328" s="15" t="n"/>
      <c r="C1328">
        <f>IF(B1328="","",IFERROR(INDEX(Items!$B$5:$B$304,MATCH(B1328,Items!$A$5:$A$304,0)),"Unknown code"))</f>
        <v/>
      </c>
      <c r="D1328" s="15" t="n"/>
      <c r="E1328" s="16" t="n"/>
      <c r="F1328" s="18">
        <f>IF(OR(D1328="",E1328=""),"",D1328*E1328)</f>
        <v/>
      </c>
      <c r="G1328" s="15" t="n"/>
    </row>
    <row r="1329">
      <c r="A1329" s="19" t="n"/>
      <c r="B1329" s="15" t="n"/>
      <c r="C1329">
        <f>IF(B1329="","",IFERROR(INDEX(Items!$B$5:$B$304,MATCH(B1329,Items!$A$5:$A$304,0)),"Unknown code"))</f>
        <v/>
      </c>
      <c r="D1329" s="15" t="n"/>
      <c r="E1329" s="16" t="n"/>
      <c r="F1329" s="18">
        <f>IF(OR(D1329="",E1329=""),"",D1329*E1329)</f>
        <v/>
      </c>
      <c r="G1329" s="15" t="n"/>
    </row>
    <row r="1330">
      <c r="A1330" s="19" t="n"/>
      <c r="B1330" s="15" t="n"/>
      <c r="C1330">
        <f>IF(B1330="","",IFERROR(INDEX(Items!$B$5:$B$304,MATCH(B1330,Items!$A$5:$A$304,0)),"Unknown code"))</f>
        <v/>
      </c>
      <c r="D1330" s="15" t="n"/>
      <c r="E1330" s="16" t="n"/>
      <c r="F1330" s="18">
        <f>IF(OR(D1330="",E1330=""),"",D1330*E1330)</f>
        <v/>
      </c>
      <c r="G1330" s="15" t="n"/>
    </row>
    <row r="1331">
      <c r="A1331" s="19" t="n"/>
      <c r="B1331" s="15" t="n"/>
      <c r="C1331">
        <f>IF(B1331="","",IFERROR(INDEX(Items!$B$5:$B$304,MATCH(B1331,Items!$A$5:$A$304,0)),"Unknown code"))</f>
        <v/>
      </c>
      <c r="D1331" s="15" t="n"/>
      <c r="E1331" s="16" t="n"/>
      <c r="F1331" s="18">
        <f>IF(OR(D1331="",E1331=""),"",D1331*E1331)</f>
        <v/>
      </c>
      <c r="G1331" s="15" t="n"/>
    </row>
    <row r="1332">
      <c r="A1332" s="19" t="n"/>
      <c r="B1332" s="15" t="n"/>
      <c r="C1332">
        <f>IF(B1332="","",IFERROR(INDEX(Items!$B$5:$B$304,MATCH(B1332,Items!$A$5:$A$304,0)),"Unknown code"))</f>
        <v/>
      </c>
      <c r="D1332" s="15" t="n"/>
      <c r="E1332" s="16" t="n"/>
      <c r="F1332" s="18">
        <f>IF(OR(D1332="",E1332=""),"",D1332*E1332)</f>
        <v/>
      </c>
      <c r="G1332" s="15" t="n"/>
    </row>
    <row r="1333">
      <c r="A1333" s="19" t="n"/>
      <c r="B1333" s="15" t="n"/>
      <c r="C1333">
        <f>IF(B1333="","",IFERROR(INDEX(Items!$B$5:$B$304,MATCH(B1333,Items!$A$5:$A$304,0)),"Unknown code"))</f>
        <v/>
      </c>
      <c r="D1333" s="15" t="n"/>
      <c r="E1333" s="16" t="n"/>
      <c r="F1333" s="18">
        <f>IF(OR(D1333="",E1333=""),"",D1333*E1333)</f>
        <v/>
      </c>
      <c r="G1333" s="15" t="n"/>
    </row>
    <row r="1334">
      <c r="A1334" s="19" t="n"/>
      <c r="B1334" s="15" t="n"/>
      <c r="C1334">
        <f>IF(B1334="","",IFERROR(INDEX(Items!$B$5:$B$304,MATCH(B1334,Items!$A$5:$A$304,0)),"Unknown code"))</f>
        <v/>
      </c>
      <c r="D1334" s="15" t="n"/>
      <c r="E1334" s="16" t="n"/>
      <c r="F1334" s="18">
        <f>IF(OR(D1334="",E1334=""),"",D1334*E1334)</f>
        <v/>
      </c>
      <c r="G1334" s="15" t="n"/>
    </row>
    <row r="1335">
      <c r="A1335" s="19" t="n"/>
      <c r="B1335" s="15" t="n"/>
      <c r="C1335">
        <f>IF(B1335="","",IFERROR(INDEX(Items!$B$5:$B$304,MATCH(B1335,Items!$A$5:$A$304,0)),"Unknown code"))</f>
        <v/>
      </c>
      <c r="D1335" s="15" t="n"/>
      <c r="E1335" s="16" t="n"/>
      <c r="F1335" s="18">
        <f>IF(OR(D1335="",E1335=""),"",D1335*E1335)</f>
        <v/>
      </c>
      <c r="G1335" s="15" t="n"/>
    </row>
    <row r="1336">
      <c r="A1336" s="19" t="n"/>
      <c r="B1336" s="15" t="n"/>
      <c r="C1336">
        <f>IF(B1336="","",IFERROR(INDEX(Items!$B$5:$B$304,MATCH(B1336,Items!$A$5:$A$304,0)),"Unknown code"))</f>
        <v/>
      </c>
      <c r="D1336" s="15" t="n"/>
      <c r="E1336" s="16" t="n"/>
      <c r="F1336" s="18">
        <f>IF(OR(D1336="",E1336=""),"",D1336*E1336)</f>
        <v/>
      </c>
      <c r="G1336" s="15" t="n"/>
    </row>
    <row r="1337">
      <c r="A1337" s="19" t="n"/>
      <c r="B1337" s="15" t="n"/>
      <c r="C1337">
        <f>IF(B1337="","",IFERROR(INDEX(Items!$B$5:$B$304,MATCH(B1337,Items!$A$5:$A$304,0)),"Unknown code"))</f>
        <v/>
      </c>
      <c r="D1337" s="15" t="n"/>
      <c r="E1337" s="16" t="n"/>
      <c r="F1337" s="18">
        <f>IF(OR(D1337="",E1337=""),"",D1337*E1337)</f>
        <v/>
      </c>
      <c r="G1337" s="15" t="n"/>
    </row>
    <row r="1338">
      <c r="A1338" s="19" t="n"/>
      <c r="B1338" s="15" t="n"/>
      <c r="C1338">
        <f>IF(B1338="","",IFERROR(INDEX(Items!$B$5:$B$304,MATCH(B1338,Items!$A$5:$A$304,0)),"Unknown code"))</f>
        <v/>
      </c>
      <c r="D1338" s="15" t="n"/>
      <c r="E1338" s="16" t="n"/>
      <c r="F1338" s="18">
        <f>IF(OR(D1338="",E1338=""),"",D1338*E1338)</f>
        <v/>
      </c>
      <c r="G1338" s="15" t="n"/>
    </row>
    <row r="1339">
      <c r="A1339" s="19" t="n"/>
      <c r="B1339" s="15" t="n"/>
      <c r="C1339">
        <f>IF(B1339="","",IFERROR(INDEX(Items!$B$5:$B$304,MATCH(B1339,Items!$A$5:$A$304,0)),"Unknown code"))</f>
        <v/>
      </c>
      <c r="D1339" s="15" t="n"/>
      <c r="E1339" s="16" t="n"/>
      <c r="F1339" s="18">
        <f>IF(OR(D1339="",E1339=""),"",D1339*E1339)</f>
        <v/>
      </c>
      <c r="G1339" s="15" t="n"/>
    </row>
    <row r="1340">
      <c r="A1340" s="19" t="n"/>
      <c r="B1340" s="15" t="n"/>
      <c r="C1340">
        <f>IF(B1340="","",IFERROR(INDEX(Items!$B$5:$B$304,MATCH(B1340,Items!$A$5:$A$304,0)),"Unknown code"))</f>
        <v/>
      </c>
      <c r="D1340" s="15" t="n"/>
      <c r="E1340" s="16" t="n"/>
      <c r="F1340" s="18">
        <f>IF(OR(D1340="",E1340=""),"",D1340*E1340)</f>
        <v/>
      </c>
      <c r="G1340" s="15" t="n"/>
    </row>
    <row r="1341">
      <c r="A1341" s="19" t="n"/>
      <c r="B1341" s="15" t="n"/>
      <c r="C1341">
        <f>IF(B1341="","",IFERROR(INDEX(Items!$B$5:$B$304,MATCH(B1341,Items!$A$5:$A$304,0)),"Unknown code"))</f>
        <v/>
      </c>
      <c r="D1341" s="15" t="n"/>
      <c r="E1341" s="16" t="n"/>
      <c r="F1341" s="18">
        <f>IF(OR(D1341="",E1341=""),"",D1341*E1341)</f>
        <v/>
      </c>
      <c r="G1341" s="15" t="n"/>
    </row>
    <row r="1342">
      <c r="A1342" s="19" t="n"/>
      <c r="B1342" s="15" t="n"/>
      <c r="C1342">
        <f>IF(B1342="","",IFERROR(INDEX(Items!$B$5:$B$304,MATCH(B1342,Items!$A$5:$A$304,0)),"Unknown code"))</f>
        <v/>
      </c>
      <c r="D1342" s="15" t="n"/>
      <c r="E1342" s="16" t="n"/>
      <c r="F1342" s="18">
        <f>IF(OR(D1342="",E1342=""),"",D1342*E1342)</f>
        <v/>
      </c>
      <c r="G1342" s="15" t="n"/>
    </row>
    <row r="1343">
      <c r="A1343" s="19" t="n"/>
      <c r="B1343" s="15" t="n"/>
      <c r="C1343">
        <f>IF(B1343="","",IFERROR(INDEX(Items!$B$5:$B$304,MATCH(B1343,Items!$A$5:$A$304,0)),"Unknown code"))</f>
        <v/>
      </c>
      <c r="D1343" s="15" t="n"/>
      <c r="E1343" s="16" t="n"/>
      <c r="F1343" s="18">
        <f>IF(OR(D1343="",E1343=""),"",D1343*E1343)</f>
        <v/>
      </c>
      <c r="G1343" s="15" t="n"/>
    </row>
    <row r="1344">
      <c r="A1344" s="19" t="n"/>
      <c r="B1344" s="15" t="n"/>
      <c r="C1344">
        <f>IF(B1344="","",IFERROR(INDEX(Items!$B$5:$B$304,MATCH(B1344,Items!$A$5:$A$304,0)),"Unknown code"))</f>
        <v/>
      </c>
      <c r="D1344" s="15" t="n"/>
      <c r="E1344" s="16" t="n"/>
      <c r="F1344" s="18">
        <f>IF(OR(D1344="",E1344=""),"",D1344*E1344)</f>
        <v/>
      </c>
      <c r="G1344" s="15" t="n"/>
    </row>
    <row r="1345">
      <c r="A1345" s="19" t="n"/>
      <c r="B1345" s="15" t="n"/>
      <c r="C1345">
        <f>IF(B1345="","",IFERROR(INDEX(Items!$B$5:$B$304,MATCH(B1345,Items!$A$5:$A$304,0)),"Unknown code"))</f>
        <v/>
      </c>
      <c r="D1345" s="15" t="n"/>
      <c r="E1345" s="16" t="n"/>
      <c r="F1345" s="18">
        <f>IF(OR(D1345="",E1345=""),"",D1345*E1345)</f>
        <v/>
      </c>
      <c r="G1345" s="15" t="n"/>
    </row>
    <row r="1346">
      <c r="A1346" s="19" t="n"/>
      <c r="B1346" s="15" t="n"/>
      <c r="C1346">
        <f>IF(B1346="","",IFERROR(INDEX(Items!$B$5:$B$304,MATCH(B1346,Items!$A$5:$A$304,0)),"Unknown code"))</f>
        <v/>
      </c>
      <c r="D1346" s="15" t="n"/>
      <c r="E1346" s="16" t="n"/>
      <c r="F1346" s="18">
        <f>IF(OR(D1346="",E1346=""),"",D1346*E1346)</f>
        <v/>
      </c>
      <c r="G1346" s="15" t="n"/>
    </row>
    <row r="1347">
      <c r="A1347" s="19" t="n"/>
      <c r="B1347" s="15" t="n"/>
      <c r="C1347">
        <f>IF(B1347="","",IFERROR(INDEX(Items!$B$5:$B$304,MATCH(B1347,Items!$A$5:$A$304,0)),"Unknown code"))</f>
        <v/>
      </c>
      <c r="D1347" s="15" t="n"/>
      <c r="E1347" s="16" t="n"/>
      <c r="F1347" s="18">
        <f>IF(OR(D1347="",E1347=""),"",D1347*E1347)</f>
        <v/>
      </c>
      <c r="G1347" s="15" t="n"/>
    </row>
    <row r="1348">
      <c r="A1348" s="19" t="n"/>
      <c r="B1348" s="15" t="n"/>
      <c r="C1348">
        <f>IF(B1348="","",IFERROR(INDEX(Items!$B$5:$B$304,MATCH(B1348,Items!$A$5:$A$304,0)),"Unknown code"))</f>
        <v/>
      </c>
      <c r="D1348" s="15" t="n"/>
      <c r="E1348" s="16" t="n"/>
      <c r="F1348" s="18">
        <f>IF(OR(D1348="",E1348=""),"",D1348*E1348)</f>
        <v/>
      </c>
      <c r="G1348" s="15" t="n"/>
    </row>
    <row r="1349">
      <c r="A1349" s="19" t="n"/>
      <c r="B1349" s="15" t="n"/>
      <c r="C1349">
        <f>IF(B1349="","",IFERROR(INDEX(Items!$B$5:$B$304,MATCH(B1349,Items!$A$5:$A$304,0)),"Unknown code"))</f>
        <v/>
      </c>
      <c r="D1349" s="15" t="n"/>
      <c r="E1349" s="16" t="n"/>
      <c r="F1349" s="18">
        <f>IF(OR(D1349="",E1349=""),"",D1349*E1349)</f>
        <v/>
      </c>
      <c r="G1349" s="15" t="n"/>
    </row>
    <row r="1350">
      <c r="A1350" s="19" t="n"/>
      <c r="B1350" s="15" t="n"/>
      <c r="C1350">
        <f>IF(B1350="","",IFERROR(INDEX(Items!$B$5:$B$304,MATCH(B1350,Items!$A$5:$A$304,0)),"Unknown code"))</f>
        <v/>
      </c>
      <c r="D1350" s="15" t="n"/>
      <c r="E1350" s="16" t="n"/>
      <c r="F1350" s="18">
        <f>IF(OR(D1350="",E1350=""),"",D1350*E1350)</f>
        <v/>
      </c>
      <c r="G1350" s="15" t="n"/>
    </row>
    <row r="1351">
      <c r="A1351" s="19" t="n"/>
      <c r="B1351" s="15" t="n"/>
      <c r="C1351">
        <f>IF(B1351="","",IFERROR(INDEX(Items!$B$5:$B$304,MATCH(B1351,Items!$A$5:$A$304,0)),"Unknown code"))</f>
        <v/>
      </c>
      <c r="D1351" s="15" t="n"/>
      <c r="E1351" s="16" t="n"/>
      <c r="F1351" s="18">
        <f>IF(OR(D1351="",E1351=""),"",D1351*E1351)</f>
        <v/>
      </c>
      <c r="G1351" s="15" t="n"/>
    </row>
    <row r="1352">
      <c r="A1352" s="19" t="n"/>
      <c r="B1352" s="15" t="n"/>
      <c r="C1352">
        <f>IF(B1352="","",IFERROR(INDEX(Items!$B$5:$B$304,MATCH(B1352,Items!$A$5:$A$304,0)),"Unknown code"))</f>
        <v/>
      </c>
      <c r="D1352" s="15" t="n"/>
      <c r="E1352" s="16" t="n"/>
      <c r="F1352" s="18">
        <f>IF(OR(D1352="",E1352=""),"",D1352*E1352)</f>
        <v/>
      </c>
      <c r="G1352" s="15" t="n"/>
    </row>
    <row r="1353">
      <c r="A1353" s="19" t="n"/>
      <c r="B1353" s="15" t="n"/>
      <c r="C1353">
        <f>IF(B1353="","",IFERROR(INDEX(Items!$B$5:$B$304,MATCH(B1353,Items!$A$5:$A$304,0)),"Unknown code"))</f>
        <v/>
      </c>
      <c r="D1353" s="15" t="n"/>
      <c r="E1353" s="16" t="n"/>
      <c r="F1353" s="18">
        <f>IF(OR(D1353="",E1353=""),"",D1353*E1353)</f>
        <v/>
      </c>
      <c r="G1353" s="15" t="n"/>
    </row>
    <row r="1354">
      <c r="A1354" s="19" t="n"/>
      <c r="B1354" s="15" t="n"/>
      <c r="C1354">
        <f>IF(B1354="","",IFERROR(INDEX(Items!$B$5:$B$304,MATCH(B1354,Items!$A$5:$A$304,0)),"Unknown code"))</f>
        <v/>
      </c>
      <c r="D1354" s="15" t="n"/>
      <c r="E1354" s="16" t="n"/>
      <c r="F1354" s="18">
        <f>IF(OR(D1354="",E1354=""),"",D1354*E1354)</f>
        <v/>
      </c>
      <c r="G1354" s="15" t="n"/>
    </row>
    <row r="1355">
      <c r="A1355" s="19" t="n"/>
      <c r="B1355" s="15" t="n"/>
      <c r="C1355">
        <f>IF(B1355="","",IFERROR(INDEX(Items!$B$5:$B$304,MATCH(B1355,Items!$A$5:$A$304,0)),"Unknown code"))</f>
        <v/>
      </c>
      <c r="D1355" s="15" t="n"/>
      <c r="E1355" s="16" t="n"/>
      <c r="F1355" s="18">
        <f>IF(OR(D1355="",E1355=""),"",D1355*E1355)</f>
        <v/>
      </c>
      <c r="G1355" s="15" t="n"/>
    </row>
    <row r="1356">
      <c r="A1356" s="19" t="n"/>
      <c r="B1356" s="15" t="n"/>
      <c r="C1356">
        <f>IF(B1356="","",IFERROR(INDEX(Items!$B$5:$B$304,MATCH(B1356,Items!$A$5:$A$304,0)),"Unknown code"))</f>
        <v/>
      </c>
      <c r="D1356" s="15" t="n"/>
      <c r="E1356" s="16" t="n"/>
      <c r="F1356" s="18">
        <f>IF(OR(D1356="",E1356=""),"",D1356*E1356)</f>
        <v/>
      </c>
      <c r="G1356" s="15" t="n"/>
    </row>
    <row r="1357">
      <c r="A1357" s="19" t="n"/>
      <c r="B1357" s="15" t="n"/>
      <c r="C1357">
        <f>IF(B1357="","",IFERROR(INDEX(Items!$B$5:$B$304,MATCH(B1357,Items!$A$5:$A$304,0)),"Unknown code"))</f>
        <v/>
      </c>
      <c r="D1357" s="15" t="n"/>
      <c r="E1357" s="16" t="n"/>
      <c r="F1357" s="18">
        <f>IF(OR(D1357="",E1357=""),"",D1357*E1357)</f>
        <v/>
      </c>
      <c r="G1357" s="15" t="n"/>
    </row>
    <row r="1358">
      <c r="A1358" s="19" t="n"/>
      <c r="B1358" s="15" t="n"/>
      <c r="C1358">
        <f>IF(B1358="","",IFERROR(INDEX(Items!$B$5:$B$304,MATCH(B1358,Items!$A$5:$A$304,0)),"Unknown code"))</f>
        <v/>
      </c>
      <c r="D1358" s="15" t="n"/>
      <c r="E1358" s="16" t="n"/>
      <c r="F1358" s="18">
        <f>IF(OR(D1358="",E1358=""),"",D1358*E1358)</f>
        <v/>
      </c>
      <c r="G1358" s="15" t="n"/>
    </row>
    <row r="1359">
      <c r="A1359" s="19" t="n"/>
      <c r="B1359" s="15" t="n"/>
      <c r="C1359">
        <f>IF(B1359="","",IFERROR(INDEX(Items!$B$5:$B$304,MATCH(B1359,Items!$A$5:$A$304,0)),"Unknown code"))</f>
        <v/>
      </c>
      <c r="D1359" s="15" t="n"/>
      <c r="E1359" s="16" t="n"/>
      <c r="F1359" s="18">
        <f>IF(OR(D1359="",E1359=""),"",D1359*E1359)</f>
        <v/>
      </c>
      <c r="G1359" s="15" t="n"/>
    </row>
    <row r="1360">
      <c r="A1360" s="19" t="n"/>
      <c r="B1360" s="15" t="n"/>
      <c r="C1360">
        <f>IF(B1360="","",IFERROR(INDEX(Items!$B$5:$B$304,MATCH(B1360,Items!$A$5:$A$304,0)),"Unknown code"))</f>
        <v/>
      </c>
      <c r="D1360" s="15" t="n"/>
      <c r="E1360" s="16" t="n"/>
      <c r="F1360" s="18">
        <f>IF(OR(D1360="",E1360=""),"",D1360*E1360)</f>
        <v/>
      </c>
      <c r="G1360" s="15" t="n"/>
    </row>
    <row r="1361">
      <c r="A1361" s="19" t="n"/>
      <c r="B1361" s="15" t="n"/>
      <c r="C1361">
        <f>IF(B1361="","",IFERROR(INDEX(Items!$B$5:$B$304,MATCH(B1361,Items!$A$5:$A$304,0)),"Unknown code"))</f>
        <v/>
      </c>
      <c r="D1361" s="15" t="n"/>
      <c r="E1361" s="16" t="n"/>
      <c r="F1361" s="18">
        <f>IF(OR(D1361="",E1361=""),"",D1361*E1361)</f>
        <v/>
      </c>
      <c r="G1361" s="15" t="n"/>
    </row>
    <row r="1362">
      <c r="A1362" s="19" t="n"/>
      <c r="B1362" s="15" t="n"/>
      <c r="C1362">
        <f>IF(B1362="","",IFERROR(INDEX(Items!$B$5:$B$304,MATCH(B1362,Items!$A$5:$A$304,0)),"Unknown code"))</f>
        <v/>
      </c>
      <c r="D1362" s="15" t="n"/>
      <c r="E1362" s="16" t="n"/>
      <c r="F1362" s="18">
        <f>IF(OR(D1362="",E1362=""),"",D1362*E1362)</f>
        <v/>
      </c>
      <c r="G1362" s="15" t="n"/>
    </row>
    <row r="1363">
      <c r="A1363" s="19" t="n"/>
      <c r="B1363" s="15" t="n"/>
      <c r="C1363">
        <f>IF(B1363="","",IFERROR(INDEX(Items!$B$5:$B$304,MATCH(B1363,Items!$A$5:$A$304,0)),"Unknown code"))</f>
        <v/>
      </c>
      <c r="D1363" s="15" t="n"/>
      <c r="E1363" s="16" t="n"/>
      <c r="F1363" s="18">
        <f>IF(OR(D1363="",E1363=""),"",D1363*E1363)</f>
        <v/>
      </c>
      <c r="G1363" s="15" t="n"/>
    </row>
    <row r="1364">
      <c r="A1364" s="19" t="n"/>
      <c r="B1364" s="15" t="n"/>
      <c r="C1364">
        <f>IF(B1364="","",IFERROR(INDEX(Items!$B$5:$B$304,MATCH(B1364,Items!$A$5:$A$304,0)),"Unknown code"))</f>
        <v/>
      </c>
      <c r="D1364" s="15" t="n"/>
      <c r="E1364" s="16" t="n"/>
      <c r="F1364" s="18">
        <f>IF(OR(D1364="",E1364=""),"",D1364*E1364)</f>
        <v/>
      </c>
      <c r="G1364" s="15" t="n"/>
    </row>
    <row r="1365">
      <c r="A1365" s="19" t="n"/>
      <c r="B1365" s="15" t="n"/>
      <c r="C1365">
        <f>IF(B1365="","",IFERROR(INDEX(Items!$B$5:$B$304,MATCH(B1365,Items!$A$5:$A$304,0)),"Unknown code"))</f>
        <v/>
      </c>
      <c r="D1365" s="15" t="n"/>
      <c r="E1365" s="16" t="n"/>
      <c r="F1365" s="18">
        <f>IF(OR(D1365="",E1365=""),"",D1365*E1365)</f>
        <v/>
      </c>
      <c r="G1365" s="15" t="n"/>
    </row>
    <row r="1366">
      <c r="A1366" s="19" t="n"/>
      <c r="B1366" s="15" t="n"/>
      <c r="C1366">
        <f>IF(B1366="","",IFERROR(INDEX(Items!$B$5:$B$304,MATCH(B1366,Items!$A$5:$A$304,0)),"Unknown code"))</f>
        <v/>
      </c>
      <c r="D1366" s="15" t="n"/>
      <c r="E1366" s="16" t="n"/>
      <c r="F1366" s="18">
        <f>IF(OR(D1366="",E1366=""),"",D1366*E1366)</f>
        <v/>
      </c>
      <c r="G1366" s="15" t="n"/>
    </row>
    <row r="1367">
      <c r="A1367" s="19" t="n"/>
      <c r="B1367" s="15" t="n"/>
      <c r="C1367">
        <f>IF(B1367="","",IFERROR(INDEX(Items!$B$5:$B$304,MATCH(B1367,Items!$A$5:$A$304,0)),"Unknown code"))</f>
        <v/>
      </c>
      <c r="D1367" s="15" t="n"/>
      <c r="E1367" s="16" t="n"/>
      <c r="F1367" s="18">
        <f>IF(OR(D1367="",E1367=""),"",D1367*E1367)</f>
        <v/>
      </c>
      <c r="G1367" s="15" t="n"/>
    </row>
    <row r="1368">
      <c r="A1368" s="19" t="n"/>
      <c r="B1368" s="15" t="n"/>
      <c r="C1368">
        <f>IF(B1368="","",IFERROR(INDEX(Items!$B$5:$B$304,MATCH(B1368,Items!$A$5:$A$304,0)),"Unknown code"))</f>
        <v/>
      </c>
      <c r="D1368" s="15" t="n"/>
      <c r="E1368" s="16" t="n"/>
      <c r="F1368" s="18">
        <f>IF(OR(D1368="",E1368=""),"",D1368*E1368)</f>
        <v/>
      </c>
      <c r="G1368" s="15" t="n"/>
    </row>
    <row r="1369">
      <c r="A1369" s="19" t="n"/>
      <c r="B1369" s="15" t="n"/>
      <c r="C1369">
        <f>IF(B1369="","",IFERROR(INDEX(Items!$B$5:$B$304,MATCH(B1369,Items!$A$5:$A$304,0)),"Unknown code"))</f>
        <v/>
      </c>
      <c r="D1369" s="15" t="n"/>
      <c r="E1369" s="16" t="n"/>
      <c r="F1369" s="18">
        <f>IF(OR(D1369="",E1369=""),"",D1369*E1369)</f>
        <v/>
      </c>
      <c r="G1369" s="15" t="n"/>
    </row>
    <row r="1370">
      <c r="A1370" s="19" t="n"/>
      <c r="B1370" s="15" t="n"/>
      <c r="C1370">
        <f>IF(B1370="","",IFERROR(INDEX(Items!$B$5:$B$304,MATCH(B1370,Items!$A$5:$A$304,0)),"Unknown code"))</f>
        <v/>
      </c>
      <c r="D1370" s="15" t="n"/>
      <c r="E1370" s="16" t="n"/>
      <c r="F1370" s="18">
        <f>IF(OR(D1370="",E1370=""),"",D1370*E1370)</f>
        <v/>
      </c>
      <c r="G1370" s="15" t="n"/>
    </row>
    <row r="1371">
      <c r="A1371" s="19" t="n"/>
      <c r="B1371" s="15" t="n"/>
      <c r="C1371">
        <f>IF(B1371="","",IFERROR(INDEX(Items!$B$5:$B$304,MATCH(B1371,Items!$A$5:$A$304,0)),"Unknown code"))</f>
        <v/>
      </c>
      <c r="D1371" s="15" t="n"/>
      <c r="E1371" s="16" t="n"/>
      <c r="F1371" s="18">
        <f>IF(OR(D1371="",E1371=""),"",D1371*E1371)</f>
        <v/>
      </c>
      <c r="G1371" s="15" t="n"/>
    </row>
    <row r="1372">
      <c r="A1372" s="19" t="n"/>
      <c r="B1372" s="15" t="n"/>
      <c r="C1372">
        <f>IF(B1372="","",IFERROR(INDEX(Items!$B$5:$B$304,MATCH(B1372,Items!$A$5:$A$304,0)),"Unknown code"))</f>
        <v/>
      </c>
      <c r="D1372" s="15" t="n"/>
      <c r="E1372" s="16" t="n"/>
      <c r="F1372" s="18">
        <f>IF(OR(D1372="",E1372=""),"",D1372*E1372)</f>
        <v/>
      </c>
      <c r="G1372" s="15" t="n"/>
    </row>
    <row r="1373">
      <c r="A1373" s="19" t="n"/>
      <c r="B1373" s="15" t="n"/>
      <c r="C1373">
        <f>IF(B1373="","",IFERROR(INDEX(Items!$B$5:$B$304,MATCH(B1373,Items!$A$5:$A$304,0)),"Unknown code"))</f>
        <v/>
      </c>
      <c r="D1373" s="15" t="n"/>
      <c r="E1373" s="16" t="n"/>
      <c r="F1373" s="18">
        <f>IF(OR(D1373="",E1373=""),"",D1373*E1373)</f>
        <v/>
      </c>
      <c r="G1373" s="15" t="n"/>
    </row>
    <row r="1374">
      <c r="A1374" s="19" t="n"/>
      <c r="B1374" s="15" t="n"/>
      <c r="C1374">
        <f>IF(B1374="","",IFERROR(INDEX(Items!$B$5:$B$304,MATCH(B1374,Items!$A$5:$A$304,0)),"Unknown code"))</f>
        <v/>
      </c>
      <c r="D1374" s="15" t="n"/>
      <c r="E1374" s="16" t="n"/>
      <c r="F1374" s="18">
        <f>IF(OR(D1374="",E1374=""),"",D1374*E1374)</f>
        <v/>
      </c>
      <c r="G1374" s="15" t="n"/>
    </row>
    <row r="1375">
      <c r="A1375" s="19" t="n"/>
      <c r="B1375" s="15" t="n"/>
      <c r="C1375">
        <f>IF(B1375="","",IFERROR(INDEX(Items!$B$5:$B$304,MATCH(B1375,Items!$A$5:$A$304,0)),"Unknown code"))</f>
        <v/>
      </c>
      <c r="D1375" s="15" t="n"/>
      <c r="E1375" s="16" t="n"/>
      <c r="F1375" s="18">
        <f>IF(OR(D1375="",E1375=""),"",D1375*E1375)</f>
        <v/>
      </c>
      <c r="G1375" s="15" t="n"/>
    </row>
    <row r="1376">
      <c r="A1376" s="19" t="n"/>
      <c r="B1376" s="15" t="n"/>
      <c r="C1376">
        <f>IF(B1376="","",IFERROR(INDEX(Items!$B$5:$B$304,MATCH(B1376,Items!$A$5:$A$304,0)),"Unknown code"))</f>
        <v/>
      </c>
      <c r="D1376" s="15" t="n"/>
      <c r="E1376" s="16" t="n"/>
      <c r="F1376" s="18">
        <f>IF(OR(D1376="",E1376=""),"",D1376*E1376)</f>
        <v/>
      </c>
      <c r="G1376" s="15" t="n"/>
    </row>
    <row r="1377">
      <c r="A1377" s="19" t="n"/>
      <c r="B1377" s="15" t="n"/>
      <c r="C1377">
        <f>IF(B1377="","",IFERROR(INDEX(Items!$B$5:$B$304,MATCH(B1377,Items!$A$5:$A$304,0)),"Unknown code"))</f>
        <v/>
      </c>
      <c r="D1377" s="15" t="n"/>
      <c r="E1377" s="16" t="n"/>
      <c r="F1377" s="18">
        <f>IF(OR(D1377="",E1377=""),"",D1377*E1377)</f>
        <v/>
      </c>
      <c r="G1377" s="15" t="n"/>
    </row>
    <row r="1378">
      <c r="A1378" s="19" t="n"/>
      <c r="B1378" s="15" t="n"/>
      <c r="C1378">
        <f>IF(B1378="","",IFERROR(INDEX(Items!$B$5:$B$304,MATCH(B1378,Items!$A$5:$A$304,0)),"Unknown code"))</f>
        <v/>
      </c>
      <c r="D1378" s="15" t="n"/>
      <c r="E1378" s="16" t="n"/>
      <c r="F1378" s="18">
        <f>IF(OR(D1378="",E1378=""),"",D1378*E1378)</f>
        <v/>
      </c>
      <c r="G1378" s="15" t="n"/>
    </row>
    <row r="1379">
      <c r="A1379" s="19" t="n"/>
      <c r="B1379" s="15" t="n"/>
      <c r="C1379">
        <f>IF(B1379="","",IFERROR(INDEX(Items!$B$5:$B$304,MATCH(B1379,Items!$A$5:$A$304,0)),"Unknown code"))</f>
        <v/>
      </c>
      <c r="D1379" s="15" t="n"/>
      <c r="E1379" s="16" t="n"/>
      <c r="F1379" s="18">
        <f>IF(OR(D1379="",E1379=""),"",D1379*E1379)</f>
        <v/>
      </c>
      <c r="G1379" s="15" t="n"/>
    </row>
    <row r="1380">
      <c r="A1380" s="19" t="n"/>
      <c r="B1380" s="15" t="n"/>
      <c r="C1380">
        <f>IF(B1380="","",IFERROR(INDEX(Items!$B$5:$B$304,MATCH(B1380,Items!$A$5:$A$304,0)),"Unknown code"))</f>
        <v/>
      </c>
      <c r="D1380" s="15" t="n"/>
      <c r="E1380" s="16" t="n"/>
      <c r="F1380" s="18">
        <f>IF(OR(D1380="",E1380=""),"",D1380*E1380)</f>
        <v/>
      </c>
      <c r="G1380" s="15" t="n"/>
    </row>
    <row r="1381">
      <c r="A1381" s="19" t="n"/>
      <c r="B1381" s="15" t="n"/>
      <c r="C1381">
        <f>IF(B1381="","",IFERROR(INDEX(Items!$B$5:$B$304,MATCH(B1381,Items!$A$5:$A$304,0)),"Unknown code"))</f>
        <v/>
      </c>
      <c r="D1381" s="15" t="n"/>
      <c r="E1381" s="16" t="n"/>
      <c r="F1381" s="18">
        <f>IF(OR(D1381="",E1381=""),"",D1381*E1381)</f>
        <v/>
      </c>
      <c r="G1381" s="15" t="n"/>
    </row>
    <row r="1382">
      <c r="A1382" s="19" t="n"/>
      <c r="B1382" s="15" t="n"/>
      <c r="C1382">
        <f>IF(B1382="","",IFERROR(INDEX(Items!$B$5:$B$304,MATCH(B1382,Items!$A$5:$A$304,0)),"Unknown code"))</f>
        <v/>
      </c>
      <c r="D1382" s="15" t="n"/>
      <c r="E1382" s="16" t="n"/>
      <c r="F1382" s="18">
        <f>IF(OR(D1382="",E1382=""),"",D1382*E1382)</f>
        <v/>
      </c>
      <c r="G1382" s="15" t="n"/>
    </row>
    <row r="1383">
      <c r="A1383" s="19" t="n"/>
      <c r="B1383" s="15" t="n"/>
      <c r="C1383">
        <f>IF(B1383="","",IFERROR(INDEX(Items!$B$5:$B$304,MATCH(B1383,Items!$A$5:$A$304,0)),"Unknown code"))</f>
        <v/>
      </c>
      <c r="D1383" s="15" t="n"/>
      <c r="E1383" s="16" t="n"/>
      <c r="F1383" s="18">
        <f>IF(OR(D1383="",E1383=""),"",D1383*E1383)</f>
        <v/>
      </c>
      <c r="G1383" s="15" t="n"/>
    </row>
    <row r="1384">
      <c r="A1384" s="19" t="n"/>
      <c r="B1384" s="15" t="n"/>
      <c r="C1384">
        <f>IF(B1384="","",IFERROR(INDEX(Items!$B$5:$B$304,MATCH(B1384,Items!$A$5:$A$304,0)),"Unknown code"))</f>
        <v/>
      </c>
      <c r="D1384" s="15" t="n"/>
      <c r="E1384" s="16" t="n"/>
      <c r="F1384" s="18">
        <f>IF(OR(D1384="",E1384=""),"",D1384*E1384)</f>
        <v/>
      </c>
      <c r="G1384" s="15" t="n"/>
    </row>
    <row r="1385">
      <c r="A1385" s="19" t="n"/>
      <c r="B1385" s="15" t="n"/>
      <c r="C1385">
        <f>IF(B1385="","",IFERROR(INDEX(Items!$B$5:$B$304,MATCH(B1385,Items!$A$5:$A$304,0)),"Unknown code"))</f>
        <v/>
      </c>
      <c r="D1385" s="15" t="n"/>
      <c r="E1385" s="16" t="n"/>
      <c r="F1385" s="18">
        <f>IF(OR(D1385="",E1385=""),"",D1385*E1385)</f>
        <v/>
      </c>
      <c r="G1385" s="15" t="n"/>
    </row>
    <row r="1386">
      <c r="A1386" s="19" t="n"/>
      <c r="B1386" s="15" t="n"/>
      <c r="C1386">
        <f>IF(B1386="","",IFERROR(INDEX(Items!$B$5:$B$304,MATCH(B1386,Items!$A$5:$A$304,0)),"Unknown code"))</f>
        <v/>
      </c>
      <c r="D1386" s="15" t="n"/>
      <c r="E1386" s="16" t="n"/>
      <c r="F1386" s="18">
        <f>IF(OR(D1386="",E1386=""),"",D1386*E1386)</f>
        <v/>
      </c>
      <c r="G1386" s="15" t="n"/>
    </row>
    <row r="1387">
      <c r="A1387" s="19" t="n"/>
      <c r="B1387" s="15" t="n"/>
      <c r="C1387">
        <f>IF(B1387="","",IFERROR(INDEX(Items!$B$5:$B$304,MATCH(B1387,Items!$A$5:$A$304,0)),"Unknown code"))</f>
        <v/>
      </c>
      <c r="D1387" s="15" t="n"/>
      <c r="E1387" s="16" t="n"/>
      <c r="F1387" s="18">
        <f>IF(OR(D1387="",E1387=""),"",D1387*E1387)</f>
        <v/>
      </c>
      <c r="G1387" s="15" t="n"/>
    </row>
    <row r="1388">
      <c r="A1388" s="19" t="n"/>
      <c r="B1388" s="15" t="n"/>
      <c r="C1388">
        <f>IF(B1388="","",IFERROR(INDEX(Items!$B$5:$B$304,MATCH(B1388,Items!$A$5:$A$304,0)),"Unknown code"))</f>
        <v/>
      </c>
      <c r="D1388" s="15" t="n"/>
      <c r="E1388" s="16" t="n"/>
      <c r="F1388" s="18">
        <f>IF(OR(D1388="",E1388=""),"",D1388*E1388)</f>
        <v/>
      </c>
      <c r="G1388" s="15" t="n"/>
    </row>
    <row r="1389">
      <c r="A1389" s="19" t="n"/>
      <c r="B1389" s="15" t="n"/>
      <c r="C1389">
        <f>IF(B1389="","",IFERROR(INDEX(Items!$B$5:$B$304,MATCH(B1389,Items!$A$5:$A$304,0)),"Unknown code"))</f>
        <v/>
      </c>
      <c r="D1389" s="15" t="n"/>
      <c r="E1389" s="16" t="n"/>
      <c r="F1389" s="18">
        <f>IF(OR(D1389="",E1389=""),"",D1389*E1389)</f>
        <v/>
      </c>
      <c r="G1389" s="15" t="n"/>
    </row>
    <row r="1390">
      <c r="A1390" s="19" t="n"/>
      <c r="B1390" s="15" t="n"/>
      <c r="C1390">
        <f>IF(B1390="","",IFERROR(INDEX(Items!$B$5:$B$304,MATCH(B1390,Items!$A$5:$A$304,0)),"Unknown code"))</f>
        <v/>
      </c>
      <c r="D1390" s="15" t="n"/>
      <c r="E1390" s="16" t="n"/>
      <c r="F1390" s="18">
        <f>IF(OR(D1390="",E1390=""),"",D1390*E1390)</f>
        <v/>
      </c>
      <c r="G1390" s="15" t="n"/>
    </row>
    <row r="1391">
      <c r="A1391" s="19" t="n"/>
      <c r="B1391" s="15" t="n"/>
      <c r="C1391">
        <f>IF(B1391="","",IFERROR(INDEX(Items!$B$5:$B$304,MATCH(B1391,Items!$A$5:$A$304,0)),"Unknown code"))</f>
        <v/>
      </c>
      <c r="D1391" s="15" t="n"/>
      <c r="E1391" s="16" t="n"/>
      <c r="F1391" s="18">
        <f>IF(OR(D1391="",E1391=""),"",D1391*E1391)</f>
        <v/>
      </c>
      <c r="G1391" s="15" t="n"/>
    </row>
    <row r="1392">
      <c r="A1392" s="19" t="n"/>
      <c r="B1392" s="15" t="n"/>
      <c r="C1392">
        <f>IF(B1392="","",IFERROR(INDEX(Items!$B$5:$B$304,MATCH(B1392,Items!$A$5:$A$304,0)),"Unknown code"))</f>
        <v/>
      </c>
      <c r="D1392" s="15" t="n"/>
      <c r="E1392" s="16" t="n"/>
      <c r="F1392" s="18">
        <f>IF(OR(D1392="",E1392=""),"",D1392*E1392)</f>
        <v/>
      </c>
      <c r="G1392" s="15" t="n"/>
    </row>
    <row r="1393">
      <c r="A1393" s="19" t="n"/>
      <c r="B1393" s="15" t="n"/>
      <c r="C1393">
        <f>IF(B1393="","",IFERROR(INDEX(Items!$B$5:$B$304,MATCH(B1393,Items!$A$5:$A$304,0)),"Unknown code"))</f>
        <v/>
      </c>
      <c r="D1393" s="15" t="n"/>
      <c r="E1393" s="16" t="n"/>
      <c r="F1393" s="18">
        <f>IF(OR(D1393="",E1393=""),"",D1393*E1393)</f>
        <v/>
      </c>
      <c r="G1393" s="15" t="n"/>
    </row>
    <row r="1394">
      <c r="A1394" s="19" t="n"/>
      <c r="B1394" s="15" t="n"/>
      <c r="C1394">
        <f>IF(B1394="","",IFERROR(INDEX(Items!$B$5:$B$304,MATCH(B1394,Items!$A$5:$A$304,0)),"Unknown code"))</f>
        <v/>
      </c>
      <c r="D1394" s="15" t="n"/>
      <c r="E1394" s="16" t="n"/>
      <c r="F1394" s="18">
        <f>IF(OR(D1394="",E1394=""),"",D1394*E1394)</f>
        <v/>
      </c>
      <c r="G1394" s="15" t="n"/>
    </row>
    <row r="1395">
      <c r="A1395" s="19" t="n"/>
      <c r="B1395" s="15" t="n"/>
      <c r="C1395">
        <f>IF(B1395="","",IFERROR(INDEX(Items!$B$5:$B$304,MATCH(B1395,Items!$A$5:$A$304,0)),"Unknown code"))</f>
        <v/>
      </c>
      <c r="D1395" s="15" t="n"/>
      <c r="E1395" s="16" t="n"/>
      <c r="F1395" s="18">
        <f>IF(OR(D1395="",E1395=""),"",D1395*E1395)</f>
        <v/>
      </c>
      <c r="G1395" s="15" t="n"/>
    </row>
    <row r="1396">
      <c r="A1396" s="19" t="n"/>
      <c r="B1396" s="15" t="n"/>
      <c r="C1396">
        <f>IF(B1396="","",IFERROR(INDEX(Items!$B$5:$B$304,MATCH(B1396,Items!$A$5:$A$304,0)),"Unknown code"))</f>
        <v/>
      </c>
      <c r="D1396" s="15" t="n"/>
      <c r="E1396" s="16" t="n"/>
      <c r="F1396" s="18">
        <f>IF(OR(D1396="",E1396=""),"",D1396*E1396)</f>
        <v/>
      </c>
      <c r="G1396" s="15" t="n"/>
    </row>
    <row r="1397">
      <c r="A1397" s="19" t="n"/>
      <c r="B1397" s="15" t="n"/>
      <c r="C1397">
        <f>IF(B1397="","",IFERROR(INDEX(Items!$B$5:$B$304,MATCH(B1397,Items!$A$5:$A$304,0)),"Unknown code"))</f>
        <v/>
      </c>
      <c r="D1397" s="15" t="n"/>
      <c r="E1397" s="16" t="n"/>
      <c r="F1397" s="18">
        <f>IF(OR(D1397="",E1397=""),"",D1397*E1397)</f>
        <v/>
      </c>
      <c r="G1397" s="15" t="n"/>
    </row>
    <row r="1398">
      <c r="A1398" s="19" t="n"/>
      <c r="B1398" s="15" t="n"/>
      <c r="C1398">
        <f>IF(B1398="","",IFERROR(INDEX(Items!$B$5:$B$304,MATCH(B1398,Items!$A$5:$A$304,0)),"Unknown code"))</f>
        <v/>
      </c>
      <c r="D1398" s="15" t="n"/>
      <c r="E1398" s="16" t="n"/>
      <c r="F1398" s="18">
        <f>IF(OR(D1398="",E1398=""),"",D1398*E1398)</f>
        <v/>
      </c>
      <c r="G1398" s="15" t="n"/>
    </row>
    <row r="1399">
      <c r="A1399" s="19" t="n"/>
      <c r="B1399" s="15" t="n"/>
      <c r="C1399">
        <f>IF(B1399="","",IFERROR(INDEX(Items!$B$5:$B$304,MATCH(B1399,Items!$A$5:$A$304,0)),"Unknown code"))</f>
        <v/>
      </c>
      <c r="D1399" s="15" t="n"/>
      <c r="E1399" s="16" t="n"/>
      <c r="F1399" s="18">
        <f>IF(OR(D1399="",E1399=""),"",D1399*E1399)</f>
        <v/>
      </c>
      <c r="G1399" s="15" t="n"/>
    </row>
    <row r="1400">
      <c r="A1400" s="19" t="n"/>
      <c r="B1400" s="15" t="n"/>
      <c r="C1400">
        <f>IF(B1400="","",IFERROR(INDEX(Items!$B$5:$B$304,MATCH(B1400,Items!$A$5:$A$304,0)),"Unknown code"))</f>
        <v/>
      </c>
      <c r="D1400" s="15" t="n"/>
      <c r="E1400" s="16" t="n"/>
      <c r="F1400" s="18">
        <f>IF(OR(D1400="",E1400=""),"",D1400*E1400)</f>
        <v/>
      </c>
      <c r="G1400" s="15" t="n"/>
    </row>
    <row r="1401">
      <c r="A1401" s="19" t="n"/>
      <c r="B1401" s="15" t="n"/>
      <c r="C1401">
        <f>IF(B1401="","",IFERROR(INDEX(Items!$B$5:$B$304,MATCH(B1401,Items!$A$5:$A$304,0)),"Unknown code"))</f>
        <v/>
      </c>
      <c r="D1401" s="15" t="n"/>
      <c r="E1401" s="16" t="n"/>
      <c r="F1401" s="18">
        <f>IF(OR(D1401="",E1401=""),"",D1401*E1401)</f>
        <v/>
      </c>
      <c r="G1401" s="15" t="n"/>
    </row>
    <row r="1402">
      <c r="A1402" s="19" t="n"/>
      <c r="B1402" s="15" t="n"/>
      <c r="C1402">
        <f>IF(B1402="","",IFERROR(INDEX(Items!$B$5:$B$304,MATCH(B1402,Items!$A$5:$A$304,0)),"Unknown code"))</f>
        <v/>
      </c>
      <c r="D1402" s="15" t="n"/>
      <c r="E1402" s="16" t="n"/>
      <c r="F1402" s="18">
        <f>IF(OR(D1402="",E1402=""),"",D1402*E1402)</f>
        <v/>
      </c>
      <c r="G1402" s="15" t="n"/>
    </row>
    <row r="1403">
      <c r="A1403" s="19" t="n"/>
      <c r="B1403" s="15" t="n"/>
      <c r="C1403">
        <f>IF(B1403="","",IFERROR(INDEX(Items!$B$5:$B$304,MATCH(B1403,Items!$A$5:$A$304,0)),"Unknown code"))</f>
        <v/>
      </c>
      <c r="D1403" s="15" t="n"/>
      <c r="E1403" s="16" t="n"/>
      <c r="F1403" s="18">
        <f>IF(OR(D1403="",E1403=""),"",D1403*E1403)</f>
        <v/>
      </c>
      <c r="G1403" s="15" t="n"/>
    </row>
    <row r="1404">
      <c r="A1404" s="19" t="n"/>
      <c r="B1404" s="15" t="n"/>
      <c r="C1404">
        <f>IF(B1404="","",IFERROR(INDEX(Items!$B$5:$B$304,MATCH(B1404,Items!$A$5:$A$304,0)),"Unknown code"))</f>
        <v/>
      </c>
      <c r="D1404" s="15" t="n"/>
      <c r="E1404" s="16" t="n"/>
      <c r="F1404" s="18">
        <f>IF(OR(D1404="",E1404=""),"",D1404*E1404)</f>
        <v/>
      </c>
      <c r="G1404" s="15" t="n"/>
    </row>
    <row r="1405">
      <c r="A1405" s="19" t="n"/>
      <c r="B1405" s="15" t="n"/>
      <c r="C1405">
        <f>IF(B1405="","",IFERROR(INDEX(Items!$B$5:$B$304,MATCH(B1405,Items!$A$5:$A$304,0)),"Unknown code"))</f>
        <v/>
      </c>
      <c r="D1405" s="15" t="n"/>
      <c r="E1405" s="16" t="n"/>
      <c r="F1405" s="18">
        <f>IF(OR(D1405="",E1405=""),"",D1405*E1405)</f>
        <v/>
      </c>
      <c r="G1405" s="15" t="n"/>
    </row>
    <row r="1406">
      <c r="A1406" s="19" t="n"/>
      <c r="B1406" s="15" t="n"/>
      <c r="C1406">
        <f>IF(B1406="","",IFERROR(INDEX(Items!$B$5:$B$304,MATCH(B1406,Items!$A$5:$A$304,0)),"Unknown code"))</f>
        <v/>
      </c>
      <c r="D1406" s="15" t="n"/>
      <c r="E1406" s="16" t="n"/>
      <c r="F1406" s="18">
        <f>IF(OR(D1406="",E1406=""),"",D1406*E1406)</f>
        <v/>
      </c>
      <c r="G1406" s="15" t="n"/>
    </row>
    <row r="1407">
      <c r="A1407" s="19" t="n"/>
      <c r="B1407" s="15" t="n"/>
      <c r="C1407">
        <f>IF(B1407="","",IFERROR(INDEX(Items!$B$5:$B$304,MATCH(B1407,Items!$A$5:$A$304,0)),"Unknown code"))</f>
        <v/>
      </c>
      <c r="D1407" s="15" t="n"/>
      <c r="E1407" s="16" t="n"/>
      <c r="F1407" s="18">
        <f>IF(OR(D1407="",E1407=""),"",D1407*E1407)</f>
        <v/>
      </c>
      <c r="G1407" s="15" t="n"/>
    </row>
    <row r="1408">
      <c r="A1408" s="19" t="n"/>
      <c r="B1408" s="15" t="n"/>
      <c r="C1408">
        <f>IF(B1408="","",IFERROR(INDEX(Items!$B$5:$B$304,MATCH(B1408,Items!$A$5:$A$304,0)),"Unknown code"))</f>
        <v/>
      </c>
      <c r="D1408" s="15" t="n"/>
      <c r="E1408" s="16" t="n"/>
      <c r="F1408" s="18">
        <f>IF(OR(D1408="",E1408=""),"",D1408*E1408)</f>
        <v/>
      </c>
      <c r="G1408" s="15" t="n"/>
    </row>
    <row r="1409">
      <c r="A1409" s="19" t="n"/>
      <c r="B1409" s="15" t="n"/>
      <c r="C1409">
        <f>IF(B1409="","",IFERROR(INDEX(Items!$B$5:$B$304,MATCH(B1409,Items!$A$5:$A$304,0)),"Unknown code"))</f>
        <v/>
      </c>
      <c r="D1409" s="15" t="n"/>
      <c r="E1409" s="16" t="n"/>
      <c r="F1409" s="18">
        <f>IF(OR(D1409="",E1409=""),"",D1409*E1409)</f>
        <v/>
      </c>
      <c r="G1409" s="15" t="n"/>
    </row>
    <row r="1410">
      <c r="A1410" s="19" t="n"/>
      <c r="B1410" s="15" t="n"/>
      <c r="C1410">
        <f>IF(B1410="","",IFERROR(INDEX(Items!$B$5:$B$304,MATCH(B1410,Items!$A$5:$A$304,0)),"Unknown code"))</f>
        <v/>
      </c>
      <c r="D1410" s="15" t="n"/>
      <c r="E1410" s="16" t="n"/>
      <c r="F1410" s="18">
        <f>IF(OR(D1410="",E1410=""),"",D1410*E1410)</f>
        <v/>
      </c>
      <c r="G1410" s="15" t="n"/>
    </row>
    <row r="1411">
      <c r="A1411" s="19" t="n"/>
      <c r="B1411" s="15" t="n"/>
      <c r="C1411">
        <f>IF(B1411="","",IFERROR(INDEX(Items!$B$5:$B$304,MATCH(B1411,Items!$A$5:$A$304,0)),"Unknown code"))</f>
        <v/>
      </c>
      <c r="D1411" s="15" t="n"/>
      <c r="E1411" s="16" t="n"/>
      <c r="F1411" s="18">
        <f>IF(OR(D1411="",E1411=""),"",D1411*E1411)</f>
        <v/>
      </c>
      <c r="G1411" s="15" t="n"/>
    </row>
    <row r="1412">
      <c r="A1412" s="19" t="n"/>
      <c r="B1412" s="15" t="n"/>
      <c r="C1412">
        <f>IF(B1412="","",IFERROR(INDEX(Items!$B$5:$B$304,MATCH(B1412,Items!$A$5:$A$304,0)),"Unknown code"))</f>
        <v/>
      </c>
      <c r="D1412" s="15" t="n"/>
      <c r="E1412" s="16" t="n"/>
      <c r="F1412" s="18">
        <f>IF(OR(D1412="",E1412=""),"",D1412*E1412)</f>
        <v/>
      </c>
      <c r="G1412" s="15" t="n"/>
    </row>
    <row r="1413">
      <c r="A1413" s="19" t="n"/>
      <c r="B1413" s="15" t="n"/>
      <c r="C1413">
        <f>IF(B1413="","",IFERROR(INDEX(Items!$B$5:$B$304,MATCH(B1413,Items!$A$5:$A$304,0)),"Unknown code"))</f>
        <v/>
      </c>
      <c r="D1413" s="15" t="n"/>
      <c r="E1413" s="16" t="n"/>
      <c r="F1413" s="18">
        <f>IF(OR(D1413="",E1413=""),"",D1413*E1413)</f>
        <v/>
      </c>
      <c r="G1413" s="15" t="n"/>
    </row>
    <row r="1414">
      <c r="A1414" s="19" t="n"/>
      <c r="B1414" s="15" t="n"/>
      <c r="C1414">
        <f>IF(B1414="","",IFERROR(INDEX(Items!$B$5:$B$304,MATCH(B1414,Items!$A$5:$A$304,0)),"Unknown code"))</f>
        <v/>
      </c>
      <c r="D1414" s="15" t="n"/>
      <c r="E1414" s="16" t="n"/>
      <c r="F1414" s="18">
        <f>IF(OR(D1414="",E1414=""),"",D1414*E1414)</f>
        <v/>
      </c>
      <c r="G1414" s="15" t="n"/>
    </row>
    <row r="1415">
      <c r="A1415" s="19" t="n"/>
      <c r="B1415" s="15" t="n"/>
      <c r="C1415">
        <f>IF(B1415="","",IFERROR(INDEX(Items!$B$5:$B$304,MATCH(B1415,Items!$A$5:$A$304,0)),"Unknown code"))</f>
        <v/>
      </c>
      <c r="D1415" s="15" t="n"/>
      <c r="E1415" s="16" t="n"/>
      <c r="F1415" s="18">
        <f>IF(OR(D1415="",E1415=""),"",D1415*E1415)</f>
        <v/>
      </c>
      <c r="G1415" s="15" t="n"/>
    </row>
    <row r="1416">
      <c r="A1416" s="19" t="n"/>
      <c r="B1416" s="15" t="n"/>
      <c r="C1416">
        <f>IF(B1416="","",IFERROR(INDEX(Items!$B$5:$B$304,MATCH(B1416,Items!$A$5:$A$304,0)),"Unknown code"))</f>
        <v/>
      </c>
      <c r="D1416" s="15" t="n"/>
      <c r="E1416" s="16" t="n"/>
      <c r="F1416" s="18">
        <f>IF(OR(D1416="",E1416=""),"",D1416*E1416)</f>
        <v/>
      </c>
      <c r="G1416" s="15" t="n"/>
    </row>
    <row r="1417">
      <c r="A1417" s="19" t="n"/>
      <c r="B1417" s="15" t="n"/>
      <c r="C1417">
        <f>IF(B1417="","",IFERROR(INDEX(Items!$B$5:$B$304,MATCH(B1417,Items!$A$5:$A$304,0)),"Unknown code"))</f>
        <v/>
      </c>
      <c r="D1417" s="15" t="n"/>
      <c r="E1417" s="16" t="n"/>
      <c r="F1417" s="18">
        <f>IF(OR(D1417="",E1417=""),"",D1417*E1417)</f>
        <v/>
      </c>
      <c r="G1417" s="15" t="n"/>
    </row>
    <row r="1418">
      <c r="A1418" s="19" t="n"/>
      <c r="B1418" s="15" t="n"/>
      <c r="C1418">
        <f>IF(B1418="","",IFERROR(INDEX(Items!$B$5:$B$304,MATCH(B1418,Items!$A$5:$A$304,0)),"Unknown code"))</f>
        <v/>
      </c>
      <c r="D1418" s="15" t="n"/>
      <c r="E1418" s="16" t="n"/>
      <c r="F1418" s="18">
        <f>IF(OR(D1418="",E1418=""),"",D1418*E1418)</f>
        <v/>
      </c>
      <c r="G1418" s="15" t="n"/>
    </row>
    <row r="1419">
      <c r="A1419" s="19" t="n"/>
      <c r="B1419" s="15" t="n"/>
      <c r="C1419">
        <f>IF(B1419="","",IFERROR(INDEX(Items!$B$5:$B$304,MATCH(B1419,Items!$A$5:$A$304,0)),"Unknown code"))</f>
        <v/>
      </c>
      <c r="D1419" s="15" t="n"/>
      <c r="E1419" s="16" t="n"/>
      <c r="F1419" s="18">
        <f>IF(OR(D1419="",E1419=""),"",D1419*E1419)</f>
        <v/>
      </c>
      <c r="G1419" s="15" t="n"/>
    </row>
    <row r="1420">
      <c r="A1420" s="19" t="n"/>
      <c r="B1420" s="15" t="n"/>
      <c r="C1420">
        <f>IF(B1420="","",IFERROR(INDEX(Items!$B$5:$B$304,MATCH(B1420,Items!$A$5:$A$304,0)),"Unknown code"))</f>
        <v/>
      </c>
      <c r="D1420" s="15" t="n"/>
      <c r="E1420" s="16" t="n"/>
      <c r="F1420" s="18">
        <f>IF(OR(D1420="",E1420=""),"",D1420*E1420)</f>
        <v/>
      </c>
      <c r="G1420" s="15" t="n"/>
    </row>
    <row r="1421">
      <c r="A1421" s="19" t="n"/>
      <c r="B1421" s="15" t="n"/>
      <c r="C1421">
        <f>IF(B1421="","",IFERROR(INDEX(Items!$B$5:$B$304,MATCH(B1421,Items!$A$5:$A$304,0)),"Unknown code"))</f>
        <v/>
      </c>
      <c r="D1421" s="15" t="n"/>
      <c r="E1421" s="16" t="n"/>
      <c r="F1421" s="18">
        <f>IF(OR(D1421="",E1421=""),"",D1421*E1421)</f>
        <v/>
      </c>
      <c r="G1421" s="15" t="n"/>
    </row>
    <row r="1422">
      <c r="A1422" s="19" t="n"/>
      <c r="B1422" s="15" t="n"/>
      <c r="C1422">
        <f>IF(B1422="","",IFERROR(INDEX(Items!$B$5:$B$304,MATCH(B1422,Items!$A$5:$A$304,0)),"Unknown code"))</f>
        <v/>
      </c>
      <c r="D1422" s="15" t="n"/>
      <c r="E1422" s="16" t="n"/>
      <c r="F1422" s="18">
        <f>IF(OR(D1422="",E1422=""),"",D1422*E1422)</f>
        <v/>
      </c>
      <c r="G1422" s="15" t="n"/>
    </row>
    <row r="1423">
      <c r="A1423" s="19" t="n"/>
      <c r="B1423" s="15" t="n"/>
      <c r="C1423">
        <f>IF(B1423="","",IFERROR(INDEX(Items!$B$5:$B$304,MATCH(B1423,Items!$A$5:$A$304,0)),"Unknown code"))</f>
        <v/>
      </c>
      <c r="D1423" s="15" t="n"/>
      <c r="E1423" s="16" t="n"/>
      <c r="F1423" s="18">
        <f>IF(OR(D1423="",E1423=""),"",D1423*E1423)</f>
        <v/>
      </c>
      <c r="G1423" s="15" t="n"/>
    </row>
    <row r="1424">
      <c r="A1424" s="19" t="n"/>
      <c r="B1424" s="15" t="n"/>
      <c r="C1424">
        <f>IF(B1424="","",IFERROR(INDEX(Items!$B$5:$B$304,MATCH(B1424,Items!$A$5:$A$304,0)),"Unknown code"))</f>
        <v/>
      </c>
      <c r="D1424" s="15" t="n"/>
      <c r="E1424" s="16" t="n"/>
      <c r="F1424" s="18">
        <f>IF(OR(D1424="",E1424=""),"",D1424*E1424)</f>
        <v/>
      </c>
      <c r="G1424" s="15" t="n"/>
    </row>
    <row r="1425">
      <c r="A1425" s="19" t="n"/>
      <c r="B1425" s="15" t="n"/>
      <c r="C1425">
        <f>IF(B1425="","",IFERROR(INDEX(Items!$B$5:$B$304,MATCH(B1425,Items!$A$5:$A$304,0)),"Unknown code"))</f>
        <v/>
      </c>
      <c r="D1425" s="15" t="n"/>
      <c r="E1425" s="16" t="n"/>
      <c r="F1425" s="18">
        <f>IF(OR(D1425="",E1425=""),"",D1425*E1425)</f>
        <v/>
      </c>
      <c r="G1425" s="15" t="n"/>
    </row>
    <row r="1426">
      <c r="A1426" s="19" t="n"/>
      <c r="B1426" s="15" t="n"/>
      <c r="C1426">
        <f>IF(B1426="","",IFERROR(INDEX(Items!$B$5:$B$304,MATCH(B1426,Items!$A$5:$A$304,0)),"Unknown code"))</f>
        <v/>
      </c>
      <c r="D1426" s="15" t="n"/>
      <c r="E1426" s="16" t="n"/>
      <c r="F1426" s="18">
        <f>IF(OR(D1426="",E1426=""),"",D1426*E1426)</f>
        <v/>
      </c>
      <c r="G1426" s="15" t="n"/>
    </row>
    <row r="1427">
      <c r="A1427" s="19" t="n"/>
      <c r="B1427" s="15" t="n"/>
      <c r="C1427">
        <f>IF(B1427="","",IFERROR(INDEX(Items!$B$5:$B$304,MATCH(B1427,Items!$A$5:$A$304,0)),"Unknown code"))</f>
        <v/>
      </c>
      <c r="D1427" s="15" t="n"/>
      <c r="E1427" s="16" t="n"/>
      <c r="F1427" s="18">
        <f>IF(OR(D1427="",E1427=""),"",D1427*E1427)</f>
        <v/>
      </c>
      <c r="G1427" s="15" t="n"/>
    </row>
    <row r="1428">
      <c r="A1428" s="19" t="n"/>
      <c r="B1428" s="15" t="n"/>
      <c r="C1428">
        <f>IF(B1428="","",IFERROR(INDEX(Items!$B$5:$B$304,MATCH(B1428,Items!$A$5:$A$304,0)),"Unknown code"))</f>
        <v/>
      </c>
      <c r="D1428" s="15" t="n"/>
      <c r="E1428" s="16" t="n"/>
      <c r="F1428" s="18">
        <f>IF(OR(D1428="",E1428=""),"",D1428*E1428)</f>
        <v/>
      </c>
      <c r="G1428" s="15" t="n"/>
    </row>
    <row r="1429">
      <c r="A1429" s="19" t="n"/>
      <c r="B1429" s="15" t="n"/>
      <c r="C1429">
        <f>IF(B1429="","",IFERROR(INDEX(Items!$B$5:$B$304,MATCH(B1429,Items!$A$5:$A$304,0)),"Unknown code"))</f>
        <v/>
      </c>
      <c r="D1429" s="15" t="n"/>
      <c r="E1429" s="16" t="n"/>
      <c r="F1429" s="18">
        <f>IF(OR(D1429="",E1429=""),"",D1429*E1429)</f>
        <v/>
      </c>
      <c r="G1429" s="15" t="n"/>
    </row>
    <row r="1430">
      <c r="A1430" s="19" t="n"/>
      <c r="B1430" s="15" t="n"/>
      <c r="C1430">
        <f>IF(B1430="","",IFERROR(INDEX(Items!$B$5:$B$304,MATCH(B1430,Items!$A$5:$A$304,0)),"Unknown code"))</f>
        <v/>
      </c>
      <c r="D1430" s="15" t="n"/>
      <c r="E1430" s="16" t="n"/>
      <c r="F1430" s="18">
        <f>IF(OR(D1430="",E1430=""),"",D1430*E1430)</f>
        <v/>
      </c>
      <c r="G1430" s="15" t="n"/>
    </row>
    <row r="1431">
      <c r="A1431" s="19" t="n"/>
      <c r="B1431" s="15" t="n"/>
      <c r="C1431">
        <f>IF(B1431="","",IFERROR(INDEX(Items!$B$5:$B$304,MATCH(B1431,Items!$A$5:$A$304,0)),"Unknown code"))</f>
        <v/>
      </c>
      <c r="D1431" s="15" t="n"/>
      <c r="E1431" s="16" t="n"/>
      <c r="F1431" s="18">
        <f>IF(OR(D1431="",E1431=""),"",D1431*E1431)</f>
        <v/>
      </c>
      <c r="G1431" s="15" t="n"/>
    </row>
    <row r="1432">
      <c r="A1432" s="19" t="n"/>
      <c r="B1432" s="15" t="n"/>
      <c r="C1432">
        <f>IF(B1432="","",IFERROR(INDEX(Items!$B$5:$B$304,MATCH(B1432,Items!$A$5:$A$304,0)),"Unknown code"))</f>
        <v/>
      </c>
      <c r="D1432" s="15" t="n"/>
      <c r="E1432" s="16" t="n"/>
      <c r="F1432" s="18">
        <f>IF(OR(D1432="",E1432=""),"",D1432*E1432)</f>
        <v/>
      </c>
      <c r="G1432" s="15" t="n"/>
    </row>
    <row r="1433">
      <c r="A1433" s="19" t="n"/>
      <c r="B1433" s="15" t="n"/>
      <c r="C1433">
        <f>IF(B1433="","",IFERROR(INDEX(Items!$B$5:$B$304,MATCH(B1433,Items!$A$5:$A$304,0)),"Unknown code"))</f>
        <v/>
      </c>
      <c r="D1433" s="15" t="n"/>
      <c r="E1433" s="16" t="n"/>
      <c r="F1433" s="18">
        <f>IF(OR(D1433="",E1433=""),"",D1433*E1433)</f>
        <v/>
      </c>
      <c r="G1433" s="15" t="n"/>
    </row>
    <row r="1434">
      <c r="A1434" s="19" t="n"/>
      <c r="B1434" s="15" t="n"/>
      <c r="C1434">
        <f>IF(B1434="","",IFERROR(INDEX(Items!$B$5:$B$304,MATCH(B1434,Items!$A$5:$A$304,0)),"Unknown code"))</f>
        <v/>
      </c>
      <c r="D1434" s="15" t="n"/>
      <c r="E1434" s="16" t="n"/>
      <c r="F1434" s="18">
        <f>IF(OR(D1434="",E1434=""),"",D1434*E1434)</f>
        <v/>
      </c>
      <c r="G1434" s="15" t="n"/>
    </row>
    <row r="1435">
      <c r="A1435" s="19" t="n"/>
      <c r="B1435" s="15" t="n"/>
      <c r="C1435">
        <f>IF(B1435="","",IFERROR(INDEX(Items!$B$5:$B$304,MATCH(B1435,Items!$A$5:$A$304,0)),"Unknown code"))</f>
        <v/>
      </c>
      <c r="D1435" s="15" t="n"/>
      <c r="E1435" s="16" t="n"/>
      <c r="F1435" s="18">
        <f>IF(OR(D1435="",E1435=""),"",D1435*E1435)</f>
        <v/>
      </c>
      <c r="G1435" s="15" t="n"/>
    </row>
    <row r="1436">
      <c r="A1436" s="19" t="n"/>
      <c r="B1436" s="15" t="n"/>
      <c r="C1436">
        <f>IF(B1436="","",IFERROR(INDEX(Items!$B$5:$B$304,MATCH(B1436,Items!$A$5:$A$304,0)),"Unknown code"))</f>
        <v/>
      </c>
      <c r="D1436" s="15" t="n"/>
      <c r="E1436" s="16" t="n"/>
      <c r="F1436" s="18">
        <f>IF(OR(D1436="",E1436=""),"",D1436*E1436)</f>
        <v/>
      </c>
      <c r="G1436" s="15" t="n"/>
    </row>
    <row r="1437">
      <c r="A1437" s="19" t="n"/>
      <c r="B1437" s="15" t="n"/>
      <c r="C1437">
        <f>IF(B1437="","",IFERROR(INDEX(Items!$B$5:$B$304,MATCH(B1437,Items!$A$5:$A$304,0)),"Unknown code"))</f>
        <v/>
      </c>
      <c r="D1437" s="15" t="n"/>
      <c r="E1437" s="16" t="n"/>
      <c r="F1437" s="18">
        <f>IF(OR(D1437="",E1437=""),"",D1437*E1437)</f>
        <v/>
      </c>
      <c r="G1437" s="15" t="n"/>
    </row>
    <row r="1438">
      <c r="A1438" s="19" t="n"/>
      <c r="B1438" s="15" t="n"/>
      <c r="C1438">
        <f>IF(B1438="","",IFERROR(INDEX(Items!$B$5:$B$304,MATCH(B1438,Items!$A$5:$A$304,0)),"Unknown code"))</f>
        <v/>
      </c>
      <c r="D1438" s="15" t="n"/>
      <c r="E1438" s="16" t="n"/>
      <c r="F1438" s="18">
        <f>IF(OR(D1438="",E1438=""),"",D1438*E1438)</f>
        <v/>
      </c>
      <c r="G1438" s="15" t="n"/>
    </row>
    <row r="1439">
      <c r="A1439" s="19" t="n"/>
      <c r="B1439" s="15" t="n"/>
      <c r="C1439">
        <f>IF(B1439="","",IFERROR(INDEX(Items!$B$5:$B$304,MATCH(B1439,Items!$A$5:$A$304,0)),"Unknown code"))</f>
        <v/>
      </c>
      <c r="D1439" s="15" t="n"/>
      <c r="E1439" s="16" t="n"/>
      <c r="F1439" s="18">
        <f>IF(OR(D1439="",E1439=""),"",D1439*E1439)</f>
        <v/>
      </c>
      <c r="G1439" s="15" t="n"/>
    </row>
    <row r="1440">
      <c r="A1440" s="19" t="n"/>
      <c r="B1440" s="15" t="n"/>
      <c r="C1440">
        <f>IF(B1440="","",IFERROR(INDEX(Items!$B$5:$B$304,MATCH(B1440,Items!$A$5:$A$304,0)),"Unknown code"))</f>
        <v/>
      </c>
      <c r="D1440" s="15" t="n"/>
      <c r="E1440" s="16" t="n"/>
      <c r="F1440" s="18">
        <f>IF(OR(D1440="",E1440=""),"",D1440*E1440)</f>
        <v/>
      </c>
      <c r="G1440" s="15" t="n"/>
    </row>
    <row r="1441">
      <c r="A1441" s="19" t="n"/>
      <c r="B1441" s="15" t="n"/>
      <c r="C1441">
        <f>IF(B1441="","",IFERROR(INDEX(Items!$B$5:$B$304,MATCH(B1441,Items!$A$5:$A$304,0)),"Unknown code"))</f>
        <v/>
      </c>
      <c r="D1441" s="15" t="n"/>
      <c r="E1441" s="16" t="n"/>
      <c r="F1441" s="18">
        <f>IF(OR(D1441="",E1441=""),"",D1441*E1441)</f>
        <v/>
      </c>
      <c r="G1441" s="15" t="n"/>
    </row>
    <row r="1442">
      <c r="A1442" s="19" t="n"/>
      <c r="B1442" s="15" t="n"/>
      <c r="C1442">
        <f>IF(B1442="","",IFERROR(INDEX(Items!$B$5:$B$304,MATCH(B1442,Items!$A$5:$A$304,0)),"Unknown code"))</f>
        <v/>
      </c>
      <c r="D1442" s="15" t="n"/>
      <c r="E1442" s="16" t="n"/>
      <c r="F1442" s="18">
        <f>IF(OR(D1442="",E1442=""),"",D1442*E1442)</f>
        <v/>
      </c>
      <c r="G1442" s="15" t="n"/>
    </row>
    <row r="1443">
      <c r="A1443" s="19" t="n"/>
      <c r="B1443" s="15" t="n"/>
      <c r="C1443">
        <f>IF(B1443="","",IFERROR(INDEX(Items!$B$5:$B$304,MATCH(B1443,Items!$A$5:$A$304,0)),"Unknown code"))</f>
        <v/>
      </c>
      <c r="D1443" s="15" t="n"/>
      <c r="E1443" s="16" t="n"/>
      <c r="F1443" s="18">
        <f>IF(OR(D1443="",E1443=""),"",D1443*E1443)</f>
        <v/>
      </c>
      <c r="G1443" s="15" t="n"/>
    </row>
    <row r="1444">
      <c r="A1444" s="19" t="n"/>
      <c r="B1444" s="15" t="n"/>
      <c r="C1444">
        <f>IF(B1444="","",IFERROR(INDEX(Items!$B$5:$B$304,MATCH(B1444,Items!$A$5:$A$304,0)),"Unknown code"))</f>
        <v/>
      </c>
      <c r="D1444" s="15" t="n"/>
      <c r="E1444" s="16" t="n"/>
      <c r="F1444" s="18">
        <f>IF(OR(D1444="",E1444=""),"",D1444*E1444)</f>
        <v/>
      </c>
      <c r="G1444" s="15" t="n"/>
    </row>
    <row r="1445">
      <c r="A1445" s="19" t="n"/>
      <c r="B1445" s="15" t="n"/>
      <c r="C1445">
        <f>IF(B1445="","",IFERROR(INDEX(Items!$B$5:$B$304,MATCH(B1445,Items!$A$5:$A$304,0)),"Unknown code"))</f>
        <v/>
      </c>
      <c r="D1445" s="15" t="n"/>
      <c r="E1445" s="16" t="n"/>
      <c r="F1445" s="18">
        <f>IF(OR(D1445="",E1445=""),"",D1445*E1445)</f>
        <v/>
      </c>
      <c r="G1445" s="15" t="n"/>
    </row>
    <row r="1446">
      <c r="A1446" s="19" t="n"/>
      <c r="B1446" s="15" t="n"/>
      <c r="C1446">
        <f>IF(B1446="","",IFERROR(INDEX(Items!$B$5:$B$304,MATCH(B1446,Items!$A$5:$A$304,0)),"Unknown code"))</f>
        <v/>
      </c>
      <c r="D1446" s="15" t="n"/>
      <c r="E1446" s="16" t="n"/>
      <c r="F1446" s="18">
        <f>IF(OR(D1446="",E1446=""),"",D1446*E1446)</f>
        <v/>
      </c>
      <c r="G1446" s="15" t="n"/>
    </row>
    <row r="1447">
      <c r="A1447" s="19" t="n"/>
      <c r="B1447" s="15" t="n"/>
      <c r="C1447">
        <f>IF(B1447="","",IFERROR(INDEX(Items!$B$5:$B$304,MATCH(B1447,Items!$A$5:$A$304,0)),"Unknown code"))</f>
        <v/>
      </c>
      <c r="D1447" s="15" t="n"/>
      <c r="E1447" s="16" t="n"/>
      <c r="F1447" s="18">
        <f>IF(OR(D1447="",E1447=""),"",D1447*E1447)</f>
        <v/>
      </c>
      <c r="G1447" s="15" t="n"/>
    </row>
    <row r="1448">
      <c r="A1448" s="19" t="n"/>
      <c r="B1448" s="15" t="n"/>
      <c r="C1448">
        <f>IF(B1448="","",IFERROR(INDEX(Items!$B$5:$B$304,MATCH(B1448,Items!$A$5:$A$304,0)),"Unknown code"))</f>
        <v/>
      </c>
      <c r="D1448" s="15" t="n"/>
      <c r="E1448" s="16" t="n"/>
      <c r="F1448" s="18">
        <f>IF(OR(D1448="",E1448=""),"",D1448*E1448)</f>
        <v/>
      </c>
      <c r="G1448" s="15" t="n"/>
    </row>
    <row r="1449">
      <c r="A1449" s="19" t="n"/>
      <c r="B1449" s="15" t="n"/>
      <c r="C1449">
        <f>IF(B1449="","",IFERROR(INDEX(Items!$B$5:$B$304,MATCH(B1449,Items!$A$5:$A$304,0)),"Unknown code"))</f>
        <v/>
      </c>
      <c r="D1449" s="15" t="n"/>
      <c r="E1449" s="16" t="n"/>
      <c r="F1449" s="18">
        <f>IF(OR(D1449="",E1449=""),"",D1449*E1449)</f>
        <v/>
      </c>
      <c r="G1449" s="15" t="n"/>
    </row>
    <row r="1450">
      <c r="A1450" s="19" t="n"/>
      <c r="B1450" s="15" t="n"/>
      <c r="C1450">
        <f>IF(B1450="","",IFERROR(INDEX(Items!$B$5:$B$304,MATCH(B1450,Items!$A$5:$A$304,0)),"Unknown code"))</f>
        <v/>
      </c>
      <c r="D1450" s="15" t="n"/>
      <c r="E1450" s="16" t="n"/>
      <c r="F1450" s="18">
        <f>IF(OR(D1450="",E1450=""),"",D1450*E1450)</f>
        <v/>
      </c>
      <c r="G1450" s="15" t="n"/>
    </row>
    <row r="1451">
      <c r="A1451" s="19" t="n"/>
      <c r="B1451" s="15" t="n"/>
      <c r="C1451">
        <f>IF(B1451="","",IFERROR(INDEX(Items!$B$5:$B$304,MATCH(B1451,Items!$A$5:$A$304,0)),"Unknown code"))</f>
        <v/>
      </c>
      <c r="D1451" s="15" t="n"/>
      <c r="E1451" s="16" t="n"/>
      <c r="F1451" s="18">
        <f>IF(OR(D1451="",E1451=""),"",D1451*E1451)</f>
        <v/>
      </c>
      <c r="G1451" s="15" t="n"/>
    </row>
    <row r="1452">
      <c r="A1452" s="19" t="n"/>
      <c r="B1452" s="15" t="n"/>
      <c r="C1452">
        <f>IF(B1452="","",IFERROR(INDEX(Items!$B$5:$B$304,MATCH(B1452,Items!$A$5:$A$304,0)),"Unknown code"))</f>
        <v/>
      </c>
      <c r="D1452" s="15" t="n"/>
      <c r="E1452" s="16" t="n"/>
      <c r="F1452" s="18">
        <f>IF(OR(D1452="",E1452=""),"",D1452*E1452)</f>
        <v/>
      </c>
      <c r="G1452" s="15" t="n"/>
    </row>
    <row r="1453">
      <c r="A1453" s="19" t="n"/>
      <c r="B1453" s="15" t="n"/>
      <c r="C1453">
        <f>IF(B1453="","",IFERROR(INDEX(Items!$B$5:$B$304,MATCH(B1453,Items!$A$5:$A$304,0)),"Unknown code"))</f>
        <v/>
      </c>
      <c r="D1453" s="15" t="n"/>
      <c r="E1453" s="16" t="n"/>
      <c r="F1453" s="18">
        <f>IF(OR(D1453="",E1453=""),"",D1453*E1453)</f>
        <v/>
      </c>
      <c r="G1453" s="15" t="n"/>
    </row>
    <row r="1454">
      <c r="A1454" s="19" t="n"/>
      <c r="B1454" s="15" t="n"/>
      <c r="C1454">
        <f>IF(B1454="","",IFERROR(INDEX(Items!$B$5:$B$304,MATCH(B1454,Items!$A$5:$A$304,0)),"Unknown code"))</f>
        <v/>
      </c>
      <c r="D1454" s="15" t="n"/>
      <c r="E1454" s="16" t="n"/>
      <c r="F1454" s="18">
        <f>IF(OR(D1454="",E1454=""),"",D1454*E1454)</f>
        <v/>
      </c>
      <c r="G1454" s="15" t="n"/>
    </row>
    <row r="1455">
      <c r="A1455" s="19" t="n"/>
      <c r="B1455" s="15" t="n"/>
      <c r="C1455">
        <f>IF(B1455="","",IFERROR(INDEX(Items!$B$5:$B$304,MATCH(B1455,Items!$A$5:$A$304,0)),"Unknown code"))</f>
        <v/>
      </c>
      <c r="D1455" s="15" t="n"/>
      <c r="E1455" s="16" t="n"/>
      <c r="F1455" s="18">
        <f>IF(OR(D1455="",E1455=""),"",D1455*E1455)</f>
        <v/>
      </c>
      <c r="G1455" s="15" t="n"/>
    </row>
    <row r="1456">
      <c r="A1456" s="19" t="n"/>
      <c r="B1456" s="15" t="n"/>
      <c r="C1456">
        <f>IF(B1456="","",IFERROR(INDEX(Items!$B$5:$B$304,MATCH(B1456,Items!$A$5:$A$304,0)),"Unknown code"))</f>
        <v/>
      </c>
      <c r="D1456" s="15" t="n"/>
      <c r="E1456" s="16" t="n"/>
      <c r="F1456" s="18">
        <f>IF(OR(D1456="",E1456=""),"",D1456*E1456)</f>
        <v/>
      </c>
      <c r="G1456" s="15" t="n"/>
    </row>
    <row r="1457">
      <c r="A1457" s="19" t="n"/>
      <c r="B1457" s="15" t="n"/>
      <c r="C1457">
        <f>IF(B1457="","",IFERROR(INDEX(Items!$B$5:$B$304,MATCH(B1457,Items!$A$5:$A$304,0)),"Unknown code"))</f>
        <v/>
      </c>
      <c r="D1457" s="15" t="n"/>
      <c r="E1457" s="16" t="n"/>
      <c r="F1457" s="18">
        <f>IF(OR(D1457="",E1457=""),"",D1457*E1457)</f>
        <v/>
      </c>
      <c r="G1457" s="15" t="n"/>
    </row>
    <row r="1458">
      <c r="A1458" s="19" t="n"/>
      <c r="B1458" s="15" t="n"/>
      <c r="C1458">
        <f>IF(B1458="","",IFERROR(INDEX(Items!$B$5:$B$304,MATCH(B1458,Items!$A$5:$A$304,0)),"Unknown code"))</f>
        <v/>
      </c>
      <c r="D1458" s="15" t="n"/>
      <c r="E1458" s="16" t="n"/>
      <c r="F1458" s="18">
        <f>IF(OR(D1458="",E1458=""),"",D1458*E1458)</f>
        <v/>
      </c>
      <c r="G1458" s="15" t="n"/>
    </row>
    <row r="1459">
      <c r="A1459" s="19" t="n"/>
      <c r="B1459" s="15" t="n"/>
      <c r="C1459">
        <f>IF(B1459="","",IFERROR(INDEX(Items!$B$5:$B$304,MATCH(B1459,Items!$A$5:$A$304,0)),"Unknown code"))</f>
        <v/>
      </c>
      <c r="D1459" s="15" t="n"/>
      <c r="E1459" s="16" t="n"/>
      <c r="F1459" s="18">
        <f>IF(OR(D1459="",E1459=""),"",D1459*E1459)</f>
        <v/>
      </c>
      <c r="G1459" s="15" t="n"/>
    </row>
    <row r="1460">
      <c r="A1460" s="19" t="n"/>
      <c r="B1460" s="15" t="n"/>
      <c r="C1460">
        <f>IF(B1460="","",IFERROR(INDEX(Items!$B$5:$B$304,MATCH(B1460,Items!$A$5:$A$304,0)),"Unknown code"))</f>
        <v/>
      </c>
      <c r="D1460" s="15" t="n"/>
      <c r="E1460" s="16" t="n"/>
      <c r="F1460" s="18">
        <f>IF(OR(D1460="",E1460=""),"",D1460*E1460)</f>
        <v/>
      </c>
      <c r="G1460" s="15" t="n"/>
    </row>
    <row r="1461">
      <c r="A1461" s="19" t="n"/>
      <c r="B1461" s="15" t="n"/>
      <c r="C1461">
        <f>IF(B1461="","",IFERROR(INDEX(Items!$B$5:$B$304,MATCH(B1461,Items!$A$5:$A$304,0)),"Unknown code"))</f>
        <v/>
      </c>
      <c r="D1461" s="15" t="n"/>
      <c r="E1461" s="16" t="n"/>
      <c r="F1461" s="18">
        <f>IF(OR(D1461="",E1461=""),"",D1461*E1461)</f>
        <v/>
      </c>
      <c r="G1461" s="15" t="n"/>
    </row>
    <row r="1462">
      <c r="A1462" s="19" t="n"/>
      <c r="B1462" s="15" t="n"/>
      <c r="C1462">
        <f>IF(B1462="","",IFERROR(INDEX(Items!$B$5:$B$304,MATCH(B1462,Items!$A$5:$A$304,0)),"Unknown code"))</f>
        <v/>
      </c>
      <c r="D1462" s="15" t="n"/>
      <c r="E1462" s="16" t="n"/>
      <c r="F1462" s="18">
        <f>IF(OR(D1462="",E1462=""),"",D1462*E1462)</f>
        <v/>
      </c>
      <c r="G1462" s="15" t="n"/>
    </row>
    <row r="1463">
      <c r="A1463" s="19" t="n"/>
      <c r="B1463" s="15" t="n"/>
      <c r="C1463">
        <f>IF(B1463="","",IFERROR(INDEX(Items!$B$5:$B$304,MATCH(B1463,Items!$A$5:$A$304,0)),"Unknown code"))</f>
        <v/>
      </c>
      <c r="D1463" s="15" t="n"/>
      <c r="E1463" s="16" t="n"/>
      <c r="F1463" s="18">
        <f>IF(OR(D1463="",E1463=""),"",D1463*E1463)</f>
        <v/>
      </c>
      <c r="G1463" s="15" t="n"/>
    </row>
    <row r="1464">
      <c r="A1464" s="19" t="n"/>
      <c r="B1464" s="15" t="n"/>
      <c r="C1464">
        <f>IF(B1464="","",IFERROR(INDEX(Items!$B$5:$B$304,MATCH(B1464,Items!$A$5:$A$304,0)),"Unknown code"))</f>
        <v/>
      </c>
      <c r="D1464" s="15" t="n"/>
      <c r="E1464" s="16" t="n"/>
      <c r="F1464" s="18">
        <f>IF(OR(D1464="",E1464=""),"",D1464*E1464)</f>
        <v/>
      </c>
      <c r="G1464" s="15" t="n"/>
    </row>
    <row r="1465">
      <c r="A1465" s="19" t="n"/>
      <c r="B1465" s="15" t="n"/>
      <c r="C1465">
        <f>IF(B1465="","",IFERROR(INDEX(Items!$B$5:$B$304,MATCH(B1465,Items!$A$5:$A$304,0)),"Unknown code"))</f>
        <v/>
      </c>
      <c r="D1465" s="15" t="n"/>
      <c r="E1465" s="16" t="n"/>
      <c r="F1465" s="18">
        <f>IF(OR(D1465="",E1465=""),"",D1465*E1465)</f>
        <v/>
      </c>
      <c r="G1465" s="15" t="n"/>
    </row>
    <row r="1466">
      <c r="A1466" s="19" t="n"/>
      <c r="B1466" s="15" t="n"/>
      <c r="C1466">
        <f>IF(B1466="","",IFERROR(INDEX(Items!$B$5:$B$304,MATCH(B1466,Items!$A$5:$A$304,0)),"Unknown code"))</f>
        <v/>
      </c>
      <c r="D1466" s="15" t="n"/>
      <c r="E1466" s="16" t="n"/>
      <c r="F1466" s="18">
        <f>IF(OR(D1466="",E1466=""),"",D1466*E1466)</f>
        <v/>
      </c>
      <c r="G1466" s="15" t="n"/>
    </row>
    <row r="1467">
      <c r="A1467" s="19" t="n"/>
      <c r="B1467" s="15" t="n"/>
      <c r="C1467">
        <f>IF(B1467="","",IFERROR(INDEX(Items!$B$5:$B$304,MATCH(B1467,Items!$A$5:$A$304,0)),"Unknown code"))</f>
        <v/>
      </c>
      <c r="D1467" s="15" t="n"/>
      <c r="E1467" s="16" t="n"/>
      <c r="F1467" s="18">
        <f>IF(OR(D1467="",E1467=""),"",D1467*E1467)</f>
        <v/>
      </c>
      <c r="G1467" s="15" t="n"/>
    </row>
    <row r="1468">
      <c r="A1468" s="19" t="n"/>
      <c r="B1468" s="15" t="n"/>
      <c r="C1468">
        <f>IF(B1468="","",IFERROR(INDEX(Items!$B$5:$B$304,MATCH(B1468,Items!$A$5:$A$304,0)),"Unknown code"))</f>
        <v/>
      </c>
      <c r="D1468" s="15" t="n"/>
      <c r="E1468" s="16" t="n"/>
      <c r="F1468" s="18">
        <f>IF(OR(D1468="",E1468=""),"",D1468*E1468)</f>
        <v/>
      </c>
      <c r="G1468" s="15" t="n"/>
    </row>
    <row r="1469">
      <c r="A1469" s="19" t="n"/>
      <c r="B1469" s="15" t="n"/>
      <c r="C1469">
        <f>IF(B1469="","",IFERROR(INDEX(Items!$B$5:$B$304,MATCH(B1469,Items!$A$5:$A$304,0)),"Unknown code"))</f>
        <v/>
      </c>
      <c r="D1469" s="15" t="n"/>
      <c r="E1469" s="16" t="n"/>
      <c r="F1469" s="18">
        <f>IF(OR(D1469="",E1469=""),"",D1469*E1469)</f>
        <v/>
      </c>
      <c r="G1469" s="15" t="n"/>
    </row>
    <row r="1470">
      <c r="A1470" s="19" t="n"/>
      <c r="B1470" s="15" t="n"/>
      <c r="C1470">
        <f>IF(B1470="","",IFERROR(INDEX(Items!$B$5:$B$304,MATCH(B1470,Items!$A$5:$A$304,0)),"Unknown code"))</f>
        <v/>
      </c>
      <c r="D1470" s="15" t="n"/>
      <c r="E1470" s="16" t="n"/>
      <c r="F1470" s="18">
        <f>IF(OR(D1470="",E1470=""),"",D1470*E1470)</f>
        <v/>
      </c>
      <c r="G1470" s="15" t="n"/>
    </row>
    <row r="1471">
      <c r="A1471" s="19" t="n"/>
      <c r="B1471" s="15" t="n"/>
      <c r="C1471">
        <f>IF(B1471="","",IFERROR(INDEX(Items!$B$5:$B$304,MATCH(B1471,Items!$A$5:$A$304,0)),"Unknown code"))</f>
        <v/>
      </c>
      <c r="D1471" s="15" t="n"/>
      <c r="E1471" s="16" t="n"/>
      <c r="F1471" s="18">
        <f>IF(OR(D1471="",E1471=""),"",D1471*E1471)</f>
        <v/>
      </c>
      <c r="G1471" s="15" t="n"/>
    </row>
    <row r="1472">
      <c r="A1472" s="19" t="n"/>
      <c r="B1472" s="15" t="n"/>
      <c r="C1472">
        <f>IF(B1472="","",IFERROR(INDEX(Items!$B$5:$B$304,MATCH(B1472,Items!$A$5:$A$304,0)),"Unknown code"))</f>
        <v/>
      </c>
      <c r="D1472" s="15" t="n"/>
      <c r="E1472" s="16" t="n"/>
      <c r="F1472" s="18">
        <f>IF(OR(D1472="",E1472=""),"",D1472*E1472)</f>
        <v/>
      </c>
      <c r="G1472" s="15" t="n"/>
    </row>
    <row r="1473">
      <c r="A1473" s="19" t="n"/>
      <c r="B1473" s="15" t="n"/>
      <c r="C1473">
        <f>IF(B1473="","",IFERROR(INDEX(Items!$B$5:$B$304,MATCH(B1473,Items!$A$5:$A$304,0)),"Unknown code"))</f>
        <v/>
      </c>
      <c r="D1473" s="15" t="n"/>
      <c r="E1473" s="16" t="n"/>
      <c r="F1473" s="18">
        <f>IF(OR(D1473="",E1473=""),"",D1473*E1473)</f>
        <v/>
      </c>
      <c r="G1473" s="15" t="n"/>
    </row>
    <row r="1474">
      <c r="A1474" s="19" t="n"/>
      <c r="B1474" s="15" t="n"/>
      <c r="C1474">
        <f>IF(B1474="","",IFERROR(INDEX(Items!$B$5:$B$304,MATCH(B1474,Items!$A$5:$A$304,0)),"Unknown code"))</f>
        <v/>
      </c>
      <c r="D1474" s="15" t="n"/>
      <c r="E1474" s="16" t="n"/>
      <c r="F1474" s="18">
        <f>IF(OR(D1474="",E1474=""),"",D1474*E1474)</f>
        <v/>
      </c>
      <c r="G1474" s="15" t="n"/>
    </row>
    <row r="1475">
      <c r="A1475" s="19" t="n"/>
      <c r="B1475" s="15" t="n"/>
      <c r="C1475">
        <f>IF(B1475="","",IFERROR(INDEX(Items!$B$5:$B$304,MATCH(B1475,Items!$A$5:$A$304,0)),"Unknown code"))</f>
        <v/>
      </c>
      <c r="D1475" s="15" t="n"/>
      <c r="E1475" s="16" t="n"/>
      <c r="F1475" s="18">
        <f>IF(OR(D1475="",E1475=""),"",D1475*E1475)</f>
        <v/>
      </c>
      <c r="G1475" s="15" t="n"/>
    </row>
    <row r="1476">
      <c r="A1476" s="19" t="n"/>
      <c r="B1476" s="15" t="n"/>
      <c r="C1476">
        <f>IF(B1476="","",IFERROR(INDEX(Items!$B$5:$B$304,MATCH(B1476,Items!$A$5:$A$304,0)),"Unknown code"))</f>
        <v/>
      </c>
      <c r="D1476" s="15" t="n"/>
      <c r="E1476" s="16" t="n"/>
      <c r="F1476" s="18">
        <f>IF(OR(D1476="",E1476=""),"",D1476*E1476)</f>
        <v/>
      </c>
      <c r="G1476" s="15" t="n"/>
    </row>
    <row r="1477">
      <c r="A1477" s="19" t="n"/>
      <c r="B1477" s="15" t="n"/>
      <c r="C1477">
        <f>IF(B1477="","",IFERROR(INDEX(Items!$B$5:$B$304,MATCH(B1477,Items!$A$5:$A$304,0)),"Unknown code"))</f>
        <v/>
      </c>
      <c r="D1477" s="15" t="n"/>
      <c r="E1477" s="16" t="n"/>
      <c r="F1477" s="18">
        <f>IF(OR(D1477="",E1477=""),"",D1477*E1477)</f>
        <v/>
      </c>
      <c r="G1477" s="15" t="n"/>
    </row>
    <row r="1478">
      <c r="A1478" s="19" t="n"/>
      <c r="B1478" s="15" t="n"/>
      <c r="C1478">
        <f>IF(B1478="","",IFERROR(INDEX(Items!$B$5:$B$304,MATCH(B1478,Items!$A$5:$A$304,0)),"Unknown code"))</f>
        <v/>
      </c>
      <c r="D1478" s="15" t="n"/>
      <c r="E1478" s="16" t="n"/>
      <c r="F1478" s="18">
        <f>IF(OR(D1478="",E1478=""),"",D1478*E1478)</f>
        <v/>
      </c>
      <c r="G1478" s="15" t="n"/>
    </row>
    <row r="1479">
      <c r="A1479" s="19" t="n"/>
      <c r="B1479" s="15" t="n"/>
      <c r="C1479">
        <f>IF(B1479="","",IFERROR(INDEX(Items!$B$5:$B$304,MATCH(B1479,Items!$A$5:$A$304,0)),"Unknown code"))</f>
        <v/>
      </c>
      <c r="D1479" s="15" t="n"/>
      <c r="E1479" s="16" t="n"/>
      <c r="F1479" s="18">
        <f>IF(OR(D1479="",E1479=""),"",D1479*E1479)</f>
        <v/>
      </c>
      <c r="G1479" s="15" t="n"/>
    </row>
    <row r="1480">
      <c r="A1480" s="19" t="n"/>
      <c r="B1480" s="15" t="n"/>
      <c r="C1480">
        <f>IF(B1480="","",IFERROR(INDEX(Items!$B$5:$B$304,MATCH(B1480,Items!$A$5:$A$304,0)),"Unknown code"))</f>
        <v/>
      </c>
      <c r="D1480" s="15" t="n"/>
      <c r="E1480" s="16" t="n"/>
      <c r="F1480" s="18">
        <f>IF(OR(D1480="",E1480=""),"",D1480*E1480)</f>
        <v/>
      </c>
      <c r="G1480" s="15" t="n"/>
    </row>
    <row r="1481">
      <c r="A1481" s="19" t="n"/>
      <c r="B1481" s="15" t="n"/>
      <c r="C1481">
        <f>IF(B1481="","",IFERROR(INDEX(Items!$B$5:$B$304,MATCH(B1481,Items!$A$5:$A$304,0)),"Unknown code"))</f>
        <v/>
      </c>
      <c r="D1481" s="15" t="n"/>
      <c r="E1481" s="16" t="n"/>
      <c r="F1481" s="18">
        <f>IF(OR(D1481="",E1481=""),"",D1481*E1481)</f>
        <v/>
      </c>
      <c r="G1481" s="15" t="n"/>
    </row>
    <row r="1482">
      <c r="A1482" s="19" t="n"/>
      <c r="B1482" s="15" t="n"/>
      <c r="C1482">
        <f>IF(B1482="","",IFERROR(INDEX(Items!$B$5:$B$304,MATCH(B1482,Items!$A$5:$A$304,0)),"Unknown code"))</f>
        <v/>
      </c>
      <c r="D1482" s="15" t="n"/>
      <c r="E1482" s="16" t="n"/>
      <c r="F1482" s="18">
        <f>IF(OR(D1482="",E1482=""),"",D1482*E1482)</f>
        <v/>
      </c>
      <c r="G1482" s="15" t="n"/>
    </row>
    <row r="1483">
      <c r="A1483" s="19" t="n"/>
      <c r="B1483" s="15" t="n"/>
      <c r="C1483">
        <f>IF(B1483="","",IFERROR(INDEX(Items!$B$5:$B$304,MATCH(B1483,Items!$A$5:$A$304,0)),"Unknown code"))</f>
        <v/>
      </c>
      <c r="D1483" s="15" t="n"/>
      <c r="E1483" s="16" t="n"/>
      <c r="F1483" s="18">
        <f>IF(OR(D1483="",E1483=""),"",D1483*E1483)</f>
        <v/>
      </c>
      <c r="G1483" s="15" t="n"/>
    </row>
    <row r="1484">
      <c r="A1484" s="19" t="n"/>
      <c r="B1484" s="15" t="n"/>
      <c r="C1484">
        <f>IF(B1484="","",IFERROR(INDEX(Items!$B$5:$B$304,MATCH(B1484,Items!$A$5:$A$304,0)),"Unknown code"))</f>
        <v/>
      </c>
      <c r="D1484" s="15" t="n"/>
      <c r="E1484" s="16" t="n"/>
      <c r="F1484" s="18">
        <f>IF(OR(D1484="",E1484=""),"",D1484*E1484)</f>
        <v/>
      </c>
      <c r="G1484" s="15" t="n"/>
    </row>
    <row r="1485">
      <c r="A1485" s="19" t="n"/>
      <c r="B1485" s="15" t="n"/>
      <c r="C1485">
        <f>IF(B1485="","",IFERROR(INDEX(Items!$B$5:$B$304,MATCH(B1485,Items!$A$5:$A$304,0)),"Unknown code"))</f>
        <v/>
      </c>
      <c r="D1485" s="15" t="n"/>
      <c r="E1485" s="16" t="n"/>
      <c r="F1485" s="18">
        <f>IF(OR(D1485="",E1485=""),"",D1485*E1485)</f>
        <v/>
      </c>
      <c r="G1485" s="15" t="n"/>
    </row>
    <row r="1486">
      <c r="A1486" s="19" t="n"/>
      <c r="B1486" s="15" t="n"/>
      <c r="C1486">
        <f>IF(B1486="","",IFERROR(INDEX(Items!$B$5:$B$304,MATCH(B1486,Items!$A$5:$A$304,0)),"Unknown code"))</f>
        <v/>
      </c>
      <c r="D1486" s="15" t="n"/>
      <c r="E1486" s="16" t="n"/>
      <c r="F1486" s="18">
        <f>IF(OR(D1486="",E1486=""),"",D1486*E1486)</f>
        <v/>
      </c>
      <c r="G1486" s="15" t="n"/>
    </row>
    <row r="1487">
      <c r="A1487" s="19" t="n"/>
      <c r="B1487" s="15" t="n"/>
      <c r="C1487">
        <f>IF(B1487="","",IFERROR(INDEX(Items!$B$5:$B$304,MATCH(B1487,Items!$A$5:$A$304,0)),"Unknown code"))</f>
        <v/>
      </c>
      <c r="D1487" s="15" t="n"/>
      <c r="E1487" s="16" t="n"/>
      <c r="F1487" s="18">
        <f>IF(OR(D1487="",E1487=""),"",D1487*E1487)</f>
        <v/>
      </c>
      <c r="G1487" s="15" t="n"/>
    </row>
    <row r="1488">
      <c r="A1488" s="19" t="n"/>
      <c r="B1488" s="15" t="n"/>
      <c r="C1488">
        <f>IF(B1488="","",IFERROR(INDEX(Items!$B$5:$B$304,MATCH(B1488,Items!$A$5:$A$304,0)),"Unknown code"))</f>
        <v/>
      </c>
      <c r="D1488" s="15" t="n"/>
      <c r="E1488" s="16" t="n"/>
      <c r="F1488" s="18">
        <f>IF(OR(D1488="",E1488=""),"",D1488*E1488)</f>
        <v/>
      </c>
      <c r="G1488" s="15" t="n"/>
    </row>
    <row r="1489">
      <c r="A1489" s="19" t="n"/>
      <c r="B1489" s="15" t="n"/>
      <c r="C1489">
        <f>IF(B1489="","",IFERROR(INDEX(Items!$B$5:$B$304,MATCH(B1489,Items!$A$5:$A$304,0)),"Unknown code"))</f>
        <v/>
      </c>
      <c r="D1489" s="15" t="n"/>
      <c r="E1489" s="16" t="n"/>
      <c r="F1489" s="18">
        <f>IF(OR(D1489="",E1489=""),"",D1489*E1489)</f>
        <v/>
      </c>
      <c r="G1489" s="15" t="n"/>
    </row>
    <row r="1490">
      <c r="A1490" s="19" t="n"/>
      <c r="B1490" s="15" t="n"/>
      <c r="C1490">
        <f>IF(B1490="","",IFERROR(INDEX(Items!$B$5:$B$304,MATCH(B1490,Items!$A$5:$A$304,0)),"Unknown code"))</f>
        <v/>
      </c>
      <c r="D1490" s="15" t="n"/>
      <c r="E1490" s="16" t="n"/>
      <c r="F1490" s="18">
        <f>IF(OR(D1490="",E1490=""),"",D1490*E1490)</f>
        <v/>
      </c>
      <c r="G1490" s="15" t="n"/>
    </row>
    <row r="1491">
      <c r="A1491" s="19" t="n"/>
      <c r="B1491" s="15" t="n"/>
      <c r="C1491">
        <f>IF(B1491="","",IFERROR(INDEX(Items!$B$5:$B$304,MATCH(B1491,Items!$A$5:$A$304,0)),"Unknown code"))</f>
        <v/>
      </c>
      <c r="D1491" s="15" t="n"/>
      <c r="E1491" s="16" t="n"/>
      <c r="F1491" s="18">
        <f>IF(OR(D1491="",E1491=""),"",D1491*E1491)</f>
        <v/>
      </c>
      <c r="G1491" s="15" t="n"/>
    </row>
    <row r="1492">
      <c r="A1492" s="19" t="n"/>
      <c r="B1492" s="15" t="n"/>
      <c r="C1492">
        <f>IF(B1492="","",IFERROR(INDEX(Items!$B$5:$B$304,MATCH(B1492,Items!$A$5:$A$304,0)),"Unknown code"))</f>
        <v/>
      </c>
      <c r="D1492" s="15" t="n"/>
      <c r="E1492" s="16" t="n"/>
      <c r="F1492" s="18">
        <f>IF(OR(D1492="",E1492=""),"",D1492*E1492)</f>
        <v/>
      </c>
      <c r="G1492" s="15" t="n"/>
    </row>
    <row r="1493">
      <c r="A1493" s="19" t="n"/>
      <c r="B1493" s="15" t="n"/>
      <c r="C1493">
        <f>IF(B1493="","",IFERROR(INDEX(Items!$B$5:$B$304,MATCH(B1493,Items!$A$5:$A$304,0)),"Unknown code"))</f>
        <v/>
      </c>
      <c r="D1493" s="15" t="n"/>
      <c r="E1493" s="16" t="n"/>
      <c r="F1493" s="18">
        <f>IF(OR(D1493="",E1493=""),"",D1493*E1493)</f>
        <v/>
      </c>
      <c r="G1493" s="15" t="n"/>
    </row>
    <row r="1494">
      <c r="A1494" s="19" t="n"/>
      <c r="B1494" s="15" t="n"/>
      <c r="C1494">
        <f>IF(B1494="","",IFERROR(INDEX(Items!$B$5:$B$304,MATCH(B1494,Items!$A$5:$A$304,0)),"Unknown code"))</f>
        <v/>
      </c>
      <c r="D1494" s="15" t="n"/>
      <c r="E1494" s="16" t="n"/>
      <c r="F1494" s="18">
        <f>IF(OR(D1494="",E1494=""),"",D1494*E1494)</f>
        <v/>
      </c>
      <c r="G1494" s="15" t="n"/>
    </row>
    <row r="1495">
      <c r="A1495" s="19" t="n"/>
      <c r="B1495" s="15" t="n"/>
      <c r="C1495">
        <f>IF(B1495="","",IFERROR(INDEX(Items!$B$5:$B$304,MATCH(B1495,Items!$A$5:$A$304,0)),"Unknown code"))</f>
        <v/>
      </c>
      <c r="D1495" s="15" t="n"/>
      <c r="E1495" s="16" t="n"/>
      <c r="F1495" s="18">
        <f>IF(OR(D1495="",E1495=""),"",D1495*E1495)</f>
        <v/>
      </c>
      <c r="G1495" s="15" t="n"/>
    </row>
    <row r="1496">
      <c r="A1496" s="19" t="n"/>
      <c r="B1496" s="15" t="n"/>
      <c r="C1496">
        <f>IF(B1496="","",IFERROR(INDEX(Items!$B$5:$B$304,MATCH(B1496,Items!$A$5:$A$304,0)),"Unknown code"))</f>
        <v/>
      </c>
      <c r="D1496" s="15" t="n"/>
      <c r="E1496" s="16" t="n"/>
      <c r="F1496" s="18">
        <f>IF(OR(D1496="",E1496=""),"",D1496*E1496)</f>
        <v/>
      </c>
      <c r="G1496" s="15" t="n"/>
    </row>
    <row r="1497">
      <c r="A1497" s="19" t="n"/>
      <c r="B1497" s="15" t="n"/>
      <c r="C1497">
        <f>IF(B1497="","",IFERROR(INDEX(Items!$B$5:$B$304,MATCH(B1497,Items!$A$5:$A$304,0)),"Unknown code"))</f>
        <v/>
      </c>
      <c r="D1497" s="15" t="n"/>
      <c r="E1497" s="16" t="n"/>
      <c r="F1497" s="18">
        <f>IF(OR(D1497="",E1497=""),"",D1497*E1497)</f>
        <v/>
      </c>
      <c r="G1497" s="15" t="n"/>
    </row>
    <row r="1498">
      <c r="A1498" s="19" t="n"/>
      <c r="B1498" s="15" t="n"/>
      <c r="C1498">
        <f>IF(B1498="","",IFERROR(INDEX(Items!$B$5:$B$304,MATCH(B1498,Items!$A$5:$A$304,0)),"Unknown code"))</f>
        <v/>
      </c>
      <c r="D1498" s="15" t="n"/>
      <c r="E1498" s="16" t="n"/>
      <c r="F1498" s="18">
        <f>IF(OR(D1498="",E1498=""),"",D1498*E1498)</f>
        <v/>
      </c>
      <c r="G1498" s="15" t="n"/>
    </row>
    <row r="1499">
      <c r="A1499" s="19" t="n"/>
      <c r="B1499" s="15" t="n"/>
      <c r="C1499">
        <f>IF(B1499="","",IFERROR(INDEX(Items!$B$5:$B$304,MATCH(B1499,Items!$A$5:$A$304,0)),"Unknown code"))</f>
        <v/>
      </c>
      <c r="D1499" s="15" t="n"/>
      <c r="E1499" s="16" t="n"/>
      <c r="F1499" s="18">
        <f>IF(OR(D1499="",E1499=""),"",D1499*E1499)</f>
        <v/>
      </c>
      <c r="G1499" s="15" t="n"/>
    </row>
    <row r="1500">
      <c r="A1500" s="19" t="n"/>
      <c r="B1500" s="15" t="n"/>
      <c r="C1500">
        <f>IF(B1500="","",IFERROR(INDEX(Items!$B$5:$B$304,MATCH(B1500,Items!$A$5:$A$304,0)),"Unknown code"))</f>
        <v/>
      </c>
      <c r="D1500" s="15" t="n"/>
      <c r="E1500" s="16" t="n"/>
      <c r="F1500" s="18">
        <f>IF(OR(D1500="",E1500=""),"",D1500*E1500)</f>
        <v/>
      </c>
      <c r="G1500" s="15" t="n"/>
    </row>
    <row r="1501">
      <c r="A1501" s="19" t="n"/>
      <c r="B1501" s="15" t="n"/>
      <c r="C1501">
        <f>IF(B1501="","",IFERROR(INDEX(Items!$B$5:$B$304,MATCH(B1501,Items!$A$5:$A$304,0)),"Unknown code"))</f>
        <v/>
      </c>
      <c r="D1501" s="15" t="n"/>
      <c r="E1501" s="16" t="n"/>
      <c r="F1501" s="18">
        <f>IF(OR(D1501="",E1501=""),"",D1501*E1501)</f>
        <v/>
      </c>
      <c r="G1501" s="15" t="n"/>
    </row>
    <row r="1502">
      <c r="A1502" s="19" t="n"/>
      <c r="B1502" s="15" t="n"/>
      <c r="C1502">
        <f>IF(B1502="","",IFERROR(INDEX(Items!$B$5:$B$304,MATCH(B1502,Items!$A$5:$A$304,0)),"Unknown code"))</f>
        <v/>
      </c>
      <c r="D1502" s="15" t="n"/>
      <c r="E1502" s="16" t="n"/>
      <c r="F1502" s="18">
        <f>IF(OR(D1502="",E1502=""),"",D1502*E1502)</f>
        <v/>
      </c>
      <c r="G1502" s="15" t="n"/>
    </row>
    <row r="1503">
      <c r="A1503" s="19" t="n"/>
      <c r="B1503" s="15" t="n"/>
      <c r="C1503">
        <f>IF(B1503="","",IFERROR(INDEX(Items!$B$5:$B$304,MATCH(B1503,Items!$A$5:$A$304,0)),"Unknown code"))</f>
        <v/>
      </c>
      <c r="D1503" s="15" t="n"/>
      <c r="E1503" s="16" t="n"/>
      <c r="F1503" s="18">
        <f>IF(OR(D1503="",E1503=""),"",D1503*E1503)</f>
        <v/>
      </c>
      <c r="G1503" s="15" t="n"/>
    </row>
    <row r="1504">
      <c r="A1504" s="19" t="n"/>
      <c r="B1504" s="15" t="n"/>
      <c r="C1504">
        <f>IF(B1504="","",IFERROR(INDEX(Items!$B$5:$B$304,MATCH(B1504,Items!$A$5:$A$304,0)),"Unknown code"))</f>
        <v/>
      </c>
      <c r="D1504" s="15" t="n"/>
      <c r="E1504" s="16" t="n"/>
      <c r="F1504" s="18">
        <f>IF(OR(D1504="",E1504=""),"",D1504*E1504)</f>
        <v/>
      </c>
      <c r="G1504" s="15" t="n"/>
    </row>
    <row r="1505">
      <c r="A1505" s="19" t="n"/>
      <c r="B1505" s="15" t="n"/>
      <c r="C1505">
        <f>IF(B1505="","",IFERROR(INDEX(Items!$B$5:$B$304,MATCH(B1505,Items!$A$5:$A$304,0)),"Unknown code"))</f>
        <v/>
      </c>
      <c r="D1505" s="15" t="n"/>
      <c r="E1505" s="16" t="n"/>
      <c r="F1505" s="18">
        <f>IF(OR(D1505="",E1505=""),"",D1505*E1505)</f>
        <v/>
      </c>
      <c r="G1505" s="15" t="n"/>
    </row>
    <row r="1506">
      <c r="A1506" s="19" t="n"/>
      <c r="B1506" s="15" t="n"/>
      <c r="C1506">
        <f>IF(B1506="","",IFERROR(INDEX(Items!$B$5:$B$304,MATCH(B1506,Items!$A$5:$A$304,0)),"Unknown code"))</f>
        <v/>
      </c>
      <c r="D1506" s="15" t="n"/>
      <c r="E1506" s="16" t="n"/>
      <c r="F1506" s="18">
        <f>IF(OR(D1506="",E1506=""),"",D1506*E1506)</f>
        <v/>
      </c>
      <c r="G1506" s="15" t="n"/>
    </row>
    <row r="1507">
      <c r="A1507" s="19" t="n"/>
      <c r="B1507" s="15" t="n"/>
      <c r="C1507">
        <f>IF(B1507="","",IFERROR(INDEX(Items!$B$5:$B$304,MATCH(B1507,Items!$A$5:$A$304,0)),"Unknown code"))</f>
        <v/>
      </c>
      <c r="D1507" s="15" t="n"/>
      <c r="E1507" s="16" t="n"/>
      <c r="F1507" s="18">
        <f>IF(OR(D1507="",E1507=""),"",D1507*E1507)</f>
        <v/>
      </c>
      <c r="G1507" s="15" t="n"/>
    </row>
    <row r="1508">
      <c r="A1508" s="19" t="n"/>
      <c r="B1508" s="15" t="n"/>
      <c r="C1508">
        <f>IF(B1508="","",IFERROR(INDEX(Items!$B$5:$B$304,MATCH(B1508,Items!$A$5:$A$304,0)),"Unknown code"))</f>
        <v/>
      </c>
      <c r="D1508" s="15" t="n"/>
      <c r="E1508" s="16" t="n"/>
      <c r="F1508" s="18">
        <f>IF(OR(D1508="",E1508=""),"",D1508*E1508)</f>
        <v/>
      </c>
      <c r="G1508" s="15" t="n"/>
    </row>
    <row r="1509">
      <c r="A1509" s="19" t="n"/>
      <c r="B1509" s="15" t="n"/>
      <c r="C1509">
        <f>IF(B1509="","",IFERROR(INDEX(Items!$B$5:$B$304,MATCH(B1509,Items!$A$5:$A$304,0)),"Unknown code"))</f>
        <v/>
      </c>
      <c r="D1509" s="15" t="n"/>
      <c r="E1509" s="16" t="n"/>
      <c r="F1509" s="18">
        <f>IF(OR(D1509="",E1509=""),"",D1509*E1509)</f>
        <v/>
      </c>
      <c r="G1509" s="15" t="n"/>
    </row>
    <row r="1510">
      <c r="A1510" s="19" t="n"/>
      <c r="B1510" s="15" t="n"/>
      <c r="C1510">
        <f>IF(B1510="","",IFERROR(INDEX(Items!$B$5:$B$304,MATCH(B1510,Items!$A$5:$A$304,0)),"Unknown code"))</f>
        <v/>
      </c>
      <c r="D1510" s="15" t="n"/>
      <c r="E1510" s="16" t="n"/>
      <c r="F1510" s="18">
        <f>IF(OR(D1510="",E1510=""),"",D1510*E1510)</f>
        <v/>
      </c>
      <c r="G1510" s="15" t="n"/>
    </row>
    <row r="1511">
      <c r="A1511" s="19" t="n"/>
      <c r="B1511" s="15" t="n"/>
      <c r="C1511">
        <f>IF(B1511="","",IFERROR(INDEX(Items!$B$5:$B$304,MATCH(B1511,Items!$A$5:$A$304,0)),"Unknown code"))</f>
        <v/>
      </c>
      <c r="D1511" s="15" t="n"/>
      <c r="E1511" s="16" t="n"/>
      <c r="F1511" s="18">
        <f>IF(OR(D1511="",E1511=""),"",D1511*E1511)</f>
        <v/>
      </c>
      <c r="G1511" s="15" t="n"/>
    </row>
    <row r="1512">
      <c r="A1512" s="19" t="n"/>
      <c r="B1512" s="15" t="n"/>
      <c r="C1512">
        <f>IF(B1512="","",IFERROR(INDEX(Items!$B$5:$B$304,MATCH(B1512,Items!$A$5:$A$304,0)),"Unknown code"))</f>
        <v/>
      </c>
      <c r="D1512" s="15" t="n"/>
      <c r="E1512" s="16" t="n"/>
      <c r="F1512" s="18">
        <f>IF(OR(D1512="",E1512=""),"",D1512*E1512)</f>
        <v/>
      </c>
      <c r="G1512" s="15" t="n"/>
    </row>
    <row r="1513">
      <c r="A1513" s="19" t="n"/>
      <c r="B1513" s="15" t="n"/>
      <c r="C1513">
        <f>IF(B1513="","",IFERROR(INDEX(Items!$B$5:$B$304,MATCH(B1513,Items!$A$5:$A$304,0)),"Unknown code"))</f>
        <v/>
      </c>
      <c r="D1513" s="15" t="n"/>
      <c r="E1513" s="16" t="n"/>
      <c r="F1513" s="18">
        <f>IF(OR(D1513="",E1513=""),"",D1513*E1513)</f>
        <v/>
      </c>
      <c r="G1513" s="15" t="n"/>
    </row>
    <row r="1514">
      <c r="A1514" s="19" t="n"/>
      <c r="B1514" s="15" t="n"/>
      <c r="C1514">
        <f>IF(B1514="","",IFERROR(INDEX(Items!$B$5:$B$304,MATCH(B1514,Items!$A$5:$A$304,0)),"Unknown code"))</f>
        <v/>
      </c>
      <c r="D1514" s="15" t="n"/>
      <c r="E1514" s="16" t="n"/>
      <c r="F1514" s="18">
        <f>IF(OR(D1514="",E1514=""),"",D1514*E1514)</f>
        <v/>
      </c>
      <c r="G1514" s="15" t="n"/>
    </row>
    <row r="1515">
      <c r="A1515" s="19" t="n"/>
      <c r="B1515" s="15" t="n"/>
      <c r="C1515">
        <f>IF(B1515="","",IFERROR(INDEX(Items!$B$5:$B$304,MATCH(B1515,Items!$A$5:$A$304,0)),"Unknown code"))</f>
        <v/>
      </c>
      <c r="D1515" s="15" t="n"/>
      <c r="E1515" s="16" t="n"/>
      <c r="F1515" s="18">
        <f>IF(OR(D1515="",E1515=""),"",D1515*E1515)</f>
        <v/>
      </c>
      <c r="G1515" s="15" t="n"/>
    </row>
    <row r="1516">
      <c r="A1516" s="19" t="n"/>
      <c r="B1516" s="15" t="n"/>
      <c r="C1516">
        <f>IF(B1516="","",IFERROR(INDEX(Items!$B$5:$B$304,MATCH(B1516,Items!$A$5:$A$304,0)),"Unknown code"))</f>
        <v/>
      </c>
      <c r="D1516" s="15" t="n"/>
      <c r="E1516" s="16" t="n"/>
      <c r="F1516" s="18">
        <f>IF(OR(D1516="",E1516=""),"",D1516*E1516)</f>
        <v/>
      </c>
      <c r="G1516" s="15" t="n"/>
    </row>
    <row r="1517">
      <c r="A1517" s="19" t="n"/>
      <c r="B1517" s="15" t="n"/>
      <c r="C1517">
        <f>IF(B1517="","",IFERROR(INDEX(Items!$B$5:$B$304,MATCH(B1517,Items!$A$5:$A$304,0)),"Unknown code"))</f>
        <v/>
      </c>
      <c r="D1517" s="15" t="n"/>
      <c r="E1517" s="16" t="n"/>
      <c r="F1517" s="18">
        <f>IF(OR(D1517="",E1517=""),"",D1517*E1517)</f>
        <v/>
      </c>
      <c r="G1517" s="15" t="n"/>
    </row>
    <row r="1518">
      <c r="A1518" s="19" t="n"/>
      <c r="B1518" s="15" t="n"/>
      <c r="C1518">
        <f>IF(B1518="","",IFERROR(INDEX(Items!$B$5:$B$304,MATCH(B1518,Items!$A$5:$A$304,0)),"Unknown code"))</f>
        <v/>
      </c>
      <c r="D1518" s="15" t="n"/>
      <c r="E1518" s="16" t="n"/>
      <c r="F1518" s="18">
        <f>IF(OR(D1518="",E1518=""),"",D1518*E1518)</f>
        <v/>
      </c>
      <c r="G1518" s="15" t="n"/>
    </row>
    <row r="1519">
      <c r="A1519" s="19" t="n"/>
      <c r="B1519" s="15" t="n"/>
      <c r="C1519">
        <f>IF(B1519="","",IFERROR(INDEX(Items!$B$5:$B$304,MATCH(B1519,Items!$A$5:$A$304,0)),"Unknown code"))</f>
        <v/>
      </c>
      <c r="D1519" s="15" t="n"/>
      <c r="E1519" s="16" t="n"/>
      <c r="F1519" s="18">
        <f>IF(OR(D1519="",E1519=""),"",D1519*E1519)</f>
        <v/>
      </c>
      <c r="G1519" s="15" t="n"/>
    </row>
    <row r="1520">
      <c r="A1520" s="19" t="n"/>
      <c r="B1520" s="15" t="n"/>
      <c r="C1520">
        <f>IF(B1520="","",IFERROR(INDEX(Items!$B$5:$B$304,MATCH(B1520,Items!$A$5:$A$304,0)),"Unknown code"))</f>
        <v/>
      </c>
      <c r="D1520" s="15" t="n"/>
      <c r="E1520" s="16" t="n"/>
      <c r="F1520" s="18">
        <f>IF(OR(D1520="",E1520=""),"",D1520*E1520)</f>
        <v/>
      </c>
      <c r="G1520" s="15" t="n"/>
    </row>
    <row r="1521">
      <c r="A1521" s="19" t="n"/>
      <c r="B1521" s="15" t="n"/>
      <c r="C1521">
        <f>IF(B1521="","",IFERROR(INDEX(Items!$B$5:$B$304,MATCH(B1521,Items!$A$5:$A$304,0)),"Unknown code"))</f>
        <v/>
      </c>
      <c r="D1521" s="15" t="n"/>
      <c r="E1521" s="16" t="n"/>
      <c r="F1521" s="18">
        <f>IF(OR(D1521="",E1521=""),"",D1521*E1521)</f>
        <v/>
      </c>
      <c r="G1521" s="15" t="n"/>
    </row>
    <row r="1522">
      <c r="A1522" s="19" t="n"/>
      <c r="B1522" s="15" t="n"/>
      <c r="C1522">
        <f>IF(B1522="","",IFERROR(INDEX(Items!$B$5:$B$304,MATCH(B1522,Items!$A$5:$A$304,0)),"Unknown code"))</f>
        <v/>
      </c>
      <c r="D1522" s="15" t="n"/>
      <c r="E1522" s="16" t="n"/>
      <c r="F1522" s="18">
        <f>IF(OR(D1522="",E1522=""),"",D1522*E1522)</f>
        <v/>
      </c>
      <c r="G1522" s="15" t="n"/>
    </row>
    <row r="1523">
      <c r="A1523" s="19" t="n"/>
      <c r="B1523" s="15" t="n"/>
      <c r="C1523">
        <f>IF(B1523="","",IFERROR(INDEX(Items!$B$5:$B$304,MATCH(B1523,Items!$A$5:$A$304,0)),"Unknown code"))</f>
        <v/>
      </c>
      <c r="D1523" s="15" t="n"/>
      <c r="E1523" s="16" t="n"/>
      <c r="F1523" s="18">
        <f>IF(OR(D1523="",E1523=""),"",D1523*E1523)</f>
        <v/>
      </c>
      <c r="G1523" s="15" t="n"/>
    </row>
    <row r="1524">
      <c r="A1524" s="19" t="n"/>
      <c r="B1524" s="15" t="n"/>
      <c r="C1524">
        <f>IF(B1524="","",IFERROR(INDEX(Items!$B$5:$B$304,MATCH(B1524,Items!$A$5:$A$304,0)),"Unknown code"))</f>
        <v/>
      </c>
      <c r="D1524" s="15" t="n"/>
      <c r="E1524" s="16" t="n"/>
      <c r="F1524" s="18">
        <f>IF(OR(D1524="",E1524=""),"",D1524*E1524)</f>
        <v/>
      </c>
      <c r="G1524" s="15" t="n"/>
    </row>
    <row r="1525">
      <c r="A1525" s="19" t="n"/>
      <c r="B1525" s="15" t="n"/>
      <c r="C1525">
        <f>IF(B1525="","",IFERROR(INDEX(Items!$B$5:$B$304,MATCH(B1525,Items!$A$5:$A$304,0)),"Unknown code"))</f>
        <v/>
      </c>
      <c r="D1525" s="15" t="n"/>
      <c r="E1525" s="16" t="n"/>
      <c r="F1525" s="18">
        <f>IF(OR(D1525="",E1525=""),"",D1525*E1525)</f>
        <v/>
      </c>
      <c r="G1525" s="15" t="n"/>
    </row>
    <row r="1526">
      <c r="A1526" s="19" t="n"/>
      <c r="B1526" s="15" t="n"/>
      <c r="C1526">
        <f>IF(B1526="","",IFERROR(INDEX(Items!$B$5:$B$304,MATCH(B1526,Items!$A$5:$A$304,0)),"Unknown code"))</f>
        <v/>
      </c>
      <c r="D1526" s="15" t="n"/>
      <c r="E1526" s="16" t="n"/>
      <c r="F1526" s="18">
        <f>IF(OR(D1526="",E1526=""),"",D1526*E1526)</f>
        <v/>
      </c>
      <c r="G1526" s="15" t="n"/>
    </row>
    <row r="1527">
      <c r="A1527" s="19" t="n"/>
      <c r="B1527" s="15" t="n"/>
      <c r="C1527">
        <f>IF(B1527="","",IFERROR(INDEX(Items!$B$5:$B$304,MATCH(B1527,Items!$A$5:$A$304,0)),"Unknown code"))</f>
        <v/>
      </c>
      <c r="D1527" s="15" t="n"/>
      <c r="E1527" s="16" t="n"/>
      <c r="F1527" s="18">
        <f>IF(OR(D1527="",E1527=""),"",D1527*E1527)</f>
        <v/>
      </c>
      <c r="G1527" s="15" t="n"/>
    </row>
    <row r="1528">
      <c r="A1528" s="19" t="n"/>
      <c r="B1528" s="15" t="n"/>
      <c r="C1528">
        <f>IF(B1528="","",IFERROR(INDEX(Items!$B$5:$B$304,MATCH(B1528,Items!$A$5:$A$304,0)),"Unknown code"))</f>
        <v/>
      </c>
      <c r="D1528" s="15" t="n"/>
      <c r="E1528" s="16" t="n"/>
      <c r="F1528" s="18">
        <f>IF(OR(D1528="",E1528=""),"",D1528*E1528)</f>
        <v/>
      </c>
      <c r="G1528" s="15" t="n"/>
    </row>
    <row r="1529">
      <c r="A1529" s="19" t="n"/>
      <c r="B1529" s="15" t="n"/>
      <c r="C1529">
        <f>IF(B1529="","",IFERROR(INDEX(Items!$B$5:$B$304,MATCH(B1529,Items!$A$5:$A$304,0)),"Unknown code"))</f>
        <v/>
      </c>
      <c r="D1529" s="15" t="n"/>
      <c r="E1529" s="16" t="n"/>
      <c r="F1529" s="18">
        <f>IF(OR(D1529="",E1529=""),"",D1529*E1529)</f>
        <v/>
      </c>
      <c r="G1529" s="15" t="n"/>
    </row>
    <row r="1530">
      <c r="A1530" s="19" t="n"/>
      <c r="B1530" s="15" t="n"/>
      <c r="C1530">
        <f>IF(B1530="","",IFERROR(INDEX(Items!$B$5:$B$304,MATCH(B1530,Items!$A$5:$A$304,0)),"Unknown code"))</f>
        <v/>
      </c>
      <c r="D1530" s="15" t="n"/>
      <c r="E1530" s="16" t="n"/>
      <c r="F1530" s="18">
        <f>IF(OR(D1530="",E1530=""),"",D1530*E1530)</f>
        <v/>
      </c>
      <c r="G1530" s="15" t="n"/>
    </row>
    <row r="1531">
      <c r="A1531" s="19" t="n"/>
      <c r="B1531" s="15" t="n"/>
      <c r="C1531">
        <f>IF(B1531="","",IFERROR(INDEX(Items!$B$5:$B$304,MATCH(B1531,Items!$A$5:$A$304,0)),"Unknown code"))</f>
        <v/>
      </c>
      <c r="D1531" s="15" t="n"/>
      <c r="E1531" s="16" t="n"/>
      <c r="F1531" s="18">
        <f>IF(OR(D1531="",E1531=""),"",D1531*E1531)</f>
        <v/>
      </c>
      <c r="G1531" s="15" t="n"/>
    </row>
    <row r="1532">
      <c r="A1532" s="19" t="n"/>
      <c r="B1532" s="15" t="n"/>
      <c r="C1532">
        <f>IF(B1532="","",IFERROR(INDEX(Items!$B$5:$B$304,MATCH(B1532,Items!$A$5:$A$304,0)),"Unknown code"))</f>
        <v/>
      </c>
      <c r="D1532" s="15" t="n"/>
      <c r="E1532" s="16" t="n"/>
      <c r="F1532" s="18">
        <f>IF(OR(D1532="",E1532=""),"",D1532*E1532)</f>
        <v/>
      </c>
      <c r="G1532" s="15" t="n"/>
    </row>
    <row r="1533">
      <c r="A1533" s="19" t="n"/>
      <c r="B1533" s="15" t="n"/>
      <c r="C1533">
        <f>IF(B1533="","",IFERROR(INDEX(Items!$B$5:$B$304,MATCH(B1533,Items!$A$5:$A$304,0)),"Unknown code"))</f>
        <v/>
      </c>
      <c r="D1533" s="15" t="n"/>
      <c r="E1533" s="16" t="n"/>
      <c r="F1533" s="18">
        <f>IF(OR(D1533="",E1533=""),"",D1533*E1533)</f>
        <v/>
      </c>
      <c r="G1533" s="15" t="n"/>
    </row>
    <row r="1534">
      <c r="A1534" s="19" t="n"/>
      <c r="B1534" s="15" t="n"/>
      <c r="C1534">
        <f>IF(B1534="","",IFERROR(INDEX(Items!$B$5:$B$304,MATCH(B1534,Items!$A$5:$A$304,0)),"Unknown code"))</f>
        <v/>
      </c>
      <c r="D1534" s="15" t="n"/>
      <c r="E1534" s="16" t="n"/>
      <c r="F1534" s="18">
        <f>IF(OR(D1534="",E1534=""),"",D1534*E1534)</f>
        <v/>
      </c>
      <c r="G1534" s="15" t="n"/>
    </row>
    <row r="1535">
      <c r="A1535" s="19" t="n"/>
      <c r="B1535" s="15" t="n"/>
      <c r="C1535">
        <f>IF(B1535="","",IFERROR(INDEX(Items!$B$5:$B$304,MATCH(B1535,Items!$A$5:$A$304,0)),"Unknown code"))</f>
        <v/>
      </c>
      <c r="D1535" s="15" t="n"/>
      <c r="E1535" s="16" t="n"/>
      <c r="F1535" s="18">
        <f>IF(OR(D1535="",E1535=""),"",D1535*E1535)</f>
        <v/>
      </c>
      <c r="G1535" s="15" t="n"/>
    </row>
    <row r="1536">
      <c r="A1536" s="19" t="n"/>
      <c r="B1536" s="15" t="n"/>
      <c r="C1536">
        <f>IF(B1536="","",IFERROR(INDEX(Items!$B$5:$B$304,MATCH(B1536,Items!$A$5:$A$304,0)),"Unknown code"))</f>
        <v/>
      </c>
      <c r="D1536" s="15" t="n"/>
      <c r="E1536" s="16" t="n"/>
      <c r="F1536" s="18">
        <f>IF(OR(D1536="",E1536=""),"",D1536*E1536)</f>
        <v/>
      </c>
      <c r="G1536" s="15" t="n"/>
    </row>
    <row r="1537">
      <c r="A1537" s="19" t="n"/>
      <c r="B1537" s="15" t="n"/>
      <c r="C1537">
        <f>IF(B1537="","",IFERROR(INDEX(Items!$B$5:$B$304,MATCH(B1537,Items!$A$5:$A$304,0)),"Unknown code"))</f>
        <v/>
      </c>
      <c r="D1537" s="15" t="n"/>
      <c r="E1537" s="16" t="n"/>
      <c r="F1537" s="18">
        <f>IF(OR(D1537="",E1537=""),"",D1537*E1537)</f>
        <v/>
      </c>
      <c r="G1537" s="15" t="n"/>
    </row>
    <row r="1538">
      <c r="A1538" s="19" t="n"/>
      <c r="B1538" s="15" t="n"/>
      <c r="C1538">
        <f>IF(B1538="","",IFERROR(INDEX(Items!$B$5:$B$304,MATCH(B1538,Items!$A$5:$A$304,0)),"Unknown code"))</f>
        <v/>
      </c>
      <c r="D1538" s="15" t="n"/>
      <c r="E1538" s="16" t="n"/>
      <c r="F1538" s="18">
        <f>IF(OR(D1538="",E1538=""),"",D1538*E1538)</f>
        <v/>
      </c>
      <c r="G1538" s="15" t="n"/>
    </row>
    <row r="1539">
      <c r="A1539" s="19" t="n"/>
      <c r="B1539" s="15" t="n"/>
      <c r="C1539">
        <f>IF(B1539="","",IFERROR(INDEX(Items!$B$5:$B$304,MATCH(B1539,Items!$A$5:$A$304,0)),"Unknown code"))</f>
        <v/>
      </c>
      <c r="D1539" s="15" t="n"/>
      <c r="E1539" s="16" t="n"/>
      <c r="F1539" s="18">
        <f>IF(OR(D1539="",E1539=""),"",D1539*E1539)</f>
        <v/>
      </c>
      <c r="G1539" s="15" t="n"/>
    </row>
    <row r="1540">
      <c r="A1540" s="19" t="n"/>
      <c r="B1540" s="15" t="n"/>
      <c r="C1540">
        <f>IF(B1540="","",IFERROR(INDEX(Items!$B$5:$B$304,MATCH(B1540,Items!$A$5:$A$304,0)),"Unknown code"))</f>
        <v/>
      </c>
      <c r="D1540" s="15" t="n"/>
      <c r="E1540" s="16" t="n"/>
      <c r="F1540" s="18">
        <f>IF(OR(D1540="",E1540=""),"",D1540*E1540)</f>
        <v/>
      </c>
      <c r="G1540" s="15" t="n"/>
    </row>
    <row r="1541">
      <c r="A1541" s="19" t="n"/>
      <c r="B1541" s="15" t="n"/>
      <c r="C1541">
        <f>IF(B1541="","",IFERROR(INDEX(Items!$B$5:$B$304,MATCH(B1541,Items!$A$5:$A$304,0)),"Unknown code"))</f>
        <v/>
      </c>
      <c r="D1541" s="15" t="n"/>
      <c r="E1541" s="16" t="n"/>
      <c r="F1541" s="18">
        <f>IF(OR(D1541="",E1541=""),"",D1541*E1541)</f>
        <v/>
      </c>
      <c r="G1541" s="15" t="n"/>
    </row>
    <row r="1542">
      <c r="A1542" s="19" t="n"/>
      <c r="B1542" s="15" t="n"/>
      <c r="C1542">
        <f>IF(B1542="","",IFERROR(INDEX(Items!$B$5:$B$304,MATCH(B1542,Items!$A$5:$A$304,0)),"Unknown code"))</f>
        <v/>
      </c>
      <c r="D1542" s="15" t="n"/>
      <c r="E1542" s="16" t="n"/>
      <c r="F1542" s="18">
        <f>IF(OR(D1542="",E1542=""),"",D1542*E1542)</f>
        <v/>
      </c>
      <c r="G1542" s="15" t="n"/>
    </row>
    <row r="1543">
      <c r="A1543" s="19" t="n"/>
      <c r="B1543" s="15" t="n"/>
      <c r="C1543">
        <f>IF(B1543="","",IFERROR(INDEX(Items!$B$5:$B$304,MATCH(B1543,Items!$A$5:$A$304,0)),"Unknown code"))</f>
        <v/>
      </c>
      <c r="D1543" s="15" t="n"/>
      <c r="E1543" s="16" t="n"/>
      <c r="F1543" s="18">
        <f>IF(OR(D1543="",E1543=""),"",D1543*E1543)</f>
        <v/>
      </c>
      <c r="G1543" s="15" t="n"/>
    </row>
    <row r="1544">
      <c r="A1544" s="19" t="n"/>
      <c r="B1544" s="15" t="n"/>
      <c r="C1544">
        <f>IF(B1544="","",IFERROR(INDEX(Items!$B$5:$B$304,MATCH(B1544,Items!$A$5:$A$304,0)),"Unknown code"))</f>
        <v/>
      </c>
      <c r="D1544" s="15" t="n"/>
      <c r="E1544" s="16" t="n"/>
      <c r="F1544" s="18">
        <f>IF(OR(D1544="",E1544=""),"",D1544*E1544)</f>
        <v/>
      </c>
      <c r="G1544" s="15" t="n"/>
    </row>
    <row r="1545">
      <c r="A1545" s="19" t="n"/>
      <c r="B1545" s="15" t="n"/>
      <c r="C1545">
        <f>IF(B1545="","",IFERROR(INDEX(Items!$B$5:$B$304,MATCH(B1545,Items!$A$5:$A$304,0)),"Unknown code"))</f>
        <v/>
      </c>
      <c r="D1545" s="15" t="n"/>
      <c r="E1545" s="16" t="n"/>
      <c r="F1545" s="18">
        <f>IF(OR(D1545="",E1545=""),"",D1545*E1545)</f>
        <v/>
      </c>
      <c r="G1545" s="15" t="n"/>
    </row>
    <row r="1546">
      <c r="A1546" s="19" t="n"/>
      <c r="B1546" s="15" t="n"/>
      <c r="C1546">
        <f>IF(B1546="","",IFERROR(INDEX(Items!$B$5:$B$304,MATCH(B1546,Items!$A$5:$A$304,0)),"Unknown code"))</f>
        <v/>
      </c>
      <c r="D1546" s="15" t="n"/>
      <c r="E1546" s="16" t="n"/>
      <c r="F1546" s="18">
        <f>IF(OR(D1546="",E1546=""),"",D1546*E1546)</f>
        <v/>
      </c>
      <c r="G1546" s="15" t="n"/>
    </row>
    <row r="1547">
      <c r="A1547" s="19" t="n"/>
      <c r="B1547" s="15" t="n"/>
      <c r="C1547">
        <f>IF(B1547="","",IFERROR(INDEX(Items!$B$5:$B$304,MATCH(B1547,Items!$A$5:$A$304,0)),"Unknown code"))</f>
        <v/>
      </c>
      <c r="D1547" s="15" t="n"/>
      <c r="E1547" s="16" t="n"/>
      <c r="F1547" s="18">
        <f>IF(OR(D1547="",E1547=""),"",D1547*E1547)</f>
        <v/>
      </c>
      <c r="G1547" s="15" t="n"/>
    </row>
    <row r="1548">
      <c r="A1548" s="19" t="n"/>
      <c r="B1548" s="15" t="n"/>
      <c r="C1548">
        <f>IF(B1548="","",IFERROR(INDEX(Items!$B$5:$B$304,MATCH(B1548,Items!$A$5:$A$304,0)),"Unknown code"))</f>
        <v/>
      </c>
      <c r="D1548" s="15" t="n"/>
      <c r="E1548" s="16" t="n"/>
      <c r="F1548" s="18">
        <f>IF(OR(D1548="",E1548=""),"",D1548*E1548)</f>
        <v/>
      </c>
      <c r="G1548" s="15" t="n"/>
    </row>
    <row r="1549">
      <c r="A1549" s="19" t="n"/>
      <c r="B1549" s="15" t="n"/>
      <c r="C1549">
        <f>IF(B1549="","",IFERROR(INDEX(Items!$B$5:$B$304,MATCH(B1549,Items!$A$5:$A$304,0)),"Unknown code"))</f>
        <v/>
      </c>
      <c r="D1549" s="15" t="n"/>
      <c r="E1549" s="16" t="n"/>
      <c r="F1549" s="18">
        <f>IF(OR(D1549="",E1549=""),"",D1549*E1549)</f>
        <v/>
      </c>
      <c r="G1549" s="15" t="n"/>
    </row>
    <row r="1550">
      <c r="A1550" s="19" t="n"/>
      <c r="B1550" s="15" t="n"/>
      <c r="C1550">
        <f>IF(B1550="","",IFERROR(INDEX(Items!$B$5:$B$304,MATCH(B1550,Items!$A$5:$A$304,0)),"Unknown code"))</f>
        <v/>
      </c>
      <c r="D1550" s="15" t="n"/>
      <c r="E1550" s="16" t="n"/>
      <c r="F1550" s="18">
        <f>IF(OR(D1550="",E1550=""),"",D1550*E1550)</f>
        <v/>
      </c>
      <c r="G1550" s="15" t="n"/>
    </row>
    <row r="1551">
      <c r="A1551" s="19" t="n"/>
      <c r="B1551" s="15" t="n"/>
      <c r="C1551">
        <f>IF(B1551="","",IFERROR(INDEX(Items!$B$5:$B$304,MATCH(B1551,Items!$A$5:$A$304,0)),"Unknown code"))</f>
        <v/>
      </c>
      <c r="D1551" s="15" t="n"/>
      <c r="E1551" s="16" t="n"/>
      <c r="F1551" s="18">
        <f>IF(OR(D1551="",E1551=""),"",D1551*E1551)</f>
        <v/>
      </c>
      <c r="G1551" s="15" t="n"/>
    </row>
    <row r="1552">
      <c r="A1552" s="19" t="n"/>
      <c r="B1552" s="15" t="n"/>
      <c r="C1552">
        <f>IF(B1552="","",IFERROR(INDEX(Items!$B$5:$B$304,MATCH(B1552,Items!$A$5:$A$304,0)),"Unknown code"))</f>
        <v/>
      </c>
      <c r="D1552" s="15" t="n"/>
      <c r="E1552" s="16" t="n"/>
      <c r="F1552" s="18">
        <f>IF(OR(D1552="",E1552=""),"",D1552*E1552)</f>
        <v/>
      </c>
      <c r="G1552" s="15" t="n"/>
    </row>
    <row r="1553">
      <c r="A1553" s="19" t="n"/>
      <c r="B1553" s="15" t="n"/>
      <c r="C1553">
        <f>IF(B1553="","",IFERROR(INDEX(Items!$B$5:$B$304,MATCH(B1553,Items!$A$5:$A$304,0)),"Unknown code"))</f>
        <v/>
      </c>
      <c r="D1553" s="15" t="n"/>
      <c r="E1553" s="16" t="n"/>
      <c r="F1553" s="18">
        <f>IF(OR(D1553="",E1553=""),"",D1553*E1553)</f>
        <v/>
      </c>
      <c r="G1553" s="15" t="n"/>
    </row>
    <row r="1554">
      <c r="A1554" s="19" t="n"/>
      <c r="B1554" s="15" t="n"/>
      <c r="C1554">
        <f>IF(B1554="","",IFERROR(INDEX(Items!$B$5:$B$304,MATCH(B1554,Items!$A$5:$A$304,0)),"Unknown code"))</f>
        <v/>
      </c>
      <c r="D1554" s="15" t="n"/>
      <c r="E1554" s="16" t="n"/>
      <c r="F1554" s="18">
        <f>IF(OR(D1554="",E1554=""),"",D1554*E1554)</f>
        <v/>
      </c>
      <c r="G1554" s="15" t="n"/>
    </row>
    <row r="1555">
      <c r="A1555" s="19" t="n"/>
      <c r="B1555" s="15" t="n"/>
      <c r="C1555">
        <f>IF(B1555="","",IFERROR(INDEX(Items!$B$5:$B$304,MATCH(B1555,Items!$A$5:$A$304,0)),"Unknown code"))</f>
        <v/>
      </c>
      <c r="D1555" s="15" t="n"/>
      <c r="E1555" s="16" t="n"/>
      <c r="F1555" s="18">
        <f>IF(OR(D1555="",E1555=""),"",D1555*E1555)</f>
        <v/>
      </c>
      <c r="G1555" s="15" t="n"/>
    </row>
    <row r="1556">
      <c r="A1556" s="19" t="n"/>
      <c r="B1556" s="15" t="n"/>
      <c r="C1556">
        <f>IF(B1556="","",IFERROR(INDEX(Items!$B$5:$B$304,MATCH(B1556,Items!$A$5:$A$304,0)),"Unknown code"))</f>
        <v/>
      </c>
      <c r="D1556" s="15" t="n"/>
      <c r="E1556" s="16" t="n"/>
      <c r="F1556" s="18">
        <f>IF(OR(D1556="",E1556=""),"",D1556*E1556)</f>
        <v/>
      </c>
      <c r="G1556" s="15" t="n"/>
    </row>
    <row r="1557">
      <c r="A1557" s="19" t="n"/>
      <c r="B1557" s="15" t="n"/>
      <c r="C1557">
        <f>IF(B1557="","",IFERROR(INDEX(Items!$B$5:$B$304,MATCH(B1557,Items!$A$5:$A$304,0)),"Unknown code"))</f>
        <v/>
      </c>
      <c r="D1557" s="15" t="n"/>
      <c r="E1557" s="16" t="n"/>
      <c r="F1557" s="18">
        <f>IF(OR(D1557="",E1557=""),"",D1557*E1557)</f>
        <v/>
      </c>
      <c r="G1557" s="15" t="n"/>
    </row>
    <row r="1558">
      <c r="A1558" s="19" t="n"/>
      <c r="B1558" s="15" t="n"/>
      <c r="C1558">
        <f>IF(B1558="","",IFERROR(INDEX(Items!$B$5:$B$304,MATCH(B1558,Items!$A$5:$A$304,0)),"Unknown code"))</f>
        <v/>
      </c>
      <c r="D1558" s="15" t="n"/>
      <c r="E1558" s="16" t="n"/>
      <c r="F1558" s="18">
        <f>IF(OR(D1558="",E1558=""),"",D1558*E1558)</f>
        <v/>
      </c>
      <c r="G1558" s="15" t="n"/>
    </row>
    <row r="1559">
      <c r="A1559" s="19" t="n"/>
      <c r="B1559" s="15" t="n"/>
      <c r="C1559">
        <f>IF(B1559="","",IFERROR(INDEX(Items!$B$5:$B$304,MATCH(B1559,Items!$A$5:$A$304,0)),"Unknown code"))</f>
        <v/>
      </c>
      <c r="D1559" s="15" t="n"/>
      <c r="E1559" s="16" t="n"/>
      <c r="F1559" s="18">
        <f>IF(OR(D1559="",E1559=""),"",D1559*E1559)</f>
        <v/>
      </c>
      <c r="G1559" s="15" t="n"/>
    </row>
    <row r="1560">
      <c r="A1560" s="19" t="n"/>
      <c r="B1560" s="15" t="n"/>
      <c r="C1560">
        <f>IF(B1560="","",IFERROR(INDEX(Items!$B$5:$B$304,MATCH(B1560,Items!$A$5:$A$304,0)),"Unknown code"))</f>
        <v/>
      </c>
      <c r="D1560" s="15" t="n"/>
      <c r="E1560" s="16" t="n"/>
      <c r="F1560" s="18">
        <f>IF(OR(D1560="",E1560=""),"",D1560*E1560)</f>
        <v/>
      </c>
      <c r="G1560" s="15" t="n"/>
    </row>
    <row r="1561">
      <c r="A1561" s="19" t="n"/>
      <c r="B1561" s="15" t="n"/>
      <c r="C1561">
        <f>IF(B1561="","",IFERROR(INDEX(Items!$B$5:$B$304,MATCH(B1561,Items!$A$5:$A$304,0)),"Unknown code"))</f>
        <v/>
      </c>
      <c r="D1561" s="15" t="n"/>
      <c r="E1561" s="16" t="n"/>
      <c r="F1561" s="18">
        <f>IF(OR(D1561="",E1561=""),"",D1561*E1561)</f>
        <v/>
      </c>
      <c r="G1561" s="15" t="n"/>
    </row>
    <row r="1562">
      <c r="A1562" s="19" t="n"/>
      <c r="B1562" s="15" t="n"/>
      <c r="C1562">
        <f>IF(B1562="","",IFERROR(INDEX(Items!$B$5:$B$304,MATCH(B1562,Items!$A$5:$A$304,0)),"Unknown code"))</f>
        <v/>
      </c>
      <c r="D1562" s="15" t="n"/>
      <c r="E1562" s="16" t="n"/>
      <c r="F1562" s="18">
        <f>IF(OR(D1562="",E1562=""),"",D1562*E1562)</f>
        <v/>
      </c>
      <c r="G1562" s="15" t="n"/>
    </row>
    <row r="1563">
      <c r="A1563" s="19" t="n"/>
      <c r="B1563" s="15" t="n"/>
      <c r="C1563">
        <f>IF(B1563="","",IFERROR(INDEX(Items!$B$5:$B$304,MATCH(B1563,Items!$A$5:$A$304,0)),"Unknown code"))</f>
        <v/>
      </c>
      <c r="D1563" s="15" t="n"/>
      <c r="E1563" s="16" t="n"/>
      <c r="F1563" s="18">
        <f>IF(OR(D1563="",E1563=""),"",D1563*E1563)</f>
        <v/>
      </c>
      <c r="G1563" s="15" t="n"/>
    </row>
    <row r="1564">
      <c r="A1564" s="19" t="n"/>
      <c r="B1564" s="15" t="n"/>
      <c r="C1564">
        <f>IF(B1564="","",IFERROR(INDEX(Items!$B$5:$B$304,MATCH(B1564,Items!$A$5:$A$304,0)),"Unknown code"))</f>
        <v/>
      </c>
      <c r="D1564" s="15" t="n"/>
      <c r="E1564" s="16" t="n"/>
      <c r="F1564" s="18">
        <f>IF(OR(D1564="",E1564=""),"",D1564*E1564)</f>
        <v/>
      </c>
      <c r="G1564" s="15" t="n"/>
    </row>
    <row r="1565">
      <c r="A1565" s="19" t="n"/>
      <c r="B1565" s="15" t="n"/>
      <c r="C1565">
        <f>IF(B1565="","",IFERROR(INDEX(Items!$B$5:$B$304,MATCH(B1565,Items!$A$5:$A$304,0)),"Unknown code"))</f>
        <v/>
      </c>
      <c r="D1565" s="15" t="n"/>
      <c r="E1565" s="16" t="n"/>
      <c r="F1565" s="18">
        <f>IF(OR(D1565="",E1565=""),"",D1565*E1565)</f>
        <v/>
      </c>
      <c r="G1565" s="15" t="n"/>
    </row>
    <row r="1566">
      <c r="A1566" s="19" t="n"/>
      <c r="B1566" s="15" t="n"/>
      <c r="C1566">
        <f>IF(B1566="","",IFERROR(INDEX(Items!$B$5:$B$304,MATCH(B1566,Items!$A$5:$A$304,0)),"Unknown code"))</f>
        <v/>
      </c>
      <c r="D1566" s="15" t="n"/>
      <c r="E1566" s="16" t="n"/>
      <c r="F1566" s="18">
        <f>IF(OR(D1566="",E1566=""),"",D1566*E1566)</f>
        <v/>
      </c>
      <c r="G1566" s="15" t="n"/>
    </row>
    <row r="1567">
      <c r="A1567" s="19" t="n"/>
      <c r="B1567" s="15" t="n"/>
      <c r="C1567">
        <f>IF(B1567="","",IFERROR(INDEX(Items!$B$5:$B$304,MATCH(B1567,Items!$A$5:$A$304,0)),"Unknown code"))</f>
        <v/>
      </c>
      <c r="D1567" s="15" t="n"/>
      <c r="E1567" s="16" t="n"/>
      <c r="F1567" s="18">
        <f>IF(OR(D1567="",E1567=""),"",D1567*E1567)</f>
        <v/>
      </c>
      <c r="G1567" s="15" t="n"/>
    </row>
    <row r="1568">
      <c r="A1568" s="19" t="n"/>
      <c r="B1568" s="15" t="n"/>
      <c r="C1568">
        <f>IF(B1568="","",IFERROR(INDEX(Items!$B$5:$B$304,MATCH(B1568,Items!$A$5:$A$304,0)),"Unknown code"))</f>
        <v/>
      </c>
      <c r="D1568" s="15" t="n"/>
      <c r="E1568" s="16" t="n"/>
      <c r="F1568" s="18">
        <f>IF(OR(D1568="",E1568=""),"",D1568*E1568)</f>
        <v/>
      </c>
      <c r="G1568" s="15" t="n"/>
    </row>
    <row r="1569">
      <c r="A1569" s="19" t="n"/>
      <c r="B1569" s="15" t="n"/>
      <c r="C1569">
        <f>IF(B1569="","",IFERROR(INDEX(Items!$B$5:$B$304,MATCH(B1569,Items!$A$5:$A$304,0)),"Unknown code"))</f>
        <v/>
      </c>
      <c r="D1569" s="15" t="n"/>
      <c r="E1569" s="16" t="n"/>
      <c r="F1569" s="18">
        <f>IF(OR(D1569="",E1569=""),"",D1569*E1569)</f>
        <v/>
      </c>
      <c r="G1569" s="15" t="n"/>
    </row>
    <row r="1570">
      <c r="A1570" s="19" t="n"/>
      <c r="B1570" s="15" t="n"/>
      <c r="C1570">
        <f>IF(B1570="","",IFERROR(INDEX(Items!$B$5:$B$304,MATCH(B1570,Items!$A$5:$A$304,0)),"Unknown code"))</f>
        <v/>
      </c>
      <c r="D1570" s="15" t="n"/>
      <c r="E1570" s="16" t="n"/>
      <c r="F1570" s="18">
        <f>IF(OR(D1570="",E1570=""),"",D1570*E1570)</f>
        <v/>
      </c>
      <c r="G1570" s="15" t="n"/>
    </row>
    <row r="1571">
      <c r="A1571" s="19" t="n"/>
      <c r="B1571" s="15" t="n"/>
      <c r="C1571">
        <f>IF(B1571="","",IFERROR(INDEX(Items!$B$5:$B$304,MATCH(B1571,Items!$A$5:$A$304,0)),"Unknown code"))</f>
        <v/>
      </c>
      <c r="D1571" s="15" t="n"/>
      <c r="E1571" s="16" t="n"/>
      <c r="F1571" s="18">
        <f>IF(OR(D1571="",E1571=""),"",D1571*E1571)</f>
        <v/>
      </c>
      <c r="G1571" s="15" t="n"/>
    </row>
    <row r="1572">
      <c r="A1572" s="19" t="n"/>
      <c r="B1572" s="15" t="n"/>
      <c r="C1572">
        <f>IF(B1572="","",IFERROR(INDEX(Items!$B$5:$B$304,MATCH(B1572,Items!$A$5:$A$304,0)),"Unknown code"))</f>
        <v/>
      </c>
      <c r="D1572" s="15" t="n"/>
      <c r="E1572" s="16" t="n"/>
      <c r="F1572" s="18">
        <f>IF(OR(D1572="",E1572=""),"",D1572*E1572)</f>
        <v/>
      </c>
      <c r="G1572" s="15" t="n"/>
    </row>
    <row r="1573">
      <c r="A1573" s="19" t="n"/>
      <c r="B1573" s="15" t="n"/>
      <c r="C1573">
        <f>IF(B1573="","",IFERROR(INDEX(Items!$B$5:$B$304,MATCH(B1573,Items!$A$5:$A$304,0)),"Unknown code"))</f>
        <v/>
      </c>
      <c r="D1573" s="15" t="n"/>
      <c r="E1573" s="16" t="n"/>
      <c r="F1573" s="18">
        <f>IF(OR(D1573="",E1573=""),"",D1573*E1573)</f>
        <v/>
      </c>
      <c r="G1573" s="15" t="n"/>
    </row>
    <row r="1574">
      <c r="A1574" s="19" t="n"/>
      <c r="B1574" s="15" t="n"/>
      <c r="C1574">
        <f>IF(B1574="","",IFERROR(INDEX(Items!$B$5:$B$304,MATCH(B1574,Items!$A$5:$A$304,0)),"Unknown code"))</f>
        <v/>
      </c>
      <c r="D1574" s="15" t="n"/>
      <c r="E1574" s="16" t="n"/>
      <c r="F1574" s="18">
        <f>IF(OR(D1574="",E1574=""),"",D1574*E1574)</f>
        <v/>
      </c>
      <c r="G1574" s="15" t="n"/>
    </row>
    <row r="1575">
      <c r="A1575" s="19" t="n"/>
      <c r="B1575" s="15" t="n"/>
      <c r="C1575">
        <f>IF(B1575="","",IFERROR(INDEX(Items!$B$5:$B$304,MATCH(B1575,Items!$A$5:$A$304,0)),"Unknown code"))</f>
        <v/>
      </c>
      <c r="D1575" s="15" t="n"/>
      <c r="E1575" s="16" t="n"/>
      <c r="F1575" s="18">
        <f>IF(OR(D1575="",E1575=""),"",D1575*E1575)</f>
        <v/>
      </c>
      <c r="G1575" s="15" t="n"/>
    </row>
    <row r="1576">
      <c r="A1576" s="19" t="n"/>
      <c r="B1576" s="15" t="n"/>
      <c r="C1576">
        <f>IF(B1576="","",IFERROR(INDEX(Items!$B$5:$B$304,MATCH(B1576,Items!$A$5:$A$304,0)),"Unknown code"))</f>
        <v/>
      </c>
      <c r="D1576" s="15" t="n"/>
      <c r="E1576" s="16" t="n"/>
      <c r="F1576" s="18">
        <f>IF(OR(D1576="",E1576=""),"",D1576*E1576)</f>
        <v/>
      </c>
      <c r="G1576" s="15" t="n"/>
    </row>
    <row r="1577">
      <c r="A1577" s="19" t="n"/>
      <c r="B1577" s="15" t="n"/>
      <c r="C1577">
        <f>IF(B1577="","",IFERROR(INDEX(Items!$B$5:$B$304,MATCH(B1577,Items!$A$5:$A$304,0)),"Unknown code"))</f>
        <v/>
      </c>
      <c r="D1577" s="15" t="n"/>
      <c r="E1577" s="16" t="n"/>
      <c r="F1577" s="18">
        <f>IF(OR(D1577="",E1577=""),"",D1577*E1577)</f>
        <v/>
      </c>
      <c r="G1577" s="15" t="n"/>
    </row>
    <row r="1578">
      <c r="A1578" s="19" t="n"/>
      <c r="B1578" s="15" t="n"/>
      <c r="C1578">
        <f>IF(B1578="","",IFERROR(INDEX(Items!$B$5:$B$304,MATCH(B1578,Items!$A$5:$A$304,0)),"Unknown code"))</f>
        <v/>
      </c>
      <c r="D1578" s="15" t="n"/>
      <c r="E1578" s="16" t="n"/>
      <c r="F1578" s="18">
        <f>IF(OR(D1578="",E1578=""),"",D1578*E1578)</f>
        <v/>
      </c>
      <c r="G1578" s="15" t="n"/>
    </row>
    <row r="1579">
      <c r="A1579" s="19" t="n"/>
      <c r="B1579" s="15" t="n"/>
      <c r="C1579">
        <f>IF(B1579="","",IFERROR(INDEX(Items!$B$5:$B$304,MATCH(B1579,Items!$A$5:$A$304,0)),"Unknown code"))</f>
        <v/>
      </c>
      <c r="D1579" s="15" t="n"/>
      <c r="E1579" s="16" t="n"/>
      <c r="F1579" s="18">
        <f>IF(OR(D1579="",E1579=""),"",D1579*E1579)</f>
        <v/>
      </c>
      <c r="G1579" s="15" t="n"/>
    </row>
    <row r="1580">
      <c r="A1580" s="19" t="n"/>
      <c r="B1580" s="15" t="n"/>
      <c r="C1580">
        <f>IF(B1580="","",IFERROR(INDEX(Items!$B$5:$B$304,MATCH(B1580,Items!$A$5:$A$304,0)),"Unknown code"))</f>
        <v/>
      </c>
      <c r="D1580" s="15" t="n"/>
      <c r="E1580" s="16" t="n"/>
      <c r="F1580" s="18">
        <f>IF(OR(D1580="",E1580=""),"",D1580*E1580)</f>
        <v/>
      </c>
      <c r="G1580" s="15" t="n"/>
    </row>
    <row r="1581">
      <c r="A1581" s="19" t="n"/>
      <c r="B1581" s="15" t="n"/>
      <c r="C1581">
        <f>IF(B1581="","",IFERROR(INDEX(Items!$B$5:$B$304,MATCH(B1581,Items!$A$5:$A$304,0)),"Unknown code"))</f>
        <v/>
      </c>
      <c r="D1581" s="15" t="n"/>
      <c r="E1581" s="16" t="n"/>
      <c r="F1581" s="18">
        <f>IF(OR(D1581="",E1581=""),"",D1581*E1581)</f>
        <v/>
      </c>
      <c r="G1581" s="15" t="n"/>
    </row>
    <row r="1582">
      <c r="A1582" s="19" t="n"/>
      <c r="B1582" s="15" t="n"/>
      <c r="C1582">
        <f>IF(B1582="","",IFERROR(INDEX(Items!$B$5:$B$304,MATCH(B1582,Items!$A$5:$A$304,0)),"Unknown code"))</f>
        <v/>
      </c>
      <c r="D1582" s="15" t="n"/>
      <c r="E1582" s="16" t="n"/>
      <c r="F1582" s="18">
        <f>IF(OR(D1582="",E1582=""),"",D1582*E1582)</f>
        <v/>
      </c>
      <c r="G1582" s="15" t="n"/>
    </row>
    <row r="1583">
      <c r="A1583" s="19" t="n"/>
      <c r="B1583" s="15" t="n"/>
      <c r="C1583">
        <f>IF(B1583="","",IFERROR(INDEX(Items!$B$5:$B$304,MATCH(B1583,Items!$A$5:$A$304,0)),"Unknown code"))</f>
        <v/>
      </c>
      <c r="D1583" s="15" t="n"/>
      <c r="E1583" s="16" t="n"/>
      <c r="F1583" s="18">
        <f>IF(OR(D1583="",E1583=""),"",D1583*E1583)</f>
        <v/>
      </c>
      <c r="G1583" s="15" t="n"/>
    </row>
    <row r="1584">
      <c r="A1584" s="19" t="n"/>
      <c r="B1584" s="15" t="n"/>
      <c r="C1584">
        <f>IF(B1584="","",IFERROR(INDEX(Items!$B$5:$B$304,MATCH(B1584,Items!$A$5:$A$304,0)),"Unknown code"))</f>
        <v/>
      </c>
      <c r="D1584" s="15" t="n"/>
      <c r="E1584" s="16" t="n"/>
      <c r="F1584" s="18">
        <f>IF(OR(D1584="",E1584=""),"",D1584*E1584)</f>
        <v/>
      </c>
      <c r="G1584" s="15" t="n"/>
    </row>
    <row r="1585">
      <c r="A1585" s="19" t="n"/>
      <c r="B1585" s="15" t="n"/>
      <c r="C1585">
        <f>IF(B1585="","",IFERROR(INDEX(Items!$B$5:$B$304,MATCH(B1585,Items!$A$5:$A$304,0)),"Unknown code"))</f>
        <v/>
      </c>
      <c r="D1585" s="15" t="n"/>
      <c r="E1585" s="16" t="n"/>
      <c r="F1585" s="18">
        <f>IF(OR(D1585="",E1585=""),"",D1585*E1585)</f>
        <v/>
      </c>
      <c r="G1585" s="15" t="n"/>
    </row>
    <row r="1586">
      <c r="A1586" s="19" t="n"/>
      <c r="B1586" s="15" t="n"/>
      <c r="C1586">
        <f>IF(B1586="","",IFERROR(INDEX(Items!$B$5:$B$304,MATCH(B1586,Items!$A$5:$A$304,0)),"Unknown code"))</f>
        <v/>
      </c>
      <c r="D1586" s="15" t="n"/>
      <c r="E1586" s="16" t="n"/>
      <c r="F1586" s="18">
        <f>IF(OR(D1586="",E1586=""),"",D1586*E1586)</f>
        <v/>
      </c>
      <c r="G1586" s="15" t="n"/>
    </row>
    <row r="1587">
      <c r="A1587" s="19" t="n"/>
      <c r="B1587" s="15" t="n"/>
      <c r="C1587">
        <f>IF(B1587="","",IFERROR(INDEX(Items!$B$5:$B$304,MATCH(B1587,Items!$A$5:$A$304,0)),"Unknown code"))</f>
        <v/>
      </c>
      <c r="D1587" s="15" t="n"/>
      <c r="E1587" s="16" t="n"/>
      <c r="F1587" s="18">
        <f>IF(OR(D1587="",E1587=""),"",D1587*E1587)</f>
        <v/>
      </c>
      <c r="G1587" s="15" t="n"/>
    </row>
    <row r="1588">
      <c r="A1588" s="19" t="n"/>
      <c r="B1588" s="15" t="n"/>
      <c r="C1588">
        <f>IF(B1588="","",IFERROR(INDEX(Items!$B$5:$B$304,MATCH(B1588,Items!$A$5:$A$304,0)),"Unknown code"))</f>
        <v/>
      </c>
      <c r="D1588" s="15" t="n"/>
      <c r="E1588" s="16" t="n"/>
      <c r="F1588" s="18">
        <f>IF(OR(D1588="",E1588=""),"",D1588*E1588)</f>
        <v/>
      </c>
      <c r="G1588" s="15" t="n"/>
    </row>
    <row r="1589">
      <c r="A1589" s="19" t="n"/>
      <c r="B1589" s="15" t="n"/>
      <c r="C1589">
        <f>IF(B1589="","",IFERROR(INDEX(Items!$B$5:$B$304,MATCH(B1589,Items!$A$5:$A$304,0)),"Unknown code"))</f>
        <v/>
      </c>
      <c r="D1589" s="15" t="n"/>
      <c r="E1589" s="16" t="n"/>
      <c r="F1589" s="18">
        <f>IF(OR(D1589="",E1589=""),"",D1589*E1589)</f>
        <v/>
      </c>
      <c r="G1589" s="15" t="n"/>
    </row>
    <row r="1590">
      <c r="A1590" s="19" t="n"/>
      <c r="B1590" s="15" t="n"/>
      <c r="C1590">
        <f>IF(B1590="","",IFERROR(INDEX(Items!$B$5:$B$304,MATCH(B1590,Items!$A$5:$A$304,0)),"Unknown code"))</f>
        <v/>
      </c>
      <c r="D1590" s="15" t="n"/>
      <c r="E1590" s="16" t="n"/>
      <c r="F1590" s="18">
        <f>IF(OR(D1590="",E1590=""),"",D1590*E1590)</f>
        <v/>
      </c>
      <c r="G1590" s="15" t="n"/>
    </row>
    <row r="1591">
      <c r="A1591" s="19" t="n"/>
      <c r="B1591" s="15" t="n"/>
      <c r="C1591">
        <f>IF(B1591="","",IFERROR(INDEX(Items!$B$5:$B$304,MATCH(B1591,Items!$A$5:$A$304,0)),"Unknown code"))</f>
        <v/>
      </c>
      <c r="D1591" s="15" t="n"/>
      <c r="E1591" s="16" t="n"/>
      <c r="F1591" s="18">
        <f>IF(OR(D1591="",E1591=""),"",D1591*E1591)</f>
        <v/>
      </c>
      <c r="G1591" s="15" t="n"/>
    </row>
    <row r="1592">
      <c r="A1592" s="19" t="n"/>
      <c r="B1592" s="15" t="n"/>
      <c r="C1592">
        <f>IF(B1592="","",IFERROR(INDEX(Items!$B$5:$B$304,MATCH(B1592,Items!$A$5:$A$304,0)),"Unknown code"))</f>
        <v/>
      </c>
      <c r="D1592" s="15" t="n"/>
      <c r="E1592" s="16" t="n"/>
      <c r="F1592" s="18">
        <f>IF(OR(D1592="",E1592=""),"",D1592*E1592)</f>
        <v/>
      </c>
      <c r="G1592" s="15" t="n"/>
    </row>
    <row r="1593">
      <c r="A1593" s="19" t="n"/>
      <c r="B1593" s="15" t="n"/>
      <c r="C1593">
        <f>IF(B1593="","",IFERROR(INDEX(Items!$B$5:$B$304,MATCH(B1593,Items!$A$5:$A$304,0)),"Unknown code"))</f>
        <v/>
      </c>
      <c r="D1593" s="15" t="n"/>
      <c r="E1593" s="16" t="n"/>
      <c r="F1593" s="18">
        <f>IF(OR(D1593="",E1593=""),"",D1593*E1593)</f>
        <v/>
      </c>
      <c r="G1593" s="15" t="n"/>
    </row>
    <row r="1594">
      <c r="A1594" s="19" t="n"/>
      <c r="B1594" s="15" t="n"/>
      <c r="C1594">
        <f>IF(B1594="","",IFERROR(INDEX(Items!$B$5:$B$304,MATCH(B1594,Items!$A$5:$A$304,0)),"Unknown code"))</f>
        <v/>
      </c>
      <c r="D1594" s="15" t="n"/>
      <c r="E1594" s="16" t="n"/>
      <c r="F1594" s="18">
        <f>IF(OR(D1594="",E1594=""),"",D1594*E1594)</f>
        <v/>
      </c>
      <c r="G1594" s="15" t="n"/>
    </row>
    <row r="1595">
      <c r="A1595" s="19" t="n"/>
      <c r="B1595" s="15" t="n"/>
      <c r="C1595">
        <f>IF(B1595="","",IFERROR(INDEX(Items!$B$5:$B$304,MATCH(B1595,Items!$A$5:$A$304,0)),"Unknown code"))</f>
        <v/>
      </c>
      <c r="D1595" s="15" t="n"/>
      <c r="E1595" s="16" t="n"/>
      <c r="F1595" s="18">
        <f>IF(OR(D1595="",E1595=""),"",D1595*E1595)</f>
        <v/>
      </c>
      <c r="G1595" s="15" t="n"/>
    </row>
    <row r="1596">
      <c r="A1596" s="19" t="n"/>
      <c r="B1596" s="15" t="n"/>
      <c r="C1596">
        <f>IF(B1596="","",IFERROR(INDEX(Items!$B$5:$B$304,MATCH(B1596,Items!$A$5:$A$304,0)),"Unknown code"))</f>
        <v/>
      </c>
      <c r="D1596" s="15" t="n"/>
      <c r="E1596" s="16" t="n"/>
      <c r="F1596" s="18">
        <f>IF(OR(D1596="",E1596=""),"",D1596*E1596)</f>
        <v/>
      </c>
      <c r="G1596" s="15" t="n"/>
    </row>
    <row r="1597">
      <c r="A1597" s="19" t="n"/>
      <c r="B1597" s="15" t="n"/>
      <c r="C1597">
        <f>IF(B1597="","",IFERROR(INDEX(Items!$B$5:$B$304,MATCH(B1597,Items!$A$5:$A$304,0)),"Unknown code"))</f>
        <v/>
      </c>
      <c r="D1597" s="15" t="n"/>
      <c r="E1597" s="16" t="n"/>
      <c r="F1597" s="18">
        <f>IF(OR(D1597="",E1597=""),"",D1597*E1597)</f>
        <v/>
      </c>
      <c r="G1597" s="15" t="n"/>
    </row>
    <row r="1598">
      <c r="A1598" s="19" t="n"/>
      <c r="B1598" s="15" t="n"/>
      <c r="C1598">
        <f>IF(B1598="","",IFERROR(INDEX(Items!$B$5:$B$304,MATCH(B1598,Items!$A$5:$A$304,0)),"Unknown code"))</f>
        <v/>
      </c>
      <c r="D1598" s="15" t="n"/>
      <c r="E1598" s="16" t="n"/>
      <c r="F1598" s="18">
        <f>IF(OR(D1598="",E1598=""),"",D1598*E1598)</f>
        <v/>
      </c>
      <c r="G1598" s="15" t="n"/>
    </row>
    <row r="1599">
      <c r="A1599" s="19" t="n"/>
      <c r="B1599" s="15" t="n"/>
      <c r="C1599">
        <f>IF(B1599="","",IFERROR(INDEX(Items!$B$5:$B$304,MATCH(B1599,Items!$A$5:$A$304,0)),"Unknown code"))</f>
        <v/>
      </c>
      <c r="D1599" s="15" t="n"/>
      <c r="E1599" s="16" t="n"/>
      <c r="F1599" s="18">
        <f>IF(OR(D1599="",E1599=""),"",D1599*E1599)</f>
        <v/>
      </c>
      <c r="G1599" s="15" t="n"/>
    </row>
    <row r="1600">
      <c r="A1600" s="19" t="n"/>
      <c r="B1600" s="15" t="n"/>
      <c r="C1600">
        <f>IF(B1600="","",IFERROR(INDEX(Items!$B$5:$B$304,MATCH(B1600,Items!$A$5:$A$304,0)),"Unknown code"))</f>
        <v/>
      </c>
      <c r="D1600" s="15" t="n"/>
      <c r="E1600" s="16" t="n"/>
      <c r="F1600" s="18">
        <f>IF(OR(D1600="",E1600=""),"",D1600*E1600)</f>
        <v/>
      </c>
      <c r="G1600" s="15" t="n"/>
    </row>
    <row r="1601">
      <c r="A1601" s="19" t="n"/>
      <c r="B1601" s="15" t="n"/>
      <c r="C1601">
        <f>IF(B1601="","",IFERROR(INDEX(Items!$B$5:$B$304,MATCH(B1601,Items!$A$5:$A$304,0)),"Unknown code"))</f>
        <v/>
      </c>
      <c r="D1601" s="15" t="n"/>
      <c r="E1601" s="16" t="n"/>
      <c r="F1601" s="18">
        <f>IF(OR(D1601="",E1601=""),"",D1601*E1601)</f>
        <v/>
      </c>
      <c r="G1601" s="15" t="n"/>
    </row>
    <row r="1602">
      <c r="A1602" s="19" t="n"/>
      <c r="B1602" s="15" t="n"/>
      <c r="C1602">
        <f>IF(B1602="","",IFERROR(INDEX(Items!$B$5:$B$304,MATCH(B1602,Items!$A$5:$A$304,0)),"Unknown code"))</f>
        <v/>
      </c>
      <c r="D1602" s="15" t="n"/>
      <c r="E1602" s="16" t="n"/>
      <c r="F1602" s="18">
        <f>IF(OR(D1602="",E1602=""),"",D1602*E1602)</f>
        <v/>
      </c>
      <c r="G1602" s="15" t="n"/>
    </row>
    <row r="1603">
      <c r="A1603" s="19" t="n"/>
      <c r="B1603" s="15" t="n"/>
      <c r="C1603">
        <f>IF(B1603="","",IFERROR(INDEX(Items!$B$5:$B$304,MATCH(B1603,Items!$A$5:$A$304,0)),"Unknown code"))</f>
        <v/>
      </c>
      <c r="D1603" s="15" t="n"/>
      <c r="E1603" s="16" t="n"/>
      <c r="F1603" s="18">
        <f>IF(OR(D1603="",E1603=""),"",D1603*E1603)</f>
        <v/>
      </c>
      <c r="G1603" s="15" t="n"/>
    </row>
    <row r="1604">
      <c r="A1604" s="19" t="n"/>
      <c r="B1604" s="15" t="n"/>
      <c r="C1604">
        <f>IF(B1604="","",IFERROR(INDEX(Items!$B$5:$B$304,MATCH(B1604,Items!$A$5:$A$304,0)),"Unknown code"))</f>
        <v/>
      </c>
      <c r="D1604" s="15" t="n"/>
      <c r="E1604" s="16" t="n"/>
      <c r="F1604" s="18">
        <f>IF(OR(D1604="",E1604=""),"",D1604*E1604)</f>
        <v/>
      </c>
      <c r="G1604" s="15" t="n"/>
    </row>
    <row r="1605">
      <c r="A1605" s="19" t="n"/>
      <c r="B1605" s="15" t="n"/>
      <c r="C1605">
        <f>IF(B1605="","",IFERROR(INDEX(Items!$B$5:$B$304,MATCH(B1605,Items!$A$5:$A$304,0)),"Unknown code"))</f>
        <v/>
      </c>
      <c r="D1605" s="15" t="n"/>
      <c r="E1605" s="16" t="n"/>
      <c r="F1605" s="18">
        <f>IF(OR(D1605="",E1605=""),"",D1605*E1605)</f>
        <v/>
      </c>
      <c r="G1605" s="15" t="n"/>
    </row>
    <row r="1606">
      <c r="A1606" s="19" t="n"/>
      <c r="B1606" s="15" t="n"/>
      <c r="C1606">
        <f>IF(B1606="","",IFERROR(INDEX(Items!$B$5:$B$304,MATCH(B1606,Items!$A$5:$A$304,0)),"Unknown code"))</f>
        <v/>
      </c>
      <c r="D1606" s="15" t="n"/>
      <c r="E1606" s="16" t="n"/>
      <c r="F1606" s="18">
        <f>IF(OR(D1606="",E1606=""),"",D1606*E1606)</f>
        <v/>
      </c>
      <c r="G1606" s="15" t="n"/>
    </row>
    <row r="1607">
      <c r="A1607" s="19" t="n"/>
      <c r="B1607" s="15" t="n"/>
      <c r="C1607">
        <f>IF(B1607="","",IFERROR(INDEX(Items!$B$5:$B$304,MATCH(B1607,Items!$A$5:$A$304,0)),"Unknown code"))</f>
        <v/>
      </c>
      <c r="D1607" s="15" t="n"/>
      <c r="E1607" s="16" t="n"/>
      <c r="F1607" s="18">
        <f>IF(OR(D1607="",E1607=""),"",D1607*E1607)</f>
        <v/>
      </c>
      <c r="G1607" s="15" t="n"/>
    </row>
    <row r="1608">
      <c r="A1608" s="19" t="n"/>
      <c r="B1608" s="15" t="n"/>
      <c r="C1608">
        <f>IF(B1608="","",IFERROR(INDEX(Items!$B$5:$B$304,MATCH(B1608,Items!$A$5:$A$304,0)),"Unknown code"))</f>
        <v/>
      </c>
      <c r="D1608" s="15" t="n"/>
      <c r="E1608" s="16" t="n"/>
      <c r="F1608" s="18">
        <f>IF(OR(D1608="",E1608=""),"",D1608*E1608)</f>
        <v/>
      </c>
      <c r="G1608" s="15" t="n"/>
    </row>
    <row r="1609">
      <c r="A1609" s="19" t="n"/>
      <c r="B1609" s="15" t="n"/>
      <c r="C1609">
        <f>IF(B1609="","",IFERROR(INDEX(Items!$B$5:$B$304,MATCH(B1609,Items!$A$5:$A$304,0)),"Unknown code"))</f>
        <v/>
      </c>
      <c r="D1609" s="15" t="n"/>
      <c r="E1609" s="16" t="n"/>
      <c r="F1609" s="18">
        <f>IF(OR(D1609="",E1609=""),"",D1609*E1609)</f>
        <v/>
      </c>
      <c r="G1609" s="15" t="n"/>
    </row>
    <row r="1610">
      <c r="A1610" s="19" t="n"/>
      <c r="B1610" s="15" t="n"/>
      <c r="C1610">
        <f>IF(B1610="","",IFERROR(INDEX(Items!$B$5:$B$304,MATCH(B1610,Items!$A$5:$A$304,0)),"Unknown code"))</f>
        <v/>
      </c>
      <c r="D1610" s="15" t="n"/>
      <c r="E1610" s="16" t="n"/>
      <c r="F1610" s="18">
        <f>IF(OR(D1610="",E1610=""),"",D1610*E1610)</f>
        <v/>
      </c>
      <c r="G1610" s="15" t="n"/>
    </row>
    <row r="1611">
      <c r="A1611" s="19" t="n"/>
      <c r="B1611" s="15" t="n"/>
      <c r="C1611">
        <f>IF(B1611="","",IFERROR(INDEX(Items!$B$5:$B$304,MATCH(B1611,Items!$A$5:$A$304,0)),"Unknown code"))</f>
        <v/>
      </c>
      <c r="D1611" s="15" t="n"/>
      <c r="E1611" s="16" t="n"/>
      <c r="F1611" s="18">
        <f>IF(OR(D1611="",E1611=""),"",D1611*E1611)</f>
        <v/>
      </c>
      <c r="G1611" s="15" t="n"/>
    </row>
    <row r="1612">
      <c r="A1612" s="19" t="n"/>
      <c r="B1612" s="15" t="n"/>
      <c r="C1612">
        <f>IF(B1612="","",IFERROR(INDEX(Items!$B$5:$B$304,MATCH(B1612,Items!$A$5:$A$304,0)),"Unknown code"))</f>
        <v/>
      </c>
      <c r="D1612" s="15" t="n"/>
      <c r="E1612" s="16" t="n"/>
      <c r="F1612" s="18">
        <f>IF(OR(D1612="",E1612=""),"",D1612*E1612)</f>
        <v/>
      </c>
      <c r="G1612" s="15" t="n"/>
    </row>
    <row r="1613">
      <c r="A1613" s="19" t="n"/>
      <c r="B1613" s="15" t="n"/>
      <c r="C1613">
        <f>IF(B1613="","",IFERROR(INDEX(Items!$B$5:$B$304,MATCH(B1613,Items!$A$5:$A$304,0)),"Unknown code"))</f>
        <v/>
      </c>
      <c r="D1613" s="15" t="n"/>
      <c r="E1613" s="16" t="n"/>
      <c r="F1613" s="18">
        <f>IF(OR(D1613="",E1613=""),"",D1613*E1613)</f>
        <v/>
      </c>
      <c r="G1613" s="15" t="n"/>
    </row>
    <row r="1614">
      <c r="A1614" s="19" t="n"/>
      <c r="B1614" s="15" t="n"/>
      <c r="C1614">
        <f>IF(B1614="","",IFERROR(INDEX(Items!$B$5:$B$304,MATCH(B1614,Items!$A$5:$A$304,0)),"Unknown code"))</f>
        <v/>
      </c>
      <c r="D1614" s="15" t="n"/>
      <c r="E1614" s="16" t="n"/>
      <c r="F1614" s="18">
        <f>IF(OR(D1614="",E1614=""),"",D1614*E1614)</f>
        <v/>
      </c>
      <c r="G1614" s="15" t="n"/>
    </row>
    <row r="1615">
      <c r="A1615" s="19" t="n"/>
      <c r="B1615" s="15" t="n"/>
      <c r="C1615">
        <f>IF(B1615="","",IFERROR(INDEX(Items!$B$5:$B$304,MATCH(B1615,Items!$A$5:$A$304,0)),"Unknown code"))</f>
        <v/>
      </c>
      <c r="D1615" s="15" t="n"/>
      <c r="E1615" s="16" t="n"/>
      <c r="F1615" s="18">
        <f>IF(OR(D1615="",E1615=""),"",D1615*E1615)</f>
        <v/>
      </c>
      <c r="G1615" s="15" t="n"/>
    </row>
    <row r="1616">
      <c r="A1616" s="19" t="n"/>
      <c r="B1616" s="15" t="n"/>
      <c r="C1616">
        <f>IF(B1616="","",IFERROR(INDEX(Items!$B$5:$B$304,MATCH(B1616,Items!$A$5:$A$304,0)),"Unknown code"))</f>
        <v/>
      </c>
      <c r="D1616" s="15" t="n"/>
      <c r="E1616" s="16" t="n"/>
      <c r="F1616" s="18">
        <f>IF(OR(D1616="",E1616=""),"",D1616*E1616)</f>
        <v/>
      </c>
      <c r="G1616" s="15" t="n"/>
    </row>
    <row r="1617">
      <c r="A1617" s="19" t="n"/>
      <c r="B1617" s="15" t="n"/>
      <c r="C1617">
        <f>IF(B1617="","",IFERROR(INDEX(Items!$B$5:$B$304,MATCH(B1617,Items!$A$5:$A$304,0)),"Unknown code"))</f>
        <v/>
      </c>
      <c r="D1617" s="15" t="n"/>
      <c r="E1617" s="16" t="n"/>
      <c r="F1617" s="18">
        <f>IF(OR(D1617="",E1617=""),"",D1617*E1617)</f>
        <v/>
      </c>
      <c r="G1617" s="15" t="n"/>
    </row>
    <row r="1618">
      <c r="A1618" s="19" t="n"/>
      <c r="B1618" s="15" t="n"/>
      <c r="C1618">
        <f>IF(B1618="","",IFERROR(INDEX(Items!$B$5:$B$304,MATCH(B1618,Items!$A$5:$A$304,0)),"Unknown code"))</f>
        <v/>
      </c>
      <c r="D1618" s="15" t="n"/>
      <c r="E1618" s="16" t="n"/>
      <c r="F1618" s="18">
        <f>IF(OR(D1618="",E1618=""),"",D1618*E1618)</f>
        <v/>
      </c>
      <c r="G1618" s="15" t="n"/>
    </row>
    <row r="1619">
      <c r="A1619" s="19" t="n"/>
      <c r="B1619" s="15" t="n"/>
      <c r="C1619">
        <f>IF(B1619="","",IFERROR(INDEX(Items!$B$5:$B$304,MATCH(B1619,Items!$A$5:$A$304,0)),"Unknown code"))</f>
        <v/>
      </c>
      <c r="D1619" s="15" t="n"/>
      <c r="E1619" s="16" t="n"/>
      <c r="F1619" s="18">
        <f>IF(OR(D1619="",E1619=""),"",D1619*E1619)</f>
        <v/>
      </c>
      <c r="G1619" s="15" t="n"/>
    </row>
    <row r="1620">
      <c r="A1620" s="19" t="n"/>
      <c r="B1620" s="15" t="n"/>
      <c r="C1620">
        <f>IF(B1620="","",IFERROR(INDEX(Items!$B$5:$B$304,MATCH(B1620,Items!$A$5:$A$304,0)),"Unknown code"))</f>
        <v/>
      </c>
      <c r="D1620" s="15" t="n"/>
      <c r="E1620" s="16" t="n"/>
      <c r="F1620" s="18">
        <f>IF(OR(D1620="",E1620=""),"",D1620*E1620)</f>
        <v/>
      </c>
      <c r="G1620" s="15" t="n"/>
    </row>
    <row r="1621">
      <c r="A1621" s="19" t="n"/>
      <c r="B1621" s="15" t="n"/>
      <c r="C1621">
        <f>IF(B1621="","",IFERROR(INDEX(Items!$B$5:$B$304,MATCH(B1621,Items!$A$5:$A$304,0)),"Unknown code"))</f>
        <v/>
      </c>
      <c r="D1621" s="15" t="n"/>
      <c r="E1621" s="16" t="n"/>
      <c r="F1621" s="18">
        <f>IF(OR(D1621="",E1621=""),"",D1621*E1621)</f>
        <v/>
      </c>
      <c r="G1621" s="15" t="n"/>
    </row>
    <row r="1622">
      <c r="A1622" s="19" t="n"/>
      <c r="B1622" s="15" t="n"/>
      <c r="C1622">
        <f>IF(B1622="","",IFERROR(INDEX(Items!$B$5:$B$304,MATCH(B1622,Items!$A$5:$A$304,0)),"Unknown code"))</f>
        <v/>
      </c>
      <c r="D1622" s="15" t="n"/>
      <c r="E1622" s="16" t="n"/>
      <c r="F1622" s="18">
        <f>IF(OR(D1622="",E1622=""),"",D1622*E1622)</f>
        <v/>
      </c>
      <c r="G1622" s="15" t="n"/>
    </row>
    <row r="1623">
      <c r="A1623" s="19" t="n"/>
      <c r="B1623" s="15" t="n"/>
      <c r="C1623">
        <f>IF(B1623="","",IFERROR(INDEX(Items!$B$5:$B$304,MATCH(B1623,Items!$A$5:$A$304,0)),"Unknown code"))</f>
        <v/>
      </c>
      <c r="D1623" s="15" t="n"/>
      <c r="E1623" s="16" t="n"/>
      <c r="F1623" s="18">
        <f>IF(OR(D1623="",E1623=""),"",D1623*E1623)</f>
        <v/>
      </c>
      <c r="G1623" s="15" t="n"/>
    </row>
    <row r="1624">
      <c r="A1624" s="19" t="n"/>
      <c r="B1624" s="15" t="n"/>
      <c r="C1624">
        <f>IF(B1624="","",IFERROR(INDEX(Items!$B$5:$B$304,MATCH(B1624,Items!$A$5:$A$304,0)),"Unknown code"))</f>
        <v/>
      </c>
      <c r="D1624" s="15" t="n"/>
      <c r="E1624" s="16" t="n"/>
      <c r="F1624" s="18">
        <f>IF(OR(D1624="",E1624=""),"",D1624*E1624)</f>
        <v/>
      </c>
      <c r="G1624" s="15" t="n"/>
    </row>
    <row r="1625">
      <c r="A1625" s="19" t="n"/>
      <c r="B1625" s="15" t="n"/>
      <c r="C1625">
        <f>IF(B1625="","",IFERROR(INDEX(Items!$B$5:$B$304,MATCH(B1625,Items!$A$5:$A$304,0)),"Unknown code"))</f>
        <v/>
      </c>
      <c r="D1625" s="15" t="n"/>
      <c r="E1625" s="16" t="n"/>
      <c r="F1625" s="18">
        <f>IF(OR(D1625="",E1625=""),"",D1625*E1625)</f>
        <v/>
      </c>
      <c r="G1625" s="15" t="n"/>
    </row>
    <row r="1626">
      <c r="A1626" s="19" t="n"/>
      <c r="B1626" s="15" t="n"/>
      <c r="C1626">
        <f>IF(B1626="","",IFERROR(INDEX(Items!$B$5:$B$304,MATCH(B1626,Items!$A$5:$A$304,0)),"Unknown code"))</f>
        <v/>
      </c>
      <c r="D1626" s="15" t="n"/>
      <c r="E1626" s="16" t="n"/>
      <c r="F1626" s="18">
        <f>IF(OR(D1626="",E1626=""),"",D1626*E1626)</f>
        <v/>
      </c>
      <c r="G1626" s="15" t="n"/>
    </row>
    <row r="1627">
      <c r="A1627" s="19" t="n"/>
      <c r="B1627" s="15" t="n"/>
      <c r="C1627">
        <f>IF(B1627="","",IFERROR(INDEX(Items!$B$5:$B$304,MATCH(B1627,Items!$A$5:$A$304,0)),"Unknown code"))</f>
        <v/>
      </c>
      <c r="D1627" s="15" t="n"/>
      <c r="E1627" s="16" t="n"/>
      <c r="F1627" s="18">
        <f>IF(OR(D1627="",E1627=""),"",D1627*E1627)</f>
        <v/>
      </c>
      <c r="G1627" s="15" t="n"/>
    </row>
    <row r="1628">
      <c r="A1628" s="19" t="n"/>
      <c r="B1628" s="15" t="n"/>
      <c r="C1628">
        <f>IF(B1628="","",IFERROR(INDEX(Items!$B$5:$B$304,MATCH(B1628,Items!$A$5:$A$304,0)),"Unknown code"))</f>
        <v/>
      </c>
      <c r="D1628" s="15" t="n"/>
      <c r="E1628" s="16" t="n"/>
      <c r="F1628" s="18">
        <f>IF(OR(D1628="",E1628=""),"",D1628*E1628)</f>
        <v/>
      </c>
      <c r="G1628" s="15" t="n"/>
    </row>
    <row r="1629">
      <c r="A1629" s="19" t="n"/>
      <c r="B1629" s="15" t="n"/>
      <c r="C1629">
        <f>IF(B1629="","",IFERROR(INDEX(Items!$B$5:$B$304,MATCH(B1629,Items!$A$5:$A$304,0)),"Unknown code"))</f>
        <v/>
      </c>
      <c r="D1629" s="15" t="n"/>
      <c r="E1629" s="16" t="n"/>
      <c r="F1629" s="18">
        <f>IF(OR(D1629="",E1629=""),"",D1629*E1629)</f>
        <v/>
      </c>
      <c r="G1629" s="15" t="n"/>
    </row>
    <row r="1630">
      <c r="A1630" s="19" t="n"/>
      <c r="B1630" s="15" t="n"/>
      <c r="C1630">
        <f>IF(B1630="","",IFERROR(INDEX(Items!$B$5:$B$304,MATCH(B1630,Items!$A$5:$A$304,0)),"Unknown code"))</f>
        <v/>
      </c>
      <c r="D1630" s="15" t="n"/>
      <c r="E1630" s="16" t="n"/>
      <c r="F1630" s="18">
        <f>IF(OR(D1630="",E1630=""),"",D1630*E1630)</f>
        <v/>
      </c>
      <c r="G1630" s="15" t="n"/>
    </row>
    <row r="1631">
      <c r="A1631" s="19" t="n"/>
      <c r="B1631" s="15" t="n"/>
      <c r="C1631">
        <f>IF(B1631="","",IFERROR(INDEX(Items!$B$5:$B$304,MATCH(B1631,Items!$A$5:$A$304,0)),"Unknown code"))</f>
        <v/>
      </c>
      <c r="D1631" s="15" t="n"/>
      <c r="E1631" s="16" t="n"/>
      <c r="F1631" s="18">
        <f>IF(OR(D1631="",E1631=""),"",D1631*E1631)</f>
        <v/>
      </c>
      <c r="G1631" s="15" t="n"/>
    </row>
    <row r="1632">
      <c r="A1632" s="19" t="n"/>
      <c r="B1632" s="15" t="n"/>
      <c r="C1632">
        <f>IF(B1632="","",IFERROR(INDEX(Items!$B$5:$B$304,MATCH(B1632,Items!$A$5:$A$304,0)),"Unknown code"))</f>
        <v/>
      </c>
      <c r="D1632" s="15" t="n"/>
      <c r="E1632" s="16" t="n"/>
      <c r="F1632" s="18">
        <f>IF(OR(D1632="",E1632=""),"",D1632*E1632)</f>
        <v/>
      </c>
      <c r="G1632" s="15" t="n"/>
    </row>
    <row r="1633">
      <c r="A1633" s="19" t="n"/>
      <c r="B1633" s="15" t="n"/>
      <c r="C1633">
        <f>IF(B1633="","",IFERROR(INDEX(Items!$B$5:$B$304,MATCH(B1633,Items!$A$5:$A$304,0)),"Unknown code"))</f>
        <v/>
      </c>
      <c r="D1633" s="15" t="n"/>
      <c r="E1633" s="16" t="n"/>
      <c r="F1633" s="18">
        <f>IF(OR(D1633="",E1633=""),"",D1633*E1633)</f>
        <v/>
      </c>
      <c r="G1633" s="15" t="n"/>
    </row>
    <row r="1634">
      <c r="A1634" s="19" t="n"/>
      <c r="B1634" s="15" t="n"/>
      <c r="C1634">
        <f>IF(B1634="","",IFERROR(INDEX(Items!$B$5:$B$304,MATCH(B1634,Items!$A$5:$A$304,0)),"Unknown code"))</f>
        <v/>
      </c>
      <c r="D1634" s="15" t="n"/>
      <c r="E1634" s="16" t="n"/>
      <c r="F1634" s="18">
        <f>IF(OR(D1634="",E1634=""),"",D1634*E1634)</f>
        <v/>
      </c>
      <c r="G1634" s="15" t="n"/>
    </row>
    <row r="1635">
      <c r="A1635" s="19" t="n"/>
      <c r="B1635" s="15" t="n"/>
      <c r="C1635">
        <f>IF(B1635="","",IFERROR(INDEX(Items!$B$5:$B$304,MATCH(B1635,Items!$A$5:$A$304,0)),"Unknown code"))</f>
        <v/>
      </c>
      <c r="D1635" s="15" t="n"/>
      <c r="E1635" s="16" t="n"/>
      <c r="F1635" s="18">
        <f>IF(OR(D1635="",E1635=""),"",D1635*E1635)</f>
        <v/>
      </c>
      <c r="G1635" s="15" t="n"/>
    </row>
    <row r="1636">
      <c r="A1636" s="19" t="n"/>
      <c r="B1636" s="15" t="n"/>
      <c r="C1636">
        <f>IF(B1636="","",IFERROR(INDEX(Items!$B$5:$B$304,MATCH(B1636,Items!$A$5:$A$304,0)),"Unknown code"))</f>
        <v/>
      </c>
      <c r="D1636" s="15" t="n"/>
      <c r="E1636" s="16" t="n"/>
      <c r="F1636" s="18">
        <f>IF(OR(D1636="",E1636=""),"",D1636*E1636)</f>
        <v/>
      </c>
      <c r="G1636" s="15" t="n"/>
    </row>
    <row r="1637">
      <c r="A1637" s="19" t="n"/>
      <c r="B1637" s="15" t="n"/>
      <c r="C1637">
        <f>IF(B1637="","",IFERROR(INDEX(Items!$B$5:$B$304,MATCH(B1637,Items!$A$5:$A$304,0)),"Unknown code"))</f>
        <v/>
      </c>
      <c r="D1637" s="15" t="n"/>
      <c r="E1637" s="16" t="n"/>
      <c r="F1637" s="18">
        <f>IF(OR(D1637="",E1637=""),"",D1637*E1637)</f>
        <v/>
      </c>
      <c r="G1637" s="15" t="n"/>
    </row>
    <row r="1638">
      <c r="A1638" s="19" t="n"/>
      <c r="B1638" s="15" t="n"/>
      <c r="C1638">
        <f>IF(B1638="","",IFERROR(INDEX(Items!$B$5:$B$304,MATCH(B1638,Items!$A$5:$A$304,0)),"Unknown code"))</f>
        <v/>
      </c>
      <c r="D1638" s="15" t="n"/>
      <c r="E1638" s="16" t="n"/>
      <c r="F1638" s="18">
        <f>IF(OR(D1638="",E1638=""),"",D1638*E1638)</f>
        <v/>
      </c>
      <c r="G1638" s="15" t="n"/>
    </row>
    <row r="1639">
      <c r="A1639" s="19" t="n"/>
      <c r="B1639" s="15" t="n"/>
      <c r="C1639">
        <f>IF(B1639="","",IFERROR(INDEX(Items!$B$5:$B$304,MATCH(B1639,Items!$A$5:$A$304,0)),"Unknown code"))</f>
        <v/>
      </c>
      <c r="D1639" s="15" t="n"/>
      <c r="E1639" s="16" t="n"/>
      <c r="F1639" s="18">
        <f>IF(OR(D1639="",E1639=""),"",D1639*E1639)</f>
        <v/>
      </c>
      <c r="G1639" s="15" t="n"/>
    </row>
    <row r="1640">
      <c r="A1640" s="19" t="n"/>
      <c r="B1640" s="15" t="n"/>
      <c r="C1640">
        <f>IF(B1640="","",IFERROR(INDEX(Items!$B$5:$B$304,MATCH(B1640,Items!$A$5:$A$304,0)),"Unknown code"))</f>
        <v/>
      </c>
      <c r="D1640" s="15" t="n"/>
      <c r="E1640" s="16" t="n"/>
      <c r="F1640" s="18">
        <f>IF(OR(D1640="",E1640=""),"",D1640*E1640)</f>
        <v/>
      </c>
      <c r="G1640" s="15" t="n"/>
    </row>
    <row r="1641">
      <c r="A1641" s="19" t="n"/>
      <c r="B1641" s="15" t="n"/>
      <c r="C1641">
        <f>IF(B1641="","",IFERROR(INDEX(Items!$B$5:$B$304,MATCH(B1641,Items!$A$5:$A$304,0)),"Unknown code"))</f>
        <v/>
      </c>
      <c r="D1641" s="15" t="n"/>
      <c r="E1641" s="16" t="n"/>
      <c r="F1641" s="18">
        <f>IF(OR(D1641="",E1641=""),"",D1641*E1641)</f>
        <v/>
      </c>
      <c r="G1641" s="15" t="n"/>
    </row>
    <row r="1642">
      <c r="A1642" s="19" t="n"/>
      <c r="B1642" s="15" t="n"/>
      <c r="C1642">
        <f>IF(B1642="","",IFERROR(INDEX(Items!$B$5:$B$304,MATCH(B1642,Items!$A$5:$A$304,0)),"Unknown code"))</f>
        <v/>
      </c>
      <c r="D1642" s="15" t="n"/>
      <c r="E1642" s="16" t="n"/>
      <c r="F1642" s="18">
        <f>IF(OR(D1642="",E1642=""),"",D1642*E1642)</f>
        <v/>
      </c>
      <c r="G1642" s="15" t="n"/>
    </row>
    <row r="1643">
      <c r="A1643" s="19" t="n"/>
      <c r="B1643" s="15" t="n"/>
      <c r="C1643">
        <f>IF(B1643="","",IFERROR(INDEX(Items!$B$5:$B$304,MATCH(B1643,Items!$A$5:$A$304,0)),"Unknown code"))</f>
        <v/>
      </c>
      <c r="D1643" s="15" t="n"/>
      <c r="E1643" s="16" t="n"/>
      <c r="F1643" s="18">
        <f>IF(OR(D1643="",E1643=""),"",D1643*E1643)</f>
        <v/>
      </c>
      <c r="G1643" s="15" t="n"/>
    </row>
    <row r="1644">
      <c r="A1644" s="19" t="n"/>
      <c r="B1644" s="15" t="n"/>
      <c r="C1644">
        <f>IF(B1644="","",IFERROR(INDEX(Items!$B$5:$B$304,MATCH(B1644,Items!$A$5:$A$304,0)),"Unknown code"))</f>
        <v/>
      </c>
      <c r="D1644" s="15" t="n"/>
      <c r="E1644" s="16" t="n"/>
      <c r="F1644" s="18">
        <f>IF(OR(D1644="",E1644=""),"",D1644*E1644)</f>
        <v/>
      </c>
      <c r="G1644" s="15" t="n"/>
    </row>
    <row r="1645">
      <c r="A1645" s="19" t="n"/>
      <c r="B1645" s="15" t="n"/>
      <c r="C1645">
        <f>IF(B1645="","",IFERROR(INDEX(Items!$B$5:$B$304,MATCH(B1645,Items!$A$5:$A$304,0)),"Unknown code"))</f>
        <v/>
      </c>
      <c r="D1645" s="15" t="n"/>
      <c r="E1645" s="16" t="n"/>
      <c r="F1645" s="18">
        <f>IF(OR(D1645="",E1645=""),"",D1645*E1645)</f>
        <v/>
      </c>
      <c r="G1645" s="15" t="n"/>
    </row>
    <row r="1646">
      <c r="A1646" s="19" t="n"/>
      <c r="B1646" s="15" t="n"/>
      <c r="C1646">
        <f>IF(B1646="","",IFERROR(INDEX(Items!$B$5:$B$304,MATCH(B1646,Items!$A$5:$A$304,0)),"Unknown code"))</f>
        <v/>
      </c>
      <c r="D1646" s="15" t="n"/>
      <c r="E1646" s="16" t="n"/>
      <c r="F1646" s="18">
        <f>IF(OR(D1646="",E1646=""),"",D1646*E1646)</f>
        <v/>
      </c>
      <c r="G1646" s="15" t="n"/>
    </row>
    <row r="1647">
      <c r="A1647" s="19" t="n"/>
      <c r="B1647" s="15" t="n"/>
      <c r="C1647">
        <f>IF(B1647="","",IFERROR(INDEX(Items!$B$5:$B$304,MATCH(B1647,Items!$A$5:$A$304,0)),"Unknown code"))</f>
        <v/>
      </c>
      <c r="D1647" s="15" t="n"/>
      <c r="E1647" s="16" t="n"/>
      <c r="F1647" s="18">
        <f>IF(OR(D1647="",E1647=""),"",D1647*E1647)</f>
        <v/>
      </c>
      <c r="G1647" s="15" t="n"/>
    </row>
    <row r="1648">
      <c r="A1648" s="19" t="n"/>
      <c r="B1648" s="15" t="n"/>
      <c r="C1648">
        <f>IF(B1648="","",IFERROR(INDEX(Items!$B$5:$B$304,MATCH(B1648,Items!$A$5:$A$304,0)),"Unknown code"))</f>
        <v/>
      </c>
      <c r="D1648" s="15" t="n"/>
      <c r="E1648" s="16" t="n"/>
      <c r="F1648" s="18">
        <f>IF(OR(D1648="",E1648=""),"",D1648*E1648)</f>
        <v/>
      </c>
      <c r="G1648" s="15" t="n"/>
    </row>
    <row r="1649">
      <c r="A1649" s="19" t="n"/>
      <c r="B1649" s="15" t="n"/>
      <c r="C1649">
        <f>IF(B1649="","",IFERROR(INDEX(Items!$B$5:$B$304,MATCH(B1649,Items!$A$5:$A$304,0)),"Unknown code"))</f>
        <v/>
      </c>
      <c r="D1649" s="15" t="n"/>
      <c r="E1649" s="16" t="n"/>
      <c r="F1649" s="18">
        <f>IF(OR(D1649="",E1649=""),"",D1649*E1649)</f>
        <v/>
      </c>
      <c r="G1649" s="15" t="n"/>
    </row>
    <row r="1650">
      <c r="A1650" s="19" t="n"/>
      <c r="B1650" s="15" t="n"/>
      <c r="C1650">
        <f>IF(B1650="","",IFERROR(INDEX(Items!$B$5:$B$304,MATCH(B1650,Items!$A$5:$A$304,0)),"Unknown code"))</f>
        <v/>
      </c>
      <c r="D1650" s="15" t="n"/>
      <c r="E1650" s="16" t="n"/>
      <c r="F1650" s="18">
        <f>IF(OR(D1650="",E1650=""),"",D1650*E1650)</f>
        <v/>
      </c>
      <c r="G1650" s="15" t="n"/>
    </row>
    <row r="1651">
      <c r="A1651" s="19" t="n"/>
      <c r="B1651" s="15" t="n"/>
      <c r="C1651">
        <f>IF(B1651="","",IFERROR(INDEX(Items!$B$5:$B$304,MATCH(B1651,Items!$A$5:$A$304,0)),"Unknown code"))</f>
        <v/>
      </c>
      <c r="D1651" s="15" t="n"/>
      <c r="E1651" s="16" t="n"/>
      <c r="F1651" s="18">
        <f>IF(OR(D1651="",E1651=""),"",D1651*E1651)</f>
        <v/>
      </c>
      <c r="G1651" s="15" t="n"/>
    </row>
    <row r="1652">
      <c r="A1652" s="19" t="n"/>
      <c r="B1652" s="15" t="n"/>
      <c r="C1652">
        <f>IF(B1652="","",IFERROR(INDEX(Items!$B$5:$B$304,MATCH(B1652,Items!$A$5:$A$304,0)),"Unknown code"))</f>
        <v/>
      </c>
      <c r="D1652" s="15" t="n"/>
      <c r="E1652" s="16" t="n"/>
      <c r="F1652" s="18">
        <f>IF(OR(D1652="",E1652=""),"",D1652*E1652)</f>
        <v/>
      </c>
      <c r="G1652" s="15" t="n"/>
    </row>
    <row r="1653">
      <c r="A1653" s="19" t="n"/>
      <c r="B1653" s="15" t="n"/>
      <c r="C1653">
        <f>IF(B1653="","",IFERROR(INDEX(Items!$B$5:$B$304,MATCH(B1653,Items!$A$5:$A$304,0)),"Unknown code"))</f>
        <v/>
      </c>
      <c r="D1653" s="15" t="n"/>
      <c r="E1653" s="16" t="n"/>
      <c r="F1653" s="18">
        <f>IF(OR(D1653="",E1653=""),"",D1653*E1653)</f>
        <v/>
      </c>
      <c r="G1653" s="15" t="n"/>
    </row>
    <row r="1654">
      <c r="A1654" s="19" t="n"/>
      <c r="B1654" s="15" t="n"/>
      <c r="C1654">
        <f>IF(B1654="","",IFERROR(INDEX(Items!$B$5:$B$304,MATCH(B1654,Items!$A$5:$A$304,0)),"Unknown code"))</f>
        <v/>
      </c>
      <c r="D1654" s="15" t="n"/>
      <c r="E1654" s="16" t="n"/>
      <c r="F1654" s="18">
        <f>IF(OR(D1654="",E1654=""),"",D1654*E1654)</f>
        <v/>
      </c>
      <c r="G1654" s="15" t="n"/>
    </row>
    <row r="1655">
      <c r="A1655" s="19" t="n"/>
      <c r="B1655" s="15" t="n"/>
      <c r="C1655">
        <f>IF(B1655="","",IFERROR(INDEX(Items!$B$5:$B$304,MATCH(B1655,Items!$A$5:$A$304,0)),"Unknown code"))</f>
        <v/>
      </c>
      <c r="D1655" s="15" t="n"/>
      <c r="E1655" s="16" t="n"/>
      <c r="F1655" s="18">
        <f>IF(OR(D1655="",E1655=""),"",D1655*E1655)</f>
        <v/>
      </c>
      <c r="G1655" s="15" t="n"/>
    </row>
    <row r="1656">
      <c r="A1656" s="19" t="n"/>
      <c r="B1656" s="15" t="n"/>
      <c r="C1656">
        <f>IF(B1656="","",IFERROR(INDEX(Items!$B$5:$B$304,MATCH(B1656,Items!$A$5:$A$304,0)),"Unknown code"))</f>
        <v/>
      </c>
      <c r="D1656" s="15" t="n"/>
      <c r="E1656" s="16" t="n"/>
      <c r="F1656" s="18">
        <f>IF(OR(D1656="",E1656=""),"",D1656*E1656)</f>
        <v/>
      </c>
      <c r="G1656" s="15" t="n"/>
    </row>
    <row r="1657">
      <c r="A1657" s="19" t="n"/>
      <c r="B1657" s="15" t="n"/>
      <c r="C1657">
        <f>IF(B1657="","",IFERROR(INDEX(Items!$B$5:$B$304,MATCH(B1657,Items!$A$5:$A$304,0)),"Unknown code"))</f>
        <v/>
      </c>
      <c r="D1657" s="15" t="n"/>
      <c r="E1657" s="16" t="n"/>
      <c r="F1657" s="18">
        <f>IF(OR(D1657="",E1657=""),"",D1657*E1657)</f>
        <v/>
      </c>
      <c r="G1657" s="15" t="n"/>
    </row>
    <row r="1658">
      <c r="A1658" s="19" t="n"/>
      <c r="B1658" s="15" t="n"/>
      <c r="C1658">
        <f>IF(B1658="","",IFERROR(INDEX(Items!$B$5:$B$304,MATCH(B1658,Items!$A$5:$A$304,0)),"Unknown code"))</f>
        <v/>
      </c>
      <c r="D1658" s="15" t="n"/>
      <c r="E1658" s="16" t="n"/>
      <c r="F1658" s="18">
        <f>IF(OR(D1658="",E1658=""),"",D1658*E1658)</f>
        <v/>
      </c>
      <c r="G1658" s="15" t="n"/>
    </row>
    <row r="1659">
      <c r="A1659" s="19" t="n"/>
      <c r="B1659" s="15" t="n"/>
      <c r="C1659">
        <f>IF(B1659="","",IFERROR(INDEX(Items!$B$5:$B$304,MATCH(B1659,Items!$A$5:$A$304,0)),"Unknown code"))</f>
        <v/>
      </c>
      <c r="D1659" s="15" t="n"/>
      <c r="E1659" s="16" t="n"/>
      <c r="F1659" s="18">
        <f>IF(OR(D1659="",E1659=""),"",D1659*E1659)</f>
        <v/>
      </c>
      <c r="G1659" s="15" t="n"/>
    </row>
    <row r="1660">
      <c r="A1660" s="19" t="n"/>
      <c r="B1660" s="15" t="n"/>
      <c r="C1660">
        <f>IF(B1660="","",IFERROR(INDEX(Items!$B$5:$B$304,MATCH(B1660,Items!$A$5:$A$304,0)),"Unknown code"))</f>
        <v/>
      </c>
      <c r="D1660" s="15" t="n"/>
      <c r="E1660" s="16" t="n"/>
      <c r="F1660" s="18">
        <f>IF(OR(D1660="",E1660=""),"",D1660*E1660)</f>
        <v/>
      </c>
      <c r="G1660" s="15" t="n"/>
    </row>
    <row r="1661">
      <c r="A1661" s="19" t="n"/>
      <c r="B1661" s="15" t="n"/>
      <c r="C1661">
        <f>IF(B1661="","",IFERROR(INDEX(Items!$B$5:$B$304,MATCH(B1661,Items!$A$5:$A$304,0)),"Unknown code"))</f>
        <v/>
      </c>
      <c r="D1661" s="15" t="n"/>
      <c r="E1661" s="16" t="n"/>
      <c r="F1661" s="18">
        <f>IF(OR(D1661="",E1661=""),"",D1661*E1661)</f>
        <v/>
      </c>
      <c r="G1661" s="15" t="n"/>
    </row>
    <row r="1662">
      <c r="A1662" s="19" t="n"/>
      <c r="B1662" s="15" t="n"/>
      <c r="C1662">
        <f>IF(B1662="","",IFERROR(INDEX(Items!$B$5:$B$304,MATCH(B1662,Items!$A$5:$A$304,0)),"Unknown code"))</f>
        <v/>
      </c>
      <c r="D1662" s="15" t="n"/>
      <c r="E1662" s="16" t="n"/>
      <c r="F1662" s="18">
        <f>IF(OR(D1662="",E1662=""),"",D1662*E1662)</f>
        <v/>
      </c>
      <c r="G1662" s="15" t="n"/>
    </row>
    <row r="1663">
      <c r="A1663" s="19" t="n"/>
      <c r="B1663" s="15" t="n"/>
      <c r="C1663">
        <f>IF(B1663="","",IFERROR(INDEX(Items!$B$5:$B$304,MATCH(B1663,Items!$A$5:$A$304,0)),"Unknown code"))</f>
        <v/>
      </c>
      <c r="D1663" s="15" t="n"/>
      <c r="E1663" s="16" t="n"/>
      <c r="F1663" s="18">
        <f>IF(OR(D1663="",E1663=""),"",D1663*E1663)</f>
        <v/>
      </c>
      <c r="G1663" s="15" t="n"/>
    </row>
    <row r="1664">
      <c r="A1664" s="19" t="n"/>
      <c r="B1664" s="15" t="n"/>
      <c r="C1664">
        <f>IF(B1664="","",IFERROR(INDEX(Items!$B$5:$B$304,MATCH(B1664,Items!$A$5:$A$304,0)),"Unknown code"))</f>
        <v/>
      </c>
      <c r="D1664" s="15" t="n"/>
      <c r="E1664" s="16" t="n"/>
      <c r="F1664" s="18">
        <f>IF(OR(D1664="",E1664=""),"",D1664*E1664)</f>
        <v/>
      </c>
      <c r="G1664" s="15" t="n"/>
    </row>
    <row r="1665">
      <c r="A1665" s="19" t="n"/>
      <c r="B1665" s="15" t="n"/>
      <c r="C1665">
        <f>IF(B1665="","",IFERROR(INDEX(Items!$B$5:$B$304,MATCH(B1665,Items!$A$5:$A$304,0)),"Unknown code"))</f>
        <v/>
      </c>
      <c r="D1665" s="15" t="n"/>
      <c r="E1665" s="16" t="n"/>
      <c r="F1665" s="18">
        <f>IF(OR(D1665="",E1665=""),"",D1665*E1665)</f>
        <v/>
      </c>
      <c r="G1665" s="15" t="n"/>
    </row>
    <row r="1666">
      <c r="A1666" s="19" t="n"/>
      <c r="B1666" s="15" t="n"/>
      <c r="C1666">
        <f>IF(B1666="","",IFERROR(INDEX(Items!$B$5:$B$304,MATCH(B1666,Items!$A$5:$A$304,0)),"Unknown code"))</f>
        <v/>
      </c>
      <c r="D1666" s="15" t="n"/>
      <c r="E1666" s="16" t="n"/>
      <c r="F1666" s="18">
        <f>IF(OR(D1666="",E1666=""),"",D1666*E1666)</f>
        <v/>
      </c>
      <c r="G1666" s="15" t="n"/>
    </row>
    <row r="1667">
      <c r="A1667" s="19" t="n"/>
      <c r="B1667" s="15" t="n"/>
      <c r="C1667">
        <f>IF(B1667="","",IFERROR(INDEX(Items!$B$5:$B$304,MATCH(B1667,Items!$A$5:$A$304,0)),"Unknown code"))</f>
        <v/>
      </c>
      <c r="D1667" s="15" t="n"/>
      <c r="E1667" s="16" t="n"/>
      <c r="F1667" s="18">
        <f>IF(OR(D1667="",E1667=""),"",D1667*E1667)</f>
        <v/>
      </c>
      <c r="G1667" s="15" t="n"/>
    </row>
    <row r="1668">
      <c r="A1668" s="19" t="n"/>
      <c r="B1668" s="15" t="n"/>
      <c r="C1668">
        <f>IF(B1668="","",IFERROR(INDEX(Items!$B$5:$B$304,MATCH(B1668,Items!$A$5:$A$304,0)),"Unknown code"))</f>
        <v/>
      </c>
      <c r="D1668" s="15" t="n"/>
      <c r="E1668" s="16" t="n"/>
      <c r="F1668" s="18">
        <f>IF(OR(D1668="",E1668=""),"",D1668*E1668)</f>
        <v/>
      </c>
      <c r="G1668" s="15" t="n"/>
    </row>
    <row r="1669">
      <c r="A1669" s="19" t="n"/>
      <c r="B1669" s="15" t="n"/>
      <c r="C1669">
        <f>IF(B1669="","",IFERROR(INDEX(Items!$B$5:$B$304,MATCH(B1669,Items!$A$5:$A$304,0)),"Unknown code"))</f>
        <v/>
      </c>
      <c r="D1669" s="15" t="n"/>
      <c r="E1669" s="16" t="n"/>
      <c r="F1669" s="18">
        <f>IF(OR(D1669="",E1669=""),"",D1669*E1669)</f>
        <v/>
      </c>
      <c r="G1669" s="15" t="n"/>
    </row>
    <row r="1670">
      <c r="A1670" s="19" t="n"/>
      <c r="B1670" s="15" t="n"/>
      <c r="C1670">
        <f>IF(B1670="","",IFERROR(INDEX(Items!$B$5:$B$304,MATCH(B1670,Items!$A$5:$A$304,0)),"Unknown code"))</f>
        <v/>
      </c>
      <c r="D1670" s="15" t="n"/>
      <c r="E1670" s="16" t="n"/>
      <c r="F1670" s="18">
        <f>IF(OR(D1670="",E1670=""),"",D1670*E1670)</f>
        <v/>
      </c>
      <c r="G1670" s="15" t="n"/>
    </row>
    <row r="1671">
      <c r="A1671" s="19" t="n"/>
      <c r="B1671" s="15" t="n"/>
      <c r="C1671">
        <f>IF(B1671="","",IFERROR(INDEX(Items!$B$5:$B$304,MATCH(B1671,Items!$A$5:$A$304,0)),"Unknown code"))</f>
        <v/>
      </c>
      <c r="D1671" s="15" t="n"/>
      <c r="E1671" s="16" t="n"/>
      <c r="F1671" s="18">
        <f>IF(OR(D1671="",E1671=""),"",D1671*E1671)</f>
        <v/>
      </c>
      <c r="G1671" s="15" t="n"/>
    </row>
    <row r="1672">
      <c r="A1672" s="19" t="n"/>
      <c r="B1672" s="15" t="n"/>
      <c r="C1672">
        <f>IF(B1672="","",IFERROR(INDEX(Items!$B$5:$B$304,MATCH(B1672,Items!$A$5:$A$304,0)),"Unknown code"))</f>
        <v/>
      </c>
      <c r="D1672" s="15" t="n"/>
      <c r="E1672" s="16" t="n"/>
      <c r="F1672" s="18">
        <f>IF(OR(D1672="",E1672=""),"",D1672*E1672)</f>
        <v/>
      </c>
      <c r="G1672" s="15" t="n"/>
    </row>
    <row r="1673">
      <c r="A1673" s="19" t="n"/>
      <c r="B1673" s="15" t="n"/>
      <c r="C1673">
        <f>IF(B1673="","",IFERROR(INDEX(Items!$B$5:$B$304,MATCH(B1673,Items!$A$5:$A$304,0)),"Unknown code"))</f>
        <v/>
      </c>
      <c r="D1673" s="15" t="n"/>
      <c r="E1673" s="16" t="n"/>
      <c r="F1673" s="18">
        <f>IF(OR(D1673="",E1673=""),"",D1673*E1673)</f>
        <v/>
      </c>
      <c r="G1673" s="15" t="n"/>
    </row>
    <row r="1674">
      <c r="A1674" s="19" t="n"/>
      <c r="B1674" s="15" t="n"/>
      <c r="C1674">
        <f>IF(B1674="","",IFERROR(INDEX(Items!$B$5:$B$304,MATCH(B1674,Items!$A$5:$A$304,0)),"Unknown code"))</f>
        <v/>
      </c>
      <c r="D1674" s="15" t="n"/>
      <c r="E1674" s="16" t="n"/>
      <c r="F1674" s="18">
        <f>IF(OR(D1674="",E1674=""),"",D1674*E1674)</f>
        <v/>
      </c>
      <c r="G1674" s="15" t="n"/>
    </row>
    <row r="1675">
      <c r="A1675" s="19" t="n"/>
      <c r="B1675" s="15" t="n"/>
      <c r="C1675">
        <f>IF(B1675="","",IFERROR(INDEX(Items!$B$5:$B$304,MATCH(B1675,Items!$A$5:$A$304,0)),"Unknown code"))</f>
        <v/>
      </c>
      <c r="D1675" s="15" t="n"/>
      <c r="E1675" s="16" t="n"/>
      <c r="F1675" s="18">
        <f>IF(OR(D1675="",E1675=""),"",D1675*E1675)</f>
        <v/>
      </c>
      <c r="G1675" s="15" t="n"/>
    </row>
    <row r="1676">
      <c r="A1676" s="19" t="n"/>
      <c r="B1676" s="15" t="n"/>
      <c r="C1676">
        <f>IF(B1676="","",IFERROR(INDEX(Items!$B$5:$B$304,MATCH(B1676,Items!$A$5:$A$304,0)),"Unknown code"))</f>
        <v/>
      </c>
      <c r="D1676" s="15" t="n"/>
      <c r="E1676" s="16" t="n"/>
      <c r="F1676" s="18">
        <f>IF(OR(D1676="",E1676=""),"",D1676*E1676)</f>
        <v/>
      </c>
      <c r="G1676" s="15" t="n"/>
    </row>
    <row r="1677">
      <c r="A1677" s="19" t="n"/>
      <c r="B1677" s="15" t="n"/>
      <c r="C1677">
        <f>IF(B1677="","",IFERROR(INDEX(Items!$B$5:$B$304,MATCH(B1677,Items!$A$5:$A$304,0)),"Unknown code"))</f>
        <v/>
      </c>
      <c r="D1677" s="15" t="n"/>
      <c r="E1677" s="16" t="n"/>
      <c r="F1677" s="18">
        <f>IF(OR(D1677="",E1677=""),"",D1677*E1677)</f>
        <v/>
      </c>
      <c r="G1677" s="15" t="n"/>
    </row>
    <row r="1678">
      <c r="A1678" s="19" t="n"/>
      <c r="B1678" s="15" t="n"/>
      <c r="C1678">
        <f>IF(B1678="","",IFERROR(INDEX(Items!$B$5:$B$304,MATCH(B1678,Items!$A$5:$A$304,0)),"Unknown code"))</f>
        <v/>
      </c>
      <c r="D1678" s="15" t="n"/>
      <c r="E1678" s="16" t="n"/>
      <c r="F1678" s="18">
        <f>IF(OR(D1678="",E1678=""),"",D1678*E1678)</f>
        <v/>
      </c>
      <c r="G1678" s="15" t="n"/>
    </row>
    <row r="1679">
      <c r="A1679" s="19" t="n"/>
      <c r="B1679" s="15" t="n"/>
      <c r="C1679">
        <f>IF(B1679="","",IFERROR(INDEX(Items!$B$5:$B$304,MATCH(B1679,Items!$A$5:$A$304,0)),"Unknown code"))</f>
        <v/>
      </c>
      <c r="D1679" s="15" t="n"/>
      <c r="E1679" s="16" t="n"/>
      <c r="F1679" s="18">
        <f>IF(OR(D1679="",E1679=""),"",D1679*E1679)</f>
        <v/>
      </c>
      <c r="G1679" s="15" t="n"/>
    </row>
    <row r="1680">
      <c r="A1680" s="19" t="n"/>
      <c r="B1680" s="15" t="n"/>
      <c r="C1680">
        <f>IF(B1680="","",IFERROR(INDEX(Items!$B$5:$B$304,MATCH(B1680,Items!$A$5:$A$304,0)),"Unknown code"))</f>
        <v/>
      </c>
      <c r="D1680" s="15" t="n"/>
      <c r="E1680" s="16" t="n"/>
      <c r="F1680" s="18">
        <f>IF(OR(D1680="",E1680=""),"",D1680*E1680)</f>
        <v/>
      </c>
      <c r="G1680" s="15" t="n"/>
    </row>
    <row r="1681">
      <c r="A1681" s="19" t="n"/>
      <c r="B1681" s="15" t="n"/>
      <c r="C1681">
        <f>IF(B1681="","",IFERROR(INDEX(Items!$B$5:$B$304,MATCH(B1681,Items!$A$5:$A$304,0)),"Unknown code"))</f>
        <v/>
      </c>
      <c r="D1681" s="15" t="n"/>
      <c r="E1681" s="16" t="n"/>
      <c r="F1681" s="18">
        <f>IF(OR(D1681="",E1681=""),"",D1681*E1681)</f>
        <v/>
      </c>
      <c r="G1681" s="15" t="n"/>
    </row>
    <row r="1682">
      <c r="A1682" s="19" t="n"/>
      <c r="B1682" s="15" t="n"/>
      <c r="C1682">
        <f>IF(B1682="","",IFERROR(INDEX(Items!$B$5:$B$304,MATCH(B1682,Items!$A$5:$A$304,0)),"Unknown code"))</f>
        <v/>
      </c>
      <c r="D1682" s="15" t="n"/>
      <c r="E1682" s="16" t="n"/>
      <c r="F1682" s="18">
        <f>IF(OR(D1682="",E1682=""),"",D1682*E1682)</f>
        <v/>
      </c>
      <c r="G1682" s="15" t="n"/>
    </row>
    <row r="1683">
      <c r="A1683" s="19" t="n"/>
      <c r="B1683" s="15" t="n"/>
      <c r="C1683">
        <f>IF(B1683="","",IFERROR(INDEX(Items!$B$5:$B$304,MATCH(B1683,Items!$A$5:$A$304,0)),"Unknown code"))</f>
        <v/>
      </c>
      <c r="D1683" s="15" t="n"/>
      <c r="E1683" s="16" t="n"/>
      <c r="F1683" s="18">
        <f>IF(OR(D1683="",E1683=""),"",D1683*E1683)</f>
        <v/>
      </c>
      <c r="G1683" s="15" t="n"/>
    </row>
    <row r="1684">
      <c r="A1684" s="19" t="n"/>
      <c r="B1684" s="15" t="n"/>
      <c r="C1684">
        <f>IF(B1684="","",IFERROR(INDEX(Items!$B$5:$B$304,MATCH(B1684,Items!$A$5:$A$304,0)),"Unknown code"))</f>
        <v/>
      </c>
      <c r="D1684" s="15" t="n"/>
      <c r="E1684" s="16" t="n"/>
      <c r="F1684" s="18">
        <f>IF(OR(D1684="",E1684=""),"",D1684*E1684)</f>
        <v/>
      </c>
      <c r="G1684" s="15" t="n"/>
    </row>
    <row r="1685">
      <c r="A1685" s="19" t="n"/>
      <c r="B1685" s="15" t="n"/>
      <c r="C1685">
        <f>IF(B1685="","",IFERROR(INDEX(Items!$B$5:$B$304,MATCH(B1685,Items!$A$5:$A$304,0)),"Unknown code"))</f>
        <v/>
      </c>
      <c r="D1685" s="15" t="n"/>
      <c r="E1685" s="16" t="n"/>
      <c r="F1685" s="18">
        <f>IF(OR(D1685="",E1685=""),"",D1685*E1685)</f>
        <v/>
      </c>
      <c r="G1685" s="15" t="n"/>
    </row>
    <row r="1686">
      <c r="A1686" s="19" t="n"/>
      <c r="B1686" s="15" t="n"/>
      <c r="C1686">
        <f>IF(B1686="","",IFERROR(INDEX(Items!$B$5:$B$304,MATCH(B1686,Items!$A$5:$A$304,0)),"Unknown code"))</f>
        <v/>
      </c>
      <c r="D1686" s="15" t="n"/>
      <c r="E1686" s="16" t="n"/>
      <c r="F1686" s="18">
        <f>IF(OR(D1686="",E1686=""),"",D1686*E1686)</f>
        <v/>
      </c>
      <c r="G1686" s="15" t="n"/>
    </row>
    <row r="1687">
      <c r="A1687" s="19" t="n"/>
      <c r="B1687" s="15" t="n"/>
      <c r="C1687">
        <f>IF(B1687="","",IFERROR(INDEX(Items!$B$5:$B$304,MATCH(B1687,Items!$A$5:$A$304,0)),"Unknown code"))</f>
        <v/>
      </c>
      <c r="D1687" s="15" t="n"/>
      <c r="E1687" s="16" t="n"/>
      <c r="F1687" s="18">
        <f>IF(OR(D1687="",E1687=""),"",D1687*E1687)</f>
        <v/>
      </c>
      <c r="G1687" s="15" t="n"/>
    </row>
    <row r="1688">
      <c r="A1688" s="19" t="n"/>
      <c r="B1688" s="15" t="n"/>
      <c r="C1688">
        <f>IF(B1688="","",IFERROR(INDEX(Items!$B$5:$B$304,MATCH(B1688,Items!$A$5:$A$304,0)),"Unknown code"))</f>
        <v/>
      </c>
      <c r="D1688" s="15" t="n"/>
      <c r="E1688" s="16" t="n"/>
      <c r="F1688" s="18">
        <f>IF(OR(D1688="",E1688=""),"",D1688*E1688)</f>
        <v/>
      </c>
      <c r="G1688" s="15" t="n"/>
    </row>
    <row r="1689">
      <c r="A1689" s="19" t="n"/>
      <c r="B1689" s="15" t="n"/>
      <c r="C1689">
        <f>IF(B1689="","",IFERROR(INDEX(Items!$B$5:$B$304,MATCH(B1689,Items!$A$5:$A$304,0)),"Unknown code"))</f>
        <v/>
      </c>
      <c r="D1689" s="15" t="n"/>
      <c r="E1689" s="16" t="n"/>
      <c r="F1689" s="18">
        <f>IF(OR(D1689="",E1689=""),"",D1689*E1689)</f>
        <v/>
      </c>
      <c r="G1689" s="15" t="n"/>
    </row>
    <row r="1690">
      <c r="A1690" s="19" t="n"/>
      <c r="B1690" s="15" t="n"/>
      <c r="C1690">
        <f>IF(B1690="","",IFERROR(INDEX(Items!$B$5:$B$304,MATCH(B1690,Items!$A$5:$A$304,0)),"Unknown code"))</f>
        <v/>
      </c>
      <c r="D1690" s="15" t="n"/>
      <c r="E1690" s="16" t="n"/>
      <c r="F1690" s="18">
        <f>IF(OR(D1690="",E1690=""),"",D1690*E1690)</f>
        <v/>
      </c>
      <c r="G1690" s="15" t="n"/>
    </row>
    <row r="1691">
      <c r="A1691" s="19" t="n"/>
      <c r="B1691" s="15" t="n"/>
      <c r="C1691">
        <f>IF(B1691="","",IFERROR(INDEX(Items!$B$5:$B$304,MATCH(B1691,Items!$A$5:$A$304,0)),"Unknown code"))</f>
        <v/>
      </c>
      <c r="D1691" s="15" t="n"/>
      <c r="E1691" s="16" t="n"/>
      <c r="F1691" s="18">
        <f>IF(OR(D1691="",E1691=""),"",D1691*E1691)</f>
        <v/>
      </c>
      <c r="G1691" s="15" t="n"/>
    </row>
    <row r="1692">
      <c r="A1692" s="19" t="n"/>
      <c r="B1692" s="15" t="n"/>
      <c r="C1692">
        <f>IF(B1692="","",IFERROR(INDEX(Items!$B$5:$B$304,MATCH(B1692,Items!$A$5:$A$304,0)),"Unknown code"))</f>
        <v/>
      </c>
      <c r="D1692" s="15" t="n"/>
      <c r="E1692" s="16" t="n"/>
      <c r="F1692" s="18">
        <f>IF(OR(D1692="",E1692=""),"",D1692*E1692)</f>
        <v/>
      </c>
      <c r="G1692" s="15" t="n"/>
    </row>
    <row r="1693">
      <c r="A1693" s="19" t="n"/>
      <c r="B1693" s="15" t="n"/>
      <c r="C1693">
        <f>IF(B1693="","",IFERROR(INDEX(Items!$B$5:$B$304,MATCH(B1693,Items!$A$5:$A$304,0)),"Unknown code"))</f>
        <v/>
      </c>
      <c r="D1693" s="15" t="n"/>
      <c r="E1693" s="16" t="n"/>
      <c r="F1693" s="18">
        <f>IF(OR(D1693="",E1693=""),"",D1693*E1693)</f>
        <v/>
      </c>
      <c r="G1693" s="15" t="n"/>
    </row>
    <row r="1694">
      <c r="A1694" s="19" t="n"/>
      <c r="B1694" s="15" t="n"/>
      <c r="C1694">
        <f>IF(B1694="","",IFERROR(INDEX(Items!$B$5:$B$304,MATCH(B1694,Items!$A$5:$A$304,0)),"Unknown code"))</f>
        <v/>
      </c>
      <c r="D1694" s="15" t="n"/>
      <c r="E1694" s="16" t="n"/>
      <c r="F1694" s="18">
        <f>IF(OR(D1694="",E1694=""),"",D1694*E1694)</f>
        <v/>
      </c>
      <c r="G1694" s="15" t="n"/>
    </row>
    <row r="1695">
      <c r="A1695" s="19" t="n"/>
      <c r="B1695" s="15" t="n"/>
      <c r="C1695">
        <f>IF(B1695="","",IFERROR(INDEX(Items!$B$5:$B$304,MATCH(B1695,Items!$A$5:$A$304,0)),"Unknown code"))</f>
        <v/>
      </c>
      <c r="D1695" s="15" t="n"/>
      <c r="E1695" s="16" t="n"/>
      <c r="F1695" s="18">
        <f>IF(OR(D1695="",E1695=""),"",D1695*E1695)</f>
        <v/>
      </c>
      <c r="G1695" s="15" t="n"/>
    </row>
    <row r="1696">
      <c r="A1696" s="19" t="n"/>
      <c r="B1696" s="15" t="n"/>
      <c r="C1696">
        <f>IF(B1696="","",IFERROR(INDEX(Items!$B$5:$B$304,MATCH(B1696,Items!$A$5:$A$304,0)),"Unknown code"))</f>
        <v/>
      </c>
      <c r="D1696" s="15" t="n"/>
      <c r="E1696" s="16" t="n"/>
      <c r="F1696" s="18">
        <f>IF(OR(D1696="",E1696=""),"",D1696*E1696)</f>
        <v/>
      </c>
      <c r="G1696" s="15" t="n"/>
    </row>
    <row r="1697">
      <c r="A1697" s="19" t="n"/>
      <c r="B1697" s="15" t="n"/>
      <c r="C1697">
        <f>IF(B1697="","",IFERROR(INDEX(Items!$B$5:$B$304,MATCH(B1697,Items!$A$5:$A$304,0)),"Unknown code"))</f>
        <v/>
      </c>
      <c r="D1697" s="15" t="n"/>
      <c r="E1697" s="16" t="n"/>
      <c r="F1697" s="18">
        <f>IF(OR(D1697="",E1697=""),"",D1697*E1697)</f>
        <v/>
      </c>
      <c r="G1697" s="15" t="n"/>
    </row>
    <row r="1698">
      <c r="A1698" s="19" t="n"/>
      <c r="B1698" s="15" t="n"/>
      <c r="C1698">
        <f>IF(B1698="","",IFERROR(INDEX(Items!$B$5:$B$304,MATCH(B1698,Items!$A$5:$A$304,0)),"Unknown code"))</f>
        <v/>
      </c>
      <c r="D1698" s="15" t="n"/>
      <c r="E1698" s="16" t="n"/>
      <c r="F1698" s="18">
        <f>IF(OR(D1698="",E1698=""),"",D1698*E1698)</f>
        <v/>
      </c>
      <c r="G1698" s="15" t="n"/>
    </row>
    <row r="1699">
      <c r="A1699" s="19" t="n"/>
      <c r="B1699" s="15" t="n"/>
      <c r="C1699">
        <f>IF(B1699="","",IFERROR(INDEX(Items!$B$5:$B$304,MATCH(B1699,Items!$A$5:$A$304,0)),"Unknown code"))</f>
        <v/>
      </c>
      <c r="D1699" s="15" t="n"/>
      <c r="E1699" s="16" t="n"/>
      <c r="F1699" s="18">
        <f>IF(OR(D1699="",E1699=""),"",D1699*E1699)</f>
        <v/>
      </c>
      <c r="G1699" s="15" t="n"/>
    </row>
    <row r="1700">
      <c r="A1700" s="19" t="n"/>
      <c r="B1700" s="15" t="n"/>
      <c r="C1700">
        <f>IF(B1700="","",IFERROR(INDEX(Items!$B$5:$B$304,MATCH(B1700,Items!$A$5:$A$304,0)),"Unknown code"))</f>
        <v/>
      </c>
      <c r="D1700" s="15" t="n"/>
      <c r="E1700" s="16" t="n"/>
      <c r="F1700" s="18">
        <f>IF(OR(D1700="",E1700=""),"",D1700*E1700)</f>
        <v/>
      </c>
      <c r="G1700" s="15" t="n"/>
    </row>
    <row r="1701">
      <c r="A1701" s="19" t="n"/>
      <c r="B1701" s="15" t="n"/>
      <c r="C1701">
        <f>IF(B1701="","",IFERROR(INDEX(Items!$B$5:$B$304,MATCH(B1701,Items!$A$5:$A$304,0)),"Unknown code"))</f>
        <v/>
      </c>
      <c r="D1701" s="15" t="n"/>
      <c r="E1701" s="16" t="n"/>
      <c r="F1701" s="18">
        <f>IF(OR(D1701="",E1701=""),"",D1701*E1701)</f>
        <v/>
      </c>
      <c r="G1701" s="15" t="n"/>
    </row>
    <row r="1702">
      <c r="A1702" s="19" t="n"/>
      <c r="B1702" s="15" t="n"/>
      <c r="C1702">
        <f>IF(B1702="","",IFERROR(INDEX(Items!$B$5:$B$304,MATCH(B1702,Items!$A$5:$A$304,0)),"Unknown code"))</f>
        <v/>
      </c>
      <c r="D1702" s="15" t="n"/>
      <c r="E1702" s="16" t="n"/>
      <c r="F1702" s="18">
        <f>IF(OR(D1702="",E1702=""),"",D1702*E1702)</f>
        <v/>
      </c>
      <c r="G1702" s="15" t="n"/>
    </row>
    <row r="1703">
      <c r="A1703" s="19" t="n"/>
      <c r="B1703" s="15" t="n"/>
      <c r="C1703">
        <f>IF(B1703="","",IFERROR(INDEX(Items!$B$5:$B$304,MATCH(B1703,Items!$A$5:$A$304,0)),"Unknown code"))</f>
        <v/>
      </c>
      <c r="D1703" s="15" t="n"/>
      <c r="E1703" s="16" t="n"/>
      <c r="F1703" s="18">
        <f>IF(OR(D1703="",E1703=""),"",D1703*E1703)</f>
        <v/>
      </c>
      <c r="G1703" s="15" t="n"/>
    </row>
    <row r="1704">
      <c r="A1704" s="19" t="n"/>
      <c r="B1704" s="15" t="n"/>
      <c r="C1704">
        <f>IF(B1704="","",IFERROR(INDEX(Items!$B$5:$B$304,MATCH(B1704,Items!$A$5:$A$304,0)),"Unknown code"))</f>
        <v/>
      </c>
      <c r="D1704" s="15" t="n"/>
      <c r="E1704" s="16" t="n"/>
      <c r="F1704" s="18">
        <f>IF(OR(D1704="",E1704=""),"",D1704*E1704)</f>
        <v/>
      </c>
      <c r="G1704" s="15" t="n"/>
    </row>
    <row r="1705">
      <c r="A1705" s="19" t="n"/>
      <c r="B1705" s="15" t="n"/>
      <c r="C1705">
        <f>IF(B1705="","",IFERROR(INDEX(Items!$B$5:$B$304,MATCH(B1705,Items!$A$5:$A$304,0)),"Unknown code"))</f>
        <v/>
      </c>
      <c r="D1705" s="15" t="n"/>
      <c r="E1705" s="16" t="n"/>
      <c r="F1705" s="18">
        <f>IF(OR(D1705="",E1705=""),"",D1705*E1705)</f>
        <v/>
      </c>
      <c r="G1705" s="15" t="n"/>
    </row>
    <row r="1706">
      <c r="A1706" s="19" t="n"/>
      <c r="B1706" s="15" t="n"/>
      <c r="C1706">
        <f>IF(B1706="","",IFERROR(INDEX(Items!$B$5:$B$304,MATCH(B1706,Items!$A$5:$A$304,0)),"Unknown code"))</f>
        <v/>
      </c>
      <c r="D1706" s="15" t="n"/>
      <c r="E1706" s="16" t="n"/>
      <c r="F1706" s="18">
        <f>IF(OR(D1706="",E1706=""),"",D1706*E1706)</f>
        <v/>
      </c>
      <c r="G1706" s="15" t="n"/>
    </row>
    <row r="1707">
      <c r="A1707" s="19" t="n"/>
      <c r="B1707" s="15" t="n"/>
      <c r="C1707">
        <f>IF(B1707="","",IFERROR(INDEX(Items!$B$5:$B$304,MATCH(B1707,Items!$A$5:$A$304,0)),"Unknown code"))</f>
        <v/>
      </c>
      <c r="D1707" s="15" t="n"/>
      <c r="E1707" s="16" t="n"/>
      <c r="F1707" s="18">
        <f>IF(OR(D1707="",E1707=""),"",D1707*E1707)</f>
        <v/>
      </c>
      <c r="G1707" s="15" t="n"/>
    </row>
    <row r="1708">
      <c r="A1708" s="19" t="n"/>
      <c r="B1708" s="15" t="n"/>
      <c r="C1708">
        <f>IF(B1708="","",IFERROR(INDEX(Items!$B$5:$B$304,MATCH(B1708,Items!$A$5:$A$304,0)),"Unknown code"))</f>
        <v/>
      </c>
      <c r="D1708" s="15" t="n"/>
      <c r="E1708" s="16" t="n"/>
      <c r="F1708" s="18">
        <f>IF(OR(D1708="",E1708=""),"",D1708*E1708)</f>
        <v/>
      </c>
      <c r="G1708" s="15" t="n"/>
    </row>
    <row r="1709">
      <c r="A1709" s="19" t="n"/>
      <c r="B1709" s="15" t="n"/>
      <c r="C1709">
        <f>IF(B1709="","",IFERROR(INDEX(Items!$B$5:$B$304,MATCH(B1709,Items!$A$5:$A$304,0)),"Unknown code"))</f>
        <v/>
      </c>
      <c r="D1709" s="15" t="n"/>
      <c r="E1709" s="16" t="n"/>
      <c r="F1709" s="18">
        <f>IF(OR(D1709="",E1709=""),"",D1709*E1709)</f>
        <v/>
      </c>
      <c r="G1709" s="15" t="n"/>
    </row>
    <row r="1710">
      <c r="A1710" s="19" t="n"/>
      <c r="B1710" s="15" t="n"/>
      <c r="C1710">
        <f>IF(B1710="","",IFERROR(INDEX(Items!$B$5:$B$304,MATCH(B1710,Items!$A$5:$A$304,0)),"Unknown code"))</f>
        <v/>
      </c>
      <c r="D1710" s="15" t="n"/>
      <c r="E1710" s="16" t="n"/>
      <c r="F1710" s="18">
        <f>IF(OR(D1710="",E1710=""),"",D1710*E1710)</f>
        <v/>
      </c>
      <c r="G1710" s="15" t="n"/>
    </row>
    <row r="1711">
      <c r="A1711" s="19" t="n"/>
      <c r="B1711" s="15" t="n"/>
      <c r="C1711">
        <f>IF(B1711="","",IFERROR(INDEX(Items!$B$5:$B$304,MATCH(B1711,Items!$A$5:$A$304,0)),"Unknown code"))</f>
        <v/>
      </c>
      <c r="D1711" s="15" t="n"/>
      <c r="E1711" s="16" t="n"/>
      <c r="F1711" s="18">
        <f>IF(OR(D1711="",E1711=""),"",D1711*E1711)</f>
        <v/>
      </c>
      <c r="G1711" s="15" t="n"/>
    </row>
    <row r="1712">
      <c r="A1712" s="19" t="n"/>
      <c r="B1712" s="15" t="n"/>
      <c r="C1712">
        <f>IF(B1712="","",IFERROR(INDEX(Items!$B$5:$B$304,MATCH(B1712,Items!$A$5:$A$304,0)),"Unknown code"))</f>
        <v/>
      </c>
      <c r="D1712" s="15" t="n"/>
      <c r="E1712" s="16" t="n"/>
      <c r="F1712" s="18">
        <f>IF(OR(D1712="",E1712=""),"",D1712*E1712)</f>
        <v/>
      </c>
      <c r="G1712" s="15" t="n"/>
    </row>
    <row r="1713">
      <c r="A1713" s="19" t="n"/>
      <c r="B1713" s="15" t="n"/>
      <c r="C1713">
        <f>IF(B1713="","",IFERROR(INDEX(Items!$B$5:$B$304,MATCH(B1713,Items!$A$5:$A$304,0)),"Unknown code"))</f>
        <v/>
      </c>
      <c r="D1713" s="15" t="n"/>
      <c r="E1713" s="16" t="n"/>
      <c r="F1713" s="18">
        <f>IF(OR(D1713="",E1713=""),"",D1713*E1713)</f>
        <v/>
      </c>
      <c r="G1713" s="15" t="n"/>
    </row>
    <row r="1714">
      <c r="A1714" s="19" t="n"/>
      <c r="B1714" s="15" t="n"/>
      <c r="C1714">
        <f>IF(B1714="","",IFERROR(INDEX(Items!$B$5:$B$304,MATCH(B1714,Items!$A$5:$A$304,0)),"Unknown code"))</f>
        <v/>
      </c>
      <c r="D1714" s="15" t="n"/>
      <c r="E1714" s="16" t="n"/>
      <c r="F1714" s="18">
        <f>IF(OR(D1714="",E1714=""),"",D1714*E1714)</f>
        <v/>
      </c>
      <c r="G1714" s="15" t="n"/>
    </row>
    <row r="1715">
      <c r="A1715" s="19" t="n"/>
      <c r="B1715" s="15" t="n"/>
      <c r="C1715">
        <f>IF(B1715="","",IFERROR(INDEX(Items!$B$5:$B$304,MATCH(B1715,Items!$A$5:$A$304,0)),"Unknown code"))</f>
        <v/>
      </c>
      <c r="D1715" s="15" t="n"/>
      <c r="E1715" s="16" t="n"/>
      <c r="F1715" s="18">
        <f>IF(OR(D1715="",E1715=""),"",D1715*E1715)</f>
        <v/>
      </c>
      <c r="G1715" s="15" t="n"/>
    </row>
    <row r="1716">
      <c r="A1716" s="19" t="n"/>
      <c r="B1716" s="15" t="n"/>
      <c r="C1716">
        <f>IF(B1716="","",IFERROR(INDEX(Items!$B$5:$B$304,MATCH(B1716,Items!$A$5:$A$304,0)),"Unknown code"))</f>
        <v/>
      </c>
      <c r="D1716" s="15" t="n"/>
      <c r="E1716" s="16" t="n"/>
      <c r="F1716" s="18">
        <f>IF(OR(D1716="",E1716=""),"",D1716*E1716)</f>
        <v/>
      </c>
      <c r="G1716" s="15" t="n"/>
    </row>
    <row r="1717">
      <c r="A1717" s="19" t="n"/>
      <c r="B1717" s="15" t="n"/>
      <c r="C1717">
        <f>IF(B1717="","",IFERROR(INDEX(Items!$B$5:$B$304,MATCH(B1717,Items!$A$5:$A$304,0)),"Unknown code"))</f>
        <v/>
      </c>
      <c r="D1717" s="15" t="n"/>
      <c r="E1717" s="16" t="n"/>
      <c r="F1717" s="18">
        <f>IF(OR(D1717="",E1717=""),"",D1717*E1717)</f>
        <v/>
      </c>
      <c r="G1717" s="15" t="n"/>
    </row>
    <row r="1718">
      <c r="A1718" s="19" t="n"/>
      <c r="B1718" s="15" t="n"/>
      <c r="C1718">
        <f>IF(B1718="","",IFERROR(INDEX(Items!$B$5:$B$304,MATCH(B1718,Items!$A$5:$A$304,0)),"Unknown code"))</f>
        <v/>
      </c>
      <c r="D1718" s="15" t="n"/>
      <c r="E1718" s="16" t="n"/>
      <c r="F1718" s="18">
        <f>IF(OR(D1718="",E1718=""),"",D1718*E1718)</f>
        <v/>
      </c>
      <c r="G1718" s="15" t="n"/>
    </row>
    <row r="1719">
      <c r="A1719" s="19" t="n"/>
      <c r="B1719" s="15" t="n"/>
      <c r="C1719">
        <f>IF(B1719="","",IFERROR(INDEX(Items!$B$5:$B$304,MATCH(B1719,Items!$A$5:$A$304,0)),"Unknown code"))</f>
        <v/>
      </c>
      <c r="D1719" s="15" t="n"/>
      <c r="E1719" s="16" t="n"/>
      <c r="F1719" s="18">
        <f>IF(OR(D1719="",E1719=""),"",D1719*E1719)</f>
        <v/>
      </c>
      <c r="G1719" s="15" t="n"/>
    </row>
    <row r="1720">
      <c r="A1720" s="19" t="n"/>
      <c r="B1720" s="15" t="n"/>
      <c r="C1720">
        <f>IF(B1720="","",IFERROR(INDEX(Items!$B$5:$B$304,MATCH(B1720,Items!$A$5:$A$304,0)),"Unknown code"))</f>
        <v/>
      </c>
      <c r="D1720" s="15" t="n"/>
      <c r="E1720" s="16" t="n"/>
      <c r="F1720" s="18">
        <f>IF(OR(D1720="",E1720=""),"",D1720*E1720)</f>
        <v/>
      </c>
      <c r="G1720" s="15" t="n"/>
    </row>
    <row r="1721">
      <c r="A1721" s="19" t="n"/>
      <c r="B1721" s="15" t="n"/>
      <c r="C1721">
        <f>IF(B1721="","",IFERROR(INDEX(Items!$B$5:$B$304,MATCH(B1721,Items!$A$5:$A$304,0)),"Unknown code"))</f>
        <v/>
      </c>
      <c r="D1721" s="15" t="n"/>
      <c r="E1721" s="16" t="n"/>
      <c r="F1721" s="18">
        <f>IF(OR(D1721="",E1721=""),"",D1721*E1721)</f>
        <v/>
      </c>
      <c r="G1721" s="15" t="n"/>
    </row>
    <row r="1722">
      <c r="A1722" s="19" t="n"/>
      <c r="B1722" s="15" t="n"/>
      <c r="C1722">
        <f>IF(B1722="","",IFERROR(INDEX(Items!$B$5:$B$304,MATCH(B1722,Items!$A$5:$A$304,0)),"Unknown code"))</f>
        <v/>
      </c>
      <c r="D1722" s="15" t="n"/>
      <c r="E1722" s="16" t="n"/>
      <c r="F1722" s="18">
        <f>IF(OR(D1722="",E1722=""),"",D1722*E1722)</f>
        <v/>
      </c>
      <c r="G1722" s="15" t="n"/>
    </row>
    <row r="1723">
      <c r="A1723" s="19" t="n"/>
      <c r="B1723" s="15" t="n"/>
      <c r="C1723">
        <f>IF(B1723="","",IFERROR(INDEX(Items!$B$5:$B$304,MATCH(B1723,Items!$A$5:$A$304,0)),"Unknown code"))</f>
        <v/>
      </c>
      <c r="D1723" s="15" t="n"/>
      <c r="E1723" s="16" t="n"/>
      <c r="F1723" s="18">
        <f>IF(OR(D1723="",E1723=""),"",D1723*E1723)</f>
        <v/>
      </c>
      <c r="G1723" s="15" t="n"/>
    </row>
    <row r="1724">
      <c r="A1724" s="19" t="n"/>
      <c r="B1724" s="15" t="n"/>
      <c r="C1724">
        <f>IF(B1724="","",IFERROR(INDEX(Items!$B$5:$B$304,MATCH(B1724,Items!$A$5:$A$304,0)),"Unknown code"))</f>
        <v/>
      </c>
      <c r="D1724" s="15" t="n"/>
      <c r="E1724" s="16" t="n"/>
      <c r="F1724" s="18">
        <f>IF(OR(D1724="",E1724=""),"",D1724*E1724)</f>
        <v/>
      </c>
      <c r="G1724" s="15" t="n"/>
    </row>
    <row r="1725">
      <c r="A1725" s="19" t="n"/>
      <c r="B1725" s="15" t="n"/>
      <c r="C1725">
        <f>IF(B1725="","",IFERROR(INDEX(Items!$B$5:$B$304,MATCH(B1725,Items!$A$5:$A$304,0)),"Unknown code"))</f>
        <v/>
      </c>
      <c r="D1725" s="15" t="n"/>
      <c r="E1725" s="16" t="n"/>
      <c r="F1725" s="18">
        <f>IF(OR(D1725="",E1725=""),"",D1725*E1725)</f>
        <v/>
      </c>
      <c r="G1725" s="15" t="n"/>
    </row>
    <row r="1726">
      <c r="A1726" s="19" t="n"/>
      <c r="B1726" s="15" t="n"/>
      <c r="C1726">
        <f>IF(B1726="","",IFERROR(INDEX(Items!$B$5:$B$304,MATCH(B1726,Items!$A$5:$A$304,0)),"Unknown code"))</f>
        <v/>
      </c>
      <c r="D1726" s="15" t="n"/>
      <c r="E1726" s="16" t="n"/>
      <c r="F1726" s="18">
        <f>IF(OR(D1726="",E1726=""),"",D1726*E1726)</f>
        <v/>
      </c>
      <c r="G1726" s="15" t="n"/>
    </row>
    <row r="1727">
      <c r="A1727" s="19" t="n"/>
      <c r="B1727" s="15" t="n"/>
      <c r="C1727">
        <f>IF(B1727="","",IFERROR(INDEX(Items!$B$5:$B$304,MATCH(B1727,Items!$A$5:$A$304,0)),"Unknown code"))</f>
        <v/>
      </c>
      <c r="D1727" s="15" t="n"/>
      <c r="E1727" s="16" t="n"/>
      <c r="F1727" s="18">
        <f>IF(OR(D1727="",E1727=""),"",D1727*E1727)</f>
        <v/>
      </c>
      <c r="G1727" s="15" t="n"/>
    </row>
    <row r="1728">
      <c r="A1728" s="19" t="n"/>
      <c r="B1728" s="15" t="n"/>
      <c r="C1728">
        <f>IF(B1728="","",IFERROR(INDEX(Items!$B$5:$B$304,MATCH(B1728,Items!$A$5:$A$304,0)),"Unknown code"))</f>
        <v/>
      </c>
      <c r="D1728" s="15" t="n"/>
      <c r="E1728" s="16" t="n"/>
      <c r="F1728" s="18">
        <f>IF(OR(D1728="",E1728=""),"",D1728*E1728)</f>
        <v/>
      </c>
      <c r="G1728" s="15" t="n"/>
    </row>
    <row r="1729">
      <c r="A1729" s="19" t="n"/>
      <c r="B1729" s="15" t="n"/>
      <c r="C1729">
        <f>IF(B1729="","",IFERROR(INDEX(Items!$B$5:$B$304,MATCH(B1729,Items!$A$5:$A$304,0)),"Unknown code"))</f>
        <v/>
      </c>
      <c r="D1729" s="15" t="n"/>
      <c r="E1729" s="16" t="n"/>
      <c r="F1729" s="18">
        <f>IF(OR(D1729="",E1729=""),"",D1729*E1729)</f>
        <v/>
      </c>
      <c r="G1729" s="15" t="n"/>
    </row>
    <row r="1730">
      <c r="A1730" s="19" t="n"/>
      <c r="B1730" s="15" t="n"/>
      <c r="C1730">
        <f>IF(B1730="","",IFERROR(INDEX(Items!$B$5:$B$304,MATCH(B1730,Items!$A$5:$A$304,0)),"Unknown code"))</f>
        <v/>
      </c>
      <c r="D1730" s="15" t="n"/>
      <c r="E1730" s="16" t="n"/>
      <c r="F1730" s="18">
        <f>IF(OR(D1730="",E1730=""),"",D1730*E1730)</f>
        <v/>
      </c>
      <c r="G1730" s="15" t="n"/>
    </row>
    <row r="1731">
      <c r="A1731" s="19" t="n"/>
      <c r="B1731" s="15" t="n"/>
      <c r="C1731">
        <f>IF(B1731="","",IFERROR(INDEX(Items!$B$5:$B$304,MATCH(B1731,Items!$A$5:$A$304,0)),"Unknown code"))</f>
        <v/>
      </c>
      <c r="D1731" s="15" t="n"/>
      <c r="E1731" s="16" t="n"/>
      <c r="F1731" s="18">
        <f>IF(OR(D1731="",E1731=""),"",D1731*E1731)</f>
        <v/>
      </c>
      <c r="G1731" s="15" t="n"/>
    </row>
    <row r="1732">
      <c r="A1732" s="19" t="n"/>
      <c r="B1732" s="15" t="n"/>
      <c r="C1732">
        <f>IF(B1732="","",IFERROR(INDEX(Items!$B$5:$B$304,MATCH(B1732,Items!$A$5:$A$304,0)),"Unknown code"))</f>
        <v/>
      </c>
      <c r="D1732" s="15" t="n"/>
      <c r="E1732" s="16" t="n"/>
      <c r="F1732" s="18">
        <f>IF(OR(D1732="",E1732=""),"",D1732*E1732)</f>
        <v/>
      </c>
      <c r="G1732" s="15" t="n"/>
    </row>
    <row r="1733">
      <c r="A1733" s="19" t="n"/>
      <c r="B1733" s="15" t="n"/>
      <c r="C1733">
        <f>IF(B1733="","",IFERROR(INDEX(Items!$B$5:$B$304,MATCH(B1733,Items!$A$5:$A$304,0)),"Unknown code"))</f>
        <v/>
      </c>
      <c r="D1733" s="15" t="n"/>
      <c r="E1733" s="16" t="n"/>
      <c r="F1733" s="18">
        <f>IF(OR(D1733="",E1733=""),"",D1733*E1733)</f>
        <v/>
      </c>
      <c r="G1733" s="15" t="n"/>
    </row>
    <row r="1734">
      <c r="A1734" s="19" t="n"/>
      <c r="B1734" s="15" t="n"/>
      <c r="C1734">
        <f>IF(B1734="","",IFERROR(INDEX(Items!$B$5:$B$304,MATCH(B1734,Items!$A$5:$A$304,0)),"Unknown code"))</f>
        <v/>
      </c>
      <c r="D1734" s="15" t="n"/>
      <c r="E1734" s="16" t="n"/>
      <c r="F1734" s="18">
        <f>IF(OR(D1734="",E1734=""),"",D1734*E1734)</f>
        <v/>
      </c>
      <c r="G1734" s="15" t="n"/>
    </row>
    <row r="1735">
      <c r="A1735" s="19" t="n"/>
      <c r="B1735" s="15" t="n"/>
      <c r="C1735">
        <f>IF(B1735="","",IFERROR(INDEX(Items!$B$5:$B$304,MATCH(B1735,Items!$A$5:$A$304,0)),"Unknown code"))</f>
        <v/>
      </c>
      <c r="D1735" s="15" t="n"/>
      <c r="E1735" s="16" t="n"/>
      <c r="F1735" s="18">
        <f>IF(OR(D1735="",E1735=""),"",D1735*E1735)</f>
        <v/>
      </c>
      <c r="G1735" s="15" t="n"/>
    </row>
    <row r="1736">
      <c r="A1736" s="19" t="n"/>
      <c r="B1736" s="15" t="n"/>
      <c r="C1736">
        <f>IF(B1736="","",IFERROR(INDEX(Items!$B$5:$B$304,MATCH(B1736,Items!$A$5:$A$304,0)),"Unknown code"))</f>
        <v/>
      </c>
      <c r="D1736" s="15" t="n"/>
      <c r="E1736" s="16" t="n"/>
      <c r="F1736" s="18">
        <f>IF(OR(D1736="",E1736=""),"",D1736*E1736)</f>
        <v/>
      </c>
      <c r="G1736" s="15" t="n"/>
    </row>
    <row r="1737">
      <c r="A1737" s="19" t="n"/>
      <c r="B1737" s="15" t="n"/>
      <c r="C1737">
        <f>IF(B1737="","",IFERROR(INDEX(Items!$B$5:$B$304,MATCH(B1737,Items!$A$5:$A$304,0)),"Unknown code"))</f>
        <v/>
      </c>
      <c r="D1737" s="15" t="n"/>
      <c r="E1737" s="16" t="n"/>
      <c r="F1737" s="18">
        <f>IF(OR(D1737="",E1737=""),"",D1737*E1737)</f>
        <v/>
      </c>
      <c r="G1737" s="15" t="n"/>
    </row>
    <row r="1738">
      <c r="A1738" s="19" t="n"/>
      <c r="B1738" s="15" t="n"/>
      <c r="C1738">
        <f>IF(B1738="","",IFERROR(INDEX(Items!$B$5:$B$304,MATCH(B1738,Items!$A$5:$A$304,0)),"Unknown code"))</f>
        <v/>
      </c>
      <c r="D1738" s="15" t="n"/>
      <c r="E1738" s="16" t="n"/>
      <c r="F1738" s="18">
        <f>IF(OR(D1738="",E1738=""),"",D1738*E1738)</f>
        <v/>
      </c>
      <c r="G1738" s="15" t="n"/>
    </row>
    <row r="1739">
      <c r="A1739" s="19" t="n"/>
      <c r="B1739" s="15" t="n"/>
      <c r="C1739">
        <f>IF(B1739="","",IFERROR(INDEX(Items!$B$5:$B$304,MATCH(B1739,Items!$A$5:$A$304,0)),"Unknown code"))</f>
        <v/>
      </c>
      <c r="D1739" s="15" t="n"/>
      <c r="E1739" s="16" t="n"/>
      <c r="F1739" s="18">
        <f>IF(OR(D1739="",E1739=""),"",D1739*E1739)</f>
        <v/>
      </c>
      <c r="G1739" s="15" t="n"/>
    </row>
    <row r="1740">
      <c r="A1740" s="19" t="n"/>
      <c r="B1740" s="15" t="n"/>
      <c r="C1740">
        <f>IF(B1740="","",IFERROR(INDEX(Items!$B$5:$B$304,MATCH(B1740,Items!$A$5:$A$304,0)),"Unknown code"))</f>
        <v/>
      </c>
      <c r="D1740" s="15" t="n"/>
      <c r="E1740" s="16" t="n"/>
      <c r="F1740" s="18">
        <f>IF(OR(D1740="",E1740=""),"",D1740*E1740)</f>
        <v/>
      </c>
      <c r="G1740" s="15" t="n"/>
    </row>
    <row r="1741">
      <c r="A1741" s="19" t="n"/>
      <c r="B1741" s="15" t="n"/>
      <c r="C1741">
        <f>IF(B1741="","",IFERROR(INDEX(Items!$B$5:$B$304,MATCH(B1741,Items!$A$5:$A$304,0)),"Unknown code"))</f>
        <v/>
      </c>
      <c r="D1741" s="15" t="n"/>
      <c r="E1741" s="16" t="n"/>
      <c r="F1741" s="18">
        <f>IF(OR(D1741="",E1741=""),"",D1741*E1741)</f>
        <v/>
      </c>
      <c r="G1741" s="15" t="n"/>
    </row>
    <row r="1742">
      <c r="A1742" s="19" t="n"/>
      <c r="B1742" s="15" t="n"/>
      <c r="C1742">
        <f>IF(B1742="","",IFERROR(INDEX(Items!$B$5:$B$304,MATCH(B1742,Items!$A$5:$A$304,0)),"Unknown code"))</f>
        <v/>
      </c>
      <c r="D1742" s="15" t="n"/>
      <c r="E1742" s="16" t="n"/>
      <c r="F1742" s="18">
        <f>IF(OR(D1742="",E1742=""),"",D1742*E1742)</f>
        <v/>
      </c>
      <c r="G1742" s="15" t="n"/>
    </row>
    <row r="1743">
      <c r="A1743" s="19" t="n"/>
      <c r="B1743" s="15" t="n"/>
      <c r="C1743">
        <f>IF(B1743="","",IFERROR(INDEX(Items!$B$5:$B$304,MATCH(B1743,Items!$A$5:$A$304,0)),"Unknown code"))</f>
        <v/>
      </c>
      <c r="D1743" s="15" t="n"/>
      <c r="E1743" s="16" t="n"/>
      <c r="F1743" s="18">
        <f>IF(OR(D1743="",E1743=""),"",D1743*E1743)</f>
        <v/>
      </c>
      <c r="G1743" s="15" t="n"/>
    </row>
    <row r="1744">
      <c r="A1744" s="19" t="n"/>
      <c r="B1744" s="15" t="n"/>
      <c r="C1744">
        <f>IF(B1744="","",IFERROR(INDEX(Items!$B$5:$B$304,MATCH(B1744,Items!$A$5:$A$304,0)),"Unknown code"))</f>
        <v/>
      </c>
      <c r="D1744" s="15" t="n"/>
      <c r="E1744" s="16" t="n"/>
      <c r="F1744" s="18">
        <f>IF(OR(D1744="",E1744=""),"",D1744*E1744)</f>
        <v/>
      </c>
      <c r="G1744" s="15" t="n"/>
    </row>
    <row r="1745">
      <c r="A1745" s="19" t="n"/>
      <c r="B1745" s="15" t="n"/>
      <c r="C1745">
        <f>IF(B1745="","",IFERROR(INDEX(Items!$B$5:$B$304,MATCH(B1745,Items!$A$5:$A$304,0)),"Unknown code"))</f>
        <v/>
      </c>
      <c r="D1745" s="15" t="n"/>
      <c r="E1745" s="16" t="n"/>
      <c r="F1745" s="18">
        <f>IF(OR(D1745="",E1745=""),"",D1745*E1745)</f>
        <v/>
      </c>
      <c r="G1745" s="15" t="n"/>
    </row>
    <row r="1746">
      <c r="A1746" s="19" t="n"/>
      <c r="B1746" s="15" t="n"/>
      <c r="C1746">
        <f>IF(B1746="","",IFERROR(INDEX(Items!$B$5:$B$304,MATCH(B1746,Items!$A$5:$A$304,0)),"Unknown code"))</f>
        <v/>
      </c>
      <c r="D1746" s="15" t="n"/>
      <c r="E1746" s="16" t="n"/>
      <c r="F1746" s="18">
        <f>IF(OR(D1746="",E1746=""),"",D1746*E1746)</f>
        <v/>
      </c>
      <c r="G1746" s="15" t="n"/>
    </row>
    <row r="1747">
      <c r="A1747" s="19" t="n"/>
      <c r="B1747" s="15" t="n"/>
      <c r="C1747">
        <f>IF(B1747="","",IFERROR(INDEX(Items!$B$5:$B$304,MATCH(B1747,Items!$A$5:$A$304,0)),"Unknown code"))</f>
        <v/>
      </c>
      <c r="D1747" s="15" t="n"/>
      <c r="E1747" s="16" t="n"/>
      <c r="F1747" s="18">
        <f>IF(OR(D1747="",E1747=""),"",D1747*E1747)</f>
        <v/>
      </c>
      <c r="G1747" s="15" t="n"/>
    </row>
    <row r="1748">
      <c r="A1748" s="19" t="n"/>
      <c r="B1748" s="15" t="n"/>
      <c r="C1748">
        <f>IF(B1748="","",IFERROR(INDEX(Items!$B$5:$B$304,MATCH(B1748,Items!$A$5:$A$304,0)),"Unknown code"))</f>
        <v/>
      </c>
      <c r="D1748" s="15" t="n"/>
      <c r="E1748" s="16" t="n"/>
      <c r="F1748" s="18">
        <f>IF(OR(D1748="",E1748=""),"",D1748*E1748)</f>
        <v/>
      </c>
      <c r="G1748" s="15" t="n"/>
    </row>
    <row r="1749">
      <c r="A1749" s="19" t="n"/>
      <c r="B1749" s="15" t="n"/>
      <c r="C1749">
        <f>IF(B1749="","",IFERROR(INDEX(Items!$B$5:$B$304,MATCH(B1749,Items!$A$5:$A$304,0)),"Unknown code"))</f>
        <v/>
      </c>
      <c r="D1749" s="15" t="n"/>
      <c r="E1749" s="16" t="n"/>
      <c r="F1749" s="18">
        <f>IF(OR(D1749="",E1749=""),"",D1749*E1749)</f>
        <v/>
      </c>
      <c r="G1749" s="15" t="n"/>
    </row>
    <row r="1750">
      <c r="A1750" s="19" t="n"/>
      <c r="B1750" s="15" t="n"/>
      <c r="C1750">
        <f>IF(B1750="","",IFERROR(INDEX(Items!$B$5:$B$304,MATCH(B1750,Items!$A$5:$A$304,0)),"Unknown code"))</f>
        <v/>
      </c>
      <c r="D1750" s="15" t="n"/>
      <c r="E1750" s="16" t="n"/>
      <c r="F1750" s="18">
        <f>IF(OR(D1750="",E1750=""),"",D1750*E1750)</f>
        <v/>
      </c>
      <c r="G1750" s="15" t="n"/>
    </row>
    <row r="1751">
      <c r="A1751" s="19" t="n"/>
      <c r="B1751" s="15" t="n"/>
      <c r="C1751">
        <f>IF(B1751="","",IFERROR(INDEX(Items!$B$5:$B$304,MATCH(B1751,Items!$A$5:$A$304,0)),"Unknown code"))</f>
        <v/>
      </c>
      <c r="D1751" s="15" t="n"/>
      <c r="E1751" s="16" t="n"/>
      <c r="F1751" s="18">
        <f>IF(OR(D1751="",E1751=""),"",D1751*E1751)</f>
        <v/>
      </c>
      <c r="G1751" s="15" t="n"/>
    </row>
    <row r="1752">
      <c r="A1752" s="19" t="n"/>
      <c r="B1752" s="15" t="n"/>
      <c r="C1752">
        <f>IF(B1752="","",IFERROR(INDEX(Items!$B$5:$B$304,MATCH(B1752,Items!$A$5:$A$304,0)),"Unknown code"))</f>
        <v/>
      </c>
      <c r="D1752" s="15" t="n"/>
      <c r="E1752" s="16" t="n"/>
      <c r="F1752" s="18">
        <f>IF(OR(D1752="",E1752=""),"",D1752*E1752)</f>
        <v/>
      </c>
      <c r="G1752" s="15" t="n"/>
    </row>
    <row r="1753">
      <c r="A1753" s="19" t="n"/>
      <c r="B1753" s="15" t="n"/>
      <c r="C1753">
        <f>IF(B1753="","",IFERROR(INDEX(Items!$B$5:$B$304,MATCH(B1753,Items!$A$5:$A$304,0)),"Unknown code"))</f>
        <v/>
      </c>
      <c r="D1753" s="15" t="n"/>
      <c r="E1753" s="16" t="n"/>
      <c r="F1753" s="18">
        <f>IF(OR(D1753="",E1753=""),"",D1753*E1753)</f>
        <v/>
      </c>
      <c r="G1753" s="15" t="n"/>
    </row>
    <row r="1754">
      <c r="A1754" s="19" t="n"/>
      <c r="B1754" s="15" t="n"/>
      <c r="C1754">
        <f>IF(B1754="","",IFERROR(INDEX(Items!$B$5:$B$304,MATCH(B1754,Items!$A$5:$A$304,0)),"Unknown code"))</f>
        <v/>
      </c>
      <c r="D1754" s="15" t="n"/>
      <c r="E1754" s="16" t="n"/>
      <c r="F1754" s="18">
        <f>IF(OR(D1754="",E1754=""),"",D1754*E1754)</f>
        <v/>
      </c>
      <c r="G1754" s="15" t="n"/>
    </row>
    <row r="1755">
      <c r="A1755" s="19" t="n"/>
      <c r="B1755" s="15" t="n"/>
      <c r="C1755">
        <f>IF(B1755="","",IFERROR(INDEX(Items!$B$5:$B$304,MATCH(B1755,Items!$A$5:$A$304,0)),"Unknown code"))</f>
        <v/>
      </c>
      <c r="D1755" s="15" t="n"/>
      <c r="E1755" s="16" t="n"/>
      <c r="F1755" s="18">
        <f>IF(OR(D1755="",E1755=""),"",D1755*E1755)</f>
        <v/>
      </c>
      <c r="G1755" s="15" t="n"/>
    </row>
    <row r="1756">
      <c r="A1756" s="19" t="n"/>
      <c r="B1756" s="15" t="n"/>
      <c r="C1756">
        <f>IF(B1756="","",IFERROR(INDEX(Items!$B$5:$B$304,MATCH(B1756,Items!$A$5:$A$304,0)),"Unknown code"))</f>
        <v/>
      </c>
      <c r="D1756" s="15" t="n"/>
      <c r="E1756" s="16" t="n"/>
      <c r="F1756" s="18">
        <f>IF(OR(D1756="",E1756=""),"",D1756*E1756)</f>
        <v/>
      </c>
      <c r="G1756" s="15" t="n"/>
    </row>
    <row r="1757">
      <c r="A1757" s="19" t="n"/>
      <c r="B1757" s="15" t="n"/>
      <c r="C1757">
        <f>IF(B1757="","",IFERROR(INDEX(Items!$B$5:$B$304,MATCH(B1757,Items!$A$5:$A$304,0)),"Unknown code"))</f>
        <v/>
      </c>
      <c r="D1757" s="15" t="n"/>
      <c r="E1757" s="16" t="n"/>
      <c r="F1757" s="18">
        <f>IF(OR(D1757="",E1757=""),"",D1757*E1757)</f>
        <v/>
      </c>
      <c r="G1757" s="15" t="n"/>
    </row>
    <row r="1758">
      <c r="A1758" s="19" t="n"/>
      <c r="B1758" s="15" t="n"/>
      <c r="C1758">
        <f>IF(B1758="","",IFERROR(INDEX(Items!$B$5:$B$304,MATCH(B1758,Items!$A$5:$A$304,0)),"Unknown code"))</f>
        <v/>
      </c>
      <c r="D1758" s="15" t="n"/>
      <c r="E1758" s="16" t="n"/>
      <c r="F1758" s="18">
        <f>IF(OR(D1758="",E1758=""),"",D1758*E1758)</f>
        <v/>
      </c>
      <c r="G1758" s="15" t="n"/>
    </row>
    <row r="1759">
      <c r="A1759" s="19" t="n"/>
      <c r="B1759" s="15" t="n"/>
      <c r="C1759">
        <f>IF(B1759="","",IFERROR(INDEX(Items!$B$5:$B$304,MATCH(B1759,Items!$A$5:$A$304,0)),"Unknown code"))</f>
        <v/>
      </c>
      <c r="D1759" s="15" t="n"/>
      <c r="E1759" s="16" t="n"/>
      <c r="F1759" s="18">
        <f>IF(OR(D1759="",E1759=""),"",D1759*E1759)</f>
        <v/>
      </c>
      <c r="G1759" s="15" t="n"/>
    </row>
    <row r="1760">
      <c r="A1760" s="19" t="n"/>
      <c r="B1760" s="15" t="n"/>
      <c r="C1760">
        <f>IF(B1760="","",IFERROR(INDEX(Items!$B$5:$B$304,MATCH(B1760,Items!$A$5:$A$304,0)),"Unknown code"))</f>
        <v/>
      </c>
      <c r="D1760" s="15" t="n"/>
      <c r="E1760" s="16" t="n"/>
      <c r="F1760" s="18">
        <f>IF(OR(D1760="",E1760=""),"",D1760*E1760)</f>
        <v/>
      </c>
      <c r="G1760" s="15" t="n"/>
    </row>
    <row r="1761">
      <c r="A1761" s="19" t="n"/>
      <c r="B1761" s="15" t="n"/>
      <c r="C1761">
        <f>IF(B1761="","",IFERROR(INDEX(Items!$B$5:$B$304,MATCH(B1761,Items!$A$5:$A$304,0)),"Unknown code"))</f>
        <v/>
      </c>
      <c r="D1761" s="15" t="n"/>
      <c r="E1761" s="16" t="n"/>
      <c r="F1761" s="18">
        <f>IF(OR(D1761="",E1761=""),"",D1761*E1761)</f>
        <v/>
      </c>
      <c r="G1761" s="15" t="n"/>
    </row>
    <row r="1762">
      <c r="A1762" s="19" t="n"/>
      <c r="B1762" s="15" t="n"/>
      <c r="C1762">
        <f>IF(B1762="","",IFERROR(INDEX(Items!$B$5:$B$304,MATCH(B1762,Items!$A$5:$A$304,0)),"Unknown code"))</f>
        <v/>
      </c>
      <c r="D1762" s="15" t="n"/>
      <c r="E1762" s="16" t="n"/>
      <c r="F1762" s="18">
        <f>IF(OR(D1762="",E1762=""),"",D1762*E1762)</f>
        <v/>
      </c>
      <c r="G1762" s="15" t="n"/>
    </row>
    <row r="1763">
      <c r="A1763" s="19" t="n"/>
      <c r="B1763" s="15" t="n"/>
      <c r="C1763">
        <f>IF(B1763="","",IFERROR(INDEX(Items!$B$5:$B$304,MATCH(B1763,Items!$A$5:$A$304,0)),"Unknown code"))</f>
        <v/>
      </c>
      <c r="D1763" s="15" t="n"/>
      <c r="E1763" s="16" t="n"/>
      <c r="F1763" s="18">
        <f>IF(OR(D1763="",E1763=""),"",D1763*E1763)</f>
        <v/>
      </c>
      <c r="G1763" s="15" t="n"/>
    </row>
    <row r="1764">
      <c r="A1764" s="19" t="n"/>
      <c r="B1764" s="15" t="n"/>
      <c r="C1764">
        <f>IF(B1764="","",IFERROR(INDEX(Items!$B$5:$B$304,MATCH(B1764,Items!$A$5:$A$304,0)),"Unknown code"))</f>
        <v/>
      </c>
      <c r="D1764" s="15" t="n"/>
      <c r="E1764" s="16" t="n"/>
      <c r="F1764" s="18">
        <f>IF(OR(D1764="",E1764=""),"",D1764*E1764)</f>
        <v/>
      </c>
      <c r="G1764" s="15" t="n"/>
    </row>
    <row r="1765">
      <c r="A1765" s="19" t="n"/>
      <c r="B1765" s="15" t="n"/>
      <c r="C1765">
        <f>IF(B1765="","",IFERROR(INDEX(Items!$B$5:$B$304,MATCH(B1765,Items!$A$5:$A$304,0)),"Unknown code"))</f>
        <v/>
      </c>
      <c r="D1765" s="15" t="n"/>
      <c r="E1765" s="16" t="n"/>
      <c r="F1765" s="18">
        <f>IF(OR(D1765="",E1765=""),"",D1765*E1765)</f>
        <v/>
      </c>
      <c r="G1765" s="15" t="n"/>
    </row>
    <row r="1766">
      <c r="A1766" s="19" t="n"/>
      <c r="B1766" s="15" t="n"/>
      <c r="C1766">
        <f>IF(B1766="","",IFERROR(INDEX(Items!$B$5:$B$304,MATCH(B1766,Items!$A$5:$A$304,0)),"Unknown code"))</f>
        <v/>
      </c>
      <c r="D1766" s="15" t="n"/>
      <c r="E1766" s="16" t="n"/>
      <c r="F1766" s="18">
        <f>IF(OR(D1766="",E1766=""),"",D1766*E1766)</f>
        <v/>
      </c>
      <c r="G1766" s="15" t="n"/>
    </row>
    <row r="1767">
      <c r="A1767" s="19" t="n"/>
      <c r="B1767" s="15" t="n"/>
      <c r="C1767">
        <f>IF(B1767="","",IFERROR(INDEX(Items!$B$5:$B$304,MATCH(B1767,Items!$A$5:$A$304,0)),"Unknown code"))</f>
        <v/>
      </c>
      <c r="D1767" s="15" t="n"/>
      <c r="E1767" s="16" t="n"/>
      <c r="F1767" s="18">
        <f>IF(OR(D1767="",E1767=""),"",D1767*E1767)</f>
        <v/>
      </c>
      <c r="G1767" s="15" t="n"/>
    </row>
    <row r="1768">
      <c r="A1768" s="19" t="n"/>
      <c r="B1768" s="15" t="n"/>
      <c r="C1768">
        <f>IF(B1768="","",IFERROR(INDEX(Items!$B$5:$B$304,MATCH(B1768,Items!$A$5:$A$304,0)),"Unknown code"))</f>
        <v/>
      </c>
      <c r="D1768" s="15" t="n"/>
      <c r="E1768" s="16" t="n"/>
      <c r="F1768" s="18">
        <f>IF(OR(D1768="",E1768=""),"",D1768*E1768)</f>
        <v/>
      </c>
      <c r="G1768" s="15" t="n"/>
    </row>
    <row r="1769">
      <c r="A1769" s="19" t="n"/>
      <c r="B1769" s="15" t="n"/>
      <c r="C1769">
        <f>IF(B1769="","",IFERROR(INDEX(Items!$B$5:$B$304,MATCH(B1769,Items!$A$5:$A$304,0)),"Unknown code"))</f>
        <v/>
      </c>
      <c r="D1769" s="15" t="n"/>
      <c r="E1769" s="16" t="n"/>
      <c r="F1769" s="18">
        <f>IF(OR(D1769="",E1769=""),"",D1769*E1769)</f>
        <v/>
      </c>
      <c r="G1769" s="15" t="n"/>
    </row>
    <row r="1770">
      <c r="A1770" s="19" t="n"/>
      <c r="B1770" s="15" t="n"/>
      <c r="C1770">
        <f>IF(B1770="","",IFERROR(INDEX(Items!$B$5:$B$304,MATCH(B1770,Items!$A$5:$A$304,0)),"Unknown code"))</f>
        <v/>
      </c>
      <c r="D1770" s="15" t="n"/>
      <c r="E1770" s="16" t="n"/>
      <c r="F1770" s="18">
        <f>IF(OR(D1770="",E1770=""),"",D1770*E1770)</f>
        <v/>
      </c>
      <c r="G1770" s="15" t="n"/>
    </row>
    <row r="1771">
      <c r="A1771" s="19" t="n"/>
      <c r="B1771" s="15" t="n"/>
      <c r="C1771">
        <f>IF(B1771="","",IFERROR(INDEX(Items!$B$5:$B$304,MATCH(B1771,Items!$A$5:$A$304,0)),"Unknown code"))</f>
        <v/>
      </c>
      <c r="D1771" s="15" t="n"/>
      <c r="E1771" s="16" t="n"/>
      <c r="F1771" s="18">
        <f>IF(OR(D1771="",E1771=""),"",D1771*E1771)</f>
        <v/>
      </c>
      <c r="G1771" s="15" t="n"/>
    </row>
    <row r="1772">
      <c r="A1772" s="19" t="n"/>
      <c r="B1772" s="15" t="n"/>
      <c r="C1772">
        <f>IF(B1772="","",IFERROR(INDEX(Items!$B$5:$B$304,MATCH(B1772,Items!$A$5:$A$304,0)),"Unknown code"))</f>
        <v/>
      </c>
      <c r="D1772" s="15" t="n"/>
      <c r="E1772" s="16" t="n"/>
      <c r="F1772" s="18">
        <f>IF(OR(D1772="",E1772=""),"",D1772*E1772)</f>
        <v/>
      </c>
      <c r="G1772" s="15" t="n"/>
    </row>
    <row r="1773">
      <c r="A1773" s="19" t="n"/>
      <c r="B1773" s="15" t="n"/>
      <c r="C1773">
        <f>IF(B1773="","",IFERROR(INDEX(Items!$B$5:$B$304,MATCH(B1773,Items!$A$5:$A$304,0)),"Unknown code"))</f>
        <v/>
      </c>
      <c r="D1773" s="15" t="n"/>
      <c r="E1773" s="16" t="n"/>
      <c r="F1773" s="18">
        <f>IF(OR(D1773="",E1773=""),"",D1773*E1773)</f>
        <v/>
      </c>
      <c r="G1773" s="15" t="n"/>
    </row>
    <row r="1774">
      <c r="A1774" s="19" t="n"/>
      <c r="B1774" s="15" t="n"/>
      <c r="C1774">
        <f>IF(B1774="","",IFERROR(INDEX(Items!$B$5:$B$304,MATCH(B1774,Items!$A$5:$A$304,0)),"Unknown code"))</f>
        <v/>
      </c>
      <c r="D1774" s="15" t="n"/>
      <c r="E1774" s="16" t="n"/>
      <c r="F1774" s="18">
        <f>IF(OR(D1774="",E1774=""),"",D1774*E1774)</f>
        <v/>
      </c>
      <c r="G1774" s="15" t="n"/>
    </row>
    <row r="1775">
      <c r="A1775" s="19" t="n"/>
      <c r="B1775" s="15" t="n"/>
      <c r="C1775">
        <f>IF(B1775="","",IFERROR(INDEX(Items!$B$5:$B$304,MATCH(B1775,Items!$A$5:$A$304,0)),"Unknown code"))</f>
        <v/>
      </c>
      <c r="D1775" s="15" t="n"/>
      <c r="E1775" s="16" t="n"/>
      <c r="F1775" s="18">
        <f>IF(OR(D1775="",E1775=""),"",D1775*E1775)</f>
        <v/>
      </c>
      <c r="G1775" s="15" t="n"/>
    </row>
    <row r="1776">
      <c r="A1776" s="19" t="n"/>
      <c r="B1776" s="15" t="n"/>
      <c r="C1776">
        <f>IF(B1776="","",IFERROR(INDEX(Items!$B$5:$B$304,MATCH(B1776,Items!$A$5:$A$304,0)),"Unknown code"))</f>
        <v/>
      </c>
      <c r="D1776" s="15" t="n"/>
      <c r="E1776" s="16" t="n"/>
      <c r="F1776" s="18">
        <f>IF(OR(D1776="",E1776=""),"",D1776*E1776)</f>
        <v/>
      </c>
      <c r="G1776" s="15" t="n"/>
    </row>
    <row r="1777">
      <c r="A1777" s="19" t="n"/>
      <c r="B1777" s="15" t="n"/>
      <c r="C1777">
        <f>IF(B1777="","",IFERROR(INDEX(Items!$B$5:$B$304,MATCH(B1777,Items!$A$5:$A$304,0)),"Unknown code"))</f>
        <v/>
      </c>
      <c r="D1777" s="15" t="n"/>
      <c r="E1777" s="16" t="n"/>
      <c r="F1777" s="18">
        <f>IF(OR(D1777="",E1777=""),"",D1777*E1777)</f>
        <v/>
      </c>
      <c r="G1777" s="15" t="n"/>
    </row>
    <row r="1778">
      <c r="A1778" s="19" t="n"/>
      <c r="B1778" s="15" t="n"/>
      <c r="C1778">
        <f>IF(B1778="","",IFERROR(INDEX(Items!$B$5:$B$304,MATCH(B1778,Items!$A$5:$A$304,0)),"Unknown code"))</f>
        <v/>
      </c>
      <c r="D1778" s="15" t="n"/>
      <c r="E1778" s="16" t="n"/>
      <c r="F1778" s="18">
        <f>IF(OR(D1778="",E1778=""),"",D1778*E1778)</f>
        <v/>
      </c>
      <c r="G1778" s="15" t="n"/>
    </row>
    <row r="1779">
      <c r="A1779" s="19" t="n"/>
      <c r="B1779" s="15" t="n"/>
      <c r="C1779">
        <f>IF(B1779="","",IFERROR(INDEX(Items!$B$5:$B$304,MATCH(B1779,Items!$A$5:$A$304,0)),"Unknown code"))</f>
        <v/>
      </c>
      <c r="D1779" s="15" t="n"/>
      <c r="E1779" s="16" t="n"/>
      <c r="F1779" s="18">
        <f>IF(OR(D1779="",E1779=""),"",D1779*E1779)</f>
        <v/>
      </c>
      <c r="G1779" s="15" t="n"/>
    </row>
    <row r="1780">
      <c r="A1780" s="19" t="n"/>
      <c r="B1780" s="15" t="n"/>
      <c r="C1780">
        <f>IF(B1780="","",IFERROR(INDEX(Items!$B$5:$B$304,MATCH(B1780,Items!$A$5:$A$304,0)),"Unknown code"))</f>
        <v/>
      </c>
      <c r="D1780" s="15" t="n"/>
      <c r="E1780" s="16" t="n"/>
      <c r="F1780" s="18">
        <f>IF(OR(D1780="",E1780=""),"",D1780*E1780)</f>
        <v/>
      </c>
      <c r="G1780" s="15" t="n"/>
    </row>
    <row r="1781">
      <c r="A1781" s="19" t="n"/>
      <c r="B1781" s="15" t="n"/>
      <c r="C1781">
        <f>IF(B1781="","",IFERROR(INDEX(Items!$B$5:$B$304,MATCH(B1781,Items!$A$5:$A$304,0)),"Unknown code"))</f>
        <v/>
      </c>
      <c r="D1781" s="15" t="n"/>
      <c r="E1781" s="16" t="n"/>
      <c r="F1781" s="18">
        <f>IF(OR(D1781="",E1781=""),"",D1781*E1781)</f>
        <v/>
      </c>
      <c r="G1781" s="15" t="n"/>
    </row>
    <row r="1782">
      <c r="A1782" s="19" t="n"/>
      <c r="B1782" s="15" t="n"/>
      <c r="C1782">
        <f>IF(B1782="","",IFERROR(INDEX(Items!$B$5:$B$304,MATCH(B1782,Items!$A$5:$A$304,0)),"Unknown code"))</f>
        <v/>
      </c>
      <c r="D1782" s="15" t="n"/>
      <c r="E1782" s="16" t="n"/>
      <c r="F1782" s="18">
        <f>IF(OR(D1782="",E1782=""),"",D1782*E1782)</f>
        <v/>
      </c>
      <c r="G1782" s="15" t="n"/>
    </row>
    <row r="1783">
      <c r="A1783" s="19" t="n"/>
      <c r="B1783" s="15" t="n"/>
      <c r="C1783">
        <f>IF(B1783="","",IFERROR(INDEX(Items!$B$5:$B$304,MATCH(B1783,Items!$A$5:$A$304,0)),"Unknown code"))</f>
        <v/>
      </c>
      <c r="D1783" s="15" t="n"/>
      <c r="E1783" s="16" t="n"/>
      <c r="F1783" s="18">
        <f>IF(OR(D1783="",E1783=""),"",D1783*E1783)</f>
        <v/>
      </c>
      <c r="G1783" s="15" t="n"/>
    </row>
    <row r="1784">
      <c r="A1784" s="19" t="n"/>
      <c r="B1784" s="15" t="n"/>
      <c r="C1784">
        <f>IF(B1784="","",IFERROR(INDEX(Items!$B$5:$B$304,MATCH(B1784,Items!$A$5:$A$304,0)),"Unknown code"))</f>
        <v/>
      </c>
      <c r="D1784" s="15" t="n"/>
      <c r="E1784" s="16" t="n"/>
      <c r="F1784" s="18">
        <f>IF(OR(D1784="",E1784=""),"",D1784*E1784)</f>
        <v/>
      </c>
      <c r="G1784" s="15" t="n"/>
    </row>
    <row r="1785">
      <c r="A1785" s="19" t="n"/>
      <c r="B1785" s="15" t="n"/>
      <c r="C1785">
        <f>IF(B1785="","",IFERROR(INDEX(Items!$B$5:$B$304,MATCH(B1785,Items!$A$5:$A$304,0)),"Unknown code"))</f>
        <v/>
      </c>
      <c r="D1785" s="15" t="n"/>
      <c r="E1785" s="16" t="n"/>
      <c r="F1785" s="18">
        <f>IF(OR(D1785="",E1785=""),"",D1785*E1785)</f>
        <v/>
      </c>
      <c r="G1785" s="15" t="n"/>
    </row>
    <row r="1786">
      <c r="A1786" s="19" t="n"/>
      <c r="B1786" s="15" t="n"/>
      <c r="C1786">
        <f>IF(B1786="","",IFERROR(INDEX(Items!$B$5:$B$304,MATCH(B1786,Items!$A$5:$A$304,0)),"Unknown code"))</f>
        <v/>
      </c>
      <c r="D1786" s="15" t="n"/>
      <c r="E1786" s="16" t="n"/>
      <c r="F1786" s="18">
        <f>IF(OR(D1786="",E1786=""),"",D1786*E1786)</f>
        <v/>
      </c>
      <c r="G1786" s="15" t="n"/>
    </row>
    <row r="1787">
      <c r="A1787" s="19" t="n"/>
      <c r="B1787" s="15" t="n"/>
      <c r="C1787">
        <f>IF(B1787="","",IFERROR(INDEX(Items!$B$5:$B$304,MATCH(B1787,Items!$A$5:$A$304,0)),"Unknown code"))</f>
        <v/>
      </c>
      <c r="D1787" s="15" t="n"/>
      <c r="E1787" s="16" t="n"/>
      <c r="F1787" s="18">
        <f>IF(OR(D1787="",E1787=""),"",D1787*E1787)</f>
        <v/>
      </c>
      <c r="G1787" s="15" t="n"/>
    </row>
    <row r="1788">
      <c r="A1788" s="19" t="n"/>
      <c r="B1788" s="15" t="n"/>
      <c r="C1788">
        <f>IF(B1788="","",IFERROR(INDEX(Items!$B$5:$B$304,MATCH(B1788,Items!$A$5:$A$304,0)),"Unknown code"))</f>
        <v/>
      </c>
      <c r="D1788" s="15" t="n"/>
      <c r="E1788" s="16" t="n"/>
      <c r="F1788" s="18">
        <f>IF(OR(D1788="",E1788=""),"",D1788*E1788)</f>
        <v/>
      </c>
      <c r="G1788" s="15" t="n"/>
    </row>
    <row r="1789">
      <c r="A1789" s="19" t="n"/>
      <c r="B1789" s="15" t="n"/>
      <c r="C1789">
        <f>IF(B1789="","",IFERROR(INDEX(Items!$B$5:$B$304,MATCH(B1789,Items!$A$5:$A$304,0)),"Unknown code"))</f>
        <v/>
      </c>
      <c r="D1789" s="15" t="n"/>
      <c r="E1789" s="16" t="n"/>
      <c r="F1789" s="18">
        <f>IF(OR(D1789="",E1789=""),"",D1789*E1789)</f>
        <v/>
      </c>
      <c r="G1789" s="15" t="n"/>
    </row>
    <row r="1790">
      <c r="A1790" s="19" t="n"/>
      <c r="B1790" s="15" t="n"/>
      <c r="C1790">
        <f>IF(B1790="","",IFERROR(INDEX(Items!$B$5:$B$304,MATCH(B1790,Items!$A$5:$A$304,0)),"Unknown code"))</f>
        <v/>
      </c>
      <c r="D1790" s="15" t="n"/>
      <c r="E1790" s="16" t="n"/>
      <c r="F1790" s="18">
        <f>IF(OR(D1790="",E1790=""),"",D1790*E1790)</f>
        <v/>
      </c>
      <c r="G1790" s="15" t="n"/>
    </row>
    <row r="1791">
      <c r="A1791" s="19" t="n"/>
      <c r="B1791" s="15" t="n"/>
      <c r="C1791">
        <f>IF(B1791="","",IFERROR(INDEX(Items!$B$5:$B$304,MATCH(B1791,Items!$A$5:$A$304,0)),"Unknown code"))</f>
        <v/>
      </c>
      <c r="D1791" s="15" t="n"/>
      <c r="E1791" s="16" t="n"/>
      <c r="F1791" s="18">
        <f>IF(OR(D1791="",E1791=""),"",D1791*E1791)</f>
        <v/>
      </c>
      <c r="G1791" s="15" t="n"/>
    </row>
    <row r="1792">
      <c r="A1792" s="19" t="n"/>
      <c r="B1792" s="15" t="n"/>
      <c r="C1792">
        <f>IF(B1792="","",IFERROR(INDEX(Items!$B$5:$B$304,MATCH(B1792,Items!$A$5:$A$304,0)),"Unknown code"))</f>
        <v/>
      </c>
      <c r="D1792" s="15" t="n"/>
      <c r="E1792" s="16" t="n"/>
      <c r="F1792" s="18">
        <f>IF(OR(D1792="",E1792=""),"",D1792*E1792)</f>
        <v/>
      </c>
      <c r="G1792" s="15" t="n"/>
    </row>
    <row r="1793">
      <c r="A1793" s="19" t="n"/>
      <c r="B1793" s="15" t="n"/>
      <c r="C1793">
        <f>IF(B1793="","",IFERROR(INDEX(Items!$B$5:$B$304,MATCH(B1793,Items!$A$5:$A$304,0)),"Unknown code"))</f>
        <v/>
      </c>
      <c r="D1793" s="15" t="n"/>
      <c r="E1793" s="16" t="n"/>
      <c r="F1793" s="18">
        <f>IF(OR(D1793="",E1793=""),"",D1793*E1793)</f>
        <v/>
      </c>
      <c r="G1793" s="15" t="n"/>
    </row>
    <row r="1794">
      <c r="A1794" s="19" t="n"/>
      <c r="B1794" s="15" t="n"/>
      <c r="C1794">
        <f>IF(B1794="","",IFERROR(INDEX(Items!$B$5:$B$304,MATCH(B1794,Items!$A$5:$A$304,0)),"Unknown code"))</f>
        <v/>
      </c>
      <c r="D1794" s="15" t="n"/>
      <c r="E1794" s="16" t="n"/>
      <c r="F1794" s="18">
        <f>IF(OR(D1794="",E1794=""),"",D1794*E1794)</f>
        <v/>
      </c>
      <c r="G1794" s="15" t="n"/>
    </row>
    <row r="1795">
      <c r="A1795" s="19" t="n"/>
      <c r="B1795" s="15" t="n"/>
      <c r="C1795">
        <f>IF(B1795="","",IFERROR(INDEX(Items!$B$5:$B$304,MATCH(B1795,Items!$A$5:$A$304,0)),"Unknown code"))</f>
        <v/>
      </c>
      <c r="D1795" s="15" t="n"/>
      <c r="E1795" s="16" t="n"/>
      <c r="F1795" s="18">
        <f>IF(OR(D1795="",E1795=""),"",D1795*E1795)</f>
        <v/>
      </c>
      <c r="G1795" s="15" t="n"/>
    </row>
    <row r="1796">
      <c r="A1796" s="19" t="n"/>
      <c r="B1796" s="15" t="n"/>
      <c r="C1796">
        <f>IF(B1796="","",IFERROR(INDEX(Items!$B$5:$B$304,MATCH(B1796,Items!$A$5:$A$304,0)),"Unknown code"))</f>
        <v/>
      </c>
      <c r="D1796" s="15" t="n"/>
      <c r="E1796" s="16" t="n"/>
      <c r="F1796" s="18">
        <f>IF(OR(D1796="",E1796=""),"",D1796*E1796)</f>
        <v/>
      </c>
      <c r="G1796" s="15" t="n"/>
    </row>
    <row r="1797">
      <c r="A1797" s="19" t="n"/>
      <c r="B1797" s="15" t="n"/>
      <c r="C1797">
        <f>IF(B1797="","",IFERROR(INDEX(Items!$B$5:$B$304,MATCH(B1797,Items!$A$5:$A$304,0)),"Unknown code"))</f>
        <v/>
      </c>
      <c r="D1797" s="15" t="n"/>
      <c r="E1797" s="16" t="n"/>
      <c r="F1797" s="18">
        <f>IF(OR(D1797="",E1797=""),"",D1797*E1797)</f>
        <v/>
      </c>
      <c r="G1797" s="15" t="n"/>
    </row>
    <row r="1798">
      <c r="A1798" s="19" t="n"/>
      <c r="B1798" s="15" t="n"/>
      <c r="C1798">
        <f>IF(B1798="","",IFERROR(INDEX(Items!$B$5:$B$304,MATCH(B1798,Items!$A$5:$A$304,0)),"Unknown code"))</f>
        <v/>
      </c>
      <c r="D1798" s="15" t="n"/>
      <c r="E1798" s="16" t="n"/>
      <c r="F1798" s="18">
        <f>IF(OR(D1798="",E1798=""),"",D1798*E1798)</f>
        <v/>
      </c>
      <c r="G1798" s="15" t="n"/>
    </row>
    <row r="1799">
      <c r="A1799" s="19" t="n"/>
      <c r="B1799" s="15" t="n"/>
      <c r="C1799">
        <f>IF(B1799="","",IFERROR(INDEX(Items!$B$5:$B$304,MATCH(B1799,Items!$A$5:$A$304,0)),"Unknown code"))</f>
        <v/>
      </c>
      <c r="D1799" s="15" t="n"/>
      <c r="E1799" s="16" t="n"/>
      <c r="F1799" s="18">
        <f>IF(OR(D1799="",E1799=""),"",D1799*E1799)</f>
        <v/>
      </c>
      <c r="G1799" s="15" t="n"/>
    </row>
    <row r="1800">
      <c r="A1800" s="19" t="n"/>
      <c r="B1800" s="15" t="n"/>
      <c r="C1800">
        <f>IF(B1800="","",IFERROR(INDEX(Items!$B$5:$B$304,MATCH(B1800,Items!$A$5:$A$304,0)),"Unknown code"))</f>
        <v/>
      </c>
      <c r="D1800" s="15" t="n"/>
      <c r="E1800" s="16" t="n"/>
      <c r="F1800" s="18">
        <f>IF(OR(D1800="",E1800=""),"",D1800*E1800)</f>
        <v/>
      </c>
      <c r="G1800" s="15" t="n"/>
    </row>
    <row r="1801">
      <c r="A1801" s="19" t="n"/>
      <c r="B1801" s="15" t="n"/>
      <c r="C1801">
        <f>IF(B1801="","",IFERROR(INDEX(Items!$B$5:$B$304,MATCH(B1801,Items!$A$5:$A$304,0)),"Unknown code"))</f>
        <v/>
      </c>
      <c r="D1801" s="15" t="n"/>
      <c r="E1801" s="16" t="n"/>
      <c r="F1801" s="18">
        <f>IF(OR(D1801="",E1801=""),"",D1801*E1801)</f>
        <v/>
      </c>
      <c r="G1801" s="15" t="n"/>
    </row>
    <row r="1802">
      <c r="A1802" s="19" t="n"/>
      <c r="B1802" s="15" t="n"/>
      <c r="C1802">
        <f>IF(B1802="","",IFERROR(INDEX(Items!$B$5:$B$304,MATCH(B1802,Items!$A$5:$A$304,0)),"Unknown code"))</f>
        <v/>
      </c>
      <c r="D1802" s="15" t="n"/>
      <c r="E1802" s="16" t="n"/>
      <c r="F1802" s="18">
        <f>IF(OR(D1802="",E1802=""),"",D1802*E1802)</f>
        <v/>
      </c>
      <c r="G1802" s="15" t="n"/>
    </row>
    <row r="1803">
      <c r="A1803" s="19" t="n"/>
      <c r="B1803" s="15" t="n"/>
      <c r="C1803">
        <f>IF(B1803="","",IFERROR(INDEX(Items!$B$5:$B$304,MATCH(B1803,Items!$A$5:$A$304,0)),"Unknown code"))</f>
        <v/>
      </c>
      <c r="D1803" s="15" t="n"/>
      <c r="E1803" s="16" t="n"/>
      <c r="F1803" s="18">
        <f>IF(OR(D1803="",E1803=""),"",D1803*E1803)</f>
        <v/>
      </c>
      <c r="G1803" s="15" t="n"/>
    </row>
    <row r="1804">
      <c r="A1804" s="19" t="n"/>
      <c r="B1804" s="15" t="n"/>
      <c r="C1804">
        <f>IF(B1804="","",IFERROR(INDEX(Items!$B$5:$B$304,MATCH(B1804,Items!$A$5:$A$304,0)),"Unknown code"))</f>
        <v/>
      </c>
      <c r="D1804" s="15" t="n"/>
      <c r="E1804" s="16" t="n"/>
      <c r="F1804" s="18">
        <f>IF(OR(D1804="",E1804=""),"",D1804*E1804)</f>
        <v/>
      </c>
      <c r="G1804" s="15" t="n"/>
    </row>
    <row r="1805">
      <c r="A1805" s="19" t="n"/>
      <c r="B1805" s="15" t="n"/>
      <c r="C1805">
        <f>IF(B1805="","",IFERROR(INDEX(Items!$B$5:$B$304,MATCH(B1805,Items!$A$5:$A$304,0)),"Unknown code"))</f>
        <v/>
      </c>
      <c r="D1805" s="15" t="n"/>
      <c r="E1805" s="16" t="n"/>
      <c r="F1805" s="18">
        <f>IF(OR(D1805="",E1805=""),"",D1805*E1805)</f>
        <v/>
      </c>
      <c r="G1805" s="15" t="n"/>
    </row>
    <row r="1806">
      <c r="A1806" s="19" t="n"/>
      <c r="B1806" s="15" t="n"/>
      <c r="C1806">
        <f>IF(B1806="","",IFERROR(INDEX(Items!$B$5:$B$304,MATCH(B1806,Items!$A$5:$A$304,0)),"Unknown code"))</f>
        <v/>
      </c>
      <c r="D1806" s="15" t="n"/>
      <c r="E1806" s="16" t="n"/>
      <c r="F1806" s="18">
        <f>IF(OR(D1806="",E1806=""),"",D1806*E1806)</f>
        <v/>
      </c>
      <c r="G1806" s="15" t="n"/>
    </row>
    <row r="1807">
      <c r="A1807" s="19" t="n"/>
      <c r="B1807" s="15" t="n"/>
      <c r="C1807">
        <f>IF(B1807="","",IFERROR(INDEX(Items!$B$5:$B$304,MATCH(B1807,Items!$A$5:$A$304,0)),"Unknown code"))</f>
        <v/>
      </c>
      <c r="D1807" s="15" t="n"/>
      <c r="E1807" s="16" t="n"/>
      <c r="F1807" s="18">
        <f>IF(OR(D1807="",E1807=""),"",D1807*E1807)</f>
        <v/>
      </c>
      <c r="G1807" s="15" t="n"/>
    </row>
    <row r="1808">
      <c r="A1808" s="19" t="n"/>
      <c r="B1808" s="15" t="n"/>
      <c r="C1808">
        <f>IF(B1808="","",IFERROR(INDEX(Items!$B$5:$B$304,MATCH(B1808,Items!$A$5:$A$304,0)),"Unknown code"))</f>
        <v/>
      </c>
      <c r="D1808" s="15" t="n"/>
      <c r="E1808" s="16" t="n"/>
      <c r="F1808" s="18">
        <f>IF(OR(D1808="",E1808=""),"",D1808*E1808)</f>
        <v/>
      </c>
      <c r="G1808" s="15" t="n"/>
    </row>
    <row r="1809">
      <c r="A1809" s="19" t="n"/>
      <c r="B1809" s="15" t="n"/>
      <c r="C1809">
        <f>IF(B1809="","",IFERROR(INDEX(Items!$B$5:$B$304,MATCH(B1809,Items!$A$5:$A$304,0)),"Unknown code"))</f>
        <v/>
      </c>
      <c r="D1809" s="15" t="n"/>
      <c r="E1809" s="16" t="n"/>
      <c r="F1809" s="18">
        <f>IF(OR(D1809="",E1809=""),"",D1809*E1809)</f>
        <v/>
      </c>
      <c r="G1809" s="15" t="n"/>
    </row>
    <row r="1810">
      <c r="A1810" s="19" t="n"/>
      <c r="B1810" s="15" t="n"/>
      <c r="C1810">
        <f>IF(B1810="","",IFERROR(INDEX(Items!$B$5:$B$304,MATCH(B1810,Items!$A$5:$A$304,0)),"Unknown code"))</f>
        <v/>
      </c>
      <c r="D1810" s="15" t="n"/>
      <c r="E1810" s="16" t="n"/>
      <c r="F1810" s="18">
        <f>IF(OR(D1810="",E1810=""),"",D1810*E1810)</f>
        <v/>
      </c>
      <c r="G1810" s="15" t="n"/>
    </row>
    <row r="1811">
      <c r="A1811" s="19" t="n"/>
      <c r="B1811" s="15" t="n"/>
      <c r="C1811">
        <f>IF(B1811="","",IFERROR(INDEX(Items!$B$5:$B$304,MATCH(B1811,Items!$A$5:$A$304,0)),"Unknown code"))</f>
        <v/>
      </c>
      <c r="D1811" s="15" t="n"/>
      <c r="E1811" s="16" t="n"/>
      <c r="F1811" s="18">
        <f>IF(OR(D1811="",E1811=""),"",D1811*E1811)</f>
        <v/>
      </c>
      <c r="G1811" s="15" t="n"/>
    </row>
    <row r="1812">
      <c r="A1812" s="19" t="n"/>
      <c r="B1812" s="15" t="n"/>
      <c r="C1812">
        <f>IF(B1812="","",IFERROR(INDEX(Items!$B$5:$B$304,MATCH(B1812,Items!$A$5:$A$304,0)),"Unknown code"))</f>
        <v/>
      </c>
      <c r="D1812" s="15" t="n"/>
      <c r="E1812" s="16" t="n"/>
      <c r="F1812" s="18">
        <f>IF(OR(D1812="",E1812=""),"",D1812*E1812)</f>
        <v/>
      </c>
      <c r="G1812" s="15" t="n"/>
    </row>
    <row r="1813">
      <c r="A1813" s="19" t="n"/>
      <c r="B1813" s="15" t="n"/>
      <c r="C1813">
        <f>IF(B1813="","",IFERROR(INDEX(Items!$B$5:$B$304,MATCH(B1813,Items!$A$5:$A$304,0)),"Unknown code"))</f>
        <v/>
      </c>
      <c r="D1813" s="15" t="n"/>
      <c r="E1813" s="16" t="n"/>
      <c r="F1813" s="18">
        <f>IF(OR(D1813="",E1813=""),"",D1813*E1813)</f>
        <v/>
      </c>
      <c r="G1813" s="15" t="n"/>
    </row>
    <row r="1814">
      <c r="A1814" s="19" t="n"/>
      <c r="B1814" s="15" t="n"/>
      <c r="C1814">
        <f>IF(B1814="","",IFERROR(INDEX(Items!$B$5:$B$304,MATCH(B1814,Items!$A$5:$A$304,0)),"Unknown code"))</f>
        <v/>
      </c>
      <c r="D1814" s="15" t="n"/>
      <c r="E1814" s="16" t="n"/>
      <c r="F1814" s="18">
        <f>IF(OR(D1814="",E1814=""),"",D1814*E1814)</f>
        <v/>
      </c>
      <c r="G1814" s="15" t="n"/>
    </row>
    <row r="1815">
      <c r="A1815" s="19" t="n"/>
      <c r="B1815" s="15" t="n"/>
      <c r="C1815">
        <f>IF(B1815="","",IFERROR(INDEX(Items!$B$5:$B$304,MATCH(B1815,Items!$A$5:$A$304,0)),"Unknown code"))</f>
        <v/>
      </c>
      <c r="D1815" s="15" t="n"/>
      <c r="E1815" s="16" t="n"/>
      <c r="F1815" s="18">
        <f>IF(OR(D1815="",E1815=""),"",D1815*E1815)</f>
        <v/>
      </c>
      <c r="G1815" s="15" t="n"/>
    </row>
    <row r="1816">
      <c r="A1816" s="19" t="n"/>
      <c r="B1816" s="15" t="n"/>
      <c r="C1816">
        <f>IF(B1816="","",IFERROR(INDEX(Items!$B$5:$B$304,MATCH(B1816,Items!$A$5:$A$304,0)),"Unknown code"))</f>
        <v/>
      </c>
      <c r="D1816" s="15" t="n"/>
      <c r="E1816" s="16" t="n"/>
      <c r="F1816" s="18">
        <f>IF(OR(D1816="",E1816=""),"",D1816*E1816)</f>
        <v/>
      </c>
      <c r="G1816" s="15" t="n"/>
    </row>
    <row r="1817">
      <c r="A1817" s="19" t="n"/>
      <c r="B1817" s="15" t="n"/>
      <c r="C1817">
        <f>IF(B1817="","",IFERROR(INDEX(Items!$B$5:$B$304,MATCH(B1817,Items!$A$5:$A$304,0)),"Unknown code"))</f>
        <v/>
      </c>
      <c r="D1817" s="15" t="n"/>
      <c r="E1817" s="16" t="n"/>
      <c r="F1817" s="18">
        <f>IF(OR(D1817="",E1817=""),"",D1817*E1817)</f>
        <v/>
      </c>
      <c r="G1817" s="15" t="n"/>
    </row>
    <row r="1818">
      <c r="A1818" s="19" t="n"/>
      <c r="B1818" s="15" t="n"/>
      <c r="C1818">
        <f>IF(B1818="","",IFERROR(INDEX(Items!$B$5:$B$304,MATCH(B1818,Items!$A$5:$A$304,0)),"Unknown code"))</f>
        <v/>
      </c>
      <c r="D1818" s="15" t="n"/>
      <c r="E1818" s="16" t="n"/>
      <c r="F1818" s="18">
        <f>IF(OR(D1818="",E1818=""),"",D1818*E1818)</f>
        <v/>
      </c>
      <c r="G1818" s="15" t="n"/>
    </row>
    <row r="1819">
      <c r="A1819" s="19" t="n"/>
      <c r="B1819" s="15" t="n"/>
      <c r="C1819">
        <f>IF(B1819="","",IFERROR(INDEX(Items!$B$5:$B$304,MATCH(B1819,Items!$A$5:$A$304,0)),"Unknown code"))</f>
        <v/>
      </c>
      <c r="D1819" s="15" t="n"/>
      <c r="E1819" s="16" t="n"/>
      <c r="F1819" s="18">
        <f>IF(OR(D1819="",E1819=""),"",D1819*E1819)</f>
        <v/>
      </c>
      <c r="G1819" s="15" t="n"/>
    </row>
    <row r="1820">
      <c r="A1820" s="19" t="n"/>
      <c r="B1820" s="15" t="n"/>
      <c r="C1820">
        <f>IF(B1820="","",IFERROR(INDEX(Items!$B$5:$B$304,MATCH(B1820,Items!$A$5:$A$304,0)),"Unknown code"))</f>
        <v/>
      </c>
      <c r="D1820" s="15" t="n"/>
      <c r="E1820" s="16" t="n"/>
      <c r="F1820" s="18">
        <f>IF(OR(D1820="",E1820=""),"",D1820*E1820)</f>
        <v/>
      </c>
      <c r="G1820" s="15" t="n"/>
    </row>
    <row r="1821">
      <c r="A1821" s="19" t="n"/>
      <c r="B1821" s="15" t="n"/>
      <c r="C1821">
        <f>IF(B1821="","",IFERROR(INDEX(Items!$B$5:$B$304,MATCH(B1821,Items!$A$5:$A$304,0)),"Unknown code"))</f>
        <v/>
      </c>
      <c r="D1821" s="15" t="n"/>
      <c r="E1821" s="16" t="n"/>
      <c r="F1821" s="18">
        <f>IF(OR(D1821="",E1821=""),"",D1821*E1821)</f>
        <v/>
      </c>
      <c r="G1821" s="15" t="n"/>
    </row>
    <row r="1822">
      <c r="A1822" s="19" t="n"/>
      <c r="B1822" s="15" t="n"/>
      <c r="C1822">
        <f>IF(B1822="","",IFERROR(INDEX(Items!$B$5:$B$304,MATCH(B1822,Items!$A$5:$A$304,0)),"Unknown code"))</f>
        <v/>
      </c>
      <c r="D1822" s="15" t="n"/>
      <c r="E1822" s="16" t="n"/>
      <c r="F1822" s="18">
        <f>IF(OR(D1822="",E1822=""),"",D1822*E1822)</f>
        <v/>
      </c>
      <c r="G1822" s="15" t="n"/>
    </row>
    <row r="1823">
      <c r="A1823" s="19" t="n"/>
      <c r="B1823" s="15" t="n"/>
      <c r="C1823">
        <f>IF(B1823="","",IFERROR(INDEX(Items!$B$5:$B$304,MATCH(B1823,Items!$A$5:$A$304,0)),"Unknown code"))</f>
        <v/>
      </c>
      <c r="D1823" s="15" t="n"/>
      <c r="E1823" s="16" t="n"/>
      <c r="F1823" s="18">
        <f>IF(OR(D1823="",E1823=""),"",D1823*E1823)</f>
        <v/>
      </c>
      <c r="G1823" s="15" t="n"/>
    </row>
    <row r="1824">
      <c r="A1824" s="19" t="n"/>
      <c r="B1824" s="15" t="n"/>
      <c r="C1824">
        <f>IF(B1824="","",IFERROR(INDEX(Items!$B$5:$B$304,MATCH(B1824,Items!$A$5:$A$304,0)),"Unknown code"))</f>
        <v/>
      </c>
      <c r="D1824" s="15" t="n"/>
      <c r="E1824" s="16" t="n"/>
      <c r="F1824" s="18">
        <f>IF(OR(D1824="",E1824=""),"",D1824*E1824)</f>
        <v/>
      </c>
      <c r="G1824" s="15" t="n"/>
    </row>
    <row r="1825">
      <c r="A1825" s="19" t="n"/>
      <c r="B1825" s="15" t="n"/>
      <c r="C1825">
        <f>IF(B1825="","",IFERROR(INDEX(Items!$B$5:$B$304,MATCH(B1825,Items!$A$5:$A$304,0)),"Unknown code"))</f>
        <v/>
      </c>
      <c r="D1825" s="15" t="n"/>
      <c r="E1825" s="16" t="n"/>
      <c r="F1825" s="18">
        <f>IF(OR(D1825="",E1825=""),"",D1825*E1825)</f>
        <v/>
      </c>
      <c r="G1825" s="15" t="n"/>
    </row>
    <row r="1826">
      <c r="A1826" s="19" t="n"/>
      <c r="B1826" s="15" t="n"/>
      <c r="C1826">
        <f>IF(B1826="","",IFERROR(INDEX(Items!$B$5:$B$304,MATCH(B1826,Items!$A$5:$A$304,0)),"Unknown code"))</f>
        <v/>
      </c>
      <c r="D1826" s="15" t="n"/>
      <c r="E1826" s="16" t="n"/>
      <c r="F1826" s="18">
        <f>IF(OR(D1826="",E1826=""),"",D1826*E1826)</f>
        <v/>
      </c>
      <c r="G1826" s="15" t="n"/>
    </row>
    <row r="1827">
      <c r="A1827" s="19" t="n"/>
      <c r="B1827" s="15" t="n"/>
      <c r="C1827">
        <f>IF(B1827="","",IFERROR(INDEX(Items!$B$5:$B$304,MATCH(B1827,Items!$A$5:$A$304,0)),"Unknown code"))</f>
        <v/>
      </c>
      <c r="D1827" s="15" t="n"/>
      <c r="E1827" s="16" t="n"/>
      <c r="F1827" s="18">
        <f>IF(OR(D1827="",E1827=""),"",D1827*E1827)</f>
        <v/>
      </c>
      <c r="G1827" s="15" t="n"/>
    </row>
    <row r="1828">
      <c r="A1828" s="19" t="n"/>
      <c r="B1828" s="15" t="n"/>
      <c r="C1828">
        <f>IF(B1828="","",IFERROR(INDEX(Items!$B$5:$B$304,MATCH(B1828,Items!$A$5:$A$304,0)),"Unknown code"))</f>
        <v/>
      </c>
      <c r="D1828" s="15" t="n"/>
      <c r="E1828" s="16" t="n"/>
      <c r="F1828" s="18">
        <f>IF(OR(D1828="",E1828=""),"",D1828*E1828)</f>
        <v/>
      </c>
      <c r="G1828" s="15" t="n"/>
    </row>
    <row r="1829">
      <c r="A1829" s="19" t="n"/>
      <c r="B1829" s="15" t="n"/>
      <c r="C1829">
        <f>IF(B1829="","",IFERROR(INDEX(Items!$B$5:$B$304,MATCH(B1829,Items!$A$5:$A$304,0)),"Unknown code"))</f>
        <v/>
      </c>
      <c r="D1829" s="15" t="n"/>
      <c r="E1829" s="16" t="n"/>
      <c r="F1829" s="18">
        <f>IF(OR(D1829="",E1829=""),"",D1829*E1829)</f>
        <v/>
      </c>
      <c r="G1829" s="15" t="n"/>
    </row>
    <row r="1830">
      <c r="A1830" s="19" t="n"/>
      <c r="B1830" s="15" t="n"/>
      <c r="C1830">
        <f>IF(B1830="","",IFERROR(INDEX(Items!$B$5:$B$304,MATCH(B1830,Items!$A$5:$A$304,0)),"Unknown code"))</f>
        <v/>
      </c>
      <c r="D1830" s="15" t="n"/>
      <c r="E1830" s="16" t="n"/>
      <c r="F1830" s="18">
        <f>IF(OR(D1830="",E1830=""),"",D1830*E1830)</f>
        <v/>
      </c>
      <c r="G1830" s="15" t="n"/>
    </row>
    <row r="1831">
      <c r="A1831" s="19" t="n"/>
      <c r="B1831" s="15" t="n"/>
      <c r="C1831">
        <f>IF(B1831="","",IFERROR(INDEX(Items!$B$5:$B$304,MATCH(B1831,Items!$A$5:$A$304,0)),"Unknown code"))</f>
        <v/>
      </c>
      <c r="D1831" s="15" t="n"/>
      <c r="E1831" s="16" t="n"/>
      <c r="F1831" s="18">
        <f>IF(OR(D1831="",E1831=""),"",D1831*E1831)</f>
        <v/>
      </c>
      <c r="G1831" s="15" t="n"/>
    </row>
    <row r="1832">
      <c r="A1832" s="19" t="n"/>
      <c r="B1832" s="15" t="n"/>
      <c r="C1832">
        <f>IF(B1832="","",IFERROR(INDEX(Items!$B$5:$B$304,MATCH(B1832,Items!$A$5:$A$304,0)),"Unknown code"))</f>
        <v/>
      </c>
      <c r="D1832" s="15" t="n"/>
      <c r="E1832" s="16" t="n"/>
      <c r="F1832" s="18">
        <f>IF(OR(D1832="",E1832=""),"",D1832*E1832)</f>
        <v/>
      </c>
      <c r="G1832" s="15" t="n"/>
    </row>
    <row r="1833">
      <c r="A1833" s="19" t="n"/>
      <c r="B1833" s="15" t="n"/>
      <c r="C1833">
        <f>IF(B1833="","",IFERROR(INDEX(Items!$B$5:$B$304,MATCH(B1833,Items!$A$5:$A$304,0)),"Unknown code"))</f>
        <v/>
      </c>
      <c r="D1833" s="15" t="n"/>
      <c r="E1833" s="16" t="n"/>
      <c r="F1833" s="18">
        <f>IF(OR(D1833="",E1833=""),"",D1833*E1833)</f>
        <v/>
      </c>
      <c r="G1833" s="15" t="n"/>
    </row>
    <row r="1834">
      <c r="A1834" s="19" t="n"/>
      <c r="B1834" s="15" t="n"/>
      <c r="C1834">
        <f>IF(B1834="","",IFERROR(INDEX(Items!$B$5:$B$304,MATCH(B1834,Items!$A$5:$A$304,0)),"Unknown code"))</f>
        <v/>
      </c>
      <c r="D1834" s="15" t="n"/>
      <c r="E1834" s="16" t="n"/>
      <c r="F1834" s="18">
        <f>IF(OR(D1834="",E1834=""),"",D1834*E1834)</f>
        <v/>
      </c>
      <c r="G1834" s="15" t="n"/>
    </row>
    <row r="1835">
      <c r="A1835" s="19" t="n"/>
      <c r="B1835" s="15" t="n"/>
      <c r="C1835">
        <f>IF(B1835="","",IFERROR(INDEX(Items!$B$5:$B$304,MATCH(B1835,Items!$A$5:$A$304,0)),"Unknown code"))</f>
        <v/>
      </c>
      <c r="D1835" s="15" t="n"/>
      <c r="E1835" s="16" t="n"/>
      <c r="F1835" s="18">
        <f>IF(OR(D1835="",E1835=""),"",D1835*E1835)</f>
        <v/>
      </c>
      <c r="G1835" s="15" t="n"/>
    </row>
    <row r="1836">
      <c r="A1836" s="19" t="n"/>
      <c r="B1836" s="15" t="n"/>
      <c r="C1836">
        <f>IF(B1836="","",IFERROR(INDEX(Items!$B$5:$B$304,MATCH(B1836,Items!$A$5:$A$304,0)),"Unknown code"))</f>
        <v/>
      </c>
      <c r="D1836" s="15" t="n"/>
      <c r="E1836" s="16" t="n"/>
      <c r="F1836" s="18">
        <f>IF(OR(D1836="",E1836=""),"",D1836*E1836)</f>
        <v/>
      </c>
      <c r="G1836" s="15" t="n"/>
    </row>
    <row r="1837">
      <c r="A1837" s="19" t="n"/>
      <c r="B1837" s="15" t="n"/>
      <c r="C1837">
        <f>IF(B1837="","",IFERROR(INDEX(Items!$B$5:$B$304,MATCH(B1837,Items!$A$5:$A$304,0)),"Unknown code"))</f>
        <v/>
      </c>
      <c r="D1837" s="15" t="n"/>
      <c r="E1837" s="16" t="n"/>
      <c r="F1837" s="18">
        <f>IF(OR(D1837="",E1837=""),"",D1837*E1837)</f>
        <v/>
      </c>
      <c r="G1837" s="15" t="n"/>
    </row>
    <row r="1838">
      <c r="A1838" s="19" t="n"/>
      <c r="B1838" s="15" t="n"/>
      <c r="C1838">
        <f>IF(B1838="","",IFERROR(INDEX(Items!$B$5:$B$304,MATCH(B1838,Items!$A$5:$A$304,0)),"Unknown code"))</f>
        <v/>
      </c>
      <c r="D1838" s="15" t="n"/>
      <c r="E1838" s="16" t="n"/>
      <c r="F1838" s="18">
        <f>IF(OR(D1838="",E1838=""),"",D1838*E1838)</f>
        <v/>
      </c>
      <c r="G1838" s="15" t="n"/>
    </row>
    <row r="1839">
      <c r="A1839" s="19" t="n"/>
      <c r="B1839" s="15" t="n"/>
      <c r="C1839">
        <f>IF(B1839="","",IFERROR(INDEX(Items!$B$5:$B$304,MATCH(B1839,Items!$A$5:$A$304,0)),"Unknown code"))</f>
        <v/>
      </c>
      <c r="D1839" s="15" t="n"/>
      <c r="E1839" s="16" t="n"/>
      <c r="F1839" s="18">
        <f>IF(OR(D1839="",E1839=""),"",D1839*E1839)</f>
        <v/>
      </c>
      <c r="G1839" s="15" t="n"/>
    </row>
    <row r="1840">
      <c r="A1840" s="19" t="n"/>
      <c r="B1840" s="15" t="n"/>
      <c r="C1840">
        <f>IF(B1840="","",IFERROR(INDEX(Items!$B$5:$B$304,MATCH(B1840,Items!$A$5:$A$304,0)),"Unknown code"))</f>
        <v/>
      </c>
      <c r="D1840" s="15" t="n"/>
      <c r="E1840" s="16" t="n"/>
      <c r="F1840" s="18">
        <f>IF(OR(D1840="",E1840=""),"",D1840*E1840)</f>
        <v/>
      </c>
      <c r="G1840" s="15" t="n"/>
    </row>
    <row r="1841">
      <c r="A1841" s="19" t="n"/>
      <c r="B1841" s="15" t="n"/>
      <c r="C1841">
        <f>IF(B1841="","",IFERROR(INDEX(Items!$B$5:$B$304,MATCH(B1841,Items!$A$5:$A$304,0)),"Unknown code"))</f>
        <v/>
      </c>
      <c r="D1841" s="15" t="n"/>
      <c r="E1841" s="16" t="n"/>
      <c r="F1841" s="18">
        <f>IF(OR(D1841="",E1841=""),"",D1841*E1841)</f>
        <v/>
      </c>
      <c r="G1841" s="15" t="n"/>
    </row>
    <row r="1842">
      <c r="A1842" s="19" t="n"/>
      <c r="B1842" s="15" t="n"/>
      <c r="C1842">
        <f>IF(B1842="","",IFERROR(INDEX(Items!$B$5:$B$304,MATCH(B1842,Items!$A$5:$A$304,0)),"Unknown code"))</f>
        <v/>
      </c>
      <c r="D1842" s="15" t="n"/>
      <c r="E1842" s="16" t="n"/>
      <c r="F1842" s="18">
        <f>IF(OR(D1842="",E1842=""),"",D1842*E1842)</f>
        <v/>
      </c>
      <c r="G1842" s="15" t="n"/>
    </row>
    <row r="1843">
      <c r="A1843" s="19" t="n"/>
      <c r="B1843" s="15" t="n"/>
      <c r="C1843">
        <f>IF(B1843="","",IFERROR(INDEX(Items!$B$5:$B$304,MATCH(B1843,Items!$A$5:$A$304,0)),"Unknown code"))</f>
        <v/>
      </c>
      <c r="D1843" s="15" t="n"/>
      <c r="E1843" s="16" t="n"/>
      <c r="F1843" s="18">
        <f>IF(OR(D1843="",E1843=""),"",D1843*E1843)</f>
        <v/>
      </c>
      <c r="G1843" s="15" t="n"/>
    </row>
    <row r="1844">
      <c r="A1844" s="19" t="n"/>
      <c r="B1844" s="15" t="n"/>
      <c r="C1844">
        <f>IF(B1844="","",IFERROR(INDEX(Items!$B$5:$B$304,MATCH(B1844,Items!$A$5:$A$304,0)),"Unknown code"))</f>
        <v/>
      </c>
      <c r="D1844" s="15" t="n"/>
      <c r="E1844" s="16" t="n"/>
      <c r="F1844" s="18">
        <f>IF(OR(D1844="",E1844=""),"",D1844*E1844)</f>
        <v/>
      </c>
      <c r="G1844" s="15" t="n"/>
    </row>
    <row r="1845">
      <c r="A1845" s="19" t="n"/>
      <c r="B1845" s="15" t="n"/>
      <c r="C1845">
        <f>IF(B1845="","",IFERROR(INDEX(Items!$B$5:$B$304,MATCH(B1845,Items!$A$5:$A$304,0)),"Unknown code"))</f>
        <v/>
      </c>
      <c r="D1845" s="15" t="n"/>
      <c r="E1845" s="16" t="n"/>
      <c r="F1845" s="18">
        <f>IF(OR(D1845="",E1845=""),"",D1845*E1845)</f>
        <v/>
      </c>
      <c r="G1845" s="15" t="n"/>
    </row>
    <row r="1846">
      <c r="A1846" s="19" t="n"/>
      <c r="B1846" s="15" t="n"/>
      <c r="C1846">
        <f>IF(B1846="","",IFERROR(INDEX(Items!$B$5:$B$304,MATCH(B1846,Items!$A$5:$A$304,0)),"Unknown code"))</f>
        <v/>
      </c>
      <c r="D1846" s="15" t="n"/>
      <c r="E1846" s="16" t="n"/>
      <c r="F1846" s="18">
        <f>IF(OR(D1846="",E1846=""),"",D1846*E1846)</f>
        <v/>
      </c>
      <c r="G1846" s="15" t="n"/>
    </row>
    <row r="1847">
      <c r="A1847" s="19" t="n"/>
      <c r="B1847" s="15" t="n"/>
      <c r="C1847">
        <f>IF(B1847="","",IFERROR(INDEX(Items!$B$5:$B$304,MATCH(B1847,Items!$A$5:$A$304,0)),"Unknown code"))</f>
        <v/>
      </c>
      <c r="D1847" s="15" t="n"/>
      <c r="E1847" s="16" t="n"/>
      <c r="F1847" s="18">
        <f>IF(OR(D1847="",E1847=""),"",D1847*E1847)</f>
        <v/>
      </c>
      <c r="G1847" s="15" t="n"/>
    </row>
    <row r="1848">
      <c r="A1848" s="19" t="n"/>
      <c r="B1848" s="15" t="n"/>
      <c r="C1848">
        <f>IF(B1848="","",IFERROR(INDEX(Items!$B$5:$B$304,MATCH(B1848,Items!$A$5:$A$304,0)),"Unknown code"))</f>
        <v/>
      </c>
      <c r="D1848" s="15" t="n"/>
      <c r="E1848" s="16" t="n"/>
      <c r="F1848" s="18">
        <f>IF(OR(D1848="",E1848=""),"",D1848*E1848)</f>
        <v/>
      </c>
      <c r="G1848" s="15" t="n"/>
    </row>
    <row r="1849">
      <c r="A1849" s="19" t="n"/>
      <c r="B1849" s="15" t="n"/>
      <c r="C1849">
        <f>IF(B1849="","",IFERROR(INDEX(Items!$B$5:$B$304,MATCH(B1849,Items!$A$5:$A$304,0)),"Unknown code"))</f>
        <v/>
      </c>
      <c r="D1849" s="15" t="n"/>
      <c r="E1849" s="16" t="n"/>
      <c r="F1849" s="18">
        <f>IF(OR(D1849="",E1849=""),"",D1849*E1849)</f>
        <v/>
      </c>
      <c r="G1849" s="15" t="n"/>
    </row>
    <row r="1850">
      <c r="A1850" s="19" t="n"/>
      <c r="B1850" s="15" t="n"/>
      <c r="C1850">
        <f>IF(B1850="","",IFERROR(INDEX(Items!$B$5:$B$304,MATCH(B1850,Items!$A$5:$A$304,0)),"Unknown code"))</f>
        <v/>
      </c>
      <c r="D1850" s="15" t="n"/>
      <c r="E1850" s="16" t="n"/>
      <c r="F1850" s="18">
        <f>IF(OR(D1850="",E1850=""),"",D1850*E1850)</f>
        <v/>
      </c>
      <c r="G1850" s="15" t="n"/>
    </row>
    <row r="1851">
      <c r="A1851" s="19" t="n"/>
      <c r="B1851" s="15" t="n"/>
      <c r="C1851">
        <f>IF(B1851="","",IFERROR(INDEX(Items!$B$5:$B$304,MATCH(B1851,Items!$A$5:$A$304,0)),"Unknown code"))</f>
        <v/>
      </c>
      <c r="D1851" s="15" t="n"/>
      <c r="E1851" s="16" t="n"/>
      <c r="F1851" s="18">
        <f>IF(OR(D1851="",E1851=""),"",D1851*E1851)</f>
        <v/>
      </c>
      <c r="G1851" s="15" t="n"/>
    </row>
    <row r="1852">
      <c r="A1852" s="19" t="n"/>
      <c r="B1852" s="15" t="n"/>
      <c r="C1852">
        <f>IF(B1852="","",IFERROR(INDEX(Items!$B$5:$B$304,MATCH(B1852,Items!$A$5:$A$304,0)),"Unknown code"))</f>
        <v/>
      </c>
      <c r="D1852" s="15" t="n"/>
      <c r="E1852" s="16" t="n"/>
      <c r="F1852" s="18">
        <f>IF(OR(D1852="",E1852=""),"",D1852*E1852)</f>
        <v/>
      </c>
      <c r="G1852" s="15" t="n"/>
    </row>
    <row r="1853">
      <c r="A1853" s="19" t="n"/>
      <c r="B1853" s="15" t="n"/>
      <c r="C1853">
        <f>IF(B1853="","",IFERROR(INDEX(Items!$B$5:$B$304,MATCH(B1853,Items!$A$5:$A$304,0)),"Unknown code"))</f>
        <v/>
      </c>
      <c r="D1853" s="15" t="n"/>
      <c r="E1853" s="16" t="n"/>
      <c r="F1853" s="18">
        <f>IF(OR(D1853="",E1853=""),"",D1853*E1853)</f>
        <v/>
      </c>
      <c r="G1853" s="15" t="n"/>
    </row>
    <row r="1854">
      <c r="A1854" s="19" t="n"/>
      <c r="B1854" s="15" t="n"/>
      <c r="C1854">
        <f>IF(B1854="","",IFERROR(INDEX(Items!$B$5:$B$304,MATCH(B1854,Items!$A$5:$A$304,0)),"Unknown code"))</f>
        <v/>
      </c>
      <c r="D1854" s="15" t="n"/>
      <c r="E1854" s="16" t="n"/>
      <c r="F1854" s="18">
        <f>IF(OR(D1854="",E1854=""),"",D1854*E1854)</f>
        <v/>
      </c>
      <c r="G1854" s="15" t="n"/>
    </row>
    <row r="1855">
      <c r="A1855" s="19" t="n"/>
      <c r="B1855" s="15" t="n"/>
      <c r="C1855">
        <f>IF(B1855="","",IFERROR(INDEX(Items!$B$5:$B$304,MATCH(B1855,Items!$A$5:$A$304,0)),"Unknown code"))</f>
        <v/>
      </c>
      <c r="D1855" s="15" t="n"/>
      <c r="E1855" s="16" t="n"/>
      <c r="F1855" s="18">
        <f>IF(OR(D1855="",E1855=""),"",D1855*E1855)</f>
        <v/>
      </c>
      <c r="G1855" s="15" t="n"/>
    </row>
    <row r="1856">
      <c r="A1856" s="19" t="n"/>
      <c r="B1856" s="15" t="n"/>
      <c r="C1856">
        <f>IF(B1856="","",IFERROR(INDEX(Items!$B$5:$B$304,MATCH(B1856,Items!$A$5:$A$304,0)),"Unknown code"))</f>
        <v/>
      </c>
      <c r="D1856" s="15" t="n"/>
      <c r="E1856" s="16" t="n"/>
      <c r="F1856" s="18">
        <f>IF(OR(D1856="",E1856=""),"",D1856*E1856)</f>
        <v/>
      </c>
      <c r="G1856" s="15" t="n"/>
    </row>
    <row r="1857">
      <c r="A1857" s="19" t="n"/>
      <c r="B1857" s="15" t="n"/>
      <c r="C1857">
        <f>IF(B1857="","",IFERROR(INDEX(Items!$B$5:$B$304,MATCH(B1857,Items!$A$5:$A$304,0)),"Unknown code"))</f>
        <v/>
      </c>
      <c r="D1857" s="15" t="n"/>
      <c r="E1857" s="16" t="n"/>
      <c r="F1857" s="18">
        <f>IF(OR(D1857="",E1857=""),"",D1857*E1857)</f>
        <v/>
      </c>
      <c r="G1857" s="15" t="n"/>
    </row>
    <row r="1858">
      <c r="A1858" s="19" t="n"/>
      <c r="B1858" s="15" t="n"/>
      <c r="C1858">
        <f>IF(B1858="","",IFERROR(INDEX(Items!$B$5:$B$304,MATCH(B1858,Items!$A$5:$A$304,0)),"Unknown code"))</f>
        <v/>
      </c>
      <c r="D1858" s="15" t="n"/>
      <c r="E1858" s="16" t="n"/>
      <c r="F1858" s="18">
        <f>IF(OR(D1858="",E1858=""),"",D1858*E1858)</f>
        <v/>
      </c>
      <c r="G1858" s="15" t="n"/>
    </row>
    <row r="1859">
      <c r="A1859" s="19" t="n"/>
      <c r="B1859" s="15" t="n"/>
      <c r="C1859">
        <f>IF(B1859="","",IFERROR(INDEX(Items!$B$5:$B$304,MATCH(B1859,Items!$A$5:$A$304,0)),"Unknown code"))</f>
        <v/>
      </c>
      <c r="D1859" s="15" t="n"/>
      <c r="E1859" s="16" t="n"/>
      <c r="F1859" s="18">
        <f>IF(OR(D1859="",E1859=""),"",D1859*E1859)</f>
        <v/>
      </c>
      <c r="G1859" s="15" t="n"/>
    </row>
    <row r="1860">
      <c r="A1860" s="19" t="n"/>
      <c r="B1860" s="15" t="n"/>
      <c r="C1860">
        <f>IF(B1860="","",IFERROR(INDEX(Items!$B$5:$B$304,MATCH(B1860,Items!$A$5:$A$304,0)),"Unknown code"))</f>
        <v/>
      </c>
      <c r="D1860" s="15" t="n"/>
      <c r="E1860" s="16" t="n"/>
      <c r="F1860" s="18">
        <f>IF(OR(D1860="",E1860=""),"",D1860*E1860)</f>
        <v/>
      </c>
      <c r="G1860" s="15" t="n"/>
    </row>
    <row r="1861">
      <c r="A1861" s="19" t="n"/>
      <c r="B1861" s="15" t="n"/>
      <c r="C1861">
        <f>IF(B1861="","",IFERROR(INDEX(Items!$B$5:$B$304,MATCH(B1861,Items!$A$5:$A$304,0)),"Unknown code"))</f>
        <v/>
      </c>
      <c r="D1861" s="15" t="n"/>
      <c r="E1861" s="16" t="n"/>
      <c r="F1861" s="18">
        <f>IF(OR(D1861="",E1861=""),"",D1861*E1861)</f>
        <v/>
      </c>
      <c r="G1861" s="15" t="n"/>
    </row>
    <row r="1862">
      <c r="A1862" s="19" t="n"/>
      <c r="B1862" s="15" t="n"/>
      <c r="C1862">
        <f>IF(B1862="","",IFERROR(INDEX(Items!$B$5:$B$304,MATCH(B1862,Items!$A$5:$A$304,0)),"Unknown code"))</f>
        <v/>
      </c>
      <c r="D1862" s="15" t="n"/>
      <c r="E1862" s="16" t="n"/>
      <c r="F1862" s="18">
        <f>IF(OR(D1862="",E1862=""),"",D1862*E1862)</f>
        <v/>
      </c>
      <c r="G1862" s="15" t="n"/>
    </row>
    <row r="1863">
      <c r="A1863" s="19" t="n"/>
      <c r="B1863" s="15" t="n"/>
      <c r="C1863">
        <f>IF(B1863="","",IFERROR(INDEX(Items!$B$5:$B$304,MATCH(B1863,Items!$A$5:$A$304,0)),"Unknown code"))</f>
        <v/>
      </c>
      <c r="D1863" s="15" t="n"/>
      <c r="E1863" s="16" t="n"/>
      <c r="F1863" s="18">
        <f>IF(OR(D1863="",E1863=""),"",D1863*E1863)</f>
        <v/>
      </c>
      <c r="G1863" s="15" t="n"/>
    </row>
    <row r="1864">
      <c r="A1864" s="19" t="n"/>
      <c r="B1864" s="15" t="n"/>
      <c r="C1864">
        <f>IF(B1864="","",IFERROR(INDEX(Items!$B$5:$B$304,MATCH(B1864,Items!$A$5:$A$304,0)),"Unknown code"))</f>
        <v/>
      </c>
      <c r="D1864" s="15" t="n"/>
      <c r="E1864" s="16" t="n"/>
      <c r="F1864" s="18">
        <f>IF(OR(D1864="",E1864=""),"",D1864*E1864)</f>
        <v/>
      </c>
      <c r="G1864" s="15" t="n"/>
    </row>
    <row r="1865">
      <c r="A1865" s="19" t="n"/>
      <c r="B1865" s="15" t="n"/>
      <c r="C1865">
        <f>IF(B1865="","",IFERROR(INDEX(Items!$B$5:$B$304,MATCH(B1865,Items!$A$5:$A$304,0)),"Unknown code"))</f>
        <v/>
      </c>
      <c r="D1865" s="15" t="n"/>
      <c r="E1865" s="16" t="n"/>
      <c r="F1865" s="18">
        <f>IF(OR(D1865="",E1865=""),"",D1865*E1865)</f>
        <v/>
      </c>
      <c r="G1865" s="15" t="n"/>
    </row>
    <row r="1866">
      <c r="A1866" s="19" t="n"/>
      <c r="B1866" s="15" t="n"/>
      <c r="C1866">
        <f>IF(B1866="","",IFERROR(INDEX(Items!$B$5:$B$304,MATCH(B1866,Items!$A$5:$A$304,0)),"Unknown code"))</f>
        <v/>
      </c>
      <c r="D1866" s="15" t="n"/>
      <c r="E1866" s="16" t="n"/>
      <c r="F1866" s="18">
        <f>IF(OR(D1866="",E1866=""),"",D1866*E1866)</f>
        <v/>
      </c>
      <c r="G1866" s="15" t="n"/>
    </row>
    <row r="1867">
      <c r="A1867" s="19" t="n"/>
      <c r="B1867" s="15" t="n"/>
      <c r="C1867">
        <f>IF(B1867="","",IFERROR(INDEX(Items!$B$5:$B$304,MATCH(B1867,Items!$A$5:$A$304,0)),"Unknown code"))</f>
        <v/>
      </c>
      <c r="D1867" s="15" t="n"/>
      <c r="E1867" s="16" t="n"/>
      <c r="F1867" s="18">
        <f>IF(OR(D1867="",E1867=""),"",D1867*E1867)</f>
        <v/>
      </c>
      <c r="G1867" s="15" t="n"/>
    </row>
    <row r="1868">
      <c r="A1868" s="19" t="n"/>
      <c r="B1868" s="15" t="n"/>
      <c r="C1868">
        <f>IF(B1868="","",IFERROR(INDEX(Items!$B$5:$B$304,MATCH(B1868,Items!$A$5:$A$304,0)),"Unknown code"))</f>
        <v/>
      </c>
      <c r="D1868" s="15" t="n"/>
      <c r="E1868" s="16" t="n"/>
      <c r="F1868" s="18">
        <f>IF(OR(D1868="",E1868=""),"",D1868*E1868)</f>
        <v/>
      </c>
      <c r="G1868" s="15" t="n"/>
    </row>
    <row r="1869">
      <c r="A1869" s="19" t="n"/>
      <c r="B1869" s="15" t="n"/>
      <c r="C1869">
        <f>IF(B1869="","",IFERROR(INDEX(Items!$B$5:$B$304,MATCH(B1869,Items!$A$5:$A$304,0)),"Unknown code"))</f>
        <v/>
      </c>
      <c r="D1869" s="15" t="n"/>
      <c r="E1869" s="16" t="n"/>
      <c r="F1869" s="18">
        <f>IF(OR(D1869="",E1869=""),"",D1869*E1869)</f>
        <v/>
      </c>
      <c r="G1869" s="15" t="n"/>
    </row>
    <row r="1870">
      <c r="A1870" s="19" t="n"/>
      <c r="B1870" s="15" t="n"/>
      <c r="C1870">
        <f>IF(B1870="","",IFERROR(INDEX(Items!$B$5:$B$304,MATCH(B1870,Items!$A$5:$A$304,0)),"Unknown code"))</f>
        <v/>
      </c>
      <c r="D1870" s="15" t="n"/>
      <c r="E1870" s="16" t="n"/>
      <c r="F1870" s="18">
        <f>IF(OR(D1870="",E1870=""),"",D1870*E1870)</f>
        <v/>
      </c>
      <c r="G1870" s="15" t="n"/>
    </row>
    <row r="1871">
      <c r="A1871" s="19" t="n"/>
      <c r="B1871" s="15" t="n"/>
      <c r="C1871">
        <f>IF(B1871="","",IFERROR(INDEX(Items!$B$5:$B$304,MATCH(B1871,Items!$A$5:$A$304,0)),"Unknown code"))</f>
        <v/>
      </c>
      <c r="D1871" s="15" t="n"/>
      <c r="E1871" s="16" t="n"/>
      <c r="F1871" s="18">
        <f>IF(OR(D1871="",E1871=""),"",D1871*E1871)</f>
        <v/>
      </c>
      <c r="G1871" s="15" t="n"/>
    </row>
    <row r="1872">
      <c r="A1872" s="19" t="n"/>
      <c r="B1872" s="15" t="n"/>
      <c r="C1872">
        <f>IF(B1872="","",IFERROR(INDEX(Items!$B$5:$B$304,MATCH(B1872,Items!$A$5:$A$304,0)),"Unknown code"))</f>
        <v/>
      </c>
      <c r="D1872" s="15" t="n"/>
      <c r="E1872" s="16" t="n"/>
      <c r="F1872" s="18">
        <f>IF(OR(D1872="",E1872=""),"",D1872*E1872)</f>
        <v/>
      </c>
      <c r="G1872" s="15" t="n"/>
    </row>
    <row r="1873">
      <c r="A1873" s="19" t="n"/>
      <c r="B1873" s="15" t="n"/>
      <c r="C1873">
        <f>IF(B1873="","",IFERROR(INDEX(Items!$B$5:$B$304,MATCH(B1873,Items!$A$5:$A$304,0)),"Unknown code"))</f>
        <v/>
      </c>
      <c r="D1873" s="15" t="n"/>
      <c r="E1873" s="16" t="n"/>
      <c r="F1873" s="18">
        <f>IF(OR(D1873="",E1873=""),"",D1873*E1873)</f>
        <v/>
      </c>
      <c r="G1873" s="15" t="n"/>
    </row>
    <row r="1874">
      <c r="A1874" s="19" t="n"/>
      <c r="B1874" s="15" t="n"/>
      <c r="C1874">
        <f>IF(B1874="","",IFERROR(INDEX(Items!$B$5:$B$304,MATCH(B1874,Items!$A$5:$A$304,0)),"Unknown code"))</f>
        <v/>
      </c>
      <c r="D1874" s="15" t="n"/>
      <c r="E1874" s="16" t="n"/>
      <c r="F1874" s="18">
        <f>IF(OR(D1874="",E1874=""),"",D1874*E1874)</f>
        <v/>
      </c>
      <c r="G1874" s="15" t="n"/>
    </row>
    <row r="1875">
      <c r="A1875" s="19" t="n"/>
      <c r="B1875" s="15" t="n"/>
      <c r="C1875">
        <f>IF(B1875="","",IFERROR(INDEX(Items!$B$5:$B$304,MATCH(B1875,Items!$A$5:$A$304,0)),"Unknown code"))</f>
        <v/>
      </c>
      <c r="D1875" s="15" t="n"/>
      <c r="E1875" s="16" t="n"/>
      <c r="F1875" s="18">
        <f>IF(OR(D1875="",E1875=""),"",D1875*E1875)</f>
        <v/>
      </c>
      <c r="G1875" s="15" t="n"/>
    </row>
    <row r="1876">
      <c r="A1876" s="19" t="n"/>
      <c r="B1876" s="15" t="n"/>
      <c r="C1876">
        <f>IF(B1876="","",IFERROR(INDEX(Items!$B$5:$B$304,MATCH(B1876,Items!$A$5:$A$304,0)),"Unknown code"))</f>
        <v/>
      </c>
      <c r="D1876" s="15" t="n"/>
      <c r="E1876" s="16" t="n"/>
      <c r="F1876" s="18">
        <f>IF(OR(D1876="",E1876=""),"",D1876*E1876)</f>
        <v/>
      </c>
      <c r="G1876" s="15" t="n"/>
    </row>
    <row r="1877">
      <c r="A1877" s="19" t="n"/>
      <c r="B1877" s="15" t="n"/>
      <c r="C1877">
        <f>IF(B1877="","",IFERROR(INDEX(Items!$B$5:$B$304,MATCH(B1877,Items!$A$5:$A$304,0)),"Unknown code"))</f>
        <v/>
      </c>
      <c r="D1877" s="15" t="n"/>
      <c r="E1877" s="16" t="n"/>
      <c r="F1877" s="18">
        <f>IF(OR(D1877="",E1877=""),"",D1877*E1877)</f>
        <v/>
      </c>
      <c r="G1877" s="15" t="n"/>
    </row>
    <row r="1878">
      <c r="A1878" s="19" t="n"/>
      <c r="B1878" s="15" t="n"/>
      <c r="C1878">
        <f>IF(B1878="","",IFERROR(INDEX(Items!$B$5:$B$304,MATCH(B1878,Items!$A$5:$A$304,0)),"Unknown code"))</f>
        <v/>
      </c>
      <c r="D1878" s="15" t="n"/>
      <c r="E1878" s="16" t="n"/>
      <c r="F1878" s="18">
        <f>IF(OR(D1878="",E1878=""),"",D1878*E1878)</f>
        <v/>
      </c>
      <c r="G1878" s="15" t="n"/>
    </row>
    <row r="1879">
      <c r="A1879" s="19" t="n"/>
      <c r="B1879" s="15" t="n"/>
      <c r="C1879">
        <f>IF(B1879="","",IFERROR(INDEX(Items!$B$5:$B$304,MATCH(B1879,Items!$A$5:$A$304,0)),"Unknown code"))</f>
        <v/>
      </c>
      <c r="D1879" s="15" t="n"/>
      <c r="E1879" s="16" t="n"/>
      <c r="F1879" s="18">
        <f>IF(OR(D1879="",E1879=""),"",D1879*E1879)</f>
        <v/>
      </c>
      <c r="G1879" s="15" t="n"/>
    </row>
    <row r="1880">
      <c r="A1880" s="19" t="n"/>
      <c r="B1880" s="15" t="n"/>
      <c r="C1880">
        <f>IF(B1880="","",IFERROR(INDEX(Items!$B$5:$B$304,MATCH(B1880,Items!$A$5:$A$304,0)),"Unknown code"))</f>
        <v/>
      </c>
      <c r="D1880" s="15" t="n"/>
      <c r="E1880" s="16" t="n"/>
      <c r="F1880" s="18">
        <f>IF(OR(D1880="",E1880=""),"",D1880*E1880)</f>
        <v/>
      </c>
      <c r="G1880" s="15" t="n"/>
    </row>
    <row r="1881">
      <c r="A1881" s="19" t="n"/>
      <c r="B1881" s="15" t="n"/>
      <c r="C1881">
        <f>IF(B1881="","",IFERROR(INDEX(Items!$B$5:$B$304,MATCH(B1881,Items!$A$5:$A$304,0)),"Unknown code"))</f>
        <v/>
      </c>
      <c r="D1881" s="15" t="n"/>
      <c r="E1881" s="16" t="n"/>
      <c r="F1881" s="18">
        <f>IF(OR(D1881="",E1881=""),"",D1881*E1881)</f>
        <v/>
      </c>
      <c r="G1881" s="15" t="n"/>
    </row>
    <row r="1882">
      <c r="A1882" s="19" t="n"/>
      <c r="B1882" s="15" t="n"/>
      <c r="C1882">
        <f>IF(B1882="","",IFERROR(INDEX(Items!$B$5:$B$304,MATCH(B1882,Items!$A$5:$A$304,0)),"Unknown code"))</f>
        <v/>
      </c>
      <c r="D1882" s="15" t="n"/>
      <c r="E1882" s="16" t="n"/>
      <c r="F1882" s="18">
        <f>IF(OR(D1882="",E1882=""),"",D1882*E1882)</f>
        <v/>
      </c>
      <c r="G1882" s="15" t="n"/>
    </row>
    <row r="1883">
      <c r="A1883" s="19" t="n"/>
      <c r="B1883" s="15" t="n"/>
      <c r="C1883">
        <f>IF(B1883="","",IFERROR(INDEX(Items!$B$5:$B$304,MATCH(B1883,Items!$A$5:$A$304,0)),"Unknown code"))</f>
        <v/>
      </c>
      <c r="D1883" s="15" t="n"/>
      <c r="E1883" s="16" t="n"/>
      <c r="F1883" s="18">
        <f>IF(OR(D1883="",E1883=""),"",D1883*E1883)</f>
        <v/>
      </c>
      <c r="G1883" s="15" t="n"/>
    </row>
    <row r="1884">
      <c r="A1884" s="19" t="n"/>
      <c r="B1884" s="15" t="n"/>
      <c r="C1884">
        <f>IF(B1884="","",IFERROR(INDEX(Items!$B$5:$B$304,MATCH(B1884,Items!$A$5:$A$304,0)),"Unknown code"))</f>
        <v/>
      </c>
      <c r="D1884" s="15" t="n"/>
      <c r="E1884" s="16" t="n"/>
      <c r="F1884" s="18">
        <f>IF(OR(D1884="",E1884=""),"",D1884*E1884)</f>
        <v/>
      </c>
      <c r="G1884" s="15" t="n"/>
    </row>
    <row r="1885">
      <c r="A1885" s="19" t="n"/>
      <c r="B1885" s="15" t="n"/>
      <c r="C1885">
        <f>IF(B1885="","",IFERROR(INDEX(Items!$B$5:$B$304,MATCH(B1885,Items!$A$5:$A$304,0)),"Unknown code"))</f>
        <v/>
      </c>
      <c r="D1885" s="15" t="n"/>
      <c r="E1885" s="16" t="n"/>
      <c r="F1885" s="18">
        <f>IF(OR(D1885="",E1885=""),"",D1885*E1885)</f>
        <v/>
      </c>
      <c r="G1885" s="15" t="n"/>
    </row>
    <row r="1886">
      <c r="A1886" s="19" t="n"/>
      <c r="B1886" s="15" t="n"/>
      <c r="C1886">
        <f>IF(B1886="","",IFERROR(INDEX(Items!$B$5:$B$304,MATCH(B1886,Items!$A$5:$A$304,0)),"Unknown code"))</f>
        <v/>
      </c>
      <c r="D1886" s="15" t="n"/>
      <c r="E1886" s="16" t="n"/>
      <c r="F1886" s="18">
        <f>IF(OR(D1886="",E1886=""),"",D1886*E1886)</f>
        <v/>
      </c>
      <c r="G1886" s="15" t="n"/>
    </row>
    <row r="1887">
      <c r="A1887" s="19" t="n"/>
      <c r="B1887" s="15" t="n"/>
      <c r="C1887">
        <f>IF(B1887="","",IFERROR(INDEX(Items!$B$5:$B$304,MATCH(B1887,Items!$A$5:$A$304,0)),"Unknown code"))</f>
        <v/>
      </c>
      <c r="D1887" s="15" t="n"/>
      <c r="E1887" s="16" t="n"/>
      <c r="F1887" s="18">
        <f>IF(OR(D1887="",E1887=""),"",D1887*E1887)</f>
        <v/>
      </c>
      <c r="G1887" s="15" t="n"/>
    </row>
    <row r="1888">
      <c r="A1888" s="19" t="n"/>
      <c r="B1888" s="15" t="n"/>
      <c r="C1888">
        <f>IF(B1888="","",IFERROR(INDEX(Items!$B$5:$B$304,MATCH(B1888,Items!$A$5:$A$304,0)),"Unknown code"))</f>
        <v/>
      </c>
      <c r="D1888" s="15" t="n"/>
      <c r="E1888" s="16" t="n"/>
      <c r="F1888" s="18">
        <f>IF(OR(D1888="",E1888=""),"",D1888*E1888)</f>
        <v/>
      </c>
      <c r="G1888" s="15" t="n"/>
    </row>
    <row r="1889">
      <c r="A1889" s="19" t="n"/>
      <c r="B1889" s="15" t="n"/>
      <c r="C1889">
        <f>IF(B1889="","",IFERROR(INDEX(Items!$B$5:$B$304,MATCH(B1889,Items!$A$5:$A$304,0)),"Unknown code"))</f>
        <v/>
      </c>
      <c r="D1889" s="15" t="n"/>
      <c r="E1889" s="16" t="n"/>
      <c r="F1889" s="18">
        <f>IF(OR(D1889="",E1889=""),"",D1889*E1889)</f>
        <v/>
      </c>
      <c r="G1889" s="15" t="n"/>
    </row>
    <row r="1890">
      <c r="A1890" s="19" t="n"/>
      <c r="B1890" s="15" t="n"/>
      <c r="C1890">
        <f>IF(B1890="","",IFERROR(INDEX(Items!$B$5:$B$304,MATCH(B1890,Items!$A$5:$A$304,0)),"Unknown code"))</f>
        <v/>
      </c>
      <c r="D1890" s="15" t="n"/>
      <c r="E1890" s="16" t="n"/>
      <c r="F1890" s="18">
        <f>IF(OR(D1890="",E1890=""),"",D1890*E1890)</f>
        <v/>
      </c>
      <c r="G1890" s="15" t="n"/>
    </row>
    <row r="1891">
      <c r="A1891" s="19" t="n"/>
      <c r="B1891" s="15" t="n"/>
      <c r="C1891">
        <f>IF(B1891="","",IFERROR(INDEX(Items!$B$5:$B$304,MATCH(B1891,Items!$A$5:$A$304,0)),"Unknown code"))</f>
        <v/>
      </c>
      <c r="D1891" s="15" t="n"/>
      <c r="E1891" s="16" t="n"/>
      <c r="F1891" s="18">
        <f>IF(OR(D1891="",E1891=""),"",D1891*E1891)</f>
        <v/>
      </c>
      <c r="G1891" s="15" t="n"/>
    </row>
    <row r="1892">
      <c r="A1892" s="19" t="n"/>
      <c r="B1892" s="15" t="n"/>
      <c r="C1892">
        <f>IF(B1892="","",IFERROR(INDEX(Items!$B$5:$B$304,MATCH(B1892,Items!$A$5:$A$304,0)),"Unknown code"))</f>
        <v/>
      </c>
      <c r="D1892" s="15" t="n"/>
      <c r="E1892" s="16" t="n"/>
      <c r="F1892" s="18">
        <f>IF(OR(D1892="",E1892=""),"",D1892*E1892)</f>
        <v/>
      </c>
      <c r="G1892" s="15" t="n"/>
    </row>
    <row r="1893">
      <c r="A1893" s="19" t="n"/>
      <c r="B1893" s="15" t="n"/>
      <c r="C1893">
        <f>IF(B1893="","",IFERROR(INDEX(Items!$B$5:$B$304,MATCH(B1893,Items!$A$5:$A$304,0)),"Unknown code"))</f>
        <v/>
      </c>
      <c r="D1893" s="15" t="n"/>
      <c r="E1893" s="16" t="n"/>
      <c r="F1893" s="18">
        <f>IF(OR(D1893="",E1893=""),"",D1893*E1893)</f>
        <v/>
      </c>
      <c r="G1893" s="15" t="n"/>
    </row>
    <row r="1894">
      <c r="A1894" s="19" t="n"/>
      <c r="B1894" s="15" t="n"/>
      <c r="C1894">
        <f>IF(B1894="","",IFERROR(INDEX(Items!$B$5:$B$304,MATCH(B1894,Items!$A$5:$A$304,0)),"Unknown code"))</f>
        <v/>
      </c>
      <c r="D1894" s="15" t="n"/>
      <c r="E1894" s="16" t="n"/>
      <c r="F1894" s="18">
        <f>IF(OR(D1894="",E1894=""),"",D1894*E1894)</f>
        <v/>
      </c>
      <c r="G1894" s="15" t="n"/>
    </row>
    <row r="1895">
      <c r="A1895" s="19" t="n"/>
      <c r="B1895" s="15" t="n"/>
      <c r="C1895">
        <f>IF(B1895="","",IFERROR(INDEX(Items!$B$5:$B$304,MATCH(B1895,Items!$A$5:$A$304,0)),"Unknown code"))</f>
        <v/>
      </c>
      <c r="D1895" s="15" t="n"/>
      <c r="E1895" s="16" t="n"/>
      <c r="F1895" s="18">
        <f>IF(OR(D1895="",E1895=""),"",D1895*E1895)</f>
        <v/>
      </c>
      <c r="G1895" s="15" t="n"/>
    </row>
    <row r="1896">
      <c r="A1896" s="19" t="n"/>
      <c r="B1896" s="15" t="n"/>
      <c r="C1896">
        <f>IF(B1896="","",IFERROR(INDEX(Items!$B$5:$B$304,MATCH(B1896,Items!$A$5:$A$304,0)),"Unknown code"))</f>
        <v/>
      </c>
      <c r="D1896" s="15" t="n"/>
      <c r="E1896" s="16" t="n"/>
      <c r="F1896" s="18">
        <f>IF(OR(D1896="",E1896=""),"",D1896*E1896)</f>
        <v/>
      </c>
      <c r="G1896" s="15" t="n"/>
    </row>
    <row r="1897">
      <c r="A1897" s="19" t="n"/>
      <c r="B1897" s="15" t="n"/>
      <c r="C1897">
        <f>IF(B1897="","",IFERROR(INDEX(Items!$B$5:$B$304,MATCH(B1897,Items!$A$5:$A$304,0)),"Unknown code"))</f>
        <v/>
      </c>
      <c r="D1897" s="15" t="n"/>
      <c r="E1897" s="16" t="n"/>
      <c r="F1897" s="18">
        <f>IF(OR(D1897="",E1897=""),"",D1897*E1897)</f>
        <v/>
      </c>
      <c r="G1897" s="15" t="n"/>
    </row>
    <row r="1898">
      <c r="A1898" s="19" t="n"/>
      <c r="B1898" s="15" t="n"/>
      <c r="C1898">
        <f>IF(B1898="","",IFERROR(INDEX(Items!$B$5:$B$304,MATCH(B1898,Items!$A$5:$A$304,0)),"Unknown code"))</f>
        <v/>
      </c>
      <c r="D1898" s="15" t="n"/>
      <c r="E1898" s="16" t="n"/>
      <c r="F1898" s="18">
        <f>IF(OR(D1898="",E1898=""),"",D1898*E1898)</f>
        <v/>
      </c>
      <c r="G1898" s="15" t="n"/>
    </row>
    <row r="1899">
      <c r="A1899" s="19" t="n"/>
      <c r="B1899" s="15" t="n"/>
      <c r="C1899">
        <f>IF(B1899="","",IFERROR(INDEX(Items!$B$5:$B$304,MATCH(B1899,Items!$A$5:$A$304,0)),"Unknown code"))</f>
        <v/>
      </c>
      <c r="D1899" s="15" t="n"/>
      <c r="E1899" s="16" t="n"/>
      <c r="F1899" s="18">
        <f>IF(OR(D1899="",E1899=""),"",D1899*E1899)</f>
        <v/>
      </c>
      <c r="G1899" s="15" t="n"/>
    </row>
    <row r="1900">
      <c r="A1900" s="19" t="n"/>
      <c r="B1900" s="15" t="n"/>
      <c r="C1900">
        <f>IF(B1900="","",IFERROR(INDEX(Items!$B$5:$B$304,MATCH(B1900,Items!$A$5:$A$304,0)),"Unknown code"))</f>
        <v/>
      </c>
      <c r="D1900" s="15" t="n"/>
      <c r="E1900" s="16" t="n"/>
      <c r="F1900" s="18">
        <f>IF(OR(D1900="",E1900=""),"",D1900*E1900)</f>
        <v/>
      </c>
      <c r="G1900" s="15" t="n"/>
    </row>
    <row r="1901">
      <c r="A1901" s="19" t="n"/>
      <c r="B1901" s="15" t="n"/>
      <c r="C1901">
        <f>IF(B1901="","",IFERROR(INDEX(Items!$B$5:$B$304,MATCH(B1901,Items!$A$5:$A$304,0)),"Unknown code"))</f>
        <v/>
      </c>
      <c r="D1901" s="15" t="n"/>
      <c r="E1901" s="16" t="n"/>
      <c r="F1901" s="18">
        <f>IF(OR(D1901="",E1901=""),"",D1901*E1901)</f>
        <v/>
      </c>
      <c r="G1901" s="15" t="n"/>
    </row>
    <row r="1902">
      <c r="A1902" s="19" t="n"/>
      <c r="B1902" s="15" t="n"/>
      <c r="C1902">
        <f>IF(B1902="","",IFERROR(INDEX(Items!$B$5:$B$304,MATCH(B1902,Items!$A$5:$A$304,0)),"Unknown code"))</f>
        <v/>
      </c>
      <c r="D1902" s="15" t="n"/>
      <c r="E1902" s="16" t="n"/>
      <c r="F1902" s="18">
        <f>IF(OR(D1902="",E1902=""),"",D1902*E1902)</f>
        <v/>
      </c>
      <c r="G1902" s="15" t="n"/>
    </row>
    <row r="1903">
      <c r="A1903" s="19" t="n"/>
      <c r="B1903" s="15" t="n"/>
      <c r="C1903">
        <f>IF(B1903="","",IFERROR(INDEX(Items!$B$5:$B$304,MATCH(B1903,Items!$A$5:$A$304,0)),"Unknown code"))</f>
        <v/>
      </c>
      <c r="D1903" s="15" t="n"/>
      <c r="E1903" s="16" t="n"/>
      <c r="F1903" s="18">
        <f>IF(OR(D1903="",E1903=""),"",D1903*E1903)</f>
        <v/>
      </c>
      <c r="G1903" s="15" t="n"/>
    </row>
    <row r="1904">
      <c r="A1904" s="19" t="n"/>
      <c r="B1904" s="15" t="n"/>
      <c r="C1904">
        <f>IF(B1904="","",IFERROR(INDEX(Items!$B$5:$B$304,MATCH(B1904,Items!$A$5:$A$304,0)),"Unknown code"))</f>
        <v/>
      </c>
      <c r="D1904" s="15" t="n"/>
      <c r="E1904" s="16" t="n"/>
      <c r="F1904" s="18">
        <f>IF(OR(D1904="",E1904=""),"",D1904*E1904)</f>
        <v/>
      </c>
      <c r="G1904" s="15" t="n"/>
    </row>
    <row r="1905">
      <c r="A1905" s="19" t="n"/>
      <c r="B1905" s="15" t="n"/>
      <c r="C1905">
        <f>IF(B1905="","",IFERROR(INDEX(Items!$B$5:$B$304,MATCH(B1905,Items!$A$5:$A$304,0)),"Unknown code"))</f>
        <v/>
      </c>
      <c r="D1905" s="15" t="n"/>
      <c r="E1905" s="16" t="n"/>
      <c r="F1905" s="18">
        <f>IF(OR(D1905="",E1905=""),"",D1905*E1905)</f>
        <v/>
      </c>
      <c r="G1905" s="15" t="n"/>
    </row>
    <row r="1906">
      <c r="A1906" s="19" t="n"/>
      <c r="B1906" s="15" t="n"/>
      <c r="C1906">
        <f>IF(B1906="","",IFERROR(INDEX(Items!$B$5:$B$304,MATCH(B1906,Items!$A$5:$A$304,0)),"Unknown code"))</f>
        <v/>
      </c>
      <c r="D1906" s="15" t="n"/>
      <c r="E1906" s="16" t="n"/>
      <c r="F1906" s="18">
        <f>IF(OR(D1906="",E1906=""),"",D1906*E1906)</f>
        <v/>
      </c>
      <c r="G1906" s="15" t="n"/>
    </row>
    <row r="1907">
      <c r="A1907" s="19" t="n"/>
      <c r="B1907" s="15" t="n"/>
      <c r="C1907">
        <f>IF(B1907="","",IFERROR(INDEX(Items!$B$5:$B$304,MATCH(B1907,Items!$A$5:$A$304,0)),"Unknown code"))</f>
        <v/>
      </c>
      <c r="D1907" s="15" t="n"/>
      <c r="E1907" s="16" t="n"/>
      <c r="F1907" s="18">
        <f>IF(OR(D1907="",E1907=""),"",D1907*E1907)</f>
        <v/>
      </c>
      <c r="G1907" s="15" t="n"/>
    </row>
    <row r="1908">
      <c r="A1908" s="19" t="n"/>
      <c r="B1908" s="15" t="n"/>
      <c r="C1908">
        <f>IF(B1908="","",IFERROR(INDEX(Items!$B$5:$B$304,MATCH(B1908,Items!$A$5:$A$304,0)),"Unknown code"))</f>
        <v/>
      </c>
      <c r="D1908" s="15" t="n"/>
      <c r="E1908" s="16" t="n"/>
      <c r="F1908" s="18">
        <f>IF(OR(D1908="",E1908=""),"",D1908*E1908)</f>
        <v/>
      </c>
      <c r="G1908" s="15" t="n"/>
    </row>
    <row r="1909">
      <c r="A1909" s="19" t="n"/>
      <c r="B1909" s="15" t="n"/>
      <c r="C1909">
        <f>IF(B1909="","",IFERROR(INDEX(Items!$B$5:$B$304,MATCH(B1909,Items!$A$5:$A$304,0)),"Unknown code"))</f>
        <v/>
      </c>
      <c r="D1909" s="15" t="n"/>
      <c r="E1909" s="16" t="n"/>
      <c r="F1909" s="18">
        <f>IF(OR(D1909="",E1909=""),"",D1909*E1909)</f>
        <v/>
      </c>
      <c r="G1909" s="15" t="n"/>
    </row>
    <row r="1910">
      <c r="A1910" s="19" t="n"/>
      <c r="B1910" s="15" t="n"/>
      <c r="C1910">
        <f>IF(B1910="","",IFERROR(INDEX(Items!$B$5:$B$304,MATCH(B1910,Items!$A$5:$A$304,0)),"Unknown code"))</f>
        <v/>
      </c>
      <c r="D1910" s="15" t="n"/>
      <c r="E1910" s="16" t="n"/>
      <c r="F1910" s="18">
        <f>IF(OR(D1910="",E1910=""),"",D1910*E1910)</f>
        <v/>
      </c>
      <c r="G1910" s="15" t="n"/>
    </row>
    <row r="1911">
      <c r="A1911" s="19" t="n"/>
      <c r="B1911" s="15" t="n"/>
      <c r="C1911">
        <f>IF(B1911="","",IFERROR(INDEX(Items!$B$5:$B$304,MATCH(B1911,Items!$A$5:$A$304,0)),"Unknown code"))</f>
        <v/>
      </c>
      <c r="D1911" s="15" t="n"/>
      <c r="E1911" s="16" t="n"/>
      <c r="F1911" s="18">
        <f>IF(OR(D1911="",E1911=""),"",D1911*E1911)</f>
        <v/>
      </c>
      <c r="G1911" s="15" t="n"/>
    </row>
    <row r="1912">
      <c r="A1912" s="19" t="n"/>
      <c r="B1912" s="15" t="n"/>
      <c r="C1912">
        <f>IF(B1912="","",IFERROR(INDEX(Items!$B$5:$B$304,MATCH(B1912,Items!$A$5:$A$304,0)),"Unknown code"))</f>
        <v/>
      </c>
      <c r="D1912" s="15" t="n"/>
      <c r="E1912" s="16" t="n"/>
      <c r="F1912" s="18">
        <f>IF(OR(D1912="",E1912=""),"",D1912*E1912)</f>
        <v/>
      </c>
      <c r="G1912" s="15" t="n"/>
    </row>
    <row r="1913">
      <c r="A1913" s="19" t="n"/>
      <c r="B1913" s="15" t="n"/>
      <c r="C1913">
        <f>IF(B1913="","",IFERROR(INDEX(Items!$B$5:$B$304,MATCH(B1913,Items!$A$5:$A$304,0)),"Unknown code"))</f>
        <v/>
      </c>
      <c r="D1913" s="15" t="n"/>
      <c r="E1913" s="16" t="n"/>
      <c r="F1913" s="18">
        <f>IF(OR(D1913="",E1913=""),"",D1913*E1913)</f>
        <v/>
      </c>
      <c r="G1913" s="15" t="n"/>
    </row>
    <row r="1914">
      <c r="A1914" s="19" t="n"/>
      <c r="B1914" s="15" t="n"/>
      <c r="C1914">
        <f>IF(B1914="","",IFERROR(INDEX(Items!$B$5:$B$304,MATCH(B1914,Items!$A$5:$A$304,0)),"Unknown code"))</f>
        <v/>
      </c>
      <c r="D1914" s="15" t="n"/>
      <c r="E1914" s="16" t="n"/>
      <c r="F1914" s="18">
        <f>IF(OR(D1914="",E1914=""),"",D1914*E1914)</f>
        <v/>
      </c>
      <c r="G1914" s="15" t="n"/>
    </row>
    <row r="1915">
      <c r="A1915" s="19" t="n"/>
      <c r="B1915" s="15" t="n"/>
      <c r="C1915">
        <f>IF(B1915="","",IFERROR(INDEX(Items!$B$5:$B$304,MATCH(B1915,Items!$A$5:$A$304,0)),"Unknown code"))</f>
        <v/>
      </c>
      <c r="D1915" s="15" t="n"/>
      <c r="E1915" s="16" t="n"/>
      <c r="F1915" s="18">
        <f>IF(OR(D1915="",E1915=""),"",D1915*E1915)</f>
        <v/>
      </c>
      <c r="G1915" s="15" t="n"/>
    </row>
    <row r="1916">
      <c r="A1916" s="19" t="n"/>
      <c r="B1916" s="15" t="n"/>
      <c r="C1916">
        <f>IF(B1916="","",IFERROR(INDEX(Items!$B$5:$B$304,MATCH(B1916,Items!$A$5:$A$304,0)),"Unknown code"))</f>
        <v/>
      </c>
      <c r="D1916" s="15" t="n"/>
      <c r="E1916" s="16" t="n"/>
      <c r="F1916" s="18">
        <f>IF(OR(D1916="",E1916=""),"",D1916*E1916)</f>
        <v/>
      </c>
      <c r="G1916" s="15" t="n"/>
    </row>
    <row r="1917">
      <c r="A1917" s="19" t="n"/>
      <c r="B1917" s="15" t="n"/>
      <c r="C1917">
        <f>IF(B1917="","",IFERROR(INDEX(Items!$B$5:$B$304,MATCH(B1917,Items!$A$5:$A$304,0)),"Unknown code"))</f>
        <v/>
      </c>
      <c r="D1917" s="15" t="n"/>
      <c r="E1917" s="16" t="n"/>
      <c r="F1917" s="18">
        <f>IF(OR(D1917="",E1917=""),"",D1917*E1917)</f>
        <v/>
      </c>
      <c r="G1917" s="15" t="n"/>
    </row>
    <row r="1918">
      <c r="A1918" s="19" t="n"/>
      <c r="B1918" s="15" t="n"/>
      <c r="C1918">
        <f>IF(B1918="","",IFERROR(INDEX(Items!$B$5:$B$304,MATCH(B1918,Items!$A$5:$A$304,0)),"Unknown code"))</f>
        <v/>
      </c>
      <c r="D1918" s="15" t="n"/>
      <c r="E1918" s="16" t="n"/>
      <c r="F1918" s="18">
        <f>IF(OR(D1918="",E1918=""),"",D1918*E1918)</f>
        <v/>
      </c>
      <c r="G1918" s="15" t="n"/>
    </row>
    <row r="1919">
      <c r="A1919" s="19" t="n"/>
      <c r="B1919" s="15" t="n"/>
      <c r="C1919">
        <f>IF(B1919="","",IFERROR(INDEX(Items!$B$5:$B$304,MATCH(B1919,Items!$A$5:$A$304,0)),"Unknown code"))</f>
        <v/>
      </c>
      <c r="D1919" s="15" t="n"/>
      <c r="E1919" s="16" t="n"/>
      <c r="F1919" s="18">
        <f>IF(OR(D1919="",E1919=""),"",D1919*E1919)</f>
        <v/>
      </c>
      <c r="G1919" s="15" t="n"/>
    </row>
    <row r="1920">
      <c r="A1920" s="19" t="n"/>
      <c r="B1920" s="15" t="n"/>
      <c r="C1920">
        <f>IF(B1920="","",IFERROR(INDEX(Items!$B$5:$B$304,MATCH(B1920,Items!$A$5:$A$304,0)),"Unknown code"))</f>
        <v/>
      </c>
      <c r="D1920" s="15" t="n"/>
      <c r="E1920" s="16" t="n"/>
      <c r="F1920" s="18">
        <f>IF(OR(D1920="",E1920=""),"",D1920*E1920)</f>
        <v/>
      </c>
      <c r="G1920" s="15" t="n"/>
    </row>
    <row r="1921">
      <c r="A1921" s="19" t="n"/>
      <c r="B1921" s="15" t="n"/>
      <c r="C1921">
        <f>IF(B1921="","",IFERROR(INDEX(Items!$B$5:$B$304,MATCH(B1921,Items!$A$5:$A$304,0)),"Unknown code"))</f>
        <v/>
      </c>
      <c r="D1921" s="15" t="n"/>
      <c r="E1921" s="16" t="n"/>
      <c r="F1921" s="18">
        <f>IF(OR(D1921="",E1921=""),"",D1921*E1921)</f>
        <v/>
      </c>
      <c r="G1921" s="15" t="n"/>
    </row>
    <row r="1922">
      <c r="A1922" s="19" t="n"/>
      <c r="B1922" s="15" t="n"/>
      <c r="C1922">
        <f>IF(B1922="","",IFERROR(INDEX(Items!$B$5:$B$304,MATCH(B1922,Items!$A$5:$A$304,0)),"Unknown code"))</f>
        <v/>
      </c>
      <c r="D1922" s="15" t="n"/>
      <c r="E1922" s="16" t="n"/>
      <c r="F1922" s="18">
        <f>IF(OR(D1922="",E1922=""),"",D1922*E1922)</f>
        <v/>
      </c>
      <c r="G1922" s="15" t="n"/>
    </row>
    <row r="1923">
      <c r="A1923" s="19" t="n"/>
      <c r="B1923" s="15" t="n"/>
      <c r="C1923">
        <f>IF(B1923="","",IFERROR(INDEX(Items!$B$5:$B$304,MATCH(B1923,Items!$A$5:$A$304,0)),"Unknown code"))</f>
        <v/>
      </c>
      <c r="D1923" s="15" t="n"/>
      <c r="E1923" s="16" t="n"/>
      <c r="F1923" s="18">
        <f>IF(OR(D1923="",E1923=""),"",D1923*E1923)</f>
        <v/>
      </c>
      <c r="G1923" s="15" t="n"/>
    </row>
    <row r="1924">
      <c r="A1924" s="19" t="n"/>
      <c r="B1924" s="15" t="n"/>
      <c r="C1924">
        <f>IF(B1924="","",IFERROR(INDEX(Items!$B$5:$B$304,MATCH(B1924,Items!$A$5:$A$304,0)),"Unknown code"))</f>
        <v/>
      </c>
      <c r="D1924" s="15" t="n"/>
      <c r="E1924" s="16" t="n"/>
      <c r="F1924" s="18">
        <f>IF(OR(D1924="",E1924=""),"",D1924*E1924)</f>
        <v/>
      </c>
      <c r="G1924" s="15" t="n"/>
    </row>
    <row r="1925">
      <c r="A1925" s="19" t="n"/>
      <c r="B1925" s="15" t="n"/>
      <c r="C1925">
        <f>IF(B1925="","",IFERROR(INDEX(Items!$B$5:$B$304,MATCH(B1925,Items!$A$5:$A$304,0)),"Unknown code"))</f>
        <v/>
      </c>
      <c r="D1925" s="15" t="n"/>
      <c r="E1925" s="16" t="n"/>
      <c r="F1925" s="18">
        <f>IF(OR(D1925="",E1925=""),"",D1925*E1925)</f>
        <v/>
      </c>
      <c r="G1925" s="15" t="n"/>
    </row>
    <row r="1926">
      <c r="A1926" s="19" t="n"/>
      <c r="B1926" s="15" t="n"/>
      <c r="C1926">
        <f>IF(B1926="","",IFERROR(INDEX(Items!$B$5:$B$304,MATCH(B1926,Items!$A$5:$A$304,0)),"Unknown code"))</f>
        <v/>
      </c>
      <c r="D1926" s="15" t="n"/>
      <c r="E1926" s="16" t="n"/>
      <c r="F1926" s="18">
        <f>IF(OR(D1926="",E1926=""),"",D1926*E1926)</f>
        <v/>
      </c>
      <c r="G1926" s="15" t="n"/>
    </row>
    <row r="1927">
      <c r="A1927" s="19" t="n"/>
      <c r="B1927" s="15" t="n"/>
      <c r="C1927">
        <f>IF(B1927="","",IFERROR(INDEX(Items!$B$5:$B$304,MATCH(B1927,Items!$A$5:$A$304,0)),"Unknown code"))</f>
        <v/>
      </c>
      <c r="D1927" s="15" t="n"/>
      <c r="E1927" s="16" t="n"/>
      <c r="F1927" s="18">
        <f>IF(OR(D1927="",E1927=""),"",D1927*E1927)</f>
        <v/>
      </c>
      <c r="G1927" s="15" t="n"/>
    </row>
    <row r="1928">
      <c r="A1928" s="19" t="n"/>
      <c r="B1928" s="15" t="n"/>
      <c r="C1928">
        <f>IF(B1928="","",IFERROR(INDEX(Items!$B$5:$B$304,MATCH(B1928,Items!$A$5:$A$304,0)),"Unknown code"))</f>
        <v/>
      </c>
      <c r="D1928" s="15" t="n"/>
      <c r="E1928" s="16" t="n"/>
      <c r="F1928" s="18">
        <f>IF(OR(D1928="",E1928=""),"",D1928*E1928)</f>
        <v/>
      </c>
      <c r="G1928" s="15" t="n"/>
    </row>
    <row r="1929">
      <c r="A1929" s="19" t="n"/>
      <c r="B1929" s="15" t="n"/>
      <c r="C1929">
        <f>IF(B1929="","",IFERROR(INDEX(Items!$B$5:$B$304,MATCH(B1929,Items!$A$5:$A$304,0)),"Unknown code"))</f>
        <v/>
      </c>
      <c r="D1929" s="15" t="n"/>
      <c r="E1929" s="16" t="n"/>
      <c r="F1929" s="18">
        <f>IF(OR(D1929="",E1929=""),"",D1929*E1929)</f>
        <v/>
      </c>
      <c r="G1929" s="15" t="n"/>
    </row>
    <row r="1930">
      <c r="A1930" s="19" t="n"/>
      <c r="B1930" s="15" t="n"/>
      <c r="C1930">
        <f>IF(B1930="","",IFERROR(INDEX(Items!$B$5:$B$304,MATCH(B1930,Items!$A$5:$A$304,0)),"Unknown code"))</f>
        <v/>
      </c>
      <c r="D1930" s="15" t="n"/>
      <c r="E1930" s="16" t="n"/>
      <c r="F1930" s="18">
        <f>IF(OR(D1930="",E1930=""),"",D1930*E1930)</f>
        <v/>
      </c>
      <c r="G1930" s="15" t="n"/>
    </row>
    <row r="1931">
      <c r="A1931" s="19" t="n"/>
      <c r="B1931" s="15" t="n"/>
      <c r="C1931">
        <f>IF(B1931="","",IFERROR(INDEX(Items!$B$5:$B$304,MATCH(B1931,Items!$A$5:$A$304,0)),"Unknown code"))</f>
        <v/>
      </c>
      <c r="D1931" s="15" t="n"/>
      <c r="E1931" s="16" t="n"/>
      <c r="F1931" s="18">
        <f>IF(OR(D1931="",E1931=""),"",D1931*E1931)</f>
        <v/>
      </c>
      <c r="G1931" s="15" t="n"/>
    </row>
    <row r="1932">
      <c r="A1932" s="19" t="n"/>
      <c r="B1932" s="15" t="n"/>
      <c r="C1932">
        <f>IF(B1932="","",IFERROR(INDEX(Items!$B$5:$B$304,MATCH(B1932,Items!$A$5:$A$304,0)),"Unknown code"))</f>
        <v/>
      </c>
      <c r="D1932" s="15" t="n"/>
      <c r="E1932" s="16" t="n"/>
      <c r="F1932" s="18">
        <f>IF(OR(D1932="",E1932=""),"",D1932*E1932)</f>
        <v/>
      </c>
      <c r="G1932" s="15" t="n"/>
    </row>
    <row r="1933">
      <c r="A1933" s="19" t="n"/>
      <c r="B1933" s="15" t="n"/>
      <c r="C1933">
        <f>IF(B1933="","",IFERROR(INDEX(Items!$B$5:$B$304,MATCH(B1933,Items!$A$5:$A$304,0)),"Unknown code"))</f>
        <v/>
      </c>
      <c r="D1933" s="15" t="n"/>
      <c r="E1933" s="16" t="n"/>
      <c r="F1933" s="18">
        <f>IF(OR(D1933="",E1933=""),"",D1933*E1933)</f>
        <v/>
      </c>
      <c r="G1933" s="15" t="n"/>
    </row>
    <row r="1934">
      <c r="A1934" s="19" t="n"/>
      <c r="B1934" s="15" t="n"/>
      <c r="C1934">
        <f>IF(B1934="","",IFERROR(INDEX(Items!$B$5:$B$304,MATCH(B1934,Items!$A$5:$A$304,0)),"Unknown code"))</f>
        <v/>
      </c>
      <c r="D1934" s="15" t="n"/>
      <c r="E1934" s="16" t="n"/>
      <c r="F1934" s="18">
        <f>IF(OR(D1934="",E1934=""),"",D1934*E1934)</f>
        <v/>
      </c>
      <c r="G1934" s="15" t="n"/>
    </row>
    <row r="1935">
      <c r="A1935" s="19" t="n"/>
      <c r="B1935" s="15" t="n"/>
      <c r="C1935">
        <f>IF(B1935="","",IFERROR(INDEX(Items!$B$5:$B$304,MATCH(B1935,Items!$A$5:$A$304,0)),"Unknown code"))</f>
        <v/>
      </c>
      <c r="D1935" s="15" t="n"/>
      <c r="E1935" s="16" t="n"/>
      <c r="F1935" s="18">
        <f>IF(OR(D1935="",E1935=""),"",D1935*E1935)</f>
        <v/>
      </c>
      <c r="G1935" s="15" t="n"/>
    </row>
    <row r="1936">
      <c r="A1936" s="19" t="n"/>
      <c r="B1936" s="15" t="n"/>
      <c r="C1936">
        <f>IF(B1936="","",IFERROR(INDEX(Items!$B$5:$B$304,MATCH(B1936,Items!$A$5:$A$304,0)),"Unknown code"))</f>
        <v/>
      </c>
      <c r="D1936" s="15" t="n"/>
      <c r="E1936" s="16" t="n"/>
      <c r="F1936" s="18">
        <f>IF(OR(D1936="",E1936=""),"",D1936*E1936)</f>
        <v/>
      </c>
      <c r="G1936" s="15" t="n"/>
    </row>
    <row r="1937">
      <c r="A1937" s="19" t="n"/>
      <c r="B1937" s="15" t="n"/>
      <c r="C1937">
        <f>IF(B1937="","",IFERROR(INDEX(Items!$B$5:$B$304,MATCH(B1937,Items!$A$5:$A$304,0)),"Unknown code"))</f>
        <v/>
      </c>
      <c r="D1937" s="15" t="n"/>
      <c r="E1937" s="16" t="n"/>
      <c r="F1937" s="18">
        <f>IF(OR(D1937="",E1937=""),"",D1937*E1937)</f>
        <v/>
      </c>
      <c r="G1937" s="15" t="n"/>
    </row>
    <row r="1938">
      <c r="A1938" s="19" t="n"/>
      <c r="B1938" s="15" t="n"/>
      <c r="C1938">
        <f>IF(B1938="","",IFERROR(INDEX(Items!$B$5:$B$304,MATCH(B1938,Items!$A$5:$A$304,0)),"Unknown code"))</f>
        <v/>
      </c>
      <c r="D1938" s="15" t="n"/>
      <c r="E1938" s="16" t="n"/>
      <c r="F1938" s="18">
        <f>IF(OR(D1938="",E1938=""),"",D1938*E1938)</f>
        <v/>
      </c>
      <c r="G1938" s="15" t="n"/>
    </row>
    <row r="1939">
      <c r="A1939" s="19" t="n"/>
      <c r="B1939" s="15" t="n"/>
      <c r="C1939">
        <f>IF(B1939="","",IFERROR(INDEX(Items!$B$5:$B$304,MATCH(B1939,Items!$A$5:$A$304,0)),"Unknown code"))</f>
        <v/>
      </c>
      <c r="D1939" s="15" t="n"/>
      <c r="E1939" s="16" t="n"/>
      <c r="F1939" s="18">
        <f>IF(OR(D1939="",E1939=""),"",D1939*E1939)</f>
        <v/>
      </c>
      <c r="G1939" s="15" t="n"/>
    </row>
    <row r="1940">
      <c r="A1940" s="19" t="n"/>
      <c r="B1940" s="15" t="n"/>
      <c r="C1940">
        <f>IF(B1940="","",IFERROR(INDEX(Items!$B$5:$B$304,MATCH(B1940,Items!$A$5:$A$304,0)),"Unknown code"))</f>
        <v/>
      </c>
      <c r="D1940" s="15" t="n"/>
      <c r="E1940" s="16" t="n"/>
      <c r="F1940" s="18">
        <f>IF(OR(D1940="",E1940=""),"",D1940*E1940)</f>
        <v/>
      </c>
      <c r="G1940" s="15" t="n"/>
    </row>
    <row r="1941">
      <c r="A1941" s="19" t="n"/>
      <c r="B1941" s="15" t="n"/>
      <c r="C1941">
        <f>IF(B1941="","",IFERROR(INDEX(Items!$B$5:$B$304,MATCH(B1941,Items!$A$5:$A$304,0)),"Unknown code"))</f>
        <v/>
      </c>
      <c r="D1941" s="15" t="n"/>
      <c r="E1941" s="16" t="n"/>
      <c r="F1941" s="18">
        <f>IF(OR(D1941="",E1941=""),"",D1941*E1941)</f>
        <v/>
      </c>
      <c r="G1941" s="15" t="n"/>
    </row>
    <row r="1942">
      <c r="A1942" s="19" t="n"/>
      <c r="B1942" s="15" t="n"/>
      <c r="C1942">
        <f>IF(B1942="","",IFERROR(INDEX(Items!$B$5:$B$304,MATCH(B1942,Items!$A$5:$A$304,0)),"Unknown code"))</f>
        <v/>
      </c>
      <c r="D1942" s="15" t="n"/>
      <c r="E1942" s="16" t="n"/>
      <c r="F1942" s="18">
        <f>IF(OR(D1942="",E1942=""),"",D1942*E1942)</f>
        <v/>
      </c>
      <c r="G1942" s="15" t="n"/>
    </row>
    <row r="1943">
      <c r="A1943" s="19" t="n"/>
      <c r="B1943" s="15" t="n"/>
      <c r="C1943">
        <f>IF(B1943="","",IFERROR(INDEX(Items!$B$5:$B$304,MATCH(B1943,Items!$A$5:$A$304,0)),"Unknown code"))</f>
        <v/>
      </c>
      <c r="D1943" s="15" t="n"/>
      <c r="E1943" s="16" t="n"/>
      <c r="F1943" s="18">
        <f>IF(OR(D1943="",E1943=""),"",D1943*E1943)</f>
        <v/>
      </c>
      <c r="G1943" s="15" t="n"/>
    </row>
    <row r="1944">
      <c r="A1944" s="19" t="n"/>
      <c r="B1944" s="15" t="n"/>
      <c r="C1944">
        <f>IF(B1944="","",IFERROR(INDEX(Items!$B$5:$B$304,MATCH(B1944,Items!$A$5:$A$304,0)),"Unknown code"))</f>
        <v/>
      </c>
      <c r="D1944" s="15" t="n"/>
      <c r="E1944" s="16" t="n"/>
      <c r="F1944" s="18">
        <f>IF(OR(D1944="",E1944=""),"",D1944*E1944)</f>
        <v/>
      </c>
      <c r="G1944" s="15" t="n"/>
    </row>
    <row r="1945">
      <c r="A1945" s="19" t="n"/>
      <c r="B1945" s="15" t="n"/>
      <c r="C1945">
        <f>IF(B1945="","",IFERROR(INDEX(Items!$B$5:$B$304,MATCH(B1945,Items!$A$5:$A$304,0)),"Unknown code"))</f>
        <v/>
      </c>
      <c r="D1945" s="15" t="n"/>
      <c r="E1945" s="16" t="n"/>
      <c r="F1945" s="18">
        <f>IF(OR(D1945="",E1945=""),"",D1945*E1945)</f>
        <v/>
      </c>
      <c r="G1945" s="15" t="n"/>
    </row>
    <row r="1946">
      <c r="A1946" s="19" t="n"/>
      <c r="B1946" s="15" t="n"/>
      <c r="C1946">
        <f>IF(B1946="","",IFERROR(INDEX(Items!$B$5:$B$304,MATCH(B1946,Items!$A$5:$A$304,0)),"Unknown code"))</f>
        <v/>
      </c>
      <c r="D1946" s="15" t="n"/>
      <c r="E1946" s="16" t="n"/>
      <c r="F1946" s="18">
        <f>IF(OR(D1946="",E1946=""),"",D1946*E1946)</f>
        <v/>
      </c>
      <c r="G1946" s="15" t="n"/>
    </row>
    <row r="1947">
      <c r="A1947" s="19" t="n"/>
      <c r="B1947" s="15" t="n"/>
      <c r="C1947">
        <f>IF(B1947="","",IFERROR(INDEX(Items!$B$5:$B$304,MATCH(B1947,Items!$A$5:$A$304,0)),"Unknown code"))</f>
        <v/>
      </c>
      <c r="D1947" s="15" t="n"/>
      <c r="E1947" s="16" t="n"/>
      <c r="F1947" s="18">
        <f>IF(OR(D1947="",E1947=""),"",D1947*E1947)</f>
        <v/>
      </c>
      <c r="G1947" s="15" t="n"/>
    </row>
    <row r="1948">
      <c r="A1948" s="19" t="n"/>
      <c r="B1948" s="15" t="n"/>
      <c r="C1948">
        <f>IF(B1948="","",IFERROR(INDEX(Items!$B$5:$B$304,MATCH(B1948,Items!$A$5:$A$304,0)),"Unknown code"))</f>
        <v/>
      </c>
      <c r="D1948" s="15" t="n"/>
      <c r="E1948" s="16" t="n"/>
      <c r="F1948" s="18">
        <f>IF(OR(D1948="",E1948=""),"",D1948*E1948)</f>
        <v/>
      </c>
      <c r="G1948" s="15" t="n"/>
    </row>
    <row r="1949">
      <c r="A1949" s="19" t="n"/>
      <c r="B1949" s="15" t="n"/>
      <c r="C1949">
        <f>IF(B1949="","",IFERROR(INDEX(Items!$B$5:$B$304,MATCH(B1949,Items!$A$5:$A$304,0)),"Unknown code"))</f>
        <v/>
      </c>
      <c r="D1949" s="15" t="n"/>
      <c r="E1949" s="16" t="n"/>
      <c r="F1949" s="18">
        <f>IF(OR(D1949="",E1949=""),"",D1949*E1949)</f>
        <v/>
      </c>
      <c r="G1949" s="15" t="n"/>
    </row>
    <row r="1950">
      <c r="A1950" s="19" t="n"/>
      <c r="B1950" s="15" t="n"/>
      <c r="C1950">
        <f>IF(B1950="","",IFERROR(INDEX(Items!$B$5:$B$304,MATCH(B1950,Items!$A$5:$A$304,0)),"Unknown code"))</f>
        <v/>
      </c>
      <c r="D1950" s="15" t="n"/>
      <c r="E1950" s="16" t="n"/>
      <c r="F1950" s="18">
        <f>IF(OR(D1950="",E1950=""),"",D1950*E1950)</f>
        <v/>
      </c>
      <c r="G1950" s="15" t="n"/>
    </row>
    <row r="1951">
      <c r="A1951" s="19" t="n"/>
      <c r="B1951" s="15" t="n"/>
      <c r="C1951">
        <f>IF(B1951="","",IFERROR(INDEX(Items!$B$5:$B$304,MATCH(B1951,Items!$A$5:$A$304,0)),"Unknown code"))</f>
        <v/>
      </c>
      <c r="D1951" s="15" t="n"/>
      <c r="E1951" s="16" t="n"/>
      <c r="F1951" s="18">
        <f>IF(OR(D1951="",E1951=""),"",D1951*E1951)</f>
        <v/>
      </c>
      <c r="G1951" s="15" t="n"/>
    </row>
    <row r="1952">
      <c r="A1952" s="19" t="n"/>
      <c r="B1952" s="15" t="n"/>
      <c r="C1952">
        <f>IF(B1952="","",IFERROR(INDEX(Items!$B$5:$B$304,MATCH(B1952,Items!$A$5:$A$304,0)),"Unknown code"))</f>
        <v/>
      </c>
      <c r="D1952" s="15" t="n"/>
      <c r="E1952" s="16" t="n"/>
      <c r="F1952" s="18">
        <f>IF(OR(D1952="",E1952=""),"",D1952*E1952)</f>
        <v/>
      </c>
      <c r="G1952" s="15" t="n"/>
    </row>
    <row r="1953">
      <c r="A1953" s="19" t="n"/>
      <c r="B1953" s="15" t="n"/>
      <c r="C1953">
        <f>IF(B1953="","",IFERROR(INDEX(Items!$B$5:$B$304,MATCH(B1953,Items!$A$5:$A$304,0)),"Unknown code"))</f>
        <v/>
      </c>
      <c r="D1953" s="15" t="n"/>
      <c r="E1953" s="16" t="n"/>
      <c r="F1953" s="18">
        <f>IF(OR(D1953="",E1953=""),"",D1953*E1953)</f>
        <v/>
      </c>
      <c r="G1953" s="15" t="n"/>
    </row>
    <row r="1954">
      <c r="A1954" s="19" t="n"/>
      <c r="B1954" s="15" t="n"/>
      <c r="C1954">
        <f>IF(B1954="","",IFERROR(INDEX(Items!$B$5:$B$304,MATCH(B1954,Items!$A$5:$A$304,0)),"Unknown code"))</f>
        <v/>
      </c>
      <c r="D1954" s="15" t="n"/>
      <c r="E1954" s="16" t="n"/>
      <c r="F1954" s="18">
        <f>IF(OR(D1954="",E1954=""),"",D1954*E1954)</f>
        <v/>
      </c>
      <c r="G1954" s="15" t="n"/>
    </row>
    <row r="1955">
      <c r="A1955" s="19" t="n"/>
      <c r="B1955" s="15" t="n"/>
      <c r="C1955">
        <f>IF(B1955="","",IFERROR(INDEX(Items!$B$5:$B$304,MATCH(B1955,Items!$A$5:$A$304,0)),"Unknown code"))</f>
        <v/>
      </c>
      <c r="D1955" s="15" t="n"/>
      <c r="E1955" s="16" t="n"/>
      <c r="F1955" s="18">
        <f>IF(OR(D1955="",E1955=""),"",D1955*E1955)</f>
        <v/>
      </c>
      <c r="G1955" s="15" t="n"/>
    </row>
    <row r="1956">
      <c r="A1956" s="19" t="n"/>
      <c r="B1956" s="15" t="n"/>
      <c r="C1956">
        <f>IF(B1956="","",IFERROR(INDEX(Items!$B$5:$B$304,MATCH(B1956,Items!$A$5:$A$304,0)),"Unknown code"))</f>
        <v/>
      </c>
      <c r="D1956" s="15" t="n"/>
      <c r="E1956" s="16" t="n"/>
      <c r="F1956" s="18">
        <f>IF(OR(D1956="",E1956=""),"",D1956*E1956)</f>
        <v/>
      </c>
      <c r="G1956" s="15" t="n"/>
    </row>
    <row r="1957">
      <c r="A1957" s="19" t="n"/>
      <c r="B1957" s="15" t="n"/>
      <c r="C1957">
        <f>IF(B1957="","",IFERROR(INDEX(Items!$B$5:$B$304,MATCH(B1957,Items!$A$5:$A$304,0)),"Unknown code"))</f>
        <v/>
      </c>
      <c r="D1957" s="15" t="n"/>
      <c r="E1957" s="16" t="n"/>
      <c r="F1957" s="18">
        <f>IF(OR(D1957="",E1957=""),"",D1957*E1957)</f>
        <v/>
      </c>
      <c r="G1957" s="15" t="n"/>
    </row>
    <row r="1958">
      <c r="A1958" s="19" t="n"/>
      <c r="B1958" s="15" t="n"/>
      <c r="C1958">
        <f>IF(B1958="","",IFERROR(INDEX(Items!$B$5:$B$304,MATCH(B1958,Items!$A$5:$A$304,0)),"Unknown code"))</f>
        <v/>
      </c>
      <c r="D1958" s="15" t="n"/>
      <c r="E1958" s="16" t="n"/>
      <c r="F1958" s="18">
        <f>IF(OR(D1958="",E1958=""),"",D1958*E1958)</f>
        <v/>
      </c>
      <c r="G1958" s="15" t="n"/>
    </row>
    <row r="1959">
      <c r="A1959" s="19" t="n"/>
      <c r="B1959" s="15" t="n"/>
      <c r="C1959">
        <f>IF(B1959="","",IFERROR(INDEX(Items!$B$5:$B$304,MATCH(B1959,Items!$A$5:$A$304,0)),"Unknown code"))</f>
        <v/>
      </c>
      <c r="D1959" s="15" t="n"/>
      <c r="E1959" s="16" t="n"/>
      <c r="F1959" s="18">
        <f>IF(OR(D1959="",E1959=""),"",D1959*E1959)</f>
        <v/>
      </c>
      <c r="G1959" s="15" t="n"/>
    </row>
    <row r="1960">
      <c r="A1960" s="19" t="n"/>
      <c r="B1960" s="15" t="n"/>
      <c r="C1960">
        <f>IF(B1960="","",IFERROR(INDEX(Items!$B$5:$B$304,MATCH(B1960,Items!$A$5:$A$304,0)),"Unknown code"))</f>
        <v/>
      </c>
      <c r="D1960" s="15" t="n"/>
      <c r="E1960" s="16" t="n"/>
      <c r="F1960" s="18">
        <f>IF(OR(D1960="",E1960=""),"",D1960*E1960)</f>
        <v/>
      </c>
      <c r="G1960" s="15" t="n"/>
    </row>
    <row r="1961">
      <c r="A1961" s="19" t="n"/>
      <c r="B1961" s="15" t="n"/>
      <c r="C1961">
        <f>IF(B1961="","",IFERROR(INDEX(Items!$B$5:$B$304,MATCH(B1961,Items!$A$5:$A$304,0)),"Unknown code"))</f>
        <v/>
      </c>
      <c r="D1961" s="15" t="n"/>
      <c r="E1961" s="16" t="n"/>
      <c r="F1961" s="18">
        <f>IF(OR(D1961="",E1961=""),"",D1961*E1961)</f>
        <v/>
      </c>
      <c r="G1961" s="15" t="n"/>
    </row>
    <row r="1962">
      <c r="A1962" s="19" t="n"/>
      <c r="B1962" s="15" t="n"/>
      <c r="C1962">
        <f>IF(B1962="","",IFERROR(INDEX(Items!$B$5:$B$304,MATCH(B1962,Items!$A$5:$A$304,0)),"Unknown code"))</f>
        <v/>
      </c>
      <c r="D1962" s="15" t="n"/>
      <c r="E1962" s="16" t="n"/>
      <c r="F1962" s="18">
        <f>IF(OR(D1962="",E1962=""),"",D1962*E1962)</f>
        <v/>
      </c>
      <c r="G1962" s="15" t="n"/>
    </row>
    <row r="1963">
      <c r="A1963" s="19" t="n"/>
      <c r="B1963" s="15" t="n"/>
      <c r="C1963">
        <f>IF(B1963="","",IFERROR(INDEX(Items!$B$5:$B$304,MATCH(B1963,Items!$A$5:$A$304,0)),"Unknown code"))</f>
        <v/>
      </c>
      <c r="D1963" s="15" t="n"/>
      <c r="E1963" s="16" t="n"/>
      <c r="F1963" s="18">
        <f>IF(OR(D1963="",E1963=""),"",D1963*E1963)</f>
        <v/>
      </c>
      <c r="G1963" s="15" t="n"/>
    </row>
    <row r="1964">
      <c r="A1964" s="19" t="n"/>
      <c r="B1964" s="15" t="n"/>
      <c r="C1964">
        <f>IF(B1964="","",IFERROR(INDEX(Items!$B$5:$B$304,MATCH(B1964,Items!$A$5:$A$304,0)),"Unknown code"))</f>
        <v/>
      </c>
      <c r="D1964" s="15" t="n"/>
      <c r="E1964" s="16" t="n"/>
      <c r="F1964" s="18">
        <f>IF(OR(D1964="",E1964=""),"",D1964*E1964)</f>
        <v/>
      </c>
      <c r="G1964" s="15" t="n"/>
    </row>
    <row r="1965">
      <c r="A1965" s="19" t="n"/>
      <c r="B1965" s="15" t="n"/>
      <c r="C1965">
        <f>IF(B1965="","",IFERROR(INDEX(Items!$B$5:$B$304,MATCH(B1965,Items!$A$5:$A$304,0)),"Unknown code"))</f>
        <v/>
      </c>
      <c r="D1965" s="15" t="n"/>
      <c r="E1965" s="16" t="n"/>
      <c r="F1965" s="18">
        <f>IF(OR(D1965="",E1965=""),"",D1965*E1965)</f>
        <v/>
      </c>
      <c r="G1965" s="15" t="n"/>
    </row>
    <row r="1966">
      <c r="A1966" s="19" t="n"/>
      <c r="B1966" s="15" t="n"/>
      <c r="C1966">
        <f>IF(B1966="","",IFERROR(INDEX(Items!$B$5:$B$304,MATCH(B1966,Items!$A$5:$A$304,0)),"Unknown code"))</f>
        <v/>
      </c>
      <c r="D1966" s="15" t="n"/>
      <c r="E1966" s="16" t="n"/>
      <c r="F1966" s="18">
        <f>IF(OR(D1966="",E1966=""),"",D1966*E1966)</f>
        <v/>
      </c>
      <c r="G1966" s="15" t="n"/>
    </row>
    <row r="1967">
      <c r="A1967" s="19" t="n"/>
      <c r="B1967" s="15" t="n"/>
      <c r="C1967">
        <f>IF(B1967="","",IFERROR(INDEX(Items!$B$5:$B$304,MATCH(B1967,Items!$A$5:$A$304,0)),"Unknown code"))</f>
        <v/>
      </c>
      <c r="D1967" s="15" t="n"/>
      <c r="E1967" s="16" t="n"/>
      <c r="F1967" s="18">
        <f>IF(OR(D1967="",E1967=""),"",D1967*E1967)</f>
        <v/>
      </c>
      <c r="G1967" s="15" t="n"/>
    </row>
    <row r="1968">
      <c r="A1968" s="19" t="n"/>
      <c r="B1968" s="15" t="n"/>
      <c r="C1968">
        <f>IF(B1968="","",IFERROR(INDEX(Items!$B$5:$B$304,MATCH(B1968,Items!$A$5:$A$304,0)),"Unknown code"))</f>
        <v/>
      </c>
      <c r="D1968" s="15" t="n"/>
      <c r="E1968" s="16" t="n"/>
      <c r="F1968" s="18">
        <f>IF(OR(D1968="",E1968=""),"",D1968*E1968)</f>
        <v/>
      </c>
      <c r="G1968" s="15" t="n"/>
    </row>
    <row r="1969">
      <c r="A1969" s="19" t="n"/>
      <c r="B1969" s="15" t="n"/>
      <c r="C1969">
        <f>IF(B1969="","",IFERROR(INDEX(Items!$B$5:$B$304,MATCH(B1969,Items!$A$5:$A$304,0)),"Unknown code"))</f>
        <v/>
      </c>
      <c r="D1969" s="15" t="n"/>
      <c r="E1969" s="16" t="n"/>
      <c r="F1969" s="18">
        <f>IF(OR(D1969="",E1969=""),"",D1969*E1969)</f>
        <v/>
      </c>
      <c r="G1969" s="15" t="n"/>
    </row>
    <row r="1970">
      <c r="A1970" s="19" t="n"/>
      <c r="B1970" s="15" t="n"/>
      <c r="C1970">
        <f>IF(B1970="","",IFERROR(INDEX(Items!$B$5:$B$304,MATCH(B1970,Items!$A$5:$A$304,0)),"Unknown code"))</f>
        <v/>
      </c>
      <c r="D1970" s="15" t="n"/>
      <c r="E1970" s="16" t="n"/>
      <c r="F1970" s="18">
        <f>IF(OR(D1970="",E1970=""),"",D1970*E1970)</f>
        <v/>
      </c>
      <c r="G1970" s="15" t="n"/>
    </row>
    <row r="1971">
      <c r="A1971" s="19" t="n"/>
      <c r="B1971" s="15" t="n"/>
      <c r="C1971">
        <f>IF(B1971="","",IFERROR(INDEX(Items!$B$5:$B$304,MATCH(B1971,Items!$A$5:$A$304,0)),"Unknown code"))</f>
        <v/>
      </c>
      <c r="D1971" s="15" t="n"/>
      <c r="E1971" s="16" t="n"/>
      <c r="F1971" s="18">
        <f>IF(OR(D1971="",E1971=""),"",D1971*E1971)</f>
        <v/>
      </c>
      <c r="G1971" s="15" t="n"/>
    </row>
    <row r="1972">
      <c r="A1972" s="19" t="n"/>
      <c r="B1972" s="15" t="n"/>
      <c r="C1972">
        <f>IF(B1972="","",IFERROR(INDEX(Items!$B$5:$B$304,MATCH(B1972,Items!$A$5:$A$304,0)),"Unknown code"))</f>
        <v/>
      </c>
      <c r="D1972" s="15" t="n"/>
      <c r="E1972" s="16" t="n"/>
      <c r="F1972" s="18">
        <f>IF(OR(D1972="",E1972=""),"",D1972*E1972)</f>
        <v/>
      </c>
      <c r="G1972" s="15" t="n"/>
    </row>
    <row r="1973">
      <c r="A1973" s="19" t="n"/>
      <c r="B1973" s="15" t="n"/>
      <c r="C1973">
        <f>IF(B1973="","",IFERROR(INDEX(Items!$B$5:$B$304,MATCH(B1973,Items!$A$5:$A$304,0)),"Unknown code"))</f>
        <v/>
      </c>
      <c r="D1973" s="15" t="n"/>
      <c r="E1973" s="16" t="n"/>
      <c r="F1973" s="18">
        <f>IF(OR(D1973="",E1973=""),"",D1973*E1973)</f>
        <v/>
      </c>
      <c r="G1973" s="15" t="n"/>
    </row>
    <row r="1974">
      <c r="A1974" s="19" t="n"/>
      <c r="B1974" s="15" t="n"/>
      <c r="C1974">
        <f>IF(B1974="","",IFERROR(INDEX(Items!$B$5:$B$304,MATCH(B1974,Items!$A$5:$A$304,0)),"Unknown code"))</f>
        <v/>
      </c>
      <c r="D1974" s="15" t="n"/>
      <c r="E1974" s="16" t="n"/>
      <c r="F1974" s="18">
        <f>IF(OR(D1974="",E1974=""),"",D1974*E1974)</f>
        <v/>
      </c>
      <c r="G1974" s="15" t="n"/>
    </row>
    <row r="1975">
      <c r="A1975" s="19" t="n"/>
      <c r="B1975" s="15" t="n"/>
      <c r="C1975">
        <f>IF(B1975="","",IFERROR(INDEX(Items!$B$5:$B$304,MATCH(B1975,Items!$A$5:$A$304,0)),"Unknown code"))</f>
        <v/>
      </c>
      <c r="D1975" s="15" t="n"/>
      <c r="E1975" s="16" t="n"/>
      <c r="F1975" s="18">
        <f>IF(OR(D1975="",E1975=""),"",D1975*E1975)</f>
        <v/>
      </c>
      <c r="G1975" s="15" t="n"/>
    </row>
    <row r="1976">
      <c r="A1976" s="19" t="n"/>
      <c r="B1976" s="15" t="n"/>
      <c r="C1976">
        <f>IF(B1976="","",IFERROR(INDEX(Items!$B$5:$B$304,MATCH(B1976,Items!$A$5:$A$304,0)),"Unknown code"))</f>
        <v/>
      </c>
      <c r="D1976" s="15" t="n"/>
      <c r="E1976" s="16" t="n"/>
      <c r="F1976" s="18">
        <f>IF(OR(D1976="",E1976=""),"",D1976*E1976)</f>
        <v/>
      </c>
      <c r="G1976" s="15" t="n"/>
    </row>
    <row r="1977">
      <c r="A1977" s="19" t="n"/>
      <c r="B1977" s="15" t="n"/>
      <c r="C1977">
        <f>IF(B1977="","",IFERROR(INDEX(Items!$B$5:$B$304,MATCH(B1977,Items!$A$5:$A$304,0)),"Unknown code"))</f>
        <v/>
      </c>
      <c r="D1977" s="15" t="n"/>
      <c r="E1977" s="16" t="n"/>
      <c r="F1977" s="18">
        <f>IF(OR(D1977="",E1977=""),"",D1977*E1977)</f>
        <v/>
      </c>
      <c r="G1977" s="15" t="n"/>
    </row>
    <row r="1978">
      <c r="A1978" s="19" t="n"/>
      <c r="B1978" s="15" t="n"/>
      <c r="C1978">
        <f>IF(B1978="","",IFERROR(INDEX(Items!$B$5:$B$304,MATCH(B1978,Items!$A$5:$A$304,0)),"Unknown code"))</f>
        <v/>
      </c>
      <c r="D1978" s="15" t="n"/>
      <c r="E1978" s="16" t="n"/>
      <c r="F1978" s="18">
        <f>IF(OR(D1978="",E1978=""),"",D1978*E1978)</f>
        <v/>
      </c>
      <c r="G1978" s="15" t="n"/>
    </row>
    <row r="1979">
      <c r="A1979" s="19" t="n"/>
      <c r="B1979" s="15" t="n"/>
      <c r="C1979">
        <f>IF(B1979="","",IFERROR(INDEX(Items!$B$5:$B$304,MATCH(B1979,Items!$A$5:$A$304,0)),"Unknown code"))</f>
        <v/>
      </c>
      <c r="D1979" s="15" t="n"/>
      <c r="E1979" s="16" t="n"/>
      <c r="F1979" s="18">
        <f>IF(OR(D1979="",E1979=""),"",D1979*E1979)</f>
        <v/>
      </c>
      <c r="G1979" s="15" t="n"/>
    </row>
    <row r="1980">
      <c r="A1980" s="19" t="n"/>
      <c r="B1980" s="15" t="n"/>
      <c r="C1980">
        <f>IF(B1980="","",IFERROR(INDEX(Items!$B$5:$B$304,MATCH(B1980,Items!$A$5:$A$304,0)),"Unknown code"))</f>
        <v/>
      </c>
      <c r="D1980" s="15" t="n"/>
      <c r="E1980" s="16" t="n"/>
      <c r="F1980" s="18">
        <f>IF(OR(D1980="",E1980=""),"",D1980*E1980)</f>
        <v/>
      </c>
      <c r="G1980" s="15" t="n"/>
    </row>
    <row r="1981">
      <c r="A1981" s="19" t="n"/>
      <c r="B1981" s="15" t="n"/>
      <c r="C1981">
        <f>IF(B1981="","",IFERROR(INDEX(Items!$B$5:$B$304,MATCH(B1981,Items!$A$5:$A$304,0)),"Unknown code"))</f>
        <v/>
      </c>
      <c r="D1981" s="15" t="n"/>
      <c r="E1981" s="16" t="n"/>
      <c r="F1981" s="18">
        <f>IF(OR(D1981="",E1981=""),"",D1981*E1981)</f>
        <v/>
      </c>
      <c r="G1981" s="15" t="n"/>
    </row>
    <row r="1982">
      <c r="A1982" s="19" t="n"/>
      <c r="B1982" s="15" t="n"/>
      <c r="C1982">
        <f>IF(B1982="","",IFERROR(INDEX(Items!$B$5:$B$304,MATCH(B1982,Items!$A$5:$A$304,0)),"Unknown code"))</f>
        <v/>
      </c>
      <c r="D1982" s="15" t="n"/>
      <c r="E1982" s="16" t="n"/>
      <c r="F1982" s="18">
        <f>IF(OR(D1982="",E1982=""),"",D1982*E1982)</f>
        <v/>
      </c>
      <c r="G1982" s="15" t="n"/>
    </row>
    <row r="1983">
      <c r="A1983" s="19" t="n"/>
      <c r="B1983" s="15" t="n"/>
      <c r="C1983">
        <f>IF(B1983="","",IFERROR(INDEX(Items!$B$5:$B$304,MATCH(B1983,Items!$A$5:$A$304,0)),"Unknown code"))</f>
        <v/>
      </c>
      <c r="D1983" s="15" t="n"/>
      <c r="E1983" s="16" t="n"/>
      <c r="F1983" s="18">
        <f>IF(OR(D1983="",E1983=""),"",D1983*E1983)</f>
        <v/>
      </c>
      <c r="G1983" s="15" t="n"/>
    </row>
    <row r="1984">
      <c r="A1984" s="19" t="n"/>
      <c r="B1984" s="15" t="n"/>
      <c r="C1984">
        <f>IF(B1984="","",IFERROR(INDEX(Items!$B$5:$B$304,MATCH(B1984,Items!$A$5:$A$304,0)),"Unknown code"))</f>
        <v/>
      </c>
      <c r="D1984" s="15" t="n"/>
      <c r="E1984" s="16" t="n"/>
      <c r="F1984" s="18">
        <f>IF(OR(D1984="",E1984=""),"",D1984*E1984)</f>
        <v/>
      </c>
      <c r="G1984" s="15" t="n"/>
    </row>
    <row r="1985">
      <c r="A1985" s="19" t="n"/>
      <c r="B1985" s="15" t="n"/>
      <c r="C1985">
        <f>IF(B1985="","",IFERROR(INDEX(Items!$B$5:$B$304,MATCH(B1985,Items!$A$5:$A$304,0)),"Unknown code"))</f>
        <v/>
      </c>
      <c r="D1985" s="15" t="n"/>
      <c r="E1985" s="16" t="n"/>
      <c r="F1985" s="18">
        <f>IF(OR(D1985="",E1985=""),"",D1985*E1985)</f>
        <v/>
      </c>
      <c r="G1985" s="15" t="n"/>
    </row>
    <row r="1986">
      <c r="A1986" s="19" t="n"/>
      <c r="B1986" s="15" t="n"/>
      <c r="C1986">
        <f>IF(B1986="","",IFERROR(INDEX(Items!$B$5:$B$304,MATCH(B1986,Items!$A$5:$A$304,0)),"Unknown code"))</f>
        <v/>
      </c>
      <c r="D1986" s="15" t="n"/>
      <c r="E1986" s="16" t="n"/>
      <c r="F1986" s="18">
        <f>IF(OR(D1986="",E1986=""),"",D1986*E1986)</f>
        <v/>
      </c>
      <c r="G1986" s="15" t="n"/>
    </row>
    <row r="1987">
      <c r="A1987" s="19" t="n"/>
      <c r="B1987" s="15" t="n"/>
      <c r="C1987">
        <f>IF(B1987="","",IFERROR(INDEX(Items!$B$5:$B$304,MATCH(B1987,Items!$A$5:$A$304,0)),"Unknown code"))</f>
        <v/>
      </c>
      <c r="D1987" s="15" t="n"/>
      <c r="E1987" s="16" t="n"/>
      <c r="F1987" s="18">
        <f>IF(OR(D1987="",E1987=""),"",D1987*E1987)</f>
        <v/>
      </c>
      <c r="G1987" s="15" t="n"/>
    </row>
    <row r="1988">
      <c r="A1988" s="19" t="n"/>
      <c r="B1988" s="15" t="n"/>
      <c r="C1988">
        <f>IF(B1988="","",IFERROR(INDEX(Items!$B$5:$B$304,MATCH(B1988,Items!$A$5:$A$304,0)),"Unknown code"))</f>
        <v/>
      </c>
      <c r="D1988" s="15" t="n"/>
      <c r="E1988" s="16" t="n"/>
      <c r="F1988" s="18">
        <f>IF(OR(D1988="",E1988=""),"",D1988*E1988)</f>
        <v/>
      </c>
      <c r="G1988" s="15" t="n"/>
    </row>
    <row r="1989">
      <c r="A1989" s="19" t="n"/>
      <c r="B1989" s="15" t="n"/>
      <c r="C1989">
        <f>IF(B1989="","",IFERROR(INDEX(Items!$B$5:$B$304,MATCH(B1989,Items!$A$5:$A$304,0)),"Unknown code"))</f>
        <v/>
      </c>
      <c r="D1989" s="15" t="n"/>
      <c r="E1989" s="16" t="n"/>
      <c r="F1989" s="18">
        <f>IF(OR(D1989="",E1989=""),"",D1989*E1989)</f>
        <v/>
      </c>
      <c r="G1989" s="15" t="n"/>
    </row>
    <row r="1990">
      <c r="A1990" s="19" t="n"/>
      <c r="B1990" s="15" t="n"/>
      <c r="C1990">
        <f>IF(B1990="","",IFERROR(INDEX(Items!$B$5:$B$304,MATCH(B1990,Items!$A$5:$A$304,0)),"Unknown code"))</f>
        <v/>
      </c>
      <c r="D1990" s="15" t="n"/>
      <c r="E1990" s="16" t="n"/>
      <c r="F1990" s="18">
        <f>IF(OR(D1990="",E1990=""),"",D1990*E1990)</f>
        <v/>
      </c>
      <c r="G1990" s="15" t="n"/>
    </row>
    <row r="1991">
      <c r="A1991" s="19" t="n"/>
      <c r="B1991" s="15" t="n"/>
      <c r="C1991">
        <f>IF(B1991="","",IFERROR(INDEX(Items!$B$5:$B$304,MATCH(B1991,Items!$A$5:$A$304,0)),"Unknown code"))</f>
        <v/>
      </c>
      <c r="D1991" s="15" t="n"/>
      <c r="E1991" s="16" t="n"/>
      <c r="F1991" s="18">
        <f>IF(OR(D1991="",E1991=""),"",D1991*E1991)</f>
        <v/>
      </c>
      <c r="G1991" s="15" t="n"/>
    </row>
    <row r="1992">
      <c r="A1992" s="19" t="n"/>
      <c r="B1992" s="15" t="n"/>
      <c r="C1992">
        <f>IF(B1992="","",IFERROR(INDEX(Items!$B$5:$B$304,MATCH(B1992,Items!$A$5:$A$304,0)),"Unknown code"))</f>
        <v/>
      </c>
      <c r="D1992" s="15" t="n"/>
      <c r="E1992" s="16" t="n"/>
      <c r="F1992" s="18">
        <f>IF(OR(D1992="",E1992=""),"",D1992*E1992)</f>
        <v/>
      </c>
      <c r="G1992" s="15" t="n"/>
    </row>
    <row r="1993">
      <c r="A1993" s="19" t="n"/>
      <c r="B1993" s="15" t="n"/>
      <c r="C1993">
        <f>IF(B1993="","",IFERROR(INDEX(Items!$B$5:$B$304,MATCH(B1993,Items!$A$5:$A$304,0)),"Unknown code"))</f>
        <v/>
      </c>
      <c r="D1993" s="15" t="n"/>
      <c r="E1993" s="16" t="n"/>
      <c r="F1993" s="18">
        <f>IF(OR(D1993="",E1993=""),"",D1993*E1993)</f>
        <v/>
      </c>
      <c r="G1993" s="15" t="n"/>
    </row>
    <row r="1994">
      <c r="A1994" s="19" t="n"/>
      <c r="B1994" s="15" t="n"/>
      <c r="C1994">
        <f>IF(B1994="","",IFERROR(INDEX(Items!$B$5:$B$304,MATCH(B1994,Items!$A$5:$A$304,0)),"Unknown code"))</f>
        <v/>
      </c>
      <c r="D1994" s="15" t="n"/>
      <c r="E1994" s="16" t="n"/>
      <c r="F1994" s="18">
        <f>IF(OR(D1994="",E1994=""),"",D1994*E1994)</f>
        <v/>
      </c>
      <c r="G1994" s="15" t="n"/>
    </row>
    <row r="1995">
      <c r="A1995" s="19" t="n"/>
      <c r="B1995" s="15" t="n"/>
      <c r="C1995">
        <f>IF(B1995="","",IFERROR(INDEX(Items!$B$5:$B$304,MATCH(B1995,Items!$A$5:$A$304,0)),"Unknown code"))</f>
        <v/>
      </c>
      <c r="D1995" s="15" t="n"/>
      <c r="E1995" s="16" t="n"/>
      <c r="F1995" s="18">
        <f>IF(OR(D1995="",E1995=""),"",D1995*E1995)</f>
        <v/>
      </c>
      <c r="G1995" s="15" t="n"/>
    </row>
    <row r="1996">
      <c r="A1996" s="19" t="n"/>
      <c r="B1996" s="15" t="n"/>
      <c r="C1996">
        <f>IF(B1996="","",IFERROR(INDEX(Items!$B$5:$B$304,MATCH(B1996,Items!$A$5:$A$304,0)),"Unknown code"))</f>
        <v/>
      </c>
      <c r="D1996" s="15" t="n"/>
      <c r="E1996" s="16" t="n"/>
      <c r="F1996" s="18">
        <f>IF(OR(D1996="",E1996=""),"",D1996*E1996)</f>
        <v/>
      </c>
      <c r="G1996" s="15" t="n"/>
    </row>
    <row r="1997">
      <c r="A1997" s="19" t="n"/>
      <c r="B1997" s="15" t="n"/>
      <c r="C1997">
        <f>IF(B1997="","",IFERROR(INDEX(Items!$B$5:$B$304,MATCH(B1997,Items!$A$5:$A$304,0)),"Unknown code"))</f>
        <v/>
      </c>
      <c r="D1997" s="15" t="n"/>
      <c r="E1997" s="16" t="n"/>
      <c r="F1997" s="18">
        <f>IF(OR(D1997="",E1997=""),"",D1997*E1997)</f>
        <v/>
      </c>
      <c r="G1997" s="15" t="n"/>
    </row>
    <row r="1998">
      <c r="A1998" s="19" t="n"/>
      <c r="B1998" s="15" t="n"/>
      <c r="C1998">
        <f>IF(B1998="","",IFERROR(INDEX(Items!$B$5:$B$304,MATCH(B1998,Items!$A$5:$A$304,0)),"Unknown code"))</f>
        <v/>
      </c>
      <c r="D1998" s="15" t="n"/>
      <c r="E1998" s="16" t="n"/>
      <c r="F1998" s="18">
        <f>IF(OR(D1998="",E1998=""),"",D1998*E1998)</f>
        <v/>
      </c>
      <c r="G1998" s="15" t="n"/>
    </row>
    <row r="1999">
      <c r="A1999" s="19" t="n"/>
      <c r="B1999" s="15" t="n"/>
      <c r="C1999">
        <f>IF(B1999="","",IFERROR(INDEX(Items!$B$5:$B$304,MATCH(B1999,Items!$A$5:$A$304,0)),"Unknown code"))</f>
        <v/>
      </c>
      <c r="D1999" s="15" t="n"/>
      <c r="E1999" s="16" t="n"/>
      <c r="F1999" s="18">
        <f>IF(OR(D1999="",E1999=""),"",D1999*E1999)</f>
        <v/>
      </c>
      <c r="G1999" s="15" t="n"/>
    </row>
    <row r="2000">
      <c r="A2000" s="19" t="n"/>
      <c r="B2000" s="15" t="n"/>
      <c r="C2000">
        <f>IF(B2000="","",IFERROR(INDEX(Items!$B$5:$B$304,MATCH(B2000,Items!$A$5:$A$304,0)),"Unknown code"))</f>
        <v/>
      </c>
      <c r="D2000" s="15" t="n"/>
      <c r="E2000" s="16" t="n"/>
      <c r="F2000" s="18">
        <f>IF(OR(D2000="",E2000=""),"",D2000*E2000)</f>
        <v/>
      </c>
      <c r="G2000" s="15" t="n"/>
    </row>
    <row r="2001">
      <c r="A2001" s="19" t="n"/>
      <c r="B2001" s="15" t="n"/>
      <c r="C2001">
        <f>IF(B2001="","",IFERROR(INDEX(Items!$B$5:$B$304,MATCH(B2001,Items!$A$5:$A$304,0)),"Unknown code"))</f>
        <v/>
      </c>
      <c r="D2001" s="15" t="n"/>
      <c r="E2001" s="16" t="n"/>
      <c r="F2001" s="18">
        <f>IF(OR(D2001="",E2001=""),"",D2001*E2001)</f>
        <v/>
      </c>
      <c r="G2001" s="15" t="n"/>
    </row>
    <row r="2002">
      <c r="A2002" s="19" t="n"/>
      <c r="B2002" s="15" t="n"/>
      <c r="C2002">
        <f>IF(B2002="","",IFERROR(INDEX(Items!$B$5:$B$304,MATCH(B2002,Items!$A$5:$A$304,0)),"Unknown code"))</f>
        <v/>
      </c>
      <c r="D2002" s="15" t="n"/>
      <c r="E2002" s="16" t="n"/>
      <c r="F2002" s="18">
        <f>IF(OR(D2002="",E2002=""),"",D2002*E2002)</f>
        <v/>
      </c>
      <c r="G2002" s="15" t="n"/>
    </row>
    <row r="2003">
      <c r="A2003" s="19" t="n"/>
      <c r="B2003" s="15" t="n"/>
      <c r="C2003">
        <f>IF(B2003="","",IFERROR(INDEX(Items!$B$5:$B$304,MATCH(B2003,Items!$A$5:$A$304,0)),"Unknown code"))</f>
        <v/>
      </c>
      <c r="D2003" s="15" t="n"/>
      <c r="E2003" s="16" t="n"/>
      <c r="F2003" s="18">
        <f>IF(OR(D2003="",E2003=""),"",D2003*E2003)</f>
        <v/>
      </c>
      <c r="G2003" s="15" t="n"/>
    </row>
    <row r="2004">
      <c r="A2004" s="19" t="n"/>
      <c r="B2004" s="15" t="n"/>
      <c r="C2004">
        <f>IF(B2004="","",IFERROR(INDEX(Items!$B$5:$B$304,MATCH(B2004,Items!$A$5:$A$304,0)),"Unknown code"))</f>
        <v/>
      </c>
      <c r="D2004" s="15" t="n"/>
      <c r="E2004" s="16" t="n"/>
      <c r="F2004" s="18">
        <f>IF(OR(D2004="",E2004=""),"",D2004*E2004)</f>
        <v/>
      </c>
      <c r="G2004" s="15" t="n"/>
    </row>
    <row r="2005">
      <c r="A2005" s="19" t="n"/>
      <c r="B2005" s="15" t="n"/>
      <c r="C2005">
        <f>IF(B2005="","",IFERROR(INDEX(Items!$B$5:$B$304,MATCH(B2005,Items!$A$5:$A$304,0)),"Unknown code"))</f>
        <v/>
      </c>
      <c r="D2005" s="15" t="n"/>
      <c r="E2005" s="16" t="n"/>
      <c r="F2005" s="18">
        <f>IF(OR(D2005="",E2005=""),"",D2005*E2005)</f>
        <v/>
      </c>
      <c r="G2005" s="15" t="n"/>
    </row>
    <row r="2006">
      <c r="A2006" s="19" t="n"/>
      <c r="B2006" s="15" t="n"/>
      <c r="C2006">
        <f>IF(B2006="","",IFERROR(INDEX(Items!$B$5:$B$304,MATCH(B2006,Items!$A$5:$A$304,0)),"Unknown code"))</f>
        <v/>
      </c>
      <c r="D2006" s="15" t="n"/>
      <c r="E2006" s="16" t="n"/>
      <c r="F2006" s="18">
        <f>IF(OR(D2006="",E2006=""),"",D2006*E2006)</f>
        <v/>
      </c>
      <c r="G2006" s="15" t="n"/>
    </row>
    <row r="2007">
      <c r="A2007" s="19" t="n"/>
      <c r="B2007" s="15" t="n"/>
      <c r="C2007">
        <f>IF(B2007="","",IFERROR(INDEX(Items!$B$5:$B$304,MATCH(B2007,Items!$A$5:$A$304,0)),"Unknown code"))</f>
        <v/>
      </c>
      <c r="D2007" s="15" t="n"/>
      <c r="E2007" s="16" t="n"/>
      <c r="F2007" s="18">
        <f>IF(OR(D2007="",E2007=""),"",D2007*E2007)</f>
        <v/>
      </c>
      <c r="G2007" s="15" t="n"/>
    </row>
    <row r="2008">
      <c r="A2008" s="19" t="n"/>
      <c r="B2008" s="15" t="n"/>
      <c r="C2008">
        <f>IF(B2008="","",IFERROR(INDEX(Items!$B$5:$B$304,MATCH(B2008,Items!$A$5:$A$304,0)),"Unknown code"))</f>
        <v/>
      </c>
      <c r="D2008" s="15" t="n"/>
      <c r="E2008" s="16" t="n"/>
      <c r="F2008" s="18">
        <f>IF(OR(D2008="",E2008=""),"",D2008*E2008)</f>
        <v/>
      </c>
      <c r="G2008" s="15" t="n"/>
    </row>
    <row r="2009">
      <c r="A2009" s="19" t="n"/>
      <c r="B2009" s="15" t="n"/>
      <c r="C2009">
        <f>IF(B2009="","",IFERROR(INDEX(Items!$B$5:$B$304,MATCH(B2009,Items!$A$5:$A$304,0)),"Unknown code"))</f>
        <v/>
      </c>
      <c r="D2009" s="15" t="n"/>
      <c r="E2009" s="16" t="n"/>
      <c r="F2009" s="18">
        <f>IF(OR(D2009="",E2009=""),"",D2009*E2009)</f>
        <v/>
      </c>
      <c r="G2009" s="15" t="n"/>
    </row>
    <row r="2010">
      <c r="A2010" s="19" t="n"/>
      <c r="B2010" s="15" t="n"/>
      <c r="C2010">
        <f>IF(B2010="","",IFERROR(INDEX(Items!$B$5:$B$304,MATCH(B2010,Items!$A$5:$A$304,0)),"Unknown code"))</f>
        <v/>
      </c>
      <c r="D2010" s="15" t="n"/>
      <c r="E2010" s="16" t="n"/>
      <c r="F2010" s="18">
        <f>IF(OR(D2010="",E2010=""),"",D2010*E2010)</f>
        <v/>
      </c>
      <c r="G2010" s="15" t="n"/>
    </row>
    <row r="2011">
      <c r="A2011" s="19" t="n"/>
      <c r="B2011" s="15" t="n"/>
      <c r="C2011">
        <f>IF(B2011="","",IFERROR(INDEX(Items!$B$5:$B$304,MATCH(B2011,Items!$A$5:$A$304,0)),"Unknown code"))</f>
        <v/>
      </c>
      <c r="D2011" s="15" t="n"/>
      <c r="E2011" s="16" t="n"/>
      <c r="F2011" s="18">
        <f>IF(OR(D2011="",E2011=""),"",D2011*E2011)</f>
        <v/>
      </c>
      <c r="G2011" s="15" t="n"/>
    </row>
    <row r="2012">
      <c r="A2012" s="19" t="n"/>
      <c r="B2012" s="15" t="n"/>
      <c r="C2012">
        <f>IF(B2012="","",IFERROR(INDEX(Items!$B$5:$B$304,MATCH(B2012,Items!$A$5:$A$304,0)),"Unknown code"))</f>
        <v/>
      </c>
      <c r="D2012" s="15" t="n"/>
      <c r="E2012" s="16" t="n"/>
      <c r="F2012" s="18">
        <f>IF(OR(D2012="",E2012=""),"",D2012*E2012)</f>
        <v/>
      </c>
      <c r="G2012" s="15" t="n"/>
    </row>
    <row r="2013">
      <c r="A2013" s="19" t="n"/>
      <c r="B2013" s="15" t="n"/>
      <c r="C2013">
        <f>IF(B2013="","",IFERROR(INDEX(Items!$B$5:$B$304,MATCH(B2013,Items!$A$5:$A$304,0)),"Unknown code"))</f>
        <v/>
      </c>
      <c r="D2013" s="15" t="n"/>
      <c r="E2013" s="16" t="n"/>
      <c r="F2013" s="18">
        <f>IF(OR(D2013="",E2013=""),"",D2013*E2013)</f>
        <v/>
      </c>
      <c r="G2013" s="15" t="n"/>
    </row>
    <row r="2014">
      <c r="A2014" s="19" t="n"/>
      <c r="B2014" s="15" t="n"/>
      <c r="C2014">
        <f>IF(B2014="","",IFERROR(INDEX(Items!$B$5:$B$304,MATCH(B2014,Items!$A$5:$A$304,0)),"Unknown code"))</f>
        <v/>
      </c>
      <c r="D2014" s="15" t="n"/>
      <c r="E2014" s="16" t="n"/>
      <c r="F2014" s="18">
        <f>IF(OR(D2014="",E2014=""),"",D2014*E2014)</f>
        <v/>
      </c>
      <c r="G2014" s="15" t="n"/>
    </row>
    <row r="2015">
      <c r="A2015" s="19" t="n"/>
      <c r="B2015" s="15" t="n"/>
      <c r="C2015">
        <f>IF(B2015="","",IFERROR(INDEX(Items!$B$5:$B$304,MATCH(B2015,Items!$A$5:$A$304,0)),"Unknown code"))</f>
        <v/>
      </c>
      <c r="D2015" s="15" t="n"/>
      <c r="E2015" s="16" t="n"/>
      <c r="F2015" s="18">
        <f>IF(OR(D2015="",E2015=""),"",D2015*E2015)</f>
        <v/>
      </c>
      <c r="G2015" s="15" t="n"/>
    </row>
    <row r="2016">
      <c r="A2016" s="19" t="n"/>
      <c r="B2016" s="15" t="n"/>
      <c r="C2016">
        <f>IF(B2016="","",IFERROR(INDEX(Items!$B$5:$B$304,MATCH(B2016,Items!$A$5:$A$304,0)),"Unknown code"))</f>
        <v/>
      </c>
      <c r="D2016" s="15" t="n"/>
      <c r="E2016" s="16" t="n"/>
      <c r="F2016" s="18">
        <f>IF(OR(D2016="",E2016=""),"",D2016*E2016)</f>
        <v/>
      </c>
      <c r="G2016" s="15" t="n"/>
    </row>
    <row r="2017">
      <c r="A2017" s="19" t="n"/>
      <c r="B2017" s="15" t="n"/>
      <c r="C2017">
        <f>IF(B2017="","",IFERROR(INDEX(Items!$B$5:$B$304,MATCH(B2017,Items!$A$5:$A$304,0)),"Unknown code"))</f>
        <v/>
      </c>
      <c r="D2017" s="15" t="n"/>
      <c r="E2017" s="16" t="n"/>
      <c r="F2017" s="18">
        <f>IF(OR(D2017="",E2017=""),"",D2017*E2017)</f>
        <v/>
      </c>
      <c r="G2017" s="15" t="n"/>
    </row>
    <row r="2018">
      <c r="A2018" s="19" t="n"/>
      <c r="B2018" s="15" t="n"/>
      <c r="C2018">
        <f>IF(B2018="","",IFERROR(INDEX(Items!$B$5:$B$304,MATCH(B2018,Items!$A$5:$A$304,0)),"Unknown code"))</f>
        <v/>
      </c>
      <c r="D2018" s="15" t="n"/>
      <c r="E2018" s="16" t="n"/>
      <c r="F2018" s="18">
        <f>IF(OR(D2018="",E2018=""),"",D2018*E2018)</f>
        <v/>
      </c>
      <c r="G2018" s="15" t="n"/>
    </row>
    <row r="2019">
      <c r="A2019" s="19" t="n"/>
      <c r="B2019" s="15" t="n"/>
      <c r="C2019">
        <f>IF(B2019="","",IFERROR(INDEX(Items!$B$5:$B$304,MATCH(B2019,Items!$A$5:$A$304,0)),"Unknown code"))</f>
        <v/>
      </c>
      <c r="D2019" s="15" t="n"/>
      <c r="E2019" s="16" t="n"/>
      <c r="F2019" s="18">
        <f>IF(OR(D2019="",E2019=""),"",D2019*E2019)</f>
        <v/>
      </c>
      <c r="G2019" s="15" t="n"/>
    </row>
    <row r="2020">
      <c r="A2020" s="19" t="n"/>
      <c r="B2020" s="15" t="n"/>
      <c r="C2020">
        <f>IF(B2020="","",IFERROR(INDEX(Items!$B$5:$B$304,MATCH(B2020,Items!$A$5:$A$304,0)),"Unknown code"))</f>
        <v/>
      </c>
      <c r="D2020" s="15" t="n"/>
      <c r="E2020" s="16" t="n"/>
      <c r="F2020" s="18">
        <f>IF(OR(D2020="",E2020=""),"",D2020*E2020)</f>
        <v/>
      </c>
      <c r="G2020" s="15" t="n"/>
    </row>
    <row r="2021">
      <c r="A2021" s="19" t="n"/>
      <c r="B2021" s="15" t="n"/>
      <c r="C2021">
        <f>IF(B2021="","",IFERROR(INDEX(Items!$B$5:$B$304,MATCH(B2021,Items!$A$5:$A$304,0)),"Unknown code"))</f>
        <v/>
      </c>
      <c r="D2021" s="15" t="n"/>
      <c r="E2021" s="16" t="n"/>
      <c r="F2021" s="18">
        <f>IF(OR(D2021="",E2021=""),"",D2021*E2021)</f>
        <v/>
      </c>
      <c r="G2021" s="15" t="n"/>
    </row>
    <row r="2022">
      <c r="A2022" s="19" t="n"/>
      <c r="B2022" s="15" t="n"/>
      <c r="C2022">
        <f>IF(B2022="","",IFERROR(INDEX(Items!$B$5:$B$304,MATCH(B2022,Items!$A$5:$A$304,0)),"Unknown code"))</f>
        <v/>
      </c>
      <c r="D2022" s="15" t="n"/>
      <c r="E2022" s="16" t="n"/>
      <c r="F2022" s="18">
        <f>IF(OR(D2022="",E2022=""),"",D2022*E2022)</f>
        <v/>
      </c>
      <c r="G2022" s="15" t="n"/>
    </row>
    <row r="2023">
      <c r="A2023" s="19" t="n"/>
      <c r="B2023" s="15" t="n"/>
      <c r="C2023">
        <f>IF(B2023="","",IFERROR(INDEX(Items!$B$5:$B$304,MATCH(B2023,Items!$A$5:$A$304,0)),"Unknown code"))</f>
        <v/>
      </c>
      <c r="D2023" s="15" t="n"/>
      <c r="E2023" s="16" t="n"/>
      <c r="F2023" s="18">
        <f>IF(OR(D2023="",E2023=""),"",D2023*E2023)</f>
        <v/>
      </c>
      <c r="G2023" s="15" t="n"/>
    </row>
    <row r="2024">
      <c r="A2024" s="19" t="n"/>
      <c r="B2024" s="15" t="n"/>
      <c r="C2024">
        <f>IF(B2024="","",IFERROR(INDEX(Items!$B$5:$B$304,MATCH(B2024,Items!$A$5:$A$304,0)),"Unknown code"))</f>
        <v/>
      </c>
      <c r="D2024" s="15" t="n"/>
      <c r="E2024" s="16" t="n"/>
      <c r="F2024" s="18">
        <f>IF(OR(D2024="",E2024=""),"",D2024*E2024)</f>
        <v/>
      </c>
      <c r="G2024" s="15" t="n"/>
    </row>
    <row r="2025">
      <c r="A2025" s="19" t="n"/>
      <c r="B2025" s="15" t="n"/>
      <c r="C2025">
        <f>IF(B2025="","",IFERROR(INDEX(Items!$B$5:$B$304,MATCH(B2025,Items!$A$5:$A$304,0)),"Unknown code"))</f>
        <v/>
      </c>
      <c r="D2025" s="15" t="n"/>
      <c r="E2025" s="16" t="n"/>
      <c r="F2025" s="18">
        <f>IF(OR(D2025="",E2025=""),"",D2025*E2025)</f>
        <v/>
      </c>
      <c r="G2025" s="15" t="n"/>
    </row>
    <row r="2026">
      <c r="A2026" s="19" t="n"/>
      <c r="B2026" s="15" t="n"/>
      <c r="C2026">
        <f>IF(B2026="","",IFERROR(INDEX(Items!$B$5:$B$304,MATCH(B2026,Items!$A$5:$A$304,0)),"Unknown code"))</f>
        <v/>
      </c>
      <c r="D2026" s="15" t="n"/>
      <c r="E2026" s="16" t="n"/>
      <c r="F2026" s="18">
        <f>IF(OR(D2026="",E2026=""),"",D2026*E2026)</f>
        <v/>
      </c>
      <c r="G2026" s="15" t="n"/>
    </row>
    <row r="2027">
      <c r="A2027" s="19" t="n"/>
      <c r="B2027" s="15" t="n"/>
      <c r="C2027">
        <f>IF(B2027="","",IFERROR(INDEX(Items!$B$5:$B$304,MATCH(B2027,Items!$A$5:$A$304,0)),"Unknown code"))</f>
        <v/>
      </c>
      <c r="D2027" s="15" t="n"/>
      <c r="E2027" s="16" t="n"/>
      <c r="F2027" s="18">
        <f>IF(OR(D2027="",E2027=""),"",D2027*E2027)</f>
        <v/>
      </c>
      <c r="G2027" s="15" t="n"/>
    </row>
    <row r="2028">
      <c r="A2028" s="19" t="n"/>
      <c r="B2028" s="15" t="n"/>
      <c r="C2028">
        <f>IF(B2028="","",IFERROR(INDEX(Items!$B$5:$B$304,MATCH(B2028,Items!$A$5:$A$304,0)),"Unknown code"))</f>
        <v/>
      </c>
      <c r="D2028" s="15" t="n"/>
      <c r="E2028" s="16" t="n"/>
      <c r="F2028" s="18">
        <f>IF(OR(D2028="",E2028=""),"",D2028*E2028)</f>
        <v/>
      </c>
      <c r="G2028" s="15" t="n"/>
    </row>
    <row r="2029">
      <c r="A2029" s="19" t="n"/>
      <c r="B2029" s="15" t="n"/>
      <c r="C2029">
        <f>IF(B2029="","",IFERROR(INDEX(Items!$B$5:$B$304,MATCH(B2029,Items!$A$5:$A$304,0)),"Unknown code"))</f>
        <v/>
      </c>
      <c r="D2029" s="15" t="n"/>
      <c r="E2029" s="16" t="n"/>
      <c r="F2029" s="18">
        <f>IF(OR(D2029="",E2029=""),"",D2029*E2029)</f>
        <v/>
      </c>
      <c r="G2029" s="15" t="n"/>
    </row>
    <row r="2030">
      <c r="A2030" s="19" t="n"/>
      <c r="B2030" s="15" t="n"/>
      <c r="C2030">
        <f>IF(B2030="","",IFERROR(INDEX(Items!$B$5:$B$304,MATCH(B2030,Items!$A$5:$A$304,0)),"Unknown code"))</f>
        <v/>
      </c>
      <c r="D2030" s="15" t="n"/>
      <c r="E2030" s="16" t="n"/>
      <c r="F2030" s="18">
        <f>IF(OR(D2030="",E2030=""),"",D2030*E2030)</f>
        <v/>
      </c>
      <c r="G2030" s="15" t="n"/>
    </row>
    <row r="2031">
      <c r="A2031" s="19" t="n"/>
      <c r="B2031" s="15" t="n"/>
      <c r="C2031">
        <f>IF(B2031="","",IFERROR(INDEX(Items!$B$5:$B$304,MATCH(B2031,Items!$A$5:$A$304,0)),"Unknown code"))</f>
        <v/>
      </c>
      <c r="D2031" s="15" t="n"/>
      <c r="E2031" s="16" t="n"/>
      <c r="F2031" s="18">
        <f>IF(OR(D2031="",E2031=""),"",D2031*E2031)</f>
        <v/>
      </c>
      <c r="G2031" s="15" t="n"/>
    </row>
    <row r="2032">
      <c r="A2032" s="19" t="n"/>
      <c r="B2032" s="15" t="n"/>
      <c r="C2032">
        <f>IF(B2032="","",IFERROR(INDEX(Items!$B$5:$B$304,MATCH(B2032,Items!$A$5:$A$304,0)),"Unknown code"))</f>
        <v/>
      </c>
      <c r="D2032" s="15" t="n"/>
      <c r="E2032" s="16" t="n"/>
      <c r="F2032" s="18">
        <f>IF(OR(D2032="",E2032=""),"",D2032*E2032)</f>
        <v/>
      </c>
      <c r="G2032" s="15" t="n"/>
    </row>
    <row r="2033">
      <c r="A2033" s="19" t="n"/>
      <c r="B2033" s="15" t="n"/>
      <c r="C2033">
        <f>IF(B2033="","",IFERROR(INDEX(Items!$B$5:$B$304,MATCH(B2033,Items!$A$5:$A$304,0)),"Unknown code"))</f>
        <v/>
      </c>
      <c r="D2033" s="15" t="n"/>
      <c r="E2033" s="16" t="n"/>
      <c r="F2033" s="18">
        <f>IF(OR(D2033="",E2033=""),"",D2033*E2033)</f>
        <v/>
      </c>
      <c r="G2033" s="15" t="n"/>
    </row>
    <row r="2034">
      <c r="A2034" s="19" t="n"/>
      <c r="B2034" s="15" t="n"/>
      <c r="C2034">
        <f>IF(B2034="","",IFERROR(INDEX(Items!$B$5:$B$304,MATCH(B2034,Items!$A$5:$A$304,0)),"Unknown code"))</f>
        <v/>
      </c>
      <c r="D2034" s="15" t="n"/>
      <c r="E2034" s="16" t="n"/>
      <c r="F2034" s="18">
        <f>IF(OR(D2034="",E2034=""),"",D2034*E2034)</f>
        <v/>
      </c>
      <c r="G2034" s="15" t="n"/>
    </row>
    <row r="2035">
      <c r="A2035" s="19" t="n"/>
      <c r="B2035" s="15" t="n"/>
      <c r="C2035">
        <f>IF(B2035="","",IFERROR(INDEX(Items!$B$5:$B$304,MATCH(B2035,Items!$A$5:$A$304,0)),"Unknown code"))</f>
        <v/>
      </c>
      <c r="D2035" s="15" t="n"/>
      <c r="E2035" s="16" t="n"/>
      <c r="F2035" s="18">
        <f>IF(OR(D2035="",E2035=""),"",D2035*E2035)</f>
        <v/>
      </c>
      <c r="G2035" s="15" t="n"/>
    </row>
    <row r="2036">
      <c r="A2036" s="19" t="n"/>
      <c r="B2036" s="15" t="n"/>
      <c r="C2036">
        <f>IF(B2036="","",IFERROR(INDEX(Items!$B$5:$B$304,MATCH(B2036,Items!$A$5:$A$304,0)),"Unknown code"))</f>
        <v/>
      </c>
      <c r="D2036" s="15" t="n"/>
      <c r="E2036" s="16" t="n"/>
      <c r="F2036" s="18">
        <f>IF(OR(D2036="",E2036=""),"",D2036*E2036)</f>
        <v/>
      </c>
      <c r="G2036" s="15" t="n"/>
    </row>
    <row r="2037">
      <c r="A2037" s="19" t="n"/>
      <c r="B2037" s="15" t="n"/>
      <c r="C2037">
        <f>IF(B2037="","",IFERROR(INDEX(Items!$B$5:$B$304,MATCH(B2037,Items!$A$5:$A$304,0)),"Unknown code"))</f>
        <v/>
      </c>
      <c r="D2037" s="15" t="n"/>
      <c r="E2037" s="16" t="n"/>
      <c r="F2037" s="18">
        <f>IF(OR(D2037="",E2037=""),"",D2037*E2037)</f>
        <v/>
      </c>
      <c r="G2037" s="15" t="n"/>
    </row>
    <row r="2038">
      <c r="A2038" s="19" t="n"/>
      <c r="B2038" s="15" t="n"/>
      <c r="C2038">
        <f>IF(B2038="","",IFERROR(INDEX(Items!$B$5:$B$304,MATCH(B2038,Items!$A$5:$A$304,0)),"Unknown code"))</f>
        <v/>
      </c>
      <c r="D2038" s="15" t="n"/>
      <c r="E2038" s="16" t="n"/>
      <c r="F2038" s="18">
        <f>IF(OR(D2038="",E2038=""),"",D2038*E2038)</f>
        <v/>
      </c>
      <c r="G2038" s="15" t="n"/>
    </row>
    <row r="2039">
      <c r="A2039" s="19" t="n"/>
      <c r="B2039" s="15" t="n"/>
      <c r="C2039">
        <f>IF(B2039="","",IFERROR(INDEX(Items!$B$5:$B$304,MATCH(B2039,Items!$A$5:$A$304,0)),"Unknown code"))</f>
        <v/>
      </c>
      <c r="D2039" s="15" t="n"/>
      <c r="E2039" s="16" t="n"/>
      <c r="F2039" s="18">
        <f>IF(OR(D2039="",E2039=""),"",D2039*E2039)</f>
        <v/>
      </c>
      <c r="G2039" s="15" t="n"/>
    </row>
    <row r="2040">
      <c r="A2040" s="19" t="n"/>
      <c r="B2040" s="15" t="n"/>
      <c r="C2040">
        <f>IF(B2040="","",IFERROR(INDEX(Items!$B$5:$B$304,MATCH(B2040,Items!$A$5:$A$304,0)),"Unknown code"))</f>
        <v/>
      </c>
      <c r="D2040" s="15" t="n"/>
      <c r="E2040" s="16" t="n"/>
      <c r="F2040" s="18">
        <f>IF(OR(D2040="",E2040=""),"",D2040*E2040)</f>
        <v/>
      </c>
      <c r="G2040" s="15" t="n"/>
    </row>
    <row r="2041">
      <c r="A2041" s="19" t="n"/>
      <c r="B2041" s="15" t="n"/>
      <c r="C2041">
        <f>IF(B2041="","",IFERROR(INDEX(Items!$B$5:$B$304,MATCH(B2041,Items!$A$5:$A$304,0)),"Unknown code"))</f>
        <v/>
      </c>
      <c r="D2041" s="15" t="n"/>
      <c r="E2041" s="16" t="n"/>
      <c r="F2041" s="18">
        <f>IF(OR(D2041="",E2041=""),"",D2041*E2041)</f>
        <v/>
      </c>
      <c r="G2041" s="15" t="n"/>
    </row>
    <row r="2042">
      <c r="A2042" s="19" t="n"/>
      <c r="B2042" s="15" t="n"/>
      <c r="C2042">
        <f>IF(B2042="","",IFERROR(INDEX(Items!$B$5:$B$304,MATCH(B2042,Items!$A$5:$A$304,0)),"Unknown code"))</f>
        <v/>
      </c>
      <c r="D2042" s="15" t="n"/>
      <c r="E2042" s="16" t="n"/>
      <c r="F2042" s="18">
        <f>IF(OR(D2042="",E2042=""),"",D2042*E2042)</f>
        <v/>
      </c>
      <c r="G2042" s="15" t="n"/>
    </row>
    <row r="2043">
      <c r="A2043" s="19" t="n"/>
      <c r="B2043" s="15" t="n"/>
      <c r="C2043">
        <f>IF(B2043="","",IFERROR(INDEX(Items!$B$5:$B$304,MATCH(B2043,Items!$A$5:$A$304,0)),"Unknown code"))</f>
        <v/>
      </c>
      <c r="D2043" s="15" t="n"/>
      <c r="E2043" s="16" t="n"/>
      <c r="F2043" s="18">
        <f>IF(OR(D2043="",E2043=""),"",D2043*E2043)</f>
        <v/>
      </c>
      <c r="G2043" s="15" t="n"/>
    </row>
    <row r="2044">
      <c r="A2044" s="19" t="n"/>
      <c r="B2044" s="15" t="n"/>
      <c r="C2044">
        <f>IF(B2044="","",IFERROR(INDEX(Items!$B$5:$B$304,MATCH(B2044,Items!$A$5:$A$304,0)),"Unknown code"))</f>
        <v/>
      </c>
      <c r="D2044" s="15" t="n"/>
      <c r="E2044" s="16" t="n"/>
      <c r="F2044" s="18">
        <f>IF(OR(D2044="",E2044=""),"",D2044*E2044)</f>
        <v/>
      </c>
      <c r="G2044" s="15" t="n"/>
    </row>
    <row r="2045">
      <c r="A2045" s="19" t="n"/>
      <c r="B2045" s="15" t="n"/>
      <c r="C2045">
        <f>IF(B2045="","",IFERROR(INDEX(Items!$B$5:$B$304,MATCH(B2045,Items!$A$5:$A$304,0)),"Unknown code"))</f>
        <v/>
      </c>
      <c r="D2045" s="15" t="n"/>
      <c r="E2045" s="16" t="n"/>
      <c r="F2045" s="18">
        <f>IF(OR(D2045="",E2045=""),"",D2045*E2045)</f>
        <v/>
      </c>
      <c r="G2045" s="15" t="n"/>
    </row>
    <row r="2046">
      <c r="A2046" s="19" t="n"/>
      <c r="B2046" s="15" t="n"/>
      <c r="C2046">
        <f>IF(B2046="","",IFERROR(INDEX(Items!$B$5:$B$304,MATCH(B2046,Items!$A$5:$A$304,0)),"Unknown code"))</f>
        <v/>
      </c>
      <c r="D2046" s="15" t="n"/>
      <c r="E2046" s="16" t="n"/>
      <c r="F2046" s="18">
        <f>IF(OR(D2046="",E2046=""),"",D2046*E2046)</f>
        <v/>
      </c>
      <c r="G2046" s="15" t="n"/>
    </row>
    <row r="2047">
      <c r="A2047" s="19" t="n"/>
      <c r="B2047" s="15" t="n"/>
      <c r="C2047">
        <f>IF(B2047="","",IFERROR(INDEX(Items!$B$5:$B$304,MATCH(B2047,Items!$A$5:$A$304,0)),"Unknown code"))</f>
        <v/>
      </c>
      <c r="D2047" s="15" t="n"/>
      <c r="E2047" s="16" t="n"/>
      <c r="F2047" s="18">
        <f>IF(OR(D2047="",E2047=""),"",D2047*E2047)</f>
        <v/>
      </c>
      <c r="G2047" s="15" t="n"/>
    </row>
    <row r="2048">
      <c r="A2048" s="19" t="n"/>
      <c r="B2048" s="15" t="n"/>
      <c r="C2048">
        <f>IF(B2048="","",IFERROR(INDEX(Items!$B$5:$B$304,MATCH(B2048,Items!$A$5:$A$304,0)),"Unknown code"))</f>
        <v/>
      </c>
      <c r="D2048" s="15" t="n"/>
      <c r="E2048" s="16" t="n"/>
      <c r="F2048" s="18">
        <f>IF(OR(D2048="",E2048=""),"",D2048*E2048)</f>
        <v/>
      </c>
      <c r="G2048" s="15" t="n"/>
    </row>
    <row r="2049">
      <c r="A2049" s="19" t="n"/>
      <c r="B2049" s="15" t="n"/>
      <c r="C2049">
        <f>IF(B2049="","",IFERROR(INDEX(Items!$B$5:$B$304,MATCH(B2049,Items!$A$5:$A$304,0)),"Unknown code"))</f>
        <v/>
      </c>
      <c r="D2049" s="15" t="n"/>
      <c r="E2049" s="16" t="n"/>
      <c r="F2049" s="18">
        <f>IF(OR(D2049="",E2049=""),"",D2049*E2049)</f>
        <v/>
      </c>
      <c r="G2049" s="15" t="n"/>
    </row>
    <row r="2050">
      <c r="A2050" s="19" t="n"/>
      <c r="B2050" s="15" t="n"/>
      <c r="C2050">
        <f>IF(B2050="","",IFERROR(INDEX(Items!$B$5:$B$304,MATCH(B2050,Items!$A$5:$A$304,0)),"Unknown code"))</f>
        <v/>
      </c>
      <c r="D2050" s="15" t="n"/>
      <c r="E2050" s="16" t="n"/>
      <c r="F2050" s="18">
        <f>IF(OR(D2050="",E2050=""),"",D2050*E2050)</f>
        <v/>
      </c>
      <c r="G2050" s="15" t="n"/>
    </row>
    <row r="2051">
      <c r="A2051" s="19" t="n"/>
      <c r="B2051" s="15" t="n"/>
      <c r="C2051">
        <f>IF(B2051="","",IFERROR(INDEX(Items!$B$5:$B$304,MATCH(B2051,Items!$A$5:$A$304,0)),"Unknown code"))</f>
        <v/>
      </c>
      <c r="D2051" s="15" t="n"/>
      <c r="E2051" s="16" t="n"/>
      <c r="F2051" s="18">
        <f>IF(OR(D2051="",E2051=""),"",D2051*E2051)</f>
        <v/>
      </c>
      <c r="G2051" s="15" t="n"/>
    </row>
    <row r="2052">
      <c r="A2052" s="19" t="n"/>
      <c r="B2052" s="15" t="n"/>
      <c r="C2052">
        <f>IF(B2052="","",IFERROR(INDEX(Items!$B$5:$B$304,MATCH(B2052,Items!$A$5:$A$304,0)),"Unknown code"))</f>
        <v/>
      </c>
      <c r="D2052" s="15" t="n"/>
      <c r="E2052" s="16" t="n"/>
      <c r="F2052" s="18">
        <f>IF(OR(D2052="",E2052=""),"",D2052*E2052)</f>
        <v/>
      </c>
      <c r="G2052" s="15" t="n"/>
    </row>
    <row r="2053">
      <c r="A2053" s="19" t="n"/>
      <c r="B2053" s="15" t="n"/>
      <c r="C2053">
        <f>IF(B2053="","",IFERROR(INDEX(Items!$B$5:$B$304,MATCH(B2053,Items!$A$5:$A$304,0)),"Unknown code"))</f>
        <v/>
      </c>
      <c r="D2053" s="15" t="n"/>
      <c r="E2053" s="16" t="n"/>
      <c r="F2053" s="18">
        <f>IF(OR(D2053="",E2053=""),"",D2053*E2053)</f>
        <v/>
      </c>
      <c r="G2053" s="15" t="n"/>
    </row>
    <row r="2054">
      <c r="A2054" s="19" t="n"/>
      <c r="B2054" s="15" t="n"/>
      <c r="C2054">
        <f>IF(B2054="","",IFERROR(INDEX(Items!$B$5:$B$304,MATCH(B2054,Items!$A$5:$A$304,0)),"Unknown code"))</f>
        <v/>
      </c>
      <c r="D2054" s="15" t="n"/>
      <c r="E2054" s="16" t="n"/>
      <c r="F2054" s="18">
        <f>IF(OR(D2054="",E2054=""),"",D2054*E2054)</f>
        <v/>
      </c>
      <c r="G2054" s="15" t="n"/>
    </row>
    <row r="2055">
      <c r="A2055" s="19" t="n"/>
      <c r="B2055" s="15" t="n"/>
      <c r="C2055">
        <f>IF(B2055="","",IFERROR(INDEX(Items!$B$5:$B$304,MATCH(B2055,Items!$A$5:$A$304,0)),"Unknown code"))</f>
        <v/>
      </c>
      <c r="D2055" s="15" t="n"/>
      <c r="E2055" s="16" t="n"/>
      <c r="F2055" s="18">
        <f>IF(OR(D2055="",E2055=""),"",D2055*E2055)</f>
        <v/>
      </c>
      <c r="G2055" s="15" t="n"/>
    </row>
    <row r="2056">
      <c r="A2056" s="19" t="n"/>
      <c r="B2056" s="15" t="n"/>
      <c r="C2056">
        <f>IF(B2056="","",IFERROR(INDEX(Items!$B$5:$B$304,MATCH(B2056,Items!$A$5:$A$304,0)),"Unknown code"))</f>
        <v/>
      </c>
      <c r="D2056" s="15" t="n"/>
      <c r="E2056" s="16" t="n"/>
      <c r="F2056" s="18">
        <f>IF(OR(D2056="",E2056=""),"",D2056*E2056)</f>
        <v/>
      </c>
      <c r="G2056" s="15" t="n"/>
    </row>
    <row r="2057">
      <c r="A2057" s="19" t="n"/>
      <c r="B2057" s="15" t="n"/>
      <c r="C2057">
        <f>IF(B2057="","",IFERROR(INDEX(Items!$B$5:$B$304,MATCH(B2057,Items!$A$5:$A$304,0)),"Unknown code"))</f>
        <v/>
      </c>
      <c r="D2057" s="15" t="n"/>
      <c r="E2057" s="16" t="n"/>
      <c r="F2057" s="18">
        <f>IF(OR(D2057="",E2057=""),"",D2057*E2057)</f>
        <v/>
      </c>
      <c r="G2057" s="15" t="n"/>
    </row>
    <row r="2058">
      <c r="A2058" s="19" t="n"/>
      <c r="B2058" s="15" t="n"/>
      <c r="C2058">
        <f>IF(B2058="","",IFERROR(INDEX(Items!$B$5:$B$304,MATCH(B2058,Items!$A$5:$A$304,0)),"Unknown code"))</f>
        <v/>
      </c>
      <c r="D2058" s="15" t="n"/>
      <c r="E2058" s="16" t="n"/>
      <c r="F2058" s="18">
        <f>IF(OR(D2058="",E2058=""),"",D2058*E2058)</f>
        <v/>
      </c>
      <c r="G2058" s="15" t="n"/>
    </row>
    <row r="2059">
      <c r="A2059" s="19" t="n"/>
      <c r="B2059" s="15" t="n"/>
      <c r="C2059">
        <f>IF(B2059="","",IFERROR(INDEX(Items!$B$5:$B$304,MATCH(B2059,Items!$A$5:$A$304,0)),"Unknown code"))</f>
        <v/>
      </c>
      <c r="D2059" s="15" t="n"/>
      <c r="E2059" s="16" t="n"/>
      <c r="F2059" s="18">
        <f>IF(OR(D2059="",E2059=""),"",D2059*E2059)</f>
        <v/>
      </c>
      <c r="G2059" s="15" t="n"/>
    </row>
    <row r="2060">
      <c r="A2060" s="19" t="n"/>
      <c r="B2060" s="15" t="n"/>
      <c r="C2060">
        <f>IF(B2060="","",IFERROR(INDEX(Items!$B$5:$B$304,MATCH(B2060,Items!$A$5:$A$304,0)),"Unknown code"))</f>
        <v/>
      </c>
      <c r="D2060" s="15" t="n"/>
      <c r="E2060" s="16" t="n"/>
      <c r="F2060" s="18">
        <f>IF(OR(D2060="",E2060=""),"",D2060*E2060)</f>
        <v/>
      </c>
      <c r="G2060" s="15" t="n"/>
    </row>
    <row r="2061">
      <c r="A2061" s="19" t="n"/>
      <c r="B2061" s="15" t="n"/>
      <c r="C2061">
        <f>IF(B2061="","",IFERROR(INDEX(Items!$B$5:$B$304,MATCH(B2061,Items!$A$5:$A$304,0)),"Unknown code"))</f>
        <v/>
      </c>
      <c r="D2061" s="15" t="n"/>
      <c r="E2061" s="16" t="n"/>
      <c r="F2061" s="18">
        <f>IF(OR(D2061="",E2061=""),"",D2061*E2061)</f>
        <v/>
      </c>
      <c r="G2061" s="15" t="n"/>
    </row>
    <row r="2062">
      <c r="A2062" s="19" t="n"/>
      <c r="B2062" s="15" t="n"/>
      <c r="C2062">
        <f>IF(B2062="","",IFERROR(INDEX(Items!$B$5:$B$304,MATCH(B2062,Items!$A$5:$A$304,0)),"Unknown code"))</f>
        <v/>
      </c>
      <c r="D2062" s="15" t="n"/>
      <c r="E2062" s="16" t="n"/>
      <c r="F2062" s="18">
        <f>IF(OR(D2062="",E2062=""),"",D2062*E2062)</f>
        <v/>
      </c>
      <c r="G2062" s="15" t="n"/>
    </row>
    <row r="2063">
      <c r="A2063" s="19" t="n"/>
      <c r="B2063" s="15" t="n"/>
      <c r="C2063">
        <f>IF(B2063="","",IFERROR(INDEX(Items!$B$5:$B$304,MATCH(B2063,Items!$A$5:$A$304,0)),"Unknown code"))</f>
        <v/>
      </c>
      <c r="D2063" s="15" t="n"/>
      <c r="E2063" s="16" t="n"/>
      <c r="F2063" s="18">
        <f>IF(OR(D2063="",E2063=""),"",D2063*E2063)</f>
        <v/>
      </c>
      <c r="G2063" s="15" t="n"/>
    </row>
    <row r="2064">
      <c r="A2064" s="19" t="n"/>
      <c r="B2064" s="15" t="n"/>
      <c r="C2064">
        <f>IF(B2064="","",IFERROR(INDEX(Items!$B$5:$B$304,MATCH(B2064,Items!$A$5:$A$304,0)),"Unknown code"))</f>
        <v/>
      </c>
      <c r="D2064" s="15" t="n"/>
      <c r="E2064" s="16" t="n"/>
      <c r="F2064" s="18">
        <f>IF(OR(D2064="",E2064=""),"",D2064*E2064)</f>
        <v/>
      </c>
      <c r="G2064" s="15" t="n"/>
    </row>
    <row r="2065">
      <c r="A2065" s="19" t="n"/>
      <c r="B2065" s="15" t="n"/>
      <c r="C2065">
        <f>IF(B2065="","",IFERROR(INDEX(Items!$B$5:$B$304,MATCH(B2065,Items!$A$5:$A$304,0)),"Unknown code"))</f>
        <v/>
      </c>
      <c r="D2065" s="15" t="n"/>
      <c r="E2065" s="16" t="n"/>
      <c r="F2065" s="18">
        <f>IF(OR(D2065="",E2065=""),"",D2065*E2065)</f>
        <v/>
      </c>
      <c r="G2065" s="15" t="n"/>
    </row>
    <row r="2066">
      <c r="A2066" s="19" t="n"/>
      <c r="B2066" s="15" t="n"/>
      <c r="C2066">
        <f>IF(B2066="","",IFERROR(INDEX(Items!$B$5:$B$304,MATCH(B2066,Items!$A$5:$A$304,0)),"Unknown code"))</f>
        <v/>
      </c>
      <c r="D2066" s="15" t="n"/>
      <c r="E2066" s="16" t="n"/>
      <c r="F2066" s="18">
        <f>IF(OR(D2066="",E2066=""),"",D2066*E2066)</f>
        <v/>
      </c>
      <c r="G2066" s="15" t="n"/>
    </row>
    <row r="2067">
      <c r="A2067" s="19" t="n"/>
      <c r="B2067" s="15" t="n"/>
      <c r="C2067">
        <f>IF(B2067="","",IFERROR(INDEX(Items!$B$5:$B$304,MATCH(B2067,Items!$A$5:$A$304,0)),"Unknown code"))</f>
        <v/>
      </c>
      <c r="D2067" s="15" t="n"/>
      <c r="E2067" s="16" t="n"/>
      <c r="F2067" s="18">
        <f>IF(OR(D2067="",E2067=""),"",D2067*E2067)</f>
        <v/>
      </c>
      <c r="G2067" s="15" t="n"/>
    </row>
    <row r="2068">
      <c r="A2068" s="19" t="n"/>
      <c r="B2068" s="15" t="n"/>
      <c r="C2068">
        <f>IF(B2068="","",IFERROR(INDEX(Items!$B$5:$B$304,MATCH(B2068,Items!$A$5:$A$304,0)),"Unknown code"))</f>
        <v/>
      </c>
      <c r="D2068" s="15" t="n"/>
      <c r="E2068" s="16" t="n"/>
      <c r="F2068" s="18">
        <f>IF(OR(D2068="",E2068=""),"",D2068*E2068)</f>
        <v/>
      </c>
      <c r="G2068" s="15" t="n"/>
    </row>
    <row r="2069">
      <c r="A2069" s="19" t="n"/>
      <c r="B2069" s="15" t="n"/>
      <c r="C2069">
        <f>IF(B2069="","",IFERROR(INDEX(Items!$B$5:$B$304,MATCH(B2069,Items!$A$5:$A$304,0)),"Unknown code"))</f>
        <v/>
      </c>
      <c r="D2069" s="15" t="n"/>
      <c r="E2069" s="16" t="n"/>
      <c r="F2069" s="18">
        <f>IF(OR(D2069="",E2069=""),"",D2069*E2069)</f>
        <v/>
      </c>
      <c r="G2069" s="15" t="n"/>
    </row>
    <row r="2070">
      <c r="A2070" s="19" t="n"/>
      <c r="B2070" s="15" t="n"/>
      <c r="C2070">
        <f>IF(B2070="","",IFERROR(INDEX(Items!$B$5:$B$304,MATCH(B2070,Items!$A$5:$A$304,0)),"Unknown code"))</f>
        <v/>
      </c>
      <c r="D2070" s="15" t="n"/>
      <c r="E2070" s="16" t="n"/>
      <c r="F2070" s="18">
        <f>IF(OR(D2070="",E2070=""),"",D2070*E2070)</f>
        <v/>
      </c>
      <c r="G2070" s="15" t="n"/>
    </row>
    <row r="2071">
      <c r="A2071" s="19" t="n"/>
      <c r="B2071" s="15" t="n"/>
      <c r="C2071">
        <f>IF(B2071="","",IFERROR(INDEX(Items!$B$5:$B$304,MATCH(B2071,Items!$A$5:$A$304,0)),"Unknown code"))</f>
        <v/>
      </c>
      <c r="D2071" s="15" t="n"/>
      <c r="E2071" s="16" t="n"/>
      <c r="F2071" s="18">
        <f>IF(OR(D2071="",E2071=""),"",D2071*E2071)</f>
        <v/>
      </c>
      <c r="G2071" s="15" t="n"/>
    </row>
    <row r="2072">
      <c r="A2072" s="19" t="n"/>
      <c r="B2072" s="15" t="n"/>
      <c r="C2072">
        <f>IF(B2072="","",IFERROR(INDEX(Items!$B$5:$B$304,MATCH(B2072,Items!$A$5:$A$304,0)),"Unknown code"))</f>
        <v/>
      </c>
      <c r="D2072" s="15" t="n"/>
      <c r="E2072" s="16" t="n"/>
      <c r="F2072" s="18">
        <f>IF(OR(D2072="",E2072=""),"",D2072*E2072)</f>
        <v/>
      </c>
      <c r="G2072" s="15" t="n"/>
    </row>
    <row r="2073">
      <c r="A2073" s="19" t="n"/>
      <c r="B2073" s="15" t="n"/>
      <c r="C2073">
        <f>IF(B2073="","",IFERROR(INDEX(Items!$B$5:$B$304,MATCH(B2073,Items!$A$5:$A$304,0)),"Unknown code"))</f>
        <v/>
      </c>
      <c r="D2073" s="15" t="n"/>
      <c r="E2073" s="16" t="n"/>
      <c r="F2073" s="18">
        <f>IF(OR(D2073="",E2073=""),"",D2073*E2073)</f>
        <v/>
      </c>
      <c r="G2073" s="15" t="n"/>
    </row>
    <row r="2074">
      <c r="A2074" s="19" t="n"/>
      <c r="B2074" s="15" t="n"/>
      <c r="C2074">
        <f>IF(B2074="","",IFERROR(INDEX(Items!$B$5:$B$304,MATCH(B2074,Items!$A$5:$A$304,0)),"Unknown code"))</f>
        <v/>
      </c>
      <c r="D2074" s="15" t="n"/>
      <c r="E2074" s="16" t="n"/>
      <c r="F2074" s="18">
        <f>IF(OR(D2074="",E2074=""),"",D2074*E2074)</f>
        <v/>
      </c>
      <c r="G2074" s="15" t="n"/>
    </row>
    <row r="2075">
      <c r="A2075" s="19" t="n"/>
      <c r="B2075" s="15" t="n"/>
      <c r="C2075">
        <f>IF(B2075="","",IFERROR(INDEX(Items!$B$5:$B$304,MATCH(B2075,Items!$A$5:$A$304,0)),"Unknown code"))</f>
        <v/>
      </c>
      <c r="D2075" s="15" t="n"/>
      <c r="E2075" s="16" t="n"/>
      <c r="F2075" s="18">
        <f>IF(OR(D2075="",E2075=""),"",D2075*E2075)</f>
        <v/>
      </c>
      <c r="G2075" s="15" t="n"/>
    </row>
    <row r="2076">
      <c r="A2076" s="19" t="n"/>
      <c r="B2076" s="15" t="n"/>
      <c r="C2076">
        <f>IF(B2076="","",IFERROR(INDEX(Items!$B$5:$B$304,MATCH(B2076,Items!$A$5:$A$304,0)),"Unknown code"))</f>
        <v/>
      </c>
      <c r="D2076" s="15" t="n"/>
      <c r="E2076" s="16" t="n"/>
      <c r="F2076" s="18">
        <f>IF(OR(D2076="",E2076=""),"",D2076*E2076)</f>
        <v/>
      </c>
      <c r="G2076" s="15" t="n"/>
    </row>
    <row r="2077">
      <c r="A2077" s="19" t="n"/>
      <c r="B2077" s="15" t="n"/>
      <c r="C2077">
        <f>IF(B2077="","",IFERROR(INDEX(Items!$B$5:$B$304,MATCH(B2077,Items!$A$5:$A$304,0)),"Unknown code"))</f>
        <v/>
      </c>
      <c r="D2077" s="15" t="n"/>
      <c r="E2077" s="16" t="n"/>
      <c r="F2077" s="18">
        <f>IF(OR(D2077="",E2077=""),"",D2077*E2077)</f>
        <v/>
      </c>
      <c r="G2077" s="15" t="n"/>
    </row>
    <row r="2078">
      <c r="A2078" s="19" t="n"/>
      <c r="B2078" s="15" t="n"/>
      <c r="C2078">
        <f>IF(B2078="","",IFERROR(INDEX(Items!$B$5:$B$304,MATCH(B2078,Items!$A$5:$A$304,0)),"Unknown code"))</f>
        <v/>
      </c>
      <c r="D2078" s="15" t="n"/>
      <c r="E2078" s="16" t="n"/>
      <c r="F2078" s="18">
        <f>IF(OR(D2078="",E2078=""),"",D2078*E2078)</f>
        <v/>
      </c>
      <c r="G2078" s="15" t="n"/>
    </row>
    <row r="2079">
      <c r="A2079" s="19" t="n"/>
      <c r="B2079" s="15" t="n"/>
      <c r="C2079">
        <f>IF(B2079="","",IFERROR(INDEX(Items!$B$5:$B$304,MATCH(B2079,Items!$A$5:$A$304,0)),"Unknown code"))</f>
        <v/>
      </c>
      <c r="D2079" s="15" t="n"/>
      <c r="E2079" s="16" t="n"/>
      <c r="F2079" s="18">
        <f>IF(OR(D2079="",E2079=""),"",D2079*E2079)</f>
        <v/>
      </c>
      <c r="G2079" s="15" t="n"/>
    </row>
    <row r="2080">
      <c r="A2080" s="19" t="n"/>
      <c r="B2080" s="15" t="n"/>
      <c r="C2080">
        <f>IF(B2080="","",IFERROR(INDEX(Items!$B$5:$B$304,MATCH(B2080,Items!$A$5:$A$304,0)),"Unknown code"))</f>
        <v/>
      </c>
      <c r="D2080" s="15" t="n"/>
      <c r="E2080" s="16" t="n"/>
      <c r="F2080" s="18">
        <f>IF(OR(D2080="",E2080=""),"",D2080*E2080)</f>
        <v/>
      </c>
      <c r="G2080" s="15" t="n"/>
    </row>
    <row r="2081">
      <c r="A2081" s="19" t="n"/>
      <c r="B2081" s="15" t="n"/>
      <c r="C2081">
        <f>IF(B2081="","",IFERROR(INDEX(Items!$B$5:$B$304,MATCH(B2081,Items!$A$5:$A$304,0)),"Unknown code"))</f>
        <v/>
      </c>
      <c r="D2081" s="15" t="n"/>
      <c r="E2081" s="16" t="n"/>
      <c r="F2081" s="18">
        <f>IF(OR(D2081="",E2081=""),"",D2081*E2081)</f>
        <v/>
      </c>
      <c r="G2081" s="15" t="n"/>
    </row>
    <row r="2082">
      <c r="A2082" s="19" t="n"/>
      <c r="B2082" s="15" t="n"/>
      <c r="C2082">
        <f>IF(B2082="","",IFERROR(INDEX(Items!$B$5:$B$304,MATCH(B2082,Items!$A$5:$A$304,0)),"Unknown code"))</f>
        <v/>
      </c>
      <c r="D2082" s="15" t="n"/>
      <c r="E2082" s="16" t="n"/>
      <c r="F2082" s="18">
        <f>IF(OR(D2082="",E2082=""),"",D2082*E2082)</f>
        <v/>
      </c>
      <c r="G2082" s="15" t="n"/>
    </row>
    <row r="2083">
      <c r="A2083" s="19" t="n"/>
      <c r="B2083" s="15" t="n"/>
      <c r="C2083">
        <f>IF(B2083="","",IFERROR(INDEX(Items!$B$5:$B$304,MATCH(B2083,Items!$A$5:$A$304,0)),"Unknown code"))</f>
        <v/>
      </c>
      <c r="D2083" s="15" t="n"/>
      <c r="E2083" s="16" t="n"/>
      <c r="F2083" s="18">
        <f>IF(OR(D2083="",E2083=""),"",D2083*E2083)</f>
        <v/>
      </c>
      <c r="G2083" s="15" t="n"/>
    </row>
    <row r="2084">
      <c r="A2084" s="19" t="n"/>
      <c r="B2084" s="15" t="n"/>
      <c r="C2084">
        <f>IF(B2084="","",IFERROR(INDEX(Items!$B$5:$B$304,MATCH(B2084,Items!$A$5:$A$304,0)),"Unknown code"))</f>
        <v/>
      </c>
      <c r="D2084" s="15" t="n"/>
      <c r="E2084" s="16" t="n"/>
      <c r="F2084" s="18">
        <f>IF(OR(D2084="",E2084=""),"",D2084*E2084)</f>
        <v/>
      </c>
      <c r="G2084" s="15" t="n"/>
    </row>
    <row r="2085">
      <c r="A2085" s="19" t="n"/>
      <c r="B2085" s="15" t="n"/>
      <c r="C2085">
        <f>IF(B2085="","",IFERROR(INDEX(Items!$B$5:$B$304,MATCH(B2085,Items!$A$5:$A$304,0)),"Unknown code"))</f>
        <v/>
      </c>
      <c r="D2085" s="15" t="n"/>
      <c r="E2085" s="16" t="n"/>
      <c r="F2085" s="18">
        <f>IF(OR(D2085="",E2085=""),"",D2085*E2085)</f>
        <v/>
      </c>
      <c r="G2085" s="15" t="n"/>
    </row>
    <row r="2086">
      <c r="A2086" s="19" t="n"/>
      <c r="B2086" s="15" t="n"/>
      <c r="C2086">
        <f>IF(B2086="","",IFERROR(INDEX(Items!$B$5:$B$304,MATCH(B2086,Items!$A$5:$A$304,0)),"Unknown code"))</f>
        <v/>
      </c>
      <c r="D2086" s="15" t="n"/>
      <c r="E2086" s="16" t="n"/>
      <c r="F2086" s="18">
        <f>IF(OR(D2086="",E2086=""),"",D2086*E2086)</f>
        <v/>
      </c>
      <c r="G2086" s="15" t="n"/>
    </row>
    <row r="2087">
      <c r="A2087" s="19" t="n"/>
      <c r="B2087" s="15" t="n"/>
      <c r="C2087">
        <f>IF(B2087="","",IFERROR(INDEX(Items!$B$5:$B$304,MATCH(B2087,Items!$A$5:$A$304,0)),"Unknown code"))</f>
        <v/>
      </c>
      <c r="D2087" s="15" t="n"/>
      <c r="E2087" s="16" t="n"/>
      <c r="F2087" s="18">
        <f>IF(OR(D2087="",E2087=""),"",D2087*E2087)</f>
        <v/>
      </c>
      <c r="G2087" s="15" t="n"/>
    </row>
    <row r="2088">
      <c r="A2088" s="19" t="n"/>
      <c r="B2088" s="15" t="n"/>
      <c r="C2088">
        <f>IF(B2088="","",IFERROR(INDEX(Items!$B$5:$B$304,MATCH(B2088,Items!$A$5:$A$304,0)),"Unknown code"))</f>
        <v/>
      </c>
      <c r="D2088" s="15" t="n"/>
      <c r="E2088" s="16" t="n"/>
      <c r="F2088" s="18">
        <f>IF(OR(D2088="",E2088=""),"",D2088*E2088)</f>
        <v/>
      </c>
      <c r="G2088" s="15" t="n"/>
    </row>
    <row r="2089">
      <c r="A2089" s="19" t="n"/>
      <c r="B2089" s="15" t="n"/>
      <c r="C2089">
        <f>IF(B2089="","",IFERROR(INDEX(Items!$B$5:$B$304,MATCH(B2089,Items!$A$5:$A$304,0)),"Unknown code"))</f>
        <v/>
      </c>
      <c r="D2089" s="15" t="n"/>
      <c r="E2089" s="16" t="n"/>
      <c r="F2089" s="18">
        <f>IF(OR(D2089="",E2089=""),"",D2089*E2089)</f>
        <v/>
      </c>
      <c r="G2089" s="15" t="n"/>
    </row>
    <row r="2090">
      <c r="A2090" s="19" t="n"/>
      <c r="B2090" s="15" t="n"/>
      <c r="C2090">
        <f>IF(B2090="","",IFERROR(INDEX(Items!$B$5:$B$304,MATCH(B2090,Items!$A$5:$A$304,0)),"Unknown code"))</f>
        <v/>
      </c>
      <c r="D2090" s="15" t="n"/>
      <c r="E2090" s="16" t="n"/>
      <c r="F2090" s="18">
        <f>IF(OR(D2090="",E2090=""),"",D2090*E2090)</f>
        <v/>
      </c>
      <c r="G2090" s="15" t="n"/>
    </row>
    <row r="2091">
      <c r="A2091" s="19" t="n"/>
      <c r="B2091" s="15" t="n"/>
      <c r="C2091">
        <f>IF(B2091="","",IFERROR(INDEX(Items!$B$5:$B$304,MATCH(B2091,Items!$A$5:$A$304,0)),"Unknown code"))</f>
        <v/>
      </c>
      <c r="D2091" s="15" t="n"/>
      <c r="E2091" s="16" t="n"/>
      <c r="F2091" s="18">
        <f>IF(OR(D2091="",E2091=""),"",D2091*E2091)</f>
        <v/>
      </c>
      <c r="G2091" s="15" t="n"/>
    </row>
    <row r="2092">
      <c r="A2092" s="19" t="n"/>
      <c r="B2092" s="15" t="n"/>
      <c r="C2092">
        <f>IF(B2092="","",IFERROR(INDEX(Items!$B$5:$B$304,MATCH(B2092,Items!$A$5:$A$304,0)),"Unknown code"))</f>
        <v/>
      </c>
      <c r="D2092" s="15" t="n"/>
      <c r="E2092" s="16" t="n"/>
      <c r="F2092" s="18">
        <f>IF(OR(D2092="",E2092=""),"",D2092*E2092)</f>
        <v/>
      </c>
      <c r="G2092" s="15" t="n"/>
    </row>
    <row r="2093">
      <c r="A2093" s="19" t="n"/>
      <c r="B2093" s="15" t="n"/>
      <c r="C2093">
        <f>IF(B2093="","",IFERROR(INDEX(Items!$B$5:$B$304,MATCH(B2093,Items!$A$5:$A$304,0)),"Unknown code"))</f>
        <v/>
      </c>
      <c r="D2093" s="15" t="n"/>
      <c r="E2093" s="16" t="n"/>
      <c r="F2093" s="18">
        <f>IF(OR(D2093="",E2093=""),"",D2093*E2093)</f>
        <v/>
      </c>
      <c r="G2093" s="15" t="n"/>
    </row>
    <row r="2094">
      <c r="A2094" s="19" t="n"/>
      <c r="B2094" s="15" t="n"/>
      <c r="C2094">
        <f>IF(B2094="","",IFERROR(INDEX(Items!$B$5:$B$304,MATCH(B2094,Items!$A$5:$A$304,0)),"Unknown code"))</f>
        <v/>
      </c>
      <c r="D2094" s="15" t="n"/>
      <c r="E2094" s="16" t="n"/>
      <c r="F2094" s="18">
        <f>IF(OR(D2094="",E2094=""),"",D2094*E2094)</f>
        <v/>
      </c>
      <c r="G2094" s="15" t="n"/>
    </row>
    <row r="2095">
      <c r="A2095" s="19" t="n"/>
      <c r="B2095" s="15" t="n"/>
      <c r="C2095">
        <f>IF(B2095="","",IFERROR(INDEX(Items!$B$5:$B$304,MATCH(B2095,Items!$A$5:$A$304,0)),"Unknown code"))</f>
        <v/>
      </c>
      <c r="D2095" s="15" t="n"/>
      <c r="E2095" s="16" t="n"/>
      <c r="F2095" s="18">
        <f>IF(OR(D2095="",E2095=""),"",D2095*E2095)</f>
        <v/>
      </c>
      <c r="G2095" s="15" t="n"/>
    </row>
    <row r="2096">
      <c r="A2096" s="19" t="n"/>
      <c r="B2096" s="15" t="n"/>
      <c r="C2096">
        <f>IF(B2096="","",IFERROR(INDEX(Items!$B$5:$B$304,MATCH(B2096,Items!$A$5:$A$304,0)),"Unknown code"))</f>
        <v/>
      </c>
      <c r="D2096" s="15" t="n"/>
      <c r="E2096" s="16" t="n"/>
      <c r="F2096" s="18">
        <f>IF(OR(D2096="",E2096=""),"",D2096*E2096)</f>
        <v/>
      </c>
      <c r="G2096" s="15" t="n"/>
    </row>
    <row r="2097">
      <c r="A2097" s="19" t="n"/>
      <c r="B2097" s="15" t="n"/>
      <c r="C2097">
        <f>IF(B2097="","",IFERROR(INDEX(Items!$B$5:$B$304,MATCH(B2097,Items!$A$5:$A$304,0)),"Unknown code"))</f>
        <v/>
      </c>
      <c r="D2097" s="15" t="n"/>
      <c r="E2097" s="16" t="n"/>
      <c r="F2097" s="18">
        <f>IF(OR(D2097="",E2097=""),"",D2097*E2097)</f>
        <v/>
      </c>
      <c r="G2097" s="15" t="n"/>
    </row>
    <row r="2098">
      <c r="A2098" s="19" t="n"/>
      <c r="B2098" s="15" t="n"/>
      <c r="C2098">
        <f>IF(B2098="","",IFERROR(INDEX(Items!$B$5:$B$304,MATCH(B2098,Items!$A$5:$A$304,0)),"Unknown code"))</f>
        <v/>
      </c>
      <c r="D2098" s="15" t="n"/>
      <c r="E2098" s="16" t="n"/>
      <c r="F2098" s="18">
        <f>IF(OR(D2098="",E2098=""),"",D2098*E2098)</f>
        <v/>
      </c>
      <c r="G2098" s="15" t="n"/>
    </row>
    <row r="2099">
      <c r="A2099" s="19" t="n"/>
      <c r="B2099" s="15" t="n"/>
      <c r="C2099">
        <f>IF(B2099="","",IFERROR(INDEX(Items!$B$5:$B$304,MATCH(B2099,Items!$A$5:$A$304,0)),"Unknown code"))</f>
        <v/>
      </c>
      <c r="D2099" s="15" t="n"/>
      <c r="E2099" s="16" t="n"/>
      <c r="F2099" s="18">
        <f>IF(OR(D2099="",E2099=""),"",D2099*E2099)</f>
        <v/>
      </c>
      <c r="G2099" s="15" t="n"/>
    </row>
    <row r="2100">
      <c r="A2100" s="19" t="n"/>
      <c r="B2100" s="15" t="n"/>
      <c r="C2100">
        <f>IF(B2100="","",IFERROR(INDEX(Items!$B$5:$B$304,MATCH(B2100,Items!$A$5:$A$304,0)),"Unknown code"))</f>
        <v/>
      </c>
      <c r="D2100" s="15" t="n"/>
      <c r="E2100" s="16" t="n"/>
      <c r="F2100" s="18">
        <f>IF(OR(D2100="",E2100=""),"",D2100*E2100)</f>
        <v/>
      </c>
      <c r="G2100" s="15" t="n"/>
    </row>
    <row r="2101">
      <c r="A2101" s="19" t="n"/>
      <c r="B2101" s="15" t="n"/>
      <c r="C2101">
        <f>IF(B2101="","",IFERROR(INDEX(Items!$B$5:$B$304,MATCH(B2101,Items!$A$5:$A$304,0)),"Unknown code"))</f>
        <v/>
      </c>
      <c r="D2101" s="15" t="n"/>
      <c r="E2101" s="16" t="n"/>
      <c r="F2101" s="18">
        <f>IF(OR(D2101="",E2101=""),"",D2101*E2101)</f>
        <v/>
      </c>
      <c r="G2101" s="15" t="n"/>
    </row>
    <row r="2102">
      <c r="A2102" s="19" t="n"/>
      <c r="B2102" s="15" t="n"/>
      <c r="C2102">
        <f>IF(B2102="","",IFERROR(INDEX(Items!$B$5:$B$304,MATCH(B2102,Items!$A$5:$A$304,0)),"Unknown code"))</f>
        <v/>
      </c>
      <c r="D2102" s="15" t="n"/>
      <c r="E2102" s="16" t="n"/>
      <c r="F2102" s="18">
        <f>IF(OR(D2102="",E2102=""),"",D2102*E2102)</f>
        <v/>
      </c>
      <c r="G2102" s="15" t="n"/>
    </row>
    <row r="2103">
      <c r="A2103" s="19" t="n"/>
      <c r="B2103" s="15" t="n"/>
      <c r="C2103">
        <f>IF(B2103="","",IFERROR(INDEX(Items!$B$5:$B$304,MATCH(B2103,Items!$A$5:$A$304,0)),"Unknown code"))</f>
        <v/>
      </c>
      <c r="D2103" s="15" t="n"/>
      <c r="E2103" s="16" t="n"/>
      <c r="F2103" s="18">
        <f>IF(OR(D2103="",E2103=""),"",D2103*E2103)</f>
        <v/>
      </c>
      <c r="G2103" s="15" t="n"/>
    </row>
    <row r="2104">
      <c r="A2104" s="19" t="n"/>
      <c r="B2104" s="15" t="n"/>
      <c r="C2104">
        <f>IF(B2104="","",IFERROR(INDEX(Items!$B$5:$B$304,MATCH(B2104,Items!$A$5:$A$304,0)),"Unknown code"))</f>
        <v/>
      </c>
      <c r="D2104" s="15" t="n"/>
      <c r="E2104" s="16" t="n"/>
      <c r="F2104" s="18">
        <f>IF(OR(D2104="",E2104=""),"",D2104*E2104)</f>
        <v/>
      </c>
      <c r="G2104" s="15" t="n"/>
    </row>
    <row r="2105">
      <c r="A2105" s="19" t="n"/>
      <c r="B2105" s="15" t="n"/>
      <c r="C2105">
        <f>IF(B2105="","",IFERROR(INDEX(Items!$B$5:$B$304,MATCH(B2105,Items!$A$5:$A$304,0)),"Unknown code"))</f>
        <v/>
      </c>
      <c r="D2105" s="15" t="n"/>
      <c r="E2105" s="16" t="n"/>
      <c r="F2105" s="18">
        <f>IF(OR(D2105="",E2105=""),"",D2105*E2105)</f>
        <v/>
      </c>
      <c r="G2105" s="15" t="n"/>
    </row>
    <row r="2106">
      <c r="A2106" s="19" t="n"/>
      <c r="B2106" s="15" t="n"/>
      <c r="C2106">
        <f>IF(B2106="","",IFERROR(INDEX(Items!$B$5:$B$304,MATCH(B2106,Items!$A$5:$A$304,0)),"Unknown code"))</f>
        <v/>
      </c>
      <c r="D2106" s="15" t="n"/>
      <c r="E2106" s="16" t="n"/>
      <c r="F2106" s="18">
        <f>IF(OR(D2106="",E2106=""),"",D2106*E2106)</f>
        <v/>
      </c>
      <c r="G2106" s="15" t="n"/>
    </row>
    <row r="2107">
      <c r="A2107" s="19" t="n"/>
      <c r="B2107" s="15" t="n"/>
      <c r="C2107">
        <f>IF(B2107="","",IFERROR(INDEX(Items!$B$5:$B$304,MATCH(B2107,Items!$A$5:$A$304,0)),"Unknown code"))</f>
        <v/>
      </c>
      <c r="D2107" s="15" t="n"/>
      <c r="E2107" s="16" t="n"/>
      <c r="F2107" s="18">
        <f>IF(OR(D2107="",E2107=""),"",D2107*E2107)</f>
        <v/>
      </c>
      <c r="G2107" s="15" t="n"/>
    </row>
    <row r="2108">
      <c r="A2108" s="19" t="n"/>
      <c r="B2108" s="15" t="n"/>
      <c r="C2108">
        <f>IF(B2108="","",IFERROR(INDEX(Items!$B$5:$B$304,MATCH(B2108,Items!$A$5:$A$304,0)),"Unknown code"))</f>
        <v/>
      </c>
      <c r="D2108" s="15" t="n"/>
      <c r="E2108" s="16" t="n"/>
      <c r="F2108" s="18">
        <f>IF(OR(D2108="",E2108=""),"",D2108*E2108)</f>
        <v/>
      </c>
      <c r="G2108" s="15" t="n"/>
    </row>
    <row r="2109">
      <c r="A2109" s="19" t="n"/>
      <c r="B2109" s="15" t="n"/>
      <c r="C2109">
        <f>IF(B2109="","",IFERROR(INDEX(Items!$B$5:$B$304,MATCH(B2109,Items!$A$5:$A$304,0)),"Unknown code"))</f>
        <v/>
      </c>
      <c r="D2109" s="15" t="n"/>
      <c r="E2109" s="16" t="n"/>
      <c r="F2109" s="18">
        <f>IF(OR(D2109="",E2109=""),"",D2109*E2109)</f>
        <v/>
      </c>
      <c r="G2109" s="15" t="n"/>
    </row>
    <row r="2110">
      <c r="A2110" s="19" t="n"/>
      <c r="B2110" s="15" t="n"/>
      <c r="C2110">
        <f>IF(B2110="","",IFERROR(INDEX(Items!$B$5:$B$304,MATCH(B2110,Items!$A$5:$A$304,0)),"Unknown code"))</f>
        <v/>
      </c>
      <c r="D2110" s="15" t="n"/>
      <c r="E2110" s="16" t="n"/>
      <c r="F2110" s="18">
        <f>IF(OR(D2110="",E2110=""),"",D2110*E2110)</f>
        <v/>
      </c>
      <c r="G2110" s="15" t="n"/>
    </row>
    <row r="2111">
      <c r="A2111" s="19" t="n"/>
      <c r="B2111" s="15" t="n"/>
      <c r="C2111">
        <f>IF(B2111="","",IFERROR(INDEX(Items!$B$5:$B$304,MATCH(B2111,Items!$A$5:$A$304,0)),"Unknown code"))</f>
        <v/>
      </c>
      <c r="D2111" s="15" t="n"/>
      <c r="E2111" s="16" t="n"/>
      <c r="F2111" s="18">
        <f>IF(OR(D2111="",E2111=""),"",D2111*E2111)</f>
        <v/>
      </c>
      <c r="G2111" s="15" t="n"/>
    </row>
    <row r="2112">
      <c r="A2112" s="19" t="n"/>
      <c r="B2112" s="15" t="n"/>
      <c r="C2112">
        <f>IF(B2112="","",IFERROR(INDEX(Items!$B$5:$B$304,MATCH(B2112,Items!$A$5:$A$304,0)),"Unknown code"))</f>
        <v/>
      </c>
      <c r="D2112" s="15" t="n"/>
      <c r="E2112" s="16" t="n"/>
      <c r="F2112" s="18">
        <f>IF(OR(D2112="",E2112=""),"",D2112*E2112)</f>
        <v/>
      </c>
      <c r="G2112" s="15" t="n"/>
    </row>
    <row r="2113">
      <c r="A2113" s="19" t="n"/>
      <c r="B2113" s="15" t="n"/>
      <c r="C2113">
        <f>IF(B2113="","",IFERROR(INDEX(Items!$B$5:$B$304,MATCH(B2113,Items!$A$5:$A$304,0)),"Unknown code"))</f>
        <v/>
      </c>
      <c r="D2113" s="15" t="n"/>
      <c r="E2113" s="16" t="n"/>
      <c r="F2113" s="18">
        <f>IF(OR(D2113="",E2113=""),"",D2113*E2113)</f>
        <v/>
      </c>
      <c r="G2113" s="15" t="n"/>
    </row>
    <row r="2114">
      <c r="A2114" s="19" t="n"/>
      <c r="B2114" s="15" t="n"/>
      <c r="C2114">
        <f>IF(B2114="","",IFERROR(INDEX(Items!$B$5:$B$304,MATCH(B2114,Items!$A$5:$A$304,0)),"Unknown code"))</f>
        <v/>
      </c>
      <c r="D2114" s="15" t="n"/>
      <c r="E2114" s="16" t="n"/>
      <c r="F2114" s="18">
        <f>IF(OR(D2114="",E2114=""),"",D2114*E2114)</f>
        <v/>
      </c>
      <c r="G2114" s="15" t="n"/>
    </row>
    <row r="2115">
      <c r="A2115" s="19" t="n"/>
      <c r="B2115" s="15" t="n"/>
      <c r="C2115">
        <f>IF(B2115="","",IFERROR(INDEX(Items!$B$5:$B$304,MATCH(B2115,Items!$A$5:$A$304,0)),"Unknown code"))</f>
        <v/>
      </c>
      <c r="D2115" s="15" t="n"/>
      <c r="E2115" s="16" t="n"/>
      <c r="F2115" s="18">
        <f>IF(OR(D2115="",E2115=""),"",D2115*E2115)</f>
        <v/>
      </c>
      <c r="G2115" s="15" t="n"/>
    </row>
    <row r="2116">
      <c r="A2116" s="19" t="n"/>
      <c r="B2116" s="15" t="n"/>
      <c r="C2116">
        <f>IF(B2116="","",IFERROR(INDEX(Items!$B$5:$B$304,MATCH(B2116,Items!$A$5:$A$304,0)),"Unknown code"))</f>
        <v/>
      </c>
      <c r="D2116" s="15" t="n"/>
      <c r="E2116" s="16" t="n"/>
      <c r="F2116" s="18">
        <f>IF(OR(D2116="",E2116=""),"",D2116*E2116)</f>
        <v/>
      </c>
      <c r="G2116" s="15" t="n"/>
    </row>
    <row r="2117">
      <c r="A2117" s="19" t="n"/>
      <c r="B2117" s="15" t="n"/>
      <c r="C2117">
        <f>IF(B2117="","",IFERROR(INDEX(Items!$B$5:$B$304,MATCH(B2117,Items!$A$5:$A$304,0)),"Unknown code"))</f>
        <v/>
      </c>
      <c r="D2117" s="15" t="n"/>
      <c r="E2117" s="16" t="n"/>
      <c r="F2117" s="18">
        <f>IF(OR(D2117="",E2117=""),"",D2117*E2117)</f>
        <v/>
      </c>
      <c r="G2117" s="15" t="n"/>
    </row>
    <row r="2118">
      <c r="A2118" s="19" t="n"/>
      <c r="B2118" s="15" t="n"/>
      <c r="C2118">
        <f>IF(B2118="","",IFERROR(INDEX(Items!$B$5:$B$304,MATCH(B2118,Items!$A$5:$A$304,0)),"Unknown code"))</f>
        <v/>
      </c>
      <c r="D2118" s="15" t="n"/>
      <c r="E2118" s="16" t="n"/>
      <c r="F2118" s="18">
        <f>IF(OR(D2118="",E2118=""),"",D2118*E2118)</f>
        <v/>
      </c>
      <c r="G2118" s="15" t="n"/>
    </row>
    <row r="2119">
      <c r="A2119" s="19" t="n"/>
      <c r="B2119" s="15" t="n"/>
      <c r="C2119">
        <f>IF(B2119="","",IFERROR(INDEX(Items!$B$5:$B$304,MATCH(B2119,Items!$A$5:$A$304,0)),"Unknown code"))</f>
        <v/>
      </c>
      <c r="D2119" s="15" t="n"/>
      <c r="E2119" s="16" t="n"/>
      <c r="F2119" s="18">
        <f>IF(OR(D2119="",E2119=""),"",D2119*E2119)</f>
        <v/>
      </c>
      <c r="G2119" s="15" t="n"/>
    </row>
    <row r="2120">
      <c r="A2120" s="19" t="n"/>
      <c r="B2120" s="15" t="n"/>
      <c r="C2120">
        <f>IF(B2120="","",IFERROR(INDEX(Items!$B$5:$B$304,MATCH(B2120,Items!$A$5:$A$304,0)),"Unknown code"))</f>
        <v/>
      </c>
      <c r="D2120" s="15" t="n"/>
      <c r="E2120" s="16" t="n"/>
      <c r="F2120" s="18">
        <f>IF(OR(D2120="",E2120=""),"",D2120*E2120)</f>
        <v/>
      </c>
      <c r="G2120" s="15" t="n"/>
    </row>
    <row r="2121">
      <c r="A2121" s="19" t="n"/>
      <c r="B2121" s="15" t="n"/>
      <c r="C2121">
        <f>IF(B2121="","",IFERROR(INDEX(Items!$B$5:$B$304,MATCH(B2121,Items!$A$5:$A$304,0)),"Unknown code"))</f>
        <v/>
      </c>
      <c r="D2121" s="15" t="n"/>
      <c r="E2121" s="16" t="n"/>
      <c r="F2121" s="18">
        <f>IF(OR(D2121="",E2121=""),"",D2121*E2121)</f>
        <v/>
      </c>
      <c r="G2121" s="15" t="n"/>
    </row>
    <row r="2122">
      <c r="A2122" s="19" t="n"/>
      <c r="B2122" s="15" t="n"/>
      <c r="C2122">
        <f>IF(B2122="","",IFERROR(INDEX(Items!$B$5:$B$304,MATCH(B2122,Items!$A$5:$A$304,0)),"Unknown code"))</f>
        <v/>
      </c>
      <c r="D2122" s="15" t="n"/>
      <c r="E2122" s="16" t="n"/>
      <c r="F2122" s="18">
        <f>IF(OR(D2122="",E2122=""),"",D2122*E2122)</f>
        <v/>
      </c>
      <c r="G2122" s="15" t="n"/>
    </row>
    <row r="2123">
      <c r="A2123" s="19" t="n"/>
      <c r="B2123" s="15" t="n"/>
      <c r="C2123">
        <f>IF(B2123="","",IFERROR(INDEX(Items!$B$5:$B$304,MATCH(B2123,Items!$A$5:$A$304,0)),"Unknown code"))</f>
        <v/>
      </c>
      <c r="D2123" s="15" t="n"/>
      <c r="E2123" s="16" t="n"/>
      <c r="F2123" s="18">
        <f>IF(OR(D2123="",E2123=""),"",D2123*E2123)</f>
        <v/>
      </c>
      <c r="G2123" s="15" t="n"/>
    </row>
    <row r="2124">
      <c r="A2124" s="19" t="n"/>
      <c r="B2124" s="15" t="n"/>
      <c r="C2124">
        <f>IF(B2124="","",IFERROR(INDEX(Items!$B$5:$B$304,MATCH(B2124,Items!$A$5:$A$304,0)),"Unknown code"))</f>
        <v/>
      </c>
      <c r="D2124" s="15" t="n"/>
      <c r="E2124" s="16" t="n"/>
      <c r="F2124" s="18">
        <f>IF(OR(D2124="",E2124=""),"",D2124*E2124)</f>
        <v/>
      </c>
      <c r="G2124" s="15" t="n"/>
    </row>
    <row r="2125">
      <c r="A2125" s="19" t="n"/>
      <c r="B2125" s="15" t="n"/>
      <c r="C2125">
        <f>IF(B2125="","",IFERROR(INDEX(Items!$B$5:$B$304,MATCH(B2125,Items!$A$5:$A$304,0)),"Unknown code"))</f>
        <v/>
      </c>
      <c r="D2125" s="15" t="n"/>
      <c r="E2125" s="16" t="n"/>
      <c r="F2125" s="18">
        <f>IF(OR(D2125="",E2125=""),"",D2125*E2125)</f>
        <v/>
      </c>
      <c r="G2125" s="15" t="n"/>
    </row>
    <row r="2126">
      <c r="A2126" s="19" t="n"/>
      <c r="B2126" s="15" t="n"/>
      <c r="C2126">
        <f>IF(B2126="","",IFERROR(INDEX(Items!$B$5:$B$304,MATCH(B2126,Items!$A$5:$A$304,0)),"Unknown code"))</f>
        <v/>
      </c>
      <c r="D2126" s="15" t="n"/>
      <c r="E2126" s="16" t="n"/>
      <c r="F2126" s="18">
        <f>IF(OR(D2126="",E2126=""),"",D2126*E2126)</f>
        <v/>
      </c>
      <c r="G2126" s="15" t="n"/>
    </row>
    <row r="2127">
      <c r="A2127" s="19" t="n"/>
      <c r="B2127" s="15" t="n"/>
      <c r="C2127">
        <f>IF(B2127="","",IFERROR(INDEX(Items!$B$5:$B$304,MATCH(B2127,Items!$A$5:$A$304,0)),"Unknown code"))</f>
        <v/>
      </c>
      <c r="D2127" s="15" t="n"/>
      <c r="E2127" s="16" t="n"/>
      <c r="F2127" s="18">
        <f>IF(OR(D2127="",E2127=""),"",D2127*E2127)</f>
        <v/>
      </c>
      <c r="G2127" s="15" t="n"/>
    </row>
    <row r="2128">
      <c r="A2128" s="19" t="n"/>
      <c r="B2128" s="15" t="n"/>
      <c r="C2128">
        <f>IF(B2128="","",IFERROR(INDEX(Items!$B$5:$B$304,MATCH(B2128,Items!$A$5:$A$304,0)),"Unknown code"))</f>
        <v/>
      </c>
      <c r="D2128" s="15" t="n"/>
      <c r="E2128" s="16" t="n"/>
      <c r="F2128" s="18">
        <f>IF(OR(D2128="",E2128=""),"",D2128*E2128)</f>
        <v/>
      </c>
      <c r="G2128" s="15" t="n"/>
    </row>
    <row r="2129">
      <c r="A2129" s="19" t="n"/>
      <c r="B2129" s="15" t="n"/>
      <c r="C2129">
        <f>IF(B2129="","",IFERROR(INDEX(Items!$B$5:$B$304,MATCH(B2129,Items!$A$5:$A$304,0)),"Unknown code"))</f>
        <v/>
      </c>
      <c r="D2129" s="15" t="n"/>
      <c r="E2129" s="16" t="n"/>
      <c r="F2129" s="18">
        <f>IF(OR(D2129="",E2129=""),"",D2129*E2129)</f>
        <v/>
      </c>
      <c r="G2129" s="15" t="n"/>
    </row>
    <row r="2130">
      <c r="A2130" s="19" t="n"/>
      <c r="B2130" s="15" t="n"/>
      <c r="C2130">
        <f>IF(B2130="","",IFERROR(INDEX(Items!$B$5:$B$304,MATCH(B2130,Items!$A$5:$A$304,0)),"Unknown code"))</f>
        <v/>
      </c>
      <c r="D2130" s="15" t="n"/>
      <c r="E2130" s="16" t="n"/>
      <c r="F2130" s="18">
        <f>IF(OR(D2130="",E2130=""),"",D2130*E2130)</f>
        <v/>
      </c>
      <c r="G2130" s="15" t="n"/>
    </row>
    <row r="2131">
      <c r="A2131" s="19" t="n"/>
      <c r="B2131" s="15" t="n"/>
      <c r="C2131">
        <f>IF(B2131="","",IFERROR(INDEX(Items!$B$5:$B$304,MATCH(B2131,Items!$A$5:$A$304,0)),"Unknown code"))</f>
        <v/>
      </c>
      <c r="D2131" s="15" t="n"/>
      <c r="E2131" s="16" t="n"/>
      <c r="F2131" s="18">
        <f>IF(OR(D2131="",E2131=""),"",D2131*E2131)</f>
        <v/>
      </c>
      <c r="G2131" s="15" t="n"/>
    </row>
    <row r="2132">
      <c r="A2132" s="19" t="n"/>
      <c r="B2132" s="15" t="n"/>
      <c r="C2132">
        <f>IF(B2132="","",IFERROR(INDEX(Items!$B$5:$B$304,MATCH(B2132,Items!$A$5:$A$304,0)),"Unknown code"))</f>
        <v/>
      </c>
      <c r="D2132" s="15" t="n"/>
      <c r="E2132" s="16" t="n"/>
      <c r="F2132" s="18">
        <f>IF(OR(D2132="",E2132=""),"",D2132*E2132)</f>
        <v/>
      </c>
      <c r="G2132" s="15" t="n"/>
    </row>
    <row r="2133">
      <c r="A2133" s="19" t="n"/>
      <c r="B2133" s="15" t="n"/>
      <c r="C2133">
        <f>IF(B2133="","",IFERROR(INDEX(Items!$B$5:$B$304,MATCH(B2133,Items!$A$5:$A$304,0)),"Unknown code"))</f>
        <v/>
      </c>
      <c r="D2133" s="15" t="n"/>
      <c r="E2133" s="16" t="n"/>
      <c r="F2133" s="18">
        <f>IF(OR(D2133="",E2133=""),"",D2133*E2133)</f>
        <v/>
      </c>
      <c r="G2133" s="15" t="n"/>
    </row>
    <row r="2134">
      <c r="A2134" s="19" t="n"/>
      <c r="B2134" s="15" t="n"/>
      <c r="C2134">
        <f>IF(B2134="","",IFERROR(INDEX(Items!$B$5:$B$304,MATCH(B2134,Items!$A$5:$A$304,0)),"Unknown code"))</f>
        <v/>
      </c>
      <c r="D2134" s="15" t="n"/>
      <c r="E2134" s="16" t="n"/>
      <c r="F2134" s="18">
        <f>IF(OR(D2134="",E2134=""),"",D2134*E2134)</f>
        <v/>
      </c>
      <c r="G2134" s="15" t="n"/>
    </row>
    <row r="2135">
      <c r="A2135" s="19" t="n"/>
      <c r="B2135" s="15" t="n"/>
      <c r="C2135">
        <f>IF(B2135="","",IFERROR(INDEX(Items!$B$5:$B$304,MATCH(B2135,Items!$A$5:$A$304,0)),"Unknown code"))</f>
        <v/>
      </c>
      <c r="D2135" s="15" t="n"/>
      <c r="E2135" s="16" t="n"/>
      <c r="F2135" s="18">
        <f>IF(OR(D2135="",E2135=""),"",D2135*E2135)</f>
        <v/>
      </c>
      <c r="G2135" s="15" t="n"/>
    </row>
    <row r="2136">
      <c r="A2136" s="19" t="n"/>
      <c r="B2136" s="15" t="n"/>
      <c r="C2136">
        <f>IF(B2136="","",IFERROR(INDEX(Items!$B$5:$B$304,MATCH(B2136,Items!$A$5:$A$304,0)),"Unknown code"))</f>
        <v/>
      </c>
      <c r="D2136" s="15" t="n"/>
      <c r="E2136" s="16" t="n"/>
      <c r="F2136" s="18">
        <f>IF(OR(D2136="",E2136=""),"",D2136*E2136)</f>
        <v/>
      </c>
      <c r="G2136" s="15" t="n"/>
    </row>
    <row r="2137">
      <c r="A2137" s="19" t="n"/>
      <c r="B2137" s="15" t="n"/>
      <c r="C2137">
        <f>IF(B2137="","",IFERROR(INDEX(Items!$B$5:$B$304,MATCH(B2137,Items!$A$5:$A$304,0)),"Unknown code"))</f>
        <v/>
      </c>
      <c r="D2137" s="15" t="n"/>
      <c r="E2137" s="16" t="n"/>
      <c r="F2137" s="18">
        <f>IF(OR(D2137="",E2137=""),"",D2137*E2137)</f>
        <v/>
      </c>
      <c r="G2137" s="15" t="n"/>
    </row>
    <row r="2138">
      <c r="A2138" s="19" t="n"/>
      <c r="B2138" s="15" t="n"/>
      <c r="C2138">
        <f>IF(B2138="","",IFERROR(INDEX(Items!$B$5:$B$304,MATCH(B2138,Items!$A$5:$A$304,0)),"Unknown code"))</f>
        <v/>
      </c>
      <c r="D2138" s="15" t="n"/>
      <c r="E2138" s="16" t="n"/>
      <c r="F2138" s="18">
        <f>IF(OR(D2138="",E2138=""),"",D2138*E2138)</f>
        <v/>
      </c>
      <c r="G2138" s="15" t="n"/>
    </row>
    <row r="2139">
      <c r="A2139" s="19" t="n"/>
      <c r="B2139" s="15" t="n"/>
      <c r="C2139">
        <f>IF(B2139="","",IFERROR(INDEX(Items!$B$5:$B$304,MATCH(B2139,Items!$A$5:$A$304,0)),"Unknown code"))</f>
        <v/>
      </c>
      <c r="D2139" s="15" t="n"/>
      <c r="E2139" s="16" t="n"/>
      <c r="F2139" s="18">
        <f>IF(OR(D2139="",E2139=""),"",D2139*E2139)</f>
        <v/>
      </c>
      <c r="G2139" s="15" t="n"/>
    </row>
    <row r="2140">
      <c r="A2140" s="19" t="n"/>
      <c r="B2140" s="15" t="n"/>
      <c r="C2140">
        <f>IF(B2140="","",IFERROR(INDEX(Items!$B$5:$B$304,MATCH(B2140,Items!$A$5:$A$304,0)),"Unknown code"))</f>
        <v/>
      </c>
      <c r="D2140" s="15" t="n"/>
      <c r="E2140" s="16" t="n"/>
      <c r="F2140" s="18">
        <f>IF(OR(D2140="",E2140=""),"",D2140*E2140)</f>
        <v/>
      </c>
      <c r="G2140" s="15" t="n"/>
    </row>
    <row r="2141">
      <c r="A2141" s="19" t="n"/>
      <c r="B2141" s="15" t="n"/>
      <c r="C2141">
        <f>IF(B2141="","",IFERROR(INDEX(Items!$B$5:$B$304,MATCH(B2141,Items!$A$5:$A$304,0)),"Unknown code"))</f>
        <v/>
      </c>
      <c r="D2141" s="15" t="n"/>
      <c r="E2141" s="16" t="n"/>
      <c r="F2141" s="18">
        <f>IF(OR(D2141="",E2141=""),"",D2141*E2141)</f>
        <v/>
      </c>
      <c r="G2141" s="15" t="n"/>
    </row>
    <row r="2142">
      <c r="A2142" s="19" t="n"/>
      <c r="B2142" s="15" t="n"/>
      <c r="C2142">
        <f>IF(B2142="","",IFERROR(INDEX(Items!$B$5:$B$304,MATCH(B2142,Items!$A$5:$A$304,0)),"Unknown code"))</f>
        <v/>
      </c>
      <c r="D2142" s="15" t="n"/>
      <c r="E2142" s="16" t="n"/>
      <c r="F2142" s="18">
        <f>IF(OR(D2142="",E2142=""),"",D2142*E2142)</f>
        <v/>
      </c>
      <c r="G2142" s="15" t="n"/>
    </row>
    <row r="2143">
      <c r="A2143" s="19" t="n"/>
      <c r="B2143" s="15" t="n"/>
      <c r="C2143">
        <f>IF(B2143="","",IFERROR(INDEX(Items!$B$5:$B$304,MATCH(B2143,Items!$A$5:$A$304,0)),"Unknown code"))</f>
        <v/>
      </c>
      <c r="D2143" s="15" t="n"/>
      <c r="E2143" s="16" t="n"/>
      <c r="F2143" s="18">
        <f>IF(OR(D2143="",E2143=""),"",D2143*E2143)</f>
        <v/>
      </c>
      <c r="G2143" s="15" t="n"/>
    </row>
    <row r="2144">
      <c r="A2144" s="19" t="n"/>
      <c r="B2144" s="15" t="n"/>
      <c r="C2144">
        <f>IF(B2144="","",IFERROR(INDEX(Items!$B$5:$B$304,MATCH(B2144,Items!$A$5:$A$304,0)),"Unknown code"))</f>
        <v/>
      </c>
      <c r="D2144" s="15" t="n"/>
      <c r="E2144" s="16" t="n"/>
      <c r="F2144" s="18">
        <f>IF(OR(D2144="",E2144=""),"",D2144*E2144)</f>
        <v/>
      </c>
      <c r="G2144" s="15" t="n"/>
    </row>
    <row r="2145">
      <c r="A2145" s="19" t="n"/>
      <c r="B2145" s="15" t="n"/>
      <c r="C2145">
        <f>IF(B2145="","",IFERROR(INDEX(Items!$B$5:$B$304,MATCH(B2145,Items!$A$5:$A$304,0)),"Unknown code"))</f>
        <v/>
      </c>
      <c r="D2145" s="15" t="n"/>
      <c r="E2145" s="16" t="n"/>
      <c r="F2145" s="18">
        <f>IF(OR(D2145="",E2145=""),"",D2145*E2145)</f>
        <v/>
      </c>
      <c r="G2145" s="15" t="n"/>
    </row>
    <row r="2146">
      <c r="A2146" s="19" t="n"/>
      <c r="B2146" s="15" t="n"/>
      <c r="C2146">
        <f>IF(B2146="","",IFERROR(INDEX(Items!$B$5:$B$304,MATCH(B2146,Items!$A$5:$A$304,0)),"Unknown code"))</f>
        <v/>
      </c>
      <c r="D2146" s="15" t="n"/>
      <c r="E2146" s="16" t="n"/>
      <c r="F2146" s="18">
        <f>IF(OR(D2146="",E2146=""),"",D2146*E2146)</f>
        <v/>
      </c>
      <c r="G2146" s="15" t="n"/>
    </row>
    <row r="2147">
      <c r="A2147" s="19" t="n"/>
      <c r="B2147" s="15" t="n"/>
      <c r="C2147">
        <f>IF(B2147="","",IFERROR(INDEX(Items!$B$5:$B$304,MATCH(B2147,Items!$A$5:$A$304,0)),"Unknown code"))</f>
        <v/>
      </c>
      <c r="D2147" s="15" t="n"/>
      <c r="E2147" s="16" t="n"/>
      <c r="F2147" s="18">
        <f>IF(OR(D2147="",E2147=""),"",D2147*E2147)</f>
        <v/>
      </c>
      <c r="G2147" s="15" t="n"/>
    </row>
    <row r="2148">
      <c r="A2148" s="19" t="n"/>
      <c r="B2148" s="15" t="n"/>
      <c r="C2148">
        <f>IF(B2148="","",IFERROR(INDEX(Items!$B$5:$B$304,MATCH(B2148,Items!$A$5:$A$304,0)),"Unknown code"))</f>
        <v/>
      </c>
      <c r="D2148" s="15" t="n"/>
      <c r="E2148" s="16" t="n"/>
      <c r="F2148" s="18">
        <f>IF(OR(D2148="",E2148=""),"",D2148*E2148)</f>
        <v/>
      </c>
      <c r="G2148" s="15" t="n"/>
    </row>
    <row r="2149">
      <c r="A2149" s="19" t="n"/>
      <c r="B2149" s="15" t="n"/>
      <c r="C2149">
        <f>IF(B2149="","",IFERROR(INDEX(Items!$B$5:$B$304,MATCH(B2149,Items!$A$5:$A$304,0)),"Unknown code"))</f>
        <v/>
      </c>
      <c r="D2149" s="15" t="n"/>
      <c r="E2149" s="16" t="n"/>
      <c r="F2149" s="18">
        <f>IF(OR(D2149="",E2149=""),"",D2149*E2149)</f>
        <v/>
      </c>
      <c r="G2149" s="15" t="n"/>
    </row>
    <row r="2150">
      <c r="A2150" s="19" t="n"/>
      <c r="B2150" s="15" t="n"/>
      <c r="C2150">
        <f>IF(B2150="","",IFERROR(INDEX(Items!$B$5:$B$304,MATCH(B2150,Items!$A$5:$A$304,0)),"Unknown code"))</f>
        <v/>
      </c>
      <c r="D2150" s="15" t="n"/>
      <c r="E2150" s="16" t="n"/>
      <c r="F2150" s="18">
        <f>IF(OR(D2150="",E2150=""),"",D2150*E2150)</f>
        <v/>
      </c>
      <c r="G2150" s="15" t="n"/>
    </row>
    <row r="2151">
      <c r="A2151" s="19" t="n"/>
      <c r="B2151" s="15" t="n"/>
      <c r="C2151">
        <f>IF(B2151="","",IFERROR(INDEX(Items!$B$5:$B$304,MATCH(B2151,Items!$A$5:$A$304,0)),"Unknown code"))</f>
        <v/>
      </c>
      <c r="D2151" s="15" t="n"/>
      <c r="E2151" s="16" t="n"/>
      <c r="F2151" s="18">
        <f>IF(OR(D2151="",E2151=""),"",D2151*E2151)</f>
        <v/>
      </c>
      <c r="G2151" s="15" t="n"/>
    </row>
    <row r="2152">
      <c r="A2152" s="19" t="n"/>
      <c r="B2152" s="15" t="n"/>
      <c r="C2152">
        <f>IF(B2152="","",IFERROR(INDEX(Items!$B$5:$B$304,MATCH(B2152,Items!$A$5:$A$304,0)),"Unknown code"))</f>
        <v/>
      </c>
      <c r="D2152" s="15" t="n"/>
      <c r="E2152" s="16" t="n"/>
      <c r="F2152" s="18">
        <f>IF(OR(D2152="",E2152=""),"",D2152*E2152)</f>
        <v/>
      </c>
      <c r="G2152" s="15" t="n"/>
    </row>
    <row r="2153">
      <c r="A2153" s="19" t="n"/>
      <c r="B2153" s="15" t="n"/>
      <c r="C2153">
        <f>IF(B2153="","",IFERROR(INDEX(Items!$B$5:$B$304,MATCH(B2153,Items!$A$5:$A$304,0)),"Unknown code"))</f>
        <v/>
      </c>
      <c r="D2153" s="15" t="n"/>
      <c r="E2153" s="16" t="n"/>
      <c r="F2153" s="18">
        <f>IF(OR(D2153="",E2153=""),"",D2153*E2153)</f>
        <v/>
      </c>
      <c r="G2153" s="15" t="n"/>
    </row>
    <row r="2154">
      <c r="A2154" s="19" t="n"/>
      <c r="B2154" s="15" t="n"/>
      <c r="C2154">
        <f>IF(B2154="","",IFERROR(INDEX(Items!$B$5:$B$304,MATCH(B2154,Items!$A$5:$A$304,0)),"Unknown code"))</f>
        <v/>
      </c>
      <c r="D2154" s="15" t="n"/>
      <c r="E2154" s="16" t="n"/>
      <c r="F2154" s="18">
        <f>IF(OR(D2154="",E2154=""),"",D2154*E2154)</f>
        <v/>
      </c>
      <c r="G2154" s="15" t="n"/>
    </row>
    <row r="2155">
      <c r="A2155" s="19" t="n"/>
      <c r="B2155" s="15" t="n"/>
      <c r="C2155">
        <f>IF(B2155="","",IFERROR(INDEX(Items!$B$5:$B$304,MATCH(B2155,Items!$A$5:$A$304,0)),"Unknown code"))</f>
        <v/>
      </c>
      <c r="D2155" s="15" t="n"/>
      <c r="E2155" s="16" t="n"/>
      <c r="F2155" s="18">
        <f>IF(OR(D2155="",E2155=""),"",D2155*E2155)</f>
        <v/>
      </c>
      <c r="G2155" s="15" t="n"/>
    </row>
    <row r="2156">
      <c r="A2156" s="19" t="n"/>
      <c r="B2156" s="15" t="n"/>
      <c r="C2156">
        <f>IF(B2156="","",IFERROR(INDEX(Items!$B$5:$B$304,MATCH(B2156,Items!$A$5:$A$304,0)),"Unknown code"))</f>
        <v/>
      </c>
      <c r="D2156" s="15" t="n"/>
      <c r="E2156" s="16" t="n"/>
      <c r="F2156" s="18">
        <f>IF(OR(D2156="",E2156=""),"",D2156*E2156)</f>
        <v/>
      </c>
      <c r="G2156" s="15" t="n"/>
    </row>
    <row r="2157">
      <c r="A2157" s="19" t="n"/>
      <c r="B2157" s="15" t="n"/>
      <c r="C2157">
        <f>IF(B2157="","",IFERROR(INDEX(Items!$B$5:$B$304,MATCH(B2157,Items!$A$5:$A$304,0)),"Unknown code"))</f>
        <v/>
      </c>
      <c r="D2157" s="15" t="n"/>
      <c r="E2157" s="16" t="n"/>
      <c r="F2157" s="18">
        <f>IF(OR(D2157="",E2157=""),"",D2157*E2157)</f>
        <v/>
      </c>
      <c r="G2157" s="15" t="n"/>
    </row>
    <row r="2158">
      <c r="A2158" s="19" t="n"/>
      <c r="B2158" s="15" t="n"/>
      <c r="C2158">
        <f>IF(B2158="","",IFERROR(INDEX(Items!$B$5:$B$304,MATCH(B2158,Items!$A$5:$A$304,0)),"Unknown code"))</f>
        <v/>
      </c>
      <c r="D2158" s="15" t="n"/>
      <c r="E2158" s="16" t="n"/>
      <c r="F2158" s="18">
        <f>IF(OR(D2158="",E2158=""),"",D2158*E2158)</f>
        <v/>
      </c>
      <c r="G2158" s="15" t="n"/>
    </row>
    <row r="2159">
      <c r="A2159" s="19" t="n"/>
      <c r="B2159" s="15" t="n"/>
      <c r="C2159">
        <f>IF(B2159="","",IFERROR(INDEX(Items!$B$5:$B$304,MATCH(B2159,Items!$A$5:$A$304,0)),"Unknown code"))</f>
        <v/>
      </c>
      <c r="D2159" s="15" t="n"/>
      <c r="E2159" s="16" t="n"/>
      <c r="F2159" s="18">
        <f>IF(OR(D2159="",E2159=""),"",D2159*E2159)</f>
        <v/>
      </c>
      <c r="G2159" s="15" t="n"/>
    </row>
    <row r="2160">
      <c r="A2160" s="19" t="n"/>
      <c r="B2160" s="15" t="n"/>
      <c r="C2160">
        <f>IF(B2160="","",IFERROR(INDEX(Items!$B$5:$B$304,MATCH(B2160,Items!$A$5:$A$304,0)),"Unknown code"))</f>
        <v/>
      </c>
      <c r="D2160" s="15" t="n"/>
      <c r="E2160" s="16" t="n"/>
      <c r="F2160" s="18">
        <f>IF(OR(D2160="",E2160=""),"",D2160*E2160)</f>
        <v/>
      </c>
      <c r="G2160" s="15" t="n"/>
    </row>
    <row r="2161">
      <c r="A2161" s="19" t="n"/>
      <c r="B2161" s="15" t="n"/>
      <c r="C2161">
        <f>IF(B2161="","",IFERROR(INDEX(Items!$B$5:$B$304,MATCH(B2161,Items!$A$5:$A$304,0)),"Unknown code"))</f>
        <v/>
      </c>
      <c r="D2161" s="15" t="n"/>
      <c r="E2161" s="16" t="n"/>
      <c r="F2161" s="18">
        <f>IF(OR(D2161="",E2161=""),"",D2161*E2161)</f>
        <v/>
      </c>
      <c r="G2161" s="15" t="n"/>
    </row>
    <row r="2162">
      <c r="A2162" s="19" t="n"/>
      <c r="B2162" s="15" t="n"/>
      <c r="C2162">
        <f>IF(B2162="","",IFERROR(INDEX(Items!$B$5:$B$304,MATCH(B2162,Items!$A$5:$A$304,0)),"Unknown code"))</f>
        <v/>
      </c>
      <c r="D2162" s="15" t="n"/>
      <c r="E2162" s="16" t="n"/>
      <c r="F2162" s="18">
        <f>IF(OR(D2162="",E2162=""),"",D2162*E2162)</f>
        <v/>
      </c>
      <c r="G2162" s="15" t="n"/>
    </row>
    <row r="2163">
      <c r="A2163" s="19" t="n"/>
      <c r="B2163" s="15" t="n"/>
      <c r="C2163">
        <f>IF(B2163="","",IFERROR(INDEX(Items!$B$5:$B$304,MATCH(B2163,Items!$A$5:$A$304,0)),"Unknown code"))</f>
        <v/>
      </c>
      <c r="D2163" s="15" t="n"/>
      <c r="E2163" s="16" t="n"/>
      <c r="F2163" s="18">
        <f>IF(OR(D2163="",E2163=""),"",D2163*E2163)</f>
        <v/>
      </c>
      <c r="G2163" s="15" t="n"/>
    </row>
    <row r="2164">
      <c r="A2164" s="19" t="n"/>
      <c r="B2164" s="15" t="n"/>
      <c r="C2164">
        <f>IF(B2164="","",IFERROR(INDEX(Items!$B$5:$B$304,MATCH(B2164,Items!$A$5:$A$304,0)),"Unknown code"))</f>
        <v/>
      </c>
      <c r="D2164" s="15" t="n"/>
      <c r="E2164" s="16" t="n"/>
      <c r="F2164" s="18">
        <f>IF(OR(D2164="",E2164=""),"",D2164*E2164)</f>
        <v/>
      </c>
      <c r="G2164" s="15" t="n"/>
    </row>
    <row r="2165">
      <c r="A2165" s="19" t="n"/>
      <c r="B2165" s="15" t="n"/>
      <c r="C2165">
        <f>IF(B2165="","",IFERROR(INDEX(Items!$B$5:$B$304,MATCH(B2165,Items!$A$5:$A$304,0)),"Unknown code"))</f>
        <v/>
      </c>
      <c r="D2165" s="15" t="n"/>
      <c r="E2165" s="16" t="n"/>
      <c r="F2165" s="18">
        <f>IF(OR(D2165="",E2165=""),"",D2165*E2165)</f>
        <v/>
      </c>
      <c r="G2165" s="15" t="n"/>
    </row>
    <row r="2166">
      <c r="A2166" s="19" t="n"/>
      <c r="B2166" s="15" t="n"/>
      <c r="C2166">
        <f>IF(B2166="","",IFERROR(INDEX(Items!$B$5:$B$304,MATCH(B2166,Items!$A$5:$A$304,0)),"Unknown code"))</f>
        <v/>
      </c>
      <c r="D2166" s="15" t="n"/>
      <c r="E2166" s="16" t="n"/>
      <c r="F2166" s="18">
        <f>IF(OR(D2166="",E2166=""),"",D2166*E2166)</f>
        <v/>
      </c>
      <c r="G2166" s="15" t="n"/>
    </row>
    <row r="2167">
      <c r="A2167" s="19" t="n"/>
      <c r="B2167" s="15" t="n"/>
      <c r="C2167">
        <f>IF(B2167="","",IFERROR(INDEX(Items!$B$5:$B$304,MATCH(B2167,Items!$A$5:$A$304,0)),"Unknown code"))</f>
        <v/>
      </c>
      <c r="D2167" s="15" t="n"/>
      <c r="E2167" s="16" t="n"/>
      <c r="F2167" s="18">
        <f>IF(OR(D2167="",E2167=""),"",D2167*E2167)</f>
        <v/>
      </c>
      <c r="G2167" s="15" t="n"/>
    </row>
    <row r="2168">
      <c r="A2168" s="19" t="n"/>
      <c r="B2168" s="15" t="n"/>
      <c r="C2168">
        <f>IF(B2168="","",IFERROR(INDEX(Items!$B$5:$B$304,MATCH(B2168,Items!$A$5:$A$304,0)),"Unknown code"))</f>
        <v/>
      </c>
      <c r="D2168" s="15" t="n"/>
      <c r="E2168" s="16" t="n"/>
      <c r="F2168" s="18">
        <f>IF(OR(D2168="",E2168=""),"",D2168*E2168)</f>
        <v/>
      </c>
      <c r="G2168" s="15" t="n"/>
    </row>
    <row r="2169">
      <c r="A2169" s="19" t="n"/>
      <c r="B2169" s="15" t="n"/>
      <c r="C2169">
        <f>IF(B2169="","",IFERROR(INDEX(Items!$B$5:$B$304,MATCH(B2169,Items!$A$5:$A$304,0)),"Unknown code"))</f>
        <v/>
      </c>
      <c r="D2169" s="15" t="n"/>
      <c r="E2169" s="16" t="n"/>
      <c r="F2169" s="18">
        <f>IF(OR(D2169="",E2169=""),"",D2169*E2169)</f>
        <v/>
      </c>
      <c r="G2169" s="15" t="n"/>
    </row>
    <row r="2170">
      <c r="A2170" s="19" t="n"/>
      <c r="B2170" s="15" t="n"/>
      <c r="C2170">
        <f>IF(B2170="","",IFERROR(INDEX(Items!$B$5:$B$304,MATCH(B2170,Items!$A$5:$A$304,0)),"Unknown code"))</f>
        <v/>
      </c>
      <c r="D2170" s="15" t="n"/>
      <c r="E2170" s="16" t="n"/>
      <c r="F2170" s="18">
        <f>IF(OR(D2170="",E2170=""),"",D2170*E2170)</f>
        <v/>
      </c>
      <c r="G2170" s="15" t="n"/>
    </row>
    <row r="2171">
      <c r="A2171" s="19" t="n"/>
      <c r="B2171" s="15" t="n"/>
      <c r="C2171">
        <f>IF(B2171="","",IFERROR(INDEX(Items!$B$5:$B$304,MATCH(B2171,Items!$A$5:$A$304,0)),"Unknown code"))</f>
        <v/>
      </c>
      <c r="D2171" s="15" t="n"/>
      <c r="E2171" s="16" t="n"/>
      <c r="F2171" s="18">
        <f>IF(OR(D2171="",E2171=""),"",D2171*E2171)</f>
        <v/>
      </c>
      <c r="G2171" s="15" t="n"/>
    </row>
    <row r="2172">
      <c r="A2172" s="19" t="n"/>
      <c r="B2172" s="15" t="n"/>
      <c r="C2172">
        <f>IF(B2172="","",IFERROR(INDEX(Items!$B$5:$B$304,MATCH(B2172,Items!$A$5:$A$304,0)),"Unknown code"))</f>
        <v/>
      </c>
      <c r="D2172" s="15" t="n"/>
      <c r="E2172" s="16" t="n"/>
      <c r="F2172" s="18">
        <f>IF(OR(D2172="",E2172=""),"",D2172*E2172)</f>
        <v/>
      </c>
      <c r="G2172" s="15" t="n"/>
    </row>
    <row r="2173">
      <c r="A2173" s="19" t="n"/>
      <c r="B2173" s="15" t="n"/>
      <c r="C2173">
        <f>IF(B2173="","",IFERROR(INDEX(Items!$B$5:$B$304,MATCH(B2173,Items!$A$5:$A$304,0)),"Unknown code"))</f>
        <v/>
      </c>
      <c r="D2173" s="15" t="n"/>
      <c r="E2173" s="16" t="n"/>
      <c r="F2173" s="18">
        <f>IF(OR(D2173="",E2173=""),"",D2173*E2173)</f>
        <v/>
      </c>
      <c r="G2173" s="15" t="n"/>
    </row>
    <row r="2174">
      <c r="A2174" s="19" t="n"/>
      <c r="B2174" s="15" t="n"/>
      <c r="C2174">
        <f>IF(B2174="","",IFERROR(INDEX(Items!$B$5:$B$304,MATCH(B2174,Items!$A$5:$A$304,0)),"Unknown code"))</f>
        <v/>
      </c>
      <c r="D2174" s="15" t="n"/>
      <c r="E2174" s="16" t="n"/>
      <c r="F2174" s="18">
        <f>IF(OR(D2174="",E2174=""),"",D2174*E2174)</f>
        <v/>
      </c>
      <c r="G2174" s="15" t="n"/>
    </row>
    <row r="2175">
      <c r="A2175" s="19" t="n"/>
      <c r="B2175" s="15" t="n"/>
      <c r="C2175">
        <f>IF(B2175="","",IFERROR(INDEX(Items!$B$5:$B$304,MATCH(B2175,Items!$A$5:$A$304,0)),"Unknown code"))</f>
        <v/>
      </c>
      <c r="D2175" s="15" t="n"/>
      <c r="E2175" s="16" t="n"/>
      <c r="F2175" s="18">
        <f>IF(OR(D2175="",E2175=""),"",D2175*E2175)</f>
        <v/>
      </c>
      <c r="G2175" s="15" t="n"/>
    </row>
    <row r="2176">
      <c r="A2176" s="19" t="n"/>
      <c r="B2176" s="15" t="n"/>
      <c r="C2176">
        <f>IF(B2176="","",IFERROR(INDEX(Items!$B$5:$B$304,MATCH(B2176,Items!$A$5:$A$304,0)),"Unknown code"))</f>
        <v/>
      </c>
      <c r="D2176" s="15" t="n"/>
      <c r="E2176" s="16" t="n"/>
      <c r="F2176" s="18">
        <f>IF(OR(D2176="",E2176=""),"",D2176*E2176)</f>
        <v/>
      </c>
      <c r="G2176" s="15" t="n"/>
    </row>
    <row r="2177">
      <c r="A2177" s="19" t="n"/>
      <c r="B2177" s="15" t="n"/>
      <c r="C2177">
        <f>IF(B2177="","",IFERROR(INDEX(Items!$B$5:$B$304,MATCH(B2177,Items!$A$5:$A$304,0)),"Unknown code"))</f>
        <v/>
      </c>
      <c r="D2177" s="15" t="n"/>
      <c r="E2177" s="16" t="n"/>
      <c r="F2177" s="18">
        <f>IF(OR(D2177="",E2177=""),"",D2177*E2177)</f>
        <v/>
      </c>
      <c r="G2177" s="15" t="n"/>
    </row>
    <row r="2178">
      <c r="A2178" s="19" t="n"/>
      <c r="B2178" s="15" t="n"/>
      <c r="C2178">
        <f>IF(B2178="","",IFERROR(INDEX(Items!$B$5:$B$304,MATCH(B2178,Items!$A$5:$A$304,0)),"Unknown code"))</f>
        <v/>
      </c>
      <c r="D2178" s="15" t="n"/>
      <c r="E2178" s="16" t="n"/>
      <c r="F2178" s="18">
        <f>IF(OR(D2178="",E2178=""),"",D2178*E2178)</f>
        <v/>
      </c>
      <c r="G2178" s="15" t="n"/>
    </row>
    <row r="2179">
      <c r="A2179" s="19" t="n"/>
      <c r="B2179" s="15" t="n"/>
      <c r="C2179">
        <f>IF(B2179="","",IFERROR(INDEX(Items!$B$5:$B$304,MATCH(B2179,Items!$A$5:$A$304,0)),"Unknown code"))</f>
        <v/>
      </c>
      <c r="D2179" s="15" t="n"/>
      <c r="E2179" s="16" t="n"/>
      <c r="F2179" s="18">
        <f>IF(OR(D2179="",E2179=""),"",D2179*E2179)</f>
        <v/>
      </c>
      <c r="G2179" s="15" t="n"/>
    </row>
    <row r="2180">
      <c r="A2180" s="19" t="n"/>
      <c r="B2180" s="15" t="n"/>
      <c r="C2180">
        <f>IF(B2180="","",IFERROR(INDEX(Items!$B$5:$B$304,MATCH(B2180,Items!$A$5:$A$304,0)),"Unknown code"))</f>
        <v/>
      </c>
      <c r="D2180" s="15" t="n"/>
      <c r="E2180" s="16" t="n"/>
      <c r="F2180" s="18">
        <f>IF(OR(D2180="",E2180=""),"",D2180*E2180)</f>
        <v/>
      </c>
      <c r="G2180" s="15" t="n"/>
    </row>
    <row r="2181">
      <c r="A2181" s="19" t="n"/>
      <c r="B2181" s="15" t="n"/>
      <c r="C2181">
        <f>IF(B2181="","",IFERROR(INDEX(Items!$B$5:$B$304,MATCH(B2181,Items!$A$5:$A$304,0)),"Unknown code"))</f>
        <v/>
      </c>
      <c r="D2181" s="15" t="n"/>
      <c r="E2181" s="16" t="n"/>
      <c r="F2181" s="18">
        <f>IF(OR(D2181="",E2181=""),"",D2181*E2181)</f>
        <v/>
      </c>
      <c r="G2181" s="15" t="n"/>
    </row>
    <row r="2182">
      <c r="A2182" s="19" t="n"/>
      <c r="B2182" s="15" t="n"/>
      <c r="C2182">
        <f>IF(B2182="","",IFERROR(INDEX(Items!$B$5:$B$304,MATCH(B2182,Items!$A$5:$A$304,0)),"Unknown code"))</f>
        <v/>
      </c>
      <c r="D2182" s="15" t="n"/>
      <c r="E2182" s="16" t="n"/>
      <c r="F2182" s="18">
        <f>IF(OR(D2182="",E2182=""),"",D2182*E2182)</f>
        <v/>
      </c>
      <c r="G2182" s="15" t="n"/>
    </row>
    <row r="2183">
      <c r="A2183" s="19" t="n"/>
      <c r="B2183" s="15" t="n"/>
      <c r="C2183">
        <f>IF(B2183="","",IFERROR(INDEX(Items!$B$5:$B$304,MATCH(B2183,Items!$A$5:$A$304,0)),"Unknown code"))</f>
        <v/>
      </c>
      <c r="D2183" s="15" t="n"/>
      <c r="E2183" s="16" t="n"/>
      <c r="F2183" s="18">
        <f>IF(OR(D2183="",E2183=""),"",D2183*E2183)</f>
        <v/>
      </c>
      <c r="G2183" s="15" t="n"/>
    </row>
    <row r="2184">
      <c r="A2184" s="19" t="n"/>
      <c r="B2184" s="15" t="n"/>
      <c r="C2184">
        <f>IF(B2184="","",IFERROR(INDEX(Items!$B$5:$B$304,MATCH(B2184,Items!$A$5:$A$304,0)),"Unknown code"))</f>
        <v/>
      </c>
      <c r="D2184" s="15" t="n"/>
      <c r="E2184" s="16" t="n"/>
      <c r="F2184" s="18">
        <f>IF(OR(D2184="",E2184=""),"",D2184*E2184)</f>
        <v/>
      </c>
      <c r="G2184" s="15" t="n"/>
    </row>
    <row r="2185">
      <c r="A2185" s="19" t="n"/>
      <c r="B2185" s="15" t="n"/>
      <c r="C2185">
        <f>IF(B2185="","",IFERROR(INDEX(Items!$B$5:$B$304,MATCH(B2185,Items!$A$5:$A$304,0)),"Unknown code"))</f>
        <v/>
      </c>
      <c r="D2185" s="15" t="n"/>
      <c r="E2185" s="16" t="n"/>
      <c r="F2185" s="18">
        <f>IF(OR(D2185="",E2185=""),"",D2185*E2185)</f>
        <v/>
      </c>
      <c r="G2185" s="15" t="n"/>
    </row>
    <row r="2186">
      <c r="A2186" s="19" t="n"/>
      <c r="B2186" s="15" t="n"/>
      <c r="C2186">
        <f>IF(B2186="","",IFERROR(INDEX(Items!$B$5:$B$304,MATCH(B2186,Items!$A$5:$A$304,0)),"Unknown code"))</f>
        <v/>
      </c>
      <c r="D2186" s="15" t="n"/>
      <c r="E2186" s="16" t="n"/>
      <c r="F2186" s="18">
        <f>IF(OR(D2186="",E2186=""),"",D2186*E2186)</f>
        <v/>
      </c>
      <c r="G2186" s="15" t="n"/>
    </row>
    <row r="2187">
      <c r="A2187" s="19" t="n"/>
      <c r="B2187" s="15" t="n"/>
      <c r="C2187">
        <f>IF(B2187="","",IFERROR(INDEX(Items!$B$5:$B$304,MATCH(B2187,Items!$A$5:$A$304,0)),"Unknown code"))</f>
        <v/>
      </c>
      <c r="D2187" s="15" t="n"/>
      <c r="E2187" s="16" t="n"/>
      <c r="F2187" s="18">
        <f>IF(OR(D2187="",E2187=""),"",D2187*E2187)</f>
        <v/>
      </c>
      <c r="G2187" s="15" t="n"/>
    </row>
    <row r="2188">
      <c r="A2188" s="19" t="n"/>
      <c r="B2188" s="15" t="n"/>
      <c r="C2188">
        <f>IF(B2188="","",IFERROR(INDEX(Items!$B$5:$B$304,MATCH(B2188,Items!$A$5:$A$304,0)),"Unknown code"))</f>
        <v/>
      </c>
      <c r="D2188" s="15" t="n"/>
      <c r="E2188" s="16" t="n"/>
      <c r="F2188" s="18">
        <f>IF(OR(D2188="",E2188=""),"",D2188*E2188)</f>
        <v/>
      </c>
      <c r="G2188" s="15" t="n"/>
    </row>
    <row r="2189">
      <c r="A2189" s="19" t="n"/>
      <c r="B2189" s="15" t="n"/>
      <c r="C2189">
        <f>IF(B2189="","",IFERROR(INDEX(Items!$B$5:$B$304,MATCH(B2189,Items!$A$5:$A$304,0)),"Unknown code"))</f>
        <v/>
      </c>
      <c r="D2189" s="15" t="n"/>
      <c r="E2189" s="16" t="n"/>
      <c r="F2189" s="18">
        <f>IF(OR(D2189="",E2189=""),"",D2189*E2189)</f>
        <v/>
      </c>
      <c r="G2189" s="15" t="n"/>
    </row>
    <row r="2190">
      <c r="A2190" s="19" t="n"/>
      <c r="B2190" s="15" t="n"/>
      <c r="C2190">
        <f>IF(B2190="","",IFERROR(INDEX(Items!$B$5:$B$304,MATCH(B2190,Items!$A$5:$A$304,0)),"Unknown code"))</f>
        <v/>
      </c>
      <c r="D2190" s="15" t="n"/>
      <c r="E2190" s="16" t="n"/>
      <c r="F2190" s="18">
        <f>IF(OR(D2190="",E2190=""),"",D2190*E2190)</f>
        <v/>
      </c>
      <c r="G2190" s="15" t="n"/>
    </row>
    <row r="2191">
      <c r="A2191" s="19" t="n"/>
      <c r="B2191" s="15" t="n"/>
      <c r="C2191">
        <f>IF(B2191="","",IFERROR(INDEX(Items!$B$5:$B$304,MATCH(B2191,Items!$A$5:$A$304,0)),"Unknown code"))</f>
        <v/>
      </c>
      <c r="D2191" s="15" t="n"/>
      <c r="E2191" s="16" t="n"/>
      <c r="F2191" s="18">
        <f>IF(OR(D2191="",E2191=""),"",D2191*E2191)</f>
        <v/>
      </c>
      <c r="G2191" s="15" t="n"/>
    </row>
    <row r="2192">
      <c r="A2192" s="19" t="n"/>
      <c r="B2192" s="15" t="n"/>
      <c r="C2192">
        <f>IF(B2192="","",IFERROR(INDEX(Items!$B$5:$B$304,MATCH(B2192,Items!$A$5:$A$304,0)),"Unknown code"))</f>
        <v/>
      </c>
      <c r="D2192" s="15" t="n"/>
      <c r="E2192" s="16" t="n"/>
      <c r="F2192" s="18">
        <f>IF(OR(D2192="",E2192=""),"",D2192*E2192)</f>
        <v/>
      </c>
      <c r="G2192" s="15" t="n"/>
    </row>
    <row r="2193">
      <c r="A2193" s="19" t="n"/>
      <c r="B2193" s="15" t="n"/>
      <c r="C2193">
        <f>IF(B2193="","",IFERROR(INDEX(Items!$B$5:$B$304,MATCH(B2193,Items!$A$5:$A$304,0)),"Unknown code"))</f>
        <v/>
      </c>
      <c r="D2193" s="15" t="n"/>
      <c r="E2193" s="16" t="n"/>
      <c r="F2193" s="18">
        <f>IF(OR(D2193="",E2193=""),"",D2193*E2193)</f>
        <v/>
      </c>
      <c r="G2193" s="15" t="n"/>
    </row>
    <row r="2194">
      <c r="A2194" s="19" t="n"/>
      <c r="B2194" s="15" t="n"/>
      <c r="C2194">
        <f>IF(B2194="","",IFERROR(INDEX(Items!$B$5:$B$304,MATCH(B2194,Items!$A$5:$A$304,0)),"Unknown code"))</f>
        <v/>
      </c>
      <c r="D2194" s="15" t="n"/>
      <c r="E2194" s="16" t="n"/>
      <c r="F2194" s="18">
        <f>IF(OR(D2194="",E2194=""),"",D2194*E2194)</f>
        <v/>
      </c>
      <c r="G2194" s="15" t="n"/>
    </row>
    <row r="2195">
      <c r="A2195" s="19" t="n"/>
      <c r="B2195" s="15" t="n"/>
      <c r="C2195">
        <f>IF(B2195="","",IFERROR(INDEX(Items!$B$5:$B$304,MATCH(B2195,Items!$A$5:$A$304,0)),"Unknown code"))</f>
        <v/>
      </c>
      <c r="D2195" s="15" t="n"/>
      <c r="E2195" s="16" t="n"/>
      <c r="F2195" s="18">
        <f>IF(OR(D2195="",E2195=""),"",D2195*E2195)</f>
        <v/>
      </c>
      <c r="G2195" s="15" t="n"/>
    </row>
    <row r="2196">
      <c r="A2196" s="19" t="n"/>
      <c r="B2196" s="15" t="n"/>
      <c r="C2196">
        <f>IF(B2196="","",IFERROR(INDEX(Items!$B$5:$B$304,MATCH(B2196,Items!$A$5:$A$304,0)),"Unknown code"))</f>
        <v/>
      </c>
      <c r="D2196" s="15" t="n"/>
      <c r="E2196" s="16" t="n"/>
      <c r="F2196" s="18">
        <f>IF(OR(D2196="",E2196=""),"",D2196*E2196)</f>
        <v/>
      </c>
      <c r="G2196" s="15" t="n"/>
    </row>
    <row r="2197">
      <c r="A2197" s="19" t="n"/>
      <c r="B2197" s="15" t="n"/>
      <c r="C2197">
        <f>IF(B2197="","",IFERROR(INDEX(Items!$B$5:$B$304,MATCH(B2197,Items!$A$5:$A$304,0)),"Unknown code"))</f>
        <v/>
      </c>
      <c r="D2197" s="15" t="n"/>
      <c r="E2197" s="16" t="n"/>
      <c r="F2197" s="18">
        <f>IF(OR(D2197="",E2197=""),"",D2197*E2197)</f>
        <v/>
      </c>
      <c r="G2197" s="15" t="n"/>
    </row>
    <row r="2198">
      <c r="A2198" s="19" t="n"/>
      <c r="B2198" s="15" t="n"/>
      <c r="C2198">
        <f>IF(B2198="","",IFERROR(INDEX(Items!$B$5:$B$304,MATCH(B2198,Items!$A$5:$A$304,0)),"Unknown code"))</f>
        <v/>
      </c>
      <c r="D2198" s="15" t="n"/>
      <c r="E2198" s="16" t="n"/>
      <c r="F2198" s="18">
        <f>IF(OR(D2198="",E2198=""),"",D2198*E2198)</f>
        <v/>
      </c>
      <c r="G2198" s="15" t="n"/>
    </row>
    <row r="2199">
      <c r="A2199" s="19" t="n"/>
      <c r="B2199" s="15" t="n"/>
      <c r="C2199">
        <f>IF(B2199="","",IFERROR(INDEX(Items!$B$5:$B$304,MATCH(B2199,Items!$A$5:$A$304,0)),"Unknown code"))</f>
        <v/>
      </c>
      <c r="D2199" s="15" t="n"/>
      <c r="E2199" s="16" t="n"/>
      <c r="F2199" s="18">
        <f>IF(OR(D2199="",E2199=""),"",D2199*E2199)</f>
        <v/>
      </c>
      <c r="G2199" s="15" t="n"/>
    </row>
    <row r="2200">
      <c r="A2200" s="19" t="n"/>
      <c r="B2200" s="15" t="n"/>
      <c r="C2200">
        <f>IF(B2200="","",IFERROR(INDEX(Items!$B$5:$B$304,MATCH(B2200,Items!$A$5:$A$304,0)),"Unknown code"))</f>
        <v/>
      </c>
      <c r="D2200" s="15" t="n"/>
      <c r="E2200" s="16" t="n"/>
      <c r="F2200" s="18">
        <f>IF(OR(D2200="",E2200=""),"",D2200*E2200)</f>
        <v/>
      </c>
      <c r="G2200" s="15" t="n"/>
    </row>
    <row r="2201">
      <c r="A2201" s="19" t="n"/>
      <c r="B2201" s="15" t="n"/>
      <c r="C2201">
        <f>IF(B2201="","",IFERROR(INDEX(Items!$B$5:$B$304,MATCH(B2201,Items!$A$5:$A$304,0)),"Unknown code"))</f>
        <v/>
      </c>
      <c r="D2201" s="15" t="n"/>
      <c r="E2201" s="16" t="n"/>
      <c r="F2201" s="18">
        <f>IF(OR(D2201="",E2201=""),"",D2201*E2201)</f>
        <v/>
      </c>
      <c r="G2201" s="15" t="n"/>
    </row>
    <row r="2202">
      <c r="A2202" s="19" t="n"/>
      <c r="B2202" s="15" t="n"/>
      <c r="C2202">
        <f>IF(B2202="","",IFERROR(INDEX(Items!$B$5:$B$304,MATCH(B2202,Items!$A$5:$A$304,0)),"Unknown code"))</f>
        <v/>
      </c>
      <c r="D2202" s="15" t="n"/>
      <c r="E2202" s="16" t="n"/>
      <c r="F2202" s="18">
        <f>IF(OR(D2202="",E2202=""),"",D2202*E2202)</f>
        <v/>
      </c>
      <c r="G2202" s="15" t="n"/>
    </row>
    <row r="2203">
      <c r="A2203" s="19" t="n"/>
      <c r="B2203" s="15" t="n"/>
      <c r="C2203">
        <f>IF(B2203="","",IFERROR(INDEX(Items!$B$5:$B$304,MATCH(B2203,Items!$A$5:$A$304,0)),"Unknown code"))</f>
        <v/>
      </c>
      <c r="D2203" s="15" t="n"/>
      <c r="E2203" s="16" t="n"/>
      <c r="F2203" s="18">
        <f>IF(OR(D2203="",E2203=""),"",D2203*E2203)</f>
        <v/>
      </c>
      <c r="G2203" s="15" t="n"/>
    </row>
    <row r="2204">
      <c r="A2204" s="19" t="n"/>
      <c r="B2204" s="15" t="n"/>
      <c r="C2204">
        <f>IF(B2204="","",IFERROR(INDEX(Items!$B$5:$B$304,MATCH(B2204,Items!$A$5:$A$304,0)),"Unknown code"))</f>
        <v/>
      </c>
      <c r="D2204" s="15" t="n"/>
      <c r="E2204" s="16" t="n"/>
      <c r="F2204" s="18">
        <f>IF(OR(D2204="",E2204=""),"",D2204*E2204)</f>
        <v/>
      </c>
      <c r="G2204" s="15" t="n"/>
    </row>
    <row r="2205">
      <c r="A2205" s="19" t="n"/>
      <c r="B2205" s="15" t="n"/>
      <c r="C2205">
        <f>IF(B2205="","",IFERROR(INDEX(Items!$B$5:$B$304,MATCH(B2205,Items!$A$5:$A$304,0)),"Unknown code"))</f>
        <v/>
      </c>
      <c r="D2205" s="15" t="n"/>
      <c r="E2205" s="16" t="n"/>
      <c r="F2205" s="18">
        <f>IF(OR(D2205="",E2205=""),"",D2205*E2205)</f>
        <v/>
      </c>
      <c r="G2205" s="15" t="n"/>
    </row>
    <row r="2206">
      <c r="A2206" s="19" t="n"/>
      <c r="B2206" s="15" t="n"/>
      <c r="C2206">
        <f>IF(B2206="","",IFERROR(INDEX(Items!$B$5:$B$304,MATCH(B2206,Items!$A$5:$A$304,0)),"Unknown code"))</f>
        <v/>
      </c>
      <c r="D2206" s="15" t="n"/>
      <c r="E2206" s="16" t="n"/>
      <c r="F2206" s="18">
        <f>IF(OR(D2206="",E2206=""),"",D2206*E2206)</f>
        <v/>
      </c>
      <c r="G2206" s="15" t="n"/>
    </row>
    <row r="2207">
      <c r="A2207" s="19" t="n"/>
      <c r="B2207" s="15" t="n"/>
      <c r="C2207">
        <f>IF(B2207="","",IFERROR(INDEX(Items!$B$5:$B$304,MATCH(B2207,Items!$A$5:$A$304,0)),"Unknown code"))</f>
        <v/>
      </c>
      <c r="D2207" s="15" t="n"/>
      <c r="E2207" s="16" t="n"/>
      <c r="F2207" s="18">
        <f>IF(OR(D2207="",E2207=""),"",D2207*E2207)</f>
        <v/>
      </c>
      <c r="G2207" s="15" t="n"/>
    </row>
    <row r="2208">
      <c r="A2208" s="19" t="n"/>
      <c r="B2208" s="15" t="n"/>
      <c r="C2208">
        <f>IF(B2208="","",IFERROR(INDEX(Items!$B$5:$B$304,MATCH(B2208,Items!$A$5:$A$304,0)),"Unknown code"))</f>
        <v/>
      </c>
      <c r="D2208" s="15" t="n"/>
      <c r="E2208" s="16" t="n"/>
      <c r="F2208" s="18">
        <f>IF(OR(D2208="",E2208=""),"",D2208*E2208)</f>
        <v/>
      </c>
      <c r="G2208" s="15" t="n"/>
    </row>
    <row r="2209">
      <c r="A2209" s="19" t="n"/>
      <c r="B2209" s="15" t="n"/>
      <c r="C2209">
        <f>IF(B2209="","",IFERROR(INDEX(Items!$B$5:$B$304,MATCH(B2209,Items!$A$5:$A$304,0)),"Unknown code"))</f>
        <v/>
      </c>
      <c r="D2209" s="15" t="n"/>
      <c r="E2209" s="16" t="n"/>
      <c r="F2209" s="18">
        <f>IF(OR(D2209="",E2209=""),"",D2209*E2209)</f>
        <v/>
      </c>
      <c r="G2209" s="15" t="n"/>
    </row>
    <row r="2210">
      <c r="A2210" s="19" t="n"/>
      <c r="B2210" s="15" t="n"/>
      <c r="C2210">
        <f>IF(B2210="","",IFERROR(INDEX(Items!$B$5:$B$304,MATCH(B2210,Items!$A$5:$A$304,0)),"Unknown code"))</f>
        <v/>
      </c>
      <c r="D2210" s="15" t="n"/>
      <c r="E2210" s="16" t="n"/>
      <c r="F2210" s="18">
        <f>IF(OR(D2210="",E2210=""),"",D2210*E2210)</f>
        <v/>
      </c>
      <c r="G2210" s="15" t="n"/>
    </row>
    <row r="2211">
      <c r="A2211" s="19" t="n"/>
      <c r="B2211" s="15" t="n"/>
      <c r="C2211">
        <f>IF(B2211="","",IFERROR(INDEX(Items!$B$5:$B$304,MATCH(B2211,Items!$A$5:$A$304,0)),"Unknown code"))</f>
        <v/>
      </c>
      <c r="D2211" s="15" t="n"/>
      <c r="E2211" s="16" t="n"/>
      <c r="F2211" s="18">
        <f>IF(OR(D2211="",E2211=""),"",D2211*E2211)</f>
        <v/>
      </c>
      <c r="G2211" s="15" t="n"/>
    </row>
    <row r="2212">
      <c r="A2212" s="19" t="n"/>
      <c r="B2212" s="15" t="n"/>
      <c r="C2212">
        <f>IF(B2212="","",IFERROR(INDEX(Items!$B$5:$B$304,MATCH(B2212,Items!$A$5:$A$304,0)),"Unknown code"))</f>
        <v/>
      </c>
      <c r="D2212" s="15" t="n"/>
      <c r="E2212" s="16" t="n"/>
      <c r="F2212" s="18">
        <f>IF(OR(D2212="",E2212=""),"",D2212*E2212)</f>
        <v/>
      </c>
      <c r="G2212" s="15" t="n"/>
    </row>
    <row r="2213">
      <c r="A2213" s="19" t="n"/>
      <c r="B2213" s="15" t="n"/>
      <c r="C2213">
        <f>IF(B2213="","",IFERROR(INDEX(Items!$B$5:$B$304,MATCH(B2213,Items!$A$5:$A$304,0)),"Unknown code"))</f>
        <v/>
      </c>
      <c r="D2213" s="15" t="n"/>
      <c r="E2213" s="16" t="n"/>
      <c r="F2213" s="18">
        <f>IF(OR(D2213="",E2213=""),"",D2213*E2213)</f>
        <v/>
      </c>
      <c r="G2213" s="15" t="n"/>
    </row>
    <row r="2214">
      <c r="A2214" s="19" t="n"/>
      <c r="B2214" s="15" t="n"/>
      <c r="C2214">
        <f>IF(B2214="","",IFERROR(INDEX(Items!$B$5:$B$304,MATCH(B2214,Items!$A$5:$A$304,0)),"Unknown code"))</f>
        <v/>
      </c>
      <c r="D2214" s="15" t="n"/>
      <c r="E2214" s="16" t="n"/>
      <c r="F2214" s="18">
        <f>IF(OR(D2214="",E2214=""),"",D2214*E2214)</f>
        <v/>
      </c>
      <c r="G2214" s="15" t="n"/>
    </row>
    <row r="2215">
      <c r="A2215" s="19" t="n"/>
      <c r="B2215" s="15" t="n"/>
      <c r="C2215">
        <f>IF(B2215="","",IFERROR(INDEX(Items!$B$5:$B$304,MATCH(B2215,Items!$A$5:$A$304,0)),"Unknown code"))</f>
        <v/>
      </c>
      <c r="D2215" s="15" t="n"/>
      <c r="E2215" s="16" t="n"/>
      <c r="F2215" s="18">
        <f>IF(OR(D2215="",E2215=""),"",D2215*E2215)</f>
        <v/>
      </c>
      <c r="G2215" s="15" t="n"/>
    </row>
    <row r="2216">
      <c r="A2216" s="19" t="n"/>
      <c r="B2216" s="15" t="n"/>
      <c r="C2216">
        <f>IF(B2216="","",IFERROR(INDEX(Items!$B$5:$B$304,MATCH(B2216,Items!$A$5:$A$304,0)),"Unknown code"))</f>
        <v/>
      </c>
      <c r="D2216" s="15" t="n"/>
      <c r="E2216" s="16" t="n"/>
      <c r="F2216" s="18">
        <f>IF(OR(D2216="",E2216=""),"",D2216*E2216)</f>
        <v/>
      </c>
      <c r="G2216" s="15" t="n"/>
    </row>
    <row r="2217">
      <c r="A2217" s="19" t="n"/>
      <c r="B2217" s="15" t="n"/>
      <c r="C2217">
        <f>IF(B2217="","",IFERROR(INDEX(Items!$B$5:$B$304,MATCH(B2217,Items!$A$5:$A$304,0)),"Unknown code"))</f>
        <v/>
      </c>
      <c r="D2217" s="15" t="n"/>
      <c r="E2217" s="16" t="n"/>
      <c r="F2217" s="18">
        <f>IF(OR(D2217="",E2217=""),"",D2217*E2217)</f>
        <v/>
      </c>
      <c r="G2217" s="15" t="n"/>
    </row>
    <row r="2218">
      <c r="A2218" s="19" t="n"/>
      <c r="B2218" s="15" t="n"/>
      <c r="C2218">
        <f>IF(B2218="","",IFERROR(INDEX(Items!$B$5:$B$304,MATCH(B2218,Items!$A$5:$A$304,0)),"Unknown code"))</f>
        <v/>
      </c>
      <c r="D2218" s="15" t="n"/>
      <c r="E2218" s="16" t="n"/>
      <c r="F2218" s="18">
        <f>IF(OR(D2218="",E2218=""),"",D2218*E2218)</f>
        <v/>
      </c>
      <c r="G2218" s="15" t="n"/>
    </row>
    <row r="2219">
      <c r="A2219" s="19" t="n"/>
      <c r="B2219" s="15" t="n"/>
      <c r="C2219">
        <f>IF(B2219="","",IFERROR(INDEX(Items!$B$5:$B$304,MATCH(B2219,Items!$A$5:$A$304,0)),"Unknown code"))</f>
        <v/>
      </c>
      <c r="D2219" s="15" t="n"/>
      <c r="E2219" s="16" t="n"/>
      <c r="F2219" s="18">
        <f>IF(OR(D2219="",E2219=""),"",D2219*E2219)</f>
        <v/>
      </c>
      <c r="G2219" s="15" t="n"/>
    </row>
    <row r="2220">
      <c r="A2220" s="19" t="n"/>
      <c r="B2220" s="15" t="n"/>
      <c r="C2220">
        <f>IF(B2220="","",IFERROR(INDEX(Items!$B$5:$B$304,MATCH(B2220,Items!$A$5:$A$304,0)),"Unknown code"))</f>
        <v/>
      </c>
      <c r="D2220" s="15" t="n"/>
      <c r="E2220" s="16" t="n"/>
      <c r="F2220" s="18">
        <f>IF(OR(D2220="",E2220=""),"",D2220*E2220)</f>
        <v/>
      </c>
      <c r="G2220" s="15" t="n"/>
    </row>
    <row r="2221">
      <c r="A2221" s="19" t="n"/>
      <c r="B2221" s="15" t="n"/>
      <c r="C2221">
        <f>IF(B2221="","",IFERROR(INDEX(Items!$B$5:$B$304,MATCH(B2221,Items!$A$5:$A$304,0)),"Unknown code"))</f>
        <v/>
      </c>
      <c r="D2221" s="15" t="n"/>
      <c r="E2221" s="16" t="n"/>
      <c r="F2221" s="18">
        <f>IF(OR(D2221="",E2221=""),"",D2221*E2221)</f>
        <v/>
      </c>
      <c r="G2221" s="15" t="n"/>
    </row>
    <row r="2222">
      <c r="A2222" s="19" t="n"/>
      <c r="B2222" s="15" t="n"/>
      <c r="C2222">
        <f>IF(B2222="","",IFERROR(INDEX(Items!$B$5:$B$304,MATCH(B2222,Items!$A$5:$A$304,0)),"Unknown code"))</f>
        <v/>
      </c>
      <c r="D2222" s="15" t="n"/>
      <c r="E2222" s="16" t="n"/>
      <c r="F2222" s="18">
        <f>IF(OR(D2222="",E2222=""),"",D2222*E2222)</f>
        <v/>
      </c>
      <c r="G2222" s="15" t="n"/>
    </row>
    <row r="2223">
      <c r="A2223" s="19" t="n"/>
      <c r="B2223" s="15" t="n"/>
      <c r="C2223">
        <f>IF(B2223="","",IFERROR(INDEX(Items!$B$5:$B$304,MATCH(B2223,Items!$A$5:$A$304,0)),"Unknown code"))</f>
        <v/>
      </c>
      <c r="D2223" s="15" t="n"/>
      <c r="E2223" s="16" t="n"/>
      <c r="F2223" s="18">
        <f>IF(OR(D2223="",E2223=""),"",D2223*E2223)</f>
        <v/>
      </c>
      <c r="G2223" s="15" t="n"/>
    </row>
    <row r="2224">
      <c r="A2224" s="19" t="n"/>
      <c r="B2224" s="15" t="n"/>
      <c r="C2224">
        <f>IF(B2224="","",IFERROR(INDEX(Items!$B$5:$B$304,MATCH(B2224,Items!$A$5:$A$304,0)),"Unknown code"))</f>
        <v/>
      </c>
      <c r="D2224" s="15" t="n"/>
      <c r="E2224" s="16" t="n"/>
      <c r="F2224" s="18">
        <f>IF(OR(D2224="",E2224=""),"",D2224*E2224)</f>
        <v/>
      </c>
      <c r="G2224" s="15" t="n"/>
    </row>
    <row r="2225">
      <c r="A2225" s="19" t="n"/>
      <c r="B2225" s="15" t="n"/>
      <c r="C2225">
        <f>IF(B2225="","",IFERROR(INDEX(Items!$B$5:$B$304,MATCH(B2225,Items!$A$5:$A$304,0)),"Unknown code"))</f>
        <v/>
      </c>
      <c r="D2225" s="15" t="n"/>
      <c r="E2225" s="16" t="n"/>
      <c r="F2225" s="18">
        <f>IF(OR(D2225="",E2225=""),"",D2225*E2225)</f>
        <v/>
      </c>
      <c r="G2225" s="15" t="n"/>
    </row>
    <row r="2226">
      <c r="A2226" s="19" t="n"/>
      <c r="B2226" s="15" t="n"/>
      <c r="C2226">
        <f>IF(B2226="","",IFERROR(INDEX(Items!$B$5:$B$304,MATCH(B2226,Items!$A$5:$A$304,0)),"Unknown code"))</f>
        <v/>
      </c>
      <c r="D2226" s="15" t="n"/>
      <c r="E2226" s="16" t="n"/>
      <c r="F2226" s="18">
        <f>IF(OR(D2226="",E2226=""),"",D2226*E2226)</f>
        <v/>
      </c>
      <c r="G2226" s="15" t="n"/>
    </row>
    <row r="2227">
      <c r="A2227" s="19" t="n"/>
      <c r="B2227" s="15" t="n"/>
      <c r="C2227">
        <f>IF(B2227="","",IFERROR(INDEX(Items!$B$5:$B$304,MATCH(B2227,Items!$A$5:$A$304,0)),"Unknown code"))</f>
        <v/>
      </c>
      <c r="D2227" s="15" t="n"/>
      <c r="E2227" s="16" t="n"/>
      <c r="F2227" s="18">
        <f>IF(OR(D2227="",E2227=""),"",D2227*E2227)</f>
        <v/>
      </c>
      <c r="G2227" s="15" t="n"/>
    </row>
    <row r="2228">
      <c r="A2228" s="19" t="n"/>
      <c r="B2228" s="15" t="n"/>
      <c r="C2228">
        <f>IF(B2228="","",IFERROR(INDEX(Items!$B$5:$B$304,MATCH(B2228,Items!$A$5:$A$304,0)),"Unknown code"))</f>
        <v/>
      </c>
      <c r="D2228" s="15" t="n"/>
      <c r="E2228" s="16" t="n"/>
      <c r="F2228" s="18">
        <f>IF(OR(D2228="",E2228=""),"",D2228*E2228)</f>
        <v/>
      </c>
      <c r="G2228" s="15" t="n"/>
    </row>
    <row r="2229">
      <c r="A2229" s="19" t="n"/>
      <c r="B2229" s="15" t="n"/>
      <c r="C2229">
        <f>IF(B2229="","",IFERROR(INDEX(Items!$B$5:$B$304,MATCH(B2229,Items!$A$5:$A$304,0)),"Unknown code"))</f>
        <v/>
      </c>
      <c r="D2229" s="15" t="n"/>
      <c r="E2229" s="16" t="n"/>
      <c r="F2229" s="18">
        <f>IF(OR(D2229="",E2229=""),"",D2229*E2229)</f>
        <v/>
      </c>
      <c r="G2229" s="15" t="n"/>
    </row>
    <row r="2230">
      <c r="A2230" s="19" t="n"/>
      <c r="B2230" s="15" t="n"/>
      <c r="C2230">
        <f>IF(B2230="","",IFERROR(INDEX(Items!$B$5:$B$304,MATCH(B2230,Items!$A$5:$A$304,0)),"Unknown code"))</f>
        <v/>
      </c>
      <c r="D2230" s="15" t="n"/>
      <c r="E2230" s="16" t="n"/>
      <c r="F2230" s="18">
        <f>IF(OR(D2230="",E2230=""),"",D2230*E2230)</f>
        <v/>
      </c>
      <c r="G2230" s="15" t="n"/>
    </row>
    <row r="2231">
      <c r="A2231" s="19" t="n"/>
      <c r="B2231" s="15" t="n"/>
      <c r="C2231">
        <f>IF(B2231="","",IFERROR(INDEX(Items!$B$5:$B$304,MATCH(B2231,Items!$A$5:$A$304,0)),"Unknown code"))</f>
        <v/>
      </c>
      <c r="D2231" s="15" t="n"/>
      <c r="E2231" s="16" t="n"/>
      <c r="F2231" s="18">
        <f>IF(OR(D2231="",E2231=""),"",D2231*E2231)</f>
        <v/>
      </c>
      <c r="G2231" s="15" t="n"/>
    </row>
    <row r="2232">
      <c r="A2232" s="19" t="n"/>
      <c r="B2232" s="15" t="n"/>
      <c r="C2232">
        <f>IF(B2232="","",IFERROR(INDEX(Items!$B$5:$B$304,MATCH(B2232,Items!$A$5:$A$304,0)),"Unknown code"))</f>
        <v/>
      </c>
      <c r="D2232" s="15" t="n"/>
      <c r="E2232" s="16" t="n"/>
      <c r="F2232" s="18">
        <f>IF(OR(D2232="",E2232=""),"",D2232*E2232)</f>
        <v/>
      </c>
      <c r="G2232" s="15" t="n"/>
    </row>
    <row r="2233">
      <c r="A2233" s="19" t="n"/>
      <c r="B2233" s="15" t="n"/>
      <c r="C2233">
        <f>IF(B2233="","",IFERROR(INDEX(Items!$B$5:$B$304,MATCH(B2233,Items!$A$5:$A$304,0)),"Unknown code"))</f>
        <v/>
      </c>
      <c r="D2233" s="15" t="n"/>
      <c r="E2233" s="16" t="n"/>
      <c r="F2233" s="18">
        <f>IF(OR(D2233="",E2233=""),"",D2233*E2233)</f>
        <v/>
      </c>
      <c r="G2233" s="15" t="n"/>
    </row>
    <row r="2234">
      <c r="A2234" s="19" t="n"/>
      <c r="B2234" s="15" t="n"/>
      <c r="C2234">
        <f>IF(B2234="","",IFERROR(INDEX(Items!$B$5:$B$304,MATCH(B2234,Items!$A$5:$A$304,0)),"Unknown code"))</f>
        <v/>
      </c>
      <c r="D2234" s="15" t="n"/>
      <c r="E2234" s="16" t="n"/>
      <c r="F2234" s="18">
        <f>IF(OR(D2234="",E2234=""),"",D2234*E2234)</f>
        <v/>
      </c>
      <c r="G2234" s="15" t="n"/>
    </row>
    <row r="2235">
      <c r="A2235" s="19" t="n"/>
      <c r="B2235" s="15" t="n"/>
      <c r="C2235">
        <f>IF(B2235="","",IFERROR(INDEX(Items!$B$5:$B$304,MATCH(B2235,Items!$A$5:$A$304,0)),"Unknown code"))</f>
        <v/>
      </c>
      <c r="D2235" s="15" t="n"/>
      <c r="E2235" s="16" t="n"/>
      <c r="F2235" s="18">
        <f>IF(OR(D2235="",E2235=""),"",D2235*E2235)</f>
        <v/>
      </c>
      <c r="G2235" s="15" t="n"/>
    </row>
    <row r="2236">
      <c r="A2236" s="19" t="n"/>
      <c r="B2236" s="15" t="n"/>
      <c r="C2236">
        <f>IF(B2236="","",IFERROR(INDEX(Items!$B$5:$B$304,MATCH(B2236,Items!$A$5:$A$304,0)),"Unknown code"))</f>
        <v/>
      </c>
      <c r="D2236" s="15" t="n"/>
      <c r="E2236" s="16" t="n"/>
      <c r="F2236" s="18">
        <f>IF(OR(D2236="",E2236=""),"",D2236*E2236)</f>
        <v/>
      </c>
      <c r="G2236" s="15" t="n"/>
    </row>
    <row r="2237">
      <c r="A2237" s="19" t="n"/>
      <c r="B2237" s="15" t="n"/>
      <c r="C2237">
        <f>IF(B2237="","",IFERROR(INDEX(Items!$B$5:$B$304,MATCH(B2237,Items!$A$5:$A$304,0)),"Unknown code"))</f>
        <v/>
      </c>
      <c r="D2237" s="15" t="n"/>
      <c r="E2237" s="16" t="n"/>
      <c r="F2237" s="18">
        <f>IF(OR(D2237="",E2237=""),"",D2237*E2237)</f>
        <v/>
      </c>
      <c r="G2237" s="15" t="n"/>
    </row>
    <row r="2238">
      <c r="A2238" s="19" t="n"/>
      <c r="B2238" s="15" t="n"/>
      <c r="C2238">
        <f>IF(B2238="","",IFERROR(INDEX(Items!$B$5:$B$304,MATCH(B2238,Items!$A$5:$A$304,0)),"Unknown code"))</f>
        <v/>
      </c>
      <c r="D2238" s="15" t="n"/>
      <c r="E2238" s="16" t="n"/>
      <c r="F2238" s="18">
        <f>IF(OR(D2238="",E2238=""),"",D2238*E2238)</f>
        <v/>
      </c>
      <c r="G2238" s="15" t="n"/>
    </row>
    <row r="2239">
      <c r="A2239" s="19" t="n"/>
      <c r="B2239" s="15" t="n"/>
      <c r="C2239">
        <f>IF(B2239="","",IFERROR(INDEX(Items!$B$5:$B$304,MATCH(B2239,Items!$A$5:$A$304,0)),"Unknown code"))</f>
        <v/>
      </c>
      <c r="D2239" s="15" t="n"/>
      <c r="E2239" s="16" t="n"/>
      <c r="F2239" s="18">
        <f>IF(OR(D2239="",E2239=""),"",D2239*E2239)</f>
        <v/>
      </c>
      <c r="G2239" s="15" t="n"/>
    </row>
    <row r="2240">
      <c r="A2240" s="19" t="n"/>
      <c r="B2240" s="15" t="n"/>
      <c r="C2240">
        <f>IF(B2240="","",IFERROR(INDEX(Items!$B$5:$B$304,MATCH(B2240,Items!$A$5:$A$304,0)),"Unknown code"))</f>
        <v/>
      </c>
      <c r="D2240" s="15" t="n"/>
      <c r="E2240" s="16" t="n"/>
      <c r="F2240" s="18">
        <f>IF(OR(D2240="",E2240=""),"",D2240*E2240)</f>
        <v/>
      </c>
      <c r="G2240" s="15" t="n"/>
    </row>
    <row r="2241">
      <c r="A2241" s="19" t="n"/>
      <c r="B2241" s="15" t="n"/>
      <c r="C2241">
        <f>IF(B2241="","",IFERROR(INDEX(Items!$B$5:$B$304,MATCH(B2241,Items!$A$5:$A$304,0)),"Unknown code"))</f>
        <v/>
      </c>
      <c r="D2241" s="15" t="n"/>
      <c r="E2241" s="16" t="n"/>
      <c r="F2241" s="18">
        <f>IF(OR(D2241="",E2241=""),"",D2241*E2241)</f>
        <v/>
      </c>
      <c r="G2241" s="15" t="n"/>
    </row>
    <row r="2242">
      <c r="A2242" s="19" t="n"/>
      <c r="B2242" s="15" t="n"/>
      <c r="C2242">
        <f>IF(B2242="","",IFERROR(INDEX(Items!$B$5:$B$304,MATCH(B2242,Items!$A$5:$A$304,0)),"Unknown code"))</f>
        <v/>
      </c>
      <c r="D2242" s="15" t="n"/>
      <c r="E2242" s="16" t="n"/>
      <c r="F2242" s="18">
        <f>IF(OR(D2242="",E2242=""),"",D2242*E2242)</f>
        <v/>
      </c>
      <c r="G2242" s="15" t="n"/>
    </row>
    <row r="2243">
      <c r="A2243" s="19" t="n"/>
      <c r="B2243" s="15" t="n"/>
      <c r="C2243">
        <f>IF(B2243="","",IFERROR(INDEX(Items!$B$5:$B$304,MATCH(B2243,Items!$A$5:$A$304,0)),"Unknown code"))</f>
        <v/>
      </c>
      <c r="D2243" s="15" t="n"/>
      <c r="E2243" s="16" t="n"/>
      <c r="F2243" s="18">
        <f>IF(OR(D2243="",E2243=""),"",D2243*E2243)</f>
        <v/>
      </c>
      <c r="G2243" s="15" t="n"/>
    </row>
    <row r="2244">
      <c r="A2244" s="19" t="n"/>
      <c r="B2244" s="15" t="n"/>
      <c r="C2244">
        <f>IF(B2244="","",IFERROR(INDEX(Items!$B$5:$B$304,MATCH(B2244,Items!$A$5:$A$304,0)),"Unknown code"))</f>
        <v/>
      </c>
      <c r="D2244" s="15" t="n"/>
      <c r="E2244" s="16" t="n"/>
      <c r="F2244" s="18">
        <f>IF(OR(D2244="",E2244=""),"",D2244*E2244)</f>
        <v/>
      </c>
      <c r="G2244" s="15" t="n"/>
    </row>
    <row r="2245">
      <c r="A2245" s="19" t="n"/>
      <c r="B2245" s="15" t="n"/>
      <c r="C2245">
        <f>IF(B2245="","",IFERROR(INDEX(Items!$B$5:$B$304,MATCH(B2245,Items!$A$5:$A$304,0)),"Unknown code"))</f>
        <v/>
      </c>
      <c r="D2245" s="15" t="n"/>
      <c r="E2245" s="16" t="n"/>
      <c r="F2245" s="18">
        <f>IF(OR(D2245="",E2245=""),"",D2245*E2245)</f>
        <v/>
      </c>
      <c r="G2245" s="15" t="n"/>
    </row>
    <row r="2246">
      <c r="A2246" s="19" t="n"/>
      <c r="B2246" s="15" t="n"/>
      <c r="C2246">
        <f>IF(B2246="","",IFERROR(INDEX(Items!$B$5:$B$304,MATCH(B2246,Items!$A$5:$A$304,0)),"Unknown code"))</f>
        <v/>
      </c>
      <c r="D2246" s="15" t="n"/>
      <c r="E2246" s="16" t="n"/>
      <c r="F2246" s="18">
        <f>IF(OR(D2246="",E2246=""),"",D2246*E2246)</f>
        <v/>
      </c>
      <c r="G2246" s="15" t="n"/>
    </row>
    <row r="2247">
      <c r="A2247" s="19" t="n"/>
      <c r="B2247" s="15" t="n"/>
      <c r="C2247">
        <f>IF(B2247="","",IFERROR(INDEX(Items!$B$5:$B$304,MATCH(B2247,Items!$A$5:$A$304,0)),"Unknown code"))</f>
        <v/>
      </c>
      <c r="D2247" s="15" t="n"/>
      <c r="E2247" s="16" t="n"/>
      <c r="F2247" s="18">
        <f>IF(OR(D2247="",E2247=""),"",D2247*E2247)</f>
        <v/>
      </c>
      <c r="G2247" s="15" t="n"/>
    </row>
    <row r="2248">
      <c r="A2248" s="19" t="n"/>
      <c r="B2248" s="15" t="n"/>
      <c r="C2248">
        <f>IF(B2248="","",IFERROR(INDEX(Items!$B$5:$B$304,MATCH(B2248,Items!$A$5:$A$304,0)),"Unknown code"))</f>
        <v/>
      </c>
      <c r="D2248" s="15" t="n"/>
      <c r="E2248" s="16" t="n"/>
      <c r="F2248" s="18">
        <f>IF(OR(D2248="",E2248=""),"",D2248*E2248)</f>
        <v/>
      </c>
      <c r="G2248" s="15" t="n"/>
    </row>
    <row r="2249">
      <c r="A2249" s="19" t="n"/>
      <c r="B2249" s="15" t="n"/>
      <c r="C2249">
        <f>IF(B2249="","",IFERROR(INDEX(Items!$B$5:$B$304,MATCH(B2249,Items!$A$5:$A$304,0)),"Unknown code"))</f>
        <v/>
      </c>
      <c r="D2249" s="15" t="n"/>
      <c r="E2249" s="16" t="n"/>
      <c r="F2249" s="18">
        <f>IF(OR(D2249="",E2249=""),"",D2249*E2249)</f>
        <v/>
      </c>
      <c r="G2249" s="15" t="n"/>
    </row>
    <row r="2250">
      <c r="A2250" s="19" t="n"/>
      <c r="B2250" s="15" t="n"/>
      <c r="C2250">
        <f>IF(B2250="","",IFERROR(INDEX(Items!$B$5:$B$304,MATCH(B2250,Items!$A$5:$A$304,0)),"Unknown code"))</f>
        <v/>
      </c>
      <c r="D2250" s="15" t="n"/>
      <c r="E2250" s="16" t="n"/>
      <c r="F2250" s="18">
        <f>IF(OR(D2250="",E2250=""),"",D2250*E2250)</f>
        <v/>
      </c>
      <c r="G2250" s="15" t="n"/>
    </row>
    <row r="2251">
      <c r="A2251" s="19" t="n"/>
      <c r="B2251" s="15" t="n"/>
      <c r="C2251">
        <f>IF(B2251="","",IFERROR(INDEX(Items!$B$5:$B$304,MATCH(B2251,Items!$A$5:$A$304,0)),"Unknown code"))</f>
        <v/>
      </c>
      <c r="D2251" s="15" t="n"/>
      <c r="E2251" s="16" t="n"/>
      <c r="F2251" s="18">
        <f>IF(OR(D2251="",E2251=""),"",D2251*E2251)</f>
        <v/>
      </c>
      <c r="G2251" s="15" t="n"/>
    </row>
    <row r="2252">
      <c r="A2252" s="19" t="n"/>
      <c r="B2252" s="15" t="n"/>
      <c r="C2252">
        <f>IF(B2252="","",IFERROR(INDEX(Items!$B$5:$B$304,MATCH(B2252,Items!$A$5:$A$304,0)),"Unknown code"))</f>
        <v/>
      </c>
      <c r="D2252" s="15" t="n"/>
      <c r="E2252" s="16" t="n"/>
      <c r="F2252" s="18">
        <f>IF(OR(D2252="",E2252=""),"",D2252*E2252)</f>
        <v/>
      </c>
      <c r="G2252" s="15" t="n"/>
    </row>
    <row r="2253">
      <c r="A2253" s="19" t="n"/>
      <c r="B2253" s="15" t="n"/>
      <c r="C2253">
        <f>IF(B2253="","",IFERROR(INDEX(Items!$B$5:$B$304,MATCH(B2253,Items!$A$5:$A$304,0)),"Unknown code"))</f>
        <v/>
      </c>
      <c r="D2253" s="15" t="n"/>
      <c r="E2253" s="16" t="n"/>
      <c r="F2253" s="18">
        <f>IF(OR(D2253="",E2253=""),"",D2253*E2253)</f>
        <v/>
      </c>
      <c r="G2253" s="15" t="n"/>
    </row>
    <row r="2254">
      <c r="A2254" s="19" t="n"/>
      <c r="B2254" s="15" t="n"/>
      <c r="C2254">
        <f>IF(B2254="","",IFERROR(INDEX(Items!$B$5:$B$304,MATCH(B2254,Items!$A$5:$A$304,0)),"Unknown code"))</f>
        <v/>
      </c>
      <c r="D2254" s="15" t="n"/>
      <c r="E2254" s="16" t="n"/>
      <c r="F2254" s="18">
        <f>IF(OR(D2254="",E2254=""),"",D2254*E2254)</f>
        <v/>
      </c>
      <c r="G2254" s="15" t="n"/>
    </row>
    <row r="2255">
      <c r="A2255" s="19" t="n"/>
      <c r="B2255" s="15" t="n"/>
      <c r="C2255">
        <f>IF(B2255="","",IFERROR(INDEX(Items!$B$5:$B$304,MATCH(B2255,Items!$A$5:$A$304,0)),"Unknown code"))</f>
        <v/>
      </c>
      <c r="D2255" s="15" t="n"/>
      <c r="E2255" s="16" t="n"/>
      <c r="F2255" s="18">
        <f>IF(OR(D2255="",E2255=""),"",D2255*E2255)</f>
        <v/>
      </c>
      <c r="G2255" s="15" t="n"/>
    </row>
    <row r="2256">
      <c r="A2256" s="19" t="n"/>
      <c r="B2256" s="15" t="n"/>
      <c r="C2256">
        <f>IF(B2256="","",IFERROR(INDEX(Items!$B$5:$B$304,MATCH(B2256,Items!$A$5:$A$304,0)),"Unknown code"))</f>
        <v/>
      </c>
      <c r="D2256" s="15" t="n"/>
      <c r="E2256" s="16" t="n"/>
      <c r="F2256" s="18">
        <f>IF(OR(D2256="",E2256=""),"",D2256*E2256)</f>
        <v/>
      </c>
      <c r="G2256" s="15" t="n"/>
    </row>
    <row r="2257">
      <c r="A2257" s="19" t="n"/>
      <c r="B2257" s="15" t="n"/>
      <c r="C2257">
        <f>IF(B2257="","",IFERROR(INDEX(Items!$B$5:$B$304,MATCH(B2257,Items!$A$5:$A$304,0)),"Unknown code"))</f>
        <v/>
      </c>
      <c r="D2257" s="15" t="n"/>
      <c r="E2257" s="16" t="n"/>
      <c r="F2257" s="18">
        <f>IF(OR(D2257="",E2257=""),"",D2257*E2257)</f>
        <v/>
      </c>
      <c r="G2257" s="15" t="n"/>
    </row>
    <row r="2258">
      <c r="A2258" s="19" t="n"/>
      <c r="B2258" s="15" t="n"/>
      <c r="C2258">
        <f>IF(B2258="","",IFERROR(INDEX(Items!$B$5:$B$304,MATCH(B2258,Items!$A$5:$A$304,0)),"Unknown code"))</f>
        <v/>
      </c>
      <c r="D2258" s="15" t="n"/>
      <c r="E2258" s="16" t="n"/>
      <c r="F2258" s="18">
        <f>IF(OR(D2258="",E2258=""),"",D2258*E2258)</f>
        <v/>
      </c>
      <c r="G2258" s="15" t="n"/>
    </row>
    <row r="2259">
      <c r="A2259" s="19" t="n"/>
      <c r="B2259" s="15" t="n"/>
      <c r="C2259">
        <f>IF(B2259="","",IFERROR(INDEX(Items!$B$5:$B$304,MATCH(B2259,Items!$A$5:$A$304,0)),"Unknown code"))</f>
        <v/>
      </c>
      <c r="D2259" s="15" t="n"/>
      <c r="E2259" s="16" t="n"/>
      <c r="F2259" s="18">
        <f>IF(OR(D2259="",E2259=""),"",D2259*E2259)</f>
        <v/>
      </c>
      <c r="G2259" s="15" t="n"/>
    </row>
    <row r="2260">
      <c r="A2260" s="19" t="n"/>
      <c r="B2260" s="15" t="n"/>
      <c r="C2260">
        <f>IF(B2260="","",IFERROR(INDEX(Items!$B$5:$B$304,MATCH(B2260,Items!$A$5:$A$304,0)),"Unknown code"))</f>
        <v/>
      </c>
      <c r="D2260" s="15" t="n"/>
      <c r="E2260" s="16" t="n"/>
      <c r="F2260" s="18">
        <f>IF(OR(D2260="",E2260=""),"",D2260*E2260)</f>
        <v/>
      </c>
      <c r="G2260" s="15" t="n"/>
    </row>
    <row r="2261">
      <c r="A2261" s="19" t="n"/>
      <c r="B2261" s="15" t="n"/>
      <c r="C2261">
        <f>IF(B2261="","",IFERROR(INDEX(Items!$B$5:$B$304,MATCH(B2261,Items!$A$5:$A$304,0)),"Unknown code"))</f>
        <v/>
      </c>
      <c r="D2261" s="15" t="n"/>
      <c r="E2261" s="16" t="n"/>
      <c r="F2261" s="18">
        <f>IF(OR(D2261="",E2261=""),"",D2261*E2261)</f>
        <v/>
      </c>
      <c r="G2261" s="15" t="n"/>
    </row>
    <row r="2262">
      <c r="A2262" s="19" t="n"/>
      <c r="B2262" s="15" t="n"/>
      <c r="C2262">
        <f>IF(B2262="","",IFERROR(INDEX(Items!$B$5:$B$304,MATCH(B2262,Items!$A$5:$A$304,0)),"Unknown code"))</f>
        <v/>
      </c>
      <c r="D2262" s="15" t="n"/>
      <c r="E2262" s="16" t="n"/>
      <c r="F2262" s="18">
        <f>IF(OR(D2262="",E2262=""),"",D2262*E2262)</f>
        <v/>
      </c>
      <c r="G2262" s="15" t="n"/>
    </row>
    <row r="2263">
      <c r="A2263" s="19" t="n"/>
      <c r="B2263" s="15" t="n"/>
      <c r="C2263">
        <f>IF(B2263="","",IFERROR(INDEX(Items!$B$5:$B$304,MATCH(B2263,Items!$A$5:$A$304,0)),"Unknown code"))</f>
        <v/>
      </c>
      <c r="D2263" s="15" t="n"/>
      <c r="E2263" s="16" t="n"/>
      <c r="F2263" s="18">
        <f>IF(OR(D2263="",E2263=""),"",D2263*E2263)</f>
        <v/>
      </c>
      <c r="G2263" s="15" t="n"/>
    </row>
    <row r="2264">
      <c r="A2264" s="19" t="n"/>
      <c r="B2264" s="15" t="n"/>
      <c r="C2264">
        <f>IF(B2264="","",IFERROR(INDEX(Items!$B$5:$B$304,MATCH(B2264,Items!$A$5:$A$304,0)),"Unknown code"))</f>
        <v/>
      </c>
      <c r="D2264" s="15" t="n"/>
      <c r="E2264" s="16" t="n"/>
      <c r="F2264" s="18">
        <f>IF(OR(D2264="",E2264=""),"",D2264*E2264)</f>
        <v/>
      </c>
      <c r="G2264" s="15" t="n"/>
    </row>
    <row r="2265">
      <c r="A2265" s="19" t="n"/>
      <c r="B2265" s="15" t="n"/>
      <c r="C2265">
        <f>IF(B2265="","",IFERROR(INDEX(Items!$B$5:$B$304,MATCH(B2265,Items!$A$5:$A$304,0)),"Unknown code"))</f>
        <v/>
      </c>
      <c r="D2265" s="15" t="n"/>
      <c r="E2265" s="16" t="n"/>
      <c r="F2265" s="18">
        <f>IF(OR(D2265="",E2265=""),"",D2265*E2265)</f>
        <v/>
      </c>
      <c r="G2265" s="15" t="n"/>
    </row>
    <row r="2266">
      <c r="A2266" s="19" t="n"/>
      <c r="B2266" s="15" t="n"/>
      <c r="C2266">
        <f>IF(B2266="","",IFERROR(INDEX(Items!$B$5:$B$304,MATCH(B2266,Items!$A$5:$A$304,0)),"Unknown code"))</f>
        <v/>
      </c>
      <c r="D2266" s="15" t="n"/>
      <c r="E2266" s="16" t="n"/>
      <c r="F2266" s="18">
        <f>IF(OR(D2266="",E2266=""),"",D2266*E2266)</f>
        <v/>
      </c>
      <c r="G2266" s="15" t="n"/>
    </row>
    <row r="2267">
      <c r="A2267" s="19" t="n"/>
      <c r="B2267" s="15" t="n"/>
      <c r="C2267">
        <f>IF(B2267="","",IFERROR(INDEX(Items!$B$5:$B$304,MATCH(B2267,Items!$A$5:$A$304,0)),"Unknown code"))</f>
        <v/>
      </c>
      <c r="D2267" s="15" t="n"/>
      <c r="E2267" s="16" t="n"/>
      <c r="F2267" s="18">
        <f>IF(OR(D2267="",E2267=""),"",D2267*E2267)</f>
        <v/>
      </c>
      <c r="G2267" s="15" t="n"/>
    </row>
    <row r="2268">
      <c r="A2268" s="19" t="n"/>
      <c r="B2268" s="15" t="n"/>
      <c r="C2268">
        <f>IF(B2268="","",IFERROR(INDEX(Items!$B$5:$B$304,MATCH(B2268,Items!$A$5:$A$304,0)),"Unknown code"))</f>
        <v/>
      </c>
      <c r="D2268" s="15" t="n"/>
      <c r="E2268" s="16" t="n"/>
      <c r="F2268" s="18">
        <f>IF(OR(D2268="",E2268=""),"",D2268*E2268)</f>
        <v/>
      </c>
      <c r="G2268" s="15" t="n"/>
    </row>
    <row r="2269">
      <c r="A2269" s="19" t="n"/>
      <c r="B2269" s="15" t="n"/>
      <c r="C2269">
        <f>IF(B2269="","",IFERROR(INDEX(Items!$B$5:$B$304,MATCH(B2269,Items!$A$5:$A$304,0)),"Unknown code"))</f>
        <v/>
      </c>
      <c r="D2269" s="15" t="n"/>
      <c r="E2269" s="16" t="n"/>
      <c r="F2269" s="18">
        <f>IF(OR(D2269="",E2269=""),"",D2269*E2269)</f>
        <v/>
      </c>
      <c r="G2269" s="15" t="n"/>
    </row>
    <row r="2270">
      <c r="A2270" s="19" t="n"/>
      <c r="B2270" s="15" t="n"/>
      <c r="C2270">
        <f>IF(B2270="","",IFERROR(INDEX(Items!$B$5:$B$304,MATCH(B2270,Items!$A$5:$A$304,0)),"Unknown code"))</f>
        <v/>
      </c>
      <c r="D2270" s="15" t="n"/>
      <c r="E2270" s="16" t="n"/>
      <c r="F2270" s="18">
        <f>IF(OR(D2270="",E2270=""),"",D2270*E2270)</f>
        <v/>
      </c>
      <c r="G2270" s="15" t="n"/>
    </row>
    <row r="2271">
      <c r="A2271" s="19" t="n"/>
      <c r="B2271" s="15" t="n"/>
      <c r="C2271">
        <f>IF(B2271="","",IFERROR(INDEX(Items!$B$5:$B$304,MATCH(B2271,Items!$A$5:$A$304,0)),"Unknown code"))</f>
        <v/>
      </c>
      <c r="D2271" s="15" t="n"/>
      <c r="E2271" s="16" t="n"/>
      <c r="F2271" s="18">
        <f>IF(OR(D2271="",E2271=""),"",D2271*E2271)</f>
        <v/>
      </c>
      <c r="G2271" s="15" t="n"/>
    </row>
    <row r="2272">
      <c r="A2272" s="19" t="n"/>
      <c r="B2272" s="15" t="n"/>
      <c r="C2272">
        <f>IF(B2272="","",IFERROR(INDEX(Items!$B$5:$B$304,MATCH(B2272,Items!$A$5:$A$304,0)),"Unknown code"))</f>
        <v/>
      </c>
      <c r="D2272" s="15" t="n"/>
      <c r="E2272" s="16" t="n"/>
      <c r="F2272" s="18">
        <f>IF(OR(D2272="",E2272=""),"",D2272*E2272)</f>
        <v/>
      </c>
      <c r="G2272" s="15" t="n"/>
    </row>
    <row r="2273">
      <c r="A2273" s="19" t="n"/>
      <c r="B2273" s="15" t="n"/>
      <c r="C2273">
        <f>IF(B2273="","",IFERROR(INDEX(Items!$B$5:$B$304,MATCH(B2273,Items!$A$5:$A$304,0)),"Unknown code"))</f>
        <v/>
      </c>
      <c r="D2273" s="15" t="n"/>
      <c r="E2273" s="16" t="n"/>
      <c r="F2273" s="18">
        <f>IF(OR(D2273="",E2273=""),"",D2273*E2273)</f>
        <v/>
      </c>
      <c r="G2273" s="15" t="n"/>
    </row>
    <row r="2274">
      <c r="A2274" s="19" t="n"/>
      <c r="B2274" s="15" t="n"/>
      <c r="C2274">
        <f>IF(B2274="","",IFERROR(INDEX(Items!$B$5:$B$304,MATCH(B2274,Items!$A$5:$A$304,0)),"Unknown code"))</f>
        <v/>
      </c>
      <c r="D2274" s="15" t="n"/>
      <c r="E2274" s="16" t="n"/>
      <c r="F2274" s="18">
        <f>IF(OR(D2274="",E2274=""),"",D2274*E2274)</f>
        <v/>
      </c>
      <c r="G2274" s="15" t="n"/>
    </row>
    <row r="2275">
      <c r="A2275" s="19" t="n"/>
      <c r="B2275" s="15" t="n"/>
      <c r="C2275">
        <f>IF(B2275="","",IFERROR(INDEX(Items!$B$5:$B$304,MATCH(B2275,Items!$A$5:$A$304,0)),"Unknown code"))</f>
        <v/>
      </c>
      <c r="D2275" s="15" t="n"/>
      <c r="E2275" s="16" t="n"/>
      <c r="F2275" s="18">
        <f>IF(OR(D2275="",E2275=""),"",D2275*E2275)</f>
        <v/>
      </c>
      <c r="G2275" s="15" t="n"/>
    </row>
    <row r="2276">
      <c r="A2276" s="19" t="n"/>
      <c r="B2276" s="15" t="n"/>
      <c r="C2276">
        <f>IF(B2276="","",IFERROR(INDEX(Items!$B$5:$B$304,MATCH(B2276,Items!$A$5:$A$304,0)),"Unknown code"))</f>
        <v/>
      </c>
      <c r="D2276" s="15" t="n"/>
      <c r="E2276" s="16" t="n"/>
      <c r="F2276" s="18">
        <f>IF(OR(D2276="",E2276=""),"",D2276*E2276)</f>
        <v/>
      </c>
      <c r="G2276" s="15" t="n"/>
    </row>
    <row r="2277">
      <c r="A2277" s="19" t="n"/>
      <c r="B2277" s="15" t="n"/>
      <c r="C2277">
        <f>IF(B2277="","",IFERROR(INDEX(Items!$B$5:$B$304,MATCH(B2277,Items!$A$5:$A$304,0)),"Unknown code"))</f>
        <v/>
      </c>
      <c r="D2277" s="15" t="n"/>
      <c r="E2277" s="16" t="n"/>
      <c r="F2277" s="18">
        <f>IF(OR(D2277="",E2277=""),"",D2277*E2277)</f>
        <v/>
      </c>
      <c r="G2277" s="15" t="n"/>
    </row>
    <row r="2278">
      <c r="A2278" s="19" t="n"/>
      <c r="B2278" s="15" t="n"/>
      <c r="C2278">
        <f>IF(B2278="","",IFERROR(INDEX(Items!$B$5:$B$304,MATCH(B2278,Items!$A$5:$A$304,0)),"Unknown code"))</f>
        <v/>
      </c>
      <c r="D2278" s="15" t="n"/>
      <c r="E2278" s="16" t="n"/>
      <c r="F2278" s="18">
        <f>IF(OR(D2278="",E2278=""),"",D2278*E2278)</f>
        <v/>
      </c>
      <c r="G2278" s="15" t="n"/>
    </row>
    <row r="2279">
      <c r="A2279" s="19" t="n"/>
      <c r="B2279" s="15" t="n"/>
      <c r="C2279">
        <f>IF(B2279="","",IFERROR(INDEX(Items!$B$5:$B$304,MATCH(B2279,Items!$A$5:$A$304,0)),"Unknown code"))</f>
        <v/>
      </c>
      <c r="D2279" s="15" t="n"/>
      <c r="E2279" s="16" t="n"/>
      <c r="F2279" s="18">
        <f>IF(OR(D2279="",E2279=""),"",D2279*E2279)</f>
        <v/>
      </c>
      <c r="G2279" s="15" t="n"/>
    </row>
    <row r="2280">
      <c r="A2280" s="19" t="n"/>
      <c r="B2280" s="15" t="n"/>
      <c r="C2280">
        <f>IF(B2280="","",IFERROR(INDEX(Items!$B$5:$B$304,MATCH(B2280,Items!$A$5:$A$304,0)),"Unknown code"))</f>
        <v/>
      </c>
      <c r="D2280" s="15" t="n"/>
      <c r="E2280" s="16" t="n"/>
      <c r="F2280" s="18">
        <f>IF(OR(D2280="",E2280=""),"",D2280*E2280)</f>
        <v/>
      </c>
      <c r="G2280" s="15" t="n"/>
    </row>
    <row r="2281">
      <c r="A2281" s="19" t="n"/>
      <c r="B2281" s="15" t="n"/>
      <c r="C2281">
        <f>IF(B2281="","",IFERROR(INDEX(Items!$B$5:$B$304,MATCH(B2281,Items!$A$5:$A$304,0)),"Unknown code"))</f>
        <v/>
      </c>
      <c r="D2281" s="15" t="n"/>
      <c r="E2281" s="16" t="n"/>
      <c r="F2281" s="18">
        <f>IF(OR(D2281="",E2281=""),"",D2281*E2281)</f>
        <v/>
      </c>
      <c r="G2281" s="15" t="n"/>
    </row>
    <row r="2282">
      <c r="A2282" s="19" t="n"/>
      <c r="B2282" s="15" t="n"/>
      <c r="C2282">
        <f>IF(B2282="","",IFERROR(INDEX(Items!$B$5:$B$304,MATCH(B2282,Items!$A$5:$A$304,0)),"Unknown code"))</f>
        <v/>
      </c>
      <c r="D2282" s="15" t="n"/>
      <c r="E2282" s="16" t="n"/>
      <c r="F2282" s="18">
        <f>IF(OR(D2282="",E2282=""),"",D2282*E2282)</f>
        <v/>
      </c>
      <c r="G2282" s="15" t="n"/>
    </row>
    <row r="2283">
      <c r="A2283" s="19" t="n"/>
      <c r="B2283" s="15" t="n"/>
      <c r="C2283">
        <f>IF(B2283="","",IFERROR(INDEX(Items!$B$5:$B$304,MATCH(B2283,Items!$A$5:$A$304,0)),"Unknown code"))</f>
        <v/>
      </c>
      <c r="D2283" s="15" t="n"/>
      <c r="E2283" s="16" t="n"/>
      <c r="F2283" s="18">
        <f>IF(OR(D2283="",E2283=""),"",D2283*E2283)</f>
        <v/>
      </c>
      <c r="G2283" s="15" t="n"/>
    </row>
    <row r="2284">
      <c r="A2284" s="19" t="n"/>
      <c r="B2284" s="15" t="n"/>
      <c r="C2284">
        <f>IF(B2284="","",IFERROR(INDEX(Items!$B$5:$B$304,MATCH(B2284,Items!$A$5:$A$304,0)),"Unknown code"))</f>
        <v/>
      </c>
      <c r="D2284" s="15" t="n"/>
      <c r="E2284" s="16" t="n"/>
      <c r="F2284" s="18">
        <f>IF(OR(D2284="",E2284=""),"",D2284*E2284)</f>
        <v/>
      </c>
      <c r="G2284" s="15" t="n"/>
    </row>
    <row r="2285">
      <c r="A2285" s="19" t="n"/>
      <c r="B2285" s="15" t="n"/>
      <c r="C2285">
        <f>IF(B2285="","",IFERROR(INDEX(Items!$B$5:$B$304,MATCH(B2285,Items!$A$5:$A$304,0)),"Unknown code"))</f>
        <v/>
      </c>
      <c r="D2285" s="15" t="n"/>
      <c r="E2285" s="16" t="n"/>
      <c r="F2285" s="18">
        <f>IF(OR(D2285="",E2285=""),"",D2285*E2285)</f>
        <v/>
      </c>
      <c r="G2285" s="15" t="n"/>
    </row>
    <row r="2286">
      <c r="A2286" s="19" t="n"/>
      <c r="B2286" s="15" t="n"/>
      <c r="C2286">
        <f>IF(B2286="","",IFERROR(INDEX(Items!$B$5:$B$304,MATCH(B2286,Items!$A$5:$A$304,0)),"Unknown code"))</f>
        <v/>
      </c>
      <c r="D2286" s="15" t="n"/>
      <c r="E2286" s="16" t="n"/>
      <c r="F2286" s="18">
        <f>IF(OR(D2286="",E2286=""),"",D2286*E2286)</f>
        <v/>
      </c>
      <c r="G2286" s="15" t="n"/>
    </row>
    <row r="2287">
      <c r="A2287" s="19" t="n"/>
      <c r="B2287" s="15" t="n"/>
      <c r="C2287">
        <f>IF(B2287="","",IFERROR(INDEX(Items!$B$5:$B$304,MATCH(B2287,Items!$A$5:$A$304,0)),"Unknown code"))</f>
        <v/>
      </c>
      <c r="D2287" s="15" t="n"/>
      <c r="E2287" s="16" t="n"/>
      <c r="F2287" s="18">
        <f>IF(OR(D2287="",E2287=""),"",D2287*E2287)</f>
        <v/>
      </c>
      <c r="G2287" s="15" t="n"/>
    </row>
    <row r="2288">
      <c r="A2288" s="19" t="n"/>
      <c r="B2288" s="15" t="n"/>
      <c r="C2288">
        <f>IF(B2288="","",IFERROR(INDEX(Items!$B$5:$B$304,MATCH(B2288,Items!$A$5:$A$304,0)),"Unknown code"))</f>
        <v/>
      </c>
      <c r="D2288" s="15" t="n"/>
      <c r="E2288" s="16" t="n"/>
      <c r="F2288" s="18">
        <f>IF(OR(D2288="",E2288=""),"",D2288*E2288)</f>
        <v/>
      </c>
      <c r="G2288" s="15" t="n"/>
    </row>
    <row r="2289">
      <c r="A2289" s="19" t="n"/>
      <c r="B2289" s="15" t="n"/>
      <c r="C2289">
        <f>IF(B2289="","",IFERROR(INDEX(Items!$B$5:$B$304,MATCH(B2289,Items!$A$5:$A$304,0)),"Unknown code"))</f>
        <v/>
      </c>
      <c r="D2289" s="15" t="n"/>
      <c r="E2289" s="16" t="n"/>
      <c r="F2289" s="18">
        <f>IF(OR(D2289="",E2289=""),"",D2289*E2289)</f>
        <v/>
      </c>
      <c r="G2289" s="15" t="n"/>
    </row>
    <row r="2290">
      <c r="A2290" s="19" t="n"/>
      <c r="B2290" s="15" t="n"/>
      <c r="C2290">
        <f>IF(B2290="","",IFERROR(INDEX(Items!$B$5:$B$304,MATCH(B2290,Items!$A$5:$A$304,0)),"Unknown code"))</f>
        <v/>
      </c>
      <c r="D2290" s="15" t="n"/>
      <c r="E2290" s="16" t="n"/>
      <c r="F2290" s="18">
        <f>IF(OR(D2290="",E2290=""),"",D2290*E2290)</f>
        <v/>
      </c>
      <c r="G2290" s="15" t="n"/>
    </row>
    <row r="2291">
      <c r="A2291" s="19" t="n"/>
      <c r="B2291" s="15" t="n"/>
      <c r="C2291">
        <f>IF(B2291="","",IFERROR(INDEX(Items!$B$5:$B$304,MATCH(B2291,Items!$A$5:$A$304,0)),"Unknown code"))</f>
        <v/>
      </c>
      <c r="D2291" s="15" t="n"/>
      <c r="E2291" s="16" t="n"/>
      <c r="F2291" s="18">
        <f>IF(OR(D2291="",E2291=""),"",D2291*E2291)</f>
        <v/>
      </c>
      <c r="G2291" s="15" t="n"/>
    </row>
    <row r="2292">
      <c r="A2292" s="19" t="n"/>
      <c r="B2292" s="15" t="n"/>
      <c r="C2292">
        <f>IF(B2292="","",IFERROR(INDEX(Items!$B$5:$B$304,MATCH(B2292,Items!$A$5:$A$304,0)),"Unknown code"))</f>
        <v/>
      </c>
      <c r="D2292" s="15" t="n"/>
      <c r="E2292" s="16" t="n"/>
      <c r="F2292" s="18">
        <f>IF(OR(D2292="",E2292=""),"",D2292*E2292)</f>
        <v/>
      </c>
      <c r="G2292" s="15" t="n"/>
    </row>
    <row r="2293">
      <c r="A2293" s="19" t="n"/>
      <c r="B2293" s="15" t="n"/>
      <c r="C2293">
        <f>IF(B2293="","",IFERROR(INDEX(Items!$B$5:$B$304,MATCH(B2293,Items!$A$5:$A$304,0)),"Unknown code"))</f>
        <v/>
      </c>
      <c r="D2293" s="15" t="n"/>
      <c r="E2293" s="16" t="n"/>
      <c r="F2293" s="18">
        <f>IF(OR(D2293="",E2293=""),"",D2293*E2293)</f>
        <v/>
      </c>
      <c r="G2293" s="15" t="n"/>
    </row>
    <row r="2294">
      <c r="A2294" s="19" t="n"/>
      <c r="B2294" s="15" t="n"/>
      <c r="C2294">
        <f>IF(B2294="","",IFERROR(INDEX(Items!$B$5:$B$304,MATCH(B2294,Items!$A$5:$A$304,0)),"Unknown code"))</f>
        <v/>
      </c>
      <c r="D2294" s="15" t="n"/>
      <c r="E2294" s="16" t="n"/>
      <c r="F2294" s="18">
        <f>IF(OR(D2294="",E2294=""),"",D2294*E2294)</f>
        <v/>
      </c>
      <c r="G2294" s="15" t="n"/>
    </row>
    <row r="2295">
      <c r="A2295" s="19" t="n"/>
      <c r="B2295" s="15" t="n"/>
      <c r="C2295">
        <f>IF(B2295="","",IFERROR(INDEX(Items!$B$5:$B$304,MATCH(B2295,Items!$A$5:$A$304,0)),"Unknown code"))</f>
        <v/>
      </c>
      <c r="D2295" s="15" t="n"/>
      <c r="E2295" s="16" t="n"/>
      <c r="F2295" s="18">
        <f>IF(OR(D2295="",E2295=""),"",D2295*E2295)</f>
        <v/>
      </c>
      <c r="G2295" s="15" t="n"/>
    </row>
    <row r="2296">
      <c r="A2296" s="19" t="n"/>
      <c r="B2296" s="15" t="n"/>
      <c r="C2296">
        <f>IF(B2296="","",IFERROR(INDEX(Items!$B$5:$B$304,MATCH(B2296,Items!$A$5:$A$304,0)),"Unknown code"))</f>
        <v/>
      </c>
      <c r="D2296" s="15" t="n"/>
      <c r="E2296" s="16" t="n"/>
      <c r="F2296" s="18">
        <f>IF(OR(D2296="",E2296=""),"",D2296*E2296)</f>
        <v/>
      </c>
      <c r="G2296" s="15" t="n"/>
    </row>
    <row r="2297">
      <c r="A2297" s="19" t="n"/>
      <c r="B2297" s="15" t="n"/>
      <c r="C2297">
        <f>IF(B2297="","",IFERROR(INDEX(Items!$B$5:$B$304,MATCH(B2297,Items!$A$5:$A$304,0)),"Unknown code"))</f>
        <v/>
      </c>
      <c r="D2297" s="15" t="n"/>
      <c r="E2297" s="16" t="n"/>
      <c r="F2297" s="18">
        <f>IF(OR(D2297="",E2297=""),"",D2297*E2297)</f>
        <v/>
      </c>
      <c r="G2297" s="15" t="n"/>
    </row>
    <row r="2298">
      <c r="A2298" s="19" t="n"/>
      <c r="B2298" s="15" t="n"/>
      <c r="C2298">
        <f>IF(B2298="","",IFERROR(INDEX(Items!$B$5:$B$304,MATCH(B2298,Items!$A$5:$A$304,0)),"Unknown code"))</f>
        <v/>
      </c>
      <c r="D2298" s="15" t="n"/>
      <c r="E2298" s="16" t="n"/>
      <c r="F2298" s="18">
        <f>IF(OR(D2298="",E2298=""),"",D2298*E2298)</f>
        <v/>
      </c>
      <c r="G2298" s="15" t="n"/>
    </row>
    <row r="2299">
      <c r="A2299" s="19" t="n"/>
      <c r="B2299" s="15" t="n"/>
      <c r="C2299">
        <f>IF(B2299="","",IFERROR(INDEX(Items!$B$5:$B$304,MATCH(B2299,Items!$A$5:$A$304,0)),"Unknown code"))</f>
        <v/>
      </c>
      <c r="D2299" s="15" t="n"/>
      <c r="E2299" s="16" t="n"/>
      <c r="F2299" s="18">
        <f>IF(OR(D2299="",E2299=""),"",D2299*E2299)</f>
        <v/>
      </c>
      <c r="G2299" s="15" t="n"/>
    </row>
    <row r="2300">
      <c r="A2300" s="19" t="n"/>
      <c r="B2300" s="15" t="n"/>
      <c r="C2300">
        <f>IF(B2300="","",IFERROR(INDEX(Items!$B$5:$B$304,MATCH(B2300,Items!$A$5:$A$304,0)),"Unknown code"))</f>
        <v/>
      </c>
      <c r="D2300" s="15" t="n"/>
      <c r="E2300" s="16" t="n"/>
      <c r="F2300" s="18">
        <f>IF(OR(D2300="",E2300=""),"",D2300*E2300)</f>
        <v/>
      </c>
      <c r="G2300" s="15" t="n"/>
    </row>
    <row r="2301">
      <c r="A2301" s="19" t="n"/>
      <c r="B2301" s="15" t="n"/>
      <c r="C2301">
        <f>IF(B2301="","",IFERROR(INDEX(Items!$B$5:$B$304,MATCH(B2301,Items!$A$5:$A$304,0)),"Unknown code"))</f>
        <v/>
      </c>
      <c r="D2301" s="15" t="n"/>
      <c r="E2301" s="16" t="n"/>
      <c r="F2301" s="18">
        <f>IF(OR(D2301="",E2301=""),"",D2301*E2301)</f>
        <v/>
      </c>
      <c r="G2301" s="15" t="n"/>
    </row>
    <row r="2302">
      <c r="A2302" s="19" t="n"/>
      <c r="B2302" s="15" t="n"/>
      <c r="C2302">
        <f>IF(B2302="","",IFERROR(INDEX(Items!$B$5:$B$304,MATCH(B2302,Items!$A$5:$A$304,0)),"Unknown code"))</f>
        <v/>
      </c>
      <c r="D2302" s="15" t="n"/>
      <c r="E2302" s="16" t="n"/>
      <c r="F2302" s="18">
        <f>IF(OR(D2302="",E2302=""),"",D2302*E2302)</f>
        <v/>
      </c>
      <c r="G2302" s="15" t="n"/>
    </row>
    <row r="2303">
      <c r="A2303" s="19" t="n"/>
      <c r="B2303" s="15" t="n"/>
      <c r="C2303">
        <f>IF(B2303="","",IFERROR(INDEX(Items!$B$5:$B$304,MATCH(B2303,Items!$A$5:$A$304,0)),"Unknown code"))</f>
        <v/>
      </c>
      <c r="D2303" s="15" t="n"/>
      <c r="E2303" s="16" t="n"/>
      <c r="F2303" s="18">
        <f>IF(OR(D2303="",E2303=""),"",D2303*E2303)</f>
        <v/>
      </c>
      <c r="G2303" s="15" t="n"/>
    </row>
    <row r="2304">
      <c r="A2304" s="19" t="n"/>
      <c r="B2304" s="15" t="n"/>
      <c r="C2304">
        <f>IF(B2304="","",IFERROR(INDEX(Items!$B$5:$B$304,MATCH(B2304,Items!$A$5:$A$304,0)),"Unknown code"))</f>
        <v/>
      </c>
      <c r="D2304" s="15" t="n"/>
      <c r="E2304" s="16" t="n"/>
      <c r="F2304" s="18">
        <f>IF(OR(D2304="",E2304=""),"",D2304*E2304)</f>
        <v/>
      </c>
      <c r="G2304" s="15" t="n"/>
    </row>
    <row r="2305">
      <c r="A2305" s="19" t="n"/>
      <c r="B2305" s="15" t="n"/>
      <c r="C2305">
        <f>IF(B2305="","",IFERROR(INDEX(Items!$B$5:$B$304,MATCH(B2305,Items!$A$5:$A$304,0)),"Unknown code"))</f>
        <v/>
      </c>
      <c r="D2305" s="15" t="n"/>
      <c r="E2305" s="16" t="n"/>
      <c r="F2305" s="18">
        <f>IF(OR(D2305="",E2305=""),"",D2305*E2305)</f>
        <v/>
      </c>
      <c r="G2305" s="15" t="n"/>
    </row>
    <row r="2306">
      <c r="A2306" s="19" t="n"/>
      <c r="B2306" s="15" t="n"/>
      <c r="C2306">
        <f>IF(B2306="","",IFERROR(INDEX(Items!$B$5:$B$304,MATCH(B2306,Items!$A$5:$A$304,0)),"Unknown code"))</f>
        <v/>
      </c>
      <c r="D2306" s="15" t="n"/>
      <c r="E2306" s="16" t="n"/>
      <c r="F2306" s="18">
        <f>IF(OR(D2306="",E2306=""),"",D2306*E2306)</f>
        <v/>
      </c>
      <c r="G2306" s="15" t="n"/>
    </row>
    <row r="2307">
      <c r="A2307" s="19" t="n"/>
      <c r="B2307" s="15" t="n"/>
      <c r="C2307">
        <f>IF(B2307="","",IFERROR(INDEX(Items!$B$5:$B$304,MATCH(B2307,Items!$A$5:$A$304,0)),"Unknown code"))</f>
        <v/>
      </c>
      <c r="D2307" s="15" t="n"/>
      <c r="E2307" s="16" t="n"/>
      <c r="F2307" s="18">
        <f>IF(OR(D2307="",E2307=""),"",D2307*E2307)</f>
        <v/>
      </c>
      <c r="G2307" s="15" t="n"/>
    </row>
    <row r="2308">
      <c r="A2308" s="19" t="n"/>
      <c r="B2308" s="15" t="n"/>
      <c r="C2308">
        <f>IF(B2308="","",IFERROR(INDEX(Items!$B$5:$B$304,MATCH(B2308,Items!$A$5:$A$304,0)),"Unknown code"))</f>
        <v/>
      </c>
      <c r="D2308" s="15" t="n"/>
      <c r="E2308" s="16" t="n"/>
      <c r="F2308" s="18">
        <f>IF(OR(D2308="",E2308=""),"",D2308*E2308)</f>
        <v/>
      </c>
      <c r="G2308" s="15" t="n"/>
    </row>
    <row r="2309">
      <c r="A2309" s="19" t="n"/>
      <c r="B2309" s="15" t="n"/>
      <c r="C2309">
        <f>IF(B2309="","",IFERROR(INDEX(Items!$B$5:$B$304,MATCH(B2309,Items!$A$5:$A$304,0)),"Unknown code"))</f>
        <v/>
      </c>
      <c r="D2309" s="15" t="n"/>
      <c r="E2309" s="16" t="n"/>
      <c r="F2309" s="18">
        <f>IF(OR(D2309="",E2309=""),"",D2309*E2309)</f>
        <v/>
      </c>
      <c r="G2309" s="15" t="n"/>
    </row>
    <row r="2310">
      <c r="A2310" s="19" t="n"/>
      <c r="B2310" s="15" t="n"/>
      <c r="C2310">
        <f>IF(B2310="","",IFERROR(INDEX(Items!$B$5:$B$304,MATCH(B2310,Items!$A$5:$A$304,0)),"Unknown code"))</f>
        <v/>
      </c>
      <c r="D2310" s="15" t="n"/>
      <c r="E2310" s="16" t="n"/>
      <c r="F2310" s="18">
        <f>IF(OR(D2310="",E2310=""),"",D2310*E2310)</f>
        <v/>
      </c>
      <c r="G2310" s="15" t="n"/>
    </row>
    <row r="2311">
      <c r="A2311" s="19" t="n"/>
      <c r="B2311" s="15" t="n"/>
      <c r="C2311">
        <f>IF(B2311="","",IFERROR(INDEX(Items!$B$5:$B$304,MATCH(B2311,Items!$A$5:$A$304,0)),"Unknown code"))</f>
        <v/>
      </c>
      <c r="D2311" s="15" t="n"/>
      <c r="E2311" s="16" t="n"/>
      <c r="F2311" s="18">
        <f>IF(OR(D2311="",E2311=""),"",D2311*E2311)</f>
        <v/>
      </c>
      <c r="G2311" s="15" t="n"/>
    </row>
    <row r="2312">
      <c r="A2312" s="19" t="n"/>
      <c r="B2312" s="15" t="n"/>
      <c r="C2312">
        <f>IF(B2312="","",IFERROR(INDEX(Items!$B$5:$B$304,MATCH(B2312,Items!$A$5:$A$304,0)),"Unknown code"))</f>
        <v/>
      </c>
      <c r="D2312" s="15" t="n"/>
      <c r="E2312" s="16" t="n"/>
      <c r="F2312" s="18">
        <f>IF(OR(D2312="",E2312=""),"",D2312*E2312)</f>
        <v/>
      </c>
      <c r="G2312" s="15" t="n"/>
    </row>
    <row r="2313">
      <c r="A2313" s="19" t="n"/>
      <c r="B2313" s="15" t="n"/>
      <c r="C2313">
        <f>IF(B2313="","",IFERROR(INDEX(Items!$B$5:$B$304,MATCH(B2313,Items!$A$5:$A$304,0)),"Unknown code"))</f>
        <v/>
      </c>
      <c r="D2313" s="15" t="n"/>
      <c r="E2313" s="16" t="n"/>
      <c r="F2313" s="18">
        <f>IF(OR(D2313="",E2313=""),"",D2313*E2313)</f>
        <v/>
      </c>
      <c r="G2313" s="15" t="n"/>
    </row>
    <row r="2314">
      <c r="A2314" s="19" t="n"/>
      <c r="B2314" s="15" t="n"/>
      <c r="C2314">
        <f>IF(B2314="","",IFERROR(INDEX(Items!$B$5:$B$304,MATCH(B2314,Items!$A$5:$A$304,0)),"Unknown code"))</f>
        <v/>
      </c>
      <c r="D2314" s="15" t="n"/>
      <c r="E2314" s="16" t="n"/>
      <c r="F2314" s="18">
        <f>IF(OR(D2314="",E2314=""),"",D2314*E2314)</f>
        <v/>
      </c>
      <c r="G2314" s="15" t="n"/>
    </row>
    <row r="2315">
      <c r="A2315" s="19" t="n"/>
      <c r="B2315" s="15" t="n"/>
      <c r="C2315">
        <f>IF(B2315="","",IFERROR(INDEX(Items!$B$5:$B$304,MATCH(B2315,Items!$A$5:$A$304,0)),"Unknown code"))</f>
        <v/>
      </c>
      <c r="D2315" s="15" t="n"/>
      <c r="E2315" s="16" t="n"/>
      <c r="F2315" s="18">
        <f>IF(OR(D2315="",E2315=""),"",D2315*E2315)</f>
        <v/>
      </c>
      <c r="G2315" s="15" t="n"/>
    </row>
    <row r="2316">
      <c r="A2316" s="19" t="n"/>
      <c r="B2316" s="15" t="n"/>
      <c r="C2316">
        <f>IF(B2316="","",IFERROR(INDEX(Items!$B$5:$B$304,MATCH(B2316,Items!$A$5:$A$304,0)),"Unknown code"))</f>
        <v/>
      </c>
      <c r="D2316" s="15" t="n"/>
      <c r="E2316" s="16" t="n"/>
      <c r="F2316" s="18">
        <f>IF(OR(D2316="",E2316=""),"",D2316*E2316)</f>
        <v/>
      </c>
      <c r="G2316" s="15" t="n"/>
    </row>
    <row r="2317">
      <c r="A2317" s="19" t="n"/>
      <c r="B2317" s="15" t="n"/>
      <c r="C2317">
        <f>IF(B2317="","",IFERROR(INDEX(Items!$B$5:$B$304,MATCH(B2317,Items!$A$5:$A$304,0)),"Unknown code"))</f>
        <v/>
      </c>
      <c r="D2317" s="15" t="n"/>
      <c r="E2317" s="16" t="n"/>
      <c r="F2317" s="18">
        <f>IF(OR(D2317="",E2317=""),"",D2317*E2317)</f>
        <v/>
      </c>
      <c r="G2317" s="15" t="n"/>
    </row>
    <row r="2318">
      <c r="A2318" s="19" t="n"/>
      <c r="B2318" s="15" t="n"/>
      <c r="C2318">
        <f>IF(B2318="","",IFERROR(INDEX(Items!$B$5:$B$304,MATCH(B2318,Items!$A$5:$A$304,0)),"Unknown code"))</f>
        <v/>
      </c>
      <c r="D2318" s="15" t="n"/>
      <c r="E2318" s="16" t="n"/>
      <c r="F2318" s="18">
        <f>IF(OR(D2318="",E2318=""),"",D2318*E2318)</f>
        <v/>
      </c>
      <c r="G2318" s="15" t="n"/>
    </row>
    <row r="2319">
      <c r="A2319" s="19" t="n"/>
      <c r="B2319" s="15" t="n"/>
      <c r="C2319">
        <f>IF(B2319="","",IFERROR(INDEX(Items!$B$5:$B$304,MATCH(B2319,Items!$A$5:$A$304,0)),"Unknown code"))</f>
        <v/>
      </c>
      <c r="D2319" s="15" t="n"/>
      <c r="E2319" s="16" t="n"/>
      <c r="F2319" s="18">
        <f>IF(OR(D2319="",E2319=""),"",D2319*E2319)</f>
        <v/>
      </c>
      <c r="G2319" s="15" t="n"/>
    </row>
    <row r="2320">
      <c r="A2320" s="19" t="n"/>
      <c r="B2320" s="15" t="n"/>
      <c r="C2320">
        <f>IF(B2320="","",IFERROR(INDEX(Items!$B$5:$B$304,MATCH(B2320,Items!$A$5:$A$304,0)),"Unknown code"))</f>
        <v/>
      </c>
      <c r="D2320" s="15" t="n"/>
      <c r="E2320" s="16" t="n"/>
      <c r="F2320" s="18">
        <f>IF(OR(D2320="",E2320=""),"",D2320*E2320)</f>
        <v/>
      </c>
      <c r="G2320" s="15" t="n"/>
    </row>
    <row r="2321">
      <c r="A2321" s="19" t="n"/>
      <c r="B2321" s="15" t="n"/>
      <c r="C2321">
        <f>IF(B2321="","",IFERROR(INDEX(Items!$B$5:$B$304,MATCH(B2321,Items!$A$5:$A$304,0)),"Unknown code"))</f>
        <v/>
      </c>
      <c r="D2321" s="15" t="n"/>
      <c r="E2321" s="16" t="n"/>
      <c r="F2321" s="18">
        <f>IF(OR(D2321="",E2321=""),"",D2321*E2321)</f>
        <v/>
      </c>
      <c r="G2321" s="15" t="n"/>
    </row>
    <row r="2322">
      <c r="A2322" s="19" t="n"/>
      <c r="B2322" s="15" t="n"/>
      <c r="C2322">
        <f>IF(B2322="","",IFERROR(INDEX(Items!$B$5:$B$304,MATCH(B2322,Items!$A$5:$A$304,0)),"Unknown code"))</f>
        <v/>
      </c>
      <c r="D2322" s="15" t="n"/>
      <c r="E2322" s="16" t="n"/>
      <c r="F2322" s="18">
        <f>IF(OR(D2322="",E2322=""),"",D2322*E2322)</f>
        <v/>
      </c>
      <c r="G2322" s="15" t="n"/>
    </row>
    <row r="2323">
      <c r="A2323" s="19" t="n"/>
      <c r="B2323" s="15" t="n"/>
      <c r="C2323">
        <f>IF(B2323="","",IFERROR(INDEX(Items!$B$5:$B$304,MATCH(B2323,Items!$A$5:$A$304,0)),"Unknown code"))</f>
        <v/>
      </c>
      <c r="D2323" s="15" t="n"/>
      <c r="E2323" s="16" t="n"/>
      <c r="F2323" s="18">
        <f>IF(OR(D2323="",E2323=""),"",D2323*E2323)</f>
        <v/>
      </c>
      <c r="G2323" s="15" t="n"/>
    </row>
    <row r="2324">
      <c r="A2324" s="19" t="n"/>
      <c r="B2324" s="15" t="n"/>
      <c r="C2324">
        <f>IF(B2324="","",IFERROR(INDEX(Items!$B$5:$B$304,MATCH(B2324,Items!$A$5:$A$304,0)),"Unknown code"))</f>
        <v/>
      </c>
      <c r="D2324" s="15" t="n"/>
      <c r="E2324" s="16" t="n"/>
      <c r="F2324" s="18">
        <f>IF(OR(D2324="",E2324=""),"",D2324*E2324)</f>
        <v/>
      </c>
      <c r="G2324" s="15" t="n"/>
    </row>
    <row r="2325">
      <c r="A2325" s="19" t="n"/>
      <c r="B2325" s="15" t="n"/>
      <c r="C2325">
        <f>IF(B2325="","",IFERROR(INDEX(Items!$B$5:$B$304,MATCH(B2325,Items!$A$5:$A$304,0)),"Unknown code"))</f>
        <v/>
      </c>
      <c r="D2325" s="15" t="n"/>
      <c r="E2325" s="16" t="n"/>
      <c r="F2325" s="18">
        <f>IF(OR(D2325="",E2325=""),"",D2325*E2325)</f>
        <v/>
      </c>
      <c r="G2325" s="15" t="n"/>
    </row>
    <row r="2326">
      <c r="A2326" s="19" t="n"/>
      <c r="B2326" s="15" t="n"/>
      <c r="C2326">
        <f>IF(B2326="","",IFERROR(INDEX(Items!$B$5:$B$304,MATCH(B2326,Items!$A$5:$A$304,0)),"Unknown code"))</f>
        <v/>
      </c>
      <c r="D2326" s="15" t="n"/>
      <c r="E2326" s="16" t="n"/>
      <c r="F2326" s="18">
        <f>IF(OR(D2326="",E2326=""),"",D2326*E2326)</f>
        <v/>
      </c>
      <c r="G2326" s="15" t="n"/>
    </row>
    <row r="2327">
      <c r="A2327" s="19" t="n"/>
      <c r="B2327" s="15" t="n"/>
      <c r="C2327">
        <f>IF(B2327="","",IFERROR(INDEX(Items!$B$5:$B$304,MATCH(B2327,Items!$A$5:$A$304,0)),"Unknown code"))</f>
        <v/>
      </c>
      <c r="D2327" s="15" t="n"/>
      <c r="E2327" s="16" t="n"/>
      <c r="F2327" s="18">
        <f>IF(OR(D2327="",E2327=""),"",D2327*E2327)</f>
        <v/>
      </c>
      <c r="G2327" s="15" t="n"/>
    </row>
    <row r="2328">
      <c r="A2328" s="19" t="n"/>
      <c r="B2328" s="15" t="n"/>
      <c r="C2328">
        <f>IF(B2328="","",IFERROR(INDEX(Items!$B$5:$B$304,MATCH(B2328,Items!$A$5:$A$304,0)),"Unknown code"))</f>
        <v/>
      </c>
      <c r="D2328" s="15" t="n"/>
      <c r="E2328" s="16" t="n"/>
      <c r="F2328" s="18">
        <f>IF(OR(D2328="",E2328=""),"",D2328*E2328)</f>
        <v/>
      </c>
      <c r="G2328" s="15" t="n"/>
    </row>
    <row r="2329">
      <c r="A2329" s="19" t="n"/>
      <c r="B2329" s="15" t="n"/>
      <c r="C2329">
        <f>IF(B2329="","",IFERROR(INDEX(Items!$B$5:$B$304,MATCH(B2329,Items!$A$5:$A$304,0)),"Unknown code"))</f>
        <v/>
      </c>
      <c r="D2329" s="15" t="n"/>
      <c r="E2329" s="16" t="n"/>
      <c r="F2329" s="18">
        <f>IF(OR(D2329="",E2329=""),"",D2329*E2329)</f>
        <v/>
      </c>
      <c r="G2329" s="15" t="n"/>
    </row>
    <row r="2330">
      <c r="A2330" s="19" t="n"/>
      <c r="B2330" s="15" t="n"/>
      <c r="C2330">
        <f>IF(B2330="","",IFERROR(INDEX(Items!$B$5:$B$304,MATCH(B2330,Items!$A$5:$A$304,0)),"Unknown code"))</f>
        <v/>
      </c>
      <c r="D2330" s="15" t="n"/>
      <c r="E2330" s="16" t="n"/>
      <c r="F2330" s="18">
        <f>IF(OR(D2330="",E2330=""),"",D2330*E2330)</f>
        <v/>
      </c>
      <c r="G2330" s="15" t="n"/>
    </row>
    <row r="2331">
      <c r="A2331" s="19" t="n"/>
      <c r="B2331" s="15" t="n"/>
      <c r="C2331">
        <f>IF(B2331="","",IFERROR(INDEX(Items!$B$5:$B$304,MATCH(B2331,Items!$A$5:$A$304,0)),"Unknown code"))</f>
        <v/>
      </c>
      <c r="D2331" s="15" t="n"/>
      <c r="E2331" s="16" t="n"/>
      <c r="F2331" s="18">
        <f>IF(OR(D2331="",E2331=""),"",D2331*E2331)</f>
        <v/>
      </c>
      <c r="G2331" s="15" t="n"/>
    </row>
    <row r="2332">
      <c r="A2332" s="19" t="n"/>
      <c r="B2332" s="15" t="n"/>
      <c r="C2332">
        <f>IF(B2332="","",IFERROR(INDEX(Items!$B$5:$B$304,MATCH(B2332,Items!$A$5:$A$304,0)),"Unknown code"))</f>
        <v/>
      </c>
      <c r="D2332" s="15" t="n"/>
      <c r="E2332" s="16" t="n"/>
      <c r="F2332" s="18">
        <f>IF(OR(D2332="",E2332=""),"",D2332*E2332)</f>
        <v/>
      </c>
      <c r="G2332" s="15" t="n"/>
    </row>
    <row r="2333">
      <c r="A2333" s="19" t="n"/>
      <c r="B2333" s="15" t="n"/>
      <c r="C2333">
        <f>IF(B2333="","",IFERROR(INDEX(Items!$B$5:$B$304,MATCH(B2333,Items!$A$5:$A$304,0)),"Unknown code"))</f>
        <v/>
      </c>
      <c r="D2333" s="15" t="n"/>
      <c r="E2333" s="16" t="n"/>
      <c r="F2333" s="18">
        <f>IF(OR(D2333="",E2333=""),"",D2333*E2333)</f>
        <v/>
      </c>
      <c r="G2333" s="15" t="n"/>
    </row>
    <row r="2334">
      <c r="A2334" s="19" t="n"/>
      <c r="B2334" s="15" t="n"/>
      <c r="C2334">
        <f>IF(B2334="","",IFERROR(INDEX(Items!$B$5:$B$304,MATCH(B2334,Items!$A$5:$A$304,0)),"Unknown code"))</f>
        <v/>
      </c>
      <c r="D2334" s="15" t="n"/>
      <c r="E2334" s="16" t="n"/>
      <c r="F2334" s="18">
        <f>IF(OR(D2334="",E2334=""),"",D2334*E2334)</f>
        <v/>
      </c>
      <c r="G2334" s="15" t="n"/>
    </row>
    <row r="2335">
      <c r="A2335" s="19" t="n"/>
      <c r="B2335" s="15" t="n"/>
      <c r="C2335">
        <f>IF(B2335="","",IFERROR(INDEX(Items!$B$5:$B$304,MATCH(B2335,Items!$A$5:$A$304,0)),"Unknown code"))</f>
        <v/>
      </c>
      <c r="D2335" s="15" t="n"/>
      <c r="E2335" s="16" t="n"/>
      <c r="F2335" s="18">
        <f>IF(OR(D2335="",E2335=""),"",D2335*E2335)</f>
        <v/>
      </c>
      <c r="G2335" s="15" t="n"/>
    </row>
    <row r="2336">
      <c r="A2336" s="19" t="n"/>
      <c r="B2336" s="15" t="n"/>
      <c r="C2336">
        <f>IF(B2336="","",IFERROR(INDEX(Items!$B$5:$B$304,MATCH(B2336,Items!$A$5:$A$304,0)),"Unknown code"))</f>
        <v/>
      </c>
      <c r="D2336" s="15" t="n"/>
      <c r="E2336" s="16" t="n"/>
      <c r="F2336" s="18">
        <f>IF(OR(D2336="",E2336=""),"",D2336*E2336)</f>
        <v/>
      </c>
      <c r="G2336" s="15" t="n"/>
    </row>
    <row r="2337">
      <c r="A2337" s="19" t="n"/>
      <c r="B2337" s="15" t="n"/>
      <c r="C2337">
        <f>IF(B2337="","",IFERROR(INDEX(Items!$B$5:$B$304,MATCH(B2337,Items!$A$5:$A$304,0)),"Unknown code"))</f>
        <v/>
      </c>
      <c r="D2337" s="15" t="n"/>
      <c r="E2337" s="16" t="n"/>
      <c r="F2337" s="18">
        <f>IF(OR(D2337="",E2337=""),"",D2337*E2337)</f>
        <v/>
      </c>
      <c r="G2337" s="15" t="n"/>
    </row>
    <row r="2338">
      <c r="A2338" s="19" t="n"/>
      <c r="B2338" s="15" t="n"/>
      <c r="C2338">
        <f>IF(B2338="","",IFERROR(INDEX(Items!$B$5:$B$304,MATCH(B2338,Items!$A$5:$A$304,0)),"Unknown code"))</f>
        <v/>
      </c>
      <c r="D2338" s="15" t="n"/>
      <c r="E2338" s="16" t="n"/>
      <c r="F2338" s="18">
        <f>IF(OR(D2338="",E2338=""),"",D2338*E2338)</f>
        <v/>
      </c>
      <c r="G2338" s="15" t="n"/>
    </row>
    <row r="2339">
      <c r="A2339" s="19" t="n"/>
      <c r="B2339" s="15" t="n"/>
      <c r="C2339">
        <f>IF(B2339="","",IFERROR(INDEX(Items!$B$5:$B$304,MATCH(B2339,Items!$A$5:$A$304,0)),"Unknown code"))</f>
        <v/>
      </c>
      <c r="D2339" s="15" t="n"/>
      <c r="E2339" s="16" t="n"/>
      <c r="F2339" s="18">
        <f>IF(OR(D2339="",E2339=""),"",D2339*E2339)</f>
        <v/>
      </c>
      <c r="G2339" s="15" t="n"/>
    </row>
    <row r="2340">
      <c r="A2340" s="19" t="n"/>
      <c r="B2340" s="15" t="n"/>
      <c r="C2340">
        <f>IF(B2340="","",IFERROR(INDEX(Items!$B$5:$B$304,MATCH(B2340,Items!$A$5:$A$304,0)),"Unknown code"))</f>
        <v/>
      </c>
      <c r="D2340" s="15" t="n"/>
      <c r="E2340" s="16" t="n"/>
      <c r="F2340" s="18">
        <f>IF(OR(D2340="",E2340=""),"",D2340*E2340)</f>
        <v/>
      </c>
      <c r="G2340" s="15" t="n"/>
    </row>
    <row r="2341">
      <c r="A2341" s="19" t="n"/>
      <c r="B2341" s="15" t="n"/>
      <c r="C2341">
        <f>IF(B2341="","",IFERROR(INDEX(Items!$B$5:$B$304,MATCH(B2341,Items!$A$5:$A$304,0)),"Unknown code"))</f>
        <v/>
      </c>
      <c r="D2341" s="15" t="n"/>
      <c r="E2341" s="16" t="n"/>
      <c r="F2341" s="18">
        <f>IF(OR(D2341="",E2341=""),"",D2341*E2341)</f>
        <v/>
      </c>
      <c r="G2341" s="15" t="n"/>
    </row>
    <row r="2342">
      <c r="A2342" s="19" t="n"/>
      <c r="B2342" s="15" t="n"/>
      <c r="C2342">
        <f>IF(B2342="","",IFERROR(INDEX(Items!$B$5:$B$304,MATCH(B2342,Items!$A$5:$A$304,0)),"Unknown code"))</f>
        <v/>
      </c>
      <c r="D2342" s="15" t="n"/>
      <c r="E2342" s="16" t="n"/>
      <c r="F2342" s="18">
        <f>IF(OR(D2342="",E2342=""),"",D2342*E2342)</f>
        <v/>
      </c>
      <c r="G2342" s="15" t="n"/>
    </row>
    <row r="2343">
      <c r="A2343" s="19" t="n"/>
      <c r="B2343" s="15" t="n"/>
      <c r="C2343">
        <f>IF(B2343="","",IFERROR(INDEX(Items!$B$5:$B$304,MATCH(B2343,Items!$A$5:$A$304,0)),"Unknown code"))</f>
        <v/>
      </c>
      <c r="D2343" s="15" t="n"/>
      <c r="E2343" s="16" t="n"/>
      <c r="F2343" s="18">
        <f>IF(OR(D2343="",E2343=""),"",D2343*E2343)</f>
        <v/>
      </c>
      <c r="G2343" s="15" t="n"/>
    </row>
    <row r="2344">
      <c r="A2344" s="19" t="n"/>
      <c r="B2344" s="15" t="n"/>
      <c r="C2344">
        <f>IF(B2344="","",IFERROR(INDEX(Items!$B$5:$B$304,MATCH(B2344,Items!$A$5:$A$304,0)),"Unknown code"))</f>
        <v/>
      </c>
      <c r="D2344" s="15" t="n"/>
      <c r="E2344" s="16" t="n"/>
      <c r="F2344" s="18">
        <f>IF(OR(D2344="",E2344=""),"",D2344*E2344)</f>
        <v/>
      </c>
      <c r="G2344" s="15" t="n"/>
    </row>
    <row r="2345">
      <c r="A2345" s="19" t="n"/>
      <c r="B2345" s="15" t="n"/>
      <c r="C2345">
        <f>IF(B2345="","",IFERROR(INDEX(Items!$B$5:$B$304,MATCH(B2345,Items!$A$5:$A$304,0)),"Unknown code"))</f>
        <v/>
      </c>
      <c r="D2345" s="15" t="n"/>
      <c r="E2345" s="16" t="n"/>
      <c r="F2345" s="18">
        <f>IF(OR(D2345="",E2345=""),"",D2345*E2345)</f>
        <v/>
      </c>
      <c r="G2345" s="15" t="n"/>
    </row>
    <row r="2346">
      <c r="A2346" s="19" t="n"/>
      <c r="B2346" s="15" t="n"/>
      <c r="C2346">
        <f>IF(B2346="","",IFERROR(INDEX(Items!$B$5:$B$304,MATCH(B2346,Items!$A$5:$A$304,0)),"Unknown code"))</f>
        <v/>
      </c>
      <c r="D2346" s="15" t="n"/>
      <c r="E2346" s="16" t="n"/>
      <c r="F2346" s="18">
        <f>IF(OR(D2346="",E2346=""),"",D2346*E2346)</f>
        <v/>
      </c>
      <c r="G2346" s="15" t="n"/>
    </row>
    <row r="2347">
      <c r="A2347" s="19" t="n"/>
      <c r="B2347" s="15" t="n"/>
      <c r="C2347">
        <f>IF(B2347="","",IFERROR(INDEX(Items!$B$5:$B$304,MATCH(B2347,Items!$A$5:$A$304,0)),"Unknown code"))</f>
        <v/>
      </c>
      <c r="D2347" s="15" t="n"/>
      <c r="E2347" s="16" t="n"/>
      <c r="F2347" s="18">
        <f>IF(OR(D2347="",E2347=""),"",D2347*E2347)</f>
        <v/>
      </c>
      <c r="G2347" s="15" t="n"/>
    </row>
    <row r="2348">
      <c r="A2348" s="19" t="n"/>
      <c r="B2348" s="15" t="n"/>
      <c r="C2348">
        <f>IF(B2348="","",IFERROR(INDEX(Items!$B$5:$B$304,MATCH(B2348,Items!$A$5:$A$304,0)),"Unknown code"))</f>
        <v/>
      </c>
      <c r="D2348" s="15" t="n"/>
      <c r="E2348" s="16" t="n"/>
      <c r="F2348" s="18">
        <f>IF(OR(D2348="",E2348=""),"",D2348*E2348)</f>
        <v/>
      </c>
      <c r="G2348" s="15" t="n"/>
    </row>
    <row r="2349">
      <c r="A2349" s="19" t="n"/>
      <c r="B2349" s="15" t="n"/>
      <c r="C2349">
        <f>IF(B2349="","",IFERROR(INDEX(Items!$B$5:$B$304,MATCH(B2349,Items!$A$5:$A$304,0)),"Unknown code"))</f>
        <v/>
      </c>
      <c r="D2349" s="15" t="n"/>
      <c r="E2349" s="16" t="n"/>
      <c r="F2349" s="18">
        <f>IF(OR(D2349="",E2349=""),"",D2349*E2349)</f>
        <v/>
      </c>
      <c r="G2349" s="15" t="n"/>
    </row>
    <row r="2350">
      <c r="A2350" s="19" t="n"/>
      <c r="B2350" s="15" t="n"/>
      <c r="C2350">
        <f>IF(B2350="","",IFERROR(INDEX(Items!$B$5:$B$304,MATCH(B2350,Items!$A$5:$A$304,0)),"Unknown code"))</f>
        <v/>
      </c>
      <c r="D2350" s="15" t="n"/>
      <c r="E2350" s="16" t="n"/>
      <c r="F2350" s="18">
        <f>IF(OR(D2350="",E2350=""),"",D2350*E2350)</f>
        <v/>
      </c>
      <c r="G2350" s="15" t="n"/>
    </row>
    <row r="2351">
      <c r="A2351" s="19" t="n"/>
      <c r="B2351" s="15" t="n"/>
      <c r="C2351">
        <f>IF(B2351="","",IFERROR(INDEX(Items!$B$5:$B$304,MATCH(B2351,Items!$A$5:$A$304,0)),"Unknown code"))</f>
        <v/>
      </c>
      <c r="D2351" s="15" t="n"/>
      <c r="E2351" s="16" t="n"/>
      <c r="F2351" s="18">
        <f>IF(OR(D2351="",E2351=""),"",D2351*E2351)</f>
        <v/>
      </c>
      <c r="G2351" s="15" t="n"/>
    </row>
    <row r="2352">
      <c r="A2352" s="19" t="n"/>
      <c r="B2352" s="15" t="n"/>
      <c r="C2352">
        <f>IF(B2352="","",IFERROR(INDEX(Items!$B$5:$B$304,MATCH(B2352,Items!$A$5:$A$304,0)),"Unknown code"))</f>
        <v/>
      </c>
      <c r="D2352" s="15" t="n"/>
      <c r="E2352" s="16" t="n"/>
      <c r="F2352" s="18">
        <f>IF(OR(D2352="",E2352=""),"",D2352*E2352)</f>
        <v/>
      </c>
      <c r="G2352" s="15" t="n"/>
    </row>
    <row r="2353">
      <c r="A2353" s="19" t="n"/>
      <c r="B2353" s="15" t="n"/>
      <c r="C2353">
        <f>IF(B2353="","",IFERROR(INDEX(Items!$B$5:$B$304,MATCH(B2353,Items!$A$5:$A$304,0)),"Unknown code"))</f>
        <v/>
      </c>
      <c r="D2353" s="15" t="n"/>
      <c r="E2353" s="16" t="n"/>
      <c r="F2353" s="18">
        <f>IF(OR(D2353="",E2353=""),"",D2353*E2353)</f>
        <v/>
      </c>
      <c r="G2353" s="15" t="n"/>
    </row>
    <row r="2354">
      <c r="A2354" s="19" t="n"/>
      <c r="B2354" s="15" t="n"/>
      <c r="C2354">
        <f>IF(B2354="","",IFERROR(INDEX(Items!$B$5:$B$304,MATCH(B2354,Items!$A$5:$A$304,0)),"Unknown code"))</f>
        <v/>
      </c>
      <c r="D2354" s="15" t="n"/>
      <c r="E2354" s="16" t="n"/>
      <c r="F2354" s="18">
        <f>IF(OR(D2354="",E2354=""),"",D2354*E2354)</f>
        <v/>
      </c>
      <c r="G2354" s="15" t="n"/>
    </row>
    <row r="2355">
      <c r="A2355" s="19" t="n"/>
      <c r="B2355" s="15" t="n"/>
      <c r="C2355">
        <f>IF(B2355="","",IFERROR(INDEX(Items!$B$5:$B$304,MATCH(B2355,Items!$A$5:$A$304,0)),"Unknown code"))</f>
        <v/>
      </c>
      <c r="D2355" s="15" t="n"/>
      <c r="E2355" s="16" t="n"/>
      <c r="F2355" s="18">
        <f>IF(OR(D2355="",E2355=""),"",D2355*E2355)</f>
        <v/>
      </c>
      <c r="G2355" s="15" t="n"/>
    </row>
    <row r="2356">
      <c r="A2356" s="19" t="n"/>
      <c r="B2356" s="15" t="n"/>
      <c r="C2356">
        <f>IF(B2356="","",IFERROR(INDEX(Items!$B$5:$B$304,MATCH(B2356,Items!$A$5:$A$304,0)),"Unknown code"))</f>
        <v/>
      </c>
      <c r="D2356" s="15" t="n"/>
      <c r="E2356" s="16" t="n"/>
      <c r="F2356" s="18">
        <f>IF(OR(D2356="",E2356=""),"",D2356*E2356)</f>
        <v/>
      </c>
      <c r="G2356" s="15" t="n"/>
    </row>
    <row r="2357">
      <c r="A2357" s="19" t="n"/>
      <c r="B2357" s="15" t="n"/>
      <c r="C2357">
        <f>IF(B2357="","",IFERROR(INDEX(Items!$B$5:$B$304,MATCH(B2357,Items!$A$5:$A$304,0)),"Unknown code"))</f>
        <v/>
      </c>
      <c r="D2357" s="15" t="n"/>
      <c r="E2357" s="16" t="n"/>
      <c r="F2357" s="18">
        <f>IF(OR(D2357="",E2357=""),"",D2357*E2357)</f>
        <v/>
      </c>
      <c r="G2357" s="15" t="n"/>
    </row>
    <row r="2358">
      <c r="A2358" s="19" t="n"/>
      <c r="B2358" s="15" t="n"/>
      <c r="C2358">
        <f>IF(B2358="","",IFERROR(INDEX(Items!$B$5:$B$304,MATCH(B2358,Items!$A$5:$A$304,0)),"Unknown code"))</f>
        <v/>
      </c>
      <c r="D2358" s="15" t="n"/>
      <c r="E2358" s="16" t="n"/>
      <c r="F2358" s="18">
        <f>IF(OR(D2358="",E2358=""),"",D2358*E2358)</f>
        <v/>
      </c>
      <c r="G2358" s="15" t="n"/>
    </row>
    <row r="2359">
      <c r="A2359" s="19" t="n"/>
      <c r="B2359" s="15" t="n"/>
      <c r="C2359">
        <f>IF(B2359="","",IFERROR(INDEX(Items!$B$5:$B$304,MATCH(B2359,Items!$A$5:$A$304,0)),"Unknown code"))</f>
        <v/>
      </c>
      <c r="D2359" s="15" t="n"/>
      <c r="E2359" s="16" t="n"/>
      <c r="F2359" s="18">
        <f>IF(OR(D2359="",E2359=""),"",D2359*E2359)</f>
        <v/>
      </c>
      <c r="G2359" s="15" t="n"/>
    </row>
    <row r="2360">
      <c r="A2360" s="19" t="n"/>
      <c r="B2360" s="15" t="n"/>
      <c r="C2360">
        <f>IF(B2360="","",IFERROR(INDEX(Items!$B$5:$B$304,MATCH(B2360,Items!$A$5:$A$304,0)),"Unknown code"))</f>
        <v/>
      </c>
      <c r="D2360" s="15" t="n"/>
      <c r="E2360" s="16" t="n"/>
      <c r="F2360" s="18">
        <f>IF(OR(D2360="",E2360=""),"",D2360*E2360)</f>
        <v/>
      </c>
      <c r="G2360" s="15" t="n"/>
    </row>
    <row r="2361">
      <c r="A2361" s="19" t="n"/>
      <c r="B2361" s="15" t="n"/>
      <c r="C2361">
        <f>IF(B2361="","",IFERROR(INDEX(Items!$B$5:$B$304,MATCH(B2361,Items!$A$5:$A$304,0)),"Unknown code"))</f>
        <v/>
      </c>
      <c r="D2361" s="15" t="n"/>
      <c r="E2361" s="16" t="n"/>
      <c r="F2361" s="18">
        <f>IF(OR(D2361="",E2361=""),"",D2361*E2361)</f>
        <v/>
      </c>
      <c r="G2361" s="15" t="n"/>
    </row>
    <row r="2362">
      <c r="A2362" s="19" t="n"/>
      <c r="B2362" s="15" t="n"/>
      <c r="C2362">
        <f>IF(B2362="","",IFERROR(INDEX(Items!$B$5:$B$304,MATCH(B2362,Items!$A$5:$A$304,0)),"Unknown code"))</f>
        <v/>
      </c>
      <c r="D2362" s="15" t="n"/>
      <c r="E2362" s="16" t="n"/>
      <c r="F2362" s="18">
        <f>IF(OR(D2362="",E2362=""),"",D2362*E2362)</f>
        <v/>
      </c>
      <c r="G2362" s="15" t="n"/>
    </row>
    <row r="2363">
      <c r="A2363" s="19" t="n"/>
      <c r="B2363" s="15" t="n"/>
      <c r="C2363">
        <f>IF(B2363="","",IFERROR(INDEX(Items!$B$5:$B$304,MATCH(B2363,Items!$A$5:$A$304,0)),"Unknown code"))</f>
        <v/>
      </c>
      <c r="D2363" s="15" t="n"/>
      <c r="E2363" s="16" t="n"/>
      <c r="F2363" s="18">
        <f>IF(OR(D2363="",E2363=""),"",D2363*E2363)</f>
        <v/>
      </c>
      <c r="G2363" s="15" t="n"/>
    </row>
    <row r="2364">
      <c r="A2364" s="19" t="n"/>
      <c r="B2364" s="15" t="n"/>
      <c r="C2364">
        <f>IF(B2364="","",IFERROR(INDEX(Items!$B$5:$B$304,MATCH(B2364,Items!$A$5:$A$304,0)),"Unknown code"))</f>
        <v/>
      </c>
      <c r="D2364" s="15" t="n"/>
      <c r="E2364" s="16" t="n"/>
      <c r="F2364" s="18">
        <f>IF(OR(D2364="",E2364=""),"",D2364*E2364)</f>
        <v/>
      </c>
      <c r="G2364" s="15" t="n"/>
    </row>
    <row r="2365">
      <c r="A2365" s="19" t="n"/>
      <c r="B2365" s="15" t="n"/>
      <c r="C2365">
        <f>IF(B2365="","",IFERROR(INDEX(Items!$B$5:$B$304,MATCH(B2365,Items!$A$5:$A$304,0)),"Unknown code"))</f>
        <v/>
      </c>
      <c r="D2365" s="15" t="n"/>
      <c r="E2365" s="16" t="n"/>
      <c r="F2365" s="18">
        <f>IF(OR(D2365="",E2365=""),"",D2365*E2365)</f>
        <v/>
      </c>
      <c r="G2365" s="15" t="n"/>
    </row>
    <row r="2366">
      <c r="A2366" s="19" t="n"/>
      <c r="B2366" s="15" t="n"/>
      <c r="C2366">
        <f>IF(B2366="","",IFERROR(INDEX(Items!$B$5:$B$304,MATCH(B2366,Items!$A$5:$A$304,0)),"Unknown code"))</f>
        <v/>
      </c>
      <c r="D2366" s="15" t="n"/>
      <c r="E2366" s="16" t="n"/>
      <c r="F2366" s="18">
        <f>IF(OR(D2366="",E2366=""),"",D2366*E2366)</f>
        <v/>
      </c>
      <c r="G2366" s="15" t="n"/>
    </row>
    <row r="2367">
      <c r="A2367" s="19" t="n"/>
      <c r="B2367" s="15" t="n"/>
      <c r="C2367">
        <f>IF(B2367="","",IFERROR(INDEX(Items!$B$5:$B$304,MATCH(B2367,Items!$A$5:$A$304,0)),"Unknown code"))</f>
        <v/>
      </c>
      <c r="D2367" s="15" t="n"/>
      <c r="E2367" s="16" t="n"/>
      <c r="F2367" s="18">
        <f>IF(OR(D2367="",E2367=""),"",D2367*E2367)</f>
        <v/>
      </c>
      <c r="G2367" s="15" t="n"/>
    </row>
    <row r="2368">
      <c r="A2368" s="19" t="n"/>
      <c r="B2368" s="15" t="n"/>
      <c r="C2368">
        <f>IF(B2368="","",IFERROR(INDEX(Items!$B$5:$B$304,MATCH(B2368,Items!$A$5:$A$304,0)),"Unknown code"))</f>
        <v/>
      </c>
      <c r="D2368" s="15" t="n"/>
      <c r="E2368" s="16" t="n"/>
      <c r="F2368" s="18">
        <f>IF(OR(D2368="",E2368=""),"",D2368*E2368)</f>
        <v/>
      </c>
      <c r="G2368" s="15" t="n"/>
    </row>
    <row r="2369">
      <c r="A2369" s="19" t="n"/>
      <c r="B2369" s="15" t="n"/>
      <c r="C2369">
        <f>IF(B2369="","",IFERROR(INDEX(Items!$B$5:$B$304,MATCH(B2369,Items!$A$5:$A$304,0)),"Unknown code"))</f>
        <v/>
      </c>
      <c r="D2369" s="15" t="n"/>
      <c r="E2369" s="16" t="n"/>
      <c r="F2369" s="18">
        <f>IF(OR(D2369="",E2369=""),"",D2369*E2369)</f>
        <v/>
      </c>
      <c r="G2369" s="15" t="n"/>
    </row>
    <row r="2370">
      <c r="A2370" s="19" t="n"/>
      <c r="B2370" s="15" t="n"/>
      <c r="C2370">
        <f>IF(B2370="","",IFERROR(INDEX(Items!$B$5:$B$304,MATCH(B2370,Items!$A$5:$A$304,0)),"Unknown code"))</f>
        <v/>
      </c>
      <c r="D2370" s="15" t="n"/>
      <c r="E2370" s="16" t="n"/>
      <c r="F2370" s="18">
        <f>IF(OR(D2370="",E2370=""),"",D2370*E2370)</f>
        <v/>
      </c>
      <c r="G2370" s="15" t="n"/>
    </row>
    <row r="2371">
      <c r="A2371" s="19" t="n"/>
      <c r="B2371" s="15" t="n"/>
      <c r="C2371">
        <f>IF(B2371="","",IFERROR(INDEX(Items!$B$5:$B$304,MATCH(B2371,Items!$A$5:$A$304,0)),"Unknown code"))</f>
        <v/>
      </c>
      <c r="D2371" s="15" t="n"/>
      <c r="E2371" s="16" t="n"/>
      <c r="F2371" s="18">
        <f>IF(OR(D2371="",E2371=""),"",D2371*E2371)</f>
        <v/>
      </c>
      <c r="G2371" s="15" t="n"/>
    </row>
    <row r="2372">
      <c r="A2372" s="19" t="n"/>
      <c r="B2372" s="15" t="n"/>
      <c r="C2372">
        <f>IF(B2372="","",IFERROR(INDEX(Items!$B$5:$B$304,MATCH(B2372,Items!$A$5:$A$304,0)),"Unknown code"))</f>
        <v/>
      </c>
      <c r="D2372" s="15" t="n"/>
      <c r="E2372" s="16" t="n"/>
      <c r="F2372" s="18">
        <f>IF(OR(D2372="",E2372=""),"",D2372*E2372)</f>
        <v/>
      </c>
      <c r="G2372" s="15" t="n"/>
    </row>
    <row r="2373">
      <c r="A2373" s="19" t="n"/>
      <c r="B2373" s="15" t="n"/>
      <c r="C2373">
        <f>IF(B2373="","",IFERROR(INDEX(Items!$B$5:$B$304,MATCH(B2373,Items!$A$5:$A$304,0)),"Unknown code"))</f>
        <v/>
      </c>
      <c r="D2373" s="15" t="n"/>
      <c r="E2373" s="16" t="n"/>
      <c r="F2373" s="18">
        <f>IF(OR(D2373="",E2373=""),"",D2373*E2373)</f>
        <v/>
      </c>
      <c r="G2373" s="15" t="n"/>
    </row>
    <row r="2374">
      <c r="A2374" s="19" t="n"/>
      <c r="B2374" s="15" t="n"/>
      <c r="C2374">
        <f>IF(B2374="","",IFERROR(INDEX(Items!$B$5:$B$304,MATCH(B2374,Items!$A$5:$A$304,0)),"Unknown code"))</f>
        <v/>
      </c>
      <c r="D2374" s="15" t="n"/>
      <c r="E2374" s="16" t="n"/>
      <c r="F2374" s="18">
        <f>IF(OR(D2374="",E2374=""),"",D2374*E2374)</f>
        <v/>
      </c>
      <c r="G2374" s="15" t="n"/>
    </row>
    <row r="2375">
      <c r="A2375" s="19" t="n"/>
      <c r="B2375" s="15" t="n"/>
      <c r="C2375">
        <f>IF(B2375="","",IFERROR(INDEX(Items!$B$5:$B$304,MATCH(B2375,Items!$A$5:$A$304,0)),"Unknown code"))</f>
        <v/>
      </c>
      <c r="D2375" s="15" t="n"/>
      <c r="E2375" s="16" t="n"/>
      <c r="F2375" s="18">
        <f>IF(OR(D2375="",E2375=""),"",D2375*E2375)</f>
        <v/>
      </c>
      <c r="G2375" s="15" t="n"/>
    </row>
    <row r="2376">
      <c r="A2376" s="19" t="n"/>
      <c r="B2376" s="15" t="n"/>
      <c r="C2376">
        <f>IF(B2376="","",IFERROR(INDEX(Items!$B$5:$B$304,MATCH(B2376,Items!$A$5:$A$304,0)),"Unknown code"))</f>
        <v/>
      </c>
      <c r="D2376" s="15" t="n"/>
      <c r="E2376" s="16" t="n"/>
      <c r="F2376" s="18">
        <f>IF(OR(D2376="",E2376=""),"",D2376*E2376)</f>
        <v/>
      </c>
      <c r="G2376" s="15" t="n"/>
    </row>
    <row r="2377">
      <c r="A2377" s="19" t="n"/>
      <c r="B2377" s="15" t="n"/>
      <c r="C2377">
        <f>IF(B2377="","",IFERROR(INDEX(Items!$B$5:$B$304,MATCH(B2377,Items!$A$5:$A$304,0)),"Unknown code"))</f>
        <v/>
      </c>
      <c r="D2377" s="15" t="n"/>
      <c r="E2377" s="16" t="n"/>
      <c r="F2377" s="18">
        <f>IF(OR(D2377="",E2377=""),"",D2377*E2377)</f>
        <v/>
      </c>
      <c r="G2377" s="15" t="n"/>
    </row>
    <row r="2378">
      <c r="A2378" s="19" t="n"/>
      <c r="B2378" s="15" t="n"/>
      <c r="C2378">
        <f>IF(B2378="","",IFERROR(INDEX(Items!$B$5:$B$304,MATCH(B2378,Items!$A$5:$A$304,0)),"Unknown code"))</f>
        <v/>
      </c>
      <c r="D2378" s="15" t="n"/>
      <c r="E2378" s="16" t="n"/>
      <c r="F2378" s="18">
        <f>IF(OR(D2378="",E2378=""),"",D2378*E2378)</f>
        <v/>
      </c>
      <c r="G2378" s="15" t="n"/>
    </row>
    <row r="2379">
      <c r="A2379" s="19" t="n"/>
      <c r="B2379" s="15" t="n"/>
      <c r="C2379">
        <f>IF(B2379="","",IFERROR(INDEX(Items!$B$5:$B$304,MATCH(B2379,Items!$A$5:$A$304,0)),"Unknown code"))</f>
        <v/>
      </c>
      <c r="D2379" s="15" t="n"/>
      <c r="E2379" s="16" t="n"/>
      <c r="F2379" s="18">
        <f>IF(OR(D2379="",E2379=""),"",D2379*E2379)</f>
        <v/>
      </c>
      <c r="G2379" s="15" t="n"/>
    </row>
    <row r="2380">
      <c r="A2380" s="19" t="n"/>
      <c r="B2380" s="15" t="n"/>
      <c r="C2380">
        <f>IF(B2380="","",IFERROR(INDEX(Items!$B$5:$B$304,MATCH(B2380,Items!$A$5:$A$304,0)),"Unknown code"))</f>
        <v/>
      </c>
      <c r="D2380" s="15" t="n"/>
      <c r="E2380" s="16" t="n"/>
      <c r="F2380" s="18">
        <f>IF(OR(D2380="",E2380=""),"",D2380*E2380)</f>
        <v/>
      </c>
      <c r="G2380" s="15" t="n"/>
    </row>
    <row r="2381">
      <c r="A2381" s="19" t="n"/>
      <c r="B2381" s="15" t="n"/>
      <c r="C2381">
        <f>IF(B2381="","",IFERROR(INDEX(Items!$B$5:$B$304,MATCH(B2381,Items!$A$5:$A$304,0)),"Unknown code"))</f>
        <v/>
      </c>
      <c r="D2381" s="15" t="n"/>
      <c r="E2381" s="16" t="n"/>
      <c r="F2381" s="18">
        <f>IF(OR(D2381="",E2381=""),"",D2381*E2381)</f>
        <v/>
      </c>
      <c r="G2381" s="15" t="n"/>
    </row>
    <row r="2382">
      <c r="A2382" s="19" t="n"/>
      <c r="B2382" s="15" t="n"/>
      <c r="C2382">
        <f>IF(B2382="","",IFERROR(INDEX(Items!$B$5:$B$304,MATCH(B2382,Items!$A$5:$A$304,0)),"Unknown code"))</f>
        <v/>
      </c>
      <c r="D2382" s="15" t="n"/>
      <c r="E2382" s="16" t="n"/>
      <c r="F2382" s="18">
        <f>IF(OR(D2382="",E2382=""),"",D2382*E2382)</f>
        <v/>
      </c>
      <c r="G2382" s="15" t="n"/>
    </row>
    <row r="2383">
      <c r="A2383" s="19" t="n"/>
      <c r="B2383" s="15" t="n"/>
      <c r="C2383">
        <f>IF(B2383="","",IFERROR(INDEX(Items!$B$5:$B$304,MATCH(B2383,Items!$A$5:$A$304,0)),"Unknown code"))</f>
        <v/>
      </c>
      <c r="D2383" s="15" t="n"/>
      <c r="E2383" s="16" t="n"/>
      <c r="F2383" s="18">
        <f>IF(OR(D2383="",E2383=""),"",D2383*E2383)</f>
        <v/>
      </c>
      <c r="G2383" s="15" t="n"/>
    </row>
    <row r="2384">
      <c r="A2384" s="19" t="n"/>
      <c r="B2384" s="15" t="n"/>
      <c r="C2384">
        <f>IF(B2384="","",IFERROR(INDEX(Items!$B$5:$B$304,MATCH(B2384,Items!$A$5:$A$304,0)),"Unknown code"))</f>
        <v/>
      </c>
      <c r="D2384" s="15" t="n"/>
      <c r="E2384" s="16" t="n"/>
      <c r="F2384" s="18">
        <f>IF(OR(D2384="",E2384=""),"",D2384*E2384)</f>
        <v/>
      </c>
      <c r="G2384" s="15" t="n"/>
    </row>
    <row r="2385">
      <c r="A2385" s="19" t="n"/>
      <c r="B2385" s="15" t="n"/>
      <c r="C2385">
        <f>IF(B2385="","",IFERROR(INDEX(Items!$B$5:$B$304,MATCH(B2385,Items!$A$5:$A$304,0)),"Unknown code"))</f>
        <v/>
      </c>
      <c r="D2385" s="15" t="n"/>
      <c r="E2385" s="16" t="n"/>
      <c r="F2385" s="18">
        <f>IF(OR(D2385="",E2385=""),"",D2385*E2385)</f>
        <v/>
      </c>
      <c r="G2385" s="15" t="n"/>
    </row>
    <row r="2386">
      <c r="A2386" s="19" t="n"/>
      <c r="B2386" s="15" t="n"/>
      <c r="C2386">
        <f>IF(B2386="","",IFERROR(INDEX(Items!$B$5:$B$304,MATCH(B2386,Items!$A$5:$A$304,0)),"Unknown code"))</f>
        <v/>
      </c>
      <c r="D2386" s="15" t="n"/>
      <c r="E2386" s="16" t="n"/>
      <c r="F2386" s="18">
        <f>IF(OR(D2386="",E2386=""),"",D2386*E2386)</f>
        <v/>
      </c>
      <c r="G2386" s="15" t="n"/>
    </row>
    <row r="2387">
      <c r="A2387" s="19" t="n"/>
      <c r="B2387" s="15" t="n"/>
      <c r="C2387">
        <f>IF(B2387="","",IFERROR(INDEX(Items!$B$5:$B$304,MATCH(B2387,Items!$A$5:$A$304,0)),"Unknown code"))</f>
        <v/>
      </c>
      <c r="D2387" s="15" t="n"/>
      <c r="E2387" s="16" t="n"/>
      <c r="F2387" s="18">
        <f>IF(OR(D2387="",E2387=""),"",D2387*E2387)</f>
        <v/>
      </c>
      <c r="G2387" s="15" t="n"/>
    </row>
    <row r="2388">
      <c r="A2388" s="19" t="n"/>
      <c r="B2388" s="15" t="n"/>
      <c r="C2388">
        <f>IF(B2388="","",IFERROR(INDEX(Items!$B$5:$B$304,MATCH(B2388,Items!$A$5:$A$304,0)),"Unknown code"))</f>
        <v/>
      </c>
      <c r="D2388" s="15" t="n"/>
      <c r="E2388" s="16" t="n"/>
      <c r="F2388" s="18">
        <f>IF(OR(D2388="",E2388=""),"",D2388*E2388)</f>
        <v/>
      </c>
      <c r="G2388" s="15" t="n"/>
    </row>
    <row r="2389">
      <c r="A2389" s="19" t="n"/>
      <c r="B2389" s="15" t="n"/>
      <c r="C2389">
        <f>IF(B2389="","",IFERROR(INDEX(Items!$B$5:$B$304,MATCH(B2389,Items!$A$5:$A$304,0)),"Unknown code"))</f>
        <v/>
      </c>
      <c r="D2389" s="15" t="n"/>
      <c r="E2389" s="16" t="n"/>
      <c r="F2389" s="18">
        <f>IF(OR(D2389="",E2389=""),"",D2389*E2389)</f>
        <v/>
      </c>
      <c r="G2389" s="15" t="n"/>
    </row>
    <row r="2390">
      <c r="A2390" s="19" t="n"/>
      <c r="B2390" s="15" t="n"/>
      <c r="C2390">
        <f>IF(B2390="","",IFERROR(INDEX(Items!$B$5:$B$304,MATCH(B2390,Items!$A$5:$A$304,0)),"Unknown code"))</f>
        <v/>
      </c>
      <c r="D2390" s="15" t="n"/>
      <c r="E2390" s="16" t="n"/>
      <c r="F2390" s="18">
        <f>IF(OR(D2390="",E2390=""),"",D2390*E2390)</f>
        <v/>
      </c>
      <c r="G2390" s="15" t="n"/>
    </row>
    <row r="2391">
      <c r="A2391" s="19" t="n"/>
      <c r="B2391" s="15" t="n"/>
      <c r="C2391">
        <f>IF(B2391="","",IFERROR(INDEX(Items!$B$5:$B$304,MATCH(B2391,Items!$A$5:$A$304,0)),"Unknown code"))</f>
        <v/>
      </c>
      <c r="D2391" s="15" t="n"/>
      <c r="E2391" s="16" t="n"/>
      <c r="F2391" s="18">
        <f>IF(OR(D2391="",E2391=""),"",D2391*E2391)</f>
        <v/>
      </c>
      <c r="G2391" s="15" t="n"/>
    </row>
    <row r="2392">
      <c r="A2392" s="19" t="n"/>
      <c r="B2392" s="15" t="n"/>
      <c r="C2392">
        <f>IF(B2392="","",IFERROR(INDEX(Items!$B$5:$B$304,MATCH(B2392,Items!$A$5:$A$304,0)),"Unknown code"))</f>
        <v/>
      </c>
      <c r="D2392" s="15" t="n"/>
      <c r="E2392" s="16" t="n"/>
      <c r="F2392" s="18">
        <f>IF(OR(D2392="",E2392=""),"",D2392*E2392)</f>
        <v/>
      </c>
      <c r="G2392" s="15" t="n"/>
    </row>
    <row r="2393">
      <c r="A2393" s="19" t="n"/>
      <c r="B2393" s="15" t="n"/>
      <c r="C2393">
        <f>IF(B2393="","",IFERROR(INDEX(Items!$B$5:$B$304,MATCH(B2393,Items!$A$5:$A$304,0)),"Unknown code"))</f>
        <v/>
      </c>
      <c r="D2393" s="15" t="n"/>
      <c r="E2393" s="16" t="n"/>
      <c r="F2393" s="18">
        <f>IF(OR(D2393="",E2393=""),"",D2393*E2393)</f>
        <v/>
      </c>
      <c r="G2393" s="15" t="n"/>
    </row>
    <row r="2394">
      <c r="A2394" s="19" t="n"/>
      <c r="B2394" s="15" t="n"/>
      <c r="C2394">
        <f>IF(B2394="","",IFERROR(INDEX(Items!$B$5:$B$304,MATCH(B2394,Items!$A$5:$A$304,0)),"Unknown code"))</f>
        <v/>
      </c>
      <c r="D2394" s="15" t="n"/>
      <c r="E2394" s="16" t="n"/>
      <c r="F2394" s="18">
        <f>IF(OR(D2394="",E2394=""),"",D2394*E2394)</f>
        <v/>
      </c>
      <c r="G2394" s="15" t="n"/>
    </row>
    <row r="2395">
      <c r="A2395" s="19" t="n"/>
      <c r="B2395" s="15" t="n"/>
      <c r="C2395">
        <f>IF(B2395="","",IFERROR(INDEX(Items!$B$5:$B$304,MATCH(B2395,Items!$A$5:$A$304,0)),"Unknown code"))</f>
        <v/>
      </c>
      <c r="D2395" s="15" t="n"/>
      <c r="E2395" s="16" t="n"/>
      <c r="F2395" s="18">
        <f>IF(OR(D2395="",E2395=""),"",D2395*E2395)</f>
        <v/>
      </c>
      <c r="G2395" s="15" t="n"/>
    </row>
    <row r="2396">
      <c r="A2396" s="19" t="n"/>
      <c r="B2396" s="15" t="n"/>
      <c r="C2396">
        <f>IF(B2396="","",IFERROR(INDEX(Items!$B$5:$B$304,MATCH(B2396,Items!$A$5:$A$304,0)),"Unknown code"))</f>
        <v/>
      </c>
      <c r="D2396" s="15" t="n"/>
      <c r="E2396" s="16" t="n"/>
      <c r="F2396" s="18">
        <f>IF(OR(D2396="",E2396=""),"",D2396*E2396)</f>
        <v/>
      </c>
      <c r="G2396" s="15" t="n"/>
    </row>
    <row r="2397">
      <c r="A2397" s="19" t="n"/>
      <c r="B2397" s="15" t="n"/>
      <c r="C2397">
        <f>IF(B2397="","",IFERROR(INDEX(Items!$B$5:$B$304,MATCH(B2397,Items!$A$5:$A$304,0)),"Unknown code"))</f>
        <v/>
      </c>
      <c r="D2397" s="15" t="n"/>
      <c r="E2397" s="16" t="n"/>
      <c r="F2397" s="18">
        <f>IF(OR(D2397="",E2397=""),"",D2397*E2397)</f>
        <v/>
      </c>
      <c r="G2397" s="15" t="n"/>
    </row>
    <row r="2398">
      <c r="A2398" s="19" t="n"/>
      <c r="B2398" s="15" t="n"/>
      <c r="C2398">
        <f>IF(B2398="","",IFERROR(INDEX(Items!$B$5:$B$304,MATCH(B2398,Items!$A$5:$A$304,0)),"Unknown code"))</f>
        <v/>
      </c>
      <c r="D2398" s="15" t="n"/>
      <c r="E2398" s="16" t="n"/>
      <c r="F2398" s="18">
        <f>IF(OR(D2398="",E2398=""),"",D2398*E2398)</f>
        <v/>
      </c>
      <c r="G2398" s="15" t="n"/>
    </row>
    <row r="2399">
      <c r="A2399" s="19" t="n"/>
      <c r="B2399" s="15" t="n"/>
      <c r="C2399">
        <f>IF(B2399="","",IFERROR(INDEX(Items!$B$5:$B$304,MATCH(B2399,Items!$A$5:$A$304,0)),"Unknown code"))</f>
        <v/>
      </c>
      <c r="D2399" s="15" t="n"/>
      <c r="E2399" s="16" t="n"/>
      <c r="F2399" s="18">
        <f>IF(OR(D2399="",E2399=""),"",D2399*E2399)</f>
        <v/>
      </c>
      <c r="G2399" s="15" t="n"/>
    </row>
    <row r="2400">
      <c r="A2400" s="19" t="n"/>
      <c r="B2400" s="15" t="n"/>
      <c r="C2400">
        <f>IF(B2400="","",IFERROR(INDEX(Items!$B$5:$B$304,MATCH(B2400,Items!$A$5:$A$304,0)),"Unknown code"))</f>
        <v/>
      </c>
      <c r="D2400" s="15" t="n"/>
      <c r="E2400" s="16" t="n"/>
      <c r="F2400" s="18">
        <f>IF(OR(D2400="",E2400=""),"",D2400*E2400)</f>
        <v/>
      </c>
      <c r="G2400" s="15" t="n"/>
    </row>
    <row r="2401">
      <c r="A2401" s="19" t="n"/>
      <c r="B2401" s="15" t="n"/>
      <c r="C2401">
        <f>IF(B2401="","",IFERROR(INDEX(Items!$B$5:$B$304,MATCH(B2401,Items!$A$5:$A$304,0)),"Unknown code"))</f>
        <v/>
      </c>
      <c r="D2401" s="15" t="n"/>
      <c r="E2401" s="16" t="n"/>
      <c r="F2401" s="18">
        <f>IF(OR(D2401="",E2401=""),"",D2401*E2401)</f>
        <v/>
      </c>
      <c r="G2401" s="15" t="n"/>
    </row>
    <row r="2402">
      <c r="A2402" s="19" t="n"/>
      <c r="B2402" s="15" t="n"/>
      <c r="C2402">
        <f>IF(B2402="","",IFERROR(INDEX(Items!$B$5:$B$304,MATCH(B2402,Items!$A$5:$A$304,0)),"Unknown code"))</f>
        <v/>
      </c>
      <c r="D2402" s="15" t="n"/>
      <c r="E2402" s="16" t="n"/>
      <c r="F2402" s="18">
        <f>IF(OR(D2402="",E2402=""),"",D2402*E2402)</f>
        <v/>
      </c>
      <c r="G2402" s="15" t="n"/>
    </row>
    <row r="2403">
      <c r="A2403" s="19" t="n"/>
      <c r="B2403" s="15" t="n"/>
      <c r="C2403">
        <f>IF(B2403="","",IFERROR(INDEX(Items!$B$5:$B$304,MATCH(B2403,Items!$A$5:$A$304,0)),"Unknown code"))</f>
        <v/>
      </c>
      <c r="D2403" s="15" t="n"/>
      <c r="E2403" s="16" t="n"/>
      <c r="F2403" s="18">
        <f>IF(OR(D2403="",E2403=""),"",D2403*E2403)</f>
        <v/>
      </c>
      <c r="G2403" s="15" t="n"/>
    </row>
    <row r="2404">
      <c r="A2404" s="19" t="n"/>
      <c r="B2404" s="15" t="n"/>
      <c r="C2404">
        <f>IF(B2404="","",IFERROR(INDEX(Items!$B$5:$B$304,MATCH(B2404,Items!$A$5:$A$304,0)),"Unknown code"))</f>
        <v/>
      </c>
      <c r="D2404" s="15" t="n"/>
      <c r="E2404" s="16" t="n"/>
      <c r="F2404" s="18">
        <f>IF(OR(D2404="",E2404=""),"",D2404*E2404)</f>
        <v/>
      </c>
      <c r="G2404" s="15" t="n"/>
    </row>
    <row r="2405">
      <c r="A2405" s="19" t="n"/>
      <c r="B2405" s="15" t="n"/>
      <c r="C2405">
        <f>IF(B2405="","",IFERROR(INDEX(Items!$B$5:$B$304,MATCH(B2405,Items!$A$5:$A$304,0)),"Unknown code"))</f>
        <v/>
      </c>
      <c r="D2405" s="15" t="n"/>
      <c r="E2405" s="16" t="n"/>
      <c r="F2405" s="18">
        <f>IF(OR(D2405="",E2405=""),"",D2405*E2405)</f>
        <v/>
      </c>
      <c r="G2405" s="15" t="n"/>
    </row>
    <row r="2406">
      <c r="A2406" s="19" t="n"/>
      <c r="B2406" s="15" t="n"/>
      <c r="C2406">
        <f>IF(B2406="","",IFERROR(INDEX(Items!$B$5:$B$304,MATCH(B2406,Items!$A$5:$A$304,0)),"Unknown code"))</f>
        <v/>
      </c>
      <c r="D2406" s="15" t="n"/>
      <c r="E2406" s="16" t="n"/>
      <c r="F2406" s="18">
        <f>IF(OR(D2406="",E2406=""),"",D2406*E2406)</f>
        <v/>
      </c>
      <c r="G2406" s="15" t="n"/>
    </row>
    <row r="2407">
      <c r="A2407" s="19" t="n"/>
      <c r="B2407" s="15" t="n"/>
      <c r="C2407">
        <f>IF(B2407="","",IFERROR(INDEX(Items!$B$5:$B$304,MATCH(B2407,Items!$A$5:$A$304,0)),"Unknown code"))</f>
        <v/>
      </c>
      <c r="D2407" s="15" t="n"/>
      <c r="E2407" s="16" t="n"/>
      <c r="F2407" s="18">
        <f>IF(OR(D2407="",E2407=""),"",D2407*E2407)</f>
        <v/>
      </c>
      <c r="G2407" s="15" t="n"/>
    </row>
    <row r="2408">
      <c r="A2408" s="19" t="n"/>
      <c r="B2408" s="15" t="n"/>
      <c r="C2408">
        <f>IF(B2408="","",IFERROR(INDEX(Items!$B$5:$B$304,MATCH(B2408,Items!$A$5:$A$304,0)),"Unknown code"))</f>
        <v/>
      </c>
      <c r="D2408" s="15" t="n"/>
      <c r="E2408" s="16" t="n"/>
      <c r="F2408" s="18">
        <f>IF(OR(D2408="",E2408=""),"",D2408*E2408)</f>
        <v/>
      </c>
      <c r="G2408" s="15" t="n"/>
    </row>
    <row r="2409">
      <c r="A2409" s="19" t="n"/>
      <c r="B2409" s="15" t="n"/>
      <c r="C2409">
        <f>IF(B2409="","",IFERROR(INDEX(Items!$B$5:$B$304,MATCH(B2409,Items!$A$5:$A$304,0)),"Unknown code"))</f>
        <v/>
      </c>
      <c r="D2409" s="15" t="n"/>
      <c r="E2409" s="16" t="n"/>
      <c r="F2409" s="18">
        <f>IF(OR(D2409="",E2409=""),"",D2409*E2409)</f>
        <v/>
      </c>
      <c r="G2409" s="15" t="n"/>
    </row>
    <row r="2410">
      <c r="A2410" s="19" t="n"/>
      <c r="B2410" s="15" t="n"/>
      <c r="C2410">
        <f>IF(B2410="","",IFERROR(INDEX(Items!$B$5:$B$304,MATCH(B2410,Items!$A$5:$A$304,0)),"Unknown code"))</f>
        <v/>
      </c>
      <c r="D2410" s="15" t="n"/>
      <c r="E2410" s="16" t="n"/>
      <c r="F2410" s="18">
        <f>IF(OR(D2410="",E2410=""),"",D2410*E2410)</f>
        <v/>
      </c>
      <c r="G2410" s="15" t="n"/>
    </row>
    <row r="2411">
      <c r="A2411" s="19" t="n"/>
      <c r="B2411" s="15" t="n"/>
      <c r="C2411">
        <f>IF(B2411="","",IFERROR(INDEX(Items!$B$5:$B$304,MATCH(B2411,Items!$A$5:$A$304,0)),"Unknown code"))</f>
        <v/>
      </c>
      <c r="D2411" s="15" t="n"/>
      <c r="E2411" s="16" t="n"/>
      <c r="F2411" s="18">
        <f>IF(OR(D2411="",E2411=""),"",D2411*E2411)</f>
        <v/>
      </c>
      <c r="G2411" s="15" t="n"/>
    </row>
    <row r="2412">
      <c r="A2412" s="19" t="n"/>
      <c r="B2412" s="15" t="n"/>
      <c r="C2412">
        <f>IF(B2412="","",IFERROR(INDEX(Items!$B$5:$B$304,MATCH(B2412,Items!$A$5:$A$304,0)),"Unknown code"))</f>
        <v/>
      </c>
      <c r="D2412" s="15" t="n"/>
      <c r="E2412" s="16" t="n"/>
      <c r="F2412" s="18">
        <f>IF(OR(D2412="",E2412=""),"",D2412*E2412)</f>
        <v/>
      </c>
      <c r="G2412" s="15" t="n"/>
    </row>
    <row r="2413">
      <c r="A2413" s="19" t="n"/>
      <c r="B2413" s="15" t="n"/>
      <c r="C2413">
        <f>IF(B2413="","",IFERROR(INDEX(Items!$B$5:$B$304,MATCH(B2413,Items!$A$5:$A$304,0)),"Unknown code"))</f>
        <v/>
      </c>
      <c r="D2413" s="15" t="n"/>
      <c r="E2413" s="16" t="n"/>
      <c r="F2413" s="18">
        <f>IF(OR(D2413="",E2413=""),"",D2413*E2413)</f>
        <v/>
      </c>
      <c r="G2413" s="15" t="n"/>
    </row>
    <row r="2414">
      <c r="A2414" s="19" t="n"/>
      <c r="B2414" s="15" t="n"/>
      <c r="C2414">
        <f>IF(B2414="","",IFERROR(INDEX(Items!$B$5:$B$304,MATCH(B2414,Items!$A$5:$A$304,0)),"Unknown code"))</f>
        <v/>
      </c>
      <c r="D2414" s="15" t="n"/>
      <c r="E2414" s="16" t="n"/>
      <c r="F2414" s="18">
        <f>IF(OR(D2414="",E2414=""),"",D2414*E2414)</f>
        <v/>
      </c>
      <c r="G2414" s="15" t="n"/>
    </row>
    <row r="2415">
      <c r="A2415" s="19" t="n"/>
      <c r="B2415" s="15" t="n"/>
      <c r="C2415">
        <f>IF(B2415="","",IFERROR(INDEX(Items!$B$5:$B$304,MATCH(B2415,Items!$A$5:$A$304,0)),"Unknown code"))</f>
        <v/>
      </c>
      <c r="D2415" s="15" t="n"/>
      <c r="E2415" s="16" t="n"/>
      <c r="F2415" s="18">
        <f>IF(OR(D2415="",E2415=""),"",D2415*E2415)</f>
        <v/>
      </c>
      <c r="G2415" s="15" t="n"/>
    </row>
    <row r="2416">
      <c r="A2416" s="19" t="n"/>
      <c r="B2416" s="15" t="n"/>
      <c r="C2416">
        <f>IF(B2416="","",IFERROR(INDEX(Items!$B$5:$B$304,MATCH(B2416,Items!$A$5:$A$304,0)),"Unknown code"))</f>
        <v/>
      </c>
      <c r="D2416" s="15" t="n"/>
      <c r="E2416" s="16" t="n"/>
      <c r="F2416" s="18">
        <f>IF(OR(D2416="",E2416=""),"",D2416*E2416)</f>
        <v/>
      </c>
      <c r="G2416" s="15" t="n"/>
    </row>
    <row r="2417">
      <c r="A2417" s="19" t="n"/>
      <c r="B2417" s="15" t="n"/>
      <c r="C2417">
        <f>IF(B2417="","",IFERROR(INDEX(Items!$B$5:$B$304,MATCH(B2417,Items!$A$5:$A$304,0)),"Unknown code"))</f>
        <v/>
      </c>
      <c r="D2417" s="15" t="n"/>
      <c r="E2417" s="16" t="n"/>
      <c r="F2417" s="18">
        <f>IF(OR(D2417="",E2417=""),"",D2417*E2417)</f>
        <v/>
      </c>
      <c r="G2417" s="15" t="n"/>
    </row>
    <row r="2418">
      <c r="A2418" s="19" t="n"/>
      <c r="B2418" s="15" t="n"/>
      <c r="C2418">
        <f>IF(B2418="","",IFERROR(INDEX(Items!$B$5:$B$304,MATCH(B2418,Items!$A$5:$A$304,0)),"Unknown code"))</f>
        <v/>
      </c>
      <c r="D2418" s="15" t="n"/>
      <c r="E2418" s="16" t="n"/>
      <c r="F2418" s="18">
        <f>IF(OR(D2418="",E2418=""),"",D2418*E2418)</f>
        <v/>
      </c>
      <c r="G2418" s="15" t="n"/>
    </row>
    <row r="2419">
      <c r="A2419" s="19" t="n"/>
      <c r="B2419" s="15" t="n"/>
      <c r="C2419">
        <f>IF(B2419="","",IFERROR(INDEX(Items!$B$5:$B$304,MATCH(B2419,Items!$A$5:$A$304,0)),"Unknown code"))</f>
        <v/>
      </c>
      <c r="D2419" s="15" t="n"/>
      <c r="E2419" s="16" t="n"/>
      <c r="F2419" s="18">
        <f>IF(OR(D2419="",E2419=""),"",D2419*E2419)</f>
        <v/>
      </c>
      <c r="G2419" s="15" t="n"/>
    </row>
    <row r="2420">
      <c r="A2420" s="19" t="n"/>
      <c r="B2420" s="15" t="n"/>
      <c r="C2420">
        <f>IF(B2420="","",IFERROR(INDEX(Items!$B$5:$B$304,MATCH(B2420,Items!$A$5:$A$304,0)),"Unknown code"))</f>
        <v/>
      </c>
      <c r="D2420" s="15" t="n"/>
      <c r="E2420" s="16" t="n"/>
      <c r="F2420" s="18">
        <f>IF(OR(D2420="",E2420=""),"",D2420*E2420)</f>
        <v/>
      </c>
      <c r="G2420" s="15" t="n"/>
    </row>
    <row r="2421">
      <c r="A2421" s="19" t="n"/>
      <c r="B2421" s="15" t="n"/>
      <c r="C2421">
        <f>IF(B2421="","",IFERROR(INDEX(Items!$B$5:$B$304,MATCH(B2421,Items!$A$5:$A$304,0)),"Unknown code"))</f>
        <v/>
      </c>
      <c r="D2421" s="15" t="n"/>
      <c r="E2421" s="16" t="n"/>
      <c r="F2421" s="18">
        <f>IF(OR(D2421="",E2421=""),"",D2421*E2421)</f>
        <v/>
      </c>
      <c r="G2421" s="15" t="n"/>
    </row>
    <row r="2422">
      <c r="A2422" s="19" t="n"/>
      <c r="B2422" s="15" t="n"/>
      <c r="C2422">
        <f>IF(B2422="","",IFERROR(INDEX(Items!$B$5:$B$304,MATCH(B2422,Items!$A$5:$A$304,0)),"Unknown code"))</f>
        <v/>
      </c>
      <c r="D2422" s="15" t="n"/>
      <c r="E2422" s="16" t="n"/>
      <c r="F2422" s="18">
        <f>IF(OR(D2422="",E2422=""),"",D2422*E2422)</f>
        <v/>
      </c>
      <c r="G2422" s="15" t="n"/>
    </row>
    <row r="2423">
      <c r="A2423" s="19" t="n"/>
      <c r="B2423" s="15" t="n"/>
      <c r="C2423">
        <f>IF(B2423="","",IFERROR(INDEX(Items!$B$5:$B$304,MATCH(B2423,Items!$A$5:$A$304,0)),"Unknown code"))</f>
        <v/>
      </c>
      <c r="D2423" s="15" t="n"/>
      <c r="E2423" s="16" t="n"/>
      <c r="F2423" s="18">
        <f>IF(OR(D2423="",E2423=""),"",D2423*E2423)</f>
        <v/>
      </c>
      <c r="G2423" s="15" t="n"/>
    </row>
    <row r="2424">
      <c r="A2424" s="19" t="n"/>
      <c r="B2424" s="15" t="n"/>
      <c r="C2424">
        <f>IF(B2424="","",IFERROR(INDEX(Items!$B$5:$B$304,MATCH(B2424,Items!$A$5:$A$304,0)),"Unknown code"))</f>
        <v/>
      </c>
      <c r="D2424" s="15" t="n"/>
      <c r="E2424" s="16" t="n"/>
      <c r="F2424" s="18">
        <f>IF(OR(D2424="",E2424=""),"",D2424*E2424)</f>
        <v/>
      </c>
      <c r="G2424" s="15" t="n"/>
    </row>
    <row r="2425">
      <c r="A2425" s="19" t="n"/>
      <c r="B2425" s="15" t="n"/>
      <c r="C2425">
        <f>IF(B2425="","",IFERROR(INDEX(Items!$B$5:$B$304,MATCH(B2425,Items!$A$5:$A$304,0)),"Unknown code"))</f>
        <v/>
      </c>
      <c r="D2425" s="15" t="n"/>
      <c r="E2425" s="16" t="n"/>
      <c r="F2425" s="18">
        <f>IF(OR(D2425="",E2425=""),"",D2425*E2425)</f>
        <v/>
      </c>
      <c r="G2425" s="15" t="n"/>
    </row>
    <row r="2426">
      <c r="A2426" s="19" t="n"/>
      <c r="B2426" s="15" t="n"/>
      <c r="C2426">
        <f>IF(B2426="","",IFERROR(INDEX(Items!$B$5:$B$304,MATCH(B2426,Items!$A$5:$A$304,0)),"Unknown code"))</f>
        <v/>
      </c>
      <c r="D2426" s="15" t="n"/>
      <c r="E2426" s="16" t="n"/>
      <c r="F2426" s="18">
        <f>IF(OR(D2426="",E2426=""),"",D2426*E2426)</f>
        <v/>
      </c>
      <c r="G2426" s="15" t="n"/>
    </row>
    <row r="2427">
      <c r="A2427" s="19" t="n"/>
      <c r="B2427" s="15" t="n"/>
      <c r="C2427">
        <f>IF(B2427="","",IFERROR(INDEX(Items!$B$5:$B$304,MATCH(B2427,Items!$A$5:$A$304,0)),"Unknown code"))</f>
        <v/>
      </c>
      <c r="D2427" s="15" t="n"/>
      <c r="E2427" s="16" t="n"/>
      <c r="F2427" s="18">
        <f>IF(OR(D2427="",E2427=""),"",D2427*E2427)</f>
        <v/>
      </c>
      <c r="G2427" s="15" t="n"/>
    </row>
    <row r="2428">
      <c r="A2428" s="19" t="n"/>
      <c r="B2428" s="15" t="n"/>
      <c r="C2428">
        <f>IF(B2428="","",IFERROR(INDEX(Items!$B$5:$B$304,MATCH(B2428,Items!$A$5:$A$304,0)),"Unknown code"))</f>
        <v/>
      </c>
      <c r="D2428" s="15" t="n"/>
      <c r="E2428" s="16" t="n"/>
      <c r="F2428" s="18">
        <f>IF(OR(D2428="",E2428=""),"",D2428*E2428)</f>
        <v/>
      </c>
      <c r="G2428" s="15" t="n"/>
    </row>
    <row r="2429">
      <c r="A2429" s="19" t="n"/>
      <c r="B2429" s="15" t="n"/>
      <c r="C2429">
        <f>IF(B2429="","",IFERROR(INDEX(Items!$B$5:$B$304,MATCH(B2429,Items!$A$5:$A$304,0)),"Unknown code"))</f>
        <v/>
      </c>
      <c r="D2429" s="15" t="n"/>
      <c r="E2429" s="16" t="n"/>
      <c r="F2429" s="18">
        <f>IF(OR(D2429="",E2429=""),"",D2429*E2429)</f>
        <v/>
      </c>
      <c r="G2429" s="15" t="n"/>
    </row>
    <row r="2430">
      <c r="A2430" s="19" t="n"/>
      <c r="B2430" s="15" t="n"/>
      <c r="C2430">
        <f>IF(B2430="","",IFERROR(INDEX(Items!$B$5:$B$304,MATCH(B2430,Items!$A$5:$A$304,0)),"Unknown code"))</f>
        <v/>
      </c>
      <c r="D2430" s="15" t="n"/>
      <c r="E2430" s="16" t="n"/>
      <c r="F2430" s="18">
        <f>IF(OR(D2430="",E2430=""),"",D2430*E2430)</f>
        <v/>
      </c>
      <c r="G2430" s="15" t="n"/>
    </row>
    <row r="2431">
      <c r="A2431" s="19" t="n"/>
      <c r="B2431" s="15" t="n"/>
      <c r="C2431">
        <f>IF(B2431="","",IFERROR(INDEX(Items!$B$5:$B$304,MATCH(B2431,Items!$A$5:$A$304,0)),"Unknown code"))</f>
        <v/>
      </c>
      <c r="D2431" s="15" t="n"/>
      <c r="E2431" s="16" t="n"/>
      <c r="F2431" s="18">
        <f>IF(OR(D2431="",E2431=""),"",D2431*E2431)</f>
        <v/>
      </c>
      <c r="G2431" s="15" t="n"/>
    </row>
    <row r="2432">
      <c r="A2432" s="19" t="n"/>
      <c r="B2432" s="15" t="n"/>
      <c r="C2432">
        <f>IF(B2432="","",IFERROR(INDEX(Items!$B$5:$B$304,MATCH(B2432,Items!$A$5:$A$304,0)),"Unknown code"))</f>
        <v/>
      </c>
      <c r="D2432" s="15" t="n"/>
      <c r="E2432" s="16" t="n"/>
      <c r="F2432" s="18">
        <f>IF(OR(D2432="",E2432=""),"",D2432*E2432)</f>
        <v/>
      </c>
      <c r="G2432" s="15" t="n"/>
    </row>
    <row r="2433">
      <c r="A2433" s="19" t="n"/>
      <c r="B2433" s="15" t="n"/>
      <c r="C2433">
        <f>IF(B2433="","",IFERROR(INDEX(Items!$B$5:$B$304,MATCH(B2433,Items!$A$5:$A$304,0)),"Unknown code"))</f>
        <v/>
      </c>
      <c r="D2433" s="15" t="n"/>
      <c r="E2433" s="16" t="n"/>
      <c r="F2433" s="18">
        <f>IF(OR(D2433="",E2433=""),"",D2433*E2433)</f>
        <v/>
      </c>
      <c r="G2433" s="15" t="n"/>
    </row>
    <row r="2434">
      <c r="A2434" s="19" t="n"/>
      <c r="B2434" s="15" t="n"/>
      <c r="C2434">
        <f>IF(B2434="","",IFERROR(INDEX(Items!$B$5:$B$304,MATCH(B2434,Items!$A$5:$A$304,0)),"Unknown code"))</f>
        <v/>
      </c>
      <c r="D2434" s="15" t="n"/>
      <c r="E2434" s="16" t="n"/>
      <c r="F2434" s="18">
        <f>IF(OR(D2434="",E2434=""),"",D2434*E2434)</f>
        <v/>
      </c>
      <c r="G2434" s="15" t="n"/>
    </row>
    <row r="2435">
      <c r="A2435" s="19" t="n"/>
      <c r="B2435" s="15" t="n"/>
      <c r="C2435">
        <f>IF(B2435="","",IFERROR(INDEX(Items!$B$5:$B$304,MATCH(B2435,Items!$A$5:$A$304,0)),"Unknown code"))</f>
        <v/>
      </c>
      <c r="D2435" s="15" t="n"/>
      <c r="E2435" s="16" t="n"/>
      <c r="F2435" s="18">
        <f>IF(OR(D2435="",E2435=""),"",D2435*E2435)</f>
        <v/>
      </c>
      <c r="G2435" s="15" t="n"/>
    </row>
    <row r="2436">
      <c r="A2436" s="19" t="n"/>
      <c r="B2436" s="15" t="n"/>
      <c r="C2436">
        <f>IF(B2436="","",IFERROR(INDEX(Items!$B$5:$B$304,MATCH(B2436,Items!$A$5:$A$304,0)),"Unknown code"))</f>
        <v/>
      </c>
      <c r="D2436" s="15" t="n"/>
      <c r="E2436" s="16" t="n"/>
      <c r="F2436" s="18">
        <f>IF(OR(D2436="",E2436=""),"",D2436*E2436)</f>
        <v/>
      </c>
      <c r="G2436" s="15" t="n"/>
    </row>
    <row r="2437">
      <c r="A2437" s="19" t="n"/>
      <c r="B2437" s="15" t="n"/>
      <c r="C2437">
        <f>IF(B2437="","",IFERROR(INDEX(Items!$B$5:$B$304,MATCH(B2437,Items!$A$5:$A$304,0)),"Unknown code"))</f>
        <v/>
      </c>
      <c r="D2437" s="15" t="n"/>
      <c r="E2437" s="16" t="n"/>
      <c r="F2437" s="18">
        <f>IF(OR(D2437="",E2437=""),"",D2437*E2437)</f>
        <v/>
      </c>
      <c r="G2437" s="15" t="n"/>
    </row>
    <row r="2438">
      <c r="A2438" s="19" t="n"/>
      <c r="B2438" s="15" t="n"/>
      <c r="C2438">
        <f>IF(B2438="","",IFERROR(INDEX(Items!$B$5:$B$304,MATCH(B2438,Items!$A$5:$A$304,0)),"Unknown code"))</f>
        <v/>
      </c>
      <c r="D2438" s="15" t="n"/>
      <c r="E2438" s="16" t="n"/>
      <c r="F2438" s="18">
        <f>IF(OR(D2438="",E2438=""),"",D2438*E2438)</f>
        <v/>
      </c>
      <c r="G2438" s="15" t="n"/>
    </row>
    <row r="2439">
      <c r="A2439" s="19" t="n"/>
      <c r="B2439" s="15" t="n"/>
      <c r="C2439">
        <f>IF(B2439="","",IFERROR(INDEX(Items!$B$5:$B$304,MATCH(B2439,Items!$A$5:$A$304,0)),"Unknown code"))</f>
        <v/>
      </c>
      <c r="D2439" s="15" t="n"/>
      <c r="E2439" s="16" t="n"/>
      <c r="F2439" s="18">
        <f>IF(OR(D2439="",E2439=""),"",D2439*E2439)</f>
        <v/>
      </c>
      <c r="G2439" s="15" t="n"/>
    </row>
    <row r="2440">
      <c r="A2440" s="19" t="n"/>
      <c r="B2440" s="15" t="n"/>
      <c r="C2440">
        <f>IF(B2440="","",IFERROR(INDEX(Items!$B$5:$B$304,MATCH(B2440,Items!$A$5:$A$304,0)),"Unknown code"))</f>
        <v/>
      </c>
      <c r="D2440" s="15" t="n"/>
      <c r="E2440" s="16" t="n"/>
      <c r="F2440" s="18">
        <f>IF(OR(D2440="",E2440=""),"",D2440*E2440)</f>
        <v/>
      </c>
      <c r="G2440" s="15" t="n"/>
    </row>
    <row r="2441">
      <c r="A2441" s="19" t="n"/>
      <c r="B2441" s="15" t="n"/>
      <c r="C2441">
        <f>IF(B2441="","",IFERROR(INDEX(Items!$B$5:$B$304,MATCH(B2441,Items!$A$5:$A$304,0)),"Unknown code"))</f>
        <v/>
      </c>
      <c r="D2441" s="15" t="n"/>
      <c r="E2441" s="16" t="n"/>
      <c r="F2441" s="18">
        <f>IF(OR(D2441="",E2441=""),"",D2441*E2441)</f>
        <v/>
      </c>
      <c r="G2441" s="15" t="n"/>
    </row>
    <row r="2442">
      <c r="A2442" s="19" t="n"/>
      <c r="B2442" s="15" t="n"/>
      <c r="C2442">
        <f>IF(B2442="","",IFERROR(INDEX(Items!$B$5:$B$304,MATCH(B2442,Items!$A$5:$A$304,0)),"Unknown code"))</f>
        <v/>
      </c>
      <c r="D2442" s="15" t="n"/>
      <c r="E2442" s="16" t="n"/>
      <c r="F2442" s="18">
        <f>IF(OR(D2442="",E2442=""),"",D2442*E2442)</f>
        <v/>
      </c>
      <c r="G2442" s="15" t="n"/>
    </row>
    <row r="2443">
      <c r="A2443" s="19" t="n"/>
      <c r="B2443" s="15" t="n"/>
      <c r="C2443">
        <f>IF(B2443="","",IFERROR(INDEX(Items!$B$5:$B$304,MATCH(B2443,Items!$A$5:$A$304,0)),"Unknown code"))</f>
        <v/>
      </c>
      <c r="D2443" s="15" t="n"/>
      <c r="E2443" s="16" t="n"/>
      <c r="F2443" s="18">
        <f>IF(OR(D2443="",E2443=""),"",D2443*E2443)</f>
        <v/>
      </c>
      <c r="G2443" s="15" t="n"/>
    </row>
    <row r="2444">
      <c r="A2444" s="19" t="n"/>
      <c r="B2444" s="15" t="n"/>
      <c r="C2444">
        <f>IF(B2444="","",IFERROR(INDEX(Items!$B$5:$B$304,MATCH(B2444,Items!$A$5:$A$304,0)),"Unknown code"))</f>
        <v/>
      </c>
      <c r="D2444" s="15" t="n"/>
      <c r="E2444" s="16" t="n"/>
      <c r="F2444" s="18">
        <f>IF(OR(D2444="",E2444=""),"",D2444*E2444)</f>
        <v/>
      </c>
      <c r="G2444" s="15" t="n"/>
    </row>
    <row r="2445">
      <c r="A2445" s="19" t="n"/>
      <c r="B2445" s="15" t="n"/>
      <c r="C2445">
        <f>IF(B2445="","",IFERROR(INDEX(Items!$B$5:$B$304,MATCH(B2445,Items!$A$5:$A$304,0)),"Unknown code"))</f>
        <v/>
      </c>
      <c r="D2445" s="15" t="n"/>
      <c r="E2445" s="16" t="n"/>
      <c r="F2445" s="18">
        <f>IF(OR(D2445="",E2445=""),"",D2445*E2445)</f>
        <v/>
      </c>
      <c r="G2445" s="15" t="n"/>
    </row>
    <row r="2446">
      <c r="A2446" s="19" t="n"/>
      <c r="B2446" s="15" t="n"/>
      <c r="C2446">
        <f>IF(B2446="","",IFERROR(INDEX(Items!$B$5:$B$304,MATCH(B2446,Items!$A$5:$A$304,0)),"Unknown code"))</f>
        <v/>
      </c>
      <c r="D2446" s="15" t="n"/>
      <c r="E2446" s="16" t="n"/>
      <c r="F2446" s="18">
        <f>IF(OR(D2446="",E2446=""),"",D2446*E2446)</f>
        <v/>
      </c>
      <c r="G2446" s="15" t="n"/>
    </row>
    <row r="2447">
      <c r="A2447" s="19" t="n"/>
      <c r="B2447" s="15" t="n"/>
      <c r="C2447">
        <f>IF(B2447="","",IFERROR(INDEX(Items!$B$5:$B$304,MATCH(B2447,Items!$A$5:$A$304,0)),"Unknown code"))</f>
        <v/>
      </c>
      <c r="D2447" s="15" t="n"/>
      <c r="E2447" s="16" t="n"/>
      <c r="F2447" s="18">
        <f>IF(OR(D2447="",E2447=""),"",D2447*E2447)</f>
        <v/>
      </c>
      <c r="G2447" s="15" t="n"/>
    </row>
    <row r="2448">
      <c r="A2448" s="19" t="n"/>
      <c r="B2448" s="15" t="n"/>
      <c r="C2448">
        <f>IF(B2448="","",IFERROR(INDEX(Items!$B$5:$B$304,MATCH(B2448,Items!$A$5:$A$304,0)),"Unknown code"))</f>
        <v/>
      </c>
      <c r="D2448" s="15" t="n"/>
      <c r="E2448" s="16" t="n"/>
      <c r="F2448" s="18">
        <f>IF(OR(D2448="",E2448=""),"",D2448*E2448)</f>
        <v/>
      </c>
      <c r="G2448" s="15" t="n"/>
    </row>
    <row r="2449">
      <c r="A2449" s="19" t="n"/>
      <c r="B2449" s="15" t="n"/>
      <c r="C2449">
        <f>IF(B2449="","",IFERROR(INDEX(Items!$B$5:$B$304,MATCH(B2449,Items!$A$5:$A$304,0)),"Unknown code"))</f>
        <v/>
      </c>
      <c r="D2449" s="15" t="n"/>
      <c r="E2449" s="16" t="n"/>
      <c r="F2449" s="18">
        <f>IF(OR(D2449="",E2449=""),"",D2449*E2449)</f>
        <v/>
      </c>
      <c r="G2449" s="15" t="n"/>
    </row>
    <row r="2450">
      <c r="A2450" s="19" t="n"/>
      <c r="B2450" s="15" t="n"/>
      <c r="C2450">
        <f>IF(B2450="","",IFERROR(INDEX(Items!$B$5:$B$304,MATCH(B2450,Items!$A$5:$A$304,0)),"Unknown code"))</f>
        <v/>
      </c>
      <c r="D2450" s="15" t="n"/>
      <c r="E2450" s="16" t="n"/>
      <c r="F2450" s="18">
        <f>IF(OR(D2450="",E2450=""),"",D2450*E2450)</f>
        <v/>
      </c>
      <c r="G2450" s="15" t="n"/>
    </row>
    <row r="2451">
      <c r="A2451" s="19" t="n"/>
      <c r="B2451" s="15" t="n"/>
      <c r="C2451">
        <f>IF(B2451="","",IFERROR(INDEX(Items!$B$5:$B$304,MATCH(B2451,Items!$A$5:$A$304,0)),"Unknown code"))</f>
        <v/>
      </c>
      <c r="D2451" s="15" t="n"/>
      <c r="E2451" s="16" t="n"/>
      <c r="F2451" s="18">
        <f>IF(OR(D2451="",E2451=""),"",D2451*E2451)</f>
        <v/>
      </c>
      <c r="G2451" s="15" t="n"/>
    </row>
    <row r="2452">
      <c r="A2452" s="19" t="n"/>
      <c r="B2452" s="15" t="n"/>
      <c r="C2452">
        <f>IF(B2452="","",IFERROR(INDEX(Items!$B$5:$B$304,MATCH(B2452,Items!$A$5:$A$304,0)),"Unknown code"))</f>
        <v/>
      </c>
      <c r="D2452" s="15" t="n"/>
      <c r="E2452" s="16" t="n"/>
      <c r="F2452" s="18">
        <f>IF(OR(D2452="",E2452=""),"",D2452*E2452)</f>
        <v/>
      </c>
      <c r="G2452" s="15" t="n"/>
    </row>
    <row r="2453">
      <c r="A2453" s="19" t="n"/>
      <c r="B2453" s="15" t="n"/>
      <c r="C2453">
        <f>IF(B2453="","",IFERROR(INDEX(Items!$B$5:$B$304,MATCH(B2453,Items!$A$5:$A$304,0)),"Unknown code"))</f>
        <v/>
      </c>
      <c r="D2453" s="15" t="n"/>
      <c r="E2453" s="16" t="n"/>
      <c r="F2453" s="18">
        <f>IF(OR(D2453="",E2453=""),"",D2453*E2453)</f>
        <v/>
      </c>
      <c r="G2453" s="15" t="n"/>
    </row>
    <row r="2454">
      <c r="A2454" s="19" t="n"/>
      <c r="B2454" s="15" t="n"/>
      <c r="C2454">
        <f>IF(B2454="","",IFERROR(INDEX(Items!$B$5:$B$304,MATCH(B2454,Items!$A$5:$A$304,0)),"Unknown code"))</f>
        <v/>
      </c>
      <c r="D2454" s="15" t="n"/>
      <c r="E2454" s="16" t="n"/>
      <c r="F2454" s="18">
        <f>IF(OR(D2454="",E2454=""),"",D2454*E2454)</f>
        <v/>
      </c>
      <c r="G2454" s="15" t="n"/>
    </row>
    <row r="2455">
      <c r="A2455" s="19" t="n"/>
      <c r="B2455" s="15" t="n"/>
      <c r="C2455">
        <f>IF(B2455="","",IFERROR(INDEX(Items!$B$5:$B$304,MATCH(B2455,Items!$A$5:$A$304,0)),"Unknown code"))</f>
        <v/>
      </c>
      <c r="D2455" s="15" t="n"/>
      <c r="E2455" s="16" t="n"/>
      <c r="F2455" s="18">
        <f>IF(OR(D2455="",E2455=""),"",D2455*E2455)</f>
        <v/>
      </c>
      <c r="G2455" s="15" t="n"/>
    </row>
    <row r="2456">
      <c r="A2456" s="19" t="n"/>
      <c r="B2456" s="15" t="n"/>
      <c r="C2456">
        <f>IF(B2456="","",IFERROR(INDEX(Items!$B$5:$B$304,MATCH(B2456,Items!$A$5:$A$304,0)),"Unknown code"))</f>
        <v/>
      </c>
      <c r="D2456" s="15" t="n"/>
      <c r="E2456" s="16" t="n"/>
      <c r="F2456" s="18">
        <f>IF(OR(D2456="",E2456=""),"",D2456*E2456)</f>
        <v/>
      </c>
      <c r="G2456" s="15" t="n"/>
    </row>
    <row r="2457">
      <c r="A2457" s="19" t="n"/>
      <c r="B2457" s="15" t="n"/>
      <c r="C2457">
        <f>IF(B2457="","",IFERROR(INDEX(Items!$B$5:$B$304,MATCH(B2457,Items!$A$5:$A$304,0)),"Unknown code"))</f>
        <v/>
      </c>
      <c r="D2457" s="15" t="n"/>
      <c r="E2457" s="16" t="n"/>
      <c r="F2457" s="18">
        <f>IF(OR(D2457="",E2457=""),"",D2457*E2457)</f>
        <v/>
      </c>
      <c r="G2457" s="15" t="n"/>
    </row>
    <row r="2458">
      <c r="A2458" s="19" t="n"/>
      <c r="B2458" s="15" t="n"/>
      <c r="C2458">
        <f>IF(B2458="","",IFERROR(INDEX(Items!$B$5:$B$304,MATCH(B2458,Items!$A$5:$A$304,0)),"Unknown code"))</f>
        <v/>
      </c>
      <c r="D2458" s="15" t="n"/>
      <c r="E2458" s="16" t="n"/>
      <c r="F2458" s="18">
        <f>IF(OR(D2458="",E2458=""),"",D2458*E2458)</f>
        <v/>
      </c>
      <c r="G2458" s="15" t="n"/>
    </row>
    <row r="2459">
      <c r="A2459" s="19" t="n"/>
      <c r="B2459" s="15" t="n"/>
      <c r="C2459">
        <f>IF(B2459="","",IFERROR(INDEX(Items!$B$5:$B$304,MATCH(B2459,Items!$A$5:$A$304,0)),"Unknown code"))</f>
        <v/>
      </c>
      <c r="D2459" s="15" t="n"/>
      <c r="E2459" s="16" t="n"/>
      <c r="F2459" s="18">
        <f>IF(OR(D2459="",E2459=""),"",D2459*E2459)</f>
        <v/>
      </c>
      <c r="G2459" s="15" t="n"/>
    </row>
    <row r="2460">
      <c r="A2460" s="19" t="n"/>
      <c r="B2460" s="15" t="n"/>
      <c r="C2460">
        <f>IF(B2460="","",IFERROR(INDEX(Items!$B$5:$B$304,MATCH(B2460,Items!$A$5:$A$304,0)),"Unknown code"))</f>
        <v/>
      </c>
      <c r="D2460" s="15" t="n"/>
      <c r="E2460" s="16" t="n"/>
      <c r="F2460" s="18">
        <f>IF(OR(D2460="",E2460=""),"",D2460*E2460)</f>
        <v/>
      </c>
      <c r="G2460" s="15" t="n"/>
    </row>
    <row r="2461">
      <c r="A2461" s="19" t="n"/>
      <c r="B2461" s="15" t="n"/>
      <c r="C2461">
        <f>IF(B2461="","",IFERROR(INDEX(Items!$B$5:$B$304,MATCH(B2461,Items!$A$5:$A$304,0)),"Unknown code"))</f>
        <v/>
      </c>
      <c r="D2461" s="15" t="n"/>
      <c r="E2461" s="16" t="n"/>
      <c r="F2461" s="18">
        <f>IF(OR(D2461="",E2461=""),"",D2461*E2461)</f>
        <v/>
      </c>
      <c r="G2461" s="15" t="n"/>
    </row>
    <row r="2462">
      <c r="A2462" s="19" t="n"/>
      <c r="B2462" s="15" t="n"/>
      <c r="C2462">
        <f>IF(B2462="","",IFERROR(INDEX(Items!$B$5:$B$304,MATCH(B2462,Items!$A$5:$A$304,0)),"Unknown code"))</f>
        <v/>
      </c>
      <c r="D2462" s="15" t="n"/>
      <c r="E2462" s="16" t="n"/>
      <c r="F2462" s="18">
        <f>IF(OR(D2462="",E2462=""),"",D2462*E2462)</f>
        <v/>
      </c>
      <c r="G2462" s="15" t="n"/>
    </row>
    <row r="2463">
      <c r="A2463" s="19" t="n"/>
      <c r="B2463" s="15" t="n"/>
      <c r="C2463">
        <f>IF(B2463="","",IFERROR(INDEX(Items!$B$5:$B$304,MATCH(B2463,Items!$A$5:$A$304,0)),"Unknown code"))</f>
        <v/>
      </c>
      <c r="D2463" s="15" t="n"/>
      <c r="E2463" s="16" t="n"/>
      <c r="F2463" s="18">
        <f>IF(OR(D2463="",E2463=""),"",D2463*E2463)</f>
        <v/>
      </c>
      <c r="G2463" s="15" t="n"/>
    </row>
    <row r="2464">
      <c r="A2464" s="19" t="n"/>
      <c r="B2464" s="15" t="n"/>
      <c r="C2464">
        <f>IF(B2464="","",IFERROR(INDEX(Items!$B$5:$B$304,MATCH(B2464,Items!$A$5:$A$304,0)),"Unknown code"))</f>
        <v/>
      </c>
      <c r="D2464" s="15" t="n"/>
      <c r="E2464" s="16" t="n"/>
      <c r="F2464" s="18">
        <f>IF(OR(D2464="",E2464=""),"",D2464*E2464)</f>
        <v/>
      </c>
      <c r="G2464" s="15" t="n"/>
    </row>
    <row r="2465">
      <c r="A2465" s="19" t="n"/>
      <c r="B2465" s="15" t="n"/>
      <c r="C2465">
        <f>IF(B2465="","",IFERROR(INDEX(Items!$B$5:$B$304,MATCH(B2465,Items!$A$5:$A$304,0)),"Unknown code"))</f>
        <v/>
      </c>
      <c r="D2465" s="15" t="n"/>
      <c r="E2465" s="16" t="n"/>
      <c r="F2465" s="18">
        <f>IF(OR(D2465="",E2465=""),"",D2465*E2465)</f>
        <v/>
      </c>
      <c r="G2465" s="15" t="n"/>
    </row>
    <row r="2466">
      <c r="A2466" s="19" t="n"/>
      <c r="B2466" s="15" t="n"/>
      <c r="C2466">
        <f>IF(B2466="","",IFERROR(INDEX(Items!$B$5:$B$304,MATCH(B2466,Items!$A$5:$A$304,0)),"Unknown code"))</f>
        <v/>
      </c>
      <c r="D2466" s="15" t="n"/>
      <c r="E2466" s="16" t="n"/>
      <c r="F2466" s="18">
        <f>IF(OR(D2466="",E2466=""),"",D2466*E2466)</f>
        <v/>
      </c>
      <c r="G2466" s="15" t="n"/>
    </row>
    <row r="2467">
      <c r="A2467" s="19" t="n"/>
      <c r="B2467" s="15" t="n"/>
      <c r="C2467">
        <f>IF(B2467="","",IFERROR(INDEX(Items!$B$5:$B$304,MATCH(B2467,Items!$A$5:$A$304,0)),"Unknown code"))</f>
        <v/>
      </c>
      <c r="D2467" s="15" t="n"/>
      <c r="E2467" s="16" t="n"/>
      <c r="F2467" s="18">
        <f>IF(OR(D2467="",E2467=""),"",D2467*E2467)</f>
        <v/>
      </c>
      <c r="G2467" s="15" t="n"/>
    </row>
    <row r="2468">
      <c r="A2468" s="19" t="n"/>
      <c r="B2468" s="15" t="n"/>
      <c r="C2468">
        <f>IF(B2468="","",IFERROR(INDEX(Items!$B$5:$B$304,MATCH(B2468,Items!$A$5:$A$304,0)),"Unknown code"))</f>
        <v/>
      </c>
      <c r="D2468" s="15" t="n"/>
      <c r="E2468" s="16" t="n"/>
      <c r="F2468" s="18">
        <f>IF(OR(D2468="",E2468=""),"",D2468*E2468)</f>
        <v/>
      </c>
      <c r="G2468" s="15" t="n"/>
    </row>
    <row r="2469">
      <c r="A2469" s="19" t="n"/>
      <c r="B2469" s="15" t="n"/>
      <c r="C2469">
        <f>IF(B2469="","",IFERROR(INDEX(Items!$B$5:$B$304,MATCH(B2469,Items!$A$5:$A$304,0)),"Unknown code"))</f>
        <v/>
      </c>
      <c r="D2469" s="15" t="n"/>
      <c r="E2469" s="16" t="n"/>
      <c r="F2469" s="18">
        <f>IF(OR(D2469="",E2469=""),"",D2469*E2469)</f>
        <v/>
      </c>
      <c r="G2469" s="15" t="n"/>
    </row>
    <row r="2470">
      <c r="A2470" s="19" t="n"/>
      <c r="B2470" s="15" t="n"/>
      <c r="C2470">
        <f>IF(B2470="","",IFERROR(INDEX(Items!$B$5:$B$304,MATCH(B2470,Items!$A$5:$A$304,0)),"Unknown code"))</f>
        <v/>
      </c>
      <c r="D2470" s="15" t="n"/>
      <c r="E2470" s="16" t="n"/>
      <c r="F2470" s="18">
        <f>IF(OR(D2470="",E2470=""),"",D2470*E2470)</f>
        <v/>
      </c>
      <c r="G2470" s="15" t="n"/>
    </row>
    <row r="2471">
      <c r="A2471" s="19" t="n"/>
      <c r="B2471" s="15" t="n"/>
      <c r="C2471">
        <f>IF(B2471="","",IFERROR(INDEX(Items!$B$5:$B$304,MATCH(B2471,Items!$A$5:$A$304,0)),"Unknown code"))</f>
        <v/>
      </c>
      <c r="D2471" s="15" t="n"/>
      <c r="E2471" s="16" t="n"/>
      <c r="F2471" s="18">
        <f>IF(OR(D2471="",E2471=""),"",D2471*E2471)</f>
        <v/>
      </c>
      <c r="G2471" s="15" t="n"/>
    </row>
    <row r="2472">
      <c r="A2472" s="19" t="n"/>
      <c r="B2472" s="15" t="n"/>
      <c r="C2472">
        <f>IF(B2472="","",IFERROR(INDEX(Items!$B$5:$B$304,MATCH(B2472,Items!$A$5:$A$304,0)),"Unknown code"))</f>
        <v/>
      </c>
      <c r="D2472" s="15" t="n"/>
      <c r="E2472" s="16" t="n"/>
      <c r="F2472" s="18">
        <f>IF(OR(D2472="",E2472=""),"",D2472*E2472)</f>
        <v/>
      </c>
      <c r="G2472" s="15" t="n"/>
    </row>
    <row r="2473">
      <c r="A2473" s="19" t="n"/>
      <c r="B2473" s="15" t="n"/>
      <c r="C2473">
        <f>IF(B2473="","",IFERROR(INDEX(Items!$B$5:$B$304,MATCH(B2473,Items!$A$5:$A$304,0)),"Unknown code"))</f>
        <v/>
      </c>
      <c r="D2473" s="15" t="n"/>
      <c r="E2473" s="16" t="n"/>
      <c r="F2473" s="18">
        <f>IF(OR(D2473="",E2473=""),"",D2473*E2473)</f>
        <v/>
      </c>
      <c r="G2473" s="15" t="n"/>
    </row>
    <row r="2474">
      <c r="A2474" s="19" t="n"/>
      <c r="B2474" s="15" t="n"/>
      <c r="C2474">
        <f>IF(B2474="","",IFERROR(INDEX(Items!$B$5:$B$304,MATCH(B2474,Items!$A$5:$A$304,0)),"Unknown code"))</f>
        <v/>
      </c>
      <c r="D2474" s="15" t="n"/>
      <c r="E2474" s="16" t="n"/>
      <c r="F2474" s="18">
        <f>IF(OR(D2474="",E2474=""),"",D2474*E2474)</f>
        <v/>
      </c>
      <c r="G2474" s="15" t="n"/>
    </row>
    <row r="2475">
      <c r="A2475" s="19" t="n"/>
      <c r="B2475" s="15" t="n"/>
      <c r="C2475">
        <f>IF(B2475="","",IFERROR(INDEX(Items!$B$5:$B$304,MATCH(B2475,Items!$A$5:$A$304,0)),"Unknown code"))</f>
        <v/>
      </c>
      <c r="D2475" s="15" t="n"/>
      <c r="E2475" s="16" t="n"/>
      <c r="F2475" s="18">
        <f>IF(OR(D2475="",E2475=""),"",D2475*E2475)</f>
        <v/>
      </c>
      <c r="G2475" s="15" t="n"/>
    </row>
    <row r="2476">
      <c r="A2476" s="19" t="n"/>
      <c r="B2476" s="15" t="n"/>
      <c r="C2476">
        <f>IF(B2476="","",IFERROR(INDEX(Items!$B$5:$B$304,MATCH(B2476,Items!$A$5:$A$304,0)),"Unknown code"))</f>
        <v/>
      </c>
      <c r="D2476" s="15" t="n"/>
      <c r="E2476" s="16" t="n"/>
      <c r="F2476" s="18">
        <f>IF(OR(D2476="",E2476=""),"",D2476*E2476)</f>
        <v/>
      </c>
      <c r="G2476" s="15" t="n"/>
    </row>
    <row r="2477">
      <c r="A2477" s="19" t="n"/>
      <c r="B2477" s="15" t="n"/>
      <c r="C2477">
        <f>IF(B2477="","",IFERROR(INDEX(Items!$B$5:$B$304,MATCH(B2477,Items!$A$5:$A$304,0)),"Unknown code"))</f>
        <v/>
      </c>
      <c r="D2477" s="15" t="n"/>
      <c r="E2477" s="16" t="n"/>
      <c r="F2477" s="18">
        <f>IF(OR(D2477="",E2477=""),"",D2477*E2477)</f>
        <v/>
      </c>
      <c r="G2477" s="15" t="n"/>
    </row>
    <row r="2478">
      <c r="A2478" s="19" t="n"/>
      <c r="B2478" s="15" t="n"/>
      <c r="C2478">
        <f>IF(B2478="","",IFERROR(INDEX(Items!$B$5:$B$304,MATCH(B2478,Items!$A$5:$A$304,0)),"Unknown code"))</f>
        <v/>
      </c>
      <c r="D2478" s="15" t="n"/>
      <c r="E2478" s="16" t="n"/>
      <c r="F2478" s="18">
        <f>IF(OR(D2478="",E2478=""),"",D2478*E2478)</f>
        <v/>
      </c>
      <c r="G2478" s="15" t="n"/>
    </row>
    <row r="2479">
      <c r="A2479" s="19" t="n"/>
      <c r="B2479" s="15" t="n"/>
      <c r="C2479">
        <f>IF(B2479="","",IFERROR(INDEX(Items!$B$5:$B$304,MATCH(B2479,Items!$A$5:$A$304,0)),"Unknown code"))</f>
        <v/>
      </c>
      <c r="D2479" s="15" t="n"/>
      <c r="E2479" s="16" t="n"/>
      <c r="F2479" s="18">
        <f>IF(OR(D2479="",E2479=""),"",D2479*E2479)</f>
        <v/>
      </c>
      <c r="G2479" s="15" t="n"/>
    </row>
    <row r="2480">
      <c r="A2480" s="19" t="n"/>
      <c r="B2480" s="15" t="n"/>
      <c r="C2480">
        <f>IF(B2480="","",IFERROR(INDEX(Items!$B$5:$B$304,MATCH(B2480,Items!$A$5:$A$304,0)),"Unknown code"))</f>
        <v/>
      </c>
      <c r="D2480" s="15" t="n"/>
      <c r="E2480" s="16" t="n"/>
      <c r="F2480" s="18">
        <f>IF(OR(D2480="",E2480=""),"",D2480*E2480)</f>
        <v/>
      </c>
      <c r="G2480" s="15" t="n"/>
    </row>
    <row r="2481">
      <c r="A2481" s="19" t="n"/>
      <c r="B2481" s="15" t="n"/>
      <c r="C2481">
        <f>IF(B2481="","",IFERROR(INDEX(Items!$B$5:$B$304,MATCH(B2481,Items!$A$5:$A$304,0)),"Unknown code"))</f>
        <v/>
      </c>
      <c r="D2481" s="15" t="n"/>
      <c r="E2481" s="16" t="n"/>
      <c r="F2481" s="18">
        <f>IF(OR(D2481="",E2481=""),"",D2481*E2481)</f>
        <v/>
      </c>
      <c r="G2481" s="15" t="n"/>
    </row>
    <row r="2482">
      <c r="A2482" s="19" t="n"/>
      <c r="B2482" s="15" t="n"/>
      <c r="C2482">
        <f>IF(B2482="","",IFERROR(INDEX(Items!$B$5:$B$304,MATCH(B2482,Items!$A$5:$A$304,0)),"Unknown code"))</f>
        <v/>
      </c>
      <c r="D2482" s="15" t="n"/>
      <c r="E2482" s="16" t="n"/>
      <c r="F2482" s="18">
        <f>IF(OR(D2482="",E2482=""),"",D2482*E2482)</f>
        <v/>
      </c>
      <c r="G2482" s="15" t="n"/>
    </row>
    <row r="2483">
      <c r="A2483" s="19" t="n"/>
      <c r="B2483" s="15" t="n"/>
      <c r="C2483">
        <f>IF(B2483="","",IFERROR(INDEX(Items!$B$5:$B$304,MATCH(B2483,Items!$A$5:$A$304,0)),"Unknown code"))</f>
        <v/>
      </c>
      <c r="D2483" s="15" t="n"/>
      <c r="E2483" s="16" t="n"/>
      <c r="F2483" s="18">
        <f>IF(OR(D2483="",E2483=""),"",D2483*E2483)</f>
        <v/>
      </c>
      <c r="G2483" s="15" t="n"/>
    </row>
    <row r="2484">
      <c r="A2484" s="19" t="n"/>
      <c r="B2484" s="15" t="n"/>
      <c r="C2484">
        <f>IF(B2484="","",IFERROR(INDEX(Items!$B$5:$B$304,MATCH(B2484,Items!$A$5:$A$304,0)),"Unknown code"))</f>
        <v/>
      </c>
      <c r="D2484" s="15" t="n"/>
      <c r="E2484" s="16" t="n"/>
      <c r="F2484" s="18">
        <f>IF(OR(D2484="",E2484=""),"",D2484*E2484)</f>
        <v/>
      </c>
      <c r="G2484" s="15" t="n"/>
    </row>
    <row r="2485">
      <c r="A2485" s="19" t="n"/>
      <c r="B2485" s="15" t="n"/>
      <c r="C2485">
        <f>IF(B2485="","",IFERROR(INDEX(Items!$B$5:$B$304,MATCH(B2485,Items!$A$5:$A$304,0)),"Unknown code"))</f>
        <v/>
      </c>
      <c r="D2485" s="15" t="n"/>
      <c r="E2485" s="16" t="n"/>
      <c r="F2485" s="18">
        <f>IF(OR(D2485="",E2485=""),"",D2485*E2485)</f>
        <v/>
      </c>
      <c r="G2485" s="15" t="n"/>
    </row>
    <row r="2486">
      <c r="A2486" s="19" t="n"/>
      <c r="B2486" s="15" t="n"/>
      <c r="C2486">
        <f>IF(B2486="","",IFERROR(INDEX(Items!$B$5:$B$304,MATCH(B2486,Items!$A$5:$A$304,0)),"Unknown code"))</f>
        <v/>
      </c>
      <c r="D2486" s="15" t="n"/>
      <c r="E2486" s="16" t="n"/>
      <c r="F2486" s="18">
        <f>IF(OR(D2486="",E2486=""),"",D2486*E2486)</f>
        <v/>
      </c>
      <c r="G2486" s="15" t="n"/>
    </row>
    <row r="2487">
      <c r="A2487" s="19" t="n"/>
      <c r="B2487" s="15" t="n"/>
      <c r="C2487">
        <f>IF(B2487="","",IFERROR(INDEX(Items!$B$5:$B$304,MATCH(B2487,Items!$A$5:$A$304,0)),"Unknown code"))</f>
        <v/>
      </c>
      <c r="D2487" s="15" t="n"/>
      <c r="E2487" s="16" t="n"/>
      <c r="F2487" s="18">
        <f>IF(OR(D2487="",E2487=""),"",D2487*E2487)</f>
        <v/>
      </c>
      <c r="G2487" s="15" t="n"/>
    </row>
    <row r="2488">
      <c r="A2488" s="19" t="n"/>
      <c r="B2488" s="15" t="n"/>
      <c r="C2488">
        <f>IF(B2488="","",IFERROR(INDEX(Items!$B$5:$B$304,MATCH(B2488,Items!$A$5:$A$304,0)),"Unknown code"))</f>
        <v/>
      </c>
      <c r="D2488" s="15" t="n"/>
      <c r="E2488" s="16" t="n"/>
      <c r="F2488" s="18">
        <f>IF(OR(D2488="",E2488=""),"",D2488*E2488)</f>
        <v/>
      </c>
      <c r="G2488" s="15" t="n"/>
    </row>
    <row r="2489">
      <c r="A2489" s="19" t="n"/>
      <c r="B2489" s="15" t="n"/>
      <c r="C2489">
        <f>IF(B2489="","",IFERROR(INDEX(Items!$B$5:$B$304,MATCH(B2489,Items!$A$5:$A$304,0)),"Unknown code"))</f>
        <v/>
      </c>
      <c r="D2489" s="15" t="n"/>
      <c r="E2489" s="16" t="n"/>
      <c r="F2489" s="18">
        <f>IF(OR(D2489="",E2489=""),"",D2489*E2489)</f>
        <v/>
      </c>
      <c r="G2489" s="15" t="n"/>
    </row>
    <row r="2490">
      <c r="A2490" s="19" t="n"/>
      <c r="B2490" s="15" t="n"/>
      <c r="C2490">
        <f>IF(B2490="","",IFERROR(INDEX(Items!$B$5:$B$304,MATCH(B2490,Items!$A$5:$A$304,0)),"Unknown code"))</f>
        <v/>
      </c>
      <c r="D2490" s="15" t="n"/>
      <c r="E2490" s="16" t="n"/>
      <c r="F2490" s="18">
        <f>IF(OR(D2490="",E2490=""),"",D2490*E2490)</f>
        <v/>
      </c>
      <c r="G2490" s="15" t="n"/>
    </row>
    <row r="2491">
      <c r="A2491" s="19" t="n"/>
      <c r="B2491" s="15" t="n"/>
      <c r="C2491">
        <f>IF(B2491="","",IFERROR(INDEX(Items!$B$5:$B$304,MATCH(B2491,Items!$A$5:$A$304,0)),"Unknown code"))</f>
        <v/>
      </c>
      <c r="D2491" s="15" t="n"/>
      <c r="E2491" s="16" t="n"/>
      <c r="F2491" s="18">
        <f>IF(OR(D2491="",E2491=""),"",D2491*E2491)</f>
        <v/>
      </c>
      <c r="G2491" s="15" t="n"/>
    </row>
    <row r="2492">
      <c r="A2492" s="19" t="n"/>
      <c r="B2492" s="15" t="n"/>
      <c r="C2492">
        <f>IF(B2492="","",IFERROR(INDEX(Items!$B$5:$B$304,MATCH(B2492,Items!$A$5:$A$304,0)),"Unknown code"))</f>
        <v/>
      </c>
      <c r="D2492" s="15" t="n"/>
      <c r="E2492" s="16" t="n"/>
      <c r="F2492" s="18">
        <f>IF(OR(D2492="",E2492=""),"",D2492*E2492)</f>
        <v/>
      </c>
      <c r="G2492" s="15" t="n"/>
    </row>
    <row r="2493">
      <c r="A2493" s="19" t="n"/>
      <c r="B2493" s="15" t="n"/>
      <c r="C2493">
        <f>IF(B2493="","",IFERROR(INDEX(Items!$B$5:$B$304,MATCH(B2493,Items!$A$5:$A$304,0)),"Unknown code"))</f>
        <v/>
      </c>
      <c r="D2493" s="15" t="n"/>
      <c r="E2493" s="16" t="n"/>
      <c r="F2493" s="18">
        <f>IF(OR(D2493="",E2493=""),"",D2493*E2493)</f>
        <v/>
      </c>
      <c r="G2493" s="15" t="n"/>
    </row>
    <row r="2494">
      <c r="A2494" s="19" t="n"/>
      <c r="B2494" s="15" t="n"/>
      <c r="C2494">
        <f>IF(B2494="","",IFERROR(INDEX(Items!$B$5:$B$304,MATCH(B2494,Items!$A$5:$A$304,0)),"Unknown code"))</f>
        <v/>
      </c>
      <c r="D2494" s="15" t="n"/>
      <c r="E2494" s="16" t="n"/>
      <c r="F2494" s="18">
        <f>IF(OR(D2494="",E2494=""),"",D2494*E2494)</f>
        <v/>
      </c>
      <c r="G2494" s="15" t="n"/>
    </row>
    <row r="2495">
      <c r="A2495" s="19" t="n"/>
      <c r="B2495" s="15" t="n"/>
      <c r="C2495">
        <f>IF(B2495="","",IFERROR(INDEX(Items!$B$5:$B$304,MATCH(B2495,Items!$A$5:$A$304,0)),"Unknown code"))</f>
        <v/>
      </c>
      <c r="D2495" s="15" t="n"/>
      <c r="E2495" s="16" t="n"/>
      <c r="F2495" s="18">
        <f>IF(OR(D2495="",E2495=""),"",D2495*E2495)</f>
        <v/>
      </c>
      <c r="G2495" s="15" t="n"/>
    </row>
    <row r="2496">
      <c r="A2496" s="19" t="n"/>
      <c r="B2496" s="15" t="n"/>
      <c r="C2496">
        <f>IF(B2496="","",IFERROR(INDEX(Items!$B$5:$B$304,MATCH(B2496,Items!$A$5:$A$304,0)),"Unknown code"))</f>
        <v/>
      </c>
      <c r="D2496" s="15" t="n"/>
      <c r="E2496" s="16" t="n"/>
      <c r="F2496" s="18">
        <f>IF(OR(D2496="",E2496=""),"",D2496*E2496)</f>
        <v/>
      </c>
      <c r="G2496" s="15" t="n"/>
    </row>
    <row r="2497">
      <c r="A2497" s="19" t="n"/>
      <c r="B2497" s="15" t="n"/>
      <c r="C2497">
        <f>IF(B2497="","",IFERROR(INDEX(Items!$B$5:$B$304,MATCH(B2497,Items!$A$5:$A$304,0)),"Unknown code"))</f>
        <v/>
      </c>
      <c r="D2497" s="15" t="n"/>
      <c r="E2497" s="16" t="n"/>
      <c r="F2497" s="18">
        <f>IF(OR(D2497="",E2497=""),"",D2497*E2497)</f>
        <v/>
      </c>
      <c r="G2497" s="15" t="n"/>
    </row>
    <row r="2498">
      <c r="A2498" s="19" t="n"/>
      <c r="B2498" s="15" t="n"/>
      <c r="C2498">
        <f>IF(B2498="","",IFERROR(INDEX(Items!$B$5:$B$304,MATCH(B2498,Items!$A$5:$A$304,0)),"Unknown code"))</f>
        <v/>
      </c>
      <c r="D2498" s="15" t="n"/>
      <c r="E2498" s="16" t="n"/>
      <c r="F2498" s="18">
        <f>IF(OR(D2498="",E2498=""),"",D2498*E2498)</f>
        <v/>
      </c>
      <c r="G2498" s="15" t="n"/>
    </row>
    <row r="2499">
      <c r="A2499" s="19" t="n"/>
      <c r="B2499" s="15" t="n"/>
      <c r="C2499">
        <f>IF(B2499="","",IFERROR(INDEX(Items!$B$5:$B$304,MATCH(B2499,Items!$A$5:$A$304,0)),"Unknown code"))</f>
        <v/>
      </c>
      <c r="D2499" s="15" t="n"/>
      <c r="E2499" s="16" t="n"/>
      <c r="F2499" s="18">
        <f>IF(OR(D2499="",E2499=""),"",D2499*E2499)</f>
        <v/>
      </c>
      <c r="G2499" s="15" t="n"/>
    </row>
    <row r="2500">
      <c r="A2500" s="19" t="n"/>
      <c r="B2500" s="15" t="n"/>
      <c r="C2500">
        <f>IF(B2500="","",IFERROR(INDEX(Items!$B$5:$B$304,MATCH(B2500,Items!$A$5:$A$304,0)),"Unknown code"))</f>
        <v/>
      </c>
      <c r="D2500" s="15" t="n"/>
      <c r="E2500" s="16" t="n"/>
      <c r="F2500" s="18">
        <f>IF(OR(D2500="",E2500=""),"",D2500*E2500)</f>
        <v/>
      </c>
      <c r="G2500" s="15" t="n"/>
    </row>
    <row r="2501">
      <c r="A2501" s="19" t="n"/>
      <c r="B2501" s="15" t="n"/>
      <c r="C2501">
        <f>IF(B2501="","",IFERROR(INDEX(Items!$B$5:$B$304,MATCH(B2501,Items!$A$5:$A$304,0)),"Unknown code"))</f>
        <v/>
      </c>
      <c r="D2501" s="15" t="n"/>
      <c r="E2501" s="16" t="n"/>
      <c r="F2501" s="18">
        <f>IF(OR(D2501="",E2501=""),"",D2501*E2501)</f>
        <v/>
      </c>
      <c r="G2501" s="15" t="n"/>
    </row>
    <row r="2502">
      <c r="A2502" s="19" t="n"/>
      <c r="B2502" s="15" t="n"/>
      <c r="C2502">
        <f>IF(B2502="","",IFERROR(INDEX(Items!$B$5:$B$304,MATCH(B2502,Items!$A$5:$A$304,0)),"Unknown code"))</f>
        <v/>
      </c>
      <c r="D2502" s="15" t="n"/>
      <c r="E2502" s="16" t="n"/>
      <c r="F2502" s="18">
        <f>IF(OR(D2502="",E2502=""),"",D2502*E2502)</f>
        <v/>
      </c>
      <c r="G2502" s="15" t="n"/>
    </row>
    <row r="2503">
      <c r="A2503" s="19" t="n"/>
      <c r="B2503" s="15" t="n"/>
      <c r="C2503">
        <f>IF(B2503="","",IFERROR(INDEX(Items!$B$5:$B$304,MATCH(B2503,Items!$A$5:$A$304,0)),"Unknown code"))</f>
        <v/>
      </c>
      <c r="D2503" s="15" t="n"/>
      <c r="E2503" s="16" t="n"/>
      <c r="F2503" s="18">
        <f>IF(OR(D2503="",E2503=""),"",D2503*E2503)</f>
        <v/>
      </c>
      <c r="G2503" s="15" t="n"/>
    </row>
    <row r="2504">
      <c r="A2504" s="19" t="n"/>
      <c r="B2504" s="15" t="n"/>
      <c r="C2504">
        <f>IF(B2504="","",IFERROR(INDEX(Items!$B$5:$B$304,MATCH(B2504,Items!$A$5:$A$304,0)),"Unknown code"))</f>
        <v/>
      </c>
      <c r="D2504" s="15" t="n"/>
      <c r="E2504" s="16" t="n"/>
      <c r="F2504" s="18">
        <f>IF(OR(D2504="",E2504=""),"",D2504*E2504)</f>
        <v/>
      </c>
      <c r="G2504" s="15" t="n"/>
    </row>
    <row r="2505">
      <c r="A2505" s="19" t="n"/>
      <c r="B2505" s="15" t="n"/>
      <c r="C2505">
        <f>IF(B2505="","",IFERROR(INDEX(Items!$B$5:$B$304,MATCH(B2505,Items!$A$5:$A$304,0)),"Unknown code"))</f>
        <v/>
      </c>
      <c r="D2505" s="15" t="n"/>
      <c r="E2505" s="16" t="n"/>
      <c r="F2505" s="18">
        <f>IF(OR(D2505="",E2505=""),"",D2505*E2505)</f>
        <v/>
      </c>
      <c r="G2505" s="15" t="n"/>
    </row>
    <row r="2506">
      <c r="A2506" s="19" t="n"/>
      <c r="B2506" s="15" t="n"/>
      <c r="C2506">
        <f>IF(B2506="","",IFERROR(INDEX(Items!$B$5:$B$304,MATCH(B2506,Items!$A$5:$A$304,0)),"Unknown code"))</f>
        <v/>
      </c>
      <c r="D2506" s="15" t="n"/>
      <c r="E2506" s="16" t="n"/>
      <c r="F2506" s="18">
        <f>IF(OR(D2506="",E2506=""),"",D2506*E2506)</f>
        <v/>
      </c>
      <c r="G2506" s="15" t="n"/>
    </row>
    <row r="2507">
      <c r="A2507" s="19" t="n"/>
      <c r="B2507" s="15" t="n"/>
      <c r="C2507">
        <f>IF(B2507="","",IFERROR(INDEX(Items!$B$5:$B$304,MATCH(B2507,Items!$A$5:$A$304,0)),"Unknown code"))</f>
        <v/>
      </c>
      <c r="D2507" s="15" t="n"/>
      <c r="E2507" s="16" t="n"/>
      <c r="F2507" s="18">
        <f>IF(OR(D2507="",E2507=""),"",D2507*E2507)</f>
        <v/>
      </c>
      <c r="G2507" s="15" t="n"/>
    </row>
    <row r="2508">
      <c r="A2508" s="19" t="n"/>
      <c r="B2508" s="15" t="n"/>
      <c r="C2508">
        <f>IF(B2508="","",IFERROR(INDEX(Items!$B$5:$B$304,MATCH(B2508,Items!$A$5:$A$304,0)),"Unknown code"))</f>
        <v/>
      </c>
      <c r="D2508" s="15" t="n"/>
      <c r="E2508" s="16" t="n"/>
      <c r="F2508" s="18">
        <f>IF(OR(D2508="",E2508=""),"",D2508*E2508)</f>
        <v/>
      </c>
      <c r="G2508" s="15" t="n"/>
    </row>
    <row r="2509">
      <c r="A2509" s="19" t="n"/>
      <c r="B2509" s="15" t="n"/>
      <c r="C2509">
        <f>IF(B2509="","",IFERROR(INDEX(Items!$B$5:$B$304,MATCH(B2509,Items!$A$5:$A$304,0)),"Unknown code"))</f>
        <v/>
      </c>
      <c r="D2509" s="15" t="n"/>
      <c r="E2509" s="16" t="n"/>
      <c r="F2509" s="18">
        <f>IF(OR(D2509="",E2509=""),"",D2509*E2509)</f>
        <v/>
      </c>
      <c r="G2509" s="15" t="n"/>
    </row>
    <row r="2510">
      <c r="A2510" s="19" t="n"/>
      <c r="B2510" s="15" t="n"/>
      <c r="C2510">
        <f>IF(B2510="","",IFERROR(INDEX(Items!$B$5:$B$304,MATCH(B2510,Items!$A$5:$A$304,0)),"Unknown code"))</f>
        <v/>
      </c>
      <c r="D2510" s="15" t="n"/>
      <c r="E2510" s="16" t="n"/>
      <c r="F2510" s="18">
        <f>IF(OR(D2510="",E2510=""),"",D2510*E2510)</f>
        <v/>
      </c>
      <c r="G2510" s="15" t="n"/>
    </row>
    <row r="2511">
      <c r="A2511" s="19" t="n"/>
      <c r="B2511" s="15" t="n"/>
      <c r="C2511">
        <f>IF(B2511="","",IFERROR(INDEX(Items!$B$5:$B$304,MATCH(B2511,Items!$A$5:$A$304,0)),"Unknown code"))</f>
        <v/>
      </c>
      <c r="D2511" s="15" t="n"/>
      <c r="E2511" s="16" t="n"/>
      <c r="F2511" s="18">
        <f>IF(OR(D2511="",E2511=""),"",D2511*E2511)</f>
        <v/>
      </c>
      <c r="G2511" s="15" t="n"/>
    </row>
    <row r="2512">
      <c r="A2512" s="19" t="n"/>
      <c r="B2512" s="15" t="n"/>
      <c r="C2512">
        <f>IF(B2512="","",IFERROR(INDEX(Items!$B$5:$B$304,MATCH(B2512,Items!$A$5:$A$304,0)),"Unknown code"))</f>
        <v/>
      </c>
      <c r="D2512" s="15" t="n"/>
      <c r="E2512" s="16" t="n"/>
      <c r="F2512" s="18">
        <f>IF(OR(D2512="",E2512=""),"",D2512*E2512)</f>
        <v/>
      </c>
      <c r="G2512" s="15" t="n"/>
    </row>
    <row r="2513">
      <c r="A2513" s="19" t="n"/>
      <c r="B2513" s="15" t="n"/>
      <c r="C2513">
        <f>IF(B2513="","",IFERROR(INDEX(Items!$B$5:$B$304,MATCH(B2513,Items!$A$5:$A$304,0)),"Unknown code"))</f>
        <v/>
      </c>
      <c r="D2513" s="15" t="n"/>
      <c r="E2513" s="16" t="n"/>
      <c r="F2513" s="18">
        <f>IF(OR(D2513="",E2513=""),"",D2513*E2513)</f>
        <v/>
      </c>
      <c r="G2513" s="15" t="n"/>
    </row>
    <row r="2514">
      <c r="A2514" s="19" t="n"/>
      <c r="B2514" s="15" t="n"/>
      <c r="C2514">
        <f>IF(B2514="","",IFERROR(INDEX(Items!$B$5:$B$304,MATCH(B2514,Items!$A$5:$A$304,0)),"Unknown code"))</f>
        <v/>
      </c>
      <c r="D2514" s="15" t="n"/>
      <c r="E2514" s="16" t="n"/>
      <c r="F2514" s="18">
        <f>IF(OR(D2514="",E2514=""),"",D2514*E2514)</f>
        <v/>
      </c>
      <c r="G2514" s="15" t="n"/>
    </row>
    <row r="2515">
      <c r="A2515" s="19" t="n"/>
      <c r="B2515" s="15" t="n"/>
      <c r="C2515">
        <f>IF(B2515="","",IFERROR(INDEX(Items!$B$5:$B$304,MATCH(B2515,Items!$A$5:$A$304,0)),"Unknown code"))</f>
        <v/>
      </c>
      <c r="D2515" s="15" t="n"/>
      <c r="E2515" s="16" t="n"/>
      <c r="F2515" s="18">
        <f>IF(OR(D2515="",E2515=""),"",D2515*E2515)</f>
        <v/>
      </c>
      <c r="G2515" s="15" t="n"/>
    </row>
    <row r="2516">
      <c r="A2516" s="19" t="n"/>
      <c r="B2516" s="15" t="n"/>
      <c r="C2516">
        <f>IF(B2516="","",IFERROR(INDEX(Items!$B$5:$B$304,MATCH(B2516,Items!$A$5:$A$304,0)),"Unknown code"))</f>
        <v/>
      </c>
      <c r="D2516" s="15" t="n"/>
      <c r="E2516" s="16" t="n"/>
      <c r="F2516" s="18">
        <f>IF(OR(D2516="",E2516=""),"",D2516*E2516)</f>
        <v/>
      </c>
      <c r="G2516" s="15" t="n"/>
    </row>
    <row r="2517">
      <c r="A2517" s="19" t="n"/>
      <c r="B2517" s="15" t="n"/>
      <c r="C2517">
        <f>IF(B2517="","",IFERROR(INDEX(Items!$B$5:$B$304,MATCH(B2517,Items!$A$5:$A$304,0)),"Unknown code"))</f>
        <v/>
      </c>
      <c r="D2517" s="15" t="n"/>
      <c r="E2517" s="16" t="n"/>
      <c r="F2517" s="18">
        <f>IF(OR(D2517="",E2517=""),"",D2517*E2517)</f>
        <v/>
      </c>
      <c r="G2517" s="15" t="n"/>
    </row>
    <row r="2518">
      <c r="A2518" s="19" t="n"/>
      <c r="B2518" s="15" t="n"/>
      <c r="C2518">
        <f>IF(B2518="","",IFERROR(INDEX(Items!$B$5:$B$304,MATCH(B2518,Items!$A$5:$A$304,0)),"Unknown code"))</f>
        <v/>
      </c>
      <c r="D2518" s="15" t="n"/>
      <c r="E2518" s="16" t="n"/>
      <c r="F2518" s="18">
        <f>IF(OR(D2518="",E2518=""),"",D2518*E2518)</f>
        <v/>
      </c>
      <c r="G2518" s="15" t="n"/>
    </row>
    <row r="2519">
      <c r="A2519" s="19" t="n"/>
      <c r="B2519" s="15" t="n"/>
      <c r="C2519">
        <f>IF(B2519="","",IFERROR(INDEX(Items!$B$5:$B$304,MATCH(B2519,Items!$A$5:$A$304,0)),"Unknown code"))</f>
        <v/>
      </c>
      <c r="D2519" s="15" t="n"/>
      <c r="E2519" s="16" t="n"/>
      <c r="F2519" s="18">
        <f>IF(OR(D2519="",E2519=""),"",D2519*E2519)</f>
        <v/>
      </c>
      <c r="G2519" s="15" t="n"/>
    </row>
    <row r="2520">
      <c r="A2520" s="19" t="n"/>
      <c r="B2520" s="15" t="n"/>
      <c r="C2520">
        <f>IF(B2520="","",IFERROR(INDEX(Items!$B$5:$B$304,MATCH(B2520,Items!$A$5:$A$304,0)),"Unknown code"))</f>
        <v/>
      </c>
      <c r="D2520" s="15" t="n"/>
      <c r="E2520" s="16" t="n"/>
      <c r="F2520" s="18">
        <f>IF(OR(D2520="",E2520=""),"",D2520*E2520)</f>
        <v/>
      </c>
      <c r="G2520" s="15" t="n"/>
    </row>
    <row r="2521">
      <c r="A2521" s="19" t="n"/>
      <c r="B2521" s="15" t="n"/>
      <c r="C2521">
        <f>IF(B2521="","",IFERROR(INDEX(Items!$B$5:$B$304,MATCH(B2521,Items!$A$5:$A$304,0)),"Unknown code"))</f>
        <v/>
      </c>
      <c r="D2521" s="15" t="n"/>
      <c r="E2521" s="16" t="n"/>
      <c r="F2521" s="18">
        <f>IF(OR(D2521="",E2521=""),"",D2521*E2521)</f>
        <v/>
      </c>
      <c r="G2521" s="15" t="n"/>
    </row>
    <row r="2522">
      <c r="A2522" s="19" t="n"/>
      <c r="B2522" s="15" t="n"/>
      <c r="C2522">
        <f>IF(B2522="","",IFERROR(INDEX(Items!$B$5:$B$304,MATCH(B2522,Items!$A$5:$A$304,0)),"Unknown code"))</f>
        <v/>
      </c>
      <c r="D2522" s="15" t="n"/>
      <c r="E2522" s="16" t="n"/>
      <c r="F2522" s="18">
        <f>IF(OR(D2522="",E2522=""),"",D2522*E2522)</f>
        <v/>
      </c>
      <c r="G2522" s="15" t="n"/>
    </row>
    <row r="2523">
      <c r="A2523" s="19" t="n"/>
      <c r="B2523" s="15" t="n"/>
      <c r="C2523">
        <f>IF(B2523="","",IFERROR(INDEX(Items!$B$5:$B$304,MATCH(B2523,Items!$A$5:$A$304,0)),"Unknown code"))</f>
        <v/>
      </c>
      <c r="D2523" s="15" t="n"/>
      <c r="E2523" s="16" t="n"/>
      <c r="F2523" s="18">
        <f>IF(OR(D2523="",E2523=""),"",D2523*E2523)</f>
        <v/>
      </c>
      <c r="G2523" s="15" t="n"/>
    </row>
    <row r="2524">
      <c r="A2524" s="19" t="n"/>
      <c r="B2524" s="15" t="n"/>
      <c r="C2524">
        <f>IF(B2524="","",IFERROR(INDEX(Items!$B$5:$B$304,MATCH(B2524,Items!$A$5:$A$304,0)),"Unknown code"))</f>
        <v/>
      </c>
      <c r="D2524" s="15" t="n"/>
      <c r="E2524" s="16" t="n"/>
      <c r="F2524" s="18">
        <f>IF(OR(D2524="",E2524=""),"",D2524*E2524)</f>
        <v/>
      </c>
      <c r="G2524" s="15" t="n"/>
    </row>
    <row r="2525">
      <c r="A2525" s="19" t="n"/>
      <c r="B2525" s="15" t="n"/>
      <c r="C2525">
        <f>IF(B2525="","",IFERROR(INDEX(Items!$B$5:$B$304,MATCH(B2525,Items!$A$5:$A$304,0)),"Unknown code"))</f>
        <v/>
      </c>
      <c r="D2525" s="15" t="n"/>
      <c r="E2525" s="16" t="n"/>
      <c r="F2525" s="18">
        <f>IF(OR(D2525="",E2525=""),"",D2525*E2525)</f>
        <v/>
      </c>
      <c r="G2525" s="15" t="n"/>
    </row>
    <row r="2526">
      <c r="A2526" s="19" t="n"/>
      <c r="B2526" s="15" t="n"/>
      <c r="C2526">
        <f>IF(B2526="","",IFERROR(INDEX(Items!$B$5:$B$304,MATCH(B2526,Items!$A$5:$A$304,0)),"Unknown code"))</f>
        <v/>
      </c>
      <c r="D2526" s="15" t="n"/>
      <c r="E2526" s="16" t="n"/>
      <c r="F2526" s="18">
        <f>IF(OR(D2526="",E2526=""),"",D2526*E2526)</f>
        <v/>
      </c>
      <c r="G2526" s="15" t="n"/>
    </row>
    <row r="2527">
      <c r="A2527" s="19" t="n"/>
      <c r="B2527" s="15" t="n"/>
      <c r="C2527">
        <f>IF(B2527="","",IFERROR(INDEX(Items!$B$5:$B$304,MATCH(B2527,Items!$A$5:$A$304,0)),"Unknown code"))</f>
        <v/>
      </c>
      <c r="D2527" s="15" t="n"/>
      <c r="E2527" s="16" t="n"/>
      <c r="F2527" s="18">
        <f>IF(OR(D2527="",E2527=""),"",D2527*E2527)</f>
        <v/>
      </c>
      <c r="G2527" s="15" t="n"/>
    </row>
    <row r="2528">
      <c r="A2528" s="19" t="n"/>
      <c r="B2528" s="15" t="n"/>
      <c r="C2528">
        <f>IF(B2528="","",IFERROR(INDEX(Items!$B$5:$B$304,MATCH(B2528,Items!$A$5:$A$304,0)),"Unknown code"))</f>
        <v/>
      </c>
      <c r="D2528" s="15" t="n"/>
      <c r="E2528" s="16" t="n"/>
      <c r="F2528" s="18">
        <f>IF(OR(D2528="",E2528=""),"",D2528*E2528)</f>
        <v/>
      </c>
      <c r="G2528" s="15" t="n"/>
    </row>
    <row r="2529">
      <c r="A2529" s="19" t="n"/>
      <c r="B2529" s="15" t="n"/>
      <c r="C2529">
        <f>IF(B2529="","",IFERROR(INDEX(Items!$B$5:$B$304,MATCH(B2529,Items!$A$5:$A$304,0)),"Unknown code"))</f>
        <v/>
      </c>
      <c r="D2529" s="15" t="n"/>
      <c r="E2529" s="16" t="n"/>
      <c r="F2529" s="18">
        <f>IF(OR(D2529="",E2529=""),"",D2529*E2529)</f>
        <v/>
      </c>
      <c r="G2529" s="15" t="n"/>
    </row>
    <row r="2530">
      <c r="A2530" s="19" t="n"/>
      <c r="B2530" s="15" t="n"/>
      <c r="C2530">
        <f>IF(B2530="","",IFERROR(INDEX(Items!$B$5:$B$304,MATCH(B2530,Items!$A$5:$A$304,0)),"Unknown code"))</f>
        <v/>
      </c>
      <c r="D2530" s="15" t="n"/>
      <c r="E2530" s="16" t="n"/>
      <c r="F2530" s="18">
        <f>IF(OR(D2530="",E2530=""),"",D2530*E2530)</f>
        <v/>
      </c>
      <c r="G2530" s="15" t="n"/>
    </row>
    <row r="2531">
      <c r="A2531" s="19" t="n"/>
      <c r="B2531" s="15" t="n"/>
      <c r="C2531">
        <f>IF(B2531="","",IFERROR(INDEX(Items!$B$5:$B$304,MATCH(B2531,Items!$A$5:$A$304,0)),"Unknown code"))</f>
        <v/>
      </c>
      <c r="D2531" s="15" t="n"/>
      <c r="E2531" s="16" t="n"/>
      <c r="F2531" s="18">
        <f>IF(OR(D2531="",E2531=""),"",D2531*E2531)</f>
        <v/>
      </c>
      <c r="G2531" s="15" t="n"/>
    </row>
    <row r="2532">
      <c r="A2532" s="19" t="n"/>
      <c r="B2532" s="15" t="n"/>
      <c r="C2532">
        <f>IF(B2532="","",IFERROR(INDEX(Items!$B$5:$B$304,MATCH(B2532,Items!$A$5:$A$304,0)),"Unknown code"))</f>
        <v/>
      </c>
      <c r="D2532" s="15" t="n"/>
      <c r="E2532" s="16" t="n"/>
      <c r="F2532" s="18">
        <f>IF(OR(D2532="",E2532=""),"",D2532*E2532)</f>
        <v/>
      </c>
      <c r="G2532" s="15" t="n"/>
    </row>
    <row r="2533">
      <c r="A2533" s="19" t="n"/>
      <c r="B2533" s="15" t="n"/>
      <c r="C2533">
        <f>IF(B2533="","",IFERROR(INDEX(Items!$B$5:$B$304,MATCH(B2533,Items!$A$5:$A$304,0)),"Unknown code"))</f>
        <v/>
      </c>
      <c r="D2533" s="15" t="n"/>
      <c r="E2533" s="16" t="n"/>
      <c r="F2533" s="18">
        <f>IF(OR(D2533="",E2533=""),"",D2533*E2533)</f>
        <v/>
      </c>
      <c r="G2533" s="15" t="n"/>
    </row>
    <row r="2534">
      <c r="A2534" s="19" t="n"/>
      <c r="B2534" s="15" t="n"/>
      <c r="C2534">
        <f>IF(B2534="","",IFERROR(INDEX(Items!$B$5:$B$304,MATCH(B2534,Items!$A$5:$A$304,0)),"Unknown code"))</f>
        <v/>
      </c>
      <c r="D2534" s="15" t="n"/>
      <c r="E2534" s="16" t="n"/>
      <c r="F2534" s="18">
        <f>IF(OR(D2534="",E2534=""),"",D2534*E2534)</f>
        <v/>
      </c>
      <c r="G2534" s="15" t="n"/>
    </row>
    <row r="2535">
      <c r="A2535" s="19" t="n"/>
      <c r="B2535" s="15" t="n"/>
      <c r="C2535">
        <f>IF(B2535="","",IFERROR(INDEX(Items!$B$5:$B$304,MATCH(B2535,Items!$A$5:$A$304,0)),"Unknown code"))</f>
        <v/>
      </c>
      <c r="D2535" s="15" t="n"/>
      <c r="E2535" s="16" t="n"/>
      <c r="F2535" s="18">
        <f>IF(OR(D2535="",E2535=""),"",D2535*E2535)</f>
        <v/>
      </c>
      <c r="G2535" s="15" t="n"/>
    </row>
    <row r="2536">
      <c r="A2536" s="19" t="n"/>
      <c r="B2536" s="15" t="n"/>
      <c r="C2536">
        <f>IF(B2536="","",IFERROR(INDEX(Items!$B$5:$B$304,MATCH(B2536,Items!$A$5:$A$304,0)),"Unknown code"))</f>
        <v/>
      </c>
      <c r="D2536" s="15" t="n"/>
      <c r="E2536" s="16" t="n"/>
      <c r="F2536" s="18">
        <f>IF(OR(D2536="",E2536=""),"",D2536*E2536)</f>
        <v/>
      </c>
      <c r="G2536" s="15" t="n"/>
    </row>
    <row r="2537">
      <c r="A2537" s="19" t="n"/>
      <c r="B2537" s="15" t="n"/>
      <c r="C2537">
        <f>IF(B2537="","",IFERROR(INDEX(Items!$B$5:$B$304,MATCH(B2537,Items!$A$5:$A$304,0)),"Unknown code"))</f>
        <v/>
      </c>
      <c r="D2537" s="15" t="n"/>
      <c r="E2537" s="16" t="n"/>
      <c r="F2537" s="18">
        <f>IF(OR(D2537="",E2537=""),"",D2537*E2537)</f>
        <v/>
      </c>
      <c r="G2537" s="15" t="n"/>
    </row>
    <row r="2538">
      <c r="A2538" s="19" t="n"/>
      <c r="B2538" s="15" t="n"/>
      <c r="C2538">
        <f>IF(B2538="","",IFERROR(INDEX(Items!$B$5:$B$304,MATCH(B2538,Items!$A$5:$A$304,0)),"Unknown code"))</f>
        <v/>
      </c>
      <c r="D2538" s="15" t="n"/>
      <c r="E2538" s="16" t="n"/>
      <c r="F2538" s="18">
        <f>IF(OR(D2538="",E2538=""),"",D2538*E2538)</f>
        <v/>
      </c>
      <c r="G2538" s="15" t="n"/>
    </row>
    <row r="2539">
      <c r="A2539" s="19" t="n"/>
      <c r="B2539" s="15" t="n"/>
      <c r="C2539">
        <f>IF(B2539="","",IFERROR(INDEX(Items!$B$5:$B$304,MATCH(B2539,Items!$A$5:$A$304,0)),"Unknown code"))</f>
        <v/>
      </c>
      <c r="D2539" s="15" t="n"/>
      <c r="E2539" s="16" t="n"/>
      <c r="F2539" s="18">
        <f>IF(OR(D2539="",E2539=""),"",D2539*E2539)</f>
        <v/>
      </c>
      <c r="G2539" s="15" t="n"/>
    </row>
    <row r="2540">
      <c r="A2540" s="19" t="n"/>
      <c r="B2540" s="15" t="n"/>
      <c r="C2540">
        <f>IF(B2540="","",IFERROR(INDEX(Items!$B$5:$B$304,MATCH(B2540,Items!$A$5:$A$304,0)),"Unknown code"))</f>
        <v/>
      </c>
      <c r="D2540" s="15" t="n"/>
      <c r="E2540" s="16" t="n"/>
      <c r="F2540" s="18">
        <f>IF(OR(D2540="",E2540=""),"",D2540*E2540)</f>
        <v/>
      </c>
      <c r="G2540" s="15" t="n"/>
    </row>
    <row r="2541">
      <c r="A2541" s="19" t="n"/>
      <c r="B2541" s="15" t="n"/>
      <c r="C2541">
        <f>IF(B2541="","",IFERROR(INDEX(Items!$B$5:$B$304,MATCH(B2541,Items!$A$5:$A$304,0)),"Unknown code"))</f>
        <v/>
      </c>
      <c r="D2541" s="15" t="n"/>
      <c r="E2541" s="16" t="n"/>
      <c r="F2541" s="18">
        <f>IF(OR(D2541="",E2541=""),"",D2541*E2541)</f>
        <v/>
      </c>
      <c r="G2541" s="15" t="n"/>
    </row>
    <row r="2542">
      <c r="A2542" s="19" t="n"/>
      <c r="B2542" s="15" t="n"/>
      <c r="C2542">
        <f>IF(B2542="","",IFERROR(INDEX(Items!$B$5:$B$304,MATCH(B2542,Items!$A$5:$A$304,0)),"Unknown code"))</f>
        <v/>
      </c>
      <c r="D2542" s="15" t="n"/>
      <c r="E2542" s="16" t="n"/>
      <c r="F2542" s="18">
        <f>IF(OR(D2542="",E2542=""),"",D2542*E2542)</f>
        <v/>
      </c>
      <c r="G2542" s="15" t="n"/>
    </row>
    <row r="2543">
      <c r="A2543" s="19" t="n"/>
      <c r="B2543" s="15" t="n"/>
      <c r="C2543">
        <f>IF(B2543="","",IFERROR(INDEX(Items!$B$5:$B$304,MATCH(B2543,Items!$A$5:$A$304,0)),"Unknown code"))</f>
        <v/>
      </c>
      <c r="D2543" s="15" t="n"/>
      <c r="E2543" s="16" t="n"/>
      <c r="F2543" s="18">
        <f>IF(OR(D2543="",E2543=""),"",D2543*E2543)</f>
        <v/>
      </c>
      <c r="G2543" s="15" t="n"/>
    </row>
    <row r="2544">
      <c r="A2544" s="19" t="n"/>
      <c r="B2544" s="15" t="n"/>
      <c r="C2544">
        <f>IF(B2544="","",IFERROR(INDEX(Items!$B$5:$B$304,MATCH(B2544,Items!$A$5:$A$304,0)),"Unknown code"))</f>
        <v/>
      </c>
      <c r="D2544" s="15" t="n"/>
      <c r="E2544" s="16" t="n"/>
      <c r="F2544" s="18">
        <f>IF(OR(D2544="",E2544=""),"",D2544*E2544)</f>
        <v/>
      </c>
      <c r="G2544" s="15" t="n"/>
    </row>
    <row r="2545">
      <c r="A2545" s="19" t="n"/>
      <c r="B2545" s="15" t="n"/>
      <c r="C2545">
        <f>IF(B2545="","",IFERROR(INDEX(Items!$B$5:$B$304,MATCH(B2545,Items!$A$5:$A$304,0)),"Unknown code"))</f>
        <v/>
      </c>
      <c r="D2545" s="15" t="n"/>
      <c r="E2545" s="16" t="n"/>
      <c r="F2545" s="18">
        <f>IF(OR(D2545="",E2545=""),"",D2545*E2545)</f>
        <v/>
      </c>
      <c r="G2545" s="15" t="n"/>
    </row>
    <row r="2546">
      <c r="A2546" s="19" t="n"/>
      <c r="B2546" s="15" t="n"/>
      <c r="C2546">
        <f>IF(B2546="","",IFERROR(INDEX(Items!$B$5:$B$304,MATCH(B2546,Items!$A$5:$A$304,0)),"Unknown code"))</f>
        <v/>
      </c>
      <c r="D2546" s="15" t="n"/>
      <c r="E2546" s="16" t="n"/>
      <c r="F2546" s="18">
        <f>IF(OR(D2546="",E2546=""),"",D2546*E2546)</f>
        <v/>
      </c>
      <c r="G2546" s="15" t="n"/>
    </row>
    <row r="2547">
      <c r="A2547" s="19" t="n"/>
      <c r="B2547" s="15" t="n"/>
      <c r="C2547">
        <f>IF(B2547="","",IFERROR(INDEX(Items!$B$5:$B$304,MATCH(B2547,Items!$A$5:$A$304,0)),"Unknown code"))</f>
        <v/>
      </c>
      <c r="D2547" s="15" t="n"/>
      <c r="E2547" s="16" t="n"/>
      <c r="F2547" s="18">
        <f>IF(OR(D2547="",E2547=""),"",D2547*E2547)</f>
        <v/>
      </c>
      <c r="G2547" s="15" t="n"/>
    </row>
    <row r="2548">
      <c r="A2548" s="19" t="n"/>
      <c r="B2548" s="15" t="n"/>
      <c r="C2548">
        <f>IF(B2548="","",IFERROR(INDEX(Items!$B$5:$B$304,MATCH(B2548,Items!$A$5:$A$304,0)),"Unknown code"))</f>
        <v/>
      </c>
      <c r="D2548" s="15" t="n"/>
      <c r="E2548" s="16" t="n"/>
      <c r="F2548" s="18">
        <f>IF(OR(D2548="",E2548=""),"",D2548*E2548)</f>
        <v/>
      </c>
      <c r="G2548" s="15" t="n"/>
    </row>
    <row r="2549">
      <c r="A2549" s="19" t="n"/>
      <c r="B2549" s="15" t="n"/>
      <c r="C2549">
        <f>IF(B2549="","",IFERROR(INDEX(Items!$B$5:$B$304,MATCH(B2549,Items!$A$5:$A$304,0)),"Unknown code"))</f>
        <v/>
      </c>
      <c r="D2549" s="15" t="n"/>
      <c r="E2549" s="16" t="n"/>
      <c r="F2549" s="18">
        <f>IF(OR(D2549="",E2549=""),"",D2549*E2549)</f>
        <v/>
      </c>
      <c r="G2549" s="15" t="n"/>
    </row>
    <row r="2550">
      <c r="A2550" s="19" t="n"/>
      <c r="B2550" s="15" t="n"/>
      <c r="C2550">
        <f>IF(B2550="","",IFERROR(INDEX(Items!$B$5:$B$304,MATCH(B2550,Items!$A$5:$A$304,0)),"Unknown code"))</f>
        <v/>
      </c>
      <c r="D2550" s="15" t="n"/>
      <c r="E2550" s="16" t="n"/>
      <c r="F2550" s="18">
        <f>IF(OR(D2550="",E2550=""),"",D2550*E2550)</f>
        <v/>
      </c>
      <c r="G2550" s="15" t="n"/>
    </row>
    <row r="2551">
      <c r="A2551" s="19" t="n"/>
      <c r="B2551" s="15" t="n"/>
      <c r="C2551">
        <f>IF(B2551="","",IFERROR(INDEX(Items!$B$5:$B$304,MATCH(B2551,Items!$A$5:$A$304,0)),"Unknown code"))</f>
        <v/>
      </c>
      <c r="D2551" s="15" t="n"/>
      <c r="E2551" s="16" t="n"/>
      <c r="F2551" s="18">
        <f>IF(OR(D2551="",E2551=""),"",D2551*E2551)</f>
        <v/>
      </c>
      <c r="G2551" s="15" t="n"/>
    </row>
    <row r="2552">
      <c r="A2552" s="19" t="n"/>
      <c r="B2552" s="15" t="n"/>
      <c r="C2552">
        <f>IF(B2552="","",IFERROR(INDEX(Items!$B$5:$B$304,MATCH(B2552,Items!$A$5:$A$304,0)),"Unknown code"))</f>
        <v/>
      </c>
      <c r="D2552" s="15" t="n"/>
      <c r="E2552" s="16" t="n"/>
      <c r="F2552" s="18">
        <f>IF(OR(D2552="",E2552=""),"",D2552*E2552)</f>
        <v/>
      </c>
      <c r="G2552" s="15" t="n"/>
    </row>
    <row r="2553">
      <c r="A2553" s="19" t="n"/>
      <c r="B2553" s="15" t="n"/>
      <c r="C2553">
        <f>IF(B2553="","",IFERROR(INDEX(Items!$B$5:$B$304,MATCH(B2553,Items!$A$5:$A$304,0)),"Unknown code"))</f>
        <v/>
      </c>
      <c r="D2553" s="15" t="n"/>
      <c r="E2553" s="16" t="n"/>
      <c r="F2553" s="18">
        <f>IF(OR(D2553="",E2553=""),"",D2553*E2553)</f>
        <v/>
      </c>
      <c r="G2553" s="15" t="n"/>
    </row>
    <row r="2554">
      <c r="A2554" s="19" t="n"/>
      <c r="B2554" s="15" t="n"/>
      <c r="C2554">
        <f>IF(B2554="","",IFERROR(INDEX(Items!$B$5:$B$304,MATCH(B2554,Items!$A$5:$A$304,0)),"Unknown code"))</f>
        <v/>
      </c>
      <c r="D2554" s="15" t="n"/>
      <c r="E2554" s="16" t="n"/>
      <c r="F2554" s="18">
        <f>IF(OR(D2554="",E2554=""),"",D2554*E2554)</f>
        <v/>
      </c>
      <c r="G2554" s="15" t="n"/>
    </row>
    <row r="2555">
      <c r="A2555" s="19" t="n"/>
      <c r="B2555" s="15" t="n"/>
      <c r="C2555">
        <f>IF(B2555="","",IFERROR(INDEX(Items!$B$5:$B$304,MATCH(B2555,Items!$A$5:$A$304,0)),"Unknown code"))</f>
        <v/>
      </c>
      <c r="D2555" s="15" t="n"/>
      <c r="E2555" s="16" t="n"/>
      <c r="F2555" s="18">
        <f>IF(OR(D2555="",E2555=""),"",D2555*E2555)</f>
        <v/>
      </c>
      <c r="G2555" s="15" t="n"/>
    </row>
    <row r="2556">
      <c r="A2556" s="19" t="n"/>
      <c r="B2556" s="15" t="n"/>
      <c r="C2556">
        <f>IF(B2556="","",IFERROR(INDEX(Items!$B$5:$B$304,MATCH(B2556,Items!$A$5:$A$304,0)),"Unknown code"))</f>
        <v/>
      </c>
      <c r="D2556" s="15" t="n"/>
      <c r="E2556" s="16" t="n"/>
      <c r="F2556" s="18">
        <f>IF(OR(D2556="",E2556=""),"",D2556*E2556)</f>
        <v/>
      </c>
      <c r="G2556" s="15" t="n"/>
    </row>
    <row r="2557">
      <c r="A2557" s="19" t="n"/>
      <c r="B2557" s="15" t="n"/>
      <c r="C2557">
        <f>IF(B2557="","",IFERROR(INDEX(Items!$B$5:$B$304,MATCH(B2557,Items!$A$5:$A$304,0)),"Unknown code"))</f>
        <v/>
      </c>
      <c r="D2557" s="15" t="n"/>
      <c r="E2557" s="16" t="n"/>
      <c r="F2557" s="18">
        <f>IF(OR(D2557="",E2557=""),"",D2557*E2557)</f>
        <v/>
      </c>
      <c r="G2557" s="15" t="n"/>
    </row>
    <row r="2558">
      <c r="A2558" s="19" t="n"/>
      <c r="B2558" s="15" t="n"/>
      <c r="C2558">
        <f>IF(B2558="","",IFERROR(INDEX(Items!$B$5:$B$304,MATCH(B2558,Items!$A$5:$A$304,0)),"Unknown code"))</f>
        <v/>
      </c>
      <c r="D2558" s="15" t="n"/>
      <c r="E2558" s="16" t="n"/>
      <c r="F2558" s="18">
        <f>IF(OR(D2558="",E2558=""),"",D2558*E2558)</f>
        <v/>
      </c>
      <c r="G2558" s="15" t="n"/>
    </row>
    <row r="2559">
      <c r="A2559" s="19" t="n"/>
      <c r="B2559" s="15" t="n"/>
      <c r="C2559">
        <f>IF(B2559="","",IFERROR(INDEX(Items!$B$5:$B$304,MATCH(B2559,Items!$A$5:$A$304,0)),"Unknown code"))</f>
        <v/>
      </c>
      <c r="D2559" s="15" t="n"/>
      <c r="E2559" s="16" t="n"/>
      <c r="F2559" s="18">
        <f>IF(OR(D2559="",E2559=""),"",D2559*E2559)</f>
        <v/>
      </c>
      <c r="G2559" s="15" t="n"/>
    </row>
    <row r="2560">
      <c r="A2560" s="19" t="n"/>
      <c r="B2560" s="15" t="n"/>
      <c r="C2560">
        <f>IF(B2560="","",IFERROR(INDEX(Items!$B$5:$B$304,MATCH(B2560,Items!$A$5:$A$304,0)),"Unknown code"))</f>
        <v/>
      </c>
      <c r="D2560" s="15" t="n"/>
      <c r="E2560" s="16" t="n"/>
      <c r="F2560" s="18">
        <f>IF(OR(D2560="",E2560=""),"",D2560*E2560)</f>
        <v/>
      </c>
      <c r="G2560" s="15" t="n"/>
    </row>
    <row r="2561">
      <c r="A2561" s="19" t="n"/>
      <c r="B2561" s="15" t="n"/>
      <c r="C2561">
        <f>IF(B2561="","",IFERROR(INDEX(Items!$B$5:$B$304,MATCH(B2561,Items!$A$5:$A$304,0)),"Unknown code"))</f>
        <v/>
      </c>
      <c r="D2561" s="15" t="n"/>
      <c r="E2561" s="16" t="n"/>
      <c r="F2561" s="18">
        <f>IF(OR(D2561="",E2561=""),"",D2561*E2561)</f>
        <v/>
      </c>
      <c r="G2561" s="15" t="n"/>
    </row>
    <row r="2562">
      <c r="A2562" s="19" t="n"/>
      <c r="B2562" s="15" t="n"/>
      <c r="C2562">
        <f>IF(B2562="","",IFERROR(INDEX(Items!$B$5:$B$304,MATCH(B2562,Items!$A$5:$A$304,0)),"Unknown code"))</f>
        <v/>
      </c>
      <c r="D2562" s="15" t="n"/>
      <c r="E2562" s="16" t="n"/>
      <c r="F2562" s="18">
        <f>IF(OR(D2562="",E2562=""),"",D2562*E2562)</f>
        <v/>
      </c>
      <c r="G2562" s="15" t="n"/>
    </row>
    <row r="2563">
      <c r="A2563" s="19" t="n"/>
      <c r="B2563" s="15" t="n"/>
      <c r="C2563">
        <f>IF(B2563="","",IFERROR(INDEX(Items!$B$5:$B$304,MATCH(B2563,Items!$A$5:$A$304,0)),"Unknown code"))</f>
        <v/>
      </c>
      <c r="D2563" s="15" t="n"/>
      <c r="E2563" s="16" t="n"/>
      <c r="F2563" s="18">
        <f>IF(OR(D2563="",E2563=""),"",D2563*E2563)</f>
        <v/>
      </c>
      <c r="G2563" s="15" t="n"/>
    </row>
    <row r="2564">
      <c r="A2564" s="19" t="n"/>
      <c r="B2564" s="15" t="n"/>
      <c r="C2564">
        <f>IF(B2564="","",IFERROR(INDEX(Items!$B$5:$B$304,MATCH(B2564,Items!$A$5:$A$304,0)),"Unknown code"))</f>
        <v/>
      </c>
      <c r="D2564" s="15" t="n"/>
      <c r="E2564" s="16" t="n"/>
      <c r="F2564" s="18">
        <f>IF(OR(D2564="",E2564=""),"",D2564*E2564)</f>
        <v/>
      </c>
      <c r="G2564" s="15" t="n"/>
    </row>
    <row r="2565">
      <c r="A2565" s="19" t="n"/>
      <c r="B2565" s="15" t="n"/>
      <c r="C2565">
        <f>IF(B2565="","",IFERROR(INDEX(Items!$B$5:$B$304,MATCH(B2565,Items!$A$5:$A$304,0)),"Unknown code"))</f>
        <v/>
      </c>
      <c r="D2565" s="15" t="n"/>
      <c r="E2565" s="16" t="n"/>
      <c r="F2565" s="18">
        <f>IF(OR(D2565="",E2565=""),"",D2565*E2565)</f>
        <v/>
      </c>
      <c r="G2565" s="15" t="n"/>
    </row>
    <row r="2566">
      <c r="A2566" s="19" t="n"/>
      <c r="B2566" s="15" t="n"/>
      <c r="C2566">
        <f>IF(B2566="","",IFERROR(INDEX(Items!$B$5:$B$304,MATCH(B2566,Items!$A$5:$A$304,0)),"Unknown code"))</f>
        <v/>
      </c>
      <c r="D2566" s="15" t="n"/>
      <c r="E2566" s="16" t="n"/>
      <c r="F2566" s="18">
        <f>IF(OR(D2566="",E2566=""),"",D2566*E2566)</f>
        <v/>
      </c>
      <c r="G2566" s="15" t="n"/>
    </row>
    <row r="2567">
      <c r="A2567" s="19" t="n"/>
      <c r="B2567" s="15" t="n"/>
      <c r="C2567">
        <f>IF(B2567="","",IFERROR(INDEX(Items!$B$5:$B$304,MATCH(B2567,Items!$A$5:$A$304,0)),"Unknown code"))</f>
        <v/>
      </c>
      <c r="D2567" s="15" t="n"/>
      <c r="E2567" s="16" t="n"/>
      <c r="F2567" s="18">
        <f>IF(OR(D2567="",E2567=""),"",D2567*E2567)</f>
        <v/>
      </c>
      <c r="G2567" s="15" t="n"/>
    </row>
    <row r="2568">
      <c r="A2568" s="19" t="n"/>
      <c r="B2568" s="15" t="n"/>
      <c r="C2568">
        <f>IF(B2568="","",IFERROR(INDEX(Items!$B$5:$B$304,MATCH(B2568,Items!$A$5:$A$304,0)),"Unknown code"))</f>
        <v/>
      </c>
      <c r="D2568" s="15" t="n"/>
      <c r="E2568" s="16" t="n"/>
      <c r="F2568" s="18">
        <f>IF(OR(D2568="",E2568=""),"",D2568*E2568)</f>
        <v/>
      </c>
      <c r="G2568" s="15" t="n"/>
    </row>
    <row r="2569">
      <c r="A2569" s="19" t="n"/>
      <c r="B2569" s="15" t="n"/>
      <c r="C2569">
        <f>IF(B2569="","",IFERROR(INDEX(Items!$B$5:$B$304,MATCH(B2569,Items!$A$5:$A$304,0)),"Unknown code"))</f>
        <v/>
      </c>
      <c r="D2569" s="15" t="n"/>
      <c r="E2569" s="16" t="n"/>
      <c r="F2569" s="18">
        <f>IF(OR(D2569="",E2569=""),"",D2569*E2569)</f>
        <v/>
      </c>
      <c r="G2569" s="15" t="n"/>
    </row>
    <row r="2570">
      <c r="A2570" s="19" t="n"/>
      <c r="B2570" s="15" t="n"/>
      <c r="C2570">
        <f>IF(B2570="","",IFERROR(INDEX(Items!$B$5:$B$304,MATCH(B2570,Items!$A$5:$A$304,0)),"Unknown code"))</f>
        <v/>
      </c>
      <c r="D2570" s="15" t="n"/>
      <c r="E2570" s="16" t="n"/>
      <c r="F2570" s="18">
        <f>IF(OR(D2570="",E2570=""),"",D2570*E2570)</f>
        <v/>
      </c>
      <c r="G2570" s="15" t="n"/>
    </row>
    <row r="2571">
      <c r="A2571" s="19" t="n"/>
      <c r="B2571" s="15" t="n"/>
      <c r="C2571">
        <f>IF(B2571="","",IFERROR(INDEX(Items!$B$5:$B$304,MATCH(B2571,Items!$A$5:$A$304,0)),"Unknown code"))</f>
        <v/>
      </c>
      <c r="D2571" s="15" t="n"/>
      <c r="E2571" s="16" t="n"/>
      <c r="F2571" s="18">
        <f>IF(OR(D2571="",E2571=""),"",D2571*E2571)</f>
        <v/>
      </c>
      <c r="G2571" s="15" t="n"/>
    </row>
    <row r="2572">
      <c r="A2572" s="19" t="n"/>
      <c r="B2572" s="15" t="n"/>
      <c r="C2572">
        <f>IF(B2572="","",IFERROR(INDEX(Items!$B$5:$B$304,MATCH(B2572,Items!$A$5:$A$304,0)),"Unknown code"))</f>
        <v/>
      </c>
      <c r="D2572" s="15" t="n"/>
      <c r="E2572" s="16" t="n"/>
      <c r="F2572" s="18">
        <f>IF(OR(D2572="",E2572=""),"",D2572*E2572)</f>
        <v/>
      </c>
      <c r="G2572" s="15" t="n"/>
    </row>
    <row r="2573">
      <c r="A2573" s="19" t="n"/>
      <c r="B2573" s="15" t="n"/>
      <c r="C2573">
        <f>IF(B2573="","",IFERROR(INDEX(Items!$B$5:$B$304,MATCH(B2573,Items!$A$5:$A$304,0)),"Unknown code"))</f>
        <v/>
      </c>
      <c r="D2573" s="15" t="n"/>
      <c r="E2573" s="16" t="n"/>
      <c r="F2573" s="18">
        <f>IF(OR(D2573="",E2573=""),"",D2573*E2573)</f>
        <v/>
      </c>
      <c r="G2573" s="15" t="n"/>
    </row>
    <row r="2574">
      <c r="A2574" s="19" t="n"/>
      <c r="B2574" s="15" t="n"/>
      <c r="C2574">
        <f>IF(B2574="","",IFERROR(INDEX(Items!$B$5:$B$304,MATCH(B2574,Items!$A$5:$A$304,0)),"Unknown code"))</f>
        <v/>
      </c>
      <c r="D2574" s="15" t="n"/>
      <c r="E2574" s="16" t="n"/>
      <c r="F2574" s="18">
        <f>IF(OR(D2574="",E2574=""),"",D2574*E2574)</f>
        <v/>
      </c>
      <c r="G2574" s="15" t="n"/>
    </row>
    <row r="2575">
      <c r="A2575" s="19" t="n"/>
      <c r="B2575" s="15" t="n"/>
      <c r="C2575">
        <f>IF(B2575="","",IFERROR(INDEX(Items!$B$5:$B$304,MATCH(B2575,Items!$A$5:$A$304,0)),"Unknown code"))</f>
        <v/>
      </c>
      <c r="D2575" s="15" t="n"/>
      <c r="E2575" s="16" t="n"/>
      <c r="F2575" s="18">
        <f>IF(OR(D2575="",E2575=""),"",D2575*E2575)</f>
        <v/>
      </c>
      <c r="G2575" s="15" t="n"/>
    </row>
    <row r="2576">
      <c r="A2576" s="19" t="n"/>
      <c r="B2576" s="15" t="n"/>
      <c r="C2576">
        <f>IF(B2576="","",IFERROR(INDEX(Items!$B$5:$B$304,MATCH(B2576,Items!$A$5:$A$304,0)),"Unknown code"))</f>
        <v/>
      </c>
      <c r="D2576" s="15" t="n"/>
      <c r="E2576" s="16" t="n"/>
      <c r="F2576" s="18">
        <f>IF(OR(D2576="",E2576=""),"",D2576*E2576)</f>
        <v/>
      </c>
      <c r="G2576" s="15" t="n"/>
    </row>
    <row r="2577">
      <c r="A2577" s="19" t="n"/>
      <c r="B2577" s="15" t="n"/>
      <c r="C2577">
        <f>IF(B2577="","",IFERROR(INDEX(Items!$B$5:$B$304,MATCH(B2577,Items!$A$5:$A$304,0)),"Unknown code"))</f>
        <v/>
      </c>
      <c r="D2577" s="15" t="n"/>
      <c r="E2577" s="16" t="n"/>
      <c r="F2577" s="18">
        <f>IF(OR(D2577="",E2577=""),"",D2577*E2577)</f>
        <v/>
      </c>
      <c r="G2577" s="15" t="n"/>
    </row>
    <row r="2578">
      <c r="A2578" s="19" t="n"/>
      <c r="B2578" s="15" t="n"/>
      <c r="C2578">
        <f>IF(B2578="","",IFERROR(INDEX(Items!$B$5:$B$304,MATCH(B2578,Items!$A$5:$A$304,0)),"Unknown code"))</f>
        <v/>
      </c>
      <c r="D2578" s="15" t="n"/>
      <c r="E2578" s="16" t="n"/>
      <c r="F2578" s="18">
        <f>IF(OR(D2578="",E2578=""),"",D2578*E2578)</f>
        <v/>
      </c>
      <c r="G2578" s="15" t="n"/>
    </row>
    <row r="2579">
      <c r="A2579" s="19" t="n"/>
      <c r="B2579" s="15" t="n"/>
      <c r="C2579">
        <f>IF(B2579="","",IFERROR(INDEX(Items!$B$5:$B$304,MATCH(B2579,Items!$A$5:$A$304,0)),"Unknown code"))</f>
        <v/>
      </c>
      <c r="D2579" s="15" t="n"/>
      <c r="E2579" s="16" t="n"/>
      <c r="F2579" s="18">
        <f>IF(OR(D2579="",E2579=""),"",D2579*E2579)</f>
        <v/>
      </c>
      <c r="G2579" s="15" t="n"/>
    </row>
    <row r="2580">
      <c r="A2580" s="19" t="n"/>
      <c r="B2580" s="15" t="n"/>
      <c r="C2580">
        <f>IF(B2580="","",IFERROR(INDEX(Items!$B$5:$B$304,MATCH(B2580,Items!$A$5:$A$304,0)),"Unknown code"))</f>
        <v/>
      </c>
      <c r="D2580" s="15" t="n"/>
      <c r="E2580" s="16" t="n"/>
      <c r="F2580" s="18">
        <f>IF(OR(D2580="",E2580=""),"",D2580*E2580)</f>
        <v/>
      </c>
      <c r="G2580" s="15" t="n"/>
    </row>
    <row r="2581">
      <c r="A2581" s="19" t="n"/>
      <c r="B2581" s="15" t="n"/>
      <c r="C2581">
        <f>IF(B2581="","",IFERROR(INDEX(Items!$B$5:$B$304,MATCH(B2581,Items!$A$5:$A$304,0)),"Unknown code"))</f>
        <v/>
      </c>
      <c r="D2581" s="15" t="n"/>
      <c r="E2581" s="16" t="n"/>
      <c r="F2581" s="18">
        <f>IF(OR(D2581="",E2581=""),"",D2581*E2581)</f>
        <v/>
      </c>
      <c r="G2581" s="15" t="n"/>
    </row>
    <row r="2582">
      <c r="A2582" s="19" t="n"/>
      <c r="B2582" s="15" t="n"/>
      <c r="C2582">
        <f>IF(B2582="","",IFERROR(INDEX(Items!$B$5:$B$304,MATCH(B2582,Items!$A$5:$A$304,0)),"Unknown code"))</f>
        <v/>
      </c>
      <c r="D2582" s="15" t="n"/>
      <c r="E2582" s="16" t="n"/>
      <c r="F2582" s="18">
        <f>IF(OR(D2582="",E2582=""),"",D2582*E2582)</f>
        <v/>
      </c>
      <c r="G2582" s="15" t="n"/>
    </row>
    <row r="2583">
      <c r="A2583" s="19" t="n"/>
      <c r="B2583" s="15" t="n"/>
      <c r="C2583">
        <f>IF(B2583="","",IFERROR(INDEX(Items!$B$5:$B$304,MATCH(B2583,Items!$A$5:$A$304,0)),"Unknown code"))</f>
        <v/>
      </c>
      <c r="D2583" s="15" t="n"/>
      <c r="E2583" s="16" t="n"/>
      <c r="F2583" s="18">
        <f>IF(OR(D2583="",E2583=""),"",D2583*E2583)</f>
        <v/>
      </c>
      <c r="G2583" s="15" t="n"/>
    </row>
    <row r="2584">
      <c r="A2584" s="19" t="n"/>
      <c r="B2584" s="15" t="n"/>
      <c r="C2584">
        <f>IF(B2584="","",IFERROR(INDEX(Items!$B$5:$B$304,MATCH(B2584,Items!$A$5:$A$304,0)),"Unknown code"))</f>
        <v/>
      </c>
      <c r="D2584" s="15" t="n"/>
      <c r="E2584" s="16" t="n"/>
      <c r="F2584" s="18">
        <f>IF(OR(D2584="",E2584=""),"",D2584*E2584)</f>
        <v/>
      </c>
      <c r="G2584" s="15" t="n"/>
    </row>
    <row r="2585">
      <c r="A2585" s="19" t="n"/>
      <c r="B2585" s="15" t="n"/>
      <c r="C2585">
        <f>IF(B2585="","",IFERROR(INDEX(Items!$B$5:$B$304,MATCH(B2585,Items!$A$5:$A$304,0)),"Unknown code"))</f>
        <v/>
      </c>
      <c r="D2585" s="15" t="n"/>
      <c r="E2585" s="16" t="n"/>
      <c r="F2585" s="18">
        <f>IF(OR(D2585="",E2585=""),"",D2585*E2585)</f>
        <v/>
      </c>
      <c r="G2585" s="15" t="n"/>
    </row>
    <row r="2586">
      <c r="A2586" s="19" t="n"/>
      <c r="B2586" s="15" t="n"/>
      <c r="C2586">
        <f>IF(B2586="","",IFERROR(INDEX(Items!$B$5:$B$304,MATCH(B2586,Items!$A$5:$A$304,0)),"Unknown code"))</f>
        <v/>
      </c>
      <c r="D2586" s="15" t="n"/>
      <c r="E2586" s="16" t="n"/>
      <c r="F2586" s="18">
        <f>IF(OR(D2586="",E2586=""),"",D2586*E2586)</f>
        <v/>
      </c>
      <c r="G2586" s="15" t="n"/>
    </row>
    <row r="2587">
      <c r="A2587" s="19" t="n"/>
      <c r="B2587" s="15" t="n"/>
      <c r="C2587">
        <f>IF(B2587="","",IFERROR(INDEX(Items!$B$5:$B$304,MATCH(B2587,Items!$A$5:$A$304,0)),"Unknown code"))</f>
        <v/>
      </c>
      <c r="D2587" s="15" t="n"/>
      <c r="E2587" s="16" t="n"/>
      <c r="F2587" s="18">
        <f>IF(OR(D2587="",E2587=""),"",D2587*E2587)</f>
        <v/>
      </c>
      <c r="G2587" s="15" t="n"/>
    </row>
    <row r="2588">
      <c r="A2588" s="19" t="n"/>
      <c r="B2588" s="15" t="n"/>
      <c r="C2588">
        <f>IF(B2588="","",IFERROR(INDEX(Items!$B$5:$B$304,MATCH(B2588,Items!$A$5:$A$304,0)),"Unknown code"))</f>
        <v/>
      </c>
      <c r="D2588" s="15" t="n"/>
      <c r="E2588" s="16" t="n"/>
      <c r="F2588" s="18">
        <f>IF(OR(D2588="",E2588=""),"",D2588*E2588)</f>
        <v/>
      </c>
      <c r="G2588" s="15" t="n"/>
    </row>
    <row r="2589">
      <c r="A2589" s="19" t="n"/>
      <c r="B2589" s="15" t="n"/>
      <c r="C2589">
        <f>IF(B2589="","",IFERROR(INDEX(Items!$B$5:$B$304,MATCH(B2589,Items!$A$5:$A$304,0)),"Unknown code"))</f>
        <v/>
      </c>
      <c r="D2589" s="15" t="n"/>
      <c r="E2589" s="16" t="n"/>
      <c r="F2589" s="18">
        <f>IF(OR(D2589="",E2589=""),"",D2589*E2589)</f>
        <v/>
      </c>
      <c r="G2589" s="15" t="n"/>
    </row>
    <row r="2590">
      <c r="A2590" s="19" t="n"/>
      <c r="B2590" s="15" t="n"/>
      <c r="C2590">
        <f>IF(B2590="","",IFERROR(INDEX(Items!$B$5:$B$304,MATCH(B2590,Items!$A$5:$A$304,0)),"Unknown code"))</f>
        <v/>
      </c>
      <c r="D2590" s="15" t="n"/>
      <c r="E2590" s="16" t="n"/>
      <c r="F2590" s="18">
        <f>IF(OR(D2590="",E2590=""),"",D2590*E2590)</f>
        <v/>
      </c>
      <c r="G2590" s="15" t="n"/>
    </row>
    <row r="2591">
      <c r="A2591" s="19" t="n"/>
      <c r="B2591" s="15" t="n"/>
      <c r="C2591">
        <f>IF(B2591="","",IFERROR(INDEX(Items!$B$5:$B$304,MATCH(B2591,Items!$A$5:$A$304,0)),"Unknown code"))</f>
        <v/>
      </c>
      <c r="D2591" s="15" t="n"/>
      <c r="E2591" s="16" t="n"/>
      <c r="F2591" s="18">
        <f>IF(OR(D2591="",E2591=""),"",D2591*E2591)</f>
        <v/>
      </c>
      <c r="G2591" s="15" t="n"/>
    </row>
    <row r="2592">
      <c r="A2592" s="19" t="n"/>
      <c r="B2592" s="15" t="n"/>
      <c r="C2592">
        <f>IF(B2592="","",IFERROR(INDEX(Items!$B$5:$B$304,MATCH(B2592,Items!$A$5:$A$304,0)),"Unknown code"))</f>
        <v/>
      </c>
      <c r="D2592" s="15" t="n"/>
      <c r="E2592" s="16" t="n"/>
      <c r="F2592" s="18">
        <f>IF(OR(D2592="",E2592=""),"",D2592*E2592)</f>
        <v/>
      </c>
      <c r="G2592" s="15" t="n"/>
    </row>
    <row r="2593">
      <c r="A2593" s="19" t="n"/>
      <c r="B2593" s="15" t="n"/>
      <c r="C2593">
        <f>IF(B2593="","",IFERROR(INDEX(Items!$B$5:$B$304,MATCH(B2593,Items!$A$5:$A$304,0)),"Unknown code"))</f>
        <v/>
      </c>
      <c r="D2593" s="15" t="n"/>
      <c r="E2593" s="16" t="n"/>
      <c r="F2593" s="18">
        <f>IF(OR(D2593="",E2593=""),"",D2593*E2593)</f>
        <v/>
      </c>
      <c r="G2593" s="15" t="n"/>
    </row>
    <row r="2594">
      <c r="A2594" s="19" t="n"/>
      <c r="B2594" s="15" t="n"/>
      <c r="C2594">
        <f>IF(B2594="","",IFERROR(INDEX(Items!$B$5:$B$304,MATCH(B2594,Items!$A$5:$A$304,0)),"Unknown code"))</f>
        <v/>
      </c>
      <c r="D2594" s="15" t="n"/>
      <c r="E2594" s="16" t="n"/>
      <c r="F2594" s="18">
        <f>IF(OR(D2594="",E2594=""),"",D2594*E2594)</f>
        <v/>
      </c>
      <c r="G2594" s="15" t="n"/>
    </row>
    <row r="2595">
      <c r="A2595" s="19" t="n"/>
      <c r="B2595" s="15" t="n"/>
      <c r="C2595">
        <f>IF(B2595="","",IFERROR(INDEX(Items!$B$5:$B$304,MATCH(B2595,Items!$A$5:$A$304,0)),"Unknown code"))</f>
        <v/>
      </c>
      <c r="D2595" s="15" t="n"/>
      <c r="E2595" s="16" t="n"/>
      <c r="F2595" s="18">
        <f>IF(OR(D2595="",E2595=""),"",D2595*E2595)</f>
        <v/>
      </c>
      <c r="G2595" s="15" t="n"/>
    </row>
    <row r="2596">
      <c r="A2596" s="19" t="n"/>
      <c r="B2596" s="15" t="n"/>
      <c r="C2596">
        <f>IF(B2596="","",IFERROR(INDEX(Items!$B$5:$B$304,MATCH(B2596,Items!$A$5:$A$304,0)),"Unknown code"))</f>
        <v/>
      </c>
      <c r="D2596" s="15" t="n"/>
      <c r="E2596" s="16" t="n"/>
      <c r="F2596" s="18">
        <f>IF(OR(D2596="",E2596=""),"",D2596*E2596)</f>
        <v/>
      </c>
      <c r="G2596" s="15" t="n"/>
    </row>
    <row r="2597">
      <c r="A2597" s="19" t="n"/>
      <c r="B2597" s="15" t="n"/>
      <c r="C2597">
        <f>IF(B2597="","",IFERROR(INDEX(Items!$B$5:$B$304,MATCH(B2597,Items!$A$5:$A$304,0)),"Unknown code"))</f>
        <v/>
      </c>
      <c r="D2597" s="15" t="n"/>
      <c r="E2597" s="16" t="n"/>
      <c r="F2597" s="18">
        <f>IF(OR(D2597="",E2597=""),"",D2597*E2597)</f>
        <v/>
      </c>
      <c r="G2597" s="15" t="n"/>
    </row>
    <row r="2598">
      <c r="A2598" s="19" t="n"/>
      <c r="B2598" s="15" t="n"/>
      <c r="C2598">
        <f>IF(B2598="","",IFERROR(INDEX(Items!$B$5:$B$304,MATCH(B2598,Items!$A$5:$A$304,0)),"Unknown code"))</f>
        <v/>
      </c>
      <c r="D2598" s="15" t="n"/>
      <c r="E2598" s="16" t="n"/>
      <c r="F2598" s="18">
        <f>IF(OR(D2598="",E2598=""),"",D2598*E2598)</f>
        <v/>
      </c>
      <c r="G2598" s="15" t="n"/>
    </row>
    <row r="2599">
      <c r="A2599" s="19" t="n"/>
      <c r="B2599" s="15" t="n"/>
      <c r="C2599">
        <f>IF(B2599="","",IFERROR(INDEX(Items!$B$5:$B$304,MATCH(B2599,Items!$A$5:$A$304,0)),"Unknown code"))</f>
        <v/>
      </c>
      <c r="D2599" s="15" t="n"/>
      <c r="E2599" s="16" t="n"/>
      <c r="F2599" s="18">
        <f>IF(OR(D2599="",E2599=""),"",D2599*E2599)</f>
        <v/>
      </c>
      <c r="G2599" s="15" t="n"/>
    </row>
    <row r="2600">
      <c r="A2600" s="19" t="n"/>
      <c r="B2600" s="15" t="n"/>
      <c r="C2600">
        <f>IF(B2600="","",IFERROR(INDEX(Items!$B$5:$B$304,MATCH(B2600,Items!$A$5:$A$304,0)),"Unknown code"))</f>
        <v/>
      </c>
      <c r="D2600" s="15" t="n"/>
      <c r="E2600" s="16" t="n"/>
      <c r="F2600" s="18">
        <f>IF(OR(D2600="",E2600=""),"",D2600*E2600)</f>
        <v/>
      </c>
      <c r="G2600" s="15" t="n"/>
    </row>
    <row r="2601">
      <c r="A2601" s="19" t="n"/>
      <c r="B2601" s="15" t="n"/>
      <c r="C2601">
        <f>IF(B2601="","",IFERROR(INDEX(Items!$B$5:$B$304,MATCH(B2601,Items!$A$5:$A$304,0)),"Unknown code"))</f>
        <v/>
      </c>
      <c r="D2601" s="15" t="n"/>
      <c r="E2601" s="16" t="n"/>
      <c r="F2601" s="18">
        <f>IF(OR(D2601="",E2601=""),"",D2601*E2601)</f>
        <v/>
      </c>
      <c r="G2601" s="15" t="n"/>
    </row>
    <row r="2602">
      <c r="A2602" s="19" t="n"/>
      <c r="B2602" s="15" t="n"/>
      <c r="C2602">
        <f>IF(B2602="","",IFERROR(INDEX(Items!$B$5:$B$304,MATCH(B2602,Items!$A$5:$A$304,0)),"Unknown code"))</f>
        <v/>
      </c>
      <c r="D2602" s="15" t="n"/>
      <c r="E2602" s="16" t="n"/>
      <c r="F2602" s="18">
        <f>IF(OR(D2602="",E2602=""),"",D2602*E2602)</f>
        <v/>
      </c>
      <c r="G2602" s="15" t="n"/>
    </row>
    <row r="2603">
      <c r="A2603" s="19" t="n"/>
      <c r="B2603" s="15" t="n"/>
      <c r="C2603">
        <f>IF(B2603="","",IFERROR(INDEX(Items!$B$5:$B$304,MATCH(B2603,Items!$A$5:$A$304,0)),"Unknown code"))</f>
        <v/>
      </c>
      <c r="D2603" s="15" t="n"/>
      <c r="E2603" s="16" t="n"/>
      <c r="F2603" s="18">
        <f>IF(OR(D2603="",E2603=""),"",D2603*E2603)</f>
        <v/>
      </c>
      <c r="G2603" s="15" t="n"/>
    </row>
    <row r="2604">
      <c r="A2604" s="19" t="n"/>
      <c r="B2604" s="15" t="n"/>
      <c r="C2604">
        <f>IF(B2604="","",IFERROR(INDEX(Items!$B$5:$B$304,MATCH(B2604,Items!$A$5:$A$304,0)),"Unknown code"))</f>
        <v/>
      </c>
      <c r="D2604" s="15" t="n"/>
      <c r="E2604" s="16" t="n"/>
      <c r="F2604" s="18">
        <f>IF(OR(D2604="",E2604=""),"",D2604*E2604)</f>
        <v/>
      </c>
      <c r="G2604" s="15" t="n"/>
    </row>
    <row r="2605">
      <c r="A2605" s="19" t="n"/>
      <c r="B2605" s="15" t="n"/>
      <c r="C2605">
        <f>IF(B2605="","",IFERROR(INDEX(Items!$B$5:$B$304,MATCH(B2605,Items!$A$5:$A$304,0)),"Unknown code"))</f>
        <v/>
      </c>
      <c r="D2605" s="15" t="n"/>
      <c r="E2605" s="16" t="n"/>
      <c r="F2605" s="18">
        <f>IF(OR(D2605="",E2605=""),"",D2605*E2605)</f>
        <v/>
      </c>
      <c r="G2605" s="15" t="n"/>
    </row>
    <row r="2606">
      <c r="A2606" s="19" t="n"/>
      <c r="B2606" s="15" t="n"/>
      <c r="C2606">
        <f>IF(B2606="","",IFERROR(INDEX(Items!$B$5:$B$304,MATCH(B2606,Items!$A$5:$A$304,0)),"Unknown code"))</f>
        <v/>
      </c>
      <c r="D2606" s="15" t="n"/>
      <c r="E2606" s="16" t="n"/>
      <c r="F2606" s="18">
        <f>IF(OR(D2606="",E2606=""),"",D2606*E2606)</f>
        <v/>
      </c>
      <c r="G2606" s="15" t="n"/>
    </row>
    <row r="2607">
      <c r="A2607" s="19" t="n"/>
      <c r="B2607" s="15" t="n"/>
      <c r="C2607">
        <f>IF(B2607="","",IFERROR(INDEX(Items!$B$5:$B$304,MATCH(B2607,Items!$A$5:$A$304,0)),"Unknown code"))</f>
        <v/>
      </c>
      <c r="D2607" s="15" t="n"/>
      <c r="E2607" s="16" t="n"/>
      <c r="F2607" s="18">
        <f>IF(OR(D2607="",E2607=""),"",D2607*E2607)</f>
        <v/>
      </c>
      <c r="G2607" s="15" t="n"/>
    </row>
    <row r="2608">
      <c r="A2608" s="19" t="n"/>
      <c r="B2608" s="15" t="n"/>
      <c r="C2608">
        <f>IF(B2608="","",IFERROR(INDEX(Items!$B$5:$B$304,MATCH(B2608,Items!$A$5:$A$304,0)),"Unknown code"))</f>
        <v/>
      </c>
      <c r="D2608" s="15" t="n"/>
      <c r="E2608" s="16" t="n"/>
      <c r="F2608" s="18">
        <f>IF(OR(D2608="",E2608=""),"",D2608*E2608)</f>
        <v/>
      </c>
      <c r="G2608" s="15" t="n"/>
    </row>
    <row r="2609">
      <c r="A2609" s="19" t="n"/>
      <c r="B2609" s="15" t="n"/>
      <c r="C2609">
        <f>IF(B2609="","",IFERROR(INDEX(Items!$B$5:$B$304,MATCH(B2609,Items!$A$5:$A$304,0)),"Unknown code"))</f>
        <v/>
      </c>
      <c r="D2609" s="15" t="n"/>
      <c r="E2609" s="16" t="n"/>
      <c r="F2609" s="18">
        <f>IF(OR(D2609="",E2609=""),"",D2609*E2609)</f>
        <v/>
      </c>
      <c r="G2609" s="15" t="n"/>
    </row>
    <row r="2610">
      <c r="A2610" s="19" t="n"/>
      <c r="B2610" s="15" t="n"/>
      <c r="C2610">
        <f>IF(B2610="","",IFERROR(INDEX(Items!$B$5:$B$304,MATCH(B2610,Items!$A$5:$A$304,0)),"Unknown code"))</f>
        <v/>
      </c>
      <c r="D2610" s="15" t="n"/>
      <c r="E2610" s="16" t="n"/>
      <c r="F2610" s="18">
        <f>IF(OR(D2610="",E2610=""),"",D2610*E2610)</f>
        <v/>
      </c>
      <c r="G2610" s="15" t="n"/>
    </row>
    <row r="2611">
      <c r="A2611" s="19" t="n"/>
      <c r="B2611" s="15" t="n"/>
      <c r="C2611">
        <f>IF(B2611="","",IFERROR(INDEX(Items!$B$5:$B$304,MATCH(B2611,Items!$A$5:$A$304,0)),"Unknown code"))</f>
        <v/>
      </c>
      <c r="D2611" s="15" t="n"/>
      <c r="E2611" s="16" t="n"/>
      <c r="F2611" s="18">
        <f>IF(OR(D2611="",E2611=""),"",D2611*E2611)</f>
        <v/>
      </c>
      <c r="G2611" s="15" t="n"/>
    </row>
    <row r="2612">
      <c r="A2612" s="19" t="n"/>
      <c r="B2612" s="15" t="n"/>
      <c r="C2612">
        <f>IF(B2612="","",IFERROR(INDEX(Items!$B$5:$B$304,MATCH(B2612,Items!$A$5:$A$304,0)),"Unknown code"))</f>
        <v/>
      </c>
      <c r="D2612" s="15" t="n"/>
      <c r="E2612" s="16" t="n"/>
      <c r="F2612" s="18">
        <f>IF(OR(D2612="",E2612=""),"",D2612*E2612)</f>
        <v/>
      </c>
      <c r="G2612" s="15" t="n"/>
    </row>
    <row r="2613">
      <c r="A2613" s="19" t="n"/>
      <c r="B2613" s="15" t="n"/>
      <c r="C2613">
        <f>IF(B2613="","",IFERROR(INDEX(Items!$B$5:$B$304,MATCH(B2613,Items!$A$5:$A$304,0)),"Unknown code"))</f>
        <v/>
      </c>
      <c r="D2613" s="15" t="n"/>
      <c r="E2613" s="16" t="n"/>
      <c r="F2613" s="18">
        <f>IF(OR(D2613="",E2613=""),"",D2613*E2613)</f>
        <v/>
      </c>
      <c r="G2613" s="15" t="n"/>
    </row>
    <row r="2614">
      <c r="A2614" s="19" t="n"/>
      <c r="B2614" s="15" t="n"/>
      <c r="C2614">
        <f>IF(B2614="","",IFERROR(INDEX(Items!$B$5:$B$304,MATCH(B2614,Items!$A$5:$A$304,0)),"Unknown code"))</f>
        <v/>
      </c>
      <c r="D2614" s="15" t="n"/>
      <c r="E2614" s="16" t="n"/>
      <c r="F2614" s="18">
        <f>IF(OR(D2614="",E2614=""),"",D2614*E2614)</f>
        <v/>
      </c>
      <c r="G2614" s="15" t="n"/>
    </row>
    <row r="2615">
      <c r="A2615" s="19" t="n"/>
      <c r="B2615" s="15" t="n"/>
      <c r="C2615">
        <f>IF(B2615="","",IFERROR(INDEX(Items!$B$5:$B$304,MATCH(B2615,Items!$A$5:$A$304,0)),"Unknown code"))</f>
        <v/>
      </c>
      <c r="D2615" s="15" t="n"/>
      <c r="E2615" s="16" t="n"/>
      <c r="F2615" s="18">
        <f>IF(OR(D2615="",E2615=""),"",D2615*E2615)</f>
        <v/>
      </c>
      <c r="G2615" s="15" t="n"/>
    </row>
    <row r="2616">
      <c r="A2616" s="19" t="n"/>
      <c r="B2616" s="15" t="n"/>
      <c r="C2616">
        <f>IF(B2616="","",IFERROR(INDEX(Items!$B$5:$B$304,MATCH(B2616,Items!$A$5:$A$304,0)),"Unknown code"))</f>
        <v/>
      </c>
      <c r="D2616" s="15" t="n"/>
      <c r="E2616" s="16" t="n"/>
      <c r="F2616" s="18">
        <f>IF(OR(D2616="",E2616=""),"",D2616*E2616)</f>
        <v/>
      </c>
      <c r="G2616" s="15" t="n"/>
    </row>
    <row r="2617">
      <c r="A2617" s="19" t="n"/>
      <c r="B2617" s="15" t="n"/>
      <c r="C2617">
        <f>IF(B2617="","",IFERROR(INDEX(Items!$B$5:$B$304,MATCH(B2617,Items!$A$5:$A$304,0)),"Unknown code"))</f>
        <v/>
      </c>
      <c r="D2617" s="15" t="n"/>
      <c r="E2617" s="16" t="n"/>
      <c r="F2617" s="18">
        <f>IF(OR(D2617="",E2617=""),"",D2617*E2617)</f>
        <v/>
      </c>
      <c r="G2617" s="15" t="n"/>
    </row>
    <row r="2618">
      <c r="A2618" s="19" t="n"/>
      <c r="B2618" s="15" t="n"/>
      <c r="C2618">
        <f>IF(B2618="","",IFERROR(INDEX(Items!$B$5:$B$304,MATCH(B2618,Items!$A$5:$A$304,0)),"Unknown code"))</f>
        <v/>
      </c>
      <c r="D2618" s="15" t="n"/>
      <c r="E2618" s="16" t="n"/>
      <c r="F2618" s="18">
        <f>IF(OR(D2618="",E2618=""),"",D2618*E2618)</f>
        <v/>
      </c>
      <c r="G2618" s="15" t="n"/>
    </row>
    <row r="2619">
      <c r="A2619" s="19" t="n"/>
      <c r="B2619" s="15" t="n"/>
      <c r="C2619">
        <f>IF(B2619="","",IFERROR(INDEX(Items!$B$5:$B$304,MATCH(B2619,Items!$A$5:$A$304,0)),"Unknown code"))</f>
        <v/>
      </c>
      <c r="D2619" s="15" t="n"/>
      <c r="E2619" s="16" t="n"/>
      <c r="F2619" s="18">
        <f>IF(OR(D2619="",E2619=""),"",D2619*E2619)</f>
        <v/>
      </c>
      <c r="G2619" s="15" t="n"/>
    </row>
    <row r="2620">
      <c r="A2620" s="19" t="n"/>
      <c r="B2620" s="15" t="n"/>
      <c r="C2620">
        <f>IF(B2620="","",IFERROR(INDEX(Items!$B$5:$B$304,MATCH(B2620,Items!$A$5:$A$304,0)),"Unknown code"))</f>
        <v/>
      </c>
      <c r="D2620" s="15" t="n"/>
      <c r="E2620" s="16" t="n"/>
      <c r="F2620" s="18">
        <f>IF(OR(D2620="",E2620=""),"",D2620*E2620)</f>
        <v/>
      </c>
      <c r="G2620" s="15" t="n"/>
    </row>
    <row r="2621">
      <c r="A2621" s="19" t="n"/>
      <c r="B2621" s="15" t="n"/>
      <c r="C2621">
        <f>IF(B2621="","",IFERROR(INDEX(Items!$B$5:$B$304,MATCH(B2621,Items!$A$5:$A$304,0)),"Unknown code"))</f>
        <v/>
      </c>
      <c r="D2621" s="15" t="n"/>
      <c r="E2621" s="16" t="n"/>
      <c r="F2621" s="18">
        <f>IF(OR(D2621="",E2621=""),"",D2621*E2621)</f>
        <v/>
      </c>
      <c r="G2621" s="15" t="n"/>
    </row>
    <row r="2622">
      <c r="A2622" s="19" t="n"/>
      <c r="B2622" s="15" t="n"/>
      <c r="C2622">
        <f>IF(B2622="","",IFERROR(INDEX(Items!$B$5:$B$304,MATCH(B2622,Items!$A$5:$A$304,0)),"Unknown code"))</f>
        <v/>
      </c>
      <c r="D2622" s="15" t="n"/>
      <c r="E2622" s="16" t="n"/>
      <c r="F2622" s="18">
        <f>IF(OR(D2622="",E2622=""),"",D2622*E2622)</f>
        <v/>
      </c>
      <c r="G2622" s="15" t="n"/>
    </row>
    <row r="2623">
      <c r="A2623" s="19" t="n"/>
      <c r="B2623" s="15" t="n"/>
      <c r="C2623">
        <f>IF(B2623="","",IFERROR(INDEX(Items!$B$5:$B$304,MATCH(B2623,Items!$A$5:$A$304,0)),"Unknown code"))</f>
        <v/>
      </c>
      <c r="D2623" s="15" t="n"/>
      <c r="E2623" s="16" t="n"/>
      <c r="F2623" s="18">
        <f>IF(OR(D2623="",E2623=""),"",D2623*E2623)</f>
        <v/>
      </c>
      <c r="G2623" s="15" t="n"/>
    </row>
    <row r="2624">
      <c r="A2624" s="19" t="n"/>
      <c r="B2624" s="15" t="n"/>
      <c r="C2624">
        <f>IF(B2624="","",IFERROR(INDEX(Items!$B$5:$B$304,MATCH(B2624,Items!$A$5:$A$304,0)),"Unknown code"))</f>
        <v/>
      </c>
      <c r="D2624" s="15" t="n"/>
      <c r="E2624" s="16" t="n"/>
      <c r="F2624" s="18">
        <f>IF(OR(D2624="",E2624=""),"",D2624*E2624)</f>
        <v/>
      </c>
      <c r="G2624" s="15" t="n"/>
    </row>
    <row r="2625">
      <c r="A2625" s="19" t="n"/>
      <c r="B2625" s="15" t="n"/>
      <c r="C2625">
        <f>IF(B2625="","",IFERROR(INDEX(Items!$B$5:$B$304,MATCH(B2625,Items!$A$5:$A$304,0)),"Unknown code"))</f>
        <v/>
      </c>
      <c r="D2625" s="15" t="n"/>
      <c r="E2625" s="16" t="n"/>
      <c r="F2625" s="18">
        <f>IF(OR(D2625="",E2625=""),"",D2625*E2625)</f>
        <v/>
      </c>
      <c r="G2625" s="15" t="n"/>
    </row>
    <row r="2626">
      <c r="A2626" s="19" t="n"/>
      <c r="B2626" s="15" t="n"/>
      <c r="C2626">
        <f>IF(B2626="","",IFERROR(INDEX(Items!$B$5:$B$304,MATCH(B2626,Items!$A$5:$A$304,0)),"Unknown code"))</f>
        <v/>
      </c>
      <c r="D2626" s="15" t="n"/>
      <c r="E2626" s="16" t="n"/>
      <c r="F2626" s="18">
        <f>IF(OR(D2626="",E2626=""),"",D2626*E2626)</f>
        <v/>
      </c>
      <c r="G2626" s="15" t="n"/>
    </row>
    <row r="2627">
      <c r="A2627" s="19" t="n"/>
      <c r="B2627" s="15" t="n"/>
      <c r="C2627">
        <f>IF(B2627="","",IFERROR(INDEX(Items!$B$5:$B$304,MATCH(B2627,Items!$A$5:$A$304,0)),"Unknown code"))</f>
        <v/>
      </c>
      <c r="D2627" s="15" t="n"/>
      <c r="E2627" s="16" t="n"/>
      <c r="F2627" s="18">
        <f>IF(OR(D2627="",E2627=""),"",D2627*E2627)</f>
        <v/>
      </c>
      <c r="G2627" s="15" t="n"/>
    </row>
    <row r="2628">
      <c r="A2628" s="19" t="n"/>
      <c r="B2628" s="15" t="n"/>
      <c r="C2628">
        <f>IF(B2628="","",IFERROR(INDEX(Items!$B$5:$B$304,MATCH(B2628,Items!$A$5:$A$304,0)),"Unknown code"))</f>
        <v/>
      </c>
      <c r="D2628" s="15" t="n"/>
      <c r="E2628" s="16" t="n"/>
      <c r="F2628" s="18">
        <f>IF(OR(D2628="",E2628=""),"",D2628*E2628)</f>
        <v/>
      </c>
      <c r="G2628" s="15" t="n"/>
    </row>
    <row r="2629">
      <c r="A2629" s="19" t="n"/>
      <c r="B2629" s="15" t="n"/>
      <c r="C2629">
        <f>IF(B2629="","",IFERROR(INDEX(Items!$B$5:$B$304,MATCH(B2629,Items!$A$5:$A$304,0)),"Unknown code"))</f>
        <v/>
      </c>
      <c r="D2629" s="15" t="n"/>
      <c r="E2629" s="16" t="n"/>
      <c r="F2629" s="18">
        <f>IF(OR(D2629="",E2629=""),"",D2629*E2629)</f>
        <v/>
      </c>
      <c r="G2629" s="15" t="n"/>
    </row>
    <row r="2630">
      <c r="A2630" s="19" t="n"/>
      <c r="B2630" s="15" t="n"/>
      <c r="C2630">
        <f>IF(B2630="","",IFERROR(INDEX(Items!$B$5:$B$304,MATCH(B2630,Items!$A$5:$A$304,0)),"Unknown code"))</f>
        <v/>
      </c>
      <c r="D2630" s="15" t="n"/>
      <c r="E2630" s="16" t="n"/>
      <c r="F2630" s="18">
        <f>IF(OR(D2630="",E2630=""),"",D2630*E2630)</f>
        <v/>
      </c>
      <c r="G2630" s="15" t="n"/>
    </row>
    <row r="2631">
      <c r="A2631" s="19" t="n"/>
      <c r="B2631" s="15" t="n"/>
      <c r="C2631">
        <f>IF(B2631="","",IFERROR(INDEX(Items!$B$5:$B$304,MATCH(B2631,Items!$A$5:$A$304,0)),"Unknown code"))</f>
        <v/>
      </c>
      <c r="D2631" s="15" t="n"/>
      <c r="E2631" s="16" t="n"/>
      <c r="F2631" s="18">
        <f>IF(OR(D2631="",E2631=""),"",D2631*E2631)</f>
        <v/>
      </c>
      <c r="G2631" s="15" t="n"/>
    </row>
    <row r="2632">
      <c r="A2632" s="19" t="n"/>
      <c r="B2632" s="15" t="n"/>
      <c r="C2632">
        <f>IF(B2632="","",IFERROR(INDEX(Items!$B$5:$B$304,MATCH(B2632,Items!$A$5:$A$304,0)),"Unknown code"))</f>
        <v/>
      </c>
      <c r="D2632" s="15" t="n"/>
      <c r="E2632" s="16" t="n"/>
      <c r="F2632" s="18">
        <f>IF(OR(D2632="",E2632=""),"",D2632*E2632)</f>
        <v/>
      </c>
      <c r="G2632" s="15" t="n"/>
    </row>
    <row r="2633">
      <c r="A2633" s="19" t="n"/>
      <c r="B2633" s="15" t="n"/>
      <c r="C2633">
        <f>IF(B2633="","",IFERROR(INDEX(Items!$B$5:$B$304,MATCH(B2633,Items!$A$5:$A$304,0)),"Unknown code"))</f>
        <v/>
      </c>
      <c r="D2633" s="15" t="n"/>
      <c r="E2633" s="16" t="n"/>
      <c r="F2633" s="18">
        <f>IF(OR(D2633="",E2633=""),"",D2633*E2633)</f>
        <v/>
      </c>
      <c r="G2633" s="15" t="n"/>
    </row>
    <row r="2634">
      <c r="A2634" s="19" t="n"/>
      <c r="B2634" s="15" t="n"/>
      <c r="C2634">
        <f>IF(B2634="","",IFERROR(INDEX(Items!$B$5:$B$304,MATCH(B2634,Items!$A$5:$A$304,0)),"Unknown code"))</f>
        <v/>
      </c>
      <c r="D2634" s="15" t="n"/>
      <c r="E2634" s="16" t="n"/>
      <c r="F2634" s="18">
        <f>IF(OR(D2634="",E2634=""),"",D2634*E2634)</f>
        <v/>
      </c>
      <c r="G2634" s="15" t="n"/>
    </row>
    <row r="2635">
      <c r="A2635" s="19" t="n"/>
      <c r="B2635" s="15" t="n"/>
      <c r="C2635">
        <f>IF(B2635="","",IFERROR(INDEX(Items!$B$5:$B$304,MATCH(B2635,Items!$A$5:$A$304,0)),"Unknown code"))</f>
        <v/>
      </c>
      <c r="D2635" s="15" t="n"/>
      <c r="E2635" s="16" t="n"/>
      <c r="F2635" s="18">
        <f>IF(OR(D2635="",E2635=""),"",D2635*E2635)</f>
        <v/>
      </c>
      <c r="G2635" s="15" t="n"/>
    </row>
    <row r="2636">
      <c r="A2636" s="19" t="n"/>
      <c r="B2636" s="15" t="n"/>
      <c r="C2636">
        <f>IF(B2636="","",IFERROR(INDEX(Items!$B$5:$B$304,MATCH(B2636,Items!$A$5:$A$304,0)),"Unknown code"))</f>
        <v/>
      </c>
      <c r="D2636" s="15" t="n"/>
      <c r="E2636" s="16" t="n"/>
      <c r="F2636" s="18">
        <f>IF(OR(D2636="",E2636=""),"",D2636*E2636)</f>
        <v/>
      </c>
      <c r="G2636" s="15" t="n"/>
    </row>
    <row r="2637">
      <c r="A2637" s="19" t="n"/>
      <c r="B2637" s="15" t="n"/>
      <c r="C2637">
        <f>IF(B2637="","",IFERROR(INDEX(Items!$B$5:$B$304,MATCH(B2637,Items!$A$5:$A$304,0)),"Unknown code"))</f>
        <v/>
      </c>
      <c r="D2637" s="15" t="n"/>
      <c r="E2637" s="16" t="n"/>
      <c r="F2637" s="18">
        <f>IF(OR(D2637="",E2637=""),"",D2637*E2637)</f>
        <v/>
      </c>
      <c r="G2637" s="15" t="n"/>
    </row>
    <row r="2638">
      <c r="A2638" s="19" t="n"/>
      <c r="B2638" s="15" t="n"/>
      <c r="C2638">
        <f>IF(B2638="","",IFERROR(INDEX(Items!$B$5:$B$304,MATCH(B2638,Items!$A$5:$A$304,0)),"Unknown code"))</f>
        <v/>
      </c>
      <c r="D2638" s="15" t="n"/>
      <c r="E2638" s="16" t="n"/>
      <c r="F2638" s="18">
        <f>IF(OR(D2638="",E2638=""),"",D2638*E2638)</f>
        <v/>
      </c>
      <c r="G2638" s="15" t="n"/>
    </row>
    <row r="2639">
      <c r="A2639" s="19" t="n"/>
      <c r="B2639" s="15" t="n"/>
      <c r="C2639">
        <f>IF(B2639="","",IFERROR(INDEX(Items!$B$5:$B$304,MATCH(B2639,Items!$A$5:$A$304,0)),"Unknown code"))</f>
        <v/>
      </c>
      <c r="D2639" s="15" t="n"/>
      <c r="E2639" s="16" t="n"/>
      <c r="F2639" s="18">
        <f>IF(OR(D2639="",E2639=""),"",D2639*E2639)</f>
        <v/>
      </c>
      <c r="G2639" s="15" t="n"/>
    </row>
    <row r="2640">
      <c r="A2640" s="19" t="n"/>
      <c r="B2640" s="15" t="n"/>
      <c r="C2640">
        <f>IF(B2640="","",IFERROR(INDEX(Items!$B$5:$B$304,MATCH(B2640,Items!$A$5:$A$304,0)),"Unknown code"))</f>
        <v/>
      </c>
      <c r="D2640" s="15" t="n"/>
      <c r="E2640" s="16" t="n"/>
      <c r="F2640" s="18">
        <f>IF(OR(D2640="",E2640=""),"",D2640*E2640)</f>
        <v/>
      </c>
      <c r="G2640" s="15" t="n"/>
    </row>
    <row r="2641">
      <c r="A2641" s="19" t="n"/>
      <c r="B2641" s="15" t="n"/>
      <c r="C2641">
        <f>IF(B2641="","",IFERROR(INDEX(Items!$B$5:$B$304,MATCH(B2641,Items!$A$5:$A$304,0)),"Unknown code"))</f>
        <v/>
      </c>
      <c r="D2641" s="15" t="n"/>
      <c r="E2641" s="16" t="n"/>
      <c r="F2641" s="18">
        <f>IF(OR(D2641="",E2641=""),"",D2641*E2641)</f>
        <v/>
      </c>
      <c r="G2641" s="15" t="n"/>
    </row>
    <row r="2642">
      <c r="A2642" s="19" t="n"/>
      <c r="B2642" s="15" t="n"/>
      <c r="C2642">
        <f>IF(B2642="","",IFERROR(INDEX(Items!$B$5:$B$304,MATCH(B2642,Items!$A$5:$A$304,0)),"Unknown code"))</f>
        <v/>
      </c>
      <c r="D2642" s="15" t="n"/>
      <c r="E2642" s="16" t="n"/>
      <c r="F2642" s="18">
        <f>IF(OR(D2642="",E2642=""),"",D2642*E2642)</f>
        <v/>
      </c>
      <c r="G2642" s="15" t="n"/>
    </row>
    <row r="2643">
      <c r="A2643" s="19" t="n"/>
      <c r="B2643" s="15" t="n"/>
      <c r="C2643">
        <f>IF(B2643="","",IFERROR(INDEX(Items!$B$5:$B$304,MATCH(B2643,Items!$A$5:$A$304,0)),"Unknown code"))</f>
        <v/>
      </c>
      <c r="D2643" s="15" t="n"/>
      <c r="E2643" s="16" t="n"/>
      <c r="F2643" s="18">
        <f>IF(OR(D2643="",E2643=""),"",D2643*E2643)</f>
        <v/>
      </c>
      <c r="G2643" s="15" t="n"/>
    </row>
    <row r="2644">
      <c r="A2644" s="19" t="n"/>
      <c r="B2644" s="15" t="n"/>
      <c r="C2644">
        <f>IF(B2644="","",IFERROR(INDEX(Items!$B$5:$B$304,MATCH(B2644,Items!$A$5:$A$304,0)),"Unknown code"))</f>
        <v/>
      </c>
      <c r="D2644" s="15" t="n"/>
      <c r="E2644" s="16" t="n"/>
      <c r="F2644" s="18">
        <f>IF(OR(D2644="",E2644=""),"",D2644*E2644)</f>
        <v/>
      </c>
      <c r="G2644" s="15" t="n"/>
    </row>
    <row r="2645">
      <c r="A2645" s="19" t="n"/>
      <c r="B2645" s="15" t="n"/>
      <c r="C2645">
        <f>IF(B2645="","",IFERROR(INDEX(Items!$B$5:$B$304,MATCH(B2645,Items!$A$5:$A$304,0)),"Unknown code"))</f>
        <v/>
      </c>
      <c r="D2645" s="15" t="n"/>
      <c r="E2645" s="16" t="n"/>
      <c r="F2645" s="18">
        <f>IF(OR(D2645="",E2645=""),"",D2645*E2645)</f>
        <v/>
      </c>
      <c r="G2645" s="15" t="n"/>
    </row>
    <row r="2646">
      <c r="A2646" s="19" t="n"/>
      <c r="B2646" s="15" t="n"/>
      <c r="C2646">
        <f>IF(B2646="","",IFERROR(INDEX(Items!$B$5:$B$304,MATCH(B2646,Items!$A$5:$A$304,0)),"Unknown code"))</f>
        <v/>
      </c>
      <c r="D2646" s="15" t="n"/>
      <c r="E2646" s="16" t="n"/>
      <c r="F2646" s="18">
        <f>IF(OR(D2646="",E2646=""),"",D2646*E2646)</f>
        <v/>
      </c>
      <c r="G2646" s="15" t="n"/>
    </row>
    <row r="2647">
      <c r="A2647" s="19" t="n"/>
      <c r="B2647" s="15" t="n"/>
      <c r="C2647">
        <f>IF(B2647="","",IFERROR(INDEX(Items!$B$5:$B$304,MATCH(B2647,Items!$A$5:$A$304,0)),"Unknown code"))</f>
        <v/>
      </c>
      <c r="D2647" s="15" t="n"/>
      <c r="E2647" s="16" t="n"/>
      <c r="F2647" s="18">
        <f>IF(OR(D2647="",E2647=""),"",D2647*E2647)</f>
        <v/>
      </c>
      <c r="G2647" s="15" t="n"/>
    </row>
    <row r="2648">
      <c r="A2648" s="19" t="n"/>
      <c r="B2648" s="15" t="n"/>
      <c r="C2648">
        <f>IF(B2648="","",IFERROR(INDEX(Items!$B$5:$B$304,MATCH(B2648,Items!$A$5:$A$304,0)),"Unknown code"))</f>
        <v/>
      </c>
      <c r="D2648" s="15" t="n"/>
      <c r="E2648" s="16" t="n"/>
      <c r="F2648" s="18">
        <f>IF(OR(D2648="",E2648=""),"",D2648*E2648)</f>
        <v/>
      </c>
      <c r="G2648" s="15" t="n"/>
    </row>
    <row r="2649">
      <c r="A2649" s="19" t="n"/>
      <c r="B2649" s="15" t="n"/>
      <c r="C2649">
        <f>IF(B2649="","",IFERROR(INDEX(Items!$B$5:$B$304,MATCH(B2649,Items!$A$5:$A$304,0)),"Unknown code"))</f>
        <v/>
      </c>
      <c r="D2649" s="15" t="n"/>
      <c r="E2649" s="16" t="n"/>
      <c r="F2649" s="18">
        <f>IF(OR(D2649="",E2649=""),"",D2649*E2649)</f>
        <v/>
      </c>
      <c r="G2649" s="15" t="n"/>
    </row>
    <row r="2650">
      <c r="A2650" s="19" t="n"/>
      <c r="B2650" s="15" t="n"/>
      <c r="C2650">
        <f>IF(B2650="","",IFERROR(INDEX(Items!$B$5:$B$304,MATCH(B2650,Items!$A$5:$A$304,0)),"Unknown code"))</f>
        <v/>
      </c>
      <c r="D2650" s="15" t="n"/>
      <c r="E2650" s="16" t="n"/>
      <c r="F2650" s="18">
        <f>IF(OR(D2650="",E2650=""),"",D2650*E2650)</f>
        <v/>
      </c>
      <c r="G2650" s="15" t="n"/>
    </row>
    <row r="2651">
      <c r="A2651" s="19" t="n"/>
      <c r="B2651" s="15" t="n"/>
      <c r="C2651">
        <f>IF(B2651="","",IFERROR(INDEX(Items!$B$5:$B$304,MATCH(B2651,Items!$A$5:$A$304,0)),"Unknown code"))</f>
        <v/>
      </c>
      <c r="D2651" s="15" t="n"/>
      <c r="E2651" s="16" t="n"/>
      <c r="F2651" s="18">
        <f>IF(OR(D2651="",E2651=""),"",D2651*E2651)</f>
        <v/>
      </c>
      <c r="G2651" s="15" t="n"/>
    </row>
    <row r="2652">
      <c r="A2652" s="19" t="n"/>
      <c r="B2652" s="15" t="n"/>
      <c r="C2652">
        <f>IF(B2652="","",IFERROR(INDEX(Items!$B$5:$B$304,MATCH(B2652,Items!$A$5:$A$304,0)),"Unknown code"))</f>
        <v/>
      </c>
      <c r="D2652" s="15" t="n"/>
      <c r="E2652" s="16" t="n"/>
      <c r="F2652" s="18">
        <f>IF(OR(D2652="",E2652=""),"",D2652*E2652)</f>
        <v/>
      </c>
      <c r="G2652" s="15" t="n"/>
    </row>
    <row r="2653">
      <c r="A2653" s="19" t="n"/>
      <c r="B2653" s="15" t="n"/>
      <c r="C2653">
        <f>IF(B2653="","",IFERROR(INDEX(Items!$B$5:$B$304,MATCH(B2653,Items!$A$5:$A$304,0)),"Unknown code"))</f>
        <v/>
      </c>
      <c r="D2653" s="15" t="n"/>
      <c r="E2653" s="16" t="n"/>
      <c r="F2653" s="18">
        <f>IF(OR(D2653="",E2653=""),"",D2653*E2653)</f>
        <v/>
      </c>
      <c r="G2653" s="15" t="n"/>
    </row>
    <row r="2654">
      <c r="A2654" s="19" t="n"/>
      <c r="B2654" s="15" t="n"/>
      <c r="C2654">
        <f>IF(B2654="","",IFERROR(INDEX(Items!$B$5:$B$304,MATCH(B2654,Items!$A$5:$A$304,0)),"Unknown code"))</f>
        <v/>
      </c>
      <c r="D2654" s="15" t="n"/>
      <c r="E2654" s="16" t="n"/>
      <c r="F2654" s="18">
        <f>IF(OR(D2654="",E2654=""),"",D2654*E2654)</f>
        <v/>
      </c>
      <c r="G2654" s="15" t="n"/>
    </row>
    <row r="2655">
      <c r="A2655" s="19" t="n"/>
      <c r="B2655" s="15" t="n"/>
      <c r="C2655">
        <f>IF(B2655="","",IFERROR(INDEX(Items!$B$5:$B$304,MATCH(B2655,Items!$A$5:$A$304,0)),"Unknown code"))</f>
        <v/>
      </c>
      <c r="D2655" s="15" t="n"/>
      <c r="E2655" s="16" t="n"/>
      <c r="F2655" s="18">
        <f>IF(OR(D2655="",E2655=""),"",D2655*E2655)</f>
        <v/>
      </c>
      <c r="G2655" s="15" t="n"/>
    </row>
    <row r="2656">
      <c r="A2656" s="19" t="n"/>
      <c r="B2656" s="15" t="n"/>
      <c r="C2656">
        <f>IF(B2656="","",IFERROR(INDEX(Items!$B$5:$B$304,MATCH(B2656,Items!$A$5:$A$304,0)),"Unknown code"))</f>
        <v/>
      </c>
      <c r="D2656" s="15" t="n"/>
      <c r="E2656" s="16" t="n"/>
      <c r="F2656" s="18">
        <f>IF(OR(D2656="",E2656=""),"",D2656*E2656)</f>
        <v/>
      </c>
      <c r="G2656" s="15" t="n"/>
    </row>
    <row r="2657">
      <c r="A2657" s="19" t="n"/>
      <c r="B2657" s="15" t="n"/>
      <c r="C2657">
        <f>IF(B2657="","",IFERROR(INDEX(Items!$B$5:$B$304,MATCH(B2657,Items!$A$5:$A$304,0)),"Unknown code"))</f>
        <v/>
      </c>
      <c r="D2657" s="15" t="n"/>
      <c r="E2657" s="16" t="n"/>
      <c r="F2657" s="18">
        <f>IF(OR(D2657="",E2657=""),"",D2657*E2657)</f>
        <v/>
      </c>
      <c r="G2657" s="15" t="n"/>
    </row>
    <row r="2658">
      <c r="A2658" s="19" t="n"/>
      <c r="B2658" s="15" t="n"/>
      <c r="C2658">
        <f>IF(B2658="","",IFERROR(INDEX(Items!$B$5:$B$304,MATCH(B2658,Items!$A$5:$A$304,0)),"Unknown code"))</f>
        <v/>
      </c>
      <c r="D2658" s="15" t="n"/>
      <c r="E2658" s="16" t="n"/>
      <c r="F2658" s="18">
        <f>IF(OR(D2658="",E2658=""),"",D2658*E2658)</f>
        <v/>
      </c>
      <c r="G2658" s="15" t="n"/>
    </row>
    <row r="2659">
      <c r="A2659" s="19" t="n"/>
      <c r="B2659" s="15" t="n"/>
      <c r="C2659">
        <f>IF(B2659="","",IFERROR(INDEX(Items!$B$5:$B$304,MATCH(B2659,Items!$A$5:$A$304,0)),"Unknown code"))</f>
        <v/>
      </c>
      <c r="D2659" s="15" t="n"/>
      <c r="E2659" s="16" t="n"/>
      <c r="F2659" s="18">
        <f>IF(OR(D2659="",E2659=""),"",D2659*E2659)</f>
        <v/>
      </c>
      <c r="G2659" s="15" t="n"/>
    </row>
    <row r="2660">
      <c r="A2660" s="19" t="n"/>
      <c r="B2660" s="15" t="n"/>
      <c r="C2660">
        <f>IF(B2660="","",IFERROR(INDEX(Items!$B$5:$B$304,MATCH(B2660,Items!$A$5:$A$304,0)),"Unknown code"))</f>
        <v/>
      </c>
      <c r="D2660" s="15" t="n"/>
      <c r="E2660" s="16" t="n"/>
      <c r="F2660" s="18">
        <f>IF(OR(D2660="",E2660=""),"",D2660*E2660)</f>
        <v/>
      </c>
      <c r="G2660" s="15" t="n"/>
    </row>
    <row r="2661">
      <c r="A2661" s="19" t="n"/>
      <c r="B2661" s="15" t="n"/>
      <c r="C2661">
        <f>IF(B2661="","",IFERROR(INDEX(Items!$B$5:$B$304,MATCH(B2661,Items!$A$5:$A$304,0)),"Unknown code"))</f>
        <v/>
      </c>
      <c r="D2661" s="15" t="n"/>
      <c r="E2661" s="16" t="n"/>
      <c r="F2661" s="18">
        <f>IF(OR(D2661="",E2661=""),"",D2661*E2661)</f>
        <v/>
      </c>
      <c r="G2661" s="15" t="n"/>
    </row>
    <row r="2662">
      <c r="A2662" s="19" t="n"/>
      <c r="B2662" s="15" t="n"/>
      <c r="C2662">
        <f>IF(B2662="","",IFERROR(INDEX(Items!$B$5:$B$304,MATCH(B2662,Items!$A$5:$A$304,0)),"Unknown code"))</f>
        <v/>
      </c>
      <c r="D2662" s="15" t="n"/>
      <c r="E2662" s="16" t="n"/>
      <c r="F2662" s="18">
        <f>IF(OR(D2662="",E2662=""),"",D2662*E2662)</f>
        <v/>
      </c>
      <c r="G2662" s="15" t="n"/>
    </row>
    <row r="2663">
      <c r="A2663" s="19" t="n"/>
      <c r="B2663" s="15" t="n"/>
      <c r="C2663">
        <f>IF(B2663="","",IFERROR(INDEX(Items!$B$5:$B$304,MATCH(B2663,Items!$A$5:$A$304,0)),"Unknown code"))</f>
        <v/>
      </c>
      <c r="D2663" s="15" t="n"/>
      <c r="E2663" s="16" t="n"/>
      <c r="F2663" s="18">
        <f>IF(OR(D2663="",E2663=""),"",D2663*E2663)</f>
        <v/>
      </c>
      <c r="G2663" s="15" t="n"/>
    </row>
    <row r="2664">
      <c r="A2664" s="19" t="n"/>
      <c r="B2664" s="15" t="n"/>
      <c r="C2664">
        <f>IF(B2664="","",IFERROR(INDEX(Items!$B$5:$B$304,MATCH(B2664,Items!$A$5:$A$304,0)),"Unknown code"))</f>
        <v/>
      </c>
      <c r="D2664" s="15" t="n"/>
      <c r="E2664" s="16" t="n"/>
      <c r="F2664" s="18">
        <f>IF(OR(D2664="",E2664=""),"",D2664*E2664)</f>
        <v/>
      </c>
      <c r="G2664" s="15" t="n"/>
    </row>
    <row r="2665">
      <c r="A2665" s="19" t="n"/>
      <c r="B2665" s="15" t="n"/>
      <c r="C2665">
        <f>IF(B2665="","",IFERROR(INDEX(Items!$B$5:$B$304,MATCH(B2665,Items!$A$5:$A$304,0)),"Unknown code"))</f>
        <v/>
      </c>
      <c r="D2665" s="15" t="n"/>
      <c r="E2665" s="16" t="n"/>
      <c r="F2665" s="18">
        <f>IF(OR(D2665="",E2665=""),"",D2665*E2665)</f>
        <v/>
      </c>
      <c r="G2665" s="15" t="n"/>
    </row>
    <row r="2666">
      <c r="A2666" s="19" t="n"/>
      <c r="B2666" s="15" t="n"/>
      <c r="C2666">
        <f>IF(B2666="","",IFERROR(INDEX(Items!$B$5:$B$304,MATCH(B2666,Items!$A$5:$A$304,0)),"Unknown code"))</f>
        <v/>
      </c>
      <c r="D2666" s="15" t="n"/>
      <c r="E2666" s="16" t="n"/>
      <c r="F2666" s="18">
        <f>IF(OR(D2666="",E2666=""),"",D2666*E2666)</f>
        <v/>
      </c>
      <c r="G2666" s="15" t="n"/>
    </row>
    <row r="2667">
      <c r="A2667" s="19" t="n"/>
      <c r="B2667" s="15" t="n"/>
      <c r="C2667">
        <f>IF(B2667="","",IFERROR(INDEX(Items!$B$5:$B$304,MATCH(B2667,Items!$A$5:$A$304,0)),"Unknown code"))</f>
        <v/>
      </c>
      <c r="D2667" s="15" t="n"/>
      <c r="E2667" s="16" t="n"/>
      <c r="F2667" s="18">
        <f>IF(OR(D2667="",E2667=""),"",D2667*E2667)</f>
        <v/>
      </c>
      <c r="G2667" s="15" t="n"/>
    </row>
    <row r="2668">
      <c r="A2668" s="19" t="n"/>
      <c r="B2668" s="15" t="n"/>
      <c r="C2668">
        <f>IF(B2668="","",IFERROR(INDEX(Items!$B$5:$B$304,MATCH(B2668,Items!$A$5:$A$304,0)),"Unknown code"))</f>
        <v/>
      </c>
      <c r="D2668" s="15" t="n"/>
      <c r="E2668" s="16" t="n"/>
      <c r="F2668" s="18">
        <f>IF(OR(D2668="",E2668=""),"",D2668*E2668)</f>
        <v/>
      </c>
      <c r="G2668" s="15" t="n"/>
    </row>
    <row r="2669">
      <c r="A2669" s="19" t="n"/>
      <c r="B2669" s="15" t="n"/>
      <c r="C2669">
        <f>IF(B2669="","",IFERROR(INDEX(Items!$B$5:$B$304,MATCH(B2669,Items!$A$5:$A$304,0)),"Unknown code"))</f>
        <v/>
      </c>
      <c r="D2669" s="15" t="n"/>
      <c r="E2669" s="16" t="n"/>
      <c r="F2669" s="18">
        <f>IF(OR(D2669="",E2669=""),"",D2669*E2669)</f>
        <v/>
      </c>
      <c r="G2669" s="15" t="n"/>
    </row>
    <row r="2670">
      <c r="A2670" s="19" t="n"/>
      <c r="B2670" s="15" t="n"/>
      <c r="C2670">
        <f>IF(B2670="","",IFERROR(INDEX(Items!$B$5:$B$304,MATCH(B2670,Items!$A$5:$A$304,0)),"Unknown code"))</f>
        <v/>
      </c>
      <c r="D2670" s="15" t="n"/>
      <c r="E2670" s="16" t="n"/>
      <c r="F2670" s="18">
        <f>IF(OR(D2670="",E2670=""),"",D2670*E2670)</f>
        <v/>
      </c>
      <c r="G2670" s="15" t="n"/>
    </row>
    <row r="2671">
      <c r="A2671" s="19" t="n"/>
      <c r="B2671" s="15" t="n"/>
      <c r="C2671">
        <f>IF(B2671="","",IFERROR(INDEX(Items!$B$5:$B$304,MATCH(B2671,Items!$A$5:$A$304,0)),"Unknown code"))</f>
        <v/>
      </c>
      <c r="D2671" s="15" t="n"/>
      <c r="E2671" s="16" t="n"/>
      <c r="F2671" s="18">
        <f>IF(OR(D2671="",E2671=""),"",D2671*E2671)</f>
        <v/>
      </c>
      <c r="G2671" s="15" t="n"/>
    </row>
    <row r="2672">
      <c r="A2672" s="19" t="n"/>
      <c r="B2672" s="15" t="n"/>
      <c r="C2672">
        <f>IF(B2672="","",IFERROR(INDEX(Items!$B$5:$B$304,MATCH(B2672,Items!$A$5:$A$304,0)),"Unknown code"))</f>
        <v/>
      </c>
      <c r="D2672" s="15" t="n"/>
      <c r="E2672" s="16" t="n"/>
      <c r="F2672" s="18">
        <f>IF(OR(D2672="",E2672=""),"",D2672*E2672)</f>
        <v/>
      </c>
      <c r="G2672" s="15" t="n"/>
    </row>
    <row r="2673">
      <c r="A2673" s="19" t="n"/>
      <c r="B2673" s="15" t="n"/>
      <c r="C2673">
        <f>IF(B2673="","",IFERROR(INDEX(Items!$B$5:$B$304,MATCH(B2673,Items!$A$5:$A$304,0)),"Unknown code"))</f>
        <v/>
      </c>
      <c r="D2673" s="15" t="n"/>
      <c r="E2673" s="16" t="n"/>
      <c r="F2673" s="18">
        <f>IF(OR(D2673="",E2673=""),"",D2673*E2673)</f>
        <v/>
      </c>
      <c r="G2673" s="15" t="n"/>
    </row>
    <row r="2674">
      <c r="A2674" s="19" t="n"/>
      <c r="B2674" s="15" t="n"/>
      <c r="C2674">
        <f>IF(B2674="","",IFERROR(INDEX(Items!$B$5:$B$304,MATCH(B2674,Items!$A$5:$A$304,0)),"Unknown code"))</f>
        <v/>
      </c>
      <c r="D2674" s="15" t="n"/>
      <c r="E2674" s="16" t="n"/>
      <c r="F2674" s="18">
        <f>IF(OR(D2674="",E2674=""),"",D2674*E2674)</f>
        <v/>
      </c>
      <c r="G2674" s="15" t="n"/>
    </row>
    <row r="2675">
      <c r="A2675" s="19" t="n"/>
      <c r="B2675" s="15" t="n"/>
      <c r="C2675">
        <f>IF(B2675="","",IFERROR(INDEX(Items!$B$5:$B$304,MATCH(B2675,Items!$A$5:$A$304,0)),"Unknown code"))</f>
        <v/>
      </c>
      <c r="D2675" s="15" t="n"/>
      <c r="E2675" s="16" t="n"/>
      <c r="F2675" s="18">
        <f>IF(OR(D2675="",E2675=""),"",D2675*E2675)</f>
        <v/>
      </c>
      <c r="G2675" s="15" t="n"/>
    </row>
    <row r="2676">
      <c r="A2676" s="19" t="n"/>
      <c r="B2676" s="15" t="n"/>
      <c r="C2676">
        <f>IF(B2676="","",IFERROR(INDEX(Items!$B$5:$B$304,MATCH(B2676,Items!$A$5:$A$304,0)),"Unknown code"))</f>
        <v/>
      </c>
      <c r="D2676" s="15" t="n"/>
      <c r="E2676" s="16" t="n"/>
      <c r="F2676" s="18">
        <f>IF(OR(D2676="",E2676=""),"",D2676*E2676)</f>
        <v/>
      </c>
      <c r="G2676" s="15" t="n"/>
    </row>
    <row r="2677">
      <c r="A2677" s="19" t="n"/>
      <c r="B2677" s="15" t="n"/>
      <c r="C2677">
        <f>IF(B2677="","",IFERROR(INDEX(Items!$B$5:$B$304,MATCH(B2677,Items!$A$5:$A$304,0)),"Unknown code"))</f>
        <v/>
      </c>
      <c r="D2677" s="15" t="n"/>
      <c r="E2677" s="16" t="n"/>
      <c r="F2677" s="18">
        <f>IF(OR(D2677="",E2677=""),"",D2677*E2677)</f>
        <v/>
      </c>
      <c r="G2677" s="15" t="n"/>
    </row>
    <row r="2678">
      <c r="A2678" s="19" t="n"/>
      <c r="B2678" s="15" t="n"/>
      <c r="C2678">
        <f>IF(B2678="","",IFERROR(INDEX(Items!$B$5:$B$304,MATCH(B2678,Items!$A$5:$A$304,0)),"Unknown code"))</f>
        <v/>
      </c>
      <c r="D2678" s="15" t="n"/>
      <c r="E2678" s="16" t="n"/>
      <c r="F2678" s="18">
        <f>IF(OR(D2678="",E2678=""),"",D2678*E2678)</f>
        <v/>
      </c>
      <c r="G2678" s="15" t="n"/>
    </row>
    <row r="2679">
      <c r="A2679" s="19" t="n"/>
      <c r="B2679" s="15" t="n"/>
      <c r="C2679">
        <f>IF(B2679="","",IFERROR(INDEX(Items!$B$5:$B$304,MATCH(B2679,Items!$A$5:$A$304,0)),"Unknown code"))</f>
        <v/>
      </c>
      <c r="D2679" s="15" t="n"/>
      <c r="E2679" s="16" t="n"/>
      <c r="F2679" s="18">
        <f>IF(OR(D2679="",E2679=""),"",D2679*E2679)</f>
        <v/>
      </c>
      <c r="G2679" s="15" t="n"/>
    </row>
    <row r="2680">
      <c r="A2680" s="19" t="n"/>
      <c r="B2680" s="15" t="n"/>
      <c r="C2680">
        <f>IF(B2680="","",IFERROR(INDEX(Items!$B$5:$B$304,MATCH(B2680,Items!$A$5:$A$304,0)),"Unknown code"))</f>
        <v/>
      </c>
      <c r="D2680" s="15" t="n"/>
      <c r="E2680" s="16" t="n"/>
      <c r="F2680" s="18">
        <f>IF(OR(D2680="",E2680=""),"",D2680*E2680)</f>
        <v/>
      </c>
      <c r="G2680" s="15" t="n"/>
    </row>
    <row r="2681">
      <c r="A2681" s="19" t="n"/>
      <c r="B2681" s="15" t="n"/>
      <c r="C2681">
        <f>IF(B2681="","",IFERROR(INDEX(Items!$B$5:$B$304,MATCH(B2681,Items!$A$5:$A$304,0)),"Unknown code"))</f>
        <v/>
      </c>
      <c r="D2681" s="15" t="n"/>
      <c r="E2681" s="16" t="n"/>
      <c r="F2681" s="18">
        <f>IF(OR(D2681="",E2681=""),"",D2681*E2681)</f>
        <v/>
      </c>
      <c r="G2681" s="15" t="n"/>
    </row>
    <row r="2682">
      <c r="A2682" s="19" t="n"/>
      <c r="B2682" s="15" t="n"/>
      <c r="C2682">
        <f>IF(B2682="","",IFERROR(INDEX(Items!$B$5:$B$304,MATCH(B2682,Items!$A$5:$A$304,0)),"Unknown code"))</f>
        <v/>
      </c>
      <c r="D2682" s="15" t="n"/>
      <c r="E2682" s="16" t="n"/>
      <c r="F2682" s="18">
        <f>IF(OR(D2682="",E2682=""),"",D2682*E2682)</f>
        <v/>
      </c>
      <c r="G2682" s="15" t="n"/>
    </row>
    <row r="2683">
      <c r="A2683" s="19" t="n"/>
      <c r="B2683" s="15" t="n"/>
      <c r="C2683">
        <f>IF(B2683="","",IFERROR(INDEX(Items!$B$5:$B$304,MATCH(B2683,Items!$A$5:$A$304,0)),"Unknown code"))</f>
        <v/>
      </c>
      <c r="D2683" s="15" t="n"/>
      <c r="E2683" s="16" t="n"/>
      <c r="F2683" s="18">
        <f>IF(OR(D2683="",E2683=""),"",D2683*E2683)</f>
        <v/>
      </c>
      <c r="G2683" s="15" t="n"/>
    </row>
    <row r="2684">
      <c r="A2684" s="19" t="n"/>
      <c r="B2684" s="15" t="n"/>
      <c r="C2684">
        <f>IF(B2684="","",IFERROR(INDEX(Items!$B$5:$B$304,MATCH(B2684,Items!$A$5:$A$304,0)),"Unknown code"))</f>
        <v/>
      </c>
      <c r="D2684" s="15" t="n"/>
      <c r="E2684" s="16" t="n"/>
      <c r="F2684" s="18">
        <f>IF(OR(D2684="",E2684=""),"",D2684*E2684)</f>
        <v/>
      </c>
      <c r="G2684" s="15" t="n"/>
    </row>
    <row r="2685">
      <c r="A2685" s="19" t="n"/>
      <c r="B2685" s="15" t="n"/>
      <c r="C2685">
        <f>IF(B2685="","",IFERROR(INDEX(Items!$B$5:$B$304,MATCH(B2685,Items!$A$5:$A$304,0)),"Unknown code"))</f>
        <v/>
      </c>
      <c r="D2685" s="15" t="n"/>
      <c r="E2685" s="16" t="n"/>
      <c r="F2685" s="18">
        <f>IF(OR(D2685="",E2685=""),"",D2685*E2685)</f>
        <v/>
      </c>
      <c r="G2685" s="15" t="n"/>
    </row>
    <row r="2686">
      <c r="A2686" s="19" t="n"/>
      <c r="B2686" s="15" t="n"/>
      <c r="C2686">
        <f>IF(B2686="","",IFERROR(INDEX(Items!$B$5:$B$304,MATCH(B2686,Items!$A$5:$A$304,0)),"Unknown code"))</f>
        <v/>
      </c>
      <c r="D2686" s="15" t="n"/>
      <c r="E2686" s="16" t="n"/>
      <c r="F2686" s="18">
        <f>IF(OR(D2686="",E2686=""),"",D2686*E2686)</f>
        <v/>
      </c>
      <c r="G2686" s="15" t="n"/>
    </row>
    <row r="2687">
      <c r="A2687" s="19" t="n"/>
      <c r="B2687" s="15" t="n"/>
      <c r="C2687">
        <f>IF(B2687="","",IFERROR(INDEX(Items!$B$5:$B$304,MATCH(B2687,Items!$A$5:$A$304,0)),"Unknown code"))</f>
        <v/>
      </c>
      <c r="D2687" s="15" t="n"/>
      <c r="E2687" s="16" t="n"/>
      <c r="F2687" s="18">
        <f>IF(OR(D2687="",E2687=""),"",D2687*E2687)</f>
        <v/>
      </c>
      <c r="G2687" s="15" t="n"/>
    </row>
    <row r="2688">
      <c r="A2688" s="19" t="n"/>
      <c r="B2688" s="15" t="n"/>
      <c r="C2688">
        <f>IF(B2688="","",IFERROR(INDEX(Items!$B$5:$B$304,MATCH(B2688,Items!$A$5:$A$304,0)),"Unknown code"))</f>
        <v/>
      </c>
      <c r="D2688" s="15" t="n"/>
      <c r="E2688" s="16" t="n"/>
      <c r="F2688" s="18">
        <f>IF(OR(D2688="",E2688=""),"",D2688*E2688)</f>
        <v/>
      </c>
      <c r="G2688" s="15" t="n"/>
    </row>
    <row r="2689">
      <c r="A2689" s="19" t="n"/>
      <c r="B2689" s="15" t="n"/>
      <c r="C2689">
        <f>IF(B2689="","",IFERROR(INDEX(Items!$B$5:$B$304,MATCH(B2689,Items!$A$5:$A$304,0)),"Unknown code"))</f>
        <v/>
      </c>
      <c r="D2689" s="15" t="n"/>
      <c r="E2689" s="16" t="n"/>
      <c r="F2689" s="18">
        <f>IF(OR(D2689="",E2689=""),"",D2689*E2689)</f>
        <v/>
      </c>
      <c r="G2689" s="15" t="n"/>
    </row>
    <row r="2690">
      <c r="A2690" s="19" t="n"/>
      <c r="B2690" s="15" t="n"/>
      <c r="C2690">
        <f>IF(B2690="","",IFERROR(INDEX(Items!$B$5:$B$304,MATCH(B2690,Items!$A$5:$A$304,0)),"Unknown code"))</f>
        <v/>
      </c>
      <c r="D2690" s="15" t="n"/>
      <c r="E2690" s="16" t="n"/>
      <c r="F2690" s="18">
        <f>IF(OR(D2690="",E2690=""),"",D2690*E2690)</f>
        <v/>
      </c>
      <c r="G2690" s="15" t="n"/>
    </row>
    <row r="2691">
      <c r="A2691" s="19" t="n"/>
      <c r="B2691" s="15" t="n"/>
      <c r="C2691">
        <f>IF(B2691="","",IFERROR(INDEX(Items!$B$5:$B$304,MATCH(B2691,Items!$A$5:$A$304,0)),"Unknown code"))</f>
        <v/>
      </c>
      <c r="D2691" s="15" t="n"/>
      <c r="E2691" s="16" t="n"/>
      <c r="F2691" s="18">
        <f>IF(OR(D2691="",E2691=""),"",D2691*E2691)</f>
        <v/>
      </c>
      <c r="G2691" s="15" t="n"/>
    </row>
    <row r="2692">
      <c r="A2692" s="19" t="n"/>
      <c r="B2692" s="15" t="n"/>
      <c r="C2692">
        <f>IF(B2692="","",IFERROR(INDEX(Items!$B$5:$B$304,MATCH(B2692,Items!$A$5:$A$304,0)),"Unknown code"))</f>
        <v/>
      </c>
      <c r="D2692" s="15" t="n"/>
      <c r="E2692" s="16" t="n"/>
      <c r="F2692" s="18">
        <f>IF(OR(D2692="",E2692=""),"",D2692*E2692)</f>
        <v/>
      </c>
      <c r="G2692" s="15" t="n"/>
    </row>
    <row r="2693">
      <c r="A2693" s="19" t="n"/>
      <c r="B2693" s="15" t="n"/>
      <c r="C2693">
        <f>IF(B2693="","",IFERROR(INDEX(Items!$B$5:$B$304,MATCH(B2693,Items!$A$5:$A$304,0)),"Unknown code"))</f>
        <v/>
      </c>
      <c r="D2693" s="15" t="n"/>
      <c r="E2693" s="16" t="n"/>
      <c r="F2693" s="18">
        <f>IF(OR(D2693="",E2693=""),"",D2693*E2693)</f>
        <v/>
      </c>
      <c r="G2693" s="15" t="n"/>
    </row>
    <row r="2694">
      <c r="A2694" s="19" t="n"/>
      <c r="B2694" s="15" t="n"/>
      <c r="C2694">
        <f>IF(B2694="","",IFERROR(INDEX(Items!$B$5:$B$304,MATCH(B2694,Items!$A$5:$A$304,0)),"Unknown code"))</f>
        <v/>
      </c>
      <c r="D2694" s="15" t="n"/>
      <c r="E2694" s="16" t="n"/>
      <c r="F2694" s="18">
        <f>IF(OR(D2694="",E2694=""),"",D2694*E2694)</f>
        <v/>
      </c>
      <c r="G2694" s="15" t="n"/>
    </row>
    <row r="2695">
      <c r="A2695" s="19" t="n"/>
      <c r="B2695" s="15" t="n"/>
      <c r="C2695">
        <f>IF(B2695="","",IFERROR(INDEX(Items!$B$5:$B$304,MATCH(B2695,Items!$A$5:$A$304,0)),"Unknown code"))</f>
        <v/>
      </c>
      <c r="D2695" s="15" t="n"/>
      <c r="E2695" s="16" t="n"/>
      <c r="F2695" s="18">
        <f>IF(OR(D2695="",E2695=""),"",D2695*E2695)</f>
        <v/>
      </c>
      <c r="G2695" s="15" t="n"/>
    </row>
    <row r="2696">
      <c r="A2696" s="19" t="n"/>
      <c r="B2696" s="15" t="n"/>
      <c r="C2696">
        <f>IF(B2696="","",IFERROR(INDEX(Items!$B$5:$B$304,MATCH(B2696,Items!$A$5:$A$304,0)),"Unknown code"))</f>
        <v/>
      </c>
      <c r="D2696" s="15" t="n"/>
      <c r="E2696" s="16" t="n"/>
      <c r="F2696" s="18">
        <f>IF(OR(D2696="",E2696=""),"",D2696*E2696)</f>
        <v/>
      </c>
      <c r="G2696" s="15" t="n"/>
    </row>
    <row r="2697">
      <c r="A2697" s="19" t="n"/>
      <c r="B2697" s="15" t="n"/>
      <c r="C2697">
        <f>IF(B2697="","",IFERROR(INDEX(Items!$B$5:$B$304,MATCH(B2697,Items!$A$5:$A$304,0)),"Unknown code"))</f>
        <v/>
      </c>
      <c r="D2697" s="15" t="n"/>
      <c r="E2697" s="16" t="n"/>
      <c r="F2697" s="18">
        <f>IF(OR(D2697="",E2697=""),"",D2697*E2697)</f>
        <v/>
      </c>
      <c r="G2697" s="15" t="n"/>
    </row>
    <row r="2698">
      <c r="A2698" s="19" t="n"/>
      <c r="B2698" s="15" t="n"/>
      <c r="C2698">
        <f>IF(B2698="","",IFERROR(INDEX(Items!$B$5:$B$304,MATCH(B2698,Items!$A$5:$A$304,0)),"Unknown code"))</f>
        <v/>
      </c>
      <c r="D2698" s="15" t="n"/>
      <c r="E2698" s="16" t="n"/>
      <c r="F2698" s="18">
        <f>IF(OR(D2698="",E2698=""),"",D2698*E2698)</f>
        <v/>
      </c>
      <c r="G2698" s="15" t="n"/>
    </row>
    <row r="2699">
      <c r="A2699" s="19" t="n"/>
      <c r="B2699" s="15" t="n"/>
      <c r="C2699">
        <f>IF(B2699="","",IFERROR(INDEX(Items!$B$5:$B$304,MATCH(B2699,Items!$A$5:$A$304,0)),"Unknown code"))</f>
        <v/>
      </c>
      <c r="D2699" s="15" t="n"/>
      <c r="E2699" s="16" t="n"/>
      <c r="F2699" s="18">
        <f>IF(OR(D2699="",E2699=""),"",D2699*E2699)</f>
        <v/>
      </c>
      <c r="G2699" s="15" t="n"/>
    </row>
    <row r="2700">
      <c r="A2700" s="19" t="n"/>
      <c r="B2700" s="15" t="n"/>
      <c r="C2700">
        <f>IF(B2700="","",IFERROR(INDEX(Items!$B$5:$B$304,MATCH(B2700,Items!$A$5:$A$304,0)),"Unknown code"))</f>
        <v/>
      </c>
      <c r="D2700" s="15" t="n"/>
      <c r="E2700" s="16" t="n"/>
      <c r="F2700" s="18">
        <f>IF(OR(D2700="",E2700=""),"",D2700*E2700)</f>
        <v/>
      </c>
      <c r="G2700" s="15" t="n"/>
    </row>
    <row r="2701">
      <c r="A2701" s="19" t="n"/>
      <c r="B2701" s="15" t="n"/>
      <c r="C2701">
        <f>IF(B2701="","",IFERROR(INDEX(Items!$B$5:$B$304,MATCH(B2701,Items!$A$5:$A$304,0)),"Unknown code"))</f>
        <v/>
      </c>
      <c r="D2701" s="15" t="n"/>
      <c r="E2701" s="16" t="n"/>
      <c r="F2701" s="18">
        <f>IF(OR(D2701="",E2701=""),"",D2701*E2701)</f>
        <v/>
      </c>
      <c r="G2701" s="15" t="n"/>
    </row>
    <row r="2702">
      <c r="A2702" s="19" t="n"/>
      <c r="B2702" s="15" t="n"/>
      <c r="C2702">
        <f>IF(B2702="","",IFERROR(INDEX(Items!$B$5:$B$304,MATCH(B2702,Items!$A$5:$A$304,0)),"Unknown code"))</f>
        <v/>
      </c>
      <c r="D2702" s="15" t="n"/>
      <c r="E2702" s="16" t="n"/>
      <c r="F2702" s="18">
        <f>IF(OR(D2702="",E2702=""),"",D2702*E2702)</f>
        <v/>
      </c>
      <c r="G2702" s="15" t="n"/>
    </row>
    <row r="2703">
      <c r="A2703" s="19" t="n"/>
      <c r="B2703" s="15" t="n"/>
      <c r="C2703">
        <f>IF(B2703="","",IFERROR(INDEX(Items!$B$5:$B$304,MATCH(B2703,Items!$A$5:$A$304,0)),"Unknown code"))</f>
        <v/>
      </c>
      <c r="D2703" s="15" t="n"/>
      <c r="E2703" s="16" t="n"/>
      <c r="F2703" s="18">
        <f>IF(OR(D2703="",E2703=""),"",D2703*E2703)</f>
        <v/>
      </c>
      <c r="G2703" s="15" t="n"/>
    </row>
    <row r="2704">
      <c r="A2704" s="19" t="n"/>
      <c r="B2704" s="15" t="n"/>
      <c r="C2704">
        <f>IF(B2704="","",IFERROR(INDEX(Items!$B$5:$B$304,MATCH(B2704,Items!$A$5:$A$304,0)),"Unknown code"))</f>
        <v/>
      </c>
      <c r="D2704" s="15" t="n"/>
      <c r="E2704" s="16" t="n"/>
      <c r="F2704" s="18">
        <f>IF(OR(D2704="",E2704=""),"",D2704*E2704)</f>
        <v/>
      </c>
      <c r="G2704" s="15" t="n"/>
    </row>
    <row r="2705">
      <c r="A2705" s="19" t="n"/>
      <c r="B2705" s="15" t="n"/>
      <c r="C2705">
        <f>IF(B2705="","",IFERROR(INDEX(Items!$B$5:$B$304,MATCH(B2705,Items!$A$5:$A$304,0)),"Unknown code"))</f>
        <v/>
      </c>
      <c r="D2705" s="15" t="n"/>
      <c r="E2705" s="16" t="n"/>
      <c r="F2705" s="18">
        <f>IF(OR(D2705="",E2705=""),"",D2705*E2705)</f>
        <v/>
      </c>
      <c r="G2705" s="15" t="n"/>
    </row>
    <row r="2706">
      <c r="A2706" s="19" t="n"/>
      <c r="B2706" s="15" t="n"/>
      <c r="C2706">
        <f>IF(B2706="","",IFERROR(INDEX(Items!$B$5:$B$304,MATCH(B2706,Items!$A$5:$A$304,0)),"Unknown code"))</f>
        <v/>
      </c>
      <c r="D2706" s="15" t="n"/>
      <c r="E2706" s="16" t="n"/>
      <c r="F2706" s="18">
        <f>IF(OR(D2706="",E2706=""),"",D2706*E2706)</f>
        <v/>
      </c>
      <c r="G2706" s="15" t="n"/>
    </row>
    <row r="2707">
      <c r="A2707" s="19" t="n"/>
      <c r="B2707" s="15" t="n"/>
      <c r="C2707">
        <f>IF(B2707="","",IFERROR(INDEX(Items!$B$5:$B$304,MATCH(B2707,Items!$A$5:$A$304,0)),"Unknown code"))</f>
        <v/>
      </c>
      <c r="D2707" s="15" t="n"/>
      <c r="E2707" s="16" t="n"/>
      <c r="F2707" s="18">
        <f>IF(OR(D2707="",E2707=""),"",D2707*E2707)</f>
        <v/>
      </c>
      <c r="G2707" s="15" t="n"/>
    </row>
    <row r="2708">
      <c r="A2708" s="19" t="n"/>
      <c r="B2708" s="15" t="n"/>
      <c r="C2708">
        <f>IF(B2708="","",IFERROR(INDEX(Items!$B$5:$B$304,MATCH(B2708,Items!$A$5:$A$304,0)),"Unknown code"))</f>
        <v/>
      </c>
      <c r="D2708" s="15" t="n"/>
      <c r="E2708" s="16" t="n"/>
      <c r="F2708" s="18">
        <f>IF(OR(D2708="",E2708=""),"",D2708*E2708)</f>
        <v/>
      </c>
      <c r="G2708" s="15" t="n"/>
    </row>
    <row r="2709">
      <c r="A2709" s="19" t="n"/>
      <c r="B2709" s="15" t="n"/>
      <c r="C2709">
        <f>IF(B2709="","",IFERROR(INDEX(Items!$B$5:$B$304,MATCH(B2709,Items!$A$5:$A$304,0)),"Unknown code"))</f>
        <v/>
      </c>
      <c r="D2709" s="15" t="n"/>
      <c r="E2709" s="16" t="n"/>
      <c r="F2709" s="18">
        <f>IF(OR(D2709="",E2709=""),"",D2709*E2709)</f>
        <v/>
      </c>
      <c r="G2709" s="15" t="n"/>
    </row>
    <row r="2710">
      <c r="A2710" s="19" t="n"/>
      <c r="B2710" s="15" t="n"/>
      <c r="C2710">
        <f>IF(B2710="","",IFERROR(INDEX(Items!$B$5:$B$304,MATCH(B2710,Items!$A$5:$A$304,0)),"Unknown code"))</f>
        <v/>
      </c>
      <c r="D2710" s="15" t="n"/>
      <c r="E2710" s="16" t="n"/>
      <c r="F2710" s="18">
        <f>IF(OR(D2710="",E2710=""),"",D2710*E2710)</f>
        <v/>
      </c>
      <c r="G2710" s="15" t="n"/>
    </row>
    <row r="2711">
      <c r="A2711" s="19" t="n"/>
      <c r="B2711" s="15" t="n"/>
      <c r="C2711">
        <f>IF(B2711="","",IFERROR(INDEX(Items!$B$5:$B$304,MATCH(B2711,Items!$A$5:$A$304,0)),"Unknown code"))</f>
        <v/>
      </c>
      <c r="D2711" s="15" t="n"/>
      <c r="E2711" s="16" t="n"/>
      <c r="F2711" s="18">
        <f>IF(OR(D2711="",E2711=""),"",D2711*E2711)</f>
        <v/>
      </c>
      <c r="G2711" s="15" t="n"/>
    </row>
    <row r="2712">
      <c r="A2712" s="19" t="n"/>
      <c r="B2712" s="15" t="n"/>
      <c r="C2712">
        <f>IF(B2712="","",IFERROR(INDEX(Items!$B$5:$B$304,MATCH(B2712,Items!$A$5:$A$304,0)),"Unknown code"))</f>
        <v/>
      </c>
      <c r="D2712" s="15" t="n"/>
      <c r="E2712" s="16" t="n"/>
      <c r="F2712" s="18">
        <f>IF(OR(D2712="",E2712=""),"",D2712*E2712)</f>
        <v/>
      </c>
      <c r="G2712" s="15" t="n"/>
    </row>
    <row r="2713">
      <c r="A2713" s="19" t="n"/>
      <c r="B2713" s="15" t="n"/>
      <c r="C2713">
        <f>IF(B2713="","",IFERROR(INDEX(Items!$B$5:$B$304,MATCH(B2713,Items!$A$5:$A$304,0)),"Unknown code"))</f>
        <v/>
      </c>
      <c r="D2713" s="15" t="n"/>
      <c r="E2713" s="16" t="n"/>
      <c r="F2713" s="18">
        <f>IF(OR(D2713="",E2713=""),"",D2713*E2713)</f>
        <v/>
      </c>
      <c r="G2713" s="15" t="n"/>
    </row>
    <row r="2714">
      <c r="A2714" s="19" t="n"/>
      <c r="B2714" s="15" t="n"/>
      <c r="C2714">
        <f>IF(B2714="","",IFERROR(INDEX(Items!$B$5:$B$304,MATCH(B2714,Items!$A$5:$A$304,0)),"Unknown code"))</f>
        <v/>
      </c>
      <c r="D2714" s="15" t="n"/>
      <c r="E2714" s="16" t="n"/>
      <c r="F2714" s="18">
        <f>IF(OR(D2714="",E2714=""),"",D2714*E2714)</f>
        <v/>
      </c>
      <c r="G2714" s="15" t="n"/>
    </row>
    <row r="2715">
      <c r="A2715" s="19" t="n"/>
      <c r="B2715" s="15" t="n"/>
      <c r="C2715">
        <f>IF(B2715="","",IFERROR(INDEX(Items!$B$5:$B$304,MATCH(B2715,Items!$A$5:$A$304,0)),"Unknown code"))</f>
        <v/>
      </c>
      <c r="D2715" s="15" t="n"/>
      <c r="E2715" s="16" t="n"/>
      <c r="F2715" s="18">
        <f>IF(OR(D2715="",E2715=""),"",D2715*E2715)</f>
        <v/>
      </c>
      <c r="G2715" s="15" t="n"/>
    </row>
    <row r="2716">
      <c r="A2716" s="19" t="n"/>
      <c r="B2716" s="15" t="n"/>
      <c r="C2716">
        <f>IF(B2716="","",IFERROR(INDEX(Items!$B$5:$B$304,MATCH(B2716,Items!$A$5:$A$304,0)),"Unknown code"))</f>
        <v/>
      </c>
      <c r="D2716" s="15" t="n"/>
      <c r="E2716" s="16" t="n"/>
      <c r="F2716" s="18">
        <f>IF(OR(D2716="",E2716=""),"",D2716*E2716)</f>
        <v/>
      </c>
      <c r="G2716" s="15" t="n"/>
    </row>
    <row r="2717">
      <c r="A2717" s="19" t="n"/>
      <c r="B2717" s="15" t="n"/>
      <c r="C2717">
        <f>IF(B2717="","",IFERROR(INDEX(Items!$B$5:$B$304,MATCH(B2717,Items!$A$5:$A$304,0)),"Unknown code"))</f>
        <v/>
      </c>
      <c r="D2717" s="15" t="n"/>
      <c r="E2717" s="16" t="n"/>
      <c r="F2717" s="18">
        <f>IF(OR(D2717="",E2717=""),"",D2717*E2717)</f>
        <v/>
      </c>
      <c r="G2717" s="15" t="n"/>
    </row>
    <row r="2718">
      <c r="A2718" s="19" t="n"/>
      <c r="B2718" s="15" t="n"/>
      <c r="C2718">
        <f>IF(B2718="","",IFERROR(INDEX(Items!$B$5:$B$304,MATCH(B2718,Items!$A$5:$A$304,0)),"Unknown code"))</f>
        <v/>
      </c>
      <c r="D2718" s="15" t="n"/>
      <c r="E2718" s="16" t="n"/>
      <c r="F2718" s="18">
        <f>IF(OR(D2718="",E2718=""),"",D2718*E2718)</f>
        <v/>
      </c>
      <c r="G2718" s="15" t="n"/>
    </row>
    <row r="2719">
      <c r="A2719" s="19" t="n"/>
      <c r="B2719" s="15" t="n"/>
      <c r="C2719">
        <f>IF(B2719="","",IFERROR(INDEX(Items!$B$5:$B$304,MATCH(B2719,Items!$A$5:$A$304,0)),"Unknown code"))</f>
        <v/>
      </c>
      <c r="D2719" s="15" t="n"/>
      <c r="E2719" s="16" t="n"/>
      <c r="F2719" s="18">
        <f>IF(OR(D2719="",E2719=""),"",D2719*E2719)</f>
        <v/>
      </c>
      <c r="G2719" s="15" t="n"/>
    </row>
    <row r="2720">
      <c r="A2720" s="19" t="n"/>
      <c r="B2720" s="15" t="n"/>
      <c r="C2720">
        <f>IF(B2720="","",IFERROR(INDEX(Items!$B$5:$B$304,MATCH(B2720,Items!$A$5:$A$304,0)),"Unknown code"))</f>
        <v/>
      </c>
      <c r="D2720" s="15" t="n"/>
      <c r="E2720" s="16" t="n"/>
      <c r="F2720" s="18">
        <f>IF(OR(D2720="",E2720=""),"",D2720*E2720)</f>
        <v/>
      </c>
      <c r="G2720" s="15" t="n"/>
    </row>
    <row r="2721">
      <c r="A2721" s="19" t="n"/>
      <c r="B2721" s="15" t="n"/>
      <c r="C2721">
        <f>IF(B2721="","",IFERROR(INDEX(Items!$B$5:$B$304,MATCH(B2721,Items!$A$5:$A$304,0)),"Unknown code"))</f>
        <v/>
      </c>
      <c r="D2721" s="15" t="n"/>
      <c r="E2721" s="16" t="n"/>
      <c r="F2721" s="18">
        <f>IF(OR(D2721="",E2721=""),"",D2721*E2721)</f>
        <v/>
      </c>
      <c r="G2721" s="15" t="n"/>
    </row>
    <row r="2722">
      <c r="A2722" s="19" t="n"/>
      <c r="B2722" s="15" t="n"/>
      <c r="C2722">
        <f>IF(B2722="","",IFERROR(INDEX(Items!$B$5:$B$304,MATCH(B2722,Items!$A$5:$A$304,0)),"Unknown code"))</f>
        <v/>
      </c>
      <c r="D2722" s="15" t="n"/>
      <c r="E2722" s="16" t="n"/>
      <c r="F2722" s="18">
        <f>IF(OR(D2722="",E2722=""),"",D2722*E2722)</f>
        <v/>
      </c>
      <c r="G2722" s="15" t="n"/>
    </row>
    <row r="2723">
      <c r="A2723" s="19" t="n"/>
      <c r="B2723" s="15" t="n"/>
      <c r="C2723">
        <f>IF(B2723="","",IFERROR(INDEX(Items!$B$5:$B$304,MATCH(B2723,Items!$A$5:$A$304,0)),"Unknown code"))</f>
        <v/>
      </c>
      <c r="D2723" s="15" t="n"/>
      <c r="E2723" s="16" t="n"/>
      <c r="F2723" s="18">
        <f>IF(OR(D2723="",E2723=""),"",D2723*E2723)</f>
        <v/>
      </c>
      <c r="G2723" s="15" t="n"/>
    </row>
    <row r="2724">
      <c r="A2724" s="19" t="n"/>
      <c r="B2724" s="15" t="n"/>
      <c r="C2724">
        <f>IF(B2724="","",IFERROR(INDEX(Items!$B$5:$B$304,MATCH(B2724,Items!$A$5:$A$304,0)),"Unknown code"))</f>
        <v/>
      </c>
      <c r="D2724" s="15" t="n"/>
      <c r="E2724" s="16" t="n"/>
      <c r="F2724" s="18">
        <f>IF(OR(D2724="",E2724=""),"",D2724*E2724)</f>
        <v/>
      </c>
      <c r="G2724" s="15" t="n"/>
    </row>
    <row r="2725">
      <c r="A2725" s="19" t="n"/>
      <c r="B2725" s="15" t="n"/>
      <c r="C2725">
        <f>IF(B2725="","",IFERROR(INDEX(Items!$B$5:$B$304,MATCH(B2725,Items!$A$5:$A$304,0)),"Unknown code"))</f>
        <v/>
      </c>
      <c r="D2725" s="15" t="n"/>
      <c r="E2725" s="16" t="n"/>
      <c r="F2725" s="18">
        <f>IF(OR(D2725="",E2725=""),"",D2725*E2725)</f>
        <v/>
      </c>
      <c r="G2725" s="15" t="n"/>
    </row>
    <row r="2726">
      <c r="A2726" s="19" t="n"/>
      <c r="B2726" s="15" t="n"/>
      <c r="C2726">
        <f>IF(B2726="","",IFERROR(INDEX(Items!$B$5:$B$304,MATCH(B2726,Items!$A$5:$A$304,0)),"Unknown code"))</f>
        <v/>
      </c>
      <c r="D2726" s="15" t="n"/>
      <c r="E2726" s="16" t="n"/>
      <c r="F2726" s="18">
        <f>IF(OR(D2726="",E2726=""),"",D2726*E2726)</f>
        <v/>
      </c>
      <c r="G2726" s="15" t="n"/>
    </row>
    <row r="2727">
      <c r="A2727" s="19" t="n"/>
      <c r="B2727" s="15" t="n"/>
      <c r="C2727">
        <f>IF(B2727="","",IFERROR(INDEX(Items!$B$5:$B$304,MATCH(B2727,Items!$A$5:$A$304,0)),"Unknown code"))</f>
        <v/>
      </c>
      <c r="D2727" s="15" t="n"/>
      <c r="E2727" s="16" t="n"/>
      <c r="F2727" s="18">
        <f>IF(OR(D2727="",E2727=""),"",D2727*E2727)</f>
        <v/>
      </c>
      <c r="G2727" s="15" t="n"/>
    </row>
    <row r="2728">
      <c r="A2728" s="19" t="n"/>
      <c r="B2728" s="15" t="n"/>
      <c r="C2728">
        <f>IF(B2728="","",IFERROR(INDEX(Items!$B$5:$B$304,MATCH(B2728,Items!$A$5:$A$304,0)),"Unknown code"))</f>
        <v/>
      </c>
      <c r="D2728" s="15" t="n"/>
      <c r="E2728" s="16" t="n"/>
      <c r="F2728" s="18">
        <f>IF(OR(D2728="",E2728=""),"",D2728*E2728)</f>
        <v/>
      </c>
      <c r="G2728" s="15" t="n"/>
    </row>
    <row r="2729">
      <c r="A2729" s="19" t="n"/>
      <c r="B2729" s="15" t="n"/>
      <c r="C2729">
        <f>IF(B2729="","",IFERROR(INDEX(Items!$B$5:$B$304,MATCH(B2729,Items!$A$5:$A$304,0)),"Unknown code"))</f>
        <v/>
      </c>
      <c r="D2729" s="15" t="n"/>
      <c r="E2729" s="16" t="n"/>
      <c r="F2729" s="18">
        <f>IF(OR(D2729="",E2729=""),"",D2729*E2729)</f>
        <v/>
      </c>
      <c r="G2729" s="15" t="n"/>
    </row>
    <row r="2730">
      <c r="A2730" s="19" t="n"/>
      <c r="B2730" s="15" t="n"/>
      <c r="C2730">
        <f>IF(B2730="","",IFERROR(INDEX(Items!$B$5:$B$304,MATCH(B2730,Items!$A$5:$A$304,0)),"Unknown code"))</f>
        <v/>
      </c>
      <c r="D2730" s="15" t="n"/>
      <c r="E2730" s="16" t="n"/>
      <c r="F2730" s="18">
        <f>IF(OR(D2730="",E2730=""),"",D2730*E2730)</f>
        <v/>
      </c>
      <c r="G2730" s="15" t="n"/>
    </row>
    <row r="2731">
      <c r="A2731" s="19" t="n"/>
      <c r="B2731" s="15" t="n"/>
      <c r="C2731">
        <f>IF(B2731="","",IFERROR(INDEX(Items!$B$5:$B$304,MATCH(B2731,Items!$A$5:$A$304,0)),"Unknown code"))</f>
        <v/>
      </c>
      <c r="D2731" s="15" t="n"/>
      <c r="E2731" s="16" t="n"/>
      <c r="F2731" s="18">
        <f>IF(OR(D2731="",E2731=""),"",D2731*E2731)</f>
        <v/>
      </c>
      <c r="G2731" s="15" t="n"/>
    </row>
    <row r="2732">
      <c r="A2732" s="19" t="n"/>
      <c r="B2732" s="15" t="n"/>
      <c r="C2732">
        <f>IF(B2732="","",IFERROR(INDEX(Items!$B$5:$B$304,MATCH(B2732,Items!$A$5:$A$304,0)),"Unknown code"))</f>
        <v/>
      </c>
      <c r="D2732" s="15" t="n"/>
      <c r="E2732" s="16" t="n"/>
      <c r="F2732" s="18">
        <f>IF(OR(D2732="",E2732=""),"",D2732*E2732)</f>
        <v/>
      </c>
      <c r="G2732" s="15" t="n"/>
    </row>
    <row r="2733">
      <c r="A2733" s="19" t="n"/>
      <c r="B2733" s="15" t="n"/>
      <c r="C2733">
        <f>IF(B2733="","",IFERROR(INDEX(Items!$B$5:$B$304,MATCH(B2733,Items!$A$5:$A$304,0)),"Unknown code"))</f>
        <v/>
      </c>
      <c r="D2733" s="15" t="n"/>
      <c r="E2733" s="16" t="n"/>
      <c r="F2733" s="18">
        <f>IF(OR(D2733="",E2733=""),"",D2733*E2733)</f>
        <v/>
      </c>
      <c r="G2733" s="15" t="n"/>
    </row>
    <row r="2734">
      <c r="A2734" s="19" t="n"/>
      <c r="B2734" s="15" t="n"/>
      <c r="C2734">
        <f>IF(B2734="","",IFERROR(INDEX(Items!$B$5:$B$304,MATCH(B2734,Items!$A$5:$A$304,0)),"Unknown code"))</f>
        <v/>
      </c>
      <c r="D2734" s="15" t="n"/>
      <c r="E2734" s="16" t="n"/>
      <c r="F2734" s="18">
        <f>IF(OR(D2734="",E2734=""),"",D2734*E2734)</f>
        <v/>
      </c>
      <c r="G2734" s="15" t="n"/>
    </row>
    <row r="2735">
      <c r="A2735" s="19" t="n"/>
      <c r="B2735" s="15" t="n"/>
      <c r="C2735">
        <f>IF(B2735="","",IFERROR(INDEX(Items!$B$5:$B$304,MATCH(B2735,Items!$A$5:$A$304,0)),"Unknown code"))</f>
        <v/>
      </c>
      <c r="D2735" s="15" t="n"/>
      <c r="E2735" s="16" t="n"/>
      <c r="F2735" s="18">
        <f>IF(OR(D2735="",E2735=""),"",D2735*E2735)</f>
        <v/>
      </c>
      <c r="G2735" s="15" t="n"/>
    </row>
    <row r="2736">
      <c r="A2736" s="19" t="n"/>
      <c r="B2736" s="15" t="n"/>
      <c r="C2736">
        <f>IF(B2736="","",IFERROR(INDEX(Items!$B$5:$B$304,MATCH(B2736,Items!$A$5:$A$304,0)),"Unknown code"))</f>
        <v/>
      </c>
      <c r="D2736" s="15" t="n"/>
      <c r="E2736" s="16" t="n"/>
      <c r="F2736" s="18">
        <f>IF(OR(D2736="",E2736=""),"",D2736*E2736)</f>
        <v/>
      </c>
      <c r="G2736" s="15" t="n"/>
    </row>
    <row r="2737">
      <c r="A2737" s="19" t="n"/>
      <c r="B2737" s="15" t="n"/>
      <c r="C2737">
        <f>IF(B2737="","",IFERROR(INDEX(Items!$B$5:$B$304,MATCH(B2737,Items!$A$5:$A$304,0)),"Unknown code"))</f>
        <v/>
      </c>
      <c r="D2737" s="15" t="n"/>
      <c r="E2737" s="16" t="n"/>
      <c r="F2737" s="18">
        <f>IF(OR(D2737="",E2737=""),"",D2737*E2737)</f>
        <v/>
      </c>
      <c r="G2737" s="15" t="n"/>
    </row>
    <row r="2738">
      <c r="A2738" s="19" t="n"/>
      <c r="B2738" s="15" t="n"/>
      <c r="C2738">
        <f>IF(B2738="","",IFERROR(INDEX(Items!$B$5:$B$304,MATCH(B2738,Items!$A$5:$A$304,0)),"Unknown code"))</f>
        <v/>
      </c>
      <c r="D2738" s="15" t="n"/>
      <c r="E2738" s="16" t="n"/>
      <c r="F2738" s="18">
        <f>IF(OR(D2738="",E2738=""),"",D2738*E2738)</f>
        <v/>
      </c>
      <c r="G2738" s="15" t="n"/>
    </row>
    <row r="2739">
      <c r="A2739" s="19" t="n"/>
      <c r="B2739" s="15" t="n"/>
      <c r="C2739">
        <f>IF(B2739="","",IFERROR(INDEX(Items!$B$5:$B$304,MATCH(B2739,Items!$A$5:$A$304,0)),"Unknown code"))</f>
        <v/>
      </c>
      <c r="D2739" s="15" t="n"/>
      <c r="E2739" s="16" t="n"/>
      <c r="F2739" s="18">
        <f>IF(OR(D2739="",E2739=""),"",D2739*E2739)</f>
        <v/>
      </c>
      <c r="G2739" s="15" t="n"/>
    </row>
    <row r="2740">
      <c r="A2740" s="19" t="n"/>
      <c r="B2740" s="15" t="n"/>
      <c r="C2740">
        <f>IF(B2740="","",IFERROR(INDEX(Items!$B$5:$B$304,MATCH(B2740,Items!$A$5:$A$304,0)),"Unknown code"))</f>
        <v/>
      </c>
      <c r="D2740" s="15" t="n"/>
      <c r="E2740" s="16" t="n"/>
      <c r="F2740" s="18">
        <f>IF(OR(D2740="",E2740=""),"",D2740*E2740)</f>
        <v/>
      </c>
      <c r="G2740" s="15" t="n"/>
    </row>
    <row r="2741">
      <c r="A2741" s="19" t="n"/>
      <c r="B2741" s="15" t="n"/>
      <c r="C2741">
        <f>IF(B2741="","",IFERROR(INDEX(Items!$B$5:$B$304,MATCH(B2741,Items!$A$5:$A$304,0)),"Unknown code"))</f>
        <v/>
      </c>
      <c r="D2741" s="15" t="n"/>
      <c r="E2741" s="16" t="n"/>
      <c r="F2741" s="18">
        <f>IF(OR(D2741="",E2741=""),"",D2741*E2741)</f>
        <v/>
      </c>
      <c r="G2741" s="15" t="n"/>
    </row>
    <row r="2742">
      <c r="A2742" s="19" t="n"/>
      <c r="B2742" s="15" t="n"/>
      <c r="C2742">
        <f>IF(B2742="","",IFERROR(INDEX(Items!$B$5:$B$304,MATCH(B2742,Items!$A$5:$A$304,0)),"Unknown code"))</f>
        <v/>
      </c>
      <c r="D2742" s="15" t="n"/>
      <c r="E2742" s="16" t="n"/>
      <c r="F2742" s="18">
        <f>IF(OR(D2742="",E2742=""),"",D2742*E2742)</f>
        <v/>
      </c>
      <c r="G2742" s="15" t="n"/>
    </row>
    <row r="2743">
      <c r="A2743" s="19" t="n"/>
      <c r="B2743" s="15" t="n"/>
      <c r="C2743">
        <f>IF(B2743="","",IFERROR(INDEX(Items!$B$5:$B$304,MATCH(B2743,Items!$A$5:$A$304,0)),"Unknown code"))</f>
        <v/>
      </c>
      <c r="D2743" s="15" t="n"/>
      <c r="E2743" s="16" t="n"/>
      <c r="F2743" s="18">
        <f>IF(OR(D2743="",E2743=""),"",D2743*E2743)</f>
        <v/>
      </c>
      <c r="G2743" s="15" t="n"/>
    </row>
    <row r="2744">
      <c r="A2744" s="19" t="n"/>
      <c r="B2744" s="15" t="n"/>
      <c r="C2744">
        <f>IF(B2744="","",IFERROR(INDEX(Items!$B$5:$B$304,MATCH(B2744,Items!$A$5:$A$304,0)),"Unknown code"))</f>
        <v/>
      </c>
      <c r="D2744" s="15" t="n"/>
      <c r="E2744" s="16" t="n"/>
      <c r="F2744" s="18">
        <f>IF(OR(D2744="",E2744=""),"",D2744*E2744)</f>
        <v/>
      </c>
      <c r="G2744" s="15" t="n"/>
    </row>
    <row r="2745">
      <c r="A2745" s="19" t="n"/>
      <c r="B2745" s="15" t="n"/>
      <c r="C2745">
        <f>IF(B2745="","",IFERROR(INDEX(Items!$B$5:$B$304,MATCH(B2745,Items!$A$5:$A$304,0)),"Unknown code"))</f>
        <v/>
      </c>
      <c r="D2745" s="15" t="n"/>
      <c r="E2745" s="16" t="n"/>
      <c r="F2745" s="18">
        <f>IF(OR(D2745="",E2745=""),"",D2745*E2745)</f>
        <v/>
      </c>
      <c r="G2745" s="15" t="n"/>
    </row>
    <row r="2746">
      <c r="A2746" s="19" t="n"/>
      <c r="B2746" s="15" t="n"/>
      <c r="C2746">
        <f>IF(B2746="","",IFERROR(INDEX(Items!$B$5:$B$304,MATCH(B2746,Items!$A$5:$A$304,0)),"Unknown code"))</f>
        <v/>
      </c>
      <c r="D2746" s="15" t="n"/>
      <c r="E2746" s="16" t="n"/>
      <c r="F2746" s="18">
        <f>IF(OR(D2746="",E2746=""),"",D2746*E2746)</f>
        <v/>
      </c>
      <c r="G2746" s="15" t="n"/>
    </row>
    <row r="2747">
      <c r="A2747" s="19" t="n"/>
      <c r="B2747" s="15" t="n"/>
      <c r="C2747">
        <f>IF(B2747="","",IFERROR(INDEX(Items!$B$5:$B$304,MATCH(B2747,Items!$A$5:$A$304,0)),"Unknown code"))</f>
        <v/>
      </c>
      <c r="D2747" s="15" t="n"/>
      <c r="E2747" s="16" t="n"/>
      <c r="F2747" s="18">
        <f>IF(OR(D2747="",E2747=""),"",D2747*E2747)</f>
        <v/>
      </c>
      <c r="G2747" s="15" t="n"/>
    </row>
    <row r="2748">
      <c r="A2748" s="19" t="n"/>
      <c r="B2748" s="15" t="n"/>
      <c r="C2748">
        <f>IF(B2748="","",IFERROR(INDEX(Items!$B$5:$B$304,MATCH(B2748,Items!$A$5:$A$304,0)),"Unknown code"))</f>
        <v/>
      </c>
      <c r="D2748" s="15" t="n"/>
      <c r="E2748" s="16" t="n"/>
      <c r="F2748" s="18">
        <f>IF(OR(D2748="",E2748=""),"",D2748*E2748)</f>
        <v/>
      </c>
      <c r="G2748" s="15" t="n"/>
    </row>
    <row r="2749">
      <c r="A2749" s="19" t="n"/>
      <c r="B2749" s="15" t="n"/>
      <c r="C2749">
        <f>IF(B2749="","",IFERROR(INDEX(Items!$B$5:$B$304,MATCH(B2749,Items!$A$5:$A$304,0)),"Unknown code"))</f>
        <v/>
      </c>
      <c r="D2749" s="15" t="n"/>
      <c r="E2749" s="16" t="n"/>
      <c r="F2749" s="18">
        <f>IF(OR(D2749="",E2749=""),"",D2749*E2749)</f>
        <v/>
      </c>
      <c r="G2749" s="15" t="n"/>
    </row>
    <row r="2750">
      <c r="A2750" s="19" t="n"/>
      <c r="B2750" s="15" t="n"/>
      <c r="C2750">
        <f>IF(B2750="","",IFERROR(INDEX(Items!$B$5:$B$304,MATCH(B2750,Items!$A$5:$A$304,0)),"Unknown code"))</f>
        <v/>
      </c>
      <c r="D2750" s="15" t="n"/>
      <c r="E2750" s="16" t="n"/>
      <c r="F2750" s="18">
        <f>IF(OR(D2750="",E2750=""),"",D2750*E2750)</f>
        <v/>
      </c>
      <c r="G2750" s="15" t="n"/>
    </row>
    <row r="2751">
      <c r="A2751" s="19" t="n"/>
      <c r="B2751" s="15" t="n"/>
      <c r="C2751">
        <f>IF(B2751="","",IFERROR(INDEX(Items!$B$5:$B$304,MATCH(B2751,Items!$A$5:$A$304,0)),"Unknown code"))</f>
        <v/>
      </c>
      <c r="D2751" s="15" t="n"/>
      <c r="E2751" s="16" t="n"/>
      <c r="F2751" s="18">
        <f>IF(OR(D2751="",E2751=""),"",D2751*E2751)</f>
        <v/>
      </c>
      <c r="G2751" s="15" t="n"/>
    </row>
    <row r="2752">
      <c r="A2752" s="19" t="n"/>
      <c r="B2752" s="15" t="n"/>
      <c r="C2752">
        <f>IF(B2752="","",IFERROR(INDEX(Items!$B$5:$B$304,MATCH(B2752,Items!$A$5:$A$304,0)),"Unknown code"))</f>
        <v/>
      </c>
      <c r="D2752" s="15" t="n"/>
      <c r="E2752" s="16" t="n"/>
      <c r="F2752" s="18">
        <f>IF(OR(D2752="",E2752=""),"",D2752*E2752)</f>
        <v/>
      </c>
      <c r="G2752" s="15" t="n"/>
    </row>
    <row r="2753">
      <c r="A2753" s="19" t="n"/>
      <c r="B2753" s="15" t="n"/>
      <c r="C2753">
        <f>IF(B2753="","",IFERROR(INDEX(Items!$B$5:$B$304,MATCH(B2753,Items!$A$5:$A$304,0)),"Unknown code"))</f>
        <v/>
      </c>
      <c r="D2753" s="15" t="n"/>
      <c r="E2753" s="16" t="n"/>
      <c r="F2753" s="18">
        <f>IF(OR(D2753="",E2753=""),"",D2753*E2753)</f>
        <v/>
      </c>
      <c r="G2753" s="15" t="n"/>
    </row>
    <row r="2754">
      <c r="A2754" s="19" t="n"/>
      <c r="B2754" s="15" t="n"/>
      <c r="C2754">
        <f>IF(B2754="","",IFERROR(INDEX(Items!$B$5:$B$304,MATCH(B2754,Items!$A$5:$A$304,0)),"Unknown code"))</f>
        <v/>
      </c>
      <c r="D2754" s="15" t="n"/>
      <c r="E2754" s="16" t="n"/>
      <c r="F2754" s="18">
        <f>IF(OR(D2754="",E2754=""),"",D2754*E2754)</f>
        <v/>
      </c>
      <c r="G2754" s="15" t="n"/>
    </row>
    <row r="2755">
      <c r="A2755" s="19" t="n"/>
      <c r="B2755" s="15" t="n"/>
      <c r="C2755">
        <f>IF(B2755="","",IFERROR(INDEX(Items!$B$5:$B$304,MATCH(B2755,Items!$A$5:$A$304,0)),"Unknown code"))</f>
        <v/>
      </c>
      <c r="D2755" s="15" t="n"/>
      <c r="E2755" s="16" t="n"/>
      <c r="F2755" s="18">
        <f>IF(OR(D2755="",E2755=""),"",D2755*E2755)</f>
        <v/>
      </c>
      <c r="G2755" s="15" t="n"/>
    </row>
    <row r="2756">
      <c r="A2756" s="19" t="n"/>
      <c r="B2756" s="15" t="n"/>
      <c r="C2756">
        <f>IF(B2756="","",IFERROR(INDEX(Items!$B$5:$B$304,MATCH(B2756,Items!$A$5:$A$304,0)),"Unknown code"))</f>
        <v/>
      </c>
      <c r="D2756" s="15" t="n"/>
      <c r="E2756" s="16" t="n"/>
      <c r="F2756" s="18">
        <f>IF(OR(D2756="",E2756=""),"",D2756*E2756)</f>
        <v/>
      </c>
      <c r="G2756" s="15" t="n"/>
    </row>
    <row r="2757">
      <c r="A2757" s="19" t="n"/>
      <c r="B2757" s="15" t="n"/>
      <c r="C2757">
        <f>IF(B2757="","",IFERROR(INDEX(Items!$B$5:$B$304,MATCH(B2757,Items!$A$5:$A$304,0)),"Unknown code"))</f>
        <v/>
      </c>
      <c r="D2757" s="15" t="n"/>
      <c r="E2757" s="16" t="n"/>
      <c r="F2757" s="18">
        <f>IF(OR(D2757="",E2757=""),"",D2757*E2757)</f>
        <v/>
      </c>
      <c r="G2757" s="15" t="n"/>
    </row>
    <row r="2758">
      <c r="A2758" s="19" t="n"/>
      <c r="B2758" s="15" t="n"/>
      <c r="C2758">
        <f>IF(B2758="","",IFERROR(INDEX(Items!$B$5:$B$304,MATCH(B2758,Items!$A$5:$A$304,0)),"Unknown code"))</f>
        <v/>
      </c>
      <c r="D2758" s="15" t="n"/>
      <c r="E2758" s="16" t="n"/>
      <c r="F2758" s="18">
        <f>IF(OR(D2758="",E2758=""),"",D2758*E2758)</f>
        <v/>
      </c>
      <c r="G2758" s="15" t="n"/>
    </row>
    <row r="2759">
      <c r="A2759" s="19" t="n"/>
      <c r="B2759" s="15" t="n"/>
      <c r="C2759">
        <f>IF(B2759="","",IFERROR(INDEX(Items!$B$5:$B$304,MATCH(B2759,Items!$A$5:$A$304,0)),"Unknown code"))</f>
        <v/>
      </c>
      <c r="D2759" s="15" t="n"/>
      <c r="E2759" s="16" t="n"/>
      <c r="F2759" s="18">
        <f>IF(OR(D2759="",E2759=""),"",D2759*E2759)</f>
        <v/>
      </c>
      <c r="G2759" s="15" t="n"/>
    </row>
    <row r="2760">
      <c r="A2760" s="19" t="n"/>
      <c r="B2760" s="15" t="n"/>
      <c r="C2760">
        <f>IF(B2760="","",IFERROR(INDEX(Items!$B$5:$B$304,MATCH(B2760,Items!$A$5:$A$304,0)),"Unknown code"))</f>
        <v/>
      </c>
      <c r="D2760" s="15" t="n"/>
      <c r="E2760" s="16" t="n"/>
      <c r="F2760" s="18">
        <f>IF(OR(D2760="",E2760=""),"",D2760*E2760)</f>
        <v/>
      </c>
      <c r="G2760" s="15" t="n"/>
    </row>
    <row r="2761">
      <c r="A2761" s="19" t="n"/>
      <c r="B2761" s="15" t="n"/>
      <c r="C2761">
        <f>IF(B2761="","",IFERROR(INDEX(Items!$B$5:$B$304,MATCH(B2761,Items!$A$5:$A$304,0)),"Unknown code"))</f>
        <v/>
      </c>
      <c r="D2761" s="15" t="n"/>
      <c r="E2761" s="16" t="n"/>
      <c r="F2761" s="18">
        <f>IF(OR(D2761="",E2761=""),"",D2761*E2761)</f>
        <v/>
      </c>
      <c r="G2761" s="15" t="n"/>
    </row>
    <row r="2762">
      <c r="A2762" s="19" t="n"/>
      <c r="B2762" s="15" t="n"/>
      <c r="C2762">
        <f>IF(B2762="","",IFERROR(INDEX(Items!$B$5:$B$304,MATCH(B2762,Items!$A$5:$A$304,0)),"Unknown code"))</f>
        <v/>
      </c>
      <c r="D2762" s="15" t="n"/>
      <c r="E2762" s="16" t="n"/>
      <c r="F2762" s="18">
        <f>IF(OR(D2762="",E2762=""),"",D2762*E2762)</f>
        <v/>
      </c>
      <c r="G2762" s="15" t="n"/>
    </row>
    <row r="2763">
      <c r="A2763" s="19" t="n"/>
      <c r="B2763" s="15" t="n"/>
      <c r="C2763">
        <f>IF(B2763="","",IFERROR(INDEX(Items!$B$5:$B$304,MATCH(B2763,Items!$A$5:$A$304,0)),"Unknown code"))</f>
        <v/>
      </c>
      <c r="D2763" s="15" t="n"/>
      <c r="E2763" s="16" t="n"/>
      <c r="F2763" s="18">
        <f>IF(OR(D2763="",E2763=""),"",D2763*E2763)</f>
        <v/>
      </c>
      <c r="G2763" s="15" t="n"/>
    </row>
    <row r="2764">
      <c r="A2764" s="19" t="n"/>
      <c r="B2764" s="15" t="n"/>
      <c r="C2764">
        <f>IF(B2764="","",IFERROR(INDEX(Items!$B$5:$B$304,MATCH(B2764,Items!$A$5:$A$304,0)),"Unknown code"))</f>
        <v/>
      </c>
      <c r="D2764" s="15" t="n"/>
      <c r="E2764" s="16" t="n"/>
      <c r="F2764" s="18">
        <f>IF(OR(D2764="",E2764=""),"",D2764*E2764)</f>
        <v/>
      </c>
      <c r="G2764" s="15" t="n"/>
    </row>
    <row r="2765">
      <c r="A2765" s="19" t="n"/>
      <c r="B2765" s="15" t="n"/>
      <c r="C2765">
        <f>IF(B2765="","",IFERROR(INDEX(Items!$B$5:$B$304,MATCH(B2765,Items!$A$5:$A$304,0)),"Unknown code"))</f>
        <v/>
      </c>
      <c r="D2765" s="15" t="n"/>
      <c r="E2765" s="16" t="n"/>
      <c r="F2765" s="18">
        <f>IF(OR(D2765="",E2765=""),"",D2765*E2765)</f>
        <v/>
      </c>
      <c r="G2765" s="15" t="n"/>
    </row>
    <row r="2766">
      <c r="A2766" s="19" t="n"/>
      <c r="B2766" s="15" t="n"/>
      <c r="C2766">
        <f>IF(B2766="","",IFERROR(INDEX(Items!$B$5:$B$304,MATCH(B2766,Items!$A$5:$A$304,0)),"Unknown code"))</f>
        <v/>
      </c>
      <c r="D2766" s="15" t="n"/>
      <c r="E2766" s="16" t="n"/>
      <c r="F2766" s="18">
        <f>IF(OR(D2766="",E2766=""),"",D2766*E2766)</f>
        <v/>
      </c>
      <c r="G2766" s="15" t="n"/>
    </row>
    <row r="2767">
      <c r="A2767" s="19" t="n"/>
      <c r="B2767" s="15" t="n"/>
      <c r="C2767">
        <f>IF(B2767="","",IFERROR(INDEX(Items!$B$5:$B$304,MATCH(B2767,Items!$A$5:$A$304,0)),"Unknown code"))</f>
        <v/>
      </c>
      <c r="D2767" s="15" t="n"/>
      <c r="E2767" s="16" t="n"/>
      <c r="F2767" s="18">
        <f>IF(OR(D2767="",E2767=""),"",D2767*E2767)</f>
        <v/>
      </c>
      <c r="G2767" s="15" t="n"/>
    </row>
    <row r="2768">
      <c r="A2768" s="19" t="n"/>
      <c r="B2768" s="15" t="n"/>
      <c r="C2768">
        <f>IF(B2768="","",IFERROR(INDEX(Items!$B$5:$B$304,MATCH(B2768,Items!$A$5:$A$304,0)),"Unknown code"))</f>
        <v/>
      </c>
      <c r="D2768" s="15" t="n"/>
      <c r="E2768" s="16" t="n"/>
      <c r="F2768" s="18">
        <f>IF(OR(D2768="",E2768=""),"",D2768*E2768)</f>
        <v/>
      </c>
      <c r="G2768" s="15" t="n"/>
    </row>
    <row r="2769">
      <c r="A2769" s="19" t="n"/>
      <c r="B2769" s="15" t="n"/>
      <c r="C2769">
        <f>IF(B2769="","",IFERROR(INDEX(Items!$B$5:$B$304,MATCH(B2769,Items!$A$5:$A$304,0)),"Unknown code"))</f>
        <v/>
      </c>
      <c r="D2769" s="15" t="n"/>
      <c r="E2769" s="16" t="n"/>
      <c r="F2769" s="18">
        <f>IF(OR(D2769="",E2769=""),"",D2769*E2769)</f>
        <v/>
      </c>
      <c r="G2769" s="15" t="n"/>
    </row>
    <row r="2770">
      <c r="A2770" s="19" t="n"/>
      <c r="B2770" s="15" t="n"/>
      <c r="C2770">
        <f>IF(B2770="","",IFERROR(INDEX(Items!$B$5:$B$304,MATCH(B2770,Items!$A$5:$A$304,0)),"Unknown code"))</f>
        <v/>
      </c>
      <c r="D2770" s="15" t="n"/>
      <c r="E2770" s="16" t="n"/>
      <c r="F2770" s="18">
        <f>IF(OR(D2770="",E2770=""),"",D2770*E2770)</f>
        <v/>
      </c>
      <c r="G2770" s="15" t="n"/>
    </row>
    <row r="2771">
      <c r="A2771" s="19" t="n"/>
      <c r="B2771" s="15" t="n"/>
      <c r="C2771">
        <f>IF(B2771="","",IFERROR(INDEX(Items!$B$5:$B$304,MATCH(B2771,Items!$A$5:$A$304,0)),"Unknown code"))</f>
        <v/>
      </c>
      <c r="D2771" s="15" t="n"/>
      <c r="E2771" s="16" t="n"/>
      <c r="F2771" s="18">
        <f>IF(OR(D2771="",E2771=""),"",D2771*E2771)</f>
        <v/>
      </c>
      <c r="G2771" s="15" t="n"/>
    </row>
    <row r="2772">
      <c r="A2772" s="19" t="n"/>
      <c r="B2772" s="15" t="n"/>
      <c r="C2772">
        <f>IF(B2772="","",IFERROR(INDEX(Items!$B$5:$B$304,MATCH(B2772,Items!$A$5:$A$304,0)),"Unknown code"))</f>
        <v/>
      </c>
      <c r="D2772" s="15" t="n"/>
      <c r="E2772" s="16" t="n"/>
      <c r="F2772" s="18">
        <f>IF(OR(D2772="",E2772=""),"",D2772*E2772)</f>
        <v/>
      </c>
      <c r="G2772" s="15" t="n"/>
    </row>
    <row r="2773">
      <c r="A2773" s="19" t="n"/>
      <c r="B2773" s="15" t="n"/>
      <c r="C2773">
        <f>IF(B2773="","",IFERROR(INDEX(Items!$B$5:$B$304,MATCH(B2773,Items!$A$5:$A$304,0)),"Unknown code"))</f>
        <v/>
      </c>
      <c r="D2773" s="15" t="n"/>
      <c r="E2773" s="16" t="n"/>
      <c r="F2773" s="18">
        <f>IF(OR(D2773="",E2773=""),"",D2773*E2773)</f>
        <v/>
      </c>
      <c r="G2773" s="15" t="n"/>
    </row>
    <row r="2774">
      <c r="A2774" s="19" t="n"/>
      <c r="B2774" s="15" t="n"/>
      <c r="C2774">
        <f>IF(B2774="","",IFERROR(INDEX(Items!$B$5:$B$304,MATCH(B2774,Items!$A$5:$A$304,0)),"Unknown code"))</f>
        <v/>
      </c>
      <c r="D2774" s="15" t="n"/>
      <c r="E2774" s="16" t="n"/>
      <c r="F2774" s="18">
        <f>IF(OR(D2774="",E2774=""),"",D2774*E2774)</f>
        <v/>
      </c>
      <c r="G2774" s="15" t="n"/>
    </row>
    <row r="2775">
      <c r="A2775" s="19" t="n"/>
      <c r="B2775" s="15" t="n"/>
      <c r="C2775">
        <f>IF(B2775="","",IFERROR(INDEX(Items!$B$5:$B$304,MATCH(B2775,Items!$A$5:$A$304,0)),"Unknown code"))</f>
        <v/>
      </c>
      <c r="D2775" s="15" t="n"/>
      <c r="E2775" s="16" t="n"/>
      <c r="F2775" s="18">
        <f>IF(OR(D2775="",E2775=""),"",D2775*E2775)</f>
        <v/>
      </c>
      <c r="G2775" s="15" t="n"/>
    </row>
    <row r="2776">
      <c r="A2776" s="19" t="n"/>
      <c r="B2776" s="15" t="n"/>
      <c r="C2776">
        <f>IF(B2776="","",IFERROR(INDEX(Items!$B$5:$B$304,MATCH(B2776,Items!$A$5:$A$304,0)),"Unknown code"))</f>
        <v/>
      </c>
      <c r="D2776" s="15" t="n"/>
      <c r="E2776" s="16" t="n"/>
      <c r="F2776" s="18">
        <f>IF(OR(D2776="",E2776=""),"",D2776*E2776)</f>
        <v/>
      </c>
      <c r="G2776" s="15" t="n"/>
    </row>
    <row r="2777">
      <c r="A2777" s="19" t="n"/>
      <c r="B2777" s="15" t="n"/>
      <c r="C2777">
        <f>IF(B2777="","",IFERROR(INDEX(Items!$B$5:$B$304,MATCH(B2777,Items!$A$5:$A$304,0)),"Unknown code"))</f>
        <v/>
      </c>
      <c r="D2777" s="15" t="n"/>
      <c r="E2777" s="16" t="n"/>
      <c r="F2777" s="18">
        <f>IF(OR(D2777="",E2777=""),"",D2777*E2777)</f>
        <v/>
      </c>
      <c r="G2777" s="15" t="n"/>
    </row>
    <row r="2778">
      <c r="A2778" s="19" t="n"/>
      <c r="B2778" s="15" t="n"/>
      <c r="C2778">
        <f>IF(B2778="","",IFERROR(INDEX(Items!$B$5:$B$304,MATCH(B2778,Items!$A$5:$A$304,0)),"Unknown code"))</f>
        <v/>
      </c>
      <c r="D2778" s="15" t="n"/>
      <c r="E2778" s="16" t="n"/>
      <c r="F2778" s="18">
        <f>IF(OR(D2778="",E2778=""),"",D2778*E2778)</f>
        <v/>
      </c>
      <c r="G2778" s="15" t="n"/>
    </row>
    <row r="2779">
      <c r="A2779" s="19" t="n"/>
      <c r="B2779" s="15" t="n"/>
      <c r="C2779">
        <f>IF(B2779="","",IFERROR(INDEX(Items!$B$5:$B$304,MATCH(B2779,Items!$A$5:$A$304,0)),"Unknown code"))</f>
        <v/>
      </c>
      <c r="D2779" s="15" t="n"/>
      <c r="E2779" s="16" t="n"/>
      <c r="F2779" s="18">
        <f>IF(OR(D2779="",E2779=""),"",D2779*E2779)</f>
        <v/>
      </c>
      <c r="G2779" s="15" t="n"/>
    </row>
    <row r="2780">
      <c r="A2780" s="19" t="n"/>
      <c r="B2780" s="15" t="n"/>
      <c r="C2780">
        <f>IF(B2780="","",IFERROR(INDEX(Items!$B$5:$B$304,MATCH(B2780,Items!$A$5:$A$304,0)),"Unknown code"))</f>
        <v/>
      </c>
      <c r="D2780" s="15" t="n"/>
      <c r="E2780" s="16" t="n"/>
      <c r="F2780" s="18">
        <f>IF(OR(D2780="",E2780=""),"",D2780*E2780)</f>
        <v/>
      </c>
      <c r="G2780" s="15" t="n"/>
    </row>
    <row r="2781">
      <c r="A2781" s="19" t="n"/>
      <c r="B2781" s="15" t="n"/>
      <c r="C2781">
        <f>IF(B2781="","",IFERROR(INDEX(Items!$B$5:$B$304,MATCH(B2781,Items!$A$5:$A$304,0)),"Unknown code"))</f>
        <v/>
      </c>
      <c r="D2781" s="15" t="n"/>
      <c r="E2781" s="16" t="n"/>
      <c r="F2781" s="18">
        <f>IF(OR(D2781="",E2781=""),"",D2781*E2781)</f>
        <v/>
      </c>
      <c r="G2781" s="15" t="n"/>
    </row>
    <row r="2782">
      <c r="A2782" s="19" t="n"/>
      <c r="B2782" s="15" t="n"/>
      <c r="C2782">
        <f>IF(B2782="","",IFERROR(INDEX(Items!$B$5:$B$304,MATCH(B2782,Items!$A$5:$A$304,0)),"Unknown code"))</f>
        <v/>
      </c>
      <c r="D2782" s="15" t="n"/>
      <c r="E2782" s="16" t="n"/>
      <c r="F2782" s="18">
        <f>IF(OR(D2782="",E2782=""),"",D2782*E2782)</f>
        <v/>
      </c>
      <c r="G2782" s="15" t="n"/>
    </row>
    <row r="2783">
      <c r="A2783" s="19" t="n"/>
      <c r="B2783" s="15" t="n"/>
      <c r="C2783">
        <f>IF(B2783="","",IFERROR(INDEX(Items!$B$5:$B$304,MATCH(B2783,Items!$A$5:$A$304,0)),"Unknown code"))</f>
        <v/>
      </c>
      <c r="D2783" s="15" t="n"/>
      <c r="E2783" s="16" t="n"/>
      <c r="F2783" s="18">
        <f>IF(OR(D2783="",E2783=""),"",D2783*E2783)</f>
        <v/>
      </c>
      <c r="G2783" s="15" t="n"/>
    </row>
    <row r="2784">
      <c r="A2784" s="19" t="n"/>
      <c r="B2784" s="15" t="n"/>
      <c r="C2784">
        <f>IF(B2784="","",IFERROR(INDEX(Items!$B$5:$B$304,MATCH(B2784,Items!$A$5:$A$304,0)),"Unknown code"))</f>
        <v/>
      </c>
      <c r="D2784" s="15" t="n"/>
      <c r="E2784" s="16" t="n"/>
      <c r="F2784" s="18">
        <f>IF(OR(D2784="",E2784=""),"",D2784*E2784)</f>
        <v/>
      </c>
      <c r="G2784" s="15" t="n"/>
    </row>
    <row r="2785">
      <c r="A2785" s="19" t="n"/>
      <c r="B2785" s="15" t="n"/>
      <c r="C2785">
        <f>IF(B2785="","",IFERROR(INDEX(Items!$B$5:$B$304,MATCH(B2785,Items!$A$5:$A$304,0)),"Unknown code"))</f>
        <v/>
      </c>
      <c r="D2785" s="15" t="n"/>
      <c r="E2785" s="16" t="n"/>
      <c r="F2785" s="18">
        <f>IF(OR(D2785="",E2785=""),"",D2785*E2785)</f>
        <v/>
      </c>
      <c r="G2785" s="15" t="n"/>
    </row>
    <row r="2786">
      <c r="A2786" s="19" t="n"/>
      <c r="B2786" s="15" t="n"/>
      <c r="C2786">
        <f>IF(B2786="","",IFERROR(INDEX(Items!$B$5:$B$304,MATCH(B2786,Items!$A$5:$A$304,0)),"Unknown code"))</f>
        <v/>
      </c>
      <c r="D2786" s="15" t="n"/>
      <c r="E2786" s="16" t="n"/>
      <c r="F2786" s="18">
        <f>IF(OR(D2786="",E2786=""),"",D2786*E2786)</f>
        <v/>
      </c>
      <c r="G2786" s="15" t="n"/>
    </row>
    <row r="2787">
      <c r="A2787" s="19" t="n"/>
      <c r="B2787" s="15" t="n"/>
      <c r="C2787">
        <f>IF(B2787="","",IFERROR(INDEX(Items!$B$5:$B$304,MATCH(B2787,Items!$A$5:$A$304,0)),"Unknown code"))</f>
        <v/>
      </c>
      <c r="D2787" s="15" t="n"/>
      <c r="E2787" s="16" t="n"/>
      <c r="F2787" s="18">
        <f>IF(OR(D2787="",E2787=""),"",D2787*E2787)</f>
        <v/>
      </c>
      <c r="G2787" s="15" t="n"/>
    </row>
    <row r="2788">
      <c r="A2788" s="19" t="n"/>
      <c r="B2788" s="15" t="n"/>
      <c r="C2788">
        <f>IF(B2788="","",IFERROR(INDEX(Items!$B$5:$B$304,MATCH(B2788,Items!$A$5:$A$304,0)),"Unknown code"))</f>
        <v/>
      </c>
      <c r="D2788" s="15" t="n"/>
      <c r="E2788" s="16" t="n"/>
      <c r="F2788" s="18">
        <f>IF(OR(D2788="",E2788=""),"",D2788*E2788)</f>
        <v/>
      </c>
      <c r="G2788" s="15" t="n"/>
    </row>
    <row r="2789">
      <c r="A2789" s="19" t="n"/>
      <c r="B2789" s="15" t="n"/>
      <c r="C2789">
        <f>IF(B2789="","",IFERROR(INDEX(Items!$B$5:$B$304,MATCH(B2789,Items!$A$5:$A$304,0)),"Unknown code"))</f>
        <v/>
      </c>
      <c r="D2789" s="15" t="n"/>
      <c r="E2789" s="16" t="n"/>
      <c r="F2789" s="18">
        <f>IF(OR(D2789="",E2789=""),"",D2789*E2789)</f>
        <v/>
      </c>
      <c r="G2789" s="15" t="n"/>
    </row>
    <row r="2790">
      <c r="A2790" s="19" t="n"/>
      <c r="B2790" s="15" t="n"/>
      <c r="C2790">
        <f>IF(B2790="","",IFERROR(INDEX(Items!$B$5:$B$304,MATCH(B2790,Items!$A$5:$A$304,0)),"Unknown code"))</f>
        <v/>
      </c>
      <c r="D2790" s="15" t="n"/>
      <c r="E2790" s="16" t="n"/>
      <c r="F2790" s="18">
        <f>IF(OR(D2790="",E2790=""),"",D2790*E2790)</f>
        <v/>
      </c>
      <c r="G2790" s="15" t="n"/>
    </row>
    <row r="2791">
      <c r="A2791" s="19" t="n"/>
      <c r="B2791" s="15" t="n"/>
      <c r="C2791">
        <f>IF(B2791="","",IFERROR(INDEX(Items!$B$5:$B$304,MATCH(B2791,Items!$A$5:$A$304,0)),"Unknown code"))</f>
        <v/>
      </c>
      <c r="D2791" s="15" t="n"/>
      <c r="E2791" s="16" t="n"/>
      <c r="F2791" s="18">
        <f>IF(OR(D2791="",E2791=""),"",D2791*E2791)</f>
        <v/>
      </c>
      <c r="G2791" s="15" t="n"/>
    </row>
    <row r="2792">
      <c r="A2792" s="19" t="n"/>
      <c r="B2792" s="15" t="n"/>
      <c r="C2792">
        <f>IF(B2792="","",IFERROR(INDEX(Items!$B$5:$B$304,MATCH(B2792,Items!$A$5:$A$304,0)),"Unknown code"))</f>
        <v/>
      </c>
      <c r="D2792" s="15" t="n"/>
      <c r="E2792" s="16" t="n"/>
      <c r="F2792" s="18">
        <f>IF(OR(D2792="",E2792=""),"",D2792*E2792)</f>
        <v/>
      </c>
      <c r="G2792" s="15" t="n"/>
    </row>
    <row r="2793">
      <c r="A2793" s="19" t="n"/>
      <c r="B2793" s="15" t="n"/>
      <c r="C2793">
        <f>IF(B2793="","",IFERROR(INDEX(Items!$B$5:$B$304,MATCH(B2793,Items!$A$5:$A$304,0)),"Unknown code"))</f>
        <v/>
      </c>
      <c r="D2793" s="15" t="n"/>
      <c r="E2793" s="16" t="n"/>
      <c r="F2793" s="18">
        <f>IF(OR(D2793="",E2793=""),"",D2793*E2793)</f>
        <v/>
      </c>
      <c r="G2793" s="15" t="n"/>
    </row>
    <row r="2794">
      <c r="A2794" s="19" t="n"/>
      <c r="B2794" s="15" t="n"/>
      <c r="C2794">
        <f>IF(B2794="","",IFERROR(INDEX(Items!$B$5:$B$304,MATCH(B2794,Items!$A$5:$A$304,0)),"Unknown code"))</f>
        <v/>
      </c>
      <c r="D2794" s="15" t="n"/>
      <c r="E2794" s="16" t="n"/>
      <c r="F2794" s="18">
        <f>IF(OR(D2794="",E2794=""),"",D2794*E2794)</f>
        <v/>
      </c>
      <c r="G2794" s="15" t="n"/>
    </row>
    <row r="2795">
      <c r="A2795" s="19" t="n"/>
      <c r="B2795" s="15" t="n"/>
      <c r="C2795">
        <f>IF(B2795="","",IFERROR(INDEX(Items!$B$5:$B$304,MATCH(B2795,Items!$A$5:$A$304,0)),"Unknown code"))</f>
        <v/>
      </c>
      <c r="D2795" s="15" t="n"/>
      <c r="E2795" s="16" t="n"/>
      <c r="F2795" s="18">
        <f>IF(OR(D2795="",E2795=""),"",D2795*E2795)</f>
        <v/>
      </c>
      <c r="G2795" s="15" t="n"/>
    </row>
    <row r="2796">
      <c r="A2796" s="19" t="n"/>
      <c r="B2796" s="15" t="n"/>
      <c r="C2796">
        <f>IF(B2796="","",IFERROR(INDEX(Items!$B$5:$B$304,MATCH(B2796,Items!$A$5:$A$304,0)),"Unknown code"))</f>
        <v/>
      </c>
      <c r="D2796" s="15" t="n"/>
      <c r="E2796" s="16" t="n"/>
      <c r="F2796" s="18">
        <f>IF(OR(D2796="",E2796=""),"",D2796*E2796)</f>
        <v/>
      </c>
      <c r="G2796" s="15" t="n"/>
    </row>
    <row r="2797">
      <c r="A2797" s="19" t="n"/>
      <c r="B2797" s="15" t="n"/>
      <c r="C2797">
        <f>IF(B2797="","",IFERROR(INDEX(Items!$B$5:$B$304,MATCH(B2797,Items!$A$5:$A$304,0)),"Unknown code"))</f>
        <v/>
      </c>
      <c r="D2797" s="15" t="n"/>
      <c r="E2797" s="16" t="n"/>
      <c r="F2797" s="18">
        <f>IF(OR(D2797="",E2797=""),"",D2797*E2797)</f>
        <v/>
      </c>
      <c r="G2797" s="15" t="n"/>
    </row>
    <row r="2798">
      <c r="A2798" s="19" t="n"/>
      <c r="B2798" s="15" t="n"/>
      <c r="C2798">
        <f>IF(B2798="","",IFERROR(INDEX(Items!$B$5:$B$304,MATCH(B2798,Items!$A$5:$A$304,0)),"Unknown code"))</f>
        <v/>
      </c>
      <c r="D2798" s="15" t="n"/>
      <c r="E2798" s="16" t="n"/>
      <c r="F2798" s="18">
        <f>IF(OR(D2798="",E2798=""),"",D2798*E2798)</f>
        <v/>
      </c>
      <c r="G2798" s="15" t="n"/>
    </row>
    <row r="2799">
      <c r="A2799" s="19" t="n"/>
      <c r="B2799" s="15" t="n"/>
      <c r="C2799">
        <f>IF(B2799="","",IFERROR(INDEX(Items!$B$5:$B$304,MATCH(B2799,Items!$A$5:$A$304,0)),"Unknown code"))</f>
        <v/>
      </c>
      <c r="D2799" s="15" t="n"/>
      <c r="E2799" s="16" t="n"/>
      <c r="F2799" s="18">
        <f>IF(OR(D2799="",E2799=""),"",D2799*E2799)</f>
        <v/>
      </c>
      <c r="G2799" s="15" t="n"/>
    </row>
    <row r="2800">
      <c r="A2800" s="19" t="n"/>
      <c r="B2800" s="15" t="n"/>
      <c r="C2800">
        <f>IF(B2800="","",IFERROR(INDEX(Items!$B$5:$B$304,MATCH(B2800,Items!$A$5:$A$304,0)),"Unknown code"))</f>
        <v/>
      </c>
      <c r="D2800" s="15" t="n"/>
      <c r="E2800" s="16" t="n"/>
      <c r="F2800" s="18">
        <f>IF(OR(D2800="",E2800=""),"",D2800*E2800)</f>
        <v/>
      </c>
      <c r="G2800" s="15" t="n"/>
    </row>
    <row r="2801">
      <c r="A2801" s="19" t="n"/>
      <c r="B2801" s="15" t="n"/>
      <c r="C2801">
        <f>IF(B2801="","",IFERROR(INDEX(Items!$B$5:$B$304,MATCH(B2801,Items!$A$5:$A$304,0)),"Unknown code"))</f>
        <v/>
      </c>
      <c r="D2801" s="15" t="n"/>
      <c r="E2801" s="16" t="n"/>
      <c r="F2801" s="18">
        <f>IF(OR(D2801="",E2801=""),"",D2801*E2801)</f>
        <v/>
      </c>
      <c r="G2801" s="15" t="n"/>
    </row>
    <row r="2802">
      <c r="A2802" s="19" t="n"/>
      <c r="B2802" s="15" t="n"/>
      <c r="C2802">
        <f>IF(B2802="","",IFERROR(INDEX(Items!$B$5:$B$304,MATCH(B2802,Items!$A$5:$A$304,0)),"Unknown code"))</f>
        <v/>
      </c>
      <c r="D2802" s="15" t="n"/>
      <c r="E2802" s="16" t="n"/>
      <c r="F2802" s="18">
        <f>IF(OR(D2802="",E2802=""),"",D2802*E2802)</f>
        <v/>
      </c>
      <c r="G2802" s="15" t="n"/>
    </row>
    <row r="2803">
      <c r="A2803" s="19" t="n"/>
      <c r="B2803" s="15" t="n"/>
      <c r="C2803">
        <f>IF(B2803="","",IFERROR(INDEX(Items!$B$5:$B$304,MATCH(B2803,Items!$A$5:$A$304,0)),"Unknown code"))</f>
        <v/>
      </c>
      <c r="D2803" s="15" t="n"/>
      <c r="E2803" s="16" t="n"/>
      <c r="F2803" s="18">
        <f>IF(OR(D2803="",E2803=""),"",D2803*E2803)</f>
        <v/>
      </c>
      <c r="G2803" s="15" t="n"/>
    </row>
    <row r="2804">
      <c r="A2804" s="19" t="n"/>
      <c r="B2804" s="15" t="n"/>
      <c r="C2804">
        <f>IF(B2804="","",IFERROR(INDEX(Items!$B$5:$B$304,MATCH(B2804,Items!$A$5:$A$304,0)),"Unknown code"))</f>
        <v/>
      </c>
      <c r="D2804" s="15" t="n"/>
      <c r="E2804" s="16" t="n"/>
      <c r="F2804" s="18">
        <f>IF(OR(D2804="",E2804=""),"",D2804*E2804)</f>
        <v/>
      </c>
      <c r="G2804" s="15" t="n"/>
    </row>
    <row r="2805">
      <c r="A2805" s="19" t="n"/>
      <c r="B2805" s="15" t="n"/>
      <c r="C2805">
        <f>IF(B2805="","",IFERROR(INDEX(Items!$B$5:$B$304,MATCH(B2805,Items!$A$5:$A$304,0)),"Unknown code"))</f>
        <v/>
      </c>
      <c r="D2805" s="15" t="n"/>
      <c r="E2805" s="16" t="n"/>
      <c r="F2805" s="18">
        <f>IF(OR(D2805="",E2805=""),"",D2805*E2805)</f>
        <v/>
      </c>
      <c r="G2805" s="15" t="n"/>
    </row>
    <row r="2806">
      <c r="A2806" s="19" t="n"/>
      <c r="B2806" s="15" t="n"/>
      <c r="C2806">
        <f>IF(B2806="","",IFERROR(INDEX(Items!$B$5:$B$304,MATCH(B2806,Items!$A$5:$A$304,0)),"Unknown code"))</f>
        <v/>
      </c>
      <c r="D2806" s="15" t="n"/>
      <c r="E2806" s="16" t="n"/>
      <c r="F2806" s="18">
        <f>IF(OR(D2806="",E2806=""),"",D2806*E2806)</f>
        <v/>
      </c>
      <c r="G2806" s="15" t="n"/>
    </row>
    <row r="2807">
      <c r="A2807" s="19" t="n"/>
      <c r="B2807" s="15" t="n"/>
      <c r="C2807">
        <f>IF(B2807="","",IFERROR(INDEX(Items!$B$5:$B$304,MATCH(B2807,Items!$A$5:$A$304,0)),"Unknown code"))</f>
        <v/>
      </c>
      <c r="D2807" s="15" t="n"/>
      <c r="E2807" s="16" t="n"/>
      <c r="F2807" s="18">
        <f>IF(OR(D2807="",E2807=""),"",D2807*E2807)</f>
        <v/>
      </c>
      <c r="G2807" s="15" t="n"/>
    </row>
    <row r="2808">
      <c r="A2808" s="19" t="n"/>
      <c r="B2808" s="15" t="n"/>
      <c r="C2808">
        <f>IF(B2808="","",IFERROR(INDEX(Items!$B$5:$B$304,MATCH(B2808,Items!$A$5:$A$304,0)),"Unknown code"))</f>
        <v/>
      </c>
      <c r="D2808" s="15" t="n"/>
      <c r="E2808" s="16" t="n"/>
      <c r="F2808" s="18">
        <f>IF(OR(D2808="",E2808=""),"",D2808*E2808)</f>
        <v/>
      </c>
      <c r="G2808" s="15" t="n"/>
    </row>
    <row r="2809">
      <c r="A2809" s="19" t="n"/>
      <c r="B2809" s="15" t="n"/>
      <c r="C2809">
        <f>IF(B2809="","",IFERROR(INDEX(Items!$B$5:$B$304,MATCH(B2809,Items!$A$5:$A$304,0)),"Unknown code"))</f>
        <v/>
      </c>
      <c r="D2809" s="15" t="n"/>
      <c r="E2809" s="16" t="n"/>
      <c r="F2809" s="18">
        <f>IF(OR(D2809="",E2809=""),"",D2809*E2809)</f>
        <v/>
      </c>
      <c r="G2809" s="15" t="n"/>
    </row>
    <row r="2810">
      <c r="A2810" s="19" t="n"/>
      <c r="B2810" s="15" t="n"/>
      <c r="C2810">
        <f>IF(B2810="","",IFERROR(INDEX(Items!$B$5:$B$304,MATCH(B2810,Items!$A$5:$A$304,0)),"Unknown code"))</f>
        <v/>
      </c>
      <c r="D2810" s="15" t="n"/>
      <c r="E2810" s="16" t="n"/>
      <c r="F2810" s="18">
        <f>IF(OR(D2810="",E2810=""),"",D2810*E2810)</f>
        <v/>
      </c>
      <c r="G2810" s="15" t="n"/>
    </row>
    <row r="2811">
      <c r="A2811" s="19" t="n"/>
      <c r="B2811" s="15" t="n"/>
      <c r="C2811">
        <f>IF(B2811="","",IFERROR(INDEX(Items!$B$5:$B$304,MATCH(B2811,Items!$A$5:$A$304,0)),"Unknown code"))</f>
        <v/>
      </c>
      <c r="D2811" s="15" t="n"/>
      <c r="E2811" s="16" t="n"/>
      <c r="F2811" s="18">
        <f>IF(OR(D2811="",E2811=""),"",D2811*E2811)</f>
        <v/>
      </c>
      <c r="G2811" s="15" t="n"/>
    </row>
    <row r="2812">
      <c r="A2812" s="19" t="n"/>
      <c r="B2812" s="15" t="n"/>
      <c r="C2812">
        <f>IF(B2812="","",IFERROR(INDEX(Items!$B$5:$B$304,MATCH(B2812,Items!$A$5:$A$304,0)),"Unknown code"))</f>
        <v/>
      </c>
      <c r="D2812" s="15" t="n"/>
      <c r="E2812" s="16" t="n"/>
      <c r="F2812" s="18">
        <f>IF(OR(D2812="",E2812=""),"",D2812*E2812)</f>
        <v/>
      </c>
      <c r="G2812" s="15" t="n"/>
    </row>
    <row r="2813">
      <c r="A2813" s="19" t="n"/>
      <c r="B2813" s="15" t="n"/>
      <c r="C2813">
        <f>IF(B2813="","",IFERROR(INDEX(Items!$B$5:$B$304,MATCH(B2813,Items!$A$5:$A$304,0)),"Unknown code"))</f>
        <v/>
      </c>
      <c r="D2813" s="15" t="n"/>
      <c r="E2813" s="16" t="n"/>
      <c r="F2813" s="18">
        <f>IF(OR(D2813="",E2813=""),"",D2813*E2813)</f>
        <v/>
      </c>
      <c r="G2813" s="15" t="n"/>
    </row>
    <row r="2814">
      <c r="A2814" s="19" t="n"/>
      <c r="B2814" s="15" t="n"/>
      <c r="C2814">
        <f>IF(B2814="","",IFERROR(INDEX(Items!$B$5:$B$304,MATCH(B2814,Items!$A$5:$A$304,0)),"Unknown code"))</f>
        <v/>
      </c>
      <c r="D2814" s="15" t="n"/>
      <c r="E2814" s="16" t="n"/>
      <c r="F2814" s="18">
        <f>IF(OR(D2814="",E2814=""),"",D2814*E2814)</f>
        <v/>
      </c>
      <c r="G2814" s="15" t="n"/>
    </row>
    <row r="2815">
      <c r="A2815" s="19" t="n"/>
      <c r="B2815" s="15" t="n"/>
      <c r="C2815">
        <f>IF(B2815="","",IFERROR(INDEX(Items!$B$5:$B$304,MATCH(B2815,Items!$A$5:$A$304,0)),"Unknown code"))</f>
        <v/>
      </c>
      <c r="D2815" s="15" t="n"/>
      <c r="E2815" s="16" t="n"/>
      <c r="F2815" s="18">
        <f>IF(OR(D2815="",E2815=""),"",D2815*E2815)</f>
        <v/>
      </c>
      <c r="G2815" s="15" t="n"/>
    </row>
    <row r="2816">
      <c r="A2816" s="19" t="n"/>
      <c r="B2816" s="15" t="n"/>
      <c r="C2816">
        <f>IF(B2816="","",IFERROR(INDEX(Items!$B$5:$B$304,MATCH(B2816,Items!$A$5:$A$304,0)),"Unknown code"))</f>
        <v/>
      </c>
      <c r="D2816" s="15" t="n"/>
      <c r="E2816" s="16" t="n"/>
      <c r="F2816" s="18">
        <f>IF(OR(D2816="",E2816=""),"",D2816*E2816)</f>
        <v/>
      </c>
      <c r="G2816" s="15" t="n"/>
    </row>
    <row r="2817">
      <c r="A2817" s="19" t="n"/>
      <c r="B2817" s="15" t="n"/>
      <c r="C2817">
        <f>IF(B2817="","",IFERROR(INDEX(Items!$B$5:$B$304,MATCH(B2817,Items!$A$5:$A$304,0)),"Unknown code"))</f>
        <v/>
      </c>
      <c r="D2817" s="15" t="n"/>
      <c r="E2817" s="16" t="n"/>
      <c r="F2817" s="18">
        <f>IF(OR(D2817="",E2817=""),"",D2817*E2817)</f>
        <v/>
      </c>
      <c r="G2817" s="15" t="n"/>
    </row>
    <row r="2818">
      <c r="A2818" s="19" t="n"/>
      <c r="B2818" s="15" t="n"/>
      <c r="C2818">
        <f>IF(B2818="","",IFERROR(INDEX(Items!$B$5:$B$304,MATCH(B2818,Items!$A$5:$A$304,0)),"Unknown code"))</f>
        <v/>
      </c>
      <c r="D2818" s="15" t="n"/>
      <c r="E2818" s="16" t="n"/>
      <c r="F2818" s="18">
        <f>IF(OR(D2818="",E2818=""),"",D2818*E2818)</f>
        <v/>
      </c>
      <c r="G2818" s="15" t="n"/>
    </row>
    <row r="2819">
      <c r="A2819" s="19" t="n"/>
      <c r="B2819" s="15" t="n"/>
      <c r="C2819">
        <f>IF(B2819="","",IFERROR(INDEX(Items!$B$5:$B$304,MATCH(B2819,Items!$A$5:$A$304,0)),"Unknown code"))</f>
        <v/>
      </c>
      <c r="D2819" s="15" t="n"/>
      <c r="E2819" s="16" t="n"/>
      <c r="F2819" s="18">
        <f>IF(OR(D2819="",E2819=""),"",D2819*E2819)</f>
        <v/>
      </c>
      <c r="G2819" s="15" t="n"/>
    </row>
    <row r="2820">
      <c r="A2820" s="19" t="n"/>
      <c r="B2820" s="15" t="n"/>
      <c r="C2820">
        <f>IF(B2820="","",IFERROR(INDEX(Items!$B$5:$B$304,MATCH(B2820,Items!$A$5:$A$304,0)),"Unknown code"))</f>
        <v/>
      </c>
      <c r="D2820" s="15" t="n"/>
      <c r="E2820" s="16" t="n"/>
      <c r="F2820" s="18">
        <f>IF(OR(D2820="",E2820=""),"",D2820*E2820)</f>
        <v/>
      </c>
      <c r="G2820" s="15" t="n"/>
    </row>
    <row r="2821">
      <c r="A2821" s="19" t="n"/>
      <c r="B2821" s="15" t="n"/>
      <c r="C2821">
        <f>IF(B2821="","",IFERROR(INDEX(Items!$B$5:$B$304,MATCH(B2821,Items!$A$5:$A$304,0)),"Unknown code"))</f>
        <v/>
      </c>
      <c r="D2821" s="15" t="n"/>
      <c r="E2821" s="16" t="n"/>
      <c r="F2821" s="18">
        <f>IF(OR(D2821="",E2821=""),"",D2821*E2821)</f>
        <v/>
      </c>
      <c r="G2821" s="15" t="n"/>
    </row>
    <row r="2822">
      <c r="A2822" s="19" t="n"/>
      <c r="B2822" s="15" t="n"/>
      <c r="C2822">
        <f>IF(B2822="","",IFERROR(INDEX(Items!$B$5:$B$304,MATCH(B2822,Items!$A$5:$A$304,0)),"Unknown code"))</f>
        <v/>
      </c>
      <c r="D2822" s="15" t="n"/>
      <c r="E2822" s="16" t="n"/>
      <c r="F2822" s="18">
        <f>IF(OR(D2822="",E2822=""),"",D2822*E2822)</f>
        <v/>
      </c>
      <c r="G2822" s="15" t="n"/>
    </row>
    <row r="2823">
      <c r="A2823" s="19" t="n"/>
      <c r="B2823" s="15" t="n"/>
      <c r="C2823">
        <f>IF(B2823="","",IFERROR(INDEX(Items!$B$5:$B$304,MATCH(B2823,Items!$A$5:$A$304,0)),"Unknown code"))</f>
        <v/>
      </c>
      <c r="D2823" s="15" t="n"/>
      <c r="E2823" s="16" t="n"/>
      <c r="F2823" s="18">
        <f>IF(OR(D2823="",E2823=""),"",D2823*E2823)</f>
        <v/>
      </c>
      <c r="G2823" s="15" t="n"/>
    </row>
    <row r="2824">
      <c r="A2824" s="19" t="n"/>
      <c r="B2824" s="15" t="n"/>
      <c r="C2824">
        <f>IF(B2824="","",IFERROR(INDEX(Items!$B$5:$B$304,MATCH(B2824,Items!$A$5:$A$304,0)),"Unknown code"))</f>
        <v/>
      </c>
      <c r="D2824" s="15" t="n"/>
      <c r="E2824" s="16" t="n"/>
      <c r="F2824" s="18">
        <f>IF(OR(D2824="",E2824=""),"",D2824*E2824)</f>
        <v/>
      </c>
      <c r="G2824" s="15" t="n"/>
    </row>
    <row r="2825">
      <c r="A2825" s="19" t="n"/>
      <c r="B2825" s="15" t="n"/>
      <c r="C2825">
        <f>IF(B2825="","",IFERROR(INDEX(Items!$B$5:$B$304,MATCH(B2825,Items!$A$5:$A$304,0)),"Unknown code"))</f>
        <v/>
      </c>
      <c r="D2825" s="15" t="n"/>
      <c r="E2825" s="16" t="n"/>
      <c r="F2825" s="18">
        <f>IF(OR(D2825="",E2825=""),"",D2825*E2825)</f>
        <v/>
      </c>
      <c r="G2825" s="15" t="n"/>
    </row>
    <row r="2826">
      <c r="A2826" s="19" t="n"/>
      <c r="B2826" s="15" t="n"/>
      <c r="C2826">
        <f>IF(B2826="","",IFERROR(INDEX(Items!$B$5:$B$304,MATCH(B2826,Items!$A$5:$A$304,0)),"Unknown code"))</f>
        <v/>
      </c>
      <c r="D2826" s="15" t="n"/>
      <c r="E2826" s="16" t="n"/>
      <c r="F2826" s="18">
        <f>IF(OR(D2826="",E2826=""),"",D2826*E2826)</f>
        <v/>
      </c>
      <c r="G2826" s="15" t="n"/>
    </row>
    <row r="2827">
      <c r="A2827" s="19" t="n"/>
      <c r="B2827" s="15" t="n"/>
      <c r="C2827">
        <f>IF(B2827="","",IFERROR(INDEX(Items!$B$5:$B$304,MATCH(B2827,Items!$A$5:$A$304,0)),"Unknown code"))</f>
        <v/>
      </c>
      <c r="D2827" s="15" t="n"/>
      <c r="E2827" s="16" t="n"/>
      <c r="F2827" s="18">
        <f>IF(OR(D2827="",E2827=""),"",D2827*E2827)</f>
        <v/>
      </c>
      <c r="G2827" s="15" t="n"/>
    </row>
    <row r="2828">
      <c r="A2828" s="19" t="n"/>
      <c r="B2828" s="15" t="n"/>
      <c r="C2828">
        <f>IF(B2828="","",IFERROR(INDEX(Items!$B$5:$B$304,MATCH(B2828,Items!$A$5:$A$304,0)),"Unknown code"))</f>
        <v/>
      </c>
      <c r="D2828" s="15" t="n"/>
      <c r="E2828" s="16" t="n"/>
      <c r="F2828" s="18">
        <f>IF(OR(D2828="",E2828=""),"",D2828*E2828)</f>
        <v/>
      </c>
      <c r="G2828" s="15" t="n"/>
    </row>
    <row r="2829">
      <c r="A2829" s="19" t="n"/>
      <c r="B2829" s="15" t="n"/>
      <c r="C2829">
        <f>IF(B2829="","",IFERROR(INDEX(Items!$B$5:$B$304,MATCH(B2829,Items!$A$5:$A$304,0)),"Unknown code"))</f>
        <v/>
      </c>
      <c r="D2829" s="15" t="n"/>
      <c r="E2829" s="16" t="n"/>
      <c r="F2829" s="18">
        <f>IF(OR(D2829="",E2829=""),"",D2829*E2829)</f>
        <v/>
      </c>
      <c r="G2829" s="15" t="n"/>
    </row>
    <row r="2830">
      <c r="A2830" s="19" t="n"/>
      <c r="B2830" s="15" t="n"/>
      <c r="C2830">
        <f>IF(B2830="","",IFERROR(INDEX(Items!$B$5:$B$304,MATCH(B2830,Items!$A$5:$A$304,0)),"Unknown code"))</f>
        <v/>
      </c>
      <c r="D2830" s="15" t="n"/>
      <c r="E2830" s="16" t="n"/>
      <c r="F2830" s="18">
        <f>IF(OR(D2830="",E2830=""),"",D2830*E2830)</f>
        <v/>
      </c>
      <c r="G2830" s="15" t="n"/>
    </row>
    <row r="2831">
      <c r="A2831" s="19" t="n"/>
      <c r="B2831" s="15" t="n"/>
      <c r="C2831">
        <f>IF(B2831="","",IFERROR(INDEX(Items!$B$5:$B$304,MATCH(B2831,Items!$A$5:$A$304,0)),"Unknown code"))</f>
        <v/>
      </c>
      <c r="D2831" s="15" t="n"/>
      <c r="E2831" s="16" t="n"/>
      <c r="F2831" s="18">
        <f>IF(OR(D2831="",E2831=""),"",D2831*E2831)</f>
        <v/>
      </c>
      <c r="G2831" s="15" t="n"/>
    </row>
    <row r="2832">
      <c r="A2832" s="19" t="n"/>
      <c r="B2832" s="15" t="n"/>
      <c r="C2832">
        <f>IF(B2832="","",IFERROR(INDEX(Items!$B$5:$B$304,MATCH(B2832,Items!$A$5:$A$304,0)),"Unknown code"))</f>
        <v/>
      </c>
      <c r="D2832" s="15" t="n"/>
      <c r="E2832" s="16" t="n"/>
      <c r="F2832" s="18">
        <f>IF(OR(D2832="",E2832=""),"",D2832*E2832)</f>
        <v/>
      </c>
      <c r="G2832" s="15" t="n"/>
    </row>
    <row r="2833">
      <c r="A2833" s="19" t="n"/>
      <c r="B2833" s="15" t="n"/>
      <c r="C2833">
        <f>IF(B2833="","",IFERROR(INDEX(Items!$B$5:$B$304,MATCH(B2833,Items!$A$5:$A$304,0)),"Unknown code"))</f>
        <v/>
      </c>
      <c r="D2833" s="15" t="n"/>
      <c r="E2833" s="16" t="n"/>
      <c r="F2833" s="18">
        <f>IF(OR(D2833="",E2833=""),"",D2833*E2833)</f>
        <v/>
      </c>
      <c r="G2833" s="15" t="n"/>
    </row>
    <row r="2834">
      <c r="A2834" s="19" t="n"/>
      <c r="B2834" s="15" t="n"/>
      <c r="C2834">
        <f>IF(B2834="","",IFERROR(INDEX(Items!$B$5:$B$304,MATCH(B2834,Items!$A$5:$A$304,0)),"Unknown code"))</f>
        <v/>
      </c>
      <c r="D2834" s="15" t="n"/>
      <c r="E2834" s="16" t="n"/>
      <c r="F2834" s="18">
        <f>IF(OR(D2834="",E2834=""),"",D2834*E2834)</f>
        <v/>
      </c>
      <c r="G2834" s="15" t="n"/>
    </row>
    <row r="2835">
      <c r="A2835" s="19" t="n"/>
      <c r="B2835" s="15" t="n"/>
      <c r="C2835">
        <f>IF(B2835="","",IFERROR(INDEX(Items!$B$5:$B$304,MATCH(B2835,Items!$A$5:$A$304,0)),"Unknown code"))</f>
        <v/>
      </c>
      <c r="D2835" s="15" t="n"/>
      <c r="E2835" s="16" t="n"/>
      <c r="F2835" s="18">
        <f>IF(OR(D2835="",E2835=""),"",D2835*E2835)</f>
        <v/>
      </c>
      <c r="G2835" s="15" t="n"/>
    </row>
    <row r="2836">
      <c r="A2836" s="19" t="n"/>
      <c r="B2836" s="15" t="n"/>
      <c r="C2836">
        <f>IF(B2836="","",IFERROR(INDEX(Items!$B$5:$B$304,MATCH(B2836,Items!$A$5:$A$304,0)),"Unknown code"))</f>
        <v/>
      </c>
      <c r="D2836" s="15" t="n"/>
      <c r="E2836" s="16" t="n"/>
      <c r="F2836" s="18">
        <f>IF(OR(D2836="",E2836=""),"",D2836*E2836)</f>
        <v/>
      </c>
      <c r="G2836" s="15" t="n"/>
    </row>
    <row r="2837">
      <c r="A2837" s="19" t="n"/>
      <c r="B2837" s="15" t="n"/>
      <c r="C2837">
        <f>IF(B2837="","",IFERROR(INDEX(Items!$B$5:$B$304,MATCH(B2837,Items!$A$5:$A$304,0)),"Unknown code"))</f>
        <v/>
      </c>
      <c r="D2837" s="15" t="n"/>
      <c r="E2837" s="16" t="n"/>
      <c r="F2837" s="18">
        <f>IF(OR(D2837="",E2837=""),"",D2837*E2837)</f>
        <v/>
      </c>
      <c r="G2837" s="15" t="n"/>
    </row>
    <row r="2838">
      <c r="A2838" s="19" t="n"/>
      <c r="B2838" s="15" t="n"/>
      <c r="C2838">
        <f>IF(B2838="","",IFERROR(INDEX(Items!$B$5:$B$304,MATCH(B2838,Items!$A$5:$A$304,0)),"Unknown code"))</f>
        <v/>
      </c>
      <c r="D2838" s="15" t="n"/>
      <c r="E2838" s="16" t="n"/>
      <c r="F2838" s="18">
        <f>IF(OR(D2838="",E2838=""),"",D2838*E2838)</f>
        <v/>
      </c>
      <c r="G2838" s="15" t="n"/>
    </row>
    <row r="2839">
      <c r="A2839" s="19" t="n"/>
      <c r="B2839" s="15" t="n"/>
      <c r="C2839">
        <f>IF(B2839="","",IFERROR(INDEX(Items!$B$5:$B$304,MATCH(B2839,Items!$A$5:$A$304,0)),"Unknown code"))</f>
        <v/>
      </c>
      <c r="D2839" s="15" t="n"/>
      <c r="E2839" s="16" t="n"/>
      <c r="F2839" s="18">
        <f>IF(OR(D2839="",E2839=""),"",D2839*E2839)</f>
        <v/>
      </c>
      <c r="G2839" s="15" t="n"/>
    </row>
    <row r="2840">
      <c r="A2840" s="19" t="n"/>
      <c r="B2840" s="15" t="n"/>
      <c r="C2840">
        <f>IF(B2840="","",IFERROR(INDEX(Items!$B$5:$B$304,MATCH(B2840,Items!$A$5:$A$304,0)),"Unknown code"))</f>
        <v/>
      </c>
      <c r="D2840" s="15" t="n"/>
      <c r="E2840" s="16" t="n"/>
      <c r="F2840" s="18">
        <f>IF(OR(D2840="",E2840=""),"",D2840*E2840)</f>
        <v/>
      </c>
      <c r="G2840" s="15" t="n"/>
    </row>
    <row r="2841">
      <c r="A2841" s="19" t="n"/>
      <c r="B2841" s="15" t="n"/>
      <c r="C2841">
        <f>IF(B2841="","",IFERROR(INDEX(Items!$B$5:$B$304,MATCH(B2841,Items!$A$5:$A$304,0)),"Unknown code"))</f>
        <v/>
      </c>
      <c r="D2841" s="15" t="n"/>
      <c r="E2841" s="16" t="n"/>
      <c r="F2841" s="18">
        <f>IF(OR(D2841="",E2841=""),"",D2841*E2841)</f>
        <v/>
      </c>
      <c r="G2841" s="15" t="n"/>
    </row>
    <row r="2842">
      <c r="A2842" s="19" t="n"/>
      <c r="B2842" s="15" t="n"/>
      <c r="C2842">
        <f>IF(B2842="","",IFERROR(INDEX(Items!$B$5:$B$304,MATCH(B2842,Items!$A$5:$A$304,0)),"Unknown code"))</f>
        <v/>
      </c>
      <c r="D2842" s="15" t="n"/>
      <c r="E2842" s="16" t="n"/>
      <c r="F2842" s="18">
        <f>IF(OR(D2842="",E2842=""),"",D2842*E2842)</f>
        <v/>
      </c>
      <c r="G2842" s="15" t="n"/>
    </row>
    <row r="2843">
      <c r="A2843" s="19" t="n"/>
      <c r="B2843" s="15" t="n"/>
      <c r="C2843">
        <f>IF(B2843="","",IFERROR(INDEX(Items!$B$5:$B$304,MATCH(B2843,Items!$A$5:$A$304,0)),"Unknown code"))</f>
        <v/>
      </c>
      <c r="D2843" s="15" t="n"/>
      <c r="E2843" s="16" t="n"/>
      <c r="F2843" s="18">
        <f>IF(OR(D2843="",E2843=""),"",D2843*E2843)</f>
        <v/>
      </c>
      <c r="G2843" s="15" t="n"/>
    </row>
    <row r="2844">
      <c r="A2844" s="19" t="n"/>
      <c r="B2844" s="15" t="n"/>
      <c r="C2844">
        <f>IF(B2844="","",IFERROR(INDEX(Items!$B$5:$B$304,MATCH(B2844,Items!$A$5:$A$304,0)),"Unknown code"))</f>
        <v/>
      </c>
      <c r="D2844" s="15" t="n"/>
      <c r="E2844" s="16" t="n"/>
      <c r="F2844" s="18">
        <f>IF(OR(D2844="",E2844=""),"",D2844*E2844)</f>
        <v/>
      </c>
      <c r="G2844" s="15" t="n"/>
    </row>
    <row r="2845">
      <c r="A2845" s="19" t="n"/>
      <c r="B2845" s="15" t="n"/>
      <c r="C2845">
        <f>IF(B2845="","",IFERROR(INDEX(Items!$B$5:$B$304,MATCH(B2845,Items!$A$5:$A$304,0)),"Unknown code"))</f>
        <v/>
      </c>
      <c r="D2845" s="15" t="n"/>
      <c r="E2845" s="16" t="n"/>
      <c r="F2845" s="18">
        <f>IF(OR(D2845="",E2845=""),"",D2845*E2845)</f>
        <v/>
      </c>
      <c r="G2845" s="15" t="n"/>
    </row>
    <row r="2846">
      <c r="A2846" s="19" t="n"/>
      <c r="B2846" s="15" t="n"/>
      <c r="C2846">
        <f>IF(B2846="","",IFERROR(INDEX(Items!$B$5:$B$304,MATCH(B2846,Items!$A$5:$A$304,0)),"Unknown code"))</f>
        <v/>
      </c>
      <c r="D2846" s="15" t="n"/>
      <c r="E2846" s="16" t="n"/>
      <c r="F2846" s="18">
        <f>IF(OR(D2846="",E2846=""),"",D2846*E2846)</f>
        <v/>
      </c>
      <c r="G2846" s="15" t="n"/>
    </row>
    <row r="2847">
      <c r="A2847" s="19" t="n"/>
      <c r="B2847" s="15" t="n"/>
      <c r="C2847">
        <f>IF(B2847="","",IFERROR(INDEX(Items!$B$5:$B$304,MATCH(B2847,Items!$A$5:$A$304,0)),"Unknown code"))</f>
        <v/>
      </c>
      <c r="D2847" s="15" t="n"/>
      <c r="E2847" s="16" t="n"/>
      <c r="F2847" s="18">
        <f>IF(OR(D2847="",E2847=""),"",D2847*E2847)</f>
        <v/>
      </c>
      <c r="G2847" s="15" t="n"/>
    </row>
    <row r="2848">
      <c r="A2848" s="19" t="n"/>
      <c r="B2848" s="15" t="n"/>
      <c r="C2848">
        <f>IF(B2848="","",IFERROR(INDEX(Items!$B$5:$B$304,MATCH(B2848,Items!$A$5:$A$304,0)),"Unknown code"))</f>
        <v/>
      </c>
      <c r="D2848" s="15" t="n"/>
      <c r="E2848" s="16" t="n"/>
      <c r="F2848" s="18">
        <f>IF(OR(D2848="",E2848=""),"",D2848*E2848)</f>
        <v/>
      </c>
      <c r="G2848" s="15" t="n"/>
    </row>
    <row r="2849">
      <c r="A2849" s="19" t="n"/>
      <c r="B2849" s="15" t="n"/>
      <c r="C2849">
        <f>IF(B2849="","",IFERROR(INDEX(Items!$B$5:$B$304,MATCH(B2849,Items!$A$5:$A$304,0)),"Unknown code"))</f>
        <v/>
      </c>
      <c r="D2849" s="15" t="n"/>
      <c r="E2849" s="16" t="n"/>
      <c r="F2849" s="18">
        <f>IF(OR(D2849="",E2849=""),"",D2849*E2849)</f>
        <v/>
      </c>
      <c r="G2849" s="15" t="n"/>
    </row>
    <row r="2850">
      <c r="A2850" s="19" t="n"/>
      <c r="B2850" s="15" t="n"/>
      <c r="C2850">
        <f>IF(B2850="","",IFERROR(INDEX(Items!$B$5:$B$304,MATCH(B2850,Items!$A$5:$A$304,0)),"Unknown code"))</f>
        <v/>
      </c>
      <c r="D2850" s="15" t="n"/>
      <c r="E2850" s="16" t="n"/>
      <c r="F2850" s="18">
        <f>IF(OR(D2850="",E2850=""),"",D2850*E2850)</f>
        <v/>
      </c>
      <c r="G2850" s="15" t="n"/>
    </row>
    <row r="2851">
      <c r="A2851" s="19" t="n"/>
      <c r="B2851" s="15" t="n"/>
      <c r="C2851">
        <f>IF(B2851="","",IFERROR(INDEX(Items!$B$5:$B$304,MATCH(B2851,Items!$A$5:$A$304,0)),"Unknown code"))</f>
        <v/>
      </c>
      <c r="D2851" s="15" t="n"/>
      <c r="E2851" s="16" t="n"/>
      <c r="F2851" s="18">
        <f>IF(OR(D2851="",E2851=""),"",D2851*E2851)</f>
        <v/>
      </c>
      <c r="G2851" s="15" t="n"/>
    </row>
    <row r="2852">
      <c r="A2852" s="19" t="n"/>
      <c r="B2852" s="15" t="n"/>
      <c r="C2852">
        <f>IF(B2852="","",IFERROR(INDEX(Items!$B$5:$B$304,MATCH(B2852,Items!$A$5:$A$304,0)),"Unknown code"))</f>
        <v/>
      </c>
      <c r="D2852" s="15" t="n"/>
      <c r="E2852" s="16" t="n"/>
      <c r="F2852" s="18">
        <f>IF(OR(D2852="",E2852=""),"",D2852*E2852)</f>
        <v/>
      </c>
      <c r="G2852" s="15" t="n"/>
    </row>
    <row r="2853">
      <c r="A2853" s="19" t="n"/>
      <c r="B2853" s="15" t="n"/>
      <c r="C2853">
        <f>IF(B2853="","",IFERROR(INDEX(Items!$B$5:$B$304,MATCH(B2853,Items!$A$5:$A$304,0)),"Unknown code"))</f>
        <v/>
      </c>
      <c r="D2853" s="15" t="n"/>
      <c r="E2853" s="16" t="n"/>
      <c r="F2853" s="18">
        <f>IF(OR(D2853="",E2853=""),"",D2853*E2853)</f>
        <v/>
      </c>
      <c r="G2853" s="15" t="n"/>
    </row>
    <row r="2854">
      <c r="A2854" s="19" t="n"/>
      <c r="B2854" s="15" t="n"/>
      <c r="C2854">
        <f>IF(B2854="","",IFERROR(INDEX(Items!$B$5:$B$304,MATCH(B2854,Items!$A$5:$A$304,0)),"Unknown code"))</f>
        <v/>
      </c>
      <c r="D2854" s="15" t="n"/>
      <c r="E2854" s="16" t="n"/>
      <c r="F2854" s="18">
        <f>IF(OR(D2854="",E2854=""),"",D2854*E2854)</f>
        <v/>
      </c>
      <c r="G2854" s="15" t="n"/>
    </row>
    <row r="2855">
      <c r="A2855" s="19" t="n"/>
      <c r="B2855" s="15" t="n"/>
      <c r="C2855">
        <f>IF(B2855="","",IFERROR(INDEX(Items!$B$5:$B$304,MATCH(B2855,Items!$A$5:$A$304,0)),"Unknown code"))</f>
        <v/>
      </c>
      <c r="D2855" s="15" t="n"/>
      <c r="E2855" s="16" t="n"/>
      <c r="F2855" s="18">
        <f>IF(OR(D2855="",E2855=""),"",D2855*E2855)</f>
        <v/>
      </c>
      <c r="G2855" s="15" t="n"/>
    </row>
    <row r="2856">
      <c r="A2856" s="19" t="n"/>
      <c r="B2856" s="15" t="n"/>
      <c r="C2856">
        <f>IF(B2856="","",IFERROR(INDEX(Items!$B$5:$B$304,MATCH(B2856,Items!$A$5:$A$304,0)),"Unknown code"))</f>
        <v/>
      </c>
      <c r="D2856" s="15" t="n"/>
      <c r="E2856" s="16" t="n"/>
      <c r="F2856" s="18">
        <f>IF(OR(D2856="",E2856=""),"",D2856*E2856)</f>
        <v/>
      </c>
      <c r="G2856" s="15" t="n"/>
    </row>
    <row r="2857">
      <c r="A2857" s="19" t="n"/>
      <c r="B2857" s="15" t="n"/>
      <c r="C2857">
        <f>IF(B2857="","",IFERROR(INDEX(Items!$B$5:$B$304,MATCH(B2857,Items!$A$5:$A$304,0)),"Unknown code"))</f>
        <v/>
      </c>
      <c r="D2857" s="15" t="n"/>
      <c r="E2857" s="16" t="n"/>
      <c r="F2857" s="18">
        <f>IF(OR(D2857="",E2857=""),"",D2857*E2857)</f>
        <v/>
      </c>
      <c r="G2857" s="15" t="n"/>
    </row>
    <row r="2858">
      <c r="A2858" s="19" t="n"/>
      <c r="B2858" s="15" t="n"/>
      <c r="C2858">
        <f>IF(B2858="","",IFERROR(INDEX(Items!$B$5:$B$304,MATCH(B2858,Items!$A$5:$A$304,0)),"Unknown code"))</f>
        <v/>
      </c>
      <c r="D2858" s="15" t="n"/>
      <c r="E2858" s="16" t="n"/>
      <c r="F2858" s="18">
        <f>IF(OR(D2858="",E2858=""),"",D2858*E2858)</f>
        <v/>
      </c>
      <c r="G2858" s="15" t="n"/>
    </row>
    <row r="2859">
      <c r="A2859" s="19" t="n"/>
      <c r="B2859" s="15" t="n"/>
      <c r="C2859">
        <f>IF(B2859="","",IFERROR(INDEX(Items!$B$5:$B$304,MATCH(B2859,Items!$A$5:$A$304,0)),"Unknown code"))</f>
        <v/>
      </c>
      <c r="D2859" s="15" t="n"/>
      <c r="E2859" s="16" t="n"/>
      <c r="F2859" s="18">
        <f>IF(OR(D2859="",E2859=""),"",D2859*E2859)</f>
        <v/>
      </c>
      <c r="G2859" s="15" t="n"/>
    </row>
    <row r="2860">
      <c r="A2860" s="19" t="n"/>
      <c r="B2860" s="15" t="n"/>
      <c r="C2860">
        <f>IF(B2860="","",IFERROR(INDEX(Items!$B$5:$B$304,MATCH(B2860,Items!$A$5:$A$304,0)),"Unknown code"))</f>
        <v/>
      </c>
      <c r="D2860" s="15" t="n"/>
      <c r="E2860" s="16" t="n"/>
      <c r="F2860" s="18">
        <f>IF(OR(D2860="",E2860=""),"",D2860*E2860)</f>
        <v/>
      </c>
      <c r="G2860" s="15" t="n"/>
    </row>
    <row r="2861">
      <c r="A2861" s="19" t="n"/>
      <c r="B2861" s="15" t="n"/>
      <c r="C2861">
        <f>IF(B2861="","",IFERROR(INDEX(Items!$B$5:$B$304,MATCH(B2861,Items!$A$5:$A$304,0)),"Unknown code"))</f>
        <v/>
      </c>
      <c r="D2861" s="15" t="n"/>
      <c r="E2861" s="16" t="n"/>
      <c r="F2861" s="18">
        <f>IF(OR(D2861="",E2861=""),"",D2861*E2861)</f>
        <v/>
      </c>
      <c r="G2861" s="15" t="n"/>
    </row>
    <row r="2862">
      <c r="A2862" s="19" t="n"/>
      <c r="B2862" s="15" t="n"/>
      <c r="C2862">
        <f>IF(B2862="","",IFERROR(INDEX(Items!$B$5:$B$304,MATCH(B2862,Items!$A$5:$A$304,0)),"Unknown code"))</f>
        <v/>
      </c>
      <c r="D2862" s="15" t="n"/>
      <c r="E2862" s="16" t="n"/>
      <c r="F2862" s="18">
        <f>IF(OR(D2862="",E2862=""),"",D2862*E2862)</f>
        <v/>
      </c>
      <c r="G2862" s="15" t="n"/>
    </row>
    <row r="2863">
      <c r="A2863" s="19" t="n"/>
      <c r="B2863" s="15" t="n"/>
      <c r="C2863">
        <f>IF(B2863="","",IFERROR(INDEX(Items!$B$5:$B$304,MATCH(B2863,Items!$A$5:$A$304,0)),"Unknown code"))</f>
        <v/>
      </c>
      <c r="D2863" s="15" t="n"/>
      <c r="E2863" s="16" t="n"/>
      <c r="F2863" s="18">
        <f>IF(OR(D2863="",E2863=""),"",D2863*E2863)</f>
        <v/>
      </c>
      <c r="G2863" s="15" t="n"/>
    </row>
    <row r="2864">
      <c r="A2864" s="19" t="n"/>
      <c r="B2864" s="15" t="n"/>
      <c r="C2864">
        <f>IF(B2864="","",IFERROR(INDEX(Items!$B$5:$B$304,MATCH(B2864,Items!$A$5:$A$304,0)),"Unknown code"))</f>
        <v/>
      </c>
      <c r="D2864" s="15" t="n"/>
      <c r="E2864" s="16" t="n"/>
      <c r="F2864" s="18">
        <f>IF(OR(D2864="",E2864=""),"",D2864*E2864)</f>
        <v/>
      </c>
      <c r="G2864" s="15" t="n"/>
    </row>
    <row r="2865">
      <c r="A2865" s="19" t="n"/>
      <c r="B2865" s="15" t="n"/>
      <c r="C2865">
        <f>IF(B2865="","",IFERROR(INDEX(Items!$B$5:$B$304,MATCH(B2865,Items!$A$5:$A$304,0)),"Unknown code"))</f>
        <v/>
      </c>
      <c r="D2865" s="15" t="n"/>
      <c r="E2865" s="16" t="n"/>
      <c r="F2865" s="18">
        <f>IF(OR(D2865="",E2865=""),"",D2865*E2865)</f>
        <v/>
      </c>
      <c r="G2865" s="15" t="n"/>
    </row>
    <row r="2866">
      <c r="A2866" s="19" t="n"/>
      <c r="B2866" s="15" t="n"/>
      <c r="C2866">
        <f>IF(B2866="","",IFERROR(INDEX(Items!$B$5:$B$304,MATCH(B2866,Items!$A$5:$A$304,0)),"Unknown code"))</f>
        <v/>
      </c>
      <c r="D2866" s="15" t="n"/>
      <c r="E2866" s="16" t="n"/>
      <c r="F2866" s="18">
        <f>IF(OR(D2866="",E2866=""),"",D2866*E2866)</f>
        <v/>
      </c>
      <c r="G2866" s="15" t="n"/>
    </row>
    <row r="2867">
      <c r="A2867" s="19" t="n"/>
      <c r="B2867" s="15" t="n"/>
      <c r="C2867">
        <f>IF(B2867="","",IFERROR(INDEX(Items!$B$5:$B$304,MATCH(B2867,Items!$A$5:$A$304,0)),"Unknown code"))</f>
        <v/>
      </c>
      <c r="D2867" s="15" t="n"/>
      <c r="E2867" s="16" t="n"/>
      <c r="F2867" s="18">
        <f>IF(OR(D2867="",E2867=""),"",D2867*E2867)</f>
        <v/>
      </c>
      <c r="G2867" s="15" t="n"/>
    </row>
    <row r="2868">
      <c r="A2868" s="19" t="n"/>
      <c r="B2868" s="15" t="n"/>
      <c r="C2868">
        <f>IF(B2868="","",IFERROR(INDEX(Items!$B$5:$B$304,MATCH(B2868,Items!$A$5:$A$304,0)),"Unknown code"))</f>
        <v/>
      </c>
      <c r="D2868" s="15" t="n"/>
      <c r="E2868" s="16" t="n"/>
      <c r="F2868" s="18">
        <f>IF(OR(D2868="",E2868=""),"",D2868*E2868)</f>
        <v/>
      </c>
      <c r="G2868" s="15" t="n"/>
    </row>
    <row r="2869">
      <c r="A2869" s="19" t="n"/>
      <c r="B2869" s="15" t="n"/>
      <c r="C2869">
        <f>IF(B2869="","",IFERROR(INDEX(Items!$B$5:$B$304,MATCH(B2869,Items!$A$5:$A$304,0)),"Unknown code"))</f>
        <v/>
      </c>
      <c r="D2869" s="15" t="n"/>
      <c r="E2869" s="16" t="n"/>
      <c r="F2869" s="18">
        <f>IF(OR(D2869="",E2869=""),"",D2869*E2869)</f>
        <v/>
      </c>
      <c r="G2869" s="15" t="n"/>
    </row>
    <row r="2870">
      <c r="A2870" s="19" t="n"/>
      <c r="B2870" s="15" t="n"/>
      <c r="C2870">
        <f>IF(B2870="","",IFERROR(INDEX(Items!$B$5:$B$304,MATCH(B2870,Items!$A$5:$A$304,0)),"Unknown code"))</f>
        <v/>
      </c>
      <c r="D2870" s="15" t="n"/>
      <c r="E2870" s="16" t="n"/>
      <c r="F2870" s="18">
        <f>IF(OR(D2870="",E2870=""),"",D2870*E2870)</f>
        <v/>
      </c>
      <c r="G2870" s="15" t="n"/>
    </row>
    <row r="2871">
      <c r="A2871" s="19" t="n"/>
      <c r="B2871" s="15" t="n"/>
      <c r="C2871">
        <f>IF(B2871="","",IFERROR(INDEX(Items!$B$5:$B$304,MATCH(B2871,Items!$A$5:$A$304,0)),"Unknown code"))</f>
        <v/>
      </c>
      <c r="D2871" s="15" t="n"/>
      <c r="E2871" s="16" t="n"/>
      <c r="F2871" s="18">
        <f>IF(OR(D2871="",E2871=""),"",D2871*E2871)</f>
        <v/>
      </c>
      <c r="G2871" s="15" t="n"/>
    </row>
    <row r="2872">
      <c r="A2872" s="19" t="n"/>
      <c r="B2872" s="15" t="n"/>
      <c r="C2872">
        <f>IF(B2872="","",IFERROR(INDEX(Items!$B$5:$B$304,MATCH(B2872,Items!$A$5:$A$304,0)),"Unknown code"))</f>
        <v/>
      </c>
      <c r="D2872" s="15" t="n"/>
      <c r="E2872" s="16" t="n"/>
      <c r="F2872" s="18">
        <f>IF(OR(D2872="",E2872=""),"",D2872*E2872)</f>
        <v/>
      </c>
      <c r="G2872" s="15" t="n"/>
    </row>
    <row r="2873">
      <c r="A2873" s="19" t="n"/>
      <c r="B2873" s="15" t="n"/>
      <c r="C2873">
        <f>IF(B2873="","",IFERROR(INDEX(Items!$B$5:$B$304,MATCH(B2873,Items!$A$5:$A$304,0)),"Unknown code"))</f>
        <v/>
      </c>
      <c r="D2873" s="15" t="n"/>
      <c r="E2873" s="16" t="n"/>
      <c r="F2873" s="18">
        <f>IF(OR(D2873="",E2873=""),"",D2873*E2873)</f>
        <v/>
      </c>
      <c r="G2873" s="15" t="n"/>
    </row>
    <row r="2874">
      <c r="A2874" s="19" t="n"/>
      <c r="B2874" s="15" t="n"/>
      <c r="C2874">
        <f>IF(B2874="","",IFERROR(INDEX(Items!$B$5:$B$304,MATCH(B2874,Items!$A$5:$A$304,0)),"Unknown code"))</f>
        <v/>
      </c>
      <c r="D2874" s="15" t="n"/>
      <c r="E2874" s="16" t="n"/>
      <c r="F2874" s="18">
        <f>IF(OR(D2874="",E2874=""),"",D2874*E2874)</f>
        <v/>
      </c>
      <c r="G2874" s="15" t="n"/>
    </row>
    <row r="2875">
      <c r="A2875" s="19" t="n"/>
      <c r="B2875" s="15" t="n"/>
      <c r="C2875">
        <f>IF(B2875="","",IFERROR(INDEX(Items!$B$5:$B$304,MATCH(B2875,Items!$A$5:$A$304,0)),"Unknown code"))</f>
        <v/>
      </c>
      <c r="D2875" s="15" t="n"/>
      <c r="E2875" s="16" t="n"/>
      <c r="F2875" s="18">
        <f>IF(OR(D2875="",E2875=""),"",D2875*E2875)</f>
        <v/>
      </c>
      <c r="G2875" s="15" t="n"/>
    </row>
    <row r="2876">
      <c r="A2876" s="19" t="n"/>
      <c r="B2876" s="15" t="n"/>
      <c r="C2876">
        <f>IF(B2876="","",IFERROR(INDEX(Items!$B$5:$B$304,MATCH(B2876,Items!$A$5:$A$304,0)),"Unknown code"))</f>
        <v/>
      </c>
      <c r="D2876" s="15" t="n"/>
      <c r="E2876" s="16" t="n"/>
      <c r="F2876" s="18">
        <f>IF(OR(D2876="",E2876=""),"",D2876*E2876)</f>
        <v/>
      </c>
      <c r="G2876" s="15" t="n"/>
    </row>
    <row r="2877">
      <c r="A2877" s="19" t="n"/>
      <c r="B2877" s="15" t="n"/>
      <c r="C2877">
        <f>IF(B2877="","",IFERROR(INDEX(Items!$B$5:$B$304,MATCH(B2877,Items!$A$5:$A$304,0)),"Unknown code"))</f>
        <v/>
      </c>
      <c r="D2877" s="15" t="n"/>
      <c r="E2877" s="16" t="n"/>
      <c r="F2877" s="18">
        <f>IF(OR(D2877="",E2877=""),"",D2877*E2877)</f>
        <v/>
      </c>
      <c r="G2877" s="15" t="n"/>
    </row>
    <row r="2878">
      <c r="A2878" s="19" t="n"/>
      <c r="B2878" s="15" t="n"/>
      <c r="C2878">
        <f>IF(B2878="","",IFERROR(INDEX(Items!$B$5:$B$304,MATCH(B2878,Items!$A$5:$A$304,0)),"Unknown code"))</f>
        <v/>
      </c>
      <c r="D2878" s="15" t="n"/>
      <c r="E2878" s="16" t="n"/>
      <c r="F2878" s="18">
        <f>IF(OR(D2878="",E2878=""),"",D2878*E2878)</f>
        <v/>
      </c>
      <c r="G2878" s="15" t="n"/>
    </row>
    <row r="2879">
      <c r="A2879" s="19" t="n"/>
      <c r="B2879" s="15" t="n"/>
      <c r="C2879">
        <f>IF(B2879="","",IFERROR(INDEX(Items!$B$5:$B$304,MATCH(B2879,Items!$A$5:$A$304,0)),"Unknown code"))</f>
        <v/>
      </c>
      <c r="D2879" s="15" t="n"/>
      <c r="E2879" s="16" t="n"/>
      <c r="F2879" s="18">
        <f>IF(OR(D2879="",E2879=""),"",D2879*E2879)</f>
        <v/>
      </c>
      <c r="G2879" s="15" t="n"/>
    </row>
    <row r="2880">
      <c r="A2880" s="19" t="n"/>
      <c r="B2880" s="15" t="n"/>
      <c r="C2880">
        <f>IF(B2880="","",IFERROR(INDEX(Items!$B$5:$B$304,MATCH(B2880,Items!$A$5:$A$304,0)),"Unknown code"))</f>
        <v/>
      </c>
      <c r="D2880" s="15" t="n"/>
      <c r="E2880" s="16" t="n"/>
      <c r="F2880" s="18">
        <f>IF(OR(D2880="",E2880=""),"",D2880*E2880)</f>
        <v/>
      </c>
      <c r="G2880" s="15" t="n"/>
    </row>
    <row r="2881">
      <c r="A2881" s="19" t="n"/>
      <c r="B2881" s="15" t="n"/>
      <c r="C2881">
        <f>IF(B2881="","",IFERROR(INDEX(Items!$B$5:$B$304,MATCH(B2881,Items!$A$5:$A$304,0)),"Unknown code"))</f>
        <v/>
      </c>
      <c r="D2881" s="15" t="n"/>
      <c r="E2881" s="16" t="n"/>
      <c r="F2881" s="18">
        <f>IF(OR(D2881="",E2881=""),"",D2881*E2881)</f>
        <v/>
      </c>
      <c r="G2881" s="15" t="n"/>
    </row>
    <row r="2882">
      <c r="A2882" s="19" t="n"/>
      <c r="B2882" s="15" t="n"/>
      <c r="C2882">
        <f>IF(B2882="","",IFERROR(INDEX(Items!$B$5:$B$304,MATCH(B2882,Items!$A$5:$A$304,0)),"Unknown code"))</f>
        <v/>
      </c>
      <c r="D2882" s="15" t="n"/>
      <c r="E2882" s="16" t="n"/>
      <c r="F2882" s="18">
        <f>IF(OR(D2882="",E2882=""),"",D2882*E2882)</f>
        <v/>
      </c>
      <c r="G2882" s="15" t="n"/>
    </row>
    <row r="2883">
      <c r="A2883" s="19" t="n"/>
      <c r="B2883" s="15" t="n"/>
      <c r="C2883">
        <f>IF(B2883="","",IFERROR(INDEX(Items!$B$5:$B$304,MATCH(B2883,Items!$A$5:$A$304,0)),"Unknown code"))</f>
        <v/>
      </c>
      <c r="D2883" s="15" t="n"/>
      <c r="E2883" s="16" t="n"/>
      <c r="F2883" s="18">
        <f>IF(OR(D2883="",E2883=""),"",D2883*E2883)</f>
        <v/>
      </c>
      <c r="G2883" s="15" t="n"/>
    </row>
    <row r="2884">
      <c r="A2884" s="19" t="n"/>
      <c r="B2884" s="15" t="n"/>
      <c r="C2884">
        <f>IF(B2884="","",IFERROR(INDEX(Items!$B$5:$B$304,MATCH(B2884,Items!$A$5:$A$304,0)),"Unknown code"))</f>
        <v/>
      </c>
      <c r="D2884" s="15" t="n"/>
      <c r="E2884" s="16" t="n"/>
      <c r="F2884" s="18">
        <f>IF(OR(D2884="",E2884=""),"",D2884*E2884)</f>
        <v/>
      </c>
      <c r="G2884" s="15" t="n"/>
    </row>
    <row r="2885">
      <c r="A2885" s="19" t="n"/>
      <c r="B2885" s="15" t="n"/>
      <c r="C2885">
        <f>IF(B2885="","",IFERROR(INDEX(Items!$B$5:$B$304,MATCH(B2885,Items!$A$5:$A$304,0)),"Unknown code"))</f>
        <v/>
      </c>
      <c r="D2885" s="15" t="n"/>
      <c r="E2885" s="16" t="n"/>
      <c r="F2885" s="18">
        <f>IF(OR(D2885="",E2885=""),"",D2885*E2885)</f>
        <v/>
      </c>
      <c r="G2885" s="15" t="n"/>
    </row>
    <row r="2886">
      <c r="A2886" s="19" t="n"/>
      <c r="B2886" s="15" t="n"/>
      <c r="C2886">
        <f>IF(B2886="","",IFERROR(INDEX(Items!$B$5:$B$304,MATCH(B2886,Items!$A$5:$A$304,0)),"Unknown code"))</f>
        <v/>
      </c>
      <c r="D2886" s="15" t="n"/>
      <c r="E2886" s="16" t="n"/>
      <c r="F2886" s="18">
        <f>IF(OR(D2886="",E2886=""),"",D2886*E2886)</f>
        <v/>
      </c>
      <c r="G2886" s="15" t="n"/>
    </row>
    <row r="2887">
      <c r="A2887" s="19" t="n"/>
      <c r="B2887" s="15" t="n"/>
      <c r="C2887">
        <f>IF(B2887="","",IFERROR(INDEX(Items!$B$5:$B$304,MATCH(B2887,Items!$A$5:$A$304,0)),"Unknown code"))</f>
        <v/>
      </c>
      <c r="D2887" s="15" t="n"/>
      <c r="E2887" s="16" t="n"/>
      <c r="F2887" s="18">
        <f>IF(OR(D2887="",E2887=""),"",D2887*E2887)</f>
        <v/>
      </c>
      <c r="G2887" s="15" t="n"/>
    </row>
    <row r="2888">
      <c r="A2888" s="19" t="n"/>
      <c r="B2888" s="15" t="n"/>
      <c r="C2888">
        <f>IF(B2888="","",IFERROR(INDEX(Items!$B$5:$B$304,MATCH(B2888,Items!$A$5:$A$304,0)),"Unknown code"))</f>
        <v/>
      </c>
      <c r="D2888" s="15" t="n"/>
      <c r="E2888" s="16" t="n"/>
      <c r="F2888" s="18">
        <f>IF(OR(D2888="",E2888=""),"",D2888*E2888)</f>
        <v/>
      </c>
      <c r="G2888" s="15" t="n"/>
    </row>
    <row r="2889">
      <c r="A2889" s="19" t="n"/>
      <c r="B2889" s="15" t="n"/>
      <c r="C2889">
        <f>IF(B2889="","",IFERROR(INDEX(Items!$B$5:$B$304,MATCH(B2889,Items!$A$5:$A$304,0)),"Unknown code"))</f>
        <v/>
      </c>
      <c r="D2889" s="15" t="n"/>
      <c r="E2889" s="16" t="n"/>
      <c r="F2889" s="18">
        <f>IF(OR(D2889="",E2889=""),"",D2889*E2889)</f>
        <v/>
      </c>
      <c r="G2889" s="15" t="n"/>
    </row>
    <row r="2890">
      <c r="A2890" s="19" t="n"/>
      <c r="B2890" s="15" t="n"/>
      <c r="C2890">
        <f>IF(B2890="","",IFERROR(INDEX(Items!$B$5:$B$304,MATCH(B2890,Items!$A$5:$A$304,0)),"Unknown code"))</f>
        <v/>
      </c>
      <c r="D2890" s="15" t="n"/>
      <c r="E2890" s="16" t="n"/>
      <c r="F2890" s="18">
        <f>IF(OR(D2890="",E2890=""),"",D2890*E2890)</f>
        <v/>
      </c>
      <c r="G2890" s="15" t="n"/>
    </row>
    <row r="2891">
      <c r="A2891" s="19" t="n"/>
      <c r="B2891" s="15" t="n"/>
      <c r="C2891">
        <f>IF(B2891="","",IFERROR(INDEX(Items!$B$5:$B$304,MATCH(B2891,Items!$A$5:$A$304,0)),"Unknown code"))</f>
        <v/>
      </c>
      <c r="D2891" s="15" t="n"/>
      <c r="E2891" s="16" t="n"/>
      <c r="F2891" s="18">
        <f>IF(OR(D2891="",E2891=""),"",D2891*E2891)</f>
        <v/>
      </c>
      <c r="G2891" s="15" t="n"/>
    </row>
    <row r="2892">
      <c r="A2892" s="19" t="n"/>
      <c r="B2892" s="15" t="n"/>
      <c r="C2892">
        <f>IF(B2892="","",IFERROR(INDEX(Items!$B$5:$B$304,MATCH(B2892,Items!$A$5:$A$304,0)),"Unknown code"))</f>
        <v/>
      </c>
      <c r="D2892" s="15" t="n"/>
      <c r="E2892" s="16" t="n"/>
      <c r="F2892" s="18">
        <f>IF(OR(D2892="",E2892=""),"",D2892*E2892)</f>
        <v/>
      </c>
      <c r="G2892" s="15" t="n"/>
    </row>
    <row r="2893">
      <c r="A2893" s="19" t="n"/>
      <c r="B2893" s="15" t="n"/>
      <c r="C2893">
        <f>IF(B2893="","",IFERROR(INDEX(Items!$B$5:$B$304,MATCH(B2893,Items!$A$5:$A$304,0)),"Unknown code"))</f>
        <v/>
      </c>
      <c r="D2893" s="15" t="n"/>
      <c r="E2893" s="16" t="n"/>
      <c r="F2893" s="18">
        <f>IF(OR(D2893="",E2893=""),"",D2893*E2893)</f>
        <v/>
      </c>
      <c r="G2893" s="15" t="n"/>
    </row>
    <row r="2894">
      <c r="A2894" s="19" t="n"/>
      <c r="B2894" s="15" t="n"/>
      <c r="C2894">
        <f>IF(B2894="","",IFERROR(INDEX(Items!$B$5:$B$304,MATCH(B2894,Items!$A$5:$A$304,0)),"Unknown code"))</f>
        <v/>
      </c>
      <c r="D2894" s="15" t="n"/>
      <c r="E2894" s="16" t="n"/>
      <c r="F2894" s="18">
        <f>IF(OR(D2894="",E2894=""),"",D2894*E2894)</f>
        <v/>
      </c>
      <c r="G2894" s="15" t="n"/>
    </row>
    <row r="2895">
      <c r="A2895" s="19" t="n"/>
      <c r="B2895" s="15" t="n"/>
      <c r="C2895">
        <f>IF(B2895="","",IFERROR(INDEX(Items!$B$5:$B$304,MATCH(B2895,Items!$A$5:$A$304,0)),"Unknown code"))</f>
        <v/>
      </c>
      <c r="D2895" s="15" t="n"/>
      <c r="E2895" s="16" t="n"/>
      <c r="F2895" s="18">
        <f>IF(OR(D2895="",E2895=""),"",D2895*E2895)</f>
        <v/>
      </c>
      <c r="G2895" s="15" t="n"/>
    </row>
    <row r="2896">
      <c r="A2896" s="19" t="n"/>
      <c r="B2896" s="15" t="n"/>
      <c r="C2896">
        <f>IF(B2896="","",IFERROR(INDEX(Items!$B$5:$B$304,MATCH(B2896,Items!$A$5:$A$304,0)),"Unknown code"))</f>
        <v/>
      </c>
      <c r="D2896" s="15" t="n"/>
      <c r="E2896" s="16" t="n"/>
      <c r="F2896" s="18">
        <f>IF(OR(D2896="",E2896=""),"",D2896*E2896)</f>
        <v/>
      </c>
      <c r="G2896" s="15" t="n"/>
    </row>
    <row r="2897">
      <c r="A2897" s="19" t="n"/>
      <c r="B2897" s="15" t="n"/>
      <c r="C2897">
        <f>IF(B2897="","",IFERROR(INDEX(Items!$B$5:$B$304,MATCH(B2897,Items!$A$5:$A$304,0)),"Unknown code"))</f>
        <v/>
      </c>
      <c r="D2897" s="15" t="n"/>
      <c r="E2897" s="16" t="n"/>
      <c r="F2897" s="18">
        <f>IF(OR(D2897="",E2897=""),"",D2897*E2897)</f>
        <v/>
      </c>
      <c r="G2897" s="15" t="n"/>
    </row>
    <row r="2898">
      <c r="A2898" s="19" t="n"/>
      <c r="B2898" s="15" t="n"/>
      <c r="C2898">
        <f>IF(B2898="","",IFERROR(INDEX(Items!$B$5:$B$304,MATCH(B2898,Items!$A$5:$A$304,0)),"Unknown code"))</f>
        <v/>
      </c>
      <c r="D2898" s="15" t="n"/>
      <c r="E2898" s="16" t="n"/>
      <c r="F2898" s="18">
        <f>IF(OR(D2898="",E2898=""),"",D2898*E2898)</f>
        <v/>
      </c>
      <c r="G2898" s="15" t="n"/>
    </row>
    <row r="2899">
      <c r="A2899" s="19" t="n"/>
      <c r="B2899" s="15" t="n"/>
      <c r="C2899">
        <f>IF(B2899="","",IFERROR(INDEX(Items!$B$5:$B$304,MATCH(B2899,Items!$A$5:$A$304,0)),"Unknown code"))</f>
        <v/>
      </c>
      <c r="D2899" s="15" t="n"/>
      <c r="E2899" s="16" t="n"/>
      <c r="F2899" s="18">
        <f>IF(OR(D2899="",E2899=""),"",D2899*E2899)</f>
        <v/>
      </c>
      <c r="G2899" s="15" t="n"/>
    </row>
    <row r="2900">
      <c r="A2900" s="19" t="n"/>
      <c r="B2900" s="15" t="n"/>
      <c r="C2900">
        <f>IF(B2900="","",IFERROR(INDEX(Items!$B$5:$B$304,MATCH(B2900,Items!$A$5:$A$304,0)),"Unknown code"))</f>
        <v/>
      </c>
      <c r="D2900" s="15" t="n"/>
      <c r="E2900" s="16" t="n"/>
      <c r="F2900" s="18">
        <f>IF(OR(D2900="",E2900=""),"",D2900*E2900)</f>
        <v/>
      </c>
      <c r="G2900" s="15" t="n"/>
    </row>
    <row r="2901">
      <c r="A2901" s="19" t="n"/>
      <c r="B2901" s="15" t="n"/>
      <c r="C2901">
        <f>IF(B2901="","",IFERROR(INDEX(Items!$B$5:$B$304,MATCH(B2901,Items!$A$5:$A$304,0)),"Unknown code"))</f>
        <v/>
      </c>
      <c r="D2901" s="15" t="n"/>
      <c r="E2901" s="16" t="n"/>
      <c r="F2901" s="18">
        <f>IF(OR(D2901="",E2901=""),"",D2901*E2901)</f>
        <v/>
      </c>
      <c r="G2901" s="15" t="n"/>
    </row>
    <row r="2902">
      <c r="A2902" s="19" t="n"/>
      <c r="B2902" s="15" t="n"/>
      <c r="C2902">
        <f>IF(B2902="","",IFERROR(INDEX(Items!$B$5:$B$304,MATCH(B2902,Items!$A$5:$A$304,0)),"Unknown code"))</f>
        <v/>
      </c>
      <c r="D2902" s="15" t="n"/>
      <c r="E2902" s="16" t="n"/>
      <c r="F2902" s="18">
        <f>IF(OR(D2902="",E2902=""),"",D2902*E2902)</f>
        <v/>
      </c>
      <c r="G2902" s="15" t="n"/>
    </row>
    <row r="2903">
      <c r="A2903" s="19" t="n"/>
      <c r="B2903" s="15" t="n"/>
      <c r="C2903">
        <f>IF(B2903="","",IFERROR(INDEX(Items!$B$5:$B$304,MATCH(B2903,Items!$A$5:$A$304,0)),"Unknown code"))</f>
        <v/>
      </c>
      <c r="D2903" s="15" t="n"/>
      <c r="E2903" s="16" t="n"/>
      <c r="F2903" s="18">
        <f>IF(OR(D2903="",E2903=""),"",D2903*E2903)</f>
        <v/>
      </c>
      <c r="G2903" s="15" t="n"/>
    </row>
    <row r="2904">
      <c r="A2904" s="19" t="n"/>
      <c r="B2904" s="15" t="n"/>
      <c r="C2904">
        <f>IF(B2904="","",IFERROR(INDEX(Items!$B$5:$B$304,MATCH(B2904,Items!$A$5:$A$304,0)),"Unknown code"))</f>
        <v/>
      </c>
      <c r="D2904" s="15" t="n"/>
      <c r="E2904" s="16" t="n"/>
      <c r="F2904" s="18">
        <f>IF(OR(D2904="",E2904=""),"",D2904*E2904)</f>
        <v/>
      </c>
      <c r="G2904" s="15" t="n"/>
    </row>
    <row r="2905">
      <c r="A2905" s="19" t="n"/>
      <c r="B2905" s="15" t="n"/>
      <c r="C2905">
        <f>IF(B2905="","",IFERROR(INDEX(Items!$B$5:$B$304,MATCH(B2905,Items!$A$5:$A$304,0)),"Unknown code"))</f>
        <v/>
      </c>
      <c r="D2905" s="15" t="n"/>
      <c r="E2905" s="16" t="n"/>
      <c r="F2905" s="18">
        <f>IF(OR(D2905="",E2905=""),"",D2905*E2905)</f>
        <v/>
      </c>
      <c r="G2905" s="15" t="n"/>
    </row>
    <row r="2906">
      <c r="A2906" s="19" t="n"/>
      <c r="B2906" s="15" t="n"/>
      <c r="C2906">
        <f>IF(B2906="","",IFERROR(INDEX(Items!$B$5:$B$304,MATCH(B2906,Items!$A$5:$A$304,0)),"Unknown code"))</f>
        <v/>
      </c>
      <c r="D2906" s="15" t="n"/>
      <c r="E2906" s="16" t="n"/>
      <c r="F2906" s="18">
        <f>IF(OR(D2906="",E2906=""),"",D2906*E2906)</f>
        <v/>
      </c>
      <c r="G2906" s="15" t="n"/>
    </row>
    <row r="2907">
      <c r="A2907" s="19" t="n"/>
      <c r="B2907" s="15" t="n"/>
      <c r="C2907">
        <f>IF(B2907="","",IFERROR(INDEX(Items!$B$5:$B$304,MATCH(B2907,Items!$A$5:$A$304,0)),"Unknown code"))</f>
        <v/>
      </c>
      <c r="D2907" s="15" t="n"/>
      <c r="E2907" s="16" t="n"/>
      <c r="F2907" s="18">
        <f>IF(OR(D2907="",E2907=""),"",D2907*E2907)</f>
        <v/>
      </c>
      <c r="G2907" s="15" t="n"/>
    </row>
    <row r="2908">
      <c r="A2908" s="19" t="n"/>
      <c r="B2908" s="15" t="n"/>
      <c r="C2908">
        <f>IF(B2908="","",IFERROR(INDEX(Items!$B$5:$B$304,MATCH(B2908,Items!$A$5:$A$304,0)),"Unknown code"))</f>
        <v/>
      </c>
      <c r="D2908" s="15" t="n"/>
      <c r="E2908" s="16" t="n"/>
      <c r="F2908" s="18">
        <f>IF(OR(D2908="",E2908=""),"",D2908*E2908)</f>
        <v/>
      </c>
      <c r="G2908" s="15" t="n"/>
    </row>
    <row r="2909">
      <c r="A2909" s="19" t="n"/>
      <c r="B2909" s="15" t="n"/>
      <c r="C2909">
        <f>IF(B2909="","",IFERROR(INDEX(Items!$B$5:$B$304,MATCH(B2909,Items!$A$5:$A$304,0)),"Unknown code"))</f>
        <v/>
      </c>
      <c r="D2909" s="15" t="n"/>
      <c r="E2909" s="16" t="n"/>
      <c r="F2909" s="18">
        <f>IF(OR(D2909="",E2909=""),"",D2909*E2909)</f>
        <v/>
      </c>
      <c r="G2909" s="15" t="n"/>
    </row>
    <row r="2910">
      <c r="A2910" s="19" t="n"/>
      <c r="B2910" s="15" t="n"/>
      <c r="C2910">
        <f>IF(B2910="","",IFERROR(INDEX(Items!$B$5:$B$304,MATCH(B2910,Items!$A$5:$A$304,0)),"Unknown code"))</f>
        <v/>
      </c>
      <c r="D2910" s="15" t="n"/>
      <c r="E2910" s="16" t="n"/>
      <c r="F2910" s="18">
        <f>IF(OR(D2910="",E2910=""),"",D2910*E2910)</f>
        <v/>
      </c>
      <c r="G2910" s="15" t="n"/>
    </row>
    <row r="2911">
      <c r="A2911" s="19" t="n"/>
      <c r="B2911" s="15" t="n"/>
      <c r="C2911">
        <f>IF(B2911="","",IFERROR(INDEX(Items!$B$5:$B$304,MATCH(B2911,Items!$A$5:$A$304,0)),"Unknown code"))</f>
        <v/>
      </c>
      <c r="D2911" s="15" t="n"/>
      <c r="E2911" s="16" t="n"/>
      <c r="F2911" s="18">
        <f>IF(OR(D2911="",E2911=""),"",D2911*E2911)</f>
        <v/>
      </c>
      <c r="G2911" s="15" t="n"/>
    </row>
    <row r="2912">
      <c r="A2912" s="19" t="n"/>
      <c r="B2912" s="15" t="n"/>
      <c r="C2912">
        <f>IF(B2912="","",IFERROR(INDEX(Items!$B$5:$B$304,MATCH(B2912,Items!$A$5:$A$304,0)),"Unknown code"))</f>
        <v/>
      </c>
      <c r="D2912" s="15" t="n"/>
      <c r="E2912" s="16" t="n"/>
      <c r="F2912" s="18">
        <f>IF(OR(D2912="",E2912=""),"",D2912*E2912)</f>
        <v/>
      </c>
      <c r="G2912" s="15" t="n"/>
    </row>
    <row r="2913">
      <c r="A2913" s="19" t="n"/>
      <c r="B2913" s="15" t="n"/>
      <c r="C2913">
        <f>IF(B2913="","",IFERROR(INDEX(Items!$B$5:$B$304,MATCH(B2913,Items!$A$5:$A$304,0)),"Unknown code"))</f>
        <v/>
      </c>
      <c r="D2913" s="15" t="n"/>
      <c r="E2913" s="16" t="n"/>
      <c r="F2913" s="18">
        <f>IF(OR(D2913="",E2913=""),"",D2913*E2913)</f>
        <v/>
      </c>
      <c r="G2913" s="15" t="n"/>
    </row>
    <row r="2914">
      <c r="A2914" s="19" t="n"/>
      <c r="B2914" s="15" t="n"/>
      <c r="C2914">
        <f>IF(B2914="","",IFERROR(INDEX(Items!$B$5:$B$304,MATCH(B2914,Items!$A$5:$A$304,0)),"Unknown code"))</f>
        <v/>
      </c>
      <c r="D2914" s="15" t="n"/>
      <c r="E2914" s="16" t="n"/>
      <c r="F2914" s="18">
        <f>IF(OR(D2914="",E2914=""),"",D2914*E2914)</f>
        <v/>
      </c>
      <c r="G2914" s="15" t="n"/>
    </row>
    <row r="2915">
      <c r="A2915" s="19" t="n"/>
      <c r="B2915" s="15" t="n"/>
      <c r="C2915">
        <f>IF(B2915="","",IFERROR(INDEX(Items!$B$5:$B$304,MATCH(B2915,Items!$A$5:$A$304,0)),"Unknown code"))</f>
        <v/>
      </c>
      <c r="D2915" s="15" t="n"/>
      <c r="E2915" s="16" t="n"/>
      <c r="F2915" s="18">
        <f>IF(OR(D2915="",E2915=""),"",D2915*E2915)</f>
        <v/>
      </c>
      <c r="G2915" s="15" t="n"/>
    </row>
    <row r="2916">
      <c r="A2916" s="19" t="n"/>
      <c r="B2916" s="15" t="n"/>
      <c r="C2916">
        <f>IF(B2916="","",IFERROR(INDEX(Items!$B$5:$B$304,MATCH(B2916,Items!$A$5:$A$304,0)),"Unknown code"))</f>
        <v/>
      </c>
      <c r="D2916" s="15" t="n"/>
      <c r="E2916" s="16" t="n"/>
      <c r="F2916" s="18">
        <f>IF(OR(D2916="",E2916=""),"",D2916*E2916)</f>
        <v/>
      </c>
      <c r="G2916" s="15" t="n"/>
    </row>
    <row r="2917">
      <c r="A2917" s="19" t="n"/>
      <c r="B2917" s="15" t="n"/>
      <c r="C2917">
        <f>IF(B2917="","",IFERROR(INDEX(Items!$B$5:$B$304,MATCH(B2917,Items!$A$5:$A$304,0)),"Unknown code"))</f>
        <v/>
      </c>
      <c r="D2917" s="15" t="n"/>
      <c r="E2917" s="16" t="n"/>
      <c r="F2917" s="18">
        <f>IF(OR(D2917="",E2917=""),"",D2917*E2917)</f>
        <v/>
      </c>
      <c r="G2917" s="15" t="n"/>
    </row>
    <row r="2918">
      <c r="A2918" s="19" t="n"/>
      <c r="B2918" s="15" t="n"/>
      <c r="C2918">
        <f>IF(B2918="","",IFERROR(INDEX(Items!$B$5:$B$304,MATCH(B2918,Items!$A$5:$A$304,0)),"Unknown code"))</f>
        <v/>
      </c>
      <c r="D2918" s="15" t="n"/>
      <c r="E2918" s="16" t="n"/>
      <c r="F2918" s="18">
        <f>IF(OR(D2918="",E2918=""),"",D2918*E2918)</f>
        <v/>
      </c>
      <c r="G2918" s="15" t="n"/>
    </row>
    <row r="2919">
      <c r="A2919" s="19" t="n"/>
      <c r="B2919" s="15" t="n"/>
      <c r="C2919">
        <f>IF(B2919="","",IFERROR(INDEX(Items!$B$5:$B$304,MATCH(B2919,Items!$A$5:$A$304,0)),"Unknown code"))</f>
        <v/>
      </c>
      <c r="D2919" s="15" t="n"/>
      <c r="E2919" s="16" t="n"/>
      <c r="F2919" s="18">
        <f>IF(OR(D2919="",E2919=""),"",D2919*E2919)</f>
        <v/>
      </c>
      <c r="G2919" s="15" t="n"/>
    </row>
    <row r="2920">
      <c r="A2920" s="19" t="n"/>
      <c r="B2920" s="15" t="n"/>
      <c r="C2920">
        <f>IF(B2920="","",IFERROR(INDEX(Items!$B$5:$B$304,MATCH(B2920,Items!$A$5:$A$304,0)),"Unknown code"))</f>
        <v/>
      </c>
      <c r="D2920" s="15" t="n"/>
      <c r="E2920" s="16" t="n"/>
      <c r="F2920" s="18">
        <f>IF(OR(D2920="",E2920=""),"",D2920*E2920)</f>
        <v/>
      </c>
      <c r="G2920" s="15" t="n"/>
    </row>
    <row r="2921">
      <c r="A2921" s="19" t="n"/>
      <c r="B2921" s="15" t="n"/>
      <c r="C2921">
        <f>IF(B2921="","",IFERROR(INDEX(Items!$B$5:$B$304,MATCH(B2921,Items!$A$5:$A$304,0)),"Unknown code"))</f>
        <v/>
      </c>
      <c r="D2921" s="15" t="n"/>
      <c r="E2921" s="16" t="n"/>
      <c r="F2921" s="18">
        <f>IF(OR(D2921="",E2921=""),"",D2921*E2921)</f>
        <v/>
      </c>
      <c r="G2921" s="15" t="n"/>
    </row>
    <row r="2922">
      <c r="A2922" s="19" t="n"/>
      <c r="B2922" s="15" t="n"/>
      <c r="C2922">
        <f>IF(B2922="","",IFERROR(INDEX(Items!$B$5:$B$304,MATCH(B2922,Items!$A$5:$A$304,0)),"Unknown code"))</f>
        <v/>
      </c>
      <c r="D2922" s="15" t="n"/>
      <c r="E2922" s="16" t="n"/>
      <c r="F2922" s="18">
        <f>IF(OR(D2922="",E2922=""),"",D2922*E2922)</f>
        <v/>
      </c>
      <c r="G2922" s="15" t="n"/>
    </row>
    <row r="2923">
      <c r="A2923" s="19" t="n"/>
      <c r="B2923" s="15" t="n"/>
      <c r="C2923">
        <f>IF(B2923="","",IFERROR(INDEX(Items!$B$5:$B$304,MATCH(B2923,Items!$A$5:$A$304,0)),"Unknown code"))</f>
        <v/>
      </c>
      <c r="D2923" s="15" t="n"/>
      <c r="E2923" s="16" t="n"/>
      <c r="F2923" s="18">
        <f>IF(OR(D2923="",E2923=""),"",D2923*E2923)</f>
        <v/>
      </c>
      <c r="G2923" s="15" t="n"/>
    </row>
    <row r="2924">
      <c r="A2924" s="19" t="n"/>
      <c r="B2924" s="15" t="n"/>
      <c r="C2924">
        <f>IF(B2924="","",IFERROR(INDEX(Items!$B$5:$B$304,MATCH(B2924,Items!$A$5:$A$304,0)),"Unknown code"))</f>
        <v/>
      </c>
      <c r="D2924" s="15" t="n"/>
      <c r="E2924" s="16" t="n"/>
      <c r="F2924" s="18">
        <f>IF(OR(D2924="",E2924=""),"",D2924*E2924)</f>
        <v/>
      </c>
      <c r="G2924" s="15" t="n"/>
    </row>
    <row r="2925">
      <c r="A2925" s="19" t="n"/>
      <c r="B2925" s="15" t="n"/>
      <c r="C2925">
        <f>IF(B2925="","",IFERROR(INDEX(Items!$B$5:$B$304,MATCH(B2925,Items!$A$5:$A$304,0)),"Unknown code"))</f>
        <v/>
      </c>
      <c r="D2925" s="15" t="n"/>
      <c r="E2925" s="16" t="n"/>
      <c r="F2925" s="18">
        <f>IF(OR(D2925="",E2925=""),"",D2925*E2925)</f>
        <v/>
      </c>
      <c r="G2925" s="15" t="n"/>
    </row>
    <row r="2926">
      <c r="A2926" s="19" t="n"/>
      <c r="B2926" s="15" t="n"/>
      <c r="C2926">
        <f>IF(B2926="","",IFERROR(INDEX(Items!$B$5:$B$304,MATCH(B2926,Items!$A$5:$A$304,0)),"Unknown code"))</f>
        <v/>
      </c>
      <c r="D2926" s="15" t="n"/>
      <c r="E2926" s="16" t="n"/>
      <c r="F2926" s="18">
        <f>IF(OR(D2926="",E2926=""),"",D2926*E2926)</f>
        <v/>
      </c>
      <c r="G2926" s="15" t="n"/>
    </row>
    <row r="2927">
      <c r="A2927" s="19" t="n"/>
      <c r="B2927" s="15" t="n"/>
      <c r="C2927">
        <f>IF(B2927="","",IFERROR(INDEX(Items!$B$5:$B$304,MATCH(B2927,Items!$A$5:$A$304,0)),"Unknown code"))</f>
        <v/>
      </c>
      <c r="D2927" s="15" t="n"/>
      <c r="E2927" s="16" t="n"/>
      <c r="F2927" s="18">
        <f>IF(OR(D2927="",E2927=""),"",D2927*E2927)</f>
        <v/>
      </c>
      <c r="G2927" s="15" t="n"/>
    </row>
    <row r="2928">
      <c r="A2928" s="19" t="n"/>
      <c r="B2928" s="15" t="n"/>
      <c r="C2928">
        <f>IF(B2928="","",IFERROR(INDEX(Items!$B$5:$B$304,MATCH(B2928,Items!$A$5:$A$304,0)),"Unknown code"))</f>
        <v/>
      </c>
      <c r="D2928" s="15" t="n"/>
      <c r="E2928" s="16" t="n"/>
      <c r="F2928" s="18">
        <f>IF(OR(D2928="",E2928=""),"",D2928*E2928)</f>
        <v/>
      </c>
      <c r="G2928" s="15" t="n"/>
    </row>
    <row r="2929">
      <c r="A2929" s="19" t="n"/>
      <c r="B2929" s="15" t="n"/>
      <c r="C2929">
        <f>IF(B2929="","",IFERROR(INDEX(Items!$B$5:$B$304,MATCH(B2929,Items!$A$5:$A$304,0)),"Unknown code"))</f>
        <v/>
      </c>
      <c r="D2929" s="15" t="n"/>
      <c r="E2929" s="16" t="n"/>
      <c r="F2929" s="18">
        <f>IF(OR(D2929="",E2929=""),"",D2929*E2929)</f>
        <v/>
      </c>
      <c r="G2929" s="15" t="n"/>
    </row>
    <row r="2930">
      <c r="A2930" s="19" t="n"/>
      <c r="B2930" s="15" t="n"/>
      <c r="C2930">
        <f>IF(B2930="","",IFERROR(INDEX(Items!$B$5:$B$304,MATCH(B2930,Items!$A$5:$A$304,0)),"Unknown code"))</f>
        <v/>
      </c>
      <c r="D2930" s="15" t="n"/>
      <c r="E2930" s="16" t="n"/>
      <c r="F2930" s="18">
        <f>IF(OR(D2930="",E2930=""),"",D2930*E2930)</f>
        <v/>
      </c>
      <c r="G2930" s="15" t="n"/>
    </row>
    <row r="2931">
      <c r="A2931" s="19" t="n"/>
      <c r="B2931" s="15" t="n"/>
      <c r="C2931">
        <f>IF(B2931="","",IFERROR(INDEX(Items!$B$5:$B$304,MATCH(B2931,Items!$A$5:$A$304,0)),"Unknown code"))</f>
        <v/>
      </c>
      <c r="D2931" s="15" t="n"/>
      <c r="E2931" s="16" t="n"/>
      <c r="F2931" s="18">
        <f>IF(OR(D2931="",E2931=""),"",D2931*E2931)</f>
        <v/>
      </c>
      <c r="G2931" s="15" t="n"/>
    </row>
    <row r="2932">
      <c r="A2932" s="19" t="n"/>
      <c r="B2932" s="15" t="n"/>
      <c r="C2932">
        <f>IF(B2932="","",IFERROR(INDEX(Items!$B$5:$B$304,MATCH(B2932,Items!$A$5:$A$304,0)),"Unknown code"))</f>
        <v/>
      </c>
      <c r="D2932" s="15" t="n"/>
      <c r="E2932" s="16" t="n"/>
      <c r="F2932" s="18">
        <f>IF(OR(D2932="",E2932=""),"",D2932*E2932)</f>
        <v/>
      </c>
      <c r="G2932" s="15" t="n"/>
    </row>
    <row r="2933">
      <c r="A2933" s="19" t="n"/>
      <c r="B2933" s="15" t="n"/>
      <c r="C2933">
        <f>IF(B2933="","",IFERROR(INDEX(Items!$B$5:$B$304,MATCH(B2933,Items!$A$5:$A$304,0)),"Unknown code"))</f>
        <v/>
      </c>
      <c r="D2933" s="15" t="n"/>
      <c r="E2933" s="16" t="n"/>
      <c r="F2933" s="18">
        <f>IF(OR(D2933="",E2933=""),"",D2933*E2933)</f>
        <v/>
      </c>
      <c r="G2933" s="15" t="n"/>
    </row>
    <row r="2934">
      <c r="A2934" s="19" t="n"/>
      <c r="B2934" s="15" t="n"/>
      <c r="C2934">
        <f>IF(B2934="","",IFERROR(INDEX(Items!$B$5:$B$304,MATCH(B2934,Items!$A$5:$A$304,0)),"Unknown code"))</f>
        <v/>
      </c>
      <c r="D2934" s="15" t="n"/>
      <c r="E2934" s="16" t="n"/>
      <c r="F2934" s="18">
        <f>IF(OR(D2934="",E2934=""),"",D2934*E2934)</f>
        <v/>
      </c>
      <c r="G2934" s="15" t="n"/>
    </row>
    <row r="2935">
      <c r="A2935" s="19" t="n"/>
      <c r="B2935" s="15" t="n"/>
      <c r="C2935">
        <f>IF(B2935="","",IFERROR(INDEX(Items!$B$5:$B$304,MATCH(B2935,Items!$A$5:$A$304,0)),"Unknown code"))</f>
        <v/>
      </c>
      <c r="D2935" s="15" t="n"/>
      <c r="E2935" s="16" t="n"/>
      <c r="F2935" s="18">
        <f>IF(OR(D2935="",E2935=""),"",D2935*E2935)</f>
        <v/>
      </c>
      <c r="G2935" s="15" t="n"/>
    </row>
    <row r="2936">
      <c r="A2936" s="19" t="n"/>
      <c r="B2936" s="15" t="n"/>
      <c r="C2936">
        <f>IF(B2936="","",IFERROR(INDEX(Items!$B$5:$B$304,MATCH(B2936,Items!$A$5:$A$304,0)),"Unknown code"))</f>
        <v/>
      </c>
      <c r="D2936" s="15" t="n"/>
      <c r="E2936" s="16" t="n"/>
      <c r="F2936" s="18">
        <f>IF(OR(D2936="",E2936=""),"",D2936*E2936)</f>
        <v/>
      </c>
      <c r="G2936" s="15" t="n"/>
    </row>
    <row r="2937">
      <c r="A2937" s="19" t="n"/>
      <c r="B2937" s="15" t="n"/>
      <c r="C2937">
        <f>IF(B2937="","",IFERROR(INDEX(Items!$B$5:$B$304,MATCH(B2937,Items!$A$5:$A$304,0)),"Unknown code"))</f>
        <v/>
      </c>
      <c r="D2937" s="15" t="n"/>
      <c r="E2937" s="16" t="n"/>
      <c r="F2937" s="18">
        <f>IF(OR(D2937="",E2937=""),"",D2937*E2937)</f>
        <v/>
      </c>
      <c r="G2937" s="15" t="n"/>
    </row>
    <row r="2938">
      <c r="A2938" s="19" t="n"/>
      <c r="B2938" s="15" t="n"/>
      <c r="C2938">
        <f>IF(B2938="","",IFERROR(INDEX(Items!$B$5:$B$304,MATCH(B2938,Items!$A$5:$A$304,0)),"Unknown code"))</f>
        <v/>
      </c>
      <c r="D2938" s="15" t="n"/>
      <c r="E2938" s="16" t="n"/>
      <c r="F2938" s="18">
        <f>IF(OR(D2938="",E2938=""),"",D2938*E2938)</f>
        <v/>
      </c>
      <c r="G2938" s="15" t="n"/>
    </row>
    <row r="2939">
      <c r="A2939" s="19" t="n"/>
      <c r="B2939" s="15" t="n"/>
      <c r="C2939">
        <f>IF(B2939="","",IFERROR(INDEX(Items!$B$5:$B$304,MATCH(B2939,Items!$A$5:$A$304,0)),"Unknown code"))</f>
        <v/>
      </c>
      <c r="D2939" s="15" t="n"/>
      <c r="E2939" s="16" t="n"/>
      <c r="F2939" s="18">
        <f>IF(OR(D2939="",E2939=""),"",D2939*E2939)</f>
        <v/>
      </c>
      <c r="G2939" s="15" t="n"/>
    </row>
    <row r="2940">
      <c r="A2940" s="19" t="n"/>
      <c r="B2940" s="15" t="n"/>
      <c r="C2940">
        <f>IF(B2940="","",IFERROR(INDEX(Items!$B$5:$B$304,MATCH(B2940,Items!$A$5:$A$304,0)),"Unknown code"))</f>
        <v/>
      </c>
      <c r="D2940" s="15" t="n"/>
      <c r="E2940" s="16" t="n"/>
      <c r="F2940" s="18">
        <f>IF(OR(D2940="",E2940=""),"",D2940*E2940)</f>
        <v/>
      </c>
      <c r="G2940" s="15" t="n"/>
    </row>
    <row r="2941">
      <c r="A2941" s="19" t="n"/>
      <c r="B2941" s="15" t="n"/>
      <c r="C2941">
        <f>IF(B2941="","",IFERROR(INDEX(Items!$B$5:$B$304,MATCH(B2941,Items!$A$5:$A$304,0)),"Unknown code"))</f>
        <v/>
      </c>
      <c r="D2941" s="15" t="n"/>
      <c r="E2941" s="16" t="n"/>
      <c r="F2941" s="18">
        <f>IF(OR(D2941="",E2941=""),"",D2941*E2941)</f>
        <v/>
      </c>
      <c r="G2941" s="15" t="n"/>
    </row>
    <row r="2942">
      <c r="A2942" s="19" t="n"/>
      <c r="B2942" s="15" t="n"/>
      <c r="C2942">
        <f>IF(B2942="","",IFERROR(INDEX(Items!$B$5:$B$304,MATCH(B2942,Items!$A$5:$A$304,0)),"Unknown code"))</f>
        <v/>
      </c>
      <c r="D2942" s="15" t="n"/>
      <c r="E2942" s="16" t="n"/>
      <c r="F2942" s="18">
        <f>IF(OR(D2942="",E2942=""),"",D2942*E2942)</f>
        <v/>
      </c>
      <c r="G2942" s="15" t="n"/>
    </row>
    <row r="2943">
      <c r="A2943" s="19" t="n"/>
      <c r="B2943" s="15" t="n"/>
      <c r="C2943">
        <f>IF(B2943="","",IFERROR(INDEX(Items!$B$5:$B$304,MATCH(B2943,Items!$A$5:$A$304,0)),"Unknown code"))</f>
        <v/>
      </c>
      <c r="D2943" s="15" t="n"/>
      <c r="E2943" s="16" t="n"/>
      <c r="F2943" s="18">
        <f>IF(OR(D2943="",E2943=""),"",D2943*E2943)</f>
        <v/>
      </c>
      <c r="G2943" s="15" t="n"/>
    </row>
    <row r="2944">
      <c r="A2944" s="19" t="n"/>
      <c r="B2944" s="15" t="n"/>
      <c r="C2944">
        <f>IF(B2944="","",IFERROR(INDEX(Items!$B$5:$B$304,MATCH(B2944,Items!$A$5:$A$304,0)),"Unknown code"))</f>
        <v/>
      </c>
      <c r="D2944" s="15" t="n"/>
      <c r="E2944" s="16" t="n"/>
      <c r="F2944" s="18">
        <f>IF(OR(D2944="",E2944=""),"",D2944*E2944)</f>
        <v/>
      </c>
      <c r="G2944" s="15" t="n"/>
    </row>
    <row r="2945">
      <c r="A2945" s="19" t="n"/>
      <c r="B2945" s="15" t="n"/>
      <c r="C2945">
        <f>IF(B2945="","",IFERROR(INDEX(Items!$B$5:$B$304,MATCH(B2945,Items!$A$5:$A$304,0)),"Unknown code"))</f>
        <v/>
      </c>
      <c r="D2945" s="15" t="n"/>
      <c r="E2945" s="16" t="n"/>
      <c r="F2945" s="18">
        <f>IF(OR(D2945="",E2945=""),"",D2945*E2945)</f>
        <v/>
      </c>
      <c r="G2945" s="15" t="n"/>
    </row>
    <row r="2946">
      <c r="A2946" s="19" t="n"/>
      <c r="B2946" s="15" t="n"/>
      <c r="C2946">
        <f>IF(B2946="","",IFERROR(INDEX(Items!$B$5:$B$304,MATCH(B2946,Items!$A$5:$A$304,0)),"Unknown code"))</f>
        <v/>
      </c>
      <c r="D2946" s="15" t="n"/>
      <c r="E2946" s="16" t="n"/>
      <c r="F2946" s="18">
        <f>IF(OR(D2946="",E2946=""),"",D2946*E2946)</f>
        <v/>
      </c>
      <c r="G2946" s="15" t="n"/>
    </row>
    <row r="2947">
      <c r="A2947" s="19" t="n"/>
      <c r="B2947" s="15" t="n"/>
      <c r="C2947">
        <f>IF(B2947="","",IFERROR(INDEX(Items!$B$5:$B$304,MATCH(B2947,Items!$A$5:$A$304,0)),"Unknown code"))</f>
        <v/>
      </c>
      <c r="D2947" s="15" t="n"/>
      <c r="E2947" s="16" t="n"/>
      <c r="F2947" s="18">
        <f>IF(OR(D2947="",E2947=""),"",D2947*E2947)</f>
        <v/>
      </c>
      <c r="G2947" s="15" t="n"/>
    </row>
    <row r="2948">
      <c r="A2948" s="19" t="n"/>
      <c r="B2948" s="15" t="n"/>
      <c r="C2948">
        <f>IF(B2948="","",IFERROR(INDEX(Items!$B$5:$B$304,MATCH(B2948,Items!$A$5:$A$304,0)),"Unknown code"))</f>
        <v/>
      </c>
      <c r="D2948" s="15" t="n"/>
      <c r="E2948" s="16" t="n"/>
      <c r="F2948" s="18">
        <f>IF(OR(D2948="",E2948=""),"",D2948*E2948)</f>
        <v/>
      </c>
      <c r="G2948" s="15" t="n"/>
    </row>
    <row r="2949">
      <c r="A2949" s="19" t="n"/>
      <c r="B2949" s="15" t="n"/>
      <c r="C2949">
        <f>IF(B2949="","",IFERROR(INDEX(Items!$B$5:$B$304,MATCH(B2949,Items!$A$5:$A$304,0)),"Unknown code"))</f>
        <v/>
      </c>
      <c r="D2949" s="15" t="n"/>
      <c r="E2949" s="16" t="n"/>
      <c r="F2949" s="18">
        <f>IF(OR(D2949="",E2949=""),"",D2949*E2949)</f>
        <v/>
      </c>
      <c r="G2949" s="15" t="n"/>
    </row>
    <row r="2950">
      <c r="A2950" s="19" t="n"/>
      <c r="B2950" s="15" t="n"/>
      <c r="C2950">
        <f>IF(B2950="","",IFERROR(INDEX(Items!$B$5:$B$304,MATCH(B2950,Items!$A$5:$A$304,0)),"Unknown code"))</f>
        <v/>
      </c>
      <c r="D2950" s="15" t="n"/>
      <c r="E2950" s="16" t="n"/>
      <c r="F2950" s="18">
        <f>IF(OR(D2950="",E2950=""),"",D2950*E2950)</f>
        <v/>
      </c>
      <c r="G2950" s="15" t="n"/>
    </row>
    <row r="2951">
      <c r="A2951" s="19" t="n"/>
      <c r="B2951" s="15" t="n"/>
      <c r="C2951">
        <f>IF(B2951="","",IFERROR(INDEX(Items!$B$5:$B$304,MATCH(B2951,Items!$A$5:$A$304,0)),"Unknown code"))</f>
        <v/>
      </c>
      <c r="D2951" s="15" t="n"/>
      <c r="E2951" s="16" t="n"/>
      <c r="F2951" s="18">
        <f>IF(OR(D2951="",E2951=""),"",D2951*E2951)</f>
        <v/>
      </c>
      <c r="G2951" s="15" t="n"/>
    </row>
    <row r="2952">
      <c r="A2952" s="19" t="n"/>
      <c r="B2952" s="15" t="n"/>
      <c r="C2952">
        <f>IF(B2952="","",IFERROR(INDEX(Items!$B$5:$B$304,MATCH(B2952,Items!$A$5:$A$304,0)),"Unknown code"))</f>
        <v/>
      </c>
      <c r="D2952" s="15" t="n"/>
      <c r="E2952" s="16" t="n"/>
      <c r="F2952" s="18">
        <f>IF(OR(D2952="",E2952=""),"",D2952*E2952)</f>
        <v/>
      </c>
      <c r="G2952" s="15" t="n"/>
    </row>
    <row r="2953">
      <c r="A2953" s="19" t="n"/>
      <c r="B2953" s="15" t="n"/>
      <c r="C2953">
        <f>IF(B2953="","",IFERROR(INDEX(Items!$B$5:$B$304,MATCH(B2953,Items!$A$5:$A$304,0)),"Unknown code"))</f>
        <v/>
      </c>
      <c r="D2953" s="15" t="n"/>
      <c r="E2953" s="16" t="n"/>
      <c r="F2953" s="18">
        <f>IF(OR(D2953="",E2953=""),"",D2953*E2953)</f>
        <v/>
      </c>
      <c r="G2953" s="15" t="n"/>
    </row>
    <row r="2954">
      <c r="A2954" s="19" t="n"/>
      <c r="B2954" s="15" t="n"/>
      <c r="C2954">
        <f>IF(B2954="","",IFERROR(INDEX(Items!$B$5:$B$304,MATCH(B2954,Items!$A$5:$A$304,0)),"Unknown code"))</f>
        <v/>
      </c>
      <c r="D2954" s="15" t="n"/>
      <c r="E2954" s="16" t="n"/>
      <c r="F2954" s="18">
        <f>IF(OR(D2954="",E2954=""),"",D2954*E2954)</f>
        <v/>
      </c>
      <c r="G2954" s="15" t="n"/>
    </row>
    <row r="2955">
      <c r="A2955" s="19" t="n"/>
      <c r="B2955" s="15" t="n"/>
      <c r="C2955">
        <f>IF(B2955="","",IFERROR(INDEX(Items!$B$5:$B$304,MATCH(B2955,Items!$A$5:$A$304,0)),"Unknown code"))</f>
        <v/>
      </c>
      <c r="D2955" s="15" t="n"/>
      <c r="E2955" s="16" t="n"/>
      <c r="F2955" s="18">
        <f>IF(OR(D2955="",E2955=""),"",D2955*E2955)</f>
        <v/>
      </c>
      <c r="G2955" s="15" t="n"/>
    </row>
    <row r="2956">
      <c r="A2956" s="19" t="n"/>
      <c r="B2956" s="15" t="n"/>
      <c r="C2956">
        <f>IF(B2956="","",IFERROR(INDEX(Items!$B$5:$B$304,MATCH(B2956,Items!$A$5:$A$304,0)),"Unknown code"))</f>
        <v/>
      </c>
      <c r="D2956" s="15" t="n"/>
      <c r="E2956" s="16" t="n"/>
      <c r="F2956" s="18">
        <f>IF(OR(D2956="",E2956=""),"",D2956*E2956)</f>
        <v/>
      </c>
      <c r="G2956" s="15" t="n"/>
    </row>
    <row r="2957">
      <c r="A2957" s="19" t="n"/>
      <c r="B2957" s="15" t="n"/>
      <c r="C2957">
        <f>IF(B2957="","",IFERROR(INDEX(Items!$B$5:$B$304,MATCH(B2957,Items!$A$5:$A$304,0)),"Unknown code"))</f>
        <v/>
      </c>
      <c r="D2957" s="15" t="n"/>
      <c r="E2957" s="16" t="n"/>
      <c r="F2957" s="18">
        <f>IF(OR(D2957="",E2957=""),"",D2957*E2957)</f>
        <v/>
      </c>
      <c r="G2957" s="15" t="n"/>
    </row>
    <row r="2958">
      <c r="A2958" s="19" t="n"/>
      <c r="B2958" s="15" t="n"/>
      <c r="C2958">
        <f>IF(B2958="","",IFERROR(INDEX(Items!$B$5:$B$304,MATCH(B2958,Items!$A$5:$A$304,0)),"Unknown code"))</f>
        <v/>
      </c>
      <c r="D2958" s="15" t="n"/>
      <c r="E2958" s="16" t="n"/>
      <c r="F2958" s="18">
        <f>IF(OR(D2958="",E2958=""),"",D2958*E2958)</f>
        <v/>
      </c>
      <c r="G2958" s="15" t="n"/>
    </row>
    <row r="2959">
      <c r="A2959" s="19" t="n"/>
      <c r="B2959" s="15" t="n"/>
      <c r="C2959">
        <f>IF(B2959="","",IFERROR(INDEX(Items!$B$5:$B$304,MATCH(B2959,Items!$A$5:$A$304,0)),"Unknown code"))</f>
        <v/>
      </c>
      <c r="D2959" s="15" t="n"/>
      <c r="E2959" s="16" t="n"/>
      <c r="F2959" s="18">
        <f>IF(OR(D2959="",E2959=""),"",D2959*E2959)</f>
        <v/>
      </c>
      <c r="G2959" s="15" t="n"/>
    </row>
    <row r="2960">
      <c r="A2960" s="19" t="n"/>
      <c r="B2960" s="15" t="n"/>
      <c r="C2960">
        <f>IF(B2960="","",IFERROR(INDEX(Items!$B$5:$B$304,MATCH(B2960,Items!$A$5:$A$304,0)),"Unknown code"))</f>
        <v/>
      </c>
      <c r="D2960" s="15" t="n"/>
      <c r="E2960" s="16" t="n"/>
      <c r="F2960" s="18">
        <f>IF(OR(D2960="",E2960=""),"",D2960*E2960)</f>
        <v/>
      </c>
      <c r="G2960" s="15" t="n"/>
    </row>
    <row r="2961">
      <c r="A2961" s="19" t="n"/>
      <c r="B2961" s="15" t="n"/>
      <c r="C2961">
        <f>IF(B2961="","",IFERROR(INDEX(Items!$B$5:$B$304,MATCH(B2961,Items!$A$5:$A$304,0)),"Unknown code"))</f>
        <v/>
      </c>
      <c r="D2961" s="15" t="n"/>
      <c r="E2961" s="16" t="n"/>
      <c r="F2961" s="18">
        <f>IF(OR(D2961="",E2961=""),"",D2961*E2961)</f>
        <v/>
      </c>
      <c r="G2961" s="15" t="n"/>
    </row>
    <row r="2962">
      <c r="A2962" s="19" t="n"/>
      <c r="B2962" s="15" t="n"/>
      <c r="C2962">
        <f>IF(B2962="","",IFERROR(INDEX(Items!$B$5:$B$304,MATCH(B2962,Items!$A$5:$A$304,0)),"Unknown code"))</f>
        <v/>
      </c>
      <c r="D2962" s="15" t="n"/>
      <c r="E2962" s="16" t="n"/>
      <c r="F2962" s="18">
        <f>IF(OR(D2962="",E2962=""),"",D2962*E2962)</f>
        <v/>
      </c>
      <c r="G2962" s="15" t="n"/>
    </row>
    <row r="2963">
      <c r="A2963" s="19" t="n"/>
      <c r="B2963" s="15" t="n"/>
      <c r="C2963">
        <f>IF(B2963="","",IFERROR(INDEX(Items!$B$5:$B$304,MATCH(B2963,Items!$A$5:$A$304,0)),"Unknown code"))</f>
        <v/>
      </c>
      <c r="D2963" s="15" t="n"/>
      <c r="E2963" s="16" t="n"/>
      <c r="F2963" s="18">
        <f>IF(OR(D2963="",E2963=""),"",D2963*E2963)</f>
        <v/>
      </c>
      <c r="G2963" s="15" t="n"/>
    </row>
    <row r="2964">
      <c r="A2964" s="19" t="n"/>
      <c r="B2964" s="15" t="n"/>
      <c r="C2964">
        <f>IF(B2964="","",IFERROR(INDEX(Items!$B$5:$B$304,MATCH(B2964,Items!$A$5:$A$304,0)),"Unknown code"))</f>
        <v/>
      </c>
      <c r="D2964" s="15" t="n"/>
      <c r="E2964" s="16" t="n"/>
      <c r="F2964" s="18">
        <f>IF(OR(D2964="",E2964=""),"",D2964*E2964)</f>
        <v/>
      </c>
      <c r="G2964" s="15" t="n"/>
    </row>
    <row r="2965">
      <c r="A2965" s="19" t="n"/>
      <c r="B2965" s="15" t="n"/>
      <c r="C2965">
        <f>IF(B2965="","",IFERROR(INDEX(Items!$B$5:$B$304,MATCH(B2965,Items!$A$5:$A$304,0)),"Unknown code"))</f>
        <v/>
      </c>
      <c r="D2965" s="15" t="n"/>
      <c r="E2965" s="16" t="n"/>
      <c r="F2965" s="18">
        <f>IF(OR(D2965="",E2965=""),"",D2965*E2965)</f>
        <v/>
      </c>
      <c r="G2965" s="15" t="n"/>
    </row>
    <row r="2966">
      <c r="A2966" s="19" t="n"/>
      <c r="B2966" s="15" t="n"/>
      <c r="C2966">
        <f>IF(B2966="","",IFERROR(INDEX(Items!$B$5:$B$304,MATCH(B2966,Items!$A$5:$A$304,0)),"Unknown code"))</f>
        <v/>
      </c>
      <c r="D2966" s="15" t="n"/>
      <c r="E2966" s="16" t="n"/>
      <c r="F2966" s="18">
        <f>IF(OR(D2966="",E2966=""),"",D2966*E2966)</f>
        <v/>
      </c>
      <c r="G2966" s="15" t="n"/>
    </row>
    <row r="2967">
      <c r="A2967" s="19" t="n"/>
      <c r="B2967" s="15" t="n"/>
      <c r="C2967">
        <f>IF(B2967="","",IFERROR(INDEX(Items!$B$5:$B$304,MATCH(B2967,Items!$A$5:$A$304,0)),"Unknown code"))</f>
        <v/>
      </c>
      <c r="D2967" s="15" t="n"/>
      <c r="E2967" s="16" t="n"/>
      <c r="F2967" s="18">
        <f>IF(OR(D2967="",E2967=""),"",D2967*E2967)</f>
        <v/>
      </c>
      <c r="G2967" s="15" t="n"/>
    </row>
    <row r="2968">
      <c r="A2968" s="19" t="n"/>
      <c r="B2968" s="15" t="n"/>
      <c r="C2968">
        <f>IF(B2968="","",IFERROR(INDEX(Items!$B$5:$B$304,MATCH(B2968,Items!$A$5:$A$304,0)),"Unknown code"))</f>
        <v/>
      </c>
      <c r="D2968" s="15" t="n"/>
      <c r="E2968" s="16" t="n"/>
      <c r="F2968" s="18">
        <f>IF(OR(D2968="",E2968=""),"",D2968*E2968)</f>
        <v/>
      </c>
      <c r="G2968" s="15" t="n"/>
    </row>
    <row r="2969">
      <c r="A2969" s="19" t="n"/>
      <c r="B2969" s="15" t="n"/>
      <c r="C2969">
        <f>IF(B2969="","",IFERROR(INDEX(Items!$B$5:$B$304,MATCH(B2969,Items!$A$5:$A$304,0)),"Unknown code"))</f>
        <v/>
      </c>
      <c r="D2969" s="15" t="n"/>
      <c r="E2969" s="16" t="n"/>
      <c r="F2969" s="18">
        <f>IF(OR(D2969="",E2969=""),"",D2969*E2969)</f>
        <v/>
      </c>
      <c r="G2969" s="15" t="n"/>
    </row>
    <row r="2970">
      <c r="A2970" s="19" t="n"/>
      <c r="B2970" s="15" t="n"/>
      <c r="C2970">
        <f>IF(B2970="","",IFERROR(INDEX(Items!$B$5:$B$304,MATCH(B2970,Items!$A$5:$A$304,0)),"Unknown code"))</f>
        <v/>
      </c>
      <c r="D2970" s="15" t="n"/>
      <c r="E2970" s="16" t="n"/>
      <c r="F2970" s="18">
        <f>IF(OR(D2970="",E2970=""),"",D2970*E2970)</f>
        <v/>
      </c>
      <c r="G2970" s="15" t="n"/>
    </row>
    <row r="2971">
      <c r="A2971" s="19" t="n"/>
      <c r="B2971" s="15" t="n"/>
      <c r="C2971">
        <f>IF(B2971="","",IFERROR(INDEX(Items!$B$5:$B$304,MATCH(B2971,Items!$A$5:$A$304,0)),"Unknown code"))</f>
        <v/>
      </c>
      <c r="D2971" s="15" t="n"/>
      <c r="E2971" s="16" t="n"/>
      <c r="F2971" s="18">
        <f>IF(OR(D2971="",E2971=""),"",D2971*E2971)</f>
        <v/>
      </c>
      <c r="G2971" s="15" t="n"/>
    </row>
    <row r="2972">
      <c r="A2972" s="19" t="n"/>
      <c r="B2972" s="15" t="n"/>
      <c r="C2972">
        <f>IF(B2972="","",IFERROR(INDEX(Items!$B$5:$B$304,MATCH(B2972,Items!$A$5:$A$304,0)),"Unknown code"))</f>
        <v/>
      </c>
      <c r="D2972" s="15" t="n"/>
      <c r="E2972" s="16" t="n"/>
      <c r="F2972" s="18">
        <f>IF(OR(D2972="",E2972=""),"",D2972*E2972)</f>
        <v/>
      </c>
      <c r="G2972" s="15" t="n"/>
    </row>
    <row r="2973">
      <c r="A2973" s="19" t="n"/>
      <c r="B2973" s="15" t="n"/>
      <c r="C2973">
        <f>IF(B2973="","",IFERROR(INDEX(Items!$B$5:$B$304,MATCH(B2973,Items!$A$5:$A$304,0)),"Unknown code"))</f>
        <v/>
      </c>
      <c r="D2973" s="15" t="n"/>
      <c r="E2973" s="16" t="n"/>
      <c r="F2973" s="18">
        <f>IF(OR(D2973="",E2973=""),"",D2973*E2973)</f>
        <v/>
      </c>
      <c r="G2973" s="15" t="n"/>
    </row>
    <row r="2974">
      <c r="A2974" s="19" t="n"/>
      <c r="B2974" s="15" t="n"/>
      <c r="C2974">
        <f>IF(B2974="","",IFERROR(INDEX(Items!$B$5:$B$304,MATCH(B2974,Items!$A$5:$A$304,0)),"Unknown code"))</f>
        <v/>
      </c>
      <c r="D2974" s="15" t="n"/>
      <c r="E2974" s="16" t="n"/>
      <c r="F2974" s="18">
        <f>IF(OR(D2974="",E2974=""),"",D2974*E2974)</f>
        <v/>
      </c>
      <c r="G2974" s="15" t="n"/>
    </row>
    <row r="2975">
      <c r="A2975" s="19" t="n"/>
      <c r="B2975" s="15" t="n"/>
      <c r="C2975">
        <f>IF(B2975="","",IFERROR(INDEX(Items!$B$5:$B$304,MATCH(B2975,Items!$A$5:$A$304,0)),"Unknown code"))</f>
        <v/>
      </c>
      <c r="D2975" s="15" t="n"/>
      <c r="E2975" s="16" t="n"/>
      <c r="F2975" s="18">
        <f>IF(OR(D2975="",E2975=""),"",D2975*E2975)</f>
        <v/>
      </c>
      <c r="G2975" s="15" t="n"/>
    </row>
    <row r="2976">
      <c r="A2976" s="19" t="n"/>
      <c r="B2976" s="15" t="n"/>
      <c r="C2976">
        <f>IF(B2976="","",IFERROR(INDEX(Items!$B$5:$B$304,MATCH(B2976,Items!$A$5:$A$304,0)),"Unknown code"))</f>
        <v/>
      </c>
      <c r="D2976" s="15" t="n"/>
      <c r="E2976" s="16" t="n"/>
      <c r="F2976" s="18">
        <f>IF(OR(D2976="",E2976=""),"",D2976*E2976)</f>
        <v/>
      </c>
      <c r="G2976" s="15" t="n"/>
    </row>
    <row r="2977">
      <c r="A2977" s="19" t="n"/>
      <c r="B2977" s="15" t="n"/>
      <c r="C2977">
        <f>IF(B2977="","",IFERROR(INDEX(Items!$B$5:$B$304,MATCH(B2977,Items!$A$5:$A$304,0)),"Unknown code"))</f>
        <v/>
      </c>
      <c r="D2977" s="15" t="n"/>
      <c r="E2977" s="16" t="n"/>
      <c r="F2977" s="18">
        <f>IF(OR(D2977="",E2977=""),"",D2977*E2977)</f>
        <v/>
      </c>
      <c r="G2977" s="15" t="n"/>
    </row>
    <row r="2978">
      <c r="A2978" s="19" t="n"/>
      <c r="B2978" s="15" t="n"/>
      <c r="C2978">
        <f>IF(B2978="","",IFERROR(INDEX(Items!$B$5:$B$304,MATCH(B2978,Items!$A$5:$A$304,0)),"Unknown code"))</f>
        <v/>
      </c>
      <c r="D2978" s="15" t="n"/>
      <c r="E2978" s="16" t="n"/>
      <c r="F2978" s="18">
        <f>IF(OR(D2978="",E2978=""),"",D2978*E2978)</f>
        <v/>
      </c>
      <c r="G2978" s="15" t="n"/>
    </row>
    <row r="2979">
      <c r="A2979" s="19" t="n"/>
      <c r="B2979" s="15" t="n"/>
      <c r="C2979">
        <f>IF(B2979="","",IFERROR(INDEX(Items!$B$5:$B$304,MATCH(B2979,Items!$A$5:$A$304,0)),"Unknown code"))</f>
        <v/>
      </c>
      <c r="D2979" s="15" t="n"/>
      <c r="E2979" s="16" t="n"/>
      <c r="F2979" s="18">
        <f>IF(OR(D2979="",E2979=""),"",D2979*E2979)</f>
        <v/>
      </c>
      <c r="G2979" s="15" t="n"/>
    </row>
    <row r="2980">
      <c r="A2980" s="19" t="n"/>
      <c r="B2980" s="15" t="n"/>
      <c r="C2980">
        <f>IF(B2980="","",IFERROR(INDEX(Items!$B$5:$B$304,MATCH(B2980,Items!$A$5:$A$304,0)),"Unknown code"))</f>
        <v/>
      </c>
      <c r="D2980" s="15" t="n"/>
      <c r="E2980" s="16" t="n"/>
      <c r="F2980" s="18">
        <f>IF(OR(D2980="",E2980=""),"",D2980*E2980)</f>
        <v/>
      </c>
      <c r="G2980" s="15" t="n"/>
    </row>
    <row r="2981">
      <c r="A2981" s="19" t="n"/>
      <c r="B2981" s="15" t="n"/>
      <c r="C2981">
        <f>IF(B2981="","",IFERROR(INDEX(Items!$B$5:$B$304,MATCH(B2981,Items!$A$5:$A$304,0)),"Unknown code"))</f>
        <v/>
      </c>
      <c r="D2981" s="15" t="n"/>
      <c r="E2981" s="16" t="n"/>
      <c r="F2981" s="18">
        <f>IF(OR(D2981="",E2981=""),"",D2981*E2981)</f>
        <v/>
      </c>
      <c r="G2981" s="15" t="n"/>
    </row>
    <row r="2982">
      <c r="A2982" s="19" t="n"/>
      <c r="B2982" s="15" t="n"/>
      <c r="C2982">
        <f>IF(B2982="","",IFERROR(INDEX(Items!$B$5:$B$304,MATCH(B2982,Items!$A$5:$A$304,0)),"Unknown code"))</f>
        <v/>
      </c>
      <c r="D2982" s="15" t="n"/>
      <c r="E2982" s="16" t="n"/>
      <c r="F2982" s="18">
        <f>IF(OR(D2982="",E2982=""),"",D2982*E2982)</f>
        <v/>
      </c>
      <c r="G2982" s="15" t="n"/>
    </row>
    <row r="2983">
      <c r="A2983" s="19" t="n"/>
      <c r="B2983" s="15" t="n"/>
      <c r="C2983">
        <f>IF(B2983="","",IFERROR(INDEX(Items!$B$5:$B$304,MATCH(B2983,Items!$A$5:$A$304,0)),"Unknown code"))</f>
        <v/>
      </c>
      <c r="D2983" s="15" t="n"/>
      <c r="E2983" s="16" t="n"/>
      <c r="F2983" s="18">
        <f>IF(OR(D2983="",E2983=""),"",D2983*E2983)</f>
        <v/>
      </c>
      <c r="G2983" s="15" t="n"/>
    </row>
    <row r="2984">
      <c r="A2984" s="19" t="n"/>
      <c r="B2984" s="15" t="n"/>
      <c r="C2984">
        <f>IF(B2984="","",IFERROR(INDEX(Items!$B$5:$B$304,MATCH(B2984,Items!$A$5:$A$304,0)),"Unknown code"))</f>
        <v/>
      </c>
      <c r="D2984" s="15" t="n"/>
      <c r="E2984" s="16" t="n"/>
      <c r="F2984" s="18">
        <f>IF(OR(D2984="",E2984=""),"",D2984*E2984)</f>
        <v/>
      </c>
      <c r="G2984" s="15" t="n"/>
    </row>
    <row r="2985">
      <c r="A2985" s="19" t="n"/>
      <c r="B2985" s="15" t="n"/>
      <c r="C2985">
        <f>IF(B2985="","",IFERROR(INDEX(Items!$B$5:$B$304,MATCH(B2985,Items!$A$5:$A$304,0)),"Unknown code"))</f>
        <v/>
      </c>
      <c r="D2985" s="15" t="n"/>
      <c r="E2985" s="16" t="n"/>
      <c r="F2985" s="18">
        <f>IF(OR(D2985="",E2985=""),"",D2985*E2985)</f>
        <v/>
      </c>
      <c r="G2985" s="15" t="n"/>
    </row>
    <row r="2986">
      <c r="A2986" s="19" t="n"/>
      <c r="B2986" s="15" t="n"/>
      <c r="C2986">
        <f>IF(B2986="","",IFERROR(INDEX(Items!$B$5:$B$304,MATCH(B2986,Items!$A$5:$A$304,0)),"Unknown code"))</f>
        <v/>
      </c>
      <c r="D2986" s="15" t="n"/>
      <c r="E2986" s="16" t="n"/>
      <c r="F2986" s="18">
        <f>IF(OR(D2986="",E2986=""),"",D2986*E2986)</f>
        <v/>
      </c>
      <c r="G2986" s="15" t="n"/>
    </row>
    <row r="2987">
      <c r="A2987" s="19" t="n"/>
      <c r="B2987" s="15" t="n"/>
      <c r="C2987">
        <f>IF(B2987="","",IFERROR(INDEX(Items!$B$5:$B$304,MATCH(B2987,Items!$A$5:$A$304,0)),"Unknown code"))</f>
        <v/>
      </c>
      <c r="D2987" s="15" t="n"/>
      <c r="E2987" s="16" t="n"/>
      <c r="F2987" s="18">
        <f>IF(OR(D2987="",E2987=""),"",D2987*E2987)</f>
        <v/>
      </c>
      <c r="G2987" s="15" t="n"/>
    </row>
    <row r="2988">
      <c r="A2988" s="19" t="n"/>
      <c r="B2988" s="15" t="n"/>
      <c r="C2988">
        <f>IF(B2988="","",IFERROR(INDEX(Items!$B$5:$B$304,MATCH(B2988,Items!$A$5:$A$304,0)),"Unknown code"))</f>
        <v/>
      </c>
      <c r="D2988" s="15" t="n"/>
      <c r="E2988" s="16" t="n"/>
      <c r="F2988" s="18">
        <f>IF(OR(D2988="",E2988=""),"",D2988*E2988)</f>
        <v/>
      </c>
      <c r="G2988" s="15" t="n"/>
    </row>
    <row r="2989">
      <c r="A2989" s="19" t="n"/>
      <c r="B2989" s="15" t="n"/>
      <c r="C2989">
        <f>IF(B2989="","",IFERROR(INDEX(Items!$B$5:$B$304,MATCH(B2989,Items!$A$5:$A$304,0)),"Unknown code"))</f>
        <v/>
      </c>
      <c r="D2989" s="15" t="n"/>
      <c r="E2989" s="16" t="n"/>
      <c r="F2989" s="18">
        <f>IF(OR(D2989="",E2989=""),"",D2989*E2989)</f>
        <v/>
      </c>
      <c r="G2989" s="15" t="n"/>
    </row>
    <row r="2990">
      <c r="A2990" s="19" t="n"/>
      <c r="B2990" s="15" t="n"/>
      <c r="C2990">
        <f>IF(B2990="","",IFERROR(INDEX(Items!$B$5:$B$304,MATCH(B2990,Items!$A$5:$A$304,0)),"Unknown code"))</f>
        <v/>
      </c>
      <c r="D2990" s="15" t="n"/>
      <c r="E2990" s="16" t="n"/>
      <c r="F2990" s="18">
        <f>IF(OR(D2990="",E2990=""),"",D2990*E2990)</f>
        <v/>
      </c>
      <c r="G2990" s="15" t="n"/>
    </row>
    <row r="2991">
      <c r="A2991" s="19" t="n"/>
      <c r="B2991" s="15" t="n"/>
      <c r="C2991">
        <f>IF(B2991="","",IFERROR(INDEX(Items!$B$5:$B$304,MATCH(B2991,Items!$A$5:$A$304,0)),"Unknown code"))</f>
        <v/>
      </c>
      <c r="D2991" s="15" t="n"/>
      <c r="E2991" s="16" t="n"/>
      <c r="F2991" s="18">
        <f>IF(OR(D2991="",E2991=""),"",D2991*E2991)</f>
        <v/>
      </c>
      <c r="G2991" s="15" t="n"/>
    </row>
    <row r="2992">
      <c r="A2992" s="19" t="n"/>
      <c r="B2992" s="15" t="n"/>
      <c r="C2992">
        <f>IF(B2992="","",IFERROR(INDEX(Items!$B$5:$B$304,MATCH(B2992,Items!$A$5:$A$304,0)),"Unknown code"))</f>
        <v/>
      </c>
      <c r="D2992" s="15" t="n"/>
      <c r="E2992" s="16" t="n"/>
      <c r="F2992" s="18">
        <f>IF(OR(D2992="",E2992=""),"",D2992*E2992)</f>
        <v/>
      </c>
      <c r="G2992" s="15" t="n"/>
    </row>
    <row r="2993">
      <c r="A2993" s="19" t="n"/>
      <c r="B2993" s="15" t="n"/>
      <c r="C2993">
        <f>IF(B2993="","",IFERROR(INDEX(Items!$B$5:$B$304,MATCH(B2993,Items!$A$5:$A$304,0)),"Unknown code"))</f>
        <v/>
      </c>
      <c r="D2993" s="15" t="n"/>
      <c r="E2993" s="16" t="n"/>
      <c r="F2993" s="18">
        <f>IF(OR(D2993="",E2993=""),"",D2993*E2993)</f>
        <v/>
      </c>
      <c r="G2993" s="15" t="n"/>
    </row>
    <row r="2994">
      <c r="A2994" s="19" t="n"/>
      <c r="B2994" s="15" t="n"/>
      <c r="C2994">
        <f>IF(B2994="","",IFERROR(INDEX(Items!$B$5:$B$304,MATCH(B2994,Items!$A$5:$A$304,0)),"Unknown code"))</f>
        <v/>
      </c>
      <c r="D2994" s="15" t="n"/>
      <c r="E2994" s="16" t="n"/>
      <c r="F2994" s="18">
        <f>IF(OR(D2994="",E2994=""),"",D2994*E2994)</f>
        <v/>
      </c>
      <c r="G2994" s="15" t="n"/>
    </row>
    <row r="2995">
      <c r="A2995" s="19" t="n"/>
      <c r="B2995" s="15" t="n"/>
      <c r="C2995">
        <f>IF(B2995="","",IFERROR(INDEX(Items!$B$5:$B$304,MATCH(B2995,Items!$A$5:$A$304,0)),"Unknown code"))</f>
        <v/>
      </c>
      <c r="D2995" s="15" t="n"/>
      <c r="E2995" s="16" t="n"/>
      <c r="F2995" s="18">
        <f>IF(OR(D2995="",E2995=""),"",D2995*E2995)</f>
        <v/>
      </c>
      <c r="G2995" s="15" t="n"/>
    </row>
    <row r="2996">
      <c r="A2996" s="19" t="n"/>
      <c r="B2996" s="15" t="n"/>
      <c r="C2996">
        <f>IF(B2996="","",IFERROR(INDEX(Items!$B$5:$B$304,MATCH(B2996,Items!$A$5:$A$304,0)),"Unknown code"))</f>
        <v/>
      </c>
      <c r="D2996" s="15" t="n"/>
      <c r="E2996" s="16" t="n"/>
      <c r="F2996" s="18">
        <f>IF(OR(D2996="",E2996=""),"",D2996*E2996)</f>
        <v/>
      </c>
      <c r="G2996" s="15" t="n"/>
    </row>
    <row r="2997">
      <c r="A2997" s="19" t="n"/>
      <c r="B2997" s="15" t="n"/>
      <c r="C2997">
        <f>IF(B2997="","",IFERROR(INDEX(Items!$B$5:$B$304,MATCH(B2997,Items!$A$5:$A$304,0)),"Unknown code"))</f>
        <v/>
      </c>
      <c r="D2997" s="15" t="n"/>
      <c r="E2997" s="16" t="n"/>
      <c r="F2997" s="18">
        <f>IF(OR(D2997="",E2997=""),"",D2997*E2997)</f>
        <v/>
      </c>
      <c r="G2997" s="15" t="n"/>
    </row>
    <row r="2998">
      <c r="A2998" s="19" t="n"/>
      <c r="B2998" s="15" t="n"/>
      <c r="C2998">
        <f>IF(B2998="","",IFERROR(INDEX(Items!$B$5:$B$304,MATCH(B2998,Items!$A$5:$A$304,0)),"Unknown code"))</f>
        <v/>
      </c>
      <c r="D2998" s="15" t="n"/>
      <c r="E2998" s="16" t="n"/>
      <c r="F2998" s="18">
        <f>IF(OR(D2998="",E2998=""),"",D2998*E2998)</f>
        <v/>
      </c>
      <c r="G2998" s="15" t="n"/>
    </row>
    <row r="2999">
      <c r="A2999" s="19" t="n"/>
      <c r="B2999" s="15" t="n"/>
      <c r="C2999">
        <f>IF(B2999="","",IFERROR(INDEX(Items!$B$5:$B$304,MATCH(B2999,Items!$A$5:$A$304,0)),"Unknown code"))</f>
        <v/>
      </c>
      <c r="D2999" s="15" t="n"/>
      <c r="E2999" s="16" t="n"/>
      <c r="F2999" s="18">
        <f>IF(OR(D2999="",E2999=""),"",D2999*E2999)</f>
        <v/>
      </c>
      <c r="G2999" s="15" t="n"/>
    </row>
    <row r="3000">
      <c r="A3000" s="19" t="n"/>
      <c r="B3000" s="15" t="n"/>
      <c r="C3000">
        <f>IF(B3000="","",IFERROR(INDEX(Items!$B$5:$B$304,MATCH(B3000,Items!$A$5:$A$304,0)),"Unknown code"))</f>
        <v/>
      </c>
      <c r="D3000" s="15" t="n"/>
      <c r="E3000" s="16" t="n"/>
      <c r="F3000" s="18">
        <f>IF(OR(D3000="",E3000=""),"",D3000*E3000)</f>
        <v/>
      </c>
      <c r="G3000" s="15" t="n"/>
    </row>
    <row r="3001">
      <c r="A3001" s="19" t="n"/>
      <c r="B3001" s="15" t="n"/>
      <c r="C3001">
        <f>IF(B3001="","",IFERROR(INDEX(Items!$B$5:$B$304,MATCH(B3001,Items!$A$5:$A$304,0)),"Unknown code"))</f>
        <v/>
      </c>
      <c r="D3001" s="15" t="n"/>
      <c r="E3001" s="16" t="n"/>
      <c r="F3001" s="18">
        <f>IF(OR(D3001="",E3001=""),"",D3001*E3001)</f>
        <v/>
      </c>
      <c r="G3001" s="15" t="n"/>
    </row>
    <row r="3002">
      <c r="A3002" s="19" t="n"/>
      <c r="B3002" s="15" t="n"/>
      <c r="C3002">
        <f>IF(B3002="","",IFERROR(INDEX(Items!$B$5:$B$304,MATCH(B3002,Items!$A$5:$A$304,0)),"Unknown code"))</f>
        <v/>
      </c>
      <c r="D3002" s="15" t="n"/>
      <c r="E3002" s="16" t="n"/>
      <c r="F3002" s="18">
        <f>IF(OR(D3002="",E3002=""),"",D3002*E3002)</f>
        <v/>
      </c>
      <c r="G3002" s="15" t="n"/>
    </row>
    <row r="3003">
      <c r="A3003" s="19" t="n"/>
      <c r="B3003" s="15" t="n"/>
      <c r="C3003">
        <f>IF(B3003="","",IFERROR(INDEX(Items!$B$5:$B$304,MATCH(B3003,Items!$A$5:$A$304,0)),"Unknown code"))</f>
        <v/>
      </c>
      <c r="D3003" s="15" t="n"/>
      <c r="E3003" s="16" t="n"/>
      <c r="F3003" s="18">
        <f>IF(OR(D3003="",E3003=""),"",D3003*E3003)</f>
        <v/>
      </c>
      <c r="G3003" s="15" t="n"/>
    </row>
    <row r="3004">
      <c r="A3004" s="19" t="n"/>
      <c r="B3004" s="15" t="n"/>
      <c r="C3004">
        <f>IF(B3004="","",IFERROR(INDEX(Items!$B$5:$B$304,MATCH(B3004,Items!$A$5:$A$304,0)),"Unknown code"))</f>
        <v/>
      </c>
      <c r="D3004" s="15" t="n"/>
      <c r="E3004" s="16" t="n"/>
      <c r="F3004" s="18">
        <f>IF(OR(D3004="",E3004=""),"",D3004*E3004)</f>
        <v/>
      </c>
      <c r="G3004" s="15" t="n"/>
    </row>
  </sheetData>
  <mergeCells count="1">
    <mergeCell ref="A1:G1"/>
  </mergeCells>
  <dataValidations count="1">
    <dataValidation sqref="B5:B3004" showDropDown="0" showInputMessage="0" showErrorMessage="0" allowBlank="1" type="list">
      <formula1>Items!$A$5:$A$304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  <col width="12" customWidth="1" min="5" max="5"/>
    <col width="14" customWidth="1" min="6" max="6"/>
    <col width="26" customWidth="1" min="7" max="7"/>
  </cols>
  <sheetData>
    <row r="1">
      <c r="A1" s="8" t="inlineStr">
        <is>
          <t>Stock Out</t>
        </is>
      </c>
    </row>
    <row r="4" ht="32" customHeight="1">
      <c r="A4" s="14" t="inlineStr">
        <is>
          <t>Date</t>
        </is>
      </c>
      <c r="B4" s="14" t="inlineStr">
        <is>
          <t>Item code</t>
        </is>
      </c>
      <c r="C4" s="14" t="inlineStr">
        <is>
          <t>Item name</t>
        </is>
      </c>
      <c r="D4" s="14" t="inlineStr">
        <is>
          <t>Quantity</t>
        </is>
      </c>
      <c r="E4" s="14" t="inlineStr">
        <is>
          <t>Rate (₹)</t>
        </is>
      </c>
      <c r="F4" s="14" t="inlineStr">
        <is>
          <t>Amount (₹)</t>
        </is>
      </c>
      <c r="G4" s="14" t="inlineStr">
        <is>
          <t>Customer</t>
        </is>
      </c>
    </row>
    <row r="5">
      <c r="A5" s="19" t="n"/>
      <c r="B5" s="15" t="n"/>
      <c r="C5">
        <f>IF(B5="","",IFERROR(INDEX(Items!$B$5:$B$304,MATCH(B5,Items!$A$5:$A$304,0)),"Unknown code"))</f>
        <v/>
      </c>
      <c r="D5" s="15" t="n"/>
      <c r="E5" s="16" t="n"/>
      <c r="F5" s="18">
        <f>IF(OR(D5="",E5=""),"",D5*E5)</f>
        <v/>
      </c>
      <c r="G5" s="15" t="n"/>
    </row>
    <row r="6">
      <c r="A6" s="19" t="n"/>
      <c r="B6" s="15" t="n"/>
      <c r="C6">
        <f>IF(B6="","",IFERROR(INDEX(Items!$B$5:$B$304,MATCH(B6,Items!$A$5:$A$304,0)),"Unknown code"))</f>
        <v/>
      </c>
      <c r="D6" s="15" t="n"/>
      <c r="E6" s="16" t="n"/>
      <c r="F6" s="18">
        <f>IF(OR(D6="",E6=""),"",D6*E6)</f>
        <v/>
      </c>
      <c r="G6" s="15" t="n"/>
    </row>
    <row r="7">
      <c r="A7" s="19" t="n"/>
      <c r="B7" s="15" t="n"/>
      <c r="C7">
        <f>IF(B7="","",IFERROR(INDEX(Items!$B$5:$B$304,MATCH(B7,Items!$A$5:$A$304,0)),"Unknown code"))</f>
        <v/>
      </c>
      <c r="D7" s="15" t="n"/>
      <c r="E7" s="16" t="n"/>
      <c r="F7" s="18">
        <f>IF(OR(D7="",E7=""),"",D7*E7)</f>
        <v/>
      </c>
      <c r="G7" s="15" t="n"/>
    </row>
    <row r="8">
      <c r="A8" s="19" t="n"/>
      <c r="B8" s="15" t="n"/>
      <c r="C8">
        <f>IF(B8="","",IFERROR(INDEX(Items!$B$5:$B$304,MATCH(B8,Items!$A$5:$A$304,0)),"Unknown code"))</f>
        <v/>
      </c>
      <c r="D8" s="15" t="n"/>
      <c r="E8" s="16" t="n"/>
      <c r="F8" s="18">
        <f>IF(OR(D8="",E8=""),"",D8*E8)</f>
        <v/>
      </c>
      <c r="G8" s="15" t="n"/>
    </row>
    <row r="9">
      <c r="A9" s="19" t="n"/>
      <c r="B9" s="15" t="n"/>
      <c r="C9">
        <f>IF(B9="","",IFERROR(INDEX(Items!$B$5:$B$304,MATCH(B9,Items!$A$5:$A$304,0)),"Unknown code"))</f>
        <v/>
      </c>
      <c r="D9" s="15" t="n"/>
      <c r="E9" s="16" t="n"/>
      <c r="F9" s="18">
        <f>IF(OR(D9="",E9=""),"",D9*E9)</f>
        <v/>
      </c>
      <c r="G9" s="15" t="n"/>
    </row>
    <row r="10">
      <c r="A10" s="19" t="n"/>
      <c r="B10" s="15" t="n"/>
      <c r="C10">
        <f>IF(B10="","",IFERROR(INDEX(Items!$B$5:$B$304,MATCH(B10,Items!$A$5:$A$304,0)),"Unknown code"))</f>
        <v/>
      </c>
      <c r="D10" s="15" t="n"/>
      <c r="E10" s="16" t="n"/>
      <c r="F10" s="18">
        <f>IF(OR(D10="",E10=""),"",D10*E10)</f>
        <v/>
      </c>
      <c r="G10" s="15" t="n"/>
    </row>
    <row r="11">
      <c r="A11" s="19" t="n"/>
      <c r="B11" s="15" t="n"/>
      <c r="C11">
        <f>IF(B11="","",IFERROR(INDEX(Items!$B$5:$B$304,MATCH(B11,Items!$A$5:$A$304,0)),"Unknown code"))</f>
        <v/>
      </c>
      <c r="D11" s="15" t="n"/>
      <c r="E11" s="16" t="n"/>
      <c r="F11" s="18">
        <f>IF(OR(D11="",E11=""),"",D11*E11)</f>
        <v/>
      </c>
      <c r="G11" s="15" t="n"/>
    </row>
    <row r="12">
      <c r="A12" s="19" t="n"/>
      <c r="B12" s="15" t="n"/>
      <c r="C12">
        <f>IF(B12="","",IFERROR(INDEX(Items!$B$5:$B$304,MATCH(B12,Items!$A$5:$A$304,0)),"Unknown code"))</f>
        <v/>
      </c>
      <c r="D12" s="15" t="n"/>
      <c r="E12" s="16" t="n"/>
      <c r="F12" s="18">
        <f>IF(OR(D12="",E12=""),"",D12*E12)</f>
        <v/>
      </c>
      <c r="G12" s="15" t="n"/>
    </row>
    <row r="13">
      <c r="A13" s="19" t="n"/>
      <c r="B13" s="15" t="n"/>
      <c r="C13">
        <f>IF(B13="","",IFERROR(INDEX(Items!$B$5:$B$304,MATCH(B13,Items!$A$5:$A$304,0)),"Unknown code"))</f>
        <v/>
      </c>
      <c r="D13" s="15" t="n"/>
      <c r="E13" s="16" t="n"/>
      <c r="F13" s="18">
        <f>IF(OR(D13="",E13=""),"",D13*E13)</f>
        <v/>
      </c>
      <c r="G13" s="15" t="n"/>
    </row>
    <row r="14">
      <c r="A14" s="19" t="n"/>
      <c r="B14" s="15" t="n"/>
      <c r="C14">
        <f>IF(B14="","",IFERROR(INDEX(Items!$B$5:$B$304,MATCH(B14,Items!$A$5:$A$304,0)),"Unknown code"))</f>
        <v/>
      </c>
      <c r="D14" s="15" t="n"/>
      <c r="E14" s="16" t="n"/>
      <c r="F14" s="18">
        <f>IF(OR(D14="",E14=""),"",D14*E14)</f>
        <v/>
      </c>
      <c r="G14" s="15" t="n"/>
    </row>
    <row r="15">
      <c r="A15" s="19" t="n"/>
      <c r="B15" s="15" t="n"/>
      <c r="C15">
        <f>IF(B15="","",IFERROR(INDEX(Items!$B$5:$B$304,MATCH(B15,Items!$A$5:$A$304,0)),"Unknown code"))</f>
        <v/>
      </c>
      <c r="D15" s="15" t="n"/>
      <c r="E15" s="16" t="n"/>
      <c r="F15" s="18">
        <f>IF(OR(D15="",E15=""),"",D15*E15)</f>
        <v/>
      </c>
      <c r="G15" s="15" t="n"/>
    </row>
    <row r="16">
      <c r="A16" s="19" t="n"/>
      <c r="B16" s="15" t="n"/>
      <c r="C16">
        <f>IF(B16="","",IFERROR(INDEX(Items!$B$5:$B$304,MATCH(B16,Items!$A$5:$A$304,0)),"Unknown code"))</f>
        <v/>
      </c>
      <c r="D16" s="15" t="n"/>
      <c r="E16" s="16" t="n"/>
      <c r="F16" s="18">
        <f>IF(OR(D16="",E16=""),"",D16*E16)</f>
        <v/>
      </c>
      <c r="G16" s="15" t="n"/>
    </row>
    <row r="17">
      <c r="A17" s="19" t="n"/>
      <c r="B17" s="15" t="n"/>
      <c r="C17">
        <f>IF(B17="","",IFERROR(INDEX(Items!$B$5:$B$304,MATCH(B17,Items!$A$5:$A$304,0)),"Unknown code"))</f>
        <v/>
      </c>
      <c r="D17" s="15" t="n"/>
      <c r="E17" s="16" t="n"/>
      <c r="F17" s="18">
        <f>IF(OR(D17="",E17=""),"",D17*E17)</f>
        <v/>
      </c>
      <c r="G17" s="15" t="n"/>
    </row>
    <row r="18">
      <c r="A18" s="19" t="n"/>
      <c r="B18" s="15" t="n"/>
      <c r="C18">
        <f>IF(B18="","",IFERROR(INDEX(Items!$B$5:$B$304,MATCH(B18,Items!$A$5:$A$304,0)),"Unknown code"))</f>
        <v/>
      </c>
      <c r="D18" s="15" t="n"/>
      <c r="E18" s="16" t="n"/>
      <c r="F18" s="18">
        <f>IF(OR(D18="",E18=""),"",D18*E18)</f>
        <v/>
      </c>
      <c r="G18" s="15" t="n"/>
    </row>
    <row r="19">
      <c r="A19" s="19" t="n"/>
      <c r="B19" s="15" t="n"/>
      <c r="C19">
        <f>IF(B19="","",IFERROR(INDEX(Items!$B$5:$B$304,MATCH(B19,Items!$A$5:$A$304,0)),"Unknown code"))</f>
        <v/>
      </c>
      <c r="D19" s="15" t="n"/>
      <c r="E19" s="16" t="n"/>
      <c r="F19" s="18">
        <f>IF(OR(D19="",E19=""),"",D19*E19)</f>
        <v/>
      </c>
      <c r="G19" s="15" t="n"/>
    </row>
    <row r="20">
      <c r="A20" s="19" t="n"/>
      <c r="B20" s="15" t="n"/>
      <c r="C20">
        <f>IF(B20="","",IFERROR(INDEX(Items!$B$5:$B$304,MATCH(B20,Items!$A$5:$A$304,0)),"Unknown code"))</f>
        <v/>
      </c>
      <c r="D20" s="15" t="n"/>
      <c r="E20" s="16" t="n"/>
      <c r="F20" s="18">
        <f>IF(OR(D20="",E20=""),"",D20*E20)</f>
        <v/>
      </c>
      <c r="G20" s="15" t="n"/>
    </row>
    <row r="21">
      <c r="A21" s="19" t="n"/>
      <c r="B21" s="15" t="n"/>
      <c r="C21">
        <f>IF(B21="","",IFERROR(INDEX(Items!$B$5:$B$304,MATCH(B21,Items!$A$5:$A$304,0)),"Unknown code"))</f>
        <v/>
      </c>
      <c r="D21" s="15" t="n"/>
      <c r="E21" s="16" t="n"/>
      <c r="F21" s="18">
        <f>IF(OR(D21="",E21=""),"",D21*E21)</f>
        <v/>
      </c>
      <c r="G21" s="15" t="n"/>
    </row>
    <row r="22">
      <c r="A22" s="19" t="n"/>
      <c r="B22" s="15" t="n"/>
      <c r="C22">
        <f>IF(B22="","",IFERROR(INDEX(Items!$B$5:$B$304,MATCH(B22,Items!$A$5:$A$304,0)),"Unknown code"))</f>
        <v/>
      </c>
      <c r="D22" s="15" t="n"/>
      <c r="E22" s="16" t="n"/>
      <c r="F22" s="18">
        <f>IF(OR(D22="",E22=""),"",D22*E22)</f>
        <v/>
      </c>
      <c r="G22" s="15" t="n"/>
    </row>
    <row r="23">
      <c r="A23" s="19" t="n"/>
      <c r="B23" s="15" t="n"/>
      <c r="C23">
        <f>IF(B23="","",IFERROR(INDEX(Items!$B$5:$B$304,MATCH(B23,Items!$A$5:$A$304,0)),"Unknown code"))</f>
        <v/>
      </c>
      <c r="D23" s="15" t="n"/>
      <c r="E23" s="16" t="n"/>
      <c r="F23" s="18">
        <f>IF(OR(D23="",E23=""),"",D23*E23)</f>
        <v/>
      </c>
      <c r="G23" s="15" t="n"/>
    </row>
    <row r="24">
      <c r="A24" s="19" t="n"/>
      <c r="B24" s="15" t="n"/>
      <c r="C24">
        <f>IF(B24="","",IFERROR(INDEX(Items!$B$5:$B$304,MATCH(B24,Items!$A$5:$A$304,0)),"Unknown code"))</f>
        <v/>
      </c>
      <c r="D24" s="15" t="n"/>
      <c r="E24" s="16" t="n"/>
      <c r="F24" s="18">
        <f>IF(OR(D24="",E24=""),"",D24*E24)</f>
        <v/>
      </c>
      <c r="G24" s="15" t="n"/>
    </row>
    <row r="25">
      <c r="A25" s="19" t="n"/>
      <c r="B25" s="15" t="n"/>
      <c r="C25">
        <f>IF(B25="","",IFERROR(INDEX(Items!$B$5:$B$304,MATCH(B25,Items!$A$5:$A$304,0)),"Unknown code"))</f>
        <v/>
      </c>
      <c r="D25" s="15" t="n"/>
      <c r="E25" s="16" t="n"/>
      <c r="F25" s="18">
        <f>IF(OR(D25="",E25=""),"",D25*E25)</f>
        <v/>
      </c>
      <c r="G25" s="15" t="n"/>
    </row>
    <row r="26">
      <c r="A26" s="19" t="n"/>
      <c r="B26" s="15" t="n"/>
      <c r="C26">
        <f>IF(B26="","",IFERROR(INDEX(Items!$B$5:$B$304,MATCH(B26,Items!$A$5:$A$304,0)),"Unknown code"))</f>
        <v/>
      </c>
      <c r="D26" s="15" t="n"/>
      <c r="E26" s="16" t="n"/>
      <c r="F26" s="18">
        <f>IF(OR(D26="",E26=""),"",D26*E26)</f>
        <v/>
      </c>
      <c r="G26" s="15" t="n"/>
    </row>
    <row r="27">
      <c r="A27" s="19" t="n"/>
      <c r="B27" s="15" t="n"/>
      <c r="C27">
        <f>IF(B27="","",IFERROR(INDEX(Items!$B$5:$B$304,MATCH(B27,Items!$A$5:$A$304,0)),"Unknown code"))</f>
        <v/>
      </c>
      <c r="D27" s="15" t="n"/>
      <c r="E27" s="16" t="n"/>
      <c r="F27" s="18">
        <f>IF(OR(D27="",E27=""),"",D27*E27)</f>
        <v/>
      </c>
      <c r="G27" s="15" t="n"/>
    </row>
    <row r="28">
      <c r="A28" s="19" t="n"/>
      <c r="B28" s="15" t="n"/>
      <c r="C28">
        <f>IF(B28="","",IFERROR(INDEX(Items!$B$5:$B$304,MATCH(B28,Items!$A$5:$A$304,0)),"Unknown code"))</f>
        <v/>
      </c>
      <c r="D28" s="15" t="n"/>
      <c r="E28" s="16" t="n"/>
      <c r="F28" s="18">
        <f>IF(OR(D28="",E28=""),"",D28*E28)</f>
        <v/>
      </c>
      <c r="G28" s="15" t="n"/>
    </row>
    <row r="29">
      <c r="A29" s="19" t="n"/>
      <c r="B29" s="15" t="n"/>
      <c r="C29">
        <f>IF(B29="","",IFERROR(INDEX(Items!$B$5:$B$304,MATCH(B29,Items!$A$5:$A$304,0)),"Unknown code"))</f>
        <v/>
      </c>
      <c r="D29" s="15" t="n"/>
      <c r="E29" s="16" t="n"/>
      <c r="F29" s="18">
        <f>IF(OR(D29="",E29=""),"",D29*E29)</f>
        <v/>
      </c>
      <c r="G29" s="15" t="n"/>
    </row>
    <row r="30">
      <c r="A30" s="19" t="n"/>
      <c r="B30" s="15" t="n"/>
      <c r="C30">
        <f>IF(B30="","",IFERROR(INDEX(Items!$B$5:$B$304,MATCH(B30,Items!$A$5:$A$304,0)),"Unknown code"))</f>
        <v/>
      </c>
      <c r="D30" s="15" t="n"/>
      <c r="E30" s="16" t="n"/>
      <c r="F30" s="18">
        <f>IF(OR(D30="",E30=""),"",D30*E30)</f>
        <v/>
      </c>
      <c r="G30" s="15" t="n"/>
    </row>
    <row r="31">
      <c r="A31" s="19" t="n"/>
      <c r="B31" s="15" t="n"/>
      <c r="C31">
        <f>IF(B31="","",IFERROR(INDEX(Items!$B$5:$B$304,MATCH(B31,Items!$A$5:$A$304,0)),"Unknown code"))</f>
        <v/>
      </c>
      <c r="D31" s="15" t="n"/>
      <c r="E31" s="16" t="n"/>
      <c r="F31" s="18">
        <f>IF(OR(D31="",E31=""),"",D31*E31)</f>
        <v/>
      </c>
      <c r="G31" s="15" t="n"/>
    </row>
    <row r="32">
      <c r="A32" s="19" t="n"/>
      <c r="B32" s="15" t="n"/>
      <c r="C32">
        <f>IF(B32="","",IFERROR(INDEX(Items!$B$5:$B$304,MATCH(B32,Items!$A$5:$A$304,0)),"Unknown code"))</f>
        <v/>
      </c>
      <c r="D32" s="15" t="n"/>
      <c r="E32" s="16" t="n"/>
      <c r="F32" s="18">
        <f>IF(OR(D32="",E32=""),"",D32*E32)</f>
        <v/>
      </c>
      <c r="G32" s="15" t="n"/>
    </row>
    <row r="33">
      <c r="A33" s="19" t="n"/>
      <c r="B33" s="15" t="n"/>
      <c r="C33">
        <f>IF(B33="","",IFERROR(INDEX(Items!$B$5:$B$304,MATCH(B33,Items!$A$5:$A$304,0)),"Unknown code"))</f>
        <v/>
      </c>
      <c r="D33" s="15" t="n"/>
      <c r="E33" s="16" t="n"/>
      <c r="F33" s="18">
        <f>IF(OR(D33="",E33=""),"",D33*E33)</f>
        <v/>
      </c>
      <c r="G33" s="15" t="n"/>
    </row>
    <row r="34">
      <c r="A34" s="19" t="n"/>
      <c r="B34" s="15" t="n"/>
      <c r="C34">
        <f>IF(B34="","",IFERROR(INDEX(Items!$B$5:$B$304,MATCH(B34,Items!$A$5:$A$304,0)),"Unknown code"))</f>
        <v/>
      </c>
      <c r="D34" s="15" t="n"/>
      <c r="E34" s="16" t="n"/>
      <c r="F34" s="18">
        <f>IF(OR(D34="",E34=""),"",D34*E34)</f>
        <v/>
      </c>
      <c r="G34" s="15" t="n"/>
    </row>
    <row r="35">
      <c r="A35" s="19" t="n"/>
      <c r="B35" s="15" t="n"/>
      <c r="C35">
        <f>IF(B35="","",IFERROR(INDEX(Items!$B$5:$B$304,MATCH(B35,Items!$A$5:$A$304,0)),"Unknown code"))</f>
        <v/>
      </c>
      <c r="D35" s="15" t="n"/>
      <c r="E35" s="16" t="n"/>
      <c r="F35" s="18">
        <f>IF(OR(D35="",E35=""),"",D35*E35)</f>
        <v/>
      </c>
      <c r="G35" s="15" t="n"/>
    </row>
    <row r="36">
      <c r="A36" s="19" t="n"/>
      <c r="B36" s="15" t="n"/>
      <c r="C36">
        <f>IF(B36="","",IFERROR(INDEX(Items!$B$5:$B$304,MATCH(B36,Items!$A$5:$A$304,0)),"Unknown code"))</f>
        <v/>
      </c>
      <c r="D36" s="15" t="n"/>
      <c r="E36" s="16" t="n"/>
      <c r="F36" s="18">
        <f>IF(OR(D36="",E36=""),"",D36*E36)</f>
        <v/>
      </c>
      <c r="G36" s="15" t="n"/>
    </row>
    <row r="37">
      <c r="A37" s="19" t="n"/>
      <c r="B37" s="15" t="n"/>
      <c r="C37">
        <f>IF(B37="","",IFERROR(INDEX(Items!$B$5:$B$304,MATCH(B37,Items!$A$5:$A$304,0)),"Unknown code"))</f>
        <v/>
      </c>
      <c r="D37" s="15" t="n"/>
      <c r="E37" s="16" t="n"/>
      <c r="F37" s="18">
        <f>IF(OR(D37="",E37=""),"",D37*E37)</f>
        <v/>
      </c>
      <c r="G37" s="15" t="n"/>
    </row>
    <row r="38">
      <c r="A38" s="19" t="n"/>
      <c r="B38" s="15" t="n"/>
      <c r="C38">
        <f>IF(B38="","",IFERROR(INDEX(Items!$B$5:$B$304,MATCH(B38,Items!$A$5:$A$304,0)),"Unknown code"))</f>
        <v/>
      </c>
      <c r="D38" s="15" t="n"/>
      <c r="E38" s="16" t="n"/>
      <c r="F38" s="18">
        <f>IF(OR(D38="",E38=""),"",D38*E38)</f>
        <v/>
      </c>
      <c r="G38" s="15" t="n"/>
    </row>
    <row r="39">
      <c r="A39" s="19" t="n"/>
      <c r="B39" s="15" t="n"/>
      <c r="C39">
        <f>IF(B39="","",IFERROR(INDEX(Items!$B$5:$B$304,MATCH(B39,Items!$A$5:$A$304,0)),"Unknown code"))</f>
        <v/>
      </c>
      <c r="D39" s="15" t="n"/>
      <c r="E39" s="16" t="n"/>
      <c r="F39" s="18">
        <f>IF(OR(D39="",E39=""),"",D39*E39)</f>
        <v/>
      </c>
      <c r="G39" s="15" t="n"/>
    </row>
    <row r="40">
      <c r="A40" s="19" t="n"/>
      <c r="B40" s="15" t="n"/>
      <c r="C40">
        <f>IF(B40="","",IFERROR(INDEX(Items!$B$5:$B$304,MATCH(B40,Items!$A$5:$A$304,0)),"Unknown code"))</f>
        <v/>
      </c>
      <c r="D40" s="15" t="n"/>
      <c r="E40" s="16" t="n"/>
      <c r="F40" s="18">
        <f>IF(OR(D40="",E40=""),"",D40*E40)</f>
        <v/>
      </c>
      <c r="G40" s="15" t="n"/>
    </row>
    <row r="41">
      <c r="A41" s="19" t="n"/>
      <c r="B41" s="15" t="n"/>
      <c r="C41">
        <f>IF(B41="","",IFERROR(INDEX(Items!$B$5:$B$304,MATCH(B41,Items!$A$5:$A$304,0)),"Unknown code"))</f>
        <v/>
      </c>
      <c r="D41" s="15" t="n"/>
      <c r="E41" s="16" t="n"/>
      <c r="F41" s="18">
        <f>IF(OR(D41="",E41=""),"",D41*E41)</f>
        <v/>
      </c>
      <c r="G41" s="15" t="n"/>
    </row>
    <row r="42">
      <c r="A42" s="19" t="n"/>
      <c r="B42" s="15" t="n"/>
      <c r="C42">
        <f>IF(B42="","",IFERROR(INDEX(Items!$B$5:$B$304,MATCH(B42,Items!$A$5:$A$304,0)),"Unknown code"))</f>
        <v/>
      </c>
      <c r="D42" s="15" t="n"/>
      <c r="E42" s="16" t="n"/>
      <c r="F42" s="18">
        <f>IF(OR(D42="",E42=""),"",D42*E42)</f>
        <v/>
      </c>
      <c r="G42" s="15" t="n"/>
    </row>
    <row r="43">
      <c r="A43" s="19" t="n"/>
      <c r="B43" s="15" t="n"/>
      <c r="C43">
        <f>IF(B43="","",IFERROR(INDEX(Items!$B$5:$B$304,MATCH(B43,Items!$A$5:$A$304,0)),"Unknown code"))</f>
        <v/>
      </c>
      <c r="D43" s="15" t="n"/>
      <c r="E43" s="16" t="n"/>
      <c r="F43" s="18">
        <f>IF(OR(D43="",E43=""),"",D43*E43)</f>
        <v/>
      </c>
      <c r="G43" s="15" t="n"/>
    </row>
    <row r="44">
      <c r="A44" s="19" t="n"/>
      <c r="B44" s="15" t="n"/>
      <c r="C44">
        <f>IF(B44="","",IFERROR(INDEX(Items!$B$5:$B$304,MATCH(B44,Items!$A$5:$A$304,0)),"Unknown code"))</f>
        <v/>
      </c>
      <c r="D44" s="15" t="n"/>
      <c r="E44" s="16" t="n"/>
      <c r="F44" s="18">
        <f>IF(OR(D44="",E44=""),"",D44*E44)</f>
        <v/>
      </c>
      <c r="G44" s="15" t="n"/>
    </row>
    <row r="45">
      <c r="A45" s="19" t="n"/>
      <c r="B45" s="15" t="n"/>
      <c r="C45">
        <f>IF(B45="","",IFERROR(INDEX(Items!$B$5:$B$304,MATCH(B45,Items!$A$5:$A$304,0)),"Unknown code"))</f>
        <v/>
      </c>
      <c r="D45" s="15" t="n"/>
      <c r="E45" s="16" t="n"/>
      <c r="F45" s="18">
        <f>IF(OR(D45="",E45=""),"",D45*E45)</f>
        <v/>
      </c>
      <c r="G45" s="15" t="n"/>
    </row>
    <row r="46">
      <c r="A46" s="19" t="n"/>
      <c r="B46" s="15" t="n"/>
      <c r="C46">
        <f>IF(B46="","",IFERROR(INDEX(Items!$B$5:$B$304,MATCH(B46,Items!$A$5:$A$304,0)),"Unknown code"))</f>
        <v/>
      </c>
      <c r="D46" s="15" t="n"/>
      <c r="E46" s="16" t="n"/>
      <c r="F46" s="18">
        <f>IF(OR(D46="",E46=""),"",D46*E46)</f>
        <v/>
      </c>
      <c r="G46" s="15" t="n"/>
    </row>
    <row r="47">
      <c r="A47" s="19" t="n"/>
      <c r="B47" s="15" t="n"/>
      <c r="C47">
        <f>IF(B47="","",IFERROR(INDEX(Items!$B$5:$B$304,MATCH(B47,Items!$A$5:$A$304,0)),"Unknown code"))</f>
        <v/>
      </c>
      <c r="D47" s="15" t="n"/>
      <c r="E47" s="16" t="n"/>
      <c r="F47" s="18">
        <f>IF(OR(D47="",E47=""),"",D47*E47)</f>
        <v/>
      </c>
      <c r="G47" s="15" t="n"/>
    </row>
    <row r="48">
      <c r="A48" s="19" t="n"/>
      <c r="B48" s="15" t="n"/>
      <c r="C48">
        <f>IF(B48="","",IFERROR(INDEX(Items!$B$5:$B$304,MATCH(B48,Items!$A$5:$A$304,0)),"Unknown code"))</f>
        <v/>
      </c>
      <c r="D48" s="15" t="n"/>
      <c r="E48" s="16" t="n"/>
      <c r="F48" s="18">
        <f>IF(OR(D48="",E48=""),"",D48*E48)</f>
        <v/>
      </c>
      <c r="G48" s="15" t="n"/>
    </row>
    <row r="49">
      <c r="A49" s="19" t="n"/>
      <c r="B49" s="15" t="n"/>
      <c r="C49">
        <f>IF(B49="","",IFERROR(INDEX(Items!$B$5:$B$304,MATCH(B49,Items!$A$5:$A$304,0)),"Unknown code"))</f>
        <v/>
      </c>
      <c r="D49" s="15" t="n"/>
      <c r="E49" s="16" t="n"/>
      <c r="F49" s="18">
        <f>IF(OR(D49="",E49=""),"",D49*E49)</f>
        <v/>
      </c>
      <c r="G49" s="15" t="n"/>
    </row>
    <row r="50">
      <c r="A50" s="19" t="n"/>
      <c r="B50" s="15" t="n"/>
      <c r="C50">
        <f>IF(B50="","",IFERROR(INDEX(Items!$B$5:$B$304,MATCH(B50,Items!$A$5:$A$304,0)),"Unknown code"))</f>
        <v/>
      </c>
      <c r="D50" s="15" t="n"/>
      <c r="E50" s="16" t="n"/>
      <c r="F50" s="18">
        <f>IF(OR(D50="",E50=""),"",D50*E50)</f>
        <v/>
      </c>
      <c r="G50" s="15" t="n"/>
    </row>
    <row r="51">
      <c r="A51" s="19" t="n"/>
      <c r="B51" s="15" t="n"/>
      <c r="C51">
        <f>IF(B51="","",IFERROR(INDEX(Items!$B$5:$B$304,MATCH(B51,Items!$A$5:$A$304,0)),"Unknown code"))</f>
        <v/>
      </c>
      <c r="D51" s="15" t="n"/>
      <c r="E51" s="16" t="n"/>
      <c r="F51" s="18">
        <f>IF(OR(D51="",E51=""),"",D51*E51)</f>
        <v/>
      </c>
      <c r="G51" s="15" t="n"/>
    </row>
    <row r="52">
      <c r="A52" s="19" t="n"/>
      <c r="B52" s="15" t="n"/>
      <c r="C52">
        <f>IF(B52="","",IFERROR(INDEX(Items!$B$5:$B$304,MATCH(B52,Items!$A$5:$A$304,0)),"Unknown code"))</f>
        <v/>
      </c>
      <c r="D52" s="15" t="n"/>
      <c r="E52" s="16" t="n"/>
      <c r="F52" s="18">
        <f>IF(OR(D52="",E52=""),"",D52*E52)</f>
        <v/>
      </c>
      <c r="G52" s="15" t="n"/>
    </row>
    <row r="53">
      <c r="A53" s="19" t="n"/>
      <c r="B53" s="15" t="n"/>
      <c r="C53">
        <f>IF(B53="","",IFERROR(INDEX(Items!$B$5:$B$304,MATCH(B53,Items!$A$5:$A$304,0)),"Unknown code"))</f>
        <v/>
      </c>
      <c r="D53" s="15" t="n"/>
      <c r="E53" s="16" t="n"/>
      <c r="F53" s="18">
        <f>IF(OR(D53="",E53=""),"",D53*E53)</f>
        <v/>
      </c>
      <c r="G53" s="15" t="n"/>
    </row>
    <row r="54">
      <c r="A54" s="19" t="n"/>
      <c r="B54" s="15" t="n"/>
      <c r="C54">
        <f>IF(B54="","",IFERROR(INDEX(Items!$B$5:$B$304,MATCH(B54,Items!$A$5:$A$304,0)),"Unknown code"))</f>
        <v/>
      </c>
      <c r="D54" s="15" t="n"/>
      <c r="E54" s="16" t="n"/>
      <c r="F54" s="18">
        <f>IF(OR(D54="",E54=""),"",D54*E54)</f>
        <v/>
      </c>
      <c r="G54" s="15" t="n"/>
    </row>
    <row r="55">
      <c r="A55" s="19" t="n"/>
      <c r="B55" s="15" t="n"/>
      <c r="C55">
        <f>IF(B55="","",IFERROR(INDEX(Items!$B$5:$B$304,MATCH(B55,Items!$A$5:$A$304,0)),"Unknown code"))</f>
        <v/>
      </c>
      <c r="D55" s="15" t="n"/>
      <c r="E55" s="16" t="n"/>
      <c r="F55" s="18">
        <f>IF(OR(D55="",E55=""),"",D55*E55)</f>
        <v/>
      </c>
      <c r="G55" s="15" t="n"/>
    </row>
    <row r="56">
      <c r="A56" s="19" t="n"/>
      <c r="B56" s="15" t="n"/>
      <c r="C56">
        <f>IF(B56="","",IFERROR(INDEX(Items!$B$5:$B$304,MATCH(B56,Items!$A$5:$A$304,0)),"Unknown code"))</f>
        <v/>
      </c>
      <c r="D56" s="15" t="n"/>
      <c r="E56" s="16" t="n"/>
      <c r="F56" s="18">
        <f>IF(OR(D56="",E56=""),"",D56*E56)</f>
        <v/>
      </c>
      <c r="G56" s="15" t="n"/>
    </row>
    <row r="57">
      <c r="A57" s="19" t="n"/>
      <c r="B57" s="15" t="n"/>
      <c r="C57">
        <f>IF(B57="","",IFERROR(INDEX(Items!$B$5:$B$304,MATCH(B57,Items!$A$5:$A$304,0)),"Unknown code"))</f>
        <v/>
      </c>
      <c r="D57" s="15" t="n"/>
      <c r="E57" s="16" t="n"/>
      <c r="F57" s="18">
        <f>IF(OR(D57="",E57=""),"",D57*E57)</f>
        <v/>
      </c>
      <c r="G57" s="15" t="n"/>
    </row>
    <row r="58">
      <c r="A58" s="19" t="n"/>
      <c r="B58" s="15" t="n"/>
      <c r="C58">
        <f>IF(B58="","",IFERROR(INDEX(Items!$B$5:$B$304,MATCH(B58,Items!$A$5:$A$304,0)),"Unknown code"))</f>
        <v/>
      </c>
      <c r="D58" s="15" t="n"/>
      <c r="E58" s="16" t="n"/>
      <c r="F58" s="18">
        <f>IF(OR(D58="",E58=""),"",D58*E58)</f>
        <v/>
      </c>
      <c r="G58" s="15" t="n"/>
    </row>
    <row r="59">
      <c r="A59" s="19" t="n"/>
      <c r="B59" s="15" t="n"/>
      <c r="C59">
        <f>IF(B59="","",IFERROR(INDEX(Items!$B$5:$B$304,MATCH(B59,Items!$A$5:$A$304,0)),"Unknown code"))</f>
        <v/>
      </c>
      <c r="D59" s="15" t="n"/>
      <c r="E59" s="16" t="n"/>
      <c r="F59" s="18">
        <f>IF(OR(D59="",E59=""),"",D59*E59)</f>
        <v/>
      </c>
      <c r="G59" s="15" t="n"/>
    </row>
    <row r="60">
      <c r="A60" s="19" t="n"/>
      <c r="B60" s="15" t="n"/>
      <c r="C60">
        <f>IF(B60="","",IFERROR(INDEX(Items!$B$5:$B$304,MATCH(B60,Items!$A$5:$A$304,0)),"Unknown code"))</f>
        <v/>
      </c>
      <c r="D60" s="15" t="n"/>
      <c r="E60" s="16" t="n"/>
      <c r="F60" s="18">
        <f>IF(OR(D60="",E60=""),"",D60*E60)</f>
        <v/>
      </c>
      <c r="G60" s="15" t="n"/>
    </row>
    <row r="61">
      <c r="A61" s="19" t="n"/>
      <c r="B61" s="15" t="n"/>
      <c r="C61">
        <f>IF(B61="","",IFERROR(INDEX(Items!$B$5:$B$304,MATCH(B61,Items!$A$5:$A$304,0)),"Unknown code"))</f>
        <v/>
      </c>
      <c r="D61" s="15" t="n"/>
      <c r="E61" s="16" t="n"/>
      <c r="F61" s="18">
        <f>IF(OR(D61="",E61=""),"",D61*E61)</f>
        <v/>
      </c>
      <c r="G61" s="15" t="n"/>
    </row>
    <row r="62">
      <c r="A62" s="19" t="n"/>
      <c r="B62" s="15" t="n"/>
      <c r="C62">
        <f>IF(B62="","",IFERROR(INDEX(Items!$B$5:$B$304,MATCH(B62,Items!$A$5:$A$304,0)),"Unknown code"))</f>
        <v/>
      </c>
      <c r="D62" s="15" t="n"/>
      <c r="E62" s="16" t="n"/>
      <c r="F62" s="18">
        <f>IF(OR(D62="",E62=""),"",D62*E62)</f>
        <v/>
      </c>
      <c r="G62" s="15" t="n"/>
    </row>
    <row r="63">
      <c r="A63" s="19" t="n"/>
      <c r="B63" s="15" t="n"/>
      <c r="C63">
        <f>IF(B63="","",IFERROR(INDEX(Items!$B$5:$B$304,MATCH(B63,Items!$A$5:$A$304,0)),"Unknown code"))</f>
        <v/>
      </c>
      <c r="D63" s="15" t="n"/>
      <c r="E63" s="16" t="n"/>
      <c r="F63" s="18">
        <f>IF(OR(D63="",E63=""),"",D63*E63)</f>
        <v/>
      </c>
      <c r="G63" s="15" t="n"/>
    </row>
    <row r="64">
      <c r="A64" s="19" t="n"/>
      <c r="B64" s="15" t="n"/>
      <c r="C64">
        <f>IF(B64="","",IFERROR(INDEX(Items!$B$5:$B$304,MATCH(B64,Items!$A$5:$A$304,0)),"Unknown code"))</f>
        <v/>
      </c>
      <c r="D64" s="15" t="n"/>
      <c r="E64" s="16" t="n"/>
      <c r="F64" s="18">
        <f>IF(OR(D64="",E64=""),"",D64*E64)</f>
        <v/>
      </c>
      <c r="G64" s="15" t="n"/>
    </row>
    <row r="65">
      <c r="A65" s="19" t="n"/>
      <c r="B65" s="15" t="n"/>
      <c r="C65">
        <f>IF(B65="","",IFERROR(INDEX(Items!$B$5:$B$304,MATCH(B65,Items!$A$5:$A$304,0)),"Unknown code"))</f>
        <v/>
      </c>
      <c r="D65" s="15" t="n"/>
      <c r="E65" s="16" t="n"/>
      <c r="F65" s="18">
        <f>IF(OR(D65="",E65=""),"",D65*E65)</f>
        <v/>
      </c>
      <c r="G65" s="15" t="n"/>
    </row>
    <row r="66">
      <c r="A66" s="19" t="n"/>
      <c r="B66" s="15" t="n"/>
      <c r="C66">
        <f>IF(B66="","",IFERROR(INDEX(Items!$B$5:$B$304,MATCH(B66,Items!$A$5:$A$304,0)),"Unknown code"))</f>
        <v/>
      </c>
      <c r="D66" s="15" t="n"/>
      <c r="E66" s="16" t="n"/>
      <c r="F66" s="18">
        <f>IF(OR(D66="",E66=""),"",D66*E66)</f>
        <v/>
      </c>
      <c r="G66" s="15" t="n"/>
    </row>
    <row r="67">
      <c r="A67" s="19" t="n"/>
      <c r="B67" s="15" t="n"/>
      <c r="C67">
        <f>IF(B67="","",IFERROR(INDEX(Items!$B$5:$B$304,MATCH(B67,Items!$A$5:$A$304,0)),"Unknown code"))</f>
        <v/>
      </c>
      <c r="D67" s="15" t="n"/>
      <c r="E67" s="16" t="n"/>
      <c r="F67" s="18">
        <f>IF(OR(D67="",E67=""),"",D67*E67)</f>
        <v/>
      </c>
      <c r="G67" s="15" t="n"/>
    </row>
    <row r="68">
      <c r="A68" s="19" t="n"/>
      <c r="B68" s="15" t="n"/>
      <c r="C68">
        <f>IF(B68="","",IFERROR(INDEX(Items!$B$5:$B$304,MATCH(B68,Items!$A$5:$A$304,0)),"Unknown code"))</f>
        <v/>
      </c>
      <c r="D68" s="15" t="n"/>
      <c r="E68" s="16" t="n"/>
      <c r="F68" s="18">
        <f>IF(OR(D68="",E68=""),"",D68*E68)</f>
        <v/>
      </c>
      <c r="G68" s="15" t="n"/>
    </row>
    <row r="69">
      <c r="A69" s="19" t="n"/>
      <c r="B69" s="15" t="n"/>
      <c r="C69">
        <f>IF(B69="","",IFERROR(INDEX(Items!$B$5:$B$304,MATCH(B69,Items!$A$5:$A$304,0)),"Unknown code"))</f>
        <v/>
      </c>
      <c r="D69" s="15" t="n"/>
      <c r="E69" s="16" t="n"/>
      <c r="F69" s="18">
        <f>IF(OR(D69="",E69=""),"",D69*E69)</f>
        <v/>
      </c>
      <c r="G69" s="15" t="n"/>
    </row>
    <row r="70">
      <c r="A70" s="19" t="n"/>
      <c r="B70" s="15" t="n"/>
      <c r="C70">
        <f>IF(B70="","",IFERROR(INDEX(Items!$B$5:$B$304,MATCH(B70,Items!$A$5:$A$304,0)),"Unknown code"))</f>
        <v/>
      </c>
      <c r="D70" s="15" t="n"/>
      <c r="E70" s="16" t="n"/>
      <c r="F70" s="18">
        <f>IF(OR(D70="",E70=""),"",D70*E70)</f>
        <v/>
      </c>
      <c r="G70" s="15" t="n"/>
    </row>
    <row r="71">
      <c r="A71" s="19" t="n"/>
      <c r="B71" s="15" t="n"/>
      <c r="C71">
        <f>IF(B71="","",IFERROR(INDEX(Items!$B$5:$B$304,MATCH(B71,Items!$A$5:$A$304,0)),"Unknown code"))</f>
        <v/>
      </c>
      <c r="D71" s="15" t="n"/>
      <c r="E71" s="16" t="n"/>
      <c r="F71" s="18">
        <f>IF(OR(D71="",E71=""),"",D71*E71)</f>
        <v/>
      </c>
      <c r="G71" s="15" t="n"/>
    </row>
    <row r="72">
      <c r="A72" s="19" t="n"/>
      <c r="B72" s="15" t="n"/>
      <c r="C72">
        <f>IF(B72="","",IFERROR(INDEX(Items!$B$5:$B$304,MATCH(B72,Items!$A$5:$A$304,0)),"Unknown code"))</f>
        <v/>
      </c>
      <c r="D72" s="15" t="n"/>
      <c r="E72" s="16" t="n"/>
      <c r="F72" s="18">
        <f>IF(OR(D72="",E72=""),"",D72*E72)</f>
        <v/>
      </c>
      <c r="G72" s="15" t="n"/>
    </row>
    <row r="73">
      <c r="A73" s="19" t="n"/>
      <c r="B73" s="15" t="n"/>
      <c r="C73">
        <f>IF(B73="","",IFERROR(INDEX(Items!$B$5:$B$304,MATCH(B73,Items!$A$5:$A$304,0)),"Unknown code"))</f>
        <v/>
      </c>
      <c r="D73" s="15" t="n"/>
      <c r="E73" s="16" t="n"/>
      <c r="F73" s="18">
        <f>IF(OR(D73="",E73=""),"",D73*E73)</f>
        <v/>
      </c>
      <c r="G73" s="15" t="n"/>
    </row>
    <row r="74">
      <c r="A74" s="19" t="n"/>
      <c r="B74" s="15" t="n"/>
      <c r="C74">
        <f>IF(B74="","",IFERROR(INDEX(Items!$B$5:$B$304,MATCH(B74,Items!$A$5:$A$304,0)),"Unknown code"))</f>
        <v/>
      </c>
      <c r="D74" s="15" t="n"/>
      <c r="E74" s="16" t="n"/>
      <c r="F74" s="18">
        <f>IF(OR(D74="",E74=""),"",D74*E74)</f>
        <v/>
      </c>
      <c r="G74" s="15" t="n"/>
    </row>
    <row r="75">
      <c r="A75" s="19" t="n"/>
      <c r="B75" s="15" t="n"/>
      <c r="C75">
        <f>IF(B75="","",IFERROR(INDEX(Items!$B$5:$B$304,MATCH(B75,Items!$A$5:$A$304,0)),"Unknown code"))</f>
        <v/>
      </c>
      <c r="D75" s="15" t="n"/>
      <c r="E75" s="16" t="n"/>
      <c r="F75" s="18">
        <f>IF(OR(D75="",E75=""),"",D75*E75)</f>
        <v/>
      </c>
      <c r="G75" s="15" t="n"/>
    </row>
    <row r="76">
      <c r="A76" s="19" t="n"/>
      <c r="B76" s="15" t="n"/>
      <c r="C76">
        <f>IF(B76="","",IFERROR(INDEX(Items!$B$5:$B$304,MATCH(B76,Items!$A$5:$A$304,0)),"Unknown code"))</f>
        <v/>
      </c>
      <c r="D76" s="15" t="n"/>
      <c r="E76" s="16" t="n"/>
      <c r="F76" s="18">
        <f>IF(OR(D76="",E76=""),"",D76*E76)</f>
        <v/>
      </c>
      <c r="G76" s="15" t="n"/>
    </row>
    <row r="77">
      <c r="A77" s="19" t="n"/>
      <c r="B77" s="15" t="n"/>
      <c r="C77">
        <f>IF(B77="","",IFERROR(INDEX(Items!$B$5:$B$304,MATCH(B77,Items!$A$5:$A$304,0)),"Unknown code"))</f>
        <v/>
      </c>
      <c r="D77" s="15" t="n"/>
      <c r="E77" s="16" t="n"/>
      <c r="F77" s="18">
        <f>IF(OR(D77="",E77=""),"",D77*E77)</f>
        <v/>
      </c>
      <c r="G77" s="15" t="n"/>
    </row>
    <row r="78">
      <c r="A78" s="19" t="n"/>
      <c r="B78" s="15" t="n"/>
      <c r="C78">
        <f>IF(B78="","",IFERROR(INDEX(Items!$B$5:$B$304,MATCH(B78,Items!$A$5:$A$304,0)),"Unknown code"))</f>
        <v/>
      </c>
      <c r="D78" s="15" t="n"/>
      <c r="E78" s="16" t="n"/>
      <c r="F78" s="18">
        <f>IF(OR(D78="",E78=""),"",D78*E78)</f>
        <v/>
      </c>
      <c r="G78" s="15" t="n"/>
    </row>
    <row r="79">
      <c r="A79" s="19" t="n"/>
      <c r="B79" s="15" t="n"/>
      <c r="C79">
        <f>IF(B79="","",IFERROR(INDEX(Items!$B$5:$B$304,MATCH(B79,Items!$A$5:$A$304,0)),"Unknown code"))</f>
        <v/>
      </c>
      <c r="D79" s="15" t="n"/>
      <c r="E79" s="16" t="n"/>
      <c r="F79" s="18">
        <f>IF(OR(D79="",E79=""),"",D79*E79)</f>
        <v/>
      </c>
      <c r="G79" s="15" t="n"/>
    </row>
    <row r="80">
      <c r="A80" s="19" t="n"/>
      <c r="B80" s="15" t="n"/>
      <c r="C80">
        <f>IF(B80="","",IFERROR(INDEX(Items!$B$5:$B$304,MATCH(B80,Items!$A$5:$A$304,0)),"Unknown code"))</f>
        <v/>
      </c>
      <c r="D80" s="15" t="n"/>
      <c r="E80" s="16" t="n"/>
      <c r="F80" s="18">
        <f>IF(OR(D80="",E80=""),"",D80*E80)</f>
        <v/>
      </c>
      <c r="G80" s="15" t="n"/>
    </row>
    <row r="81">
      <c r="A81" s="19" t="n"/>
      <c r="B81" s="15" t="n"/>
      <c r="C81">
        <f>IF(B81="","",IFERROR(INDEX(Items!$B$5:$B$304,MATCH(B81,Items!$A$5:$A$304,0)),"Unknown code"))</f>
        <v/>
      </c>
      <c r="D81" s="15" t="n"/>
      <c r="E81" s="16" t="n"/>
      <c r="F81" s="18">
        <f>IF(OR(D81="",E81=""),"",D81*E81)</f>
        <v/>
      </c>
      <c r="G81" s="15" t="n"/>
    </row>
    <row r="82">
      <c r="A82" s="19" t="n"/>
      <c r="B82" s="15" t="n"/>
      <c r="C82">
        <f>IF(B82="","",IFERROR(INDEX(Items!$B$5:$B$304,MATCH(B82,Items!$A$5:$A$304,0)),"Unknown code"))</f>
        <v/>
      </c>
      <c r="D82" s="15" t="n"/>
      <c r="E82" s="16" t="n"/>
      <c r="F82" s="18">
        <f>IF(OR(D82="",E82=""),"",D82*E82)</f>
        <v/>
      </c>
      <c r="G82" s="15" t="n"/>
    </row>
    <row r="83">
      <c r="A83" s="19" t="n"/>
      <c r="B83" s="15" t="n"/>
      <c r="C83">
        <f>IF(B83="","",IFERROR(INDEX(Items!$B$5:$B$304,MATCH(B83,Items!$A$5:$A$304,0)),"Unknown code"))</f>
        <v/>
      </c>
      <c r="D83" s="15" t="n"/>
      <c r="E83" s="16" t="n"/>
      <c r="F83" s="18">
        <f>IF(OR(D83="",E83=""),"",D83*E83)</f>
        <v/>
      </c>
      <c r="G83" s="15" t="n"/>
    </row>
    <row r="84">
      <c r="A84" s="19" t="n"/>
      <c r="B84" s="15" t="n"/>
      <c r="C84">
        <f>IF(B84="","",IFERROR(INDEX(Items!$B$5:$B$304,MATCH(B84,Items!$A$5:$A$304,0)),"Unknown code"))</f>
        <v/>
      </c>
      <c r="D84" s="15" t="n"/>
      <c r="E84" s="16" t="n"/>
      <c r="F84" s="18">
        <f>IF(OR(D84="",E84=""),"",D84*E84)</f>
        <v/>
      </c>
      <c r="G84" s="15" t="n"/>
    </row>
    <row r="85">
      <c r="A85" s="19" t="n"/>
      <c r="B85" s="15" t="n"/>
      <c r="C85">
        <f>IF(B85="","",IFERROR(INDEX(Items!$B$5:$B$304,MATCH(B85,Items!$A$5:$A$304,0)),"Unknown code"))</f>
        <v/>
      </c>
      <c r="D85" s="15" t="n"/>
      <c r="E85" s="16" t="n"/>
      <c r="F85" s="18">
        <f>IF(OR(D85="",E85=""),"",D85*E85)</f>
        <v/>
      </c>
      <c r="G85" s="15" t="n"/>
    </row>
    <row r="86">
      <c r="A86" s="19" t="n"/>
      <c r="B86" s="15" t="n"/>
      <c r="C86">
        <f>IF(B86="","",IFERROR(INDEX(Items!$B$5:$B$304,MATCH(B86,Items!$A$5:$A$304,0)),"Unknown code"))</f>
        <v/>
      </c>
      <c r="D86" s="15" t="n"/>
      <c r="E86" s="16" t="n"/>
      <c r="F86" s="18">
        <f>IF(OR(D86="",E86=""),"",D86*E86)</f>
        <v/>
      </c>
      <c r="G86" s="15" t="n"/>
    </row>
    <row r="87">
      <c r="A87" s="19" t="n"/>
      <c r="B87" s="15" t="n"/>
      <c r="C87">
        <f>IF(B87="","",IFERROR(INDEX(Items!$B$5:$B$304,MATCH(B87,Items!$A$5:$A$304,0)),"Unknown code"))</f>
        <v/>
      </c>
      <c r="D87" s="15" t="n"/>
      <c r="E87" s="16" t="n"/>
      <c r="F87" s="18">
        <f>IF(OR(D87="",E87=""),"",D87*E87)</f>
        <v/>
      </c>
      <c r="G87" s="15" t="n"/>
    </row>
    <row r="88">
      <c r="A88" s="19" t="n"/>
      <c r="B88" s="15" t="n"/>
      <c r="C88">
        <f>IF(B88="","",IFERROR(INDEX(Items!$B$5:$B$304,MATCH(B88,Items!$A$5:$A$304,0)),"Unknown code"))</f>
        <v/>
      </c>
      <c r="D88" s="15" t="n"/>
      <c r="E88" s="16" t="n"/>
      <c r="F88" s="18">
        <f>IF(OR(D88="",E88=""),"",D88*E88)</f>
        <v/>
      </c>
      <c r="G88" s="15" t="n"/>
    </row>
    <row r="89">
      <c r="A89" s="19" t="n"/>
      <c r="B89" s="15" t="n"/>
      <c r="C89">
        <f>IF(B89="","",IFERROR(INDEX(Items!$B$5:$B$304,MATCH(B89,Items!$A$5:$A$304,0)),"Unknown code"))</f>
        <v/>
      </c>
      <c r="D89" s="15" t="n"/>
      <c r="E89" s="16" t="n"/>
      <c r="F89" s="18">
        <f>IF(OR(D89="",E89=""),"",D89*E89)</f>
        <v/>
      </c>
      <c r="G89" s="15" t="n"/>
    </row>
    <row r="90">
      <c r="A90" s="19" t="n"/>
      <c r="B90" s="15" t="n"/>
      <c r="C90">
        <f>IF(B90="","",IFERROR(INDEX(Items!$B$5:$B$304,MATCH(B90,Items!$A$5:$A$304,0)),"Unknown code"))</f>
        <v/>
      </c>
      <c r="D90" s="15" t="n"/>
      <c r="E90" s="16" t="n"/>
      <c r="F90" s="18">
        <f>IF(OR(D90="",E90=""),"",D90*E90)</f>
        <v/>
      </c>
      <c r="G90" s="15" t="n"/>
    </row>
    <row r="91">
      <c r="A91" s="19" t="n"/>
      <c r="B91" s="15" t="n"/>
      <c r="C91">
        <f>IF(B91="","",IFERROR(INDEX(Items!$B$5:$B$304,MATCH(B91,Items!$A$5:$A$304,0)),"Unknown code"))</f>
        <v/>
      </c>
      <c r="D91" s="15" t="n"/>
      <c r="E91" s="16" t="n"/>
      <c r="F91" s="18">
        <f>IF(OR(D91="",E91=""),"",D91*E91)</f>
        <v/>
      </c>
      <c r="G91" s="15" t="n"/>
    </row>
    <row r="92">
      <c r="A92" s="19" t="n"/>
      <c r="B92" s="15" t="n"/>
      <c r="C92">
        <f>IF(B92="","",IFERROR(INDEX(Items!$B$5:$B$304,MATCH(B92,Items!$A$5:$A$304,0)),"Unknown code"))</f>
        <v/>
      </c>
      <c r="D92" s="15" t="n"/>
      <c r="E92" s="16" t="n"/>
      <c r="F92" s="18">
        <f>IF(OR(D92="",E92=""),"",D92*E92)</f>
        <v/>
      </c>
      <c r="G92" s="15" t="n"/>
    </row>
    <row r="93">
      <c r="A93" s="19" t="n"/>
      <c r="B93" s="15" t="n"/>
      <c r="C93">
        <f>IF(B93="","",IFERROR(INDEX(Items!$B$5:$B$304,MATCH(B93,Items!$A$5:$A$304,0)),"Unknown code"))</f>
        <v/>
      </c>
      <c r="D93" s="15" t="n"/>
      <c r="E93" s="16" t="n"/>
      <c r="F93" s="18">
        <f>IF(OR(D93="",E93=""),"",D93*E93)</f>
        <v/>
      </c>
      <c r="G93" s="15" t="n"/>
    </row>
    <row r="94">
      <c r="A94" s="19" t="n"/>
      <c r="B94" s="15" t="n"/>
      <c r="C94">
        <f>IF(B94="","",IFERROR(INDEX(Items!$B$5:$B$304,MATCH(B94,Items!$A$5:$A$304,0)),"Unknown code"))</f>
        <v/>
      </c>
      <c r="D94" s="15" t="n"/>
      <c r="E94" s="16" t="n"/>
      <c r="F94" s="18">
        <f>IF(OR(D94="",E94=""),"",D94*E94)</f>
        <v/>
      </c>
      <c r="G94" s="15" t="n"/>
    </row>
    <row r="95">
      <c r="A95" s="19" t="n"/>
      <c r="B95" s="15" t="n"/>
      <c r="C95">
        <f>IF(B95="","",IFERROR(INDEX(Items!$B$5:$B$304,MATCH(B95,Items!$A$5:$A$304,0)),"Unknown code"))</f>
        <v/>
      </c>
      <c r="D95" s="15" t="n"/>
      <c r="E95" s="16" t="n"/>
      <c r="F95" s="18">
        <f>IF(OR(D95="",E95=""),"",D95*E95)</f>
        <v/>
      </c>
      <c r="G95" s="15" t="n"/>
    </row>
    <row r="96">
      <c r="A96" s="19" t="n"/>
      <c r="B96" s="15" t="n"/>
      <c r="C96">
        <f>IF(B96="","",IFERROR(INDEX(Items!$B$5:$B$304,MATCH(B96,Items!$A$5:$A$304,0)),"Unknown code"))</f>
        <v/>
      </c>
      <c r="D96" s="15" t="n"/>
      <c r="E96" s="16" t="n"/>
      <c r="F96" s="18">
        <f>IF(OR(D96="",E96=""),"",D96*E96)</f>
        <v/>
      </c>
      <c r="G96" s="15" t="n"/>
    </row>
    <row r="97">
      <c r="A97" s="19" t="n"/>
      <c r="B97" s="15" t="n"/>
      <c r="C97">
        <f>IF(B97="","",IFERROR(INDEX(Items!$B$5:$B$304,MATCH(B97,Items!$A$5:$A$304,0)),"Unknown code"))</f>
        <v/>
      </c>
      <c r="D97" s="15" t="n"/>
      <c r="E97" s="16" t="n"/>
      <c r="F97" s="18">
        <f>IF(OR(D97="",E97=""),"",D97*E97)</f>
        <v/>
      </c>
      <c r="G97" s="15" t="n"/>
    </row>
    <row r="98">
      <c r="A98" s="19" t="n"/>
      <c r="B98" s="15" t="n"/>
      <c r="C98">
        <f>IF(B98="","",IFERROR(INDEX(Items!$B$5:$B$304,MATCH(B98,Items!$A$5:$A$304,0)),"Unknown code"))</f>
        <v/>
      </c>
      <c r="D98" s="15" t="n"/>
      <c r="E98" s="16" t="n"/>
      <c r="F98" s="18">
        <f>IF(OR(D98="",E98=""),"",D98*E98)</f>
        <v/>
      </c>
      <c r="G98" s="15" t="n"/>
    </row>
    <row r="99">
      <c r="A99" s="19" t="n"/>
      <c r="B99" s="15" t="n"/>
      <c r="C99">
        <f>IF(B99="","",IFERROR(INDEX(Items!$B$5:$B$304,MATCH(B99,Items!$A$5:$A$304,0)),"Unknown code"))</f>
        <v/>
      </c>
      <c r="D99" s="15" t="n"/>
      <c r="E99" s="16" t="n"/>
      <c r="F99" s="18">
        <f>IF(OR(D99="",E99=""),"",D99*E99)</f>
        <v/>
      </c>
      <c r="G99" s="15" t="n"/>
    </row>
    <row r="100">
      <c r="A100" s="19" t="n"/>
      <c r="B100" s="15" t="n"/>
      <c r="C100">
        <f>IF(B100="","",IFERROR(INDEX(Items!$B$5:$B$304,MATCH(B100,Items!$A$5:$A$304,0)),"Unknown code"))</f>
        <v/>
      </c>
      <c r="D100" s="15" t="n"/>
      <c r="E100" s="16" t="n"/>
      <c r="F100" s="18">
        <f>IF(OR(D100="",E100=""),"",D100*E100)</f>
        <v/>
      </c>
      <c r="G100" s="15" t="n"/>
    </row>
    <row r="101">
      <c r="A101" s="19" t="n"/>
      <c r="B101" s="15" t="n"/>
      <c r="C101">
        <f>IF(B101="","",IFERROR(INDEX(Items!$B$5:$B$304,MATCH(B101,Items!$A$5:$A$304,0)),"Unknown code"))</f>
        <v/>
      </c>
      <c r="D101" s="15" t="n"/>
      <c r="E101" s="16" t="n"/>
      <c r="F101" s="18">
        <f>IF(OR(D101="",E101=""),"",D101*E101)</f>
        <v/>
      </c>
      <c r="G101" s="15" t="n"/>
    </row>
    <row r="102">
      <c r="A102" s="19" t="n"/>
      <c r="B102" s="15" t="n"/>
      <c r="C102">
        <f>IF(B102="","",IFERROR(INDEX(Items!$B$5:$B$304,MATCH(B102,Items!$A$5:$A$304,0)),"Unknown code"))</f>
        <v/>
      </c>
      <c r="D102" s="15" t="n"/>
      <c r="E102" s="16" t="n"/>
      <c r="F102" s="18">
        <f>IF(OR(D102="",E102=""),"",D102*E102)</f>
        <v/>
      </c>
      <c r="G102" s="15" t="n"/>
    </row>
    <row r="103">
      <c r="A103" s="19" t="n"/>
      <c r="B103" s="15" t="n"/>
      <c r="C103">
        <f>IF(B103="","",IFERROR(INDEX(Items!$B$5:$B$304,MATCH(B103,Items!$A$5:$A$304,0)),"Unknown code"))</f>
        <v/>
      </c>
      <c r="D103" s="15" t="n"/>
      <c r="E103" s="16" t="n"/>
      <c r="F103" s="18">
        <f>IF(OR(D103="",E103=""),"",D103*E103)</f>
        <v/>
      </c>
      <c r="G103" s="15" t="n"/>
    </row>
    <row r="104">
      <c r="A104" s="19" t="n"/>
      <c r="B104" s="15" t="n"/>
      <c r="C104">
        <f>IF(B104="","",IFERROR(INDEX(Items!$B$5:$B$304,MATCH(B104,Items!$A$5:$A$304,0)),"Unknown code"))</f>
        <v/>
      </c>
      <c r="D104" s="15" t="n"/>
      <c r="E104" s="16" t="n"/>
      <c r="F104" s="18">
        <f>IF(OR(D104="",E104=""),"",D104*E104)</f>
        <v/>
      </c>
      <c r="G104" s="15" t="n"/>
    </row>
    <row r="105">
      <c r="A105" s="19" t="n"/>
      <c r="B105" s="15" t="n"/>
      <c r="C105">
        <f>IF(B105="","",IFERROR(INDEX(Items!$B$5:$B$304,MATCH(B105,Items!$A$5:$A$304,0)),"Unknown code"))</f>
        <v/>
      </c>
      <c r="D105" s="15" t="n"/>
      <c r="E105" s="16" t="n"/>
      <c r="F105" s="18">
        <f>IF(OR(D105="",E105=""),"",D105*E105)</f>
        <v/>
      </c>
      <c r="G105" s="15" t="n"/>
    </row>
    <row r="106">
      <c r="A106" s="19" t="n"/>
      <c r="B106" s="15" t="n"/>
      <c r="C106">
        <f>IF(B106="","",IFERROR(INDEX(Items!$B$5:$B$304,MATCH(B106,Items!$A$5:$A$304,0)),"Unknown code"))</f>
        <v/>
      </c>
      <c r="D106" s="15" t="n"/>
      <c r="E106" s="16" t="n"/>
      <c r="F106" s="18">
        <f>IF(OR(D106="",E106=""),"",D106*E106)</f>
        <v/>
      </c>
      <c r="G106" s="15" t="n"/>
    </row>
    <row r="107">
      <c r="A107" s="19" t="n"/>
      <c r="B107" s="15" t="n"/>
      <c r="C107">
        <f>IF(B107="","",IFERROR(INDEX(Items!$B$5:$B$304,MATCH(B107,Items!$A$5:$A$304,0)),"Unknown code"))</f>
        <v/>
      </c>
      <c r="D107" s="15" t="n"/>
      <c r="E107" s="16" t="n"/>
      <c r="F107" s="18">
        <f>IF(OR(D107="",E107=""),"",D107*E107)</f>
        <v/>
      </c>
      <c r="G107" s="15" t="n"/>
    </row>
    <row r="108">
      <c r="A108" s="19" t="n"/>
      <c r="B108" s="15" t="n"/>
      <c r="C108">
        <f>IF(B108="","",IFERROR(INDEX(Items!$B$5:$B$304,MATCH(B108,Items!$A$5:$A$304,0)),"Unknown code"))</f>
        <v/>
      </c>
      <c r="D108" s="15" t="n"/>
      <c r="E108" s="16" t="n"/>
      <c r="F108" s="18">
        <f>IF(OR(D108="",E108=""),"",D108*E108)</f>
        <v/>
      </c>
      <c r="G108" s="15" t="n"/>
    </row>
    <row r="109">
      <c r="A109" s="19" t="n"/>
      <c r="B109" s="15" t="n"/>
      <c r="C109">
        <f>IF(B109="","",IFERROR(INDEX(Items!$B$5:$B$304,MATCH(B109,Items!$A$5:$A$304,0)),"Unknown code"))</f>
        <v/>
      </c>
      <c r="D109" s="15" t="n"/>
      <c r="E109" s="16" t="n"/>
      <c r="F109" s="18">
        <f>IF(OR(D109="",E109=""),"",D109*E109)</f>
        <v/>
      </c>
      <c r="G109" s="15" t="n"/>
    </row>
    <row r="110">
      <c r="A110" s="19" t="n"/>
      <c r="B110" s="15" t="n"/>
      <c r="C110">
        <f>IF(B110="","",IFERROR(INDEX(Items!$B$5:$B$304,MATCH(B110,Items!$A$5:$A$304,0)),"Unknown code"))</f>
        <v/>
      </c>
      <c r="D110" s="15" t="n"/>
      <c r="E110" s="16" t="n"/>
      <c r="F110" s="18">
        <f>IF(OR(D110="",E110=""),"",D110*E110)</f>
        <v/>
      </c>
      <c r="G110" s="15" t="n"/>
    </row>
    <row r="111">
      <c r="A111" s="19" t="n"/>
      <c r="B111" s="15" t="n"/>
      <c r="C111">
        <f>IF(B111="","",IFERROR(INDEX(Items!$B$5:$B$304,MATCH(B111,Items!$A$5:$A$304,0)),"Unknown code"))</f>
        <v/>
      </c>
      <c r="D111" s="15" t="n"/>
      <c r="E111" s="16" t="n"/>
      <c r="F111" s="18">
        <f>IF(OR(D111="",E111=""),"",D111*E111)</f>
        <v/>
      </c>
      <c r="G111" s="15" t="n"/>
    </row>
    <row r="112">
      <c r="A112" s="19" t="n"/>
      <c r="B112" s="15" t="n"/>
      <c r="C112">
        <f>IF(B112="","",IFERROR(INDEX(Items!$B$5:$B$304,MATCH(B112,Items!$A$5:$A$304,0)),"Unknown code"))</f>
        <v/>
      </c>
      <c r="D112" s="15" t="n"/>
      <c r="E112" s="16" t="n"/>
      <c r="F112" s="18">
        <f>IF(OR(D112="",E112=""),"",D112*E112)</f>
        <v/>
      </c>
      <c r="G112" s="15" t="n"/>
    </row>
    <row r="113">
      <c r="A113" s="19" t="n"/>
      <c r="B113" s="15" t="n"/>
      <c r="C113">
        <f>IF(B113="","",IFERROR(INDEX(Items!$B$5:$B$304,MATCH(B113,Items!$A$5:$A$304,0)),"Unknown code"))</f>
        <v/>
      </c>
      <c r="D113" s="15" t="n"/>
      <c r="E113" s="16" t="n"/>
      <c r="F113" s="18">
        <f>IF(OR(D113="",E113=""),"",D113*E113)</f>
        <v/>
      </c>
      <c r="G113" s="15" t="n"/>
    </row>
    <row r="114">
      <c r="A114" s="19" t="n"/>
      <c r="B114" s="15" t="n"/>
      <c r="C114">
        <f>IF(B114="","",IFERROR(INDEX(Items!$B$5:$B$304,MATCH(B114,Items!$A$5:$A$304,0)),"Unknown code"))</f>
        <v/>
      </c>
      <c r="D114" s="15" t="n"/>
      <c r="E114" s="16" t="n"/>
      <c r="F114" s="18">
        <f>IF(OR(D114="",E114=""),"",D114*E114)</f>
        <v/>
      </c>
      <c r="G114" s="15" t="n"/>
    </row>
    <row r="115">
      <c r="A115" s="19" t="n"/>
      <c r="B115" s="15" t="n"/>
      <c r="C115">
        <f>IF(B115="","",IFERROR(INDEX(Items!$B$5:$B$304,MATCH(B115,Items!$A$5:$A$304,0)),"Unknown code"))</f>
        <v/>
      </c>
      <c r="D115" s="15" t="n"/>
      <c r="E115" s="16" t="n"/>
      <c r="F115" s="18">
        <f>IF(OR(D115="",E115=""),"",D115*E115)</f>
        <v/>
      </c>
      <c r="G115" s="15" t="n"/>
    </row>
    <row r="116">
      <c r="A116" s="19" t="n"/>
      <c r="B116" s="15" t="n"/>
      <c r="C116">
        <f>IF(B116="","",IFERROR(INDEX(Items!$B$5:$B$304,MATCH(B116,Items!$A$5:$A$304,0)),"Unknown code"))</f>
        <v/>
      </c>
      <c r="D116" s="15" t="n"/>
      <c r="E116" s="16" t="n"/>
      <c r="F116" s="18">
        <f>IF(OR(D116="",E116=""),"",D116*E116)</f>
        <v/>
      </c>
      <c r="G116" s="15" t="n"/>
    </row>
    <row r="117">
      <c r="A117" s="19" t="n"/>
      <c r="B117" s="15" t="n"/>
      <c r="C117">
        <f>IF(B117="","",IFERROR(INDEX(Items!$B$5:$B$304,MATCH(B117,Items!$A$5:$A$304,0)),"Unknown code"))</f>
        <v/>
      </c>
      <c r="D117" s="15" t="n"/>
      <c r="E117" s="16" t="n"/>
      <c r="F117" s="18">
        <f>IF(OR(D117="",E117=""),"",D117*E117)</f>
        <v/>
      </c>
      <c r="G117" s="15" t="n"/>
    </row>
    <row r="118">
      <c r="A118" s="19" t="n"/>
      <c r="B118" s="15" t="n"/>
      <c r="C118">
        <f>IF(B118="","",IFERROR(INDEX(Items!$B$5:$B$304,MATCH(B118,Items!$A$5:$A$304,0)),"Unknown code"))</f>
        <v/>
      </c>
      <c r="D118" s="15" t="n"/>
      <c r="E118" s="16" t="n"/>
      <c r="F118" s="18">
        <f>IF(OR(D118="",E118=""),"",D118*E118)</f>
        <v/>
      </c>
      <c r="G118" s="15" t="n"/>
    </row>
    <row r="119">
      <c r="A119" s="19" t="n"/>
      <c r="B119" s="15" t="n"/>
      <c r="C119">
        <f>IF(B119="","",IFERROR(INDEX(Items!$B$5:$B$304,MATCH(B119,Items!$A$5:$A$304,0)),"Unknown code"))</f>
        <v/>
      </c>
      <c r="D119" s="15" t="n"/>
      <c r="E119" s="16" t="n"/>
      <c r="F119" s="18">
        <f>IF(OR(D119="",E119=""),"",D119*E119)</f>
        <v/>
      </c>
      <c r="G119" s="15" t="n"/>
    </row>
    <row r="120">
      <c r="A120" s="19" t="n"/>
      <c r="B120" s="15" t="n"/>
      <c r="C120">
        <f>IF(B120="","",IFERROR(INDEX(Items!$B$5:$B$304,MATCH(B120,Items!$A$5:$A$304,0)),"Unknown code"))</f>
        <v/>
      </c>
      <c r="D120" s="15" t="n"/>
      <c r="E120" s="16" t="n"/>
      <c r="F120" s="18">
        <f>IF(OR(D120="",E120=""),"",D120*E120)</f>
        <v/>
      </c>
      <c r="G120" s="15" t="n"/>
    </row>
    <row r="121">
      <c r="A121" s="19" t="n"/>
      <c r="B121" s="15" t="n"/>
      <c r="C121">
        <f>IF(B121="","",IFERROR(INDEX(Items!$B$5:$B$304,MATCH(B121,Items!$A$5:$A$304,0)),"Unknown code"))</f>
        <v/>
      </c>
      <c r="D121" s="15" t="n"/>
      <c r="E121" s="16" t="n"/>
      <c r="F121" s="18">
        <f>IF(OR(D121="",E121=""),"",D121*E121)</f>
        <v/>
      </c>
      <c r="G121" s="15" t="n"/>
    </row>
    <row r="122">
      <c r="A122" s="19" t="n"/>
      <c r="B122" s="15" t="n"/>
      <c r="C122">
        <f>IF(B122="","",IFERROR(INDEX(Items!$B$5:$B$304,MATCH(B122,Items!$A$5:$A$304,0)),"Unknown code"))</f>
        <v/>
      </c>
      <c r="D122" s="15" t="n"/>
      <c r="E122" s="16" t="n"/>
      <c r="F122" s="18">
        <f>IF(OR(D122="",E122=""),"",D122*E122)</f>
        <v/>
      </c>
      <c r="G122" s="15" t="n"/>
    </row>
    <row r="123">
      <c r="A123" s="19" t="n"/>
      <c r="B123" s="15" t="n"/>
      <c r="C123">
        <f>IF(B123="","",IFERROR(INDEX(Items!$B$5:$B$304,MATCH(B123,Items!$A$5:$A$304,0)),"Unknown code"))</f>
        <v/>
      </c>
      <c r="D123" s="15" t="n"/>
      <c r="E123" s="16" t="n"/>
      <c r="F123" s="18">
        <f>IF(OR(D123="",E123=""),"",D123*E123)</f>
        <v/>
      </c>
      <c r="G123" s="15" t="n"/>
    </row>
    <row r="124">
      <c r="A124" s="19" t="n"/>
      <c r="B124" s="15" t="n"/>
      <c r="C124">
        <f>IF(B124="","",IFERROR(INDEX(Items!$B$5:$B$304,MATCH(B124,Items!$A$5:$A$304,0)),"Unknown code"))</f>
        <v/>
      </c>
      <c r="D124" s="15" t="n"/>
      <c r="E124" s="16" t="n"/>
      <c r="F124" s="18">
        <f>IF(OR(D124="",E124=""),"",D124*E124)</f>
        <v/>
      </c>
      <c r="G124" s="15" t="n"/>
    </row>
    <row r="125">
      <c r="A125" s="19" t="n"/>
      <c r="B125" s="15" t="n"/>
      <c r="C125">
        <f>IF(B125="","",IFERROR(INDEX(Items!$B$5:$B$304,MATCH(B125,Items!$A$5:$A$304,0)),"Unknown code"))</f>
        <v/>
      </c>
      <c r="D125" s="15" t="n"/>
      <c r="E125" s="16" t="n"/>
      <c r="F125" s="18">
        <f>IF(OR(D125="",E125=""),"",D125*E125)</f>
        <v/>
      </c>
      <c r="G125" s="15" t="n"/>
    </row>
    <row r="126">
      <c r="A126" s="19" t="n"/>
      <c r="B126" s="15" t="n"/>
      <c r="C126">
        <f>IF(B126="","",IFERROR(INDEX(Items!$B$5:$B$304,MATCH(B126,Items!$A$5:$A$304,0)),"Unknown code"))</f>
        <v/>
      </c>
      <c r="D126" s="15" t="n"/>
      <c r="E126" s="16" t="n"/>
      <c r="F126" s="18">
        <f>IF(OR(D126="",E126=""),"",D126*E126)</f>
        <v/>
      </c>
      <c r="G126" s="15" t="n"/>
    </row>
    <row r="127">
      <c r="A127" s="19" t="n"/>
      <c r="B127" s="15" t="n"/>
      <c r="C127">
        <f>IF(B127="","",IFERROR(INDEX(Items!$B$5:$B$304,MATCH(B127,Items!$A$5:$A$304,0)),"Unknown code"))</f>
        <v/>
      </c>
      <c r="D127" s="15" t="n"/>
      <c r="E127" s="16" t="n"/>
      <c r="F127" s="18">
        <f>IF(OR(D127="",E127=""),"",D127*E127)</f>
        <v/>
      </c>
      <c r="G127" s="15" t="n"/>
    </row>
    <row r="128">
      <c r="A128" s="19" t="n"/>
      <c r="B128" s="15" t="n"/>
      <c r="C128">
        <f>IF(B128="","",IFERROR(INDEX(Items!$B$5:$B$304,MATCH(B128,Items!$A$5:$A$304,0)),"Unknown code"))</f>
        <v/>
      </c>
      <c r="D128" s="15" t="n"/>
      <c r="E128" s="16" t="n"/>
      <c r="F128" s="18">
        <f>IF(OR(D128="",E128=""),"",D128*E128)</f>
        <v/>
      </c>
      <c r="G128" s="15" t="n"/>
    </row>
    <row r="129">
      <c r="A129" s="19" t="n"/>
      <c r="B129" s="15" t="n"/>
      <c r="C129">
        <f>IF(B129="","",IFERROR(INDEX(Items!$B$5:$B$304,MATCH(B129,Items!$A$5:$A$304,0)),"Unknown code"))</f>
        <v/>
      </c>
      <c r="D129" s="15" t="n"/>
      <c r="E129" s="16" t="n"/>
      <c r="F129" s="18">
        <f>IF(OR(D129="",E129=""),"",D129*E129)</f>
        <v/>
      </c>
      <c r="G129" s="15" t="n"/>
    </row>
    <row r="130">
      <c r="A130" s="19" t="n"/>
      <c r="B130" s="15" t="n"/>
      <c r="C130">
        <f>IF(B130="","",IFERROR(INDEX(Items!$B$5:$B$304,MATCH(B130,Items!$A$5:$A$304,0)),"Unknown code"))</f>
        <v/>
      </c>
      <c r="D130" s="15" t="n"/>
      <c r="E130" s="16" t="n"/>
      <c r="F130" s="18">
        <f>IF(OR(D130="",E130=""),"",D130*E130)</f>
        <v/>
      </c>
      <c r="G130" s="15" t="n"/>
    </row>
    <row r="131">
      <c r="A131" s="19" t="n"/>
      <c r="B131" s="15" t="n"/>
      <c r="C131">
        <f>IF(B131="","",IFERROR(INDEX(Items!$B$5:$B$304,MATCH(B131,Items!$A$5:$A$304,0)),"Unknown code"))</f>
        <v/>
      </c>
      <c r="D131" s="15" t="n"/>
      <c r="E131" s="16" t="n"/>
      <c r="F131" s="18">
        <f>IF(OR(D131="",E131=""),"",D131*E131)</f>
        <v/>
      </c>
      <c r="G131" s="15" t="n"/>
    </row>
    <row r="132">
      <c r="A132" s="19" t="n"/>
      <c r="B132" s="15" t="n"/>
      <c r="C132">
        <f>IF(B132="","",IFERROR(INDEX(Items!$B$5:$B$304,MATCH(B132,Items!$A$5:$A$304,0)),"Unknown code"))</f>
        <v/>
      </c>
      <c r="D132" s="15" t="n"/>
      <c r="E132" s="16" t="n"/>
      <c r="F132" s="18">
        <f>IF(OR(D132="",E132=""),"",D132*E132)</f>
        <v/>
      </c>
      <c r="G132" s="15" t="n"/>
    </row>
    <row r="133">
      <c r="A133" s="19" t="n"/>
      <c r="B133" s="15" t="n"/>
      <c r="C133">
        <f>IF(B133="","",IFERROR(INDEX(Items!$B$5:$B$304,MATCH(B133,Items!$A$5:$A$304,0)),"Unknown code"))</f>
        <v/>
      </c>
      <c r="D133" s="15" t="n"/>
      <c r="E133" s="16" t="n"/>
      <c r="F133" s="18">
        <f>IF(OR(D133="",E133=""),"",D133*E133)</f>
        <v/>
      </c>
      <c r="G133" s="15" t="n"/>
    </row>
    <row r="134">
      <c r="A134" s="19" t="n"/>
      <c r="B134" s="15" t="n"/>
      <c r="C134">
        <f>IF(B134="","",IFERROR(INDEX(Items!$B$5:$B$304,MATCH(B134,Items!$A$5:$A$304,0)),"Unknown code"))</f>
        <v/>
      </c>
      <c r="D134" s="15" t="n"/>
      <c r="E134" s="16" t="n"/>
      <c r="F134" s="18">
        <f>IF(OR(D134="",E134=""),"",D134*E134)</f>
        <v/>
      </c>
      <c r="G134" s="15" t="n"/>
    </row>
    <row r="135">
      <c r="A135" s="19" t="n"/>
      <c r="B135" s="15" t="n"/>
      <c r="C135">
        <f>IF(B135="","",IFERROR(INDEX(Items!$B$5:$B$304,MATCH(B135,Items!$A$5:$A$304,0)),"Unknown code"))</f>
        <v/>
      </c>
      <c r="D135" s="15" t="n"/>
      <c r="E135" s="16" t="n"/>
      <c r="F135" s="18">
        <f>IF(OR(D135="",E135=""),"",D135*E135)</f>
        <v/>
      </c>
      <c r="G135" s="15" t="n"/>
    </row>
    <row r="136">
      <c r="A136" s="19" t="n"/>
      <c r="B136" s="15" t="n"/>
      <c r="C136">
        <f>IF(B136="","",IFERROR(INDEX(Items!$B$5:$B$304,MATCH(B136,Items!$A$5:$A$304,0)),"Unknown code"))</f>
        <v/>
      </c>
      <c r="D136" s="15" t="n"/>
      <c r="E136" s="16" t="n"/>
      <c r="F136" s="18">
        <f>IF(OR(D136="",E136=""),"",D136*E136)</f>
        <v/>
      </c>
      <c r="G136" s="15" t="n"/>
    </row>
    <row r="137">
      <c r="A137" s="19" t="n"/>
      <c r="B137" s="15" t="n"/>
      <c r="C137">
        <f>IF(B137="","",IFERROR(INDEX(Items!$B$5:$B$304,MATCH(B137,Items!$A$5:$A$304,0)),"Unknown code"))</f>
        <v/>
      </c>
      <c r="D137" s="15" t="n"/>
      <c r="E137" s="16" t="n"/>
      <c r="F137" s="18">
        <f>IF(OR(D137="",E137=""),"",D137*E137)</f>
        <v/>
      </c>
      <c r="G137" s="15" t="n"/>
    </row>
    <row r="138">
      <c r="A138" s="19" t="n"/>
      <c r="B138" s="15" t="n"/>
      <c r="C138">
        <f>IF(B138="","",IFERROR(INDEX(Items!$B$5:$B$304,MATCH(B138,Items!$A$5:$A$304,0)),"Unknown code"))</f>
        <v/>
      </c>
      <c r="D138" s="15" t="n"/>
      <c r="E138" s="16" t="n"/>
      <c r="F138" s="18">
        <f>IF(OR(D138="",E138=""),"",D138*E138)</f>
        <v/>
      </c>
      <c r="G138" s="15" t="n"/>
    </row>
    <row r="139">
      <c r="A139" s="19" t="n"/>
      <c r="B139" s="15" t="n"/>
      <c r="C139">
        <f>IF(B139="","",IFERROR(INDEX(Items!$B$5:$B$304,MATCH(B139,Items!$A$5:$A$304,0)),"Unknown code"))</f>
        <v/>
      </c>
      <c r="D139" s="15" t="n"/>
      <c r="E139" s="16" t="n"/>
      <c r="F139" s="18">
        <f>IF(OR(D139="",E139=""),"",D139*E139)</f>
        <v/>
      </c>
      <c r="G139" s="15" t="n"/>
    </row>
    <row r="140">
      <c r="A140" s="19" t="n"/>
      <c r="B140" s="15" t="n"/>
      <c r="C140">
        <f>IF(B140="","",IFERROR(INDEX(Items!$B$5:$B$304,MATCH(B140,Items!$A$5:$A$304,0)),"Unknown code"))</f>
        <v/>
      </c>
      <c r="D140" s="15" t="n"/>
      <c r="E140" s="16" t="n"/>
      <c r="F140" s="18">
        <f>IF(OR(D140="",E140=""),"",D140*E140)</f>
        <v/>
      </c>
      <c r="G140" s="15" t="n"/>
    </row>
    <row r="141">
      <c r="A141" s="19" t="n"/>
      <c r="B141" s="15" t="n"/>
      <c r="C141">
        <f>IF(B141="","",IFERROR(INDEX(Items!$B$5:$B$304,MATCH(B141,Items!$A$5:$A$304,0)),"Unknown code"))</f>
        <v/>
      </c>
      <c r="D141" s="15" t="n"/>
      <c r="E141" s="16" t="n"/>
      <c r="F141" s="18">
        <f>IF(OR(D141="",E141=""),"",D141*E141)</f>
        <v/>
      </c>
      <c r="G141" s="15" t="n"/>
    </row>
    <row r="142">
      <c r="A142" s="19" t="n"/>
      <c r="B142" s="15" t="n"/>
      <c r="C142">
        <f>IF(B142="","",IFERROR(INDEX(Items!$B$5:$B$304,MATCH(B142,Items!$A$5:$A$304,0)),"Unknown code"))</f>
        <v/>
      </c>
      <c r="D142" s="15" t="n"/>
      <c r="E142" s="16" t="n"/>
      <c r="F142" s="18">
        <f>IF(OR(D142="",E142=""),"",D142*E142)</f>
        <v/>
      </c>
      <c r="G142" s="15" t="n"/>
    </row>
    <row r="143">
      <c r="A143" s="19" t="n"/>
      <c r="B143" s="15" t="n"/>
      <c r="C143">
        <f>IF(B143="","",IFERROR(INDEX(Items!$B$5:$B$304,MATCH(B143,Items!$A$5:$A$304,0)),"Unknown code"))</f>
        <v/>
      </c>
      <c r="D143" s="15" t="n"/>
      <c r="E143" s="16" t="n"/>
      <c r="F143" s="18">
        <f>IF(OR(D143="",E143=""),"",D143*E143)</f>
        <v/>
      </c>
      <c r="G143" s="15" t="n"/>
    </row>
    <row r="144">
      <c r="A144" s="19" t="n"/>
      <c r="B144" s="15" t="n"/>
      <c r="C144">
        <f>IF(B144="","",IFERROR(INDEX(Items!$B$5:$B$304,MATCH(B144,Items!$A$5:$A$304,0)),"Unknown code"))</f>
        <v/>
      </c>
      <c r="D144" s="15" t="n"/>
      <c r="E144" s="16" t="n"/>
      <c r="F144" s="18">
        <f>IF(OR(D144="",E144=""),"",D144*E144)</f>
        <v/>
      </c>
      <c r="G144" s="15" t="n"/>
    </row>
    <row r="145">
      <c r="A145" s="19" t="n"/>
      <c r="B145" s="15" t="n"/>
      <c r="C145">
        <f>IF(B145="","",IFERROR(INDEX(Items!$B$5:$B$304,MATCH(B145,Items!$A$5:$A$304,0)),"Unknown code"))</f>
        <v/>
      </c>
      <c r="D145" s="15" t="n"/>
      <c r="E145" s="16" t="n"/>
      <c r="F145" s="18">
        <f>IF(OR(D145="",E145=""),"",D145*E145)</f>
        <v/>
      </c>
      <c r="G145" s="15" t="n"/>
    </row>
    <row r="146">
      <c r="A146" s="19" t="n"/>
      <c r="B146" s="15" t="n"/>
      <c r="C146">
        <f>IF(B146="","",IFERROR(INDEX(Items!$B$5:$B$304,MATCH(B146,Items!$A$5:$A$304,0)),"Unknown code"))</f>
        <v/>
      </c>
      <c r="D146" s="15" t="n"/>
      <c r="E146" s="16" t="n"/>
      <c r="F146" s="18">
        <f>IF(OR(D146="",E146=""),"",D146*E146)</f>
        <v/>
      </c>
      <c r="G146" s="15" t="n"/>
    </row>
    <row r="147">
      <c r="A147" s="19" t="n"/>
      <c r="B147" s="15" t="n"/>
      <c r="C147">
        <f>IF(B147="","",IFERROR(INDEX(Items!$B$5:$B$304,MATCH(B147,Items!$A$5:$A$304,0)),"Unknown code"))</f>
        <v/>
      </c>
      <c r="D147" s="15" t="n"/>
      <c r="E147" s="16" t="n"/>
      <c r="F147" s="18">
        <f>IF(OR(D147="",E147=""),"",D147*E147)</f>
        <v/>
      </c>
      <c r="G147" s="15" t="n"/>
    </row>
    <row r="148">
      <c r="A148" s="19" t="n"/>
      <c r="B148" s="15" t="n"/>
      <c r="C148">
        <f>IF(B148="","",IFERROR(INDEX(Items!$B$5:$B$304,MATCH(B148,Items!$A$5:$A$304,0)),"Unknown code"))</f>
        <v/>
      </c>
      <c r="D148" s="15" t="n"/>
      <c r="E148" s="16" t="n"/>
      <c r="F148" s="18">
        <f>IF(OR(D148="",E148=""),"",D148*E148)</f>
        <v/>
      </c>
      <c r="G148" s="15" t="n"/>
    </row>
    <row r="149">
      <c r="A149" s="19" t="n"/>
      <c r="B149" s="15" t="n"/>
      <c r="C149">
        <f>IF(B149="","",IFERROR(INDEX(Items!$B$5:$B$304,MATCH(B149,Items!$A$5:$A$304,0)),"Unknown code"))</f>
        <v/>
      </c>
      <c r="D149" s="15" t="n"/>
      <c r="E149" s="16" t="n"/>
      <c r="F149" s="18">
        <f>IF(OR(D149="",E149=""),"",D149*E149)</f>
        <v/>
      </c>
      <c r="G149" s="15" t="n"/>
    </row>
    <row r="150">
      <c r="A150" s="19" t="n"/>
      <c r="B150" s="15" t="n"/>
      <c r="C150">
        <f>IF(B150="","",IFERROR(INDEX(Items!$B$5:$B$304,MATCH(B150,Items!$A$5:$A$304,0)),"Unknown code"))</f>
        <v/>
      </c>
      <c r="D150" s="15" t="n"/>
      <c r="E150" s="16" t="n"/>
      <c r="F150" s="18">
        <f>IF(OR(D150="",E150=""),"",D150*E150)</f>
        <v/>
      </c>
      <c r="G150" s="15" t="n"/>
    </row>
    <row r="151">
      <c r="A151" s="19" t="n"/>
      <c r="B151" s="15" t="n"/>
      <c r="C151">
        <f>IF(B151="","",IFERROR(INDEX(Items!$B$5:$B$304,MATCH(B151,Items!$A$5:$A$304,0)),"Unknown code"))</f>
        <v/>
      </c>
      <c r="D151" s="15" t="n"/>
      <c r="E151" s="16" t="n"/>
      <c r="F151" s="18">
        <f>IF(OR(D151="",E151=""),"",D151*E151)</f>
        <v/>
      </c>
      <c r="G151" s="15" t="n"/>
    </row>
    <row r="152">
      <c r="A152" s="19" t="n"/>
      <c r="B152" s="15" t="n"/>
      <c r="C152">
        <f>IF(B152="","",IFERROR(INDEX(Items!$B$5:$B$304,MATCH(B152,Items!$A$5:$A$304,0)),"Unknown code"))</f>
        <v/>
      </c>
      <c r="D152" s="15" t="n"/>
      <c r="E152" s="16" t="n"/>
      <c r="F152" s="18">
        <f>IF(OR(D152="",E152=""),"",D152*E152)</f>
        <v/>
      </c>
      <c r="G152" s="15" t="n"/>
    </row>
    <row r="153">
      <c r="A153" s="19" t="n"/>
      <c r="B153" s="15" t="n"/>
      <c r="C153">
        <f>IF(B153="","",IFERROR(INDEX(Items!$B$5:$B$304,MATCH(B153,Items!$A$5:$A$304,0)),"Unknown code"))</f>
        <v/>
      </c>
      <c r="D153" s="15" t="n"/>
      <c r="E153" s="16" t="n"/>
      <c r="F153" s="18">
        <f>IF(OR(D153="",E153=""),"",D153*E153)</f>
        <v/>
      </c>
      <c r="G153" s="15" t="n"/>
    </row>
    <row r="154">
      <c r="A154" s="19" t="n"/>
      <c r="B154" s="15" t="n"/>
      <c r="C154">
        <f>IF(B154="","",IFERROR(INDEX(Items!$B$5:$B$304,MATCH(B154,Items!$A$5:$A$304,0)),"Unknown code"))</f>
        <v/>
      </c>
      <c r="D154" s="15" t="n"/>
      <c r="E154" s="16" t="n"/>
      <c r="F154" s="18">
        <f>IF(OR(D154="",E154=""),"",D154*E154)</f>
        <v/>
      </c>
      <c r="G154" s="15" t="n"/>
    </row>
    <row r="155">
      <c r="A155" s="19" t="n"/>
      <c r="B155" s="15" t="n"/>
      <c r="C155">
        <f>IF(B155="","",IFERROR(INDEX(Items!$B$5:$B$304,MATCH(B155,Items!$A$5:$A$304,0)),"Unknown code"))</f>
        <v/>
      </c>
      <c r="D155" s="15" t="n"/>
      <c r="E155" s="16" t="n"/>
      <c r="F155" s="18">
        <f>IF(OR(D155="",E155=""),"",D155*E155)</f>
        <v/>
      </c>
      <c r="G155" s="15" t="n"/>
    </row>
    <row r="156">
      <c r="A156" s="19" t="n"/>
      <c r="B156" s="15" t="n"/>
      <c r="C156">
        <f>IF(B156="","",IFERROR(INDEX(Items!$B$5:$B$304,MATCH(B156,Items!$A$5:$A$304,0)),"Unknown code"))</f>
        <v/>
      </c>
      <c r="D156" s="15" t="n"/>
      <c r="E156" s="16" t="n"/>
      <c r="F156" s="18">
        <f>IF(OR(D156="",E156=""),"",D156*E156)</f>
        <v/>
      </c>
      <c r="G156" s="15" t="n"/>
    </row>
    <row r="157">
      <c r="A157" s="19" t="n"/>
      <c r="B157" s="15" t="n"/>
      <c r="C157">
        <f>IF(B157="","",IFERROR(INDEX(Items!$B$5:$B$304,MATCH(B157,Items!$A$5:$A$304,0)),"Unknown code"))</f>
        <v/>
      </c>
      <c r="D157" s="15" t="n"/>
      <c r="E157" s="16" t="n"/>
      <c r="F157" s="18">
        <f>IF(OR(D157="",E157=""),"",D157*E157)</f>
        <v/>
      </c>
      <c r="G157" s="15" t="n"/>
    </row>
    <row r="158">
      <c r="A158" s="19" t="n"/>
      <c r="B158" s="15" t="n"/>
      <c r="C158">
        <f>IF(B158="","",IFERROR(INDEX(Items!$B$5:$B$304,MATCH(B158,Items!$A$5:$A$304,0)),"Unknown code"))</f>
        <v/>
      </c>
      <c r="D158" s="15" t="n"/>
      <c r="E158" s="16" t="n"/>
      <c r="F158" s="18">
        <f>IF(OR(D158="",E158=""),"",D158*E158)</f>
        <v/>
      </c>
      <c r="G158" s="15" t="n"/>
    </row>
    <row r="159">
      <c r="A159" s="19" t="n"/>
      <c r="B159" s="15" t="n"/>
      <c r="C159">
        <f>IF(B159="","",IFERROR(INDEX(Items!$B$5:$B$304,MATCH(B159,Items!$A$5:$A$304,0)),"Unknown code"))</f>
        <v/>
      </c>
      <c r="D159" s="15" t="n"/>
      <c r="E159" s="16" t="n"/>
      <c r="F159" s="18">
        <f>IF(OR(D159="",E159=""),"",D159*E159)</f>
        <v/>
      </c>
      <c r="G159" s="15" t="n"/>
    </row>
    <row r="160">
      <c r="A160" s="19" t="n"/>
      <c r="B160" s="15" t="n"/>
      <c r="C160">
        <f>IF(B160="","",IFERROR(INDEX(Items!$B$5:$B$304,MATCH(B160,Items!$A$5:$A$304,0)),"Unknown code"))</f>
        <v/>
      </c>
      <c r="D160" s="15" t="n"/>
      <c r="E160" s="16" t="n"/>
      <c r="F160" s="18">
        <f>IF(OR(D160="",E160=""),"",D160*E160)</f>
        <v/>
      </c>
      <c r="G160" s="15" t="n"/>
    </row>
    <row r="161">
      <c r="A161" s="19" t="n"/>
      <c r="B161" s="15" t="n"/>
      <c r="C161">
        <f>IF(B161="","",IFERROR(INDEX(Items!$B$5:$B$304,MATCH(B161,Items!$A$5:$A$304,0)),"Unknown code"))</f>
        <v/>
      </c>
      <c r="D161" s="15" t="n"/>
      <c r="E161" s="16" t="n"/>
      <c r="F161" s="18">
        <f>IF(OR(D161="",E161=""),"",D161*E161)</f>
        <v/>
      </c>
      <c r="G161" s="15" t="n"/>
    </row>
    <row r="162">
      <c r="A162" s="19" t="n"/>
      <c r="B162" s="15" t="n"/>
      <c r="C162">
        <f>IF(B162="","",IFERROR(INDEX(Items!$B$5:$B$304,MATCH(B162,Items!$A$5:$A$304,0)),"Unknown code"))</f>
        <v/>
      </c>
      <c r="D162" s="15" t="n"/>
      <c r="E162" s="16" t="n"/>
      <c r="F162" s="18">
        <f>IF(OR(D162="",E162=""),"",D162*E162)</f>
        <v/>
      </c>
      <c r="G162" s="15" t="n"/>
    </row>
    <row r="163">
      <c r="A163" s="19" t="n"/>
      <c r="B163" s="15" t="n"/>
      <c r="C163">
        <f>IF(B163="","",IFERROR(INDEX(Items!$B$5:$B$304,MATCH(B163,Items!$A$5:$A$304,0)),"Unknown code"))</f>
        <v/>
      </c>
      <c r="D163" s="15" t="n"/>
      <c r="E163" s="16" t="n"/>
      <c r="F163" s="18">
        <f>IF(OR(D163="",E163=""),"",D163*E163)</f>
        <v/>
      </c>
      <c r="G163" s="15" t="n"/>
    </row>
    <row r="164">
      <c r="A164" s="19" t="n"/>
      <c r="B164" s="15" t="n"/>
      <c r="C164">
        <f>IF(B164="","",IFERROR(INDEX(Items!$B$5:$B$304,MATCH(B164,Items!$A$5:$A$304,0)),"Unknown code"))</f>
        <v/>
      </c>
      <c r="D164" s="15" t="n"/>
      <c r="E164" s="16" t="n"/>
      <c r="F164" s="18">
        <f>IF(OR(D164="",E164=""),"",D164*E164)</f>
        <v/>
      </c>
      <c r="G164" s="15" t="n"/>
    </row>
    <row r="165">
      <c r="A165" s="19" t="n"/>
      <c r="B165" s="15" t="n"/>
      <c r="C165">
        <f>IF(B165="","",IFERROR(INDEX(Items!$B$5:$B$304,MATCH(B165,Items!$A$5:$A$304,0)),"Unknown code"))</f>
        <v/>
      </c>
      <c r="D165" s="15" t="n"/>
      <c r="E165" s="16" t="n"/>
      <c r="F165" s="18">
        <f>IF(OR(D165="",E165=""),"",D165*E165)</f>
        <v/>
      </c>
      <c r="G165" s="15" t="n"/>
    </row>
    <row r="166">
      <c r="A166" s="19" t="n"/>
      <c r="B166" s="15" t="n"/>
      <c r="C166">
        <f>IF(B166="","",IFERROR(INDEX(Items!$B$5:$B$304,MATCH(B166,Items!$A$5:$A$304,0)),"Unknown code"))</f>
        <v/>
      </c>
      <c r="D166" s="15" t="n"/>
      <c r="E166" s="16" t="n"/>
      <c r="F166" s="18">
        <f>IF(OR(D166="",E166=""),"",D166*E166)</f>
        <v/>
      </c>
      <c r="G166" s="15" t="n"/>
    </row>
    <row r="167">
      <c r="A167" s="19" t="n"/>
      <c r="B167" s="15" t="n"/>
      <c r="C167">
        <f>IF(B167="","",IFERROR(INDEX(Items!$B$5:$B$304,MATCH(B167,Items!$A$5:$A$304,0)),"Unknown code"))</f>
        <v/>
      </c>
      <c r="D167" s="15" t="n"/>
      <c r="E167" s="16" t="n"/>
      <c r="F167" s="18">
        <f>IF(OR(D167="",E167=""),"",D167*E167)</f>
        <v/>
      </c>
      <c r="G167" s="15" t="n"/>
    </row>
    <row r="168">
      <c r="A168" s="19" t="n"/>
      <c r="B168" s="15" t="n"/>
      <c r="C168">
        <f>IF(B168="","",IFERROR(INDEX(Items!$B$5:$B$304,MATCH(B168,Items!$A$5:$A$304,0)),"Unknown code"))</f>
        <v/>
      </c>
      <c r="D168" s="15" t="n"/>
      <c r="E168" s="16" t="n"/>
      <c r="F168" s="18">
        <f>IF(OR(D168="",E168=""),"",D168*E168)</f>
        <v/>
      </c>
      <c r="G168" s="15" t="n"/>
    </row>
    <row r="169">
      <c r="A169" s="19" t="n"/>
      <c r="B169" s="15" t="n"/>
      <c r="C169">
        <f>IF(B169="","",IFERROR(INDEX(Items!$B$5:$B$304,MATCH(B169,Items!$A$5:$A$304,0)),"Unknown code"))</f>
        <v/>
      </c>
      <c r="D169" s="15" t="n"/>
      <c r="E169" s="16" t="n"/>
      <c r="F169" s="18">
        <f>IF(OR(D169="",E169=""),"",D169*E169)</f>
        <v/>
      </c>
      <c r="G169" s="15" t="n"/>
    </row>
    <row r="170">
      <c r="A170" s="19" t="n"/>
      <c r="B170" s="15" t="n"/>
      <c r="C170">
        <f>IF(B170="","",IFERROR(INDEX(Items!$B$5:$B$304,MATCH(B170,Items!$A$5:$A$304,0)),"Unknown code"))</f>
        <v/>
      </c>
      <c r="D170" s="15" t="n"/>
      <c r="E170" s="16" t="n"/>
      <c r="F170" s="18">
        <f>IF(OR(D170="",E170=""),"",D170*E170)</f>
        <v/>
      </c>
      <c r="G170" s="15" t="n"/>
    </row>
    <row r="171">
      <c r="A171" s="19" t="n"/>
      <c r="B171" s="15" t="n"/>
      <c r="C171">
        <f>IF(B171="","",IFERROR(INDEX(Items!$B$5:$B$304,MATCH(B171,Items!$A$5:$A$304,0)),"Unknown code"))</f>
        <v/>
      </c>
      <c r="D171" s="15" t="n"/>
      <c r="E171" s="16" t="n"/>
      <c r="F171" s="18">
        <f>IF(OR(D171="",E171=""),"",D171*E171)</f>
        <v/>
      </c>
      <c r="G171" s="15" t="n"/>
    </row>
    <row r="172">
      <c r="A172" s="19" t="n"/>
      <c r="B172" s="15" t="n"/>
      <c r="C172">
        <f>IF(B172="","",IFERROR(INDEX(Items!$B$5:$B$304,MATCH(B172,Items!$A$5:$A$304,0)),"Unknown code"))</f>
        <v/>
      </c>
      <c r="D172" s="15" t="n"/>
      <c r="E172" s="16" t="n"/>
      <c r="F172" s="18">
        <f>IF(OR(D172="",E172=""),"",D172*E172)</f>
        <v/>
      </c>
      <c r="G172" s="15" t="n"/>
    </row>
    <row r="173">
      <c r="A173" s="19" t="n"/>
      <c r="B173" s="15" t="n"/>
      <c r="C173">
        <f>IF(B173="","",IFERROR(INDEX(Items!$B$5:$B$304,MATCH(B173,Items!$A$5:$A$304,0)),"Unknown code"))</f>
        <v/>
      </c>
      <c r="D173" s="15" t="n"/>
      <c r="E173" s="16" t="n"/>
      <c r="F173" s="18">
        <f>IF(OR(D173="",E173=""),"",D173*E173)</f>
        <v/>
      </c>
      <c r="G173" s="15" t="n"/>
    </row>
    <row r="174">
      <c r="A174" s="19" t="n"/>
      <c r="B174" s="15" t="n"/>
      <c r="C174">
        <f>IF(B174="","",IFERROR(INDEX(Items!$B$5:$B$304,MATCH(B174,Items!$A$5:$A$304,0)),"Unknown code"))</f>
        <v/>
      </c>
      <c r="D174" s="15" t="n"/>
      <c r="E174" s="16" t="n"/>
      <c r="F174" s="18">
        <f>IF(OR(D174="",E174=""),"",D174*E174)</f>
        <v/>
      </c>
      <c r="G174" s="15" t="n"/>
    </row>
    <row r="175">
      <c r="A175" s="19" t="n"/>
      <c r="B175" s="15" t="n"/>
      <c r="C175">
        <f>IF(B175="","",IFERROR(INDEX(Items!$B$5:$B$304,MATCH(B175,Items!$A$5:$A$304,0)),"Unknown code"))</f>
        <v/>
      </c>
      <c r="D175" s="15" t="n"/>
      <c r="E175" s="16" t="n"/>
      <c r="F175" s="18">
        <f>IF(OR(D175="",E175=""),"",D175*E175)</f>
        <v/>
      </c>
      <c r="G175" s="15" t="n"/>
    </row>
    <row r="176">
      <c r="A176" s="19" t="n"/>
      <c r="B176" s="15" t="n"/>
      <c r="C176">
        <f>IF(B176="","",IFERROR(INDEX(Items!$B$5:$B$304,MATCH(B176,Items!$A$5:$A$304,0)),"Unknown code"))</f>
        <v/>
      </c>
      <c r="D176" s="15" t="n"/>
      <c r="E176" s="16" t="n"/>
      <c r="F176" s="18">
        <f>IF(OR(D176="",E176=""),"",D176*E176)</f>
        <v/>
      </c>
      <c r="G176" s="15" t="n"/>
    </row>
    <row r="177">
      <c r="A177" s="19" t="n"/>
      <c r="B177" s="15" t="n"/>
      <c r="C177">
        <f>IF(B177="","",IFERROR(INDEX(Items!$B$5:$B$304,MATCH(B177,Items!$A$5:$A$304,0)),"Unknown code"))</f>
        <v/>
      </c>
      <c r="D177" s="15" t="n"/>
      <c r="E177" s="16" t="n"/>
      <c r="F177" s="18">
        <f>IF(OR(D177="",E177=""),"",D177*E177)</f>
        <v/>
      </c>
      <c r="G177" s="15" t="n"/>
    </row>
    <row r="178">
      <c r="A178" s="19" t="n"/>
      <c r="B178" s="15" t="n"/>
      <c r="C178">
        <f>IF(B178="","",IFERROR(INDEX(Items!$B$5:$B$304,MATCH(B178,Items!$A$5:$A$304,0)),"Unknown code"))</f>
        <v/>
      </c>
      <c r="D178" s="15" t="n"/>
      <c r="E178" s="16" t="n"/>
      <c r="F178" s="18">
        <f>IF(OR(D178="",E178=""),"",D178*E178)</f>
        <v/>
      </c>
      <c r="G178" s="15" t="n"/>
    </row>
    <row r="179">
      <c r="A179" s="19" t="n"/>
      <c r="B179" s="15" t="n"/>
      <c r="C179">
        <f>IF(B179="","",IFERROR(INDEX(Items!$B$5:$B$304,MATCH(B179,Items!$A$5:$A$304,0)),"Unknown code"))</f>
        <v/>
      </c>
      <c r="D179" s="15" t="n"/>
      <c r="E179" s="16" t="n"/>
      <c r="F179" s="18">
        <f>IF(OR(D179="",E179=""),"",D179*E179)</f>
        <v/>
      </c>
      <c r="G179" s="15" t="n"/>
    </row>
    <row r="180">
      <c r="A180" s="19" t="n"/>
      <c r="B180" s="15" t="n"/>
      <c r="C180">
        <f>IF(B180="","",IFERROR(INDEX(Items!$B$5:$B$304,MATCH(B180,Items!$A$5:$A$304,0)),"Unknown code"))</f>
        <v/>
      </c>
      <c r="D180" s="15" t="n"/>
      <c r="E180" s="16" t="n"/>
      <c r="F180" s="18">
        <f>IF(OR(D180="",E180=""),"",D180*E180)</f>
        <v/>
      </c>
      <c r="G180" s="15" t="n"/>
    </row>
    <row r="181">
      <c r="A181" s="19" t="n"/>
      <c r="B181" s="15" t="n"/>
      <c r="C181">
        <f>IF(B181="","",IFERROR(INDEX(Items!$B$5:$B$304,MATCH(B181,Items!$A$5:$A$304,0)),"Unknown code"))</f>
        <v/>
      </c>
      <c r="D181" s="15" t="n"/>
      <c r="E181" s="16" t="n"/>
      <c r="F181" s="18">
        <f>IF(OR(D181="",E181=""),"",D181*E181)</f>
        <v/>
      </c>
      <c r="G181" s="15" t="n"/>
    </row>
    <row r="182">
      <c r="A182" s="19" t="n"/>
      <c r="B182" s="15" t="n"/>
      <c r="C182">
        <f>IF(B182="","",IFERROR(INDEX(Items!$B$5:$B$304,MATCH(B182,Items!$A$5:$A$304,0)),"Unknown code"))</f>
        <v/>
      </c>
      <c r="D182" s="15" t="n"/>
      <c r="E182" s="16" t="n"/>
      <c r="F182" s="18">
        <f>IF(OR(D182="",E182=""),"",D182*E182)</f>
        <v/>
      </c>
      <c r="G182" s="15" t="n"/>
    </row>
    <row r="183">
      <c r="A183" s="19" t="n"/>
      <c r="B183" s="15" t="n"/>
      <c r="C183">
        <f>IF(B183="","",IFERROR(INDEX(Items!$B$5:$B$304,MATCH(B183,Items!$A$5:$A$304,0)),"Unknown code"))</f>
        <v/>
      </c>
      <c r="D183" s="15" t="n"/>
      <c r="E183" s="16" t="n"/>
      <c r="F183" s="18">
        <f>IF(OR(D183="",E183=""),"",D183*E183)</f>
        <v/>
      </c>
      <c r="G183" s="15" t="n"/>
    </row>
    <row r="184">
      <c r="A184" s="19" t="n"/>
      <c r="B184" s="15" t="n"/>
      <c r="C184">
        <f>IF(B184="","",IFERROR(INDEX(Items!$B$5:$B$304,MATCH(B184,Items!$A$5:$A$304,0)),"Unknown code"))</f>
        <v/>
      </c>
      <c r="D184" s="15" t="n"/>
      <c r="E184" s="16" t="n"/>
      <c r="F184" s="18">
        <f>IF(OR(D184="",E184=""),"",D184*E184)</f>
        <v/>
      </c>
      <c r="G184" s="15" t="n"/>
    </row>
    <row r="185">
      <c r="A185" s="19" t="n"/>
      <c r="B185" s="15" t="n"/>
      <c r="C185">
        <f>IF(B185="","",IFERROR(INDEX(Items!$B$5:$B$304,MATCH(B185,Items!$A$5:$A$304,0)),"Unknown code"))</f>
        <v/>
      </c>
      <c r="D185" s="15" t="n"/>
      <c r="E185" s="16" t="n"/>
      <c r="F185" s="18">
        <f>IF(OR(D185="",E185=""),"",D185*E185)</f>
        <v/>
      </c>
      <c r="G185" s="15" t="n"/>
    </row>
    <row r="186">
      <c r="A186" s="19" t="n"/>
      <c r="B186" s="15" t="n"/>
      <c r="C186">
        <f>IF(B186="","",IFERROR(INDEX(Items!$B$5:$B$304,MATCH(B186,Items!$A$5:$A$304,0)),"Unknown code"))</f>
        <v/>
      </c>
      <c r="D186" s="15" t="n"/>
      <c r="E186" s="16" t="n"/>
      <c r="F186" s="18">
        <f>IF(OR(D186="",E186=""),"",D186*E186)</f>
        <v/>
      </c>
      <c r="G186" s="15" t="n"/>
    </row>
    <row r="187">
      <c r="A187" s="19" t="n"/>
      <c r="B187" s="15" t="n"/>
      <c r="C187">
        <f>IF(B187="","",IFERROR(INDEX(Items!$B$5:$B$304,MATCH(B187,Items!$A$5:$A$304,0)),"Unknown code"))</f>
        <v/>
      </c>
      <c r="D187" s="15" t="n"/>
      <c r="E187" s="16" t="n"/>
      <c r="F187" s="18">
        <f>IF(OR(D187="",E187=""),"",D187*E187)</f>
        <v/>
      </c>
      <c r="G187" s="15" t="n"/>
    </row>
    <row r="188">
      <c r="A188" s="19" t="n"/>
      <c r="B188" s="15" t="n"/>
      <c r="C188">
        <f>IF(B188="","",IFERROR(INDEX(Items!$B$5:$B$304,MATCH(B188,Items!$A$5:$A$304,0)),"Unknown code"))</f>
        <v/>
      </c>
      <c r="D188" s="15" t="n"/>
      <c r="E188" s="16" t="n"/>
      <c r="F188" s="18">
        <f>IF(OR(D188="",E188=""),"",D188*E188)</f>
        <v/>
      </c>
      <c r="G188" s="15" t="n"/>
    </row>
    <row r="189">
      <c r="A189" s="19" t="n"/>
      <c r="B189" s="15" t="n"/>
      <c r="C189">
        <f>IF(B189="","",IFERROR(INDEX(Items!$B$5:$B$304,MATCH(B189,Items!$A$5:$A$304,0)),"Unknown code"))</f>
        <v/>
      </c>
      <c r="D189" s="15" t="n"/>
      <c r="E189" s="16" t="n"/>
      <c r="F189" s="18">
        <f>IF(OR(D189="",E189=""),"",D189*E189)</f>
        <v/>
      </c>
      <c r="G189" s="15" t="n"/>
    </row>
    <row r="190">
      <c r="A190" s="19" t="n"/>
      <c r="B190" s="15" t="n"/>
      <c r="C190">
        <f>IF(B190="","",IFERROR(INDEX(Items!$B$5:$B$304,MATCH(B190,Items!$A$5:$A$304,0)),"Unknown code"))</f>
        <v/>
      </c>
      <c r="D190" s="15" t="n"/>
      <c r="E190" s="16" t="n"/>
      <c r="F190" s="18">
        <f>IF(OR(D190="",E190=""),"",D190*E190)</f>
        <v/>
      </c>
      <c r="G190" s="15" t="n"/>
    </row>
    <row r="191">
      <c r="A191" s="19" t="n"/>
      <c r="B191" s="15" t="n"/>
      <c r="C191">
        <f>IF(B191="","",IFERROR(INDEX(Items!$B$5:$B$304,MATCH(B191,Items!$A$5:$A$304,0)),"Unknown code"))</f>
        <v/>
      </c>
      <c r="D191" s="15" t="n"/>
      <c r="E191" s="16" t="n"/>
      <c r="F191" s="18">
        <f>IF(OR(D191="",E191=""),"",D191*E191)</f>
        <v/>
      </c>
      <c r="G191" s="15" t="n"/>
    </row>
    <row r="192">
      <c r="A192" s="19" t="n"/>
      <c r="B192" s="15" t="n"/>
      <c r="C192">
        <f>IF(B192="","",IFERROR(INDEX(Items!$B$5:$B$304,MATCH(B192,Items!$A$5:$A$304,0)),"Unknown code"))</f>
        <v/>
      </c>
      <c r="D192" s="15" t="n"/>
      <c r="E192" s="16" t="n"/>
      <c r="F192" s="18">
        <f>IF(OR(D192="",E192=""),"",D192*E192)</f>
        <v/>
      </c>
      <c r="G192" s="15" t="n"/>
    </row>
    <row r="193">
      <c r="A193" s="19" t="n"/>
      <c r="B193" s="15" t="n"/>
      <c r="C193">
        <f>IF(B193="","",IFERROR(INDEX(Items!$B$5:$B$304,MATCH(B193,Items!$A$5:$A$304,0)),"Unknown code"))</f>
        <v/>
      </c>
      <c r="D193" s="15" t="n"/>
      <c r="E193" s="16" t="n"/>
      <c r="F193" s="18">
        <f>IF(OR(D193="",E193=""),"",D193*E193)</f>
        <v/>
      </c>
      <c r="G193" s="15" t="n"/>
    </row>
    <row r="194">
      <c r="A194" s="19" t="n"/>
      <c r="B194" s="15" t="n"/>
      <c r="C194">
        <f>IF(B194="","",IFERROR(INDEX(Items!$B$5:$B$304,MATCH(B194,Items!$A$5:$A$304,0)),"Unknown code"))</f>
        <v/>
      </c>
      <c r="D194" s="15" t="n"/>
      <c r="E194" s="16" t="n"/>
      <c r="F194" s="18">
        <f>IF(OR(D194="",E194=""),"",D194*E194)</f>
        <v/>
      </c>
      <c r="G194" s="15" t="n"/>
    </row>
    <row r="195">
      <c r="A195" s="19" t="n"/>
      <c r="B195" s="15" t="n"/>
      <c r="C195">
        <f>IF(B195="","",IFERROR(INDEX(Items!$B$5:$B$304,MATCH(B195,Items!$A$5:$A$304,0)),"Unknown code"))</f>
        <v/>
      </c>
      <c r="D195" s="15" t="n"/>
      <c r="E195" s="16" t="n"/>
      <c r="F195" s="18">
        <f>IF(OR(D195="",E195=""),"",D195*E195)</f>
        <v/>
      </c>
      <c r="G195" s="15" t="n"/>
    </row>
    <row r="196">
      <c r="A196" s="19" t="n"/>
      <c r="B196" s="15" t="n"/>
      <c r="C196">
        <f>IF(B196="","",IFERROR(INDEX(Items!$B$5:$B$304,MATCH(B196,Items!$A$5:$A$304,0)),"Unknown code"))</f>
        <v/>
      </c>
      <c r="D196" s="15" t="n"/>
      <c r="E196" s="16" t="n"/>
      <c r="F196" s="18">
        <f>IF(OR(D196="",E196=""),"",D196*E196)</f>
        <v/>
      </c>
      <c r="G196" s="15" t="n"/>
    </row>
    <row r="197">
      <c r="A197" s="19" t="n"/>
      <c r="B197" s="15" t="n"/>
      <c r="C197">
        <f>IF(B197="","",IFERROR(INDEX(Items!$B$5:$B$304,MATCH(B197,Items!$A$5:$A$304,0)),"Unknown code"))</f>
        <v/>
      </c>
      <c r="D197" s="15" t="n"/>
      <c r="E197" s="16" t="n"/>
      <c r="F197" s="18">
        <f>IF(OR(D197="",E197=""),"",D197*E197)</f>
        <v/>
      </c>
      <c r="G197" s="15" t="n"/>
    </row>
    <row r="198">
      <c r="A198" s="19" t="n"/>
      <c r="B198" s="15" t="n"/>
      <c r="C198">
        <f>IF(B198="","",IFERROR(INDEX(Items!$B$5:$B$304,MATCH(B198,Items!$A$5:$A$304,0)),"Unknown code"))</f>
        <v/>
      </c>
      <c r="D198" s="15" t="n"/>
      <c r="E198" s="16" t="n"/>
      <c r="F198" s="18">
        <f>IF(OR(D198="",E198=""),"",D198*E198)</f>
        <v/>
      </c>
      <c r="G198" s="15" t="n"/>
    </row>
    <row r="199">
      <c r="A199" s="19" t="n"/>
      <c r="B199" s="15" t="n"/>
      <c r="C199">
        <f>IF(B199="","",IFERROR(INDEX(Items!$B$5:$B$304,MATCH(B199,Items!$A$5:$A$304,0)),"Unknown code"))</f>
        <v/>
      </c>
      <c r="D199" s="15" t="n"/>
      <c r="E199" s="16" t="n"/>
      <c r="F199" s="18">
        <f>IF(OR(D199="",E199=""),"",D199*E199)</f>
        <v/>
      </c>
      <c r="G199" s="15" t="n"/>
    </row>
    <row r="200">
      <c r="A200" s="19" t="n"/>
      <c r="B200" s="15" t="n"/>
      <c r="C200">
        <f>IF(B200="","",IFERROR(INDEX(Items!$B$5:$B$304,MATCH(B200,Items!$A$5:$A$304,0)),"Unknown code"))</f>
        <v/>
      </c>
      <c r="D200" s="15" t="n"/>
      <c r="E200" s="16" t="n"/>
      <c r="F200" s="18">
        <f>IF(OR(D200="",E200=""),"",D200*E200)</f>
        <v/>
      </c>
      <c r="G200" s="15" t="n"/>
    </row>
    <row r="201">
      <c r="A201" s="19" t="n"/>
      <c r="B201" s="15" t="n"/>
      <c r="C201">
        <f>IF(B201="","",IFERROR(INDEX(Items!$B$5:$B$304,MATCH(B201,Items!$A$5:$A$304,0)),"Unknown code"))</f>
        <v/>
      </c>
      <c r="D201" s="15" t="n"/>
      <c r="E201" s="16" t="n"/>
      <c r="F201" s="18">
        <f>IF(OR(D201="",E201=""),"",D201*E201)</f>
        <v/>
      </c>
      <c r="G201" s="15" t="n"/>
    </row>
    <row r="202">
      <c r="A202" s="19" t="n"/>
      <c r="B202" s="15" t="n"/>
      <c r="C202">
        <f>IF(B202="","",IFERROR(INDEX(Items!$B$5:$B$304,MATCH(B202,Items!$A$5:$A$304,0)),"Unknown code"))</f>
        <v/>
      </c>
      <c r="D202" s="15" t="n"/>
      <c r="E202" s="16" t="n"/>
      <c r="F202" s="18">
        <f>IF(OR(D202="",E202=""),"",D202*E202)</f>
        <v/>
      </c>
      <c r="G202" s="15" t="n"/>
    </row>
    <row r="203">
      <c r="A203" s="19" t="n"/>
      <c r="B203" s="15" t="n"/>
      <c r="C203">
        <f>IF(B203="","",IFERROR(INDEX(Items!$B$5:$B$304,MATCH(B203,Items!$A$5:$A$304,0)),"Unknown code"))</f>
        <v/>
      </c>
      <c r="D203" s="15" t="n"/>
      <c r="E203" s="16" t="n"/>
      <c r="F203" s="18">
        <f>IF(OR(D203="",E203=""),"",D203*E203)</f>
        <v/>
      </c>
      <c r="G203" s="15" t="n"/>
    </row>
    <row r="204">
      <c r="A204" s="19" t="n"/>
      <c r="B204" s="15" t="n"/>
      <c r="C204">
        <f>IF(B204="","",IFERROR(INDEX(Items!$B$5:$B$304,MATCH(B204,Items!$A$5:$A$304,0)),"Unknown code"))</f>
        <v/>
      </c>
      <c r="D204" s="15" t="n"/>
      <c r="E204" s="16" t="n"/>
      <c r="F204" s="18">
        <f>IF(OR(D204="",E204=""),"",D204*E204)</f>
        <v/>
      </c>
      <c r="G204" s="15" t="n"/>
    </row>
    <row r="205">
      <c r="A205" s="19" t="n"/>
      <c r="B205" s="15" t="n"/>
      <c r="C205">
        <f>IF(B205="","",IFERROR(INDEX(Items!$B$5:$B$304,MATCH(B205,Items!$A$5:$A$304,0)),"Unknown code"))</f>
        <v/>
      </c>
      <c r="D205" s="15" t="n"/>
      <c r="E205" s="16" t="n"/>
      <c r="F205" s="18">
        <f>IF(OR(D205="",E205=""),"",D205*E205)</f>
        <v/>
      </c>
      <c r="G205" s="15" t="n"/>
    </row>
    <row r="206">
      <c r="A206" s="19" t="n"/>
      <c r="B206" s="15" t="n"/>
      <c r="C206">
        <f>IF(B206="","",IFERROR(INDEX(Items!$B$5:$B$304,MATCH(B206,Items!$A$5:$A$304,0)),"Unknown code"))</f>
        <v/>
      </c>
      <c r="D206" s="15" t="n"/>
      <c r="E206" s="16" t="n"/>
      <c r="F206" s="18">
        <f>IF(OR(D206="",E206=""),"",D206*E206)</f>
        <v/>
      </c>
      <c r="G206" s="15" t="n"/>
    </row>
    <row r="207">
      <c r="A207" s="19" t="n"/>
      <c r="B207" s="15" t="n"/>
      <c r="C207">
        <f>IF(B207="","",IFERROR(INDEX(Items!$B$5:$B$304,MATCH(B207,Items!$A$5:$A$304,0)),"Unknown code"))</f>
        <v/>
      </c>
      <c r="D207" s="15" t="n"/>
      <c r="E207" s="16" t="n"/>
      <c r="F207" s="18">
        <f>IF(OR(D207="",E207=""),"",D207*E207)</f>
        <v/>
      </c>
      <c r="G207" s="15" t="n"/>
    </row>
    <row r="208">
      <c r="A208" s="19" t="n"/>
      <c r="B208" s="15" t="n"/>
      <c r="C208">
        <f>IF(B208="","",IFERROR(INDEX(Items!$B$5:$B$304,MATCH(B208,Items!$A$5:$A$304,0)),"Unknown code"))</f>
        <v/>
      </c>
      <c r="D208" s="15" t="n"/>
      <c r="E208" s="16" t="n"/>
      <c r="F208" s="18">
        <f>IF(OR(D208="",E208=""),"",D208*E208)</f>
        <v/>
      </c>
      <c r="G208" s="15" t="n"/>
    </row>
    <row r="209">
      <c r="A209" s="19" t="n"/>
      <c r="B209" s="15" t="n"/>
      <c r="C209">
        <f>IF(B209="","",IFERROR(INDEX(Items!$B$5:$B$304,MATCH(B209,Items!$A$5:$A$304,0)),"Unknown code"))</f>
        <v/>
      </c>
      <c r="D209" s="15" t="n"/>
      <c r="E209" s="16" t="n"/>
      <c r="F209" s="18">
        <f>IF(OR(D209="",E209=""),"",D209*E209)</f>
        <v/>
      </c>
      <c r="G209" s="15" t="n"/>
    </row>
    <row r="210">
      <c r="A210" s="19" t="n"/>
      <c r="B210" s="15" t="n"/>
      <c r="C210">
        <f>IF(B210="","",IFERROR(INDEX(Items!$B$5:$B$304,MATCH(B210,Items!$A$5:$A$304,0)),"Unknown code"))</f>
        <v/>
      </c>
      <c r="D210" s="15" t="n"/>
      <c r="E210" s="16" t="n"/>
      <c r="F210" s="18">
        <f>IF(OR(D210="",E210=""),"",D210*E210)</f>
        <v/>
      </c>
      <c r="G210" s="15" t="n"/>
    </row>
    <row r="211">
      <c r="A211" s="19" t="n"/>
      <c r="B211" s="15" t="n"/>
      <c r="C211">
        <f>IF(B211="","",IFERROR(INDEX(Items!$B$5:$B$304,MATCH(B211,Items!$A$5:$A$304,0)),"Unknown code"))</f>
        <v/>
      </c>
      <c r="D211" s="15" t="n"/>
      <c r="E211" s="16" t="n"/>
      <c r="F211" s="18">
        <f>IF(OR(D211="",E211=""),"",D211*E211)</f>
        <v/>
      </c>
      <c r="G211" s="15" t="n"/>
    </row>
    <row r="212">
      <c r="A212" s="19" t="n"/>
      <c r="B212" s="15" t="n"/>
      <c r="C212">
        <f>IF(B212="","",IFERROR(INDEX(Items!$B$5:$B$304,MATCH(B212,Items!$A$5:$A$304,0)),"Unknown code"))</f>
        <v/>
      </c>
      <c r="D212" s="15" t="n"/>
      <c r="E212" s="16" t="n"/>
      <c r="F212" s="18">
        <f>IF(OR(D212="",E212=""),"",D212*E212)</f>
        <v/>
      </c>
      <c r="G212" s="15" t="n"/>
    </row>
    <row r="213">
      <c r="A213" s="19" t="n"/>
      <c r="B213" s="15" t="n"/>
      <c r="C213">
        <f>IF(B213="","",IFERROR(INDEX(Items!$B$5:$B$304,MATCH(B213,Items!$A$5:$A$304,0)),"Unknown code"))</f>
        <v/>
      </c>
      <c r="D213" s="15" t="n"/>
      <c r="E213" s="16" t="n"/>
      <c r="F213" s="18">
        <f>IF(OR(D213="",E213=""),"",D213*E213)</f>
        <v/>
      </c>
      <c r="G213" s="15" t="n"/>
    </row>
    <row r="214">
      <c r="A214" s="19" t="n"/>
      <c r="B214" s="15" t="n"/>
      <c r="C214">
        <f>IF(B214="","",IFERROR(INDEX(Items!$B$5:$B$304,MATCH(B214,Items!$A$5:$A$304,0)),"Unknown code"))</f>
        <v/>
      </c>
      <c r="D214" s="15" t="n"/>
      <c r="E214" s="16" t="n"/>
      <c r="F214" s="18">
        <f>IF(OR(D214="",E214=""),"",D214*E214)</f>
        <v/>
      </c>
      <c r="G214" s="15" t="n"/>
    </row>
    <row r="215">
      <c r="A215" s="19" t="n"/>
      <c r="B215" s="15" t="n"/>
      <c r="C215">
        <f>IF(B215="","",IFERROR(INDEX(Items!$B$5:$B$304,MATCH(B215,Items!$A$5:$A$304,0)),"Unknown code"))</f>
        <v/>
      </c>
      <c r="D215" s="15" t="n"/>
      <c r="E215" s="16" t="n"/>
      <c r="F215" s="18">
        <f>IF(OR(D215="",E215=""),"",D215*E215)</f>
        <v/>
      </c>
      <c r="G215" s="15" t="n"/>
    </row>
    <row r="216">
      <c r="A216" s="19" t="n"/>
      <c r="B216" s="15" t="n"/>
      <c r="C216">
        <f>IF(B216="","",IFERROR(INDEX(Items!$B$5:$B$304,MATCH(B216,Items!$A$5:$A$304,0)),"Unknown code"))</f>
        <v/>
      </c>
      <c r="D216" s="15" t="n"/>
      <c r="E216" s="16" t="n"/>
      <c r="F216" s="18">
        <f>IF(OR(D216="",E216=""),"",D216*E216)</f>
        <v/>
      </c>
      <c r="G216" s="15" t="n"/>
    </row>
    <row r="217">
      <c r="A217" s="19" t="n"/>
      <c r="B217" s="15" t="n"/>
      <c r="C217">
        <f>IF(B217="","",IFERROR(INDEX(Items!$B$5:$B$304,MATCH(B217,Items!$A$5:$A$304,0)),"Unknown code"))</f>
        <v/>
      </c>
      <c r="D217" s="15" t="n"/>
      <c r="E217" s="16" t="n"/>
      <c r="F217" s="18">
        <f>IF(OR(D217="",E217=""),"",D217*E217)</f>
        <v/>
      </c>
      <c r="G217" s="15" t="n"/>
    </row>
    <row r="218">
      <c r="A218" s="19" t="n"/>
      <c r="B218" s="15" t="n"/>
      <c r="C218">
        <f>IF(B218="","",IFERROR(INDEX(Items!$B$5:$B$304,MATCH(B218,Items!$A$5:$A$304,0)),"Unknown code"))</f>
        <v/>
      </c>
      <c r="D218" s="15" t="n"/>
      <c r="E218" s="16" t="n"/>
      <c r="F218" s="18">
        <f>IF(OR(D218="",E218=""),"",D218*E218)</f>
        <v/>
      </c>
      <c r="G218" s="15" t="n"/>
    </row>
    <row r="219">
      <c r="A219" s="19" t="n"/>
      <c r="B219" s="15" t="n"/>
      <c r="C219">
        <f>IF(B219="","",IFERROR(INDEX(Items!$B$5:$B$304,MATCH(B219,Items!$A$5:$A$304,0)),"Unknown code"))</f>
        <v/>
      </c>
      <c r="D219" s="15" t="n"/>
      <c r="E219" s="16" t="n"/>
      <c r="F219" s="18">
        <f>IF(OR(D219="",E219=""),"",D219*E219)</f>
        <v/>
      </c>
      <c r="G219" s="15" t="n"/>
    </row>
    <row r="220">
      <c r="A220" s="19" t="n"/>
      <c r="B220" s="15" t="n"/>
      <c r="C220">
        <f>IF(B220="","",IFERROR(INDEX(Items!$B$5:$B$304,MATCH(B220,Items!$A$5:$A$304,0)),"Unknown code"))</f>
        <v/>
      </c>
      <c r="D220" s="15" t="n"/>
      <c r="E220" s="16" t="n"/>
      <c r="F220" s="18">
        <f>IF(OR(D220="",E220=""),"",D220*E220)</f>
        <v/>
      </c>
      <c r="G220" s="15" t="n"/>
    </row>
    <row r="221">
      <c r="A221" s="19" t="n"/>
      <c r="B221" s="15" t="n"/>
      <c r="C221">
        <f>IF(B221="","",IFERROR(INDEX(Items!$B$5:$B$304,MATCH(B221,Items!$A$5:$A$304,0)),"Unknown code"))</f>
        <v/>
      </c>
      <c r="D221" s="15" t="n"/>
      <c r="E221" s="16" t="n"/>
      <c r="F221" s="18">
        <f>IF(OR(D221="",E221=""),"",D221*E221)</f>
        <v/>
      </c>
      <c r="G221" s="15" t="n"/>
    </row>
    <row r="222">
      <c r="A222" s="19" t="n"/>
      <c r="B222" s="15" t="n"/>
      <c r="C222">
        <f>IF(B222="","",IFERROR(INDEX(Items!$B$5:$B$304,MATCH(B222,Items!$A$5:$A$304,0)),"Unknown code"))</f>
        <v/>
      </c>
      <c r="D222" s="15" t="n"/>
      <c r="E222" s="16" t="n"/>
      <c r="F222" s="18">
        <f>IF(OR(D222="",E222=""),"",D222*E222)</f>
        <v/>
      </c>
      <c r="G222" s="15" t="n"/>
    </row>
    <row r="223">
      <c r="A223" s="19" t="n"/>
      <c r="B223" s="15" t="n"/>
      <c r="C223">
        <f>IF(B223="","",IFERROR(INDEX(Items!$B$5:$B$304,MATCH(B223,Items!$A$5:$A$304,0)),"Unknown code"))</f>
        <v/>
      </c>
      <c r="D223" s="15" t="n"/>
      <c r="E223" s="16" t="n"/>
      <c r="F223" s="18">
        <f>IF(OR(D223="",E223=""),"",D223*E223)</f>
        <v/>
      </c>
      <c r="G223" s="15" t="n"/>
    </row>
    <row r="224">
      <c r="A224" s="19" t="n"/>
      <c r="B224" s="15" t="n"/>
      <c r="C224">
        <f>IF(B224="","",IFERROR(INDEX(Items!$B$5:$B$304,MATCH(B224,Items!$A$5:$A$304,0)),"Unknown code"))</f>
        <v/>
      </c>
      <c r="D224" s="15" t="n"/>
      <c r="E224" s="16" t="n"/>
      <c r="F224" s="18">
        <f>IF(OR(D224="",E224=""),"",D224*E224)</f>
        <v/>
      </c>
      <c r="G224" s="15" t="n"/>
    </row>
    <row r="225">
      <c r="A225" s="19" t="n"/>
      <c r="B225" s="15" t="n"/>
      <c r="C225">
        <f>IF(B225="","",IFERROR(INDEX(Items!$B$5:$B$304,MATCH(B225,Items!$A$5:$A$304,0)),"Unknown code"))</f>
        <v/>
      </c>
      <c r="D225" s="15" t="n"/>
      <c r="E225" s="16" t="n"/>
      <c r="F225" s="18">
        <f>IF(OR(D225="",E225=""),"",D225*E225)</f>
        <v/>
      </c>
      <c r="G225" s="15" t="n"/>
    </row>
    <row r="226">
      <c r="A226" s="19" t="n"/>
      <c r="B226" s="15" t="n"/>
      <c r="C226">
        <f>IF(B226="","",IFERROR(INDEX(Items!$B$5:$B$304,MATCH(B226,Items!$A$5:$A$304,0)),"Unknown code"))</f>
        <v/>
      </c>
      <c r="D226" s="15" t="n"/>
      <c r="E226" s="16" t="n"/>
      <c r="F226" s="18">
        <f>IF(OR(D226="",E226=""),"",D226*E226)</f>
        <v/>
      </c>
      <c r="G226" s="15" t="n"/>
    </row>
    <row r="227">
      <c r="A227" s="19" t="n"/>
      <c r="B227" s="15" t="n"/>
      <c r="C227">
        <f>IF(B227="","",IFERROR(INDEX(Items!$B$5:$B$304,MATCH(B227,Items!$A$5:$A$304,0)),"Unknown code"))</f>
        <v/>
      </c>
      <c r="D227" s="15" t="n"/>
      <c r="E227" s="16" t="n"/>
      <c r="F227" s="18">
        <f>IF(OR(D227="",E227=""),"",D227*E227)</f>
        <v/>
      </c>
      <c r="G227" s="15" t="n"/>
    </row>
    <row r="228">
      <c r="A228" s="19" t="n"/>
      <c r="B228" s="15" t="n"/>
      <c r="C228">
        <f>IF(B228="","",IFERROR(INDEX(Items!$B$5:$B$304,MATCH(B228,Items!$A$5:$A$304,0)),"Unknown code"))</f>
        <v/>
      </c>
      <c r="D228" s="15" t="n"/>
      <c r="E228" s="16" t="n"/>
      <c r="F228" s="18">
        <f>IF(OR(D228="",E228=""),"",D228*E228)</f>
        <v/>
      </c>
      <c r="G228" s="15" t="n"/>
    </row>
    <row r="229">
      <c r="A229" s="19" t="n"/>
      <c r="B229" s="15" t="n"/>
      <c r="C229">
        <f>IF(B229="","",IFERROR(INDEX(Items!$B$5:$B$304,MATCH(B229,Items!$A$5:$A$304,0)),"Unknown code"))</f>
        <v/>
      </c>
      <c r="D229" s="15" t="n"/>
      <c r="E229" s="16" t="n"/>
      <c r="F229" s="18">
        <f>IF(OR(D229="",E229=""),"",D229*E229)</f>
        <v/>
      </c>
      <c r="G229" s="15" t="n"/>
    </row>
    <row r="230">
      <c r="A230" s="19" t="n"/>
      <c r="B230" s="15" t="n"/>
      <c r="C230">
        <f>IF(B230="","",IFERROR(INDEX(Items!$B$5:$B$304,MATCH(B230,Items!$A$5:$A$304,0)),"Unknown code"))</f>
        <v/>
      </c>
      <c r="D230" s="15" t="n"/>
      <c r="E230" s="16" t="n"/>
      <c r="F230" s="18">
        <f>IF(OR(D230="",E230=""),"",D230*E230)</f>
        <v/>
      </c>
      <c r="G230" s="15" t="n"/>
    </row>
    <row r="231">
      <c r="A231" s="19" t="n"/>
      <c r="B231" s="15" t="n"/>
      <c r="C231">
        <f>IF(B231="","",IFERROR(INDEX(Items!$B$5:$B$304,MATCH(B231,Items!$A$5:$A$304,0)),"Unknown code"))</f>
        <v/>
      </c>
      <c r="D231" s="15" t="n"/>
      <c r="E231" s="16" t="n"/>
      <c r="F231" s="18">
        <f>IF(OR(D231="",E231=""),"",D231*E231)</f>
        <v/>
      </c>
      <c r="G231" s="15" t="n"/>
    </row>
    <row r="232">
      <c r="A232" s="19" t="n"/>
      <c r="B232" s="15" t="n"/>
      <c r="C232">
        <f>IF(B232="","",IFERROR(INDEX(Items!$B$5:$B$304,MATCH(B232,Items!$A$5:$A$304,0)),"Unknown code"))</f>
        <v/>
      </c>
      <c r="D232" s="15" t="n"/>
      <c r="E232" s="16" t="n"/>
      <c r="F232" s="18">
        <f>IF(OR(D232="",E232=""),"",D232*E232)</f>
        <v/>
      </c>
      <c r="G232" s="15" t="n"/>
    </row>
    <row r="233">
      <c r="A233" s="19" t="n"/>
      <c r="B233" s="15" t="n"/>
      <c r="C233">
        <f>IF(B233="","",IFERROR(INDEX(Items!$B$5:$B$304,MATCH(B233,Items!$A$5:$A$304,0)),"Unknown code"))</f>
        <v/>
      </c>
      <c r="D233" s="15" t="n"/>
      <c r="E233" s="16" t="n"/>
      <c r="F233" s="18">
        <f>IF(OR(D233="",E233=""),"",D233*E233)</f>
        <v/>
      </c>
      <c r="G233" s="15" t="n"/>
    </row>
    <row r="234">
      <c r="A234" s="19" t="n"/>
      <c r="B234" s="15" t="n"/>
      <c r="C234">
        <f>IF(B234="","",IFERROR(INDEX(Items!$B$5:$B$304,MATCH(B234,Items!$A$5:$A$304,0)),"Unknown code"))</f>
        <v/>
      </c>
      <c r="D234" s="15" t="n"/>
      <c r="E234" s="16" t="n"/>
      <c r="F234" s="18">
        <f>IF(OR(D234="",E234=""),"",D234*E234)</f>
        <v/>
      </c>
      <c r="G234" s="15" t="n"/>
    </row>
    <row r="235">
      <c r="A235" s="19" t="n"/>
      <c r="B235" s="15" t="n"/>
      <c r="C235">
        <f>IF(B235="","",IFERROR(INDEX(Items!$B$5:$B$304,MATCH(B235,Items!$A$5:$A$304,0)),"Unknown code"))</f>
        <v/>
      </c>
      <c r="D235" s="15" t="n"/>
      <c r="E235" s="16" t="n"/>
      <c r="F235" s="18">
        <f>IF(OR(D235="",E235=""),"",D235*E235)</f>
        <v/>
      </c>
      <c r="G235" s="15" t="n"/>
    </row>
    <row r="236">
      <c r="A236" s="19" t="n"/>
      <c r="B236" s="15" t="n"/>
      <c r="C236">
        <f>IF(B236="","",IFERROR(INDEX(Items!$B$5:$B$304,MATCH(B236,Items!$A$5:$A$304,0)),"Unknown code"))</f>
        <v/>
      </c>
      <c r="D236" s="15" t="n"/>
      <c r="E236" s="16" t="n"/>
      <c r="F236" s="18">
        <f>IF(OR(D236="",E236=""),"",D236*E236)</f>
        <v/>
      </c>
      <c r="G236" s="15" t="n"/>
    </row>
    <row r="237">
      <c r="A237" s="19" t="n"/>
      <c r="B237" s="15" t="n"/>
      <c r="C237">
        <f>IF(B237="","",IFERROR(INDEX(Items!$B$5:$B$304,MATCH(B237,Items!$A$5:$A$304,0)),"Unknown code"))</f>
        <v/>
      </c>
      <c r="D237" s="15" t="n"/>
      <c r="E237" s="16" t="n"/>
      <c r="F237" s="18">
        <f>IF(OR(D237="",E237=""),"",D237*E237)</f>
        <v/>
      </c>
      <c r="G237" s="15" t="n"/>
    </row>
    <row r="238">
      <c r="A238" s="19" t="n"/>
      <c r="B238" s="15" t="n"/>
      <c r="C238">
        <f>IF(B238="","",IFERROR(INDEX(Items!$B$5:$B$304,MATCH(B238,Items!$A$5:$A$304,0)),"Unknown code"))</f>
        <v/>
      </c>
      <c r="D238" s="15" t="n"/>
      <c r="E238" s="16" t="n"/>
      <c r="F238" s="18">
        <f>IF(OR(D238="",E238=""),"",D238*E238)</f>
        <v/>
      </c>
      <c r="G238" s="15" t="n"/>
    </row>
    <row r="239">
      <c r="A239" s="19" t="n"/>
      <c r="B239" s="15" t="n"/>
      <c r="C239">
        <f>IF(B239="","",IFERROR(INDEX(Items!$B$5:$B$304,MATCH(B239,Items!$A$5:$A$304,0)),"Unknown code"))</f>
        <v/>
      </c>
      <c r="D239" s="15" t="n"/>
      <c r="E239" s="16" t="n"/>
      <c r="F239" s="18">
        <f>IF(OR(D239="",E239=""),"",D239*E239)</f>
        <v/>
      </c>
      <c r="G239" s="15" t="n"/>
    </row>
    <row r="240">
      <c r="A240" s="19" t="n"/>
      <c r="B240" s="15" t="n"/>
      <c r="C240">
        <f>IF(B240="","",IFERROR(INDEX(Items!$B$5:$B$304,MATCH(B240,Items!$A$5:$A$304,0)),"Unknown code"))</f>
        <v/>
      </c>
      <c r="D240" s="15" t="n"/>
      <c r="E240" s="16" t="n"/>
      <c r="F240" s="18">
        <f>IF(OR(D240="",E240=""),"",D240*E240)</f>
        <v/>
      </c>
      <c r="G240" s="15" t="n"/>
    </row>
    <row r="241">
      <c r="A241" s="19" t="n"/>
      <c r="B241" s="15" t="n"/>
      <c r="C241">
        <f>IF(B241="","",IFERROR(INDEX(Items!$B$5:$B$304,MATCH(B241,Items!$A$5:$A$304,0)),"Unknown code"))</f>
        <v/>
      </c>
      <c r="D241" s="15" t="n"/>
      <c r="E241" s="16" t="n"/>
      <c r="F241" s="18">
        <f>IF(OR(D241="",E241=""),"",D241*E241)</f>
        <v/>
      </c>
      <c r="G241" s="15" t="n"/>
    </row>
    <row r="242">
      <c r="A242" s="19" t="n"/>
      <c r="B242" s="15" t="n"/>
      <c r="C242">
        <f>IF(B242="","",IFERROR(INDEX(Items!$B$5:$B$304,MATCH(B242,Items!$A$5:$A$304,0)),"Unknown code"))</f>
        <v/>
      </c>
      <c r="D242" s="15" t="n"/>
      <c r="E242" s="16" t="n"/>
      <c r="F242" s="18">
        <f>IF(OR(D242="",E242=""),"",D242*E242)</f>
        <v/>
      </c>
      <c r="G242" s="15" t="n"/>
    </row>
    <row r="243">
      <c r="A243" s="19" t="n"/>
      <c r="B243" s="15" t="n"/>
      <c r="C243">
        <f>IF(B243="","",IFERROR(INDEX(Items!$B$5:$B$304,MATCH(B243,Items!$A$5:$A$304,0)),"Unknown code"))</f>
        <v/>
      </c>
      <c r="D243" s="15" t="n"/>
      <c r="E243" s="16" t="n"/>
      <c r="F243" s="18">
        <f>IF(OR(D243="",E243=""),"",D243*E243)</f>
        <v/>
      </c>
      <c r="G243" s="15" t="n"/>
    </row>
    <row r="244">
      <c r="A244" s="19" t="n"/>
      <c r="B244" s="15" t="n"/>
      <c r="C244">
        <f>IF(B244="","",IFERROR(INDEX(Items!$B$5:$B$304,MATCH(B244,Items!$A$5:$A$304,0)),"Unknown code"))</f>
        <v/>
      </c>
      <c r="D244" s="15" t="n"/>
      <c r="E244" s="16" t="n"/>
      <c r="F244" s="18">
        <f>IF(OR(D244="",E244=""),"",D244*E244)</f>
        <v/>
      </c>
      <c r="G244" s="15" t="n"/>
    </row>
    <row r="245">
      <c r="A245" s="19" t="n"/>
      <c r="B245" s="15" t="n"/>
      <c r="C245">
        <f>IF(B245="","",IFERROR(INDEX(Items!$B$5:$B$304,MATCH(B245,Items!$A$5:$A$304,0)),"Unknown code"))</f>
        <v/>
      </c>
      <c r="D245" s="15" t="n"/>
      <c r="E245" s="16" t="n"/>
      <c r="F245" s="18">
        <f>IF(OR(D245="",E245=""),"",D245*E245)</f>
        <v/>
      </c>
      <c r="G245" s="15" t="n"/>
    </row>
    <row r="246">
      <c r="A246" s="19" t="n"/>
      <c r="B246" s="15" t="n"/>
      <c r="C246">
        <f>IF(B246="","",IFERROR(INDEX(Items!$B$5:$B$304,MATCH(B246,Items!$A$5:$A$304,0)),"Unknown code"))</f>
        <v/>
      </c>
      <c r="D246" s="15" t="n"/>
      <c r="E246" s="16" t="n"/>
      <c r="F246" s="18">
        <f>IF(OR(D246="",E246=""),"",D246*E246)</f>
        <v/>
      </c>
      <c r="G246" s="15" t="n"/>
    </row>
    <row r="247">
      <c r="A247" s="19" t="n"/>
      <c r="B247" s="15" t="n"/>
      <c r="C247">
        <f>IF(B247="","",IFERROR(INDEX(Items!$B$5:$B$304,MATCH(B247,Items!$A$5:$A$304,0)),"Unknown code"))</f>
        <v/>
      </c>
      <c r="D247" s="15" t="n"/>
      <c r="E247" s="16" t="n"/>
      <c r="F247" s="18">
        <f>IF(OR(D247="",E247=""),"",D247*E247)</f>
        <v/>
      </c>
      <c r="G247" s="15" t="n"/>
    </row>
    <row r="248">
      <c r="A248" s="19" t="n"/>
      <c r="B248" s="15" t="n"/>
      <c r="C248">
        <f>IF(B248="","",IFERROR(INDEX(Items!$B$5:$B$304,MATCH(B248,Items!$A$5:$A$304,0)),"Unknown code"))</f>
        <v/>
      </c>
      <c r="D248" s="15" t="n"/>
      <c r="E248" s="16" t="n"/>
      <c r="F248" s="18">
        <f>IF(OR(D248="",E248=""),"",D248*E248)</f>
        <v/>
      </c>
      <c r="G248" s="15" t="n"/>
    </row>
    <row r="249">
      <c r="A249" s="19" t="n"/>
      <c r="B249" s="15" t="n"/>
      <c r="C249">
        <f>IF(B249="","",IFERROR(INDEX(Items!$B$5:$B$304,MATCH(B249,Items!$A$5:$A$304,0)),"Unknown code"))</f>
        <v/>
      </c>
      <c r="D249" s="15" t="n"/>
      <c r="E249" s="16" t="n"/>
      <c r="F249" s="18">
        <f>IF(OR(D249="",E249=""),"",D249*E249)</f>
        <v/>
      </c>
      <c r="G249" s="15" t="n"/>
    </row>
    <row r="250">
      <c r="A250" s="19" t="n"/>
      <c r="B250" s="15" t="n"/>
      <c r="C250">
        <f>IF(B250="","",IFERROR(INDEX(Items!$B$5:$B$304,MATCH(B250,Items!$A$5:$A$304,0)),"Unknown code"))</f>
        <v/>
      </c>
      <c r="D250" s="15" t="n"/>
      <c r="E250" s="16" t="n"/>
      <c r="F250" s="18">
        <f>IF(OR(D250="",E250=""),"",D250*E250)</f>
        <v/>
      </c>
      <c r="G250" s="15" t="n"/>
    </row>
    <row r="251">
      <c r="A251" s="19" t="n"/>
      <c r="B251" s="15" t="n"/>
      <c r="C251">
        <f>IF(B251="","",IFERROR(INDEX(Items!$B$5:$B$304,MATCH(B251,Items!$A$5:$A$304,0)),"Unknown code"))</f>
        <v/>
      </c>
      <c r="D251" s="15" t="n"/>
      <c r="E251" s="16" t="n"/>
      <c r="F251" s="18">
        <f>IF(OR(D251="",E251=""),"",D251*E251)</f>
        <v/>
      </c>
      <c r="G251" s="15" t="n"/>
    </row>
    <row r="252">
      <c r="A252" s="19" t="n"/>
      <c r="B252" s="15" t="n"/>
      <c r="C252">
        <f>IF(B252="","",IFERROR(INDEX(Items!$B$5:$B$304,MATCH(B252,Items!$A$5:$A$304,0)),"Unknown code"))</f>
        <v/>
      </c>
      <c r="D252" s="15" t="n"/>
      <c r="E252" s="16" t="n"/>
      <c r="F252" s="18">
        <f>IF(OR(D252="",E252=""),"",D252*E252)</f>
        <v/>
      </c>
      <c r="G252" s="15" t="n"/>
    </row>
    <row r="253">
      <c r="A253" s="19" t="n"/>
      <c r="B253" s="15" t="n"/>
      <c r="C253">
        <f>IF(B253="","",IFERROR(INDEX(Items!$B$5:$B$304,MATCH(B253,Items!$A$5:$A$304,0)),"Unknown code"))</f>
        <v/>
      </c>
      <c r="D253" s="15" t="n"/>
      <c r="E253" s="16" t="n"/>
      <c r="F253" s="18">
        <f>IF(OR(D253="",E253=""),"",D253*E253)</f>
        <v/>
      </c>
      <c r="G253" s="15" t="n"/>
    </row>
    <row r="254">
      <c r="A254" s="19" t="n"/>
      <c r="B254" s="15" t="n"/>
      <c r="C254">
        <f>IF(B254="","",IFERROR(INDEX(Items!$B$5:$B$304,MATCH(B254,Items!$A$5:$A$304,0)),"Unknown code"))</f>
        <v/>
      </c>
      <c r="D254" s="15" t="n"/>
      <c r="E254" s="16" t="n"/>
      <c r="F254" s="18">
        <f>IF(OR(D254="",E254=""),"",D254*E254)</f>
        <v/>
      </c>
      <c r="G254" s="15" t="n"/>
    </row>
    <row r="255">
      <c r="A255" s="19" t="n"/>
      <c r="B255" s="15" t="n"/>
      <c r="C255">
        <f>IF(B255="","",IFERROR(INDEX(Items!$B$5:$B$304,MATCH(B255,Items!$A$5:$A$304,0)),"Unknown code"))</f>
        <v/>
      </c>
      <c r="D255" s="15" t="n"/>
      <c r="E255" s="16" t="n"/>
      <c r="F255" s="18">
        <f>IF(OR(D255="",E255=""),"",D255*E255)</f>
        <v/>
      </c>
      <c r="G255" s="15" t="n"/>
    </row>
    <row r="256">
      <c r="A256" s="19" t="n"/>
      <c r="B256" s="15" t="n"/>
      <c r="C256">
        <f>IF(B256="","",IFERROR(INDEX(Items!$B$5:$B$304,MATCH(B256,Items!$A$5:$A$304,0)),"Unknown code"))</f>
        <v/>
      </c>
      <c r="D256" s="15" t="n"/>
      <c r="E256" s="16" t="n"/>
      <c r="F256" s="18">
        <f>IF(OR(D256="",E256=""),"",D256*E256)</f>
        <v/>
      </c>
      <c r="G256" s="15" t="n"/>
    </row>
    <row r="257">
      <c r="A257" s="19" t="n"/>
      <c r="B257" s="15" t="n"/>
      <c r="C257">
        <f>IF(B257="","",IFERROR(INDEX(Items!$B$5:$B$304,MATCH(B257,Items!$A$5:$A$304,0)),"Unknown code"))</f>
        <v/>
      </c>
      <c r="D257" s="15" t="n"/>
      <c r="E257" s="16" t="n"/>
      <c r="F257" s="18">
        <f>IF(OR(D257="",E257=""),"",D257*E257)</f>
        <v/>
      </c>
      <c r="G257" s="15" t="n"/>
    </row>
    <row r="258">
      <c r="A258" s="19" t="n"/>
      <c r="B258" s="15" t="n"/>
      <c r="C258">
        <f>IF(B258="","",IFERROR(INDEX(Items!$B$5:$B$304,MATCH(B258,Items!$A$5:$A$304,0)),"Unknown code"))</f>
        <v/>
      </c>
      <c r="D258" s="15" t="n"/>
      <c r="E258" s="16" t="n"/>
      <c r="F258" s="18">
        <f>IF(OR(D258="",E258=""),"",D258*E258)</f>
        <v/>
      </c>
      <c r="G258" s="15" t="n"/>
    </row>
    <row r="259">
      <c r="A259" s="19" t="n"/>
      <c r="B259" s="15" t="n"/>
      <c r="C259">
        <f>IF(B259="","",IFERROR(INDEX(Items!$B$5:$B$304,MATCH(B259,Items!$A$5:$A$304,0)),"Unknown code"))</f>
        <v/>
      </c>
      <c r="D259" s="15" t="n"/>
      <c r="E259" s="16" t="n"/>
      <c r="F259" s="18">
        <f>IF(OR(D259="",E259=""),"",D259*E259)</f>
        <v/>
      </c>
      <c r="G259" s="15" t="n"/>
    </row>
    <row r="260">
      <c r="A260" s="19" t="n"/>
      <c r="B260" s="15" t="n"/>
      <c r="C260">
        <f>IF(B260="","",IFERROR(INDEX(Items!$B$5:$B$304,MATCH(B260,Items!$A$5:$A$304,0)),"Unknown code"))</f>
        <v/>
      </c>
      <c r="D260" s="15" t="n"/>
      <c r="E260" s="16" t="n"/>
      <c r="F260" s="18">
        <f>IF(OR(D260="",E260=""),"",D260*E260)</f>
        <v/>
      </c>
      <c r="G260" s="15" t="n"/>
    </row>
    <row r="261">
      <c r="A261" s="19" t="n"/>
      <c r="B261" s="15" t="n"/>
      <c r="C261">
        <f>IF(B261="","",IFERROR(INDEX(Items!$B$5:$B$304,MATCH(B261,Items!$A$5:$A$304,0)),"Unknown code"))</f>
        <v/>
      </c>
      <c r="D261" s="15" t="n"/>
      <c r="E261" s="16" t="n"/>
      <c r="F261" s="18">
        <f>IF(OR(D261="",E261=""),"",D261*E261)</f>
        <v/>
      </c>
      <c r="G261" s="15" t="n"/>
    </row>
    <row r="262">
      <c r="A262" s="19" t="n"/>
      <c r="B262" s="15" t="n"/>
      <c r="C262">
        <f>IF(B262="","",IFERROR(INDEX(Items!$B$5:$B$304,MATCH(B262,Items!$A$5:$A$304,0)),"Unknown code"))</f>
        <v/>
      </c>
      <c r="D262" s="15" t="n"/>
      <c r="E262" s="16" t="n"/>
      <c r="F262" s="18">
        <f>IF(OR(D262="",E262=""),"",D262*E262)</f>
        <v/>
      </c>
      <c r="G262" s="15" t="n"/>
    </row>
    <row r="263">
      <c r="A263" s="19" t="n"/>
      <c r="B263" s="15" t="n"/>
      <c r="C263">
        <f>IF(B263="","",IFERROR(INDEX(Items!$B$5:$B$304,MATCH(B263,Items!$A$5:$A$304,0)),"Unknown code"))</f>
        <v/>
      </c>
      <c r="D263" s="15" t="n"/>
      <c r="E263" s="16" t="n"/>
      <c r="F263" s="18">
        <f>IF(OR(D263="",E263=""),"",D263*E263)</f>
        <v/>
      </c>
      <c r="G263" s="15" t="n"/>
    </row>
    <row r="264">
      <c r="A264" s="19" t="n"/>
      <c r="B264" s="15" t="n"/>
      <c r="C264">
        <f>IF(B264="","",IFERROR(INDEX(Items!$B$5:$B$304,MATCH(B264,Items!$A$5:$A$304,0)),"Unknown code"))</f>
        <v/>
      </c>
      <c r="D264" s="15" t="n"/>
      <c r="E264" s="16" t="n"/>
      <c r="F264" s="18">
        <f>IF(OR(D264="",E264=""),"",D264*E264)</f>
        <v/>
      </c>
      <c r="G264" s="15" t="n"/>
    </row>
    <row r="265">
      <c r="A265" s="19" t="n"/>
      <c r="B265" s="15" t="n"/>
      <c r="C265">
        <f>IF(B265="","",IFERROR(INDEX(Items!$B$5:$B$304,MATCH(B265,Items!$A$5:$A$304,0)),"Unknown code"))</f>
        <v/>
      </c>
      <c r="D265" s="15" t="n"/>
      <c r="E265" s="16" t="n"/>
      <c r="F265" s="18">
        <f>IF(OR(D265="",E265=""),"",D265*E265)</f>
        <v/>
      </c>
      <c r="G265" s="15" t="n"/>
    </row>
    <row r="266">
      <c r="A266" s="19" t="n"/>
      <c r="B266" s="15" t="n"/>
      <c r="C266">
        <f>IF(B266="","",IFERROR(INDEX(Items!$B$5:$B$304,MATCH(B266,Items!$A$5:$A$304,0)),"Unknown code"))</f>
        <v/>
      </c>
      <c r="D266" s="15" t="n"/>
      <c r="E266" s="16" t="n"/>
      <c r="F266" s="18">
        <f>IF(OR(D266="",E266=""),"",D266*E266)</f>
        <v/>
      </c>
      <c r="G266" s="15" t="n"/>
    </row>
    <row r="267">
      <c r="A267" s="19" t="n"/>
      <c r="B267" s="15" t="n"/>
      <c r="C267">
        <f>IF(B267="","",IFERROR(INDEX(Items!$B$5:$B$304,MATCH(B267,Items!$A$5:$A$304,0)),"Unknown code"))</f>
        <v/>
      </c>
      <c r="D267" s="15" t="n"/>
      <c r="E267" s="16" t="n"/>
      <c r="F267" s="18">
        <f>IF(OR(D267="",E267=""),"",D267*E267)</f>
        <v/>
      </c>
      <c r="G267" s="15" t="n"/>
    </row>
    <row r="268">
      <c r="A268" s="19" t="n"/>
      <c r="B268" s="15" t="n"/>
      <c r="C268">
        <f>IF(B268="","",IFERROR(INDEX(Items!$B$5:$B$304,MATCH(B268,Items!$A$5:$A$304,0)),"Unknown code"))</f>
        <v/>
      </c>
      <c r="D268" s="15" t="n"/>
      <c r="E268" s="16" t="n"/>
      <c r="F268" s="18">
        <f>IF(OR(D268="",E268=""),"",D268*E268)</f>
        <v/>
      </c>
      <c r="G268" s="15" t="n"/>
    </row>
    <row r="269">
      <c r="A269" s="19" t="n"/>
      <c r="B269" s="15" t="n"/>
      <c r="C269">
        <f>IF(B269="","",IFERROR(INDEX(Items!$B$5:$B$304,MATCH(B269,Items!$A$5:$A$304,0)),"Unknown code"))</f>
        <v/>
      </c>
      <c r="D269" s="15" t="n"/>
      <c r="E269" s="16" t="n"/>
      <c r="F269" s="18">
        <f>IF(OR(D269="",E269=""),"",D269*E269)</f>
        <v/>
      </c>
      <c r="G269" s="15" t="n"/>
    </row>
    <row r="270">
      <c r="A270" s="19" t="n"/>
      <c r="B270" s="15" t="n"/>
      <c r="C270">
        <f>IF(B270="","",IFERROR(INDEX(Items!$B$5:$B$304,MATCH(B270,Items!$A$5:$A$304,0)),"Unknown code"))</f>
        <v/>
      </c>
      <c r="D270" s="15" t="n"/>
      <c r="E270" s="16" t="n"/>
      <c r="F270" s="18">
        <f>IF(OR(D270="",E270=""),"",D270*E270)</f>
        <v/>
      </c>
      <c r="G270" s="15" t="n"/>
    </row>
    <row r="271">
      <c r="A271" s="19" t="n"/>
      <c r="B271" s="15" t="n"/>
      <c r="C271">
        <f>IF(B271="","",IFERROR(INDEX(Items!$B$5:$B$304,MATCH(B271,Items!$A$5:$A$304,0)),"Unknown code"))</f>
        <v/>
      </c>
      <c r="D271" s="15" t="n"/>
      <c r="E271" s="16" t="n"/>
      <c r="F271" s="18">
        <f>IF(OR(D271="",E271=""),"",D271*E271)</f>
        <v/>
      </c>
      <c r="G271" s="15" t="n"/>
    </row>
    <row r="272">
      <c r="A272" s="19" t="n"/>
      <c r="B272" s="15" t="n"/>
      <c r="C272">
        <f>IF(B272="","",IFERROR(INDEX(Items!$B$5:$B$304,MATCH(B272,Items!$A$5:$A$304,0)),"Unknown code"))</f>
        <v/>
      </c>
      <c r="D272" s="15" t="n"/>
      <c r="E272" s="16" t="n"/>
      <c r="F272" s="18">
        <f>IF(OR(D272="",E272=""),"",D272*E272)</f>
        <v/>
      </c>
      <c r="G272" s="15" t="n"/>
    </row>
    <row r="273">
      <c r="A273" s="19" t="n"/>
      <c r="B273" s="15" t="n"/>
      <c r="C273">
        <f>IF(B273="","",IFERROR(INDEX(Items!$B$5:$B$304,MATCH(B273,Items!$A$5:$A$304,0)),"Unknown code"))</f>
        <v/>
      </c>
      <c r="D273" s="15" t="n"/>
      <c r="E273" s="16" t="n"/>
      <c r="F273" s="18">
        <f>IF(OR(D273="",E273=""),"",D273*E273)</f>
        <v/>
      </c>
      <c r="G273" s="15" t="n"/>
    </row>
    <row r="274">
      <c r="A274" s="19" t="n"/>
      <c r="B274" s="15" t="n"/>
      <c r="C274">
        <f>IF(B274="","",IFERROR(INDEX(Items!$B$5:$B$304,MATCH(B274,Items!$A$5:$A$304,0)),"Unknown code"))</f>
        <v/>
      </c>
      <c r="D274" s="15" t="n"/>
      <c r="E274" s="16" t="n"/>
      <c r="F274" s="18">
        <f>IF(OR(D274="",E274=""),"",D274*E274)</f>
        <v/>
      </c>
      <c r="G274" s="15" t="n"/>
    </row>
    <row r="275">
      <c r="A275" s="19" t="n"/>
      <c r="B275" s="15" t="n"/>
      <c r="C275">
        <f>IF(B275="","",IFERROR(INDEX(Items!$B$5:$B$304,MATCH(B275,Items!$A$5:$A$304,0)),"Unknown code"))</f>
        <v/>
      </c>
      <c r="D275" s="15" t="n"/>
      <c r="E275" s="16" t="n"/>
      <c r="F275" s="18">
        <f>IF(OR(D275="",E275=""),"",D275*E275)</f>
        <v/>
      </c>
      <c r="G275" s="15" t="n"/>
    </row>
    <row r="276">
      <c r="A276" s="19" t="n"/>
      <c r="B276" s="15" t="n"/>
      <c r="C276">
        <f>IF(B276="","",IFERROR(INDEX(Items!$B$5:$B$304,MATCH(B276,Items!$A$5:$A$304,0)),"Unknown code"))</f>
        <v/>
      </c>
      <c r="D276" s="15" t="n"/>
      <c r="E276" s="16" t="n"/>
      <c r="F276" s="18">
        <f>IF(OR(D276="",E276=""),"",D276*E276)</f>
        <v/>
      </c>
      <c r="G276" s="15" t="n"/>
    </row>
    <row r="277">
      <c r="A277" s="19" t="n"/>
      <c r="B277" s="15" t="n"/>
      <c r="C277">
        <f>IF(B277="","",IFERROR(INDEX(Items!$B$5:$B$304,MATCH(B277,Items!$A$5:$A$304,0)),"Unknown code"))</f>
        <v/>
      </c>
      <c r="D277" s="15" t="n"/>
      <c r="E277" s="16" t="n"/>
      <c r="F277" s="18">
        <f>IF(OR(D277="",E277=""),"",D277*E277)</f>
        <v/>
      </c>
      <c r="G277" s="15" t="n"/>
    </row>
    <row r="278">
      <c r="A278" s="19" t="n"/>
      <c r="B278" s="15" t="n"/>
      <c r="C278">
        <f>IF(B278="","",IFERROR(INDEX(Items!$B$5:$B$304,MATCH(B278,Items!$A$5:$A$304,0)),"Unknown code"))</f>
        <v/>
      </c>
      <c r="D278" s="15" t="n"/>
      <c r="E278" s="16" t="n"/>
      <c r="F278" s="18">
        <f>IF(OR(D278="",E278=""),"",D278*E278)</f>
        <v/>
      </c>
      <c r="G278" s="15" t="n"/>
    </row>
    <row r="279">
      <c r="A279" s="19" t="n"/>
      <c r="B279" s="15" t="n"/>
      <c r="C279">
        <f>IF(B279="","",IFERROR(INDEX(Items!$B$5:$B$304,MATCH(B279,Items!$A$5:$A$304,0)),"Unknown code"))</f>
        <v/>
      </c>
      <c r="D279" s="15" t="n"/>
      <c r="E279" s="16" t="n"/>
      <c r="F279" s="18">
        <f>IF(OR(D279="",E279=""),"",D279*E279)</f>
        <v/>
      </c>
      <c r="G279" s="15" t="n"/>
    </row>
    <row r="280">
      <c r="A280" s="19" t="n"/>
      <c r="B280" s="15" t="n"/>
      <c r="C280">
        <f>IF(B280="","",IFERROR(INDEX(Items!$B$5:$B$304,MATCH(B280,Items!$A$5:$A$304,0)),"Unknown code"))</f>
        <v/>
      </c>
      <c r="D280" s="15" t="n"/>
      <c r="E280" s="16" t="n"/>
      <c r="F280" s="18">
        <f>IF(OR(D280="",E280=""),"",D280*E280)</f>
        <v/>
      </c>
      <c r="G280" s="15" t="n"/>
    </row>
    <row r="281">
      <c r="A281" s="19" t="n"/>
      <c r="B281" s="15" t="n"/>
      <c r="C281">
        <f>IF(B281="","",IFERROR(INDEX(Items!$B$5:$B$304,MATCH(B281,Items!$A$5:$A$304,0)),"Unknown code"))</f>
        <v/>
      </c>
      <c r="D281" s="15" t="n"/>
      <c r="E281" s="16" t="n"/>
      <c r="F281" s="18">
        <f>IF(OR(D281="",E281=""),"",D281*E281)</f>
        <v/>
      </c>
      <c r="G281" s="15" t="n"/>
    </row>
    <row r="282">
      <c r="A282" s="19" t="n"/>
      <c r="B282" s="15" t="n"/>
      <c r="C282">
        <f>IF(B282="","",IFERROR(INDEX(Items!$B$5:$B$304,MATCH(B282,Items!$A$5:$A$304,0)),"Unknown code"))</f>
        <v/>
      </c>
      <c r="D282" s="15" t="n"/>
      <c r="E282" s="16" t="n"/>
      <c r="F282" s="18">
        <f>IF(OR(D282="",E282=""),"",D282*E282)</f>
        <v/>
      </c>
      <c r="G282" s="15" t="n"/>
    </row>
    <row r="283">
      <c r="A283" s="19" t="n"/>
      <c r="B283" s="15" t="n"/>
      <c r="C283">
        <f>IF(B283="","",IFERROR(INDEX(Items!$B$5:$B$304,MATCH(B283,Items!$A$5:$A$304,0)),"Unknown code"))</f>
        <v/>
      </c>
      <c r="D283" s="15" t="n"/>
      <c r="E283" s="16" t="n"/>
      <c r="F283" s="18">
        <f>IF(OR(D283="",E283=""),"",D283*E283)</f>
        <v/>
      </c>
      <c r="G283" s="15" t="n"/>
    </row>
    <row r="284">
      <c r="A284" s="19" t="n"/>
      <c r="B284" s="15" t="n"/>
      <c r="C284">
        <f>IF(B284="","",IFERROR(INDEX(Items!$B$5:$B$304,MATCH(B284,Items!$A$5:$A$304,0)),"Unknown code"))</f>
        <v/>
      </c>
      <c r="D284" s="15" t="n"/>
      <c r="E284" s="16" t="n"/>
      <c r="F284" s="18">
        <f>IF(OR(D284="",E284=""),"",D284*E284)</f>
        <v/>
      </c>
      <c r="G284" s="15" t="n"/>
    </row>
    <row r="285">
      <c r="A285" s="19" t="n"/>
      <c r="B285" s="15" t="n"/>
      <c r="C285">
        <f>IF(B285="","",IFERROR(INDEX(Items!$B$5:$B$304,MATCH(B285,Items!$A$5:$A$304,0)),"Unknown code"))</f>
        <v/>
      </c>
      <c r="D285" s="15" t="n"/>
      <c r="E285" s="16" t="n"/>
      <c r="F285" s="18">
        <f>IF(OR(D285="",E285=""),"",D285*E285)</f>
        <v/>
      </c>
      <c r="G285" s="15" t="n"/>
    </row>
    <row r="286">
      <c r="A286" s="19" t="n"/>
      <c r="B286" s="15" t="n"/>
      <c r="C286">
        <f>IF(B286="","",IFERROR(INDEX(Items!$B$5:$B$304,MATCH(B286,Items!$A$5:$A$304,0)),"Unknown code"))</f>
        <v/>
      </c>
      <c r="D286" s="15" t="n"/>
      <c r="E286" s="16" t="n"/>
      <c r="F286" s="18">
        <f>IF(OR(D286="",E286=""),"",D286*E286)</f>
        <v/>
      </c>
      <c r="G286" s="15" t="n"/>
    </row>
    <row r="287">
      <c r="A287" s="19" t="n"/>
      <c r="B287" s="15" t="n"/>
      <c r="C287">
        <f>IF(B287="","",IFERROR(INDEX(Items!$B$5:$B$304,MATCH(B287,Items!$A$5:$A$304,0)),"Unknown code"))</f>
        <v/>
      </c>
      <c r="D287" s="15" t="n"/>
      <c r="E287" s="16" t="n"/>
      <c r="F287" s="18">
        <f>IF(OR(D287="",E287=""),"",D287*E287)</f>
        <v/>
      </c>
      <c r="G287" s="15" t="n"/>
    </row>
    <row r="288">
      <c r="A288" s="19" t="n"/>
      <c r="B288" s="15" t="n"/>
      <c r="C288">
        <f>IF(B288="","",IFERROR(INDEX(Items!$B$5:$B$304,MATCH(B288,Items!$A$5:$A$304,0)),"Unknown code"))</f>
        <v/>
      </c>
      <c r="D288" s="15" t="n"/>
      <c r="E288" s="16" t="n"/>
      <c r="F288" s="18">
        <f>IF(OR(D288="",E288=""),"",D288*E288)</f>
        <v/>
      </c>
      <c r="G288" s="15" t="n"/>
    </row>
    <row r="289">
      <c r="A289" s="19" t="n"/>
      <c r="B289" s="15" t="n"/>
      <c r="C289">
        <f>IF(B289="","",IFERROR(INDEX(Items!$B$5:$B$304,MATCH(B289,Items!$A$5:$A$304,0)),"Unknown code"))</f>
        <v/>
      </c>
      <c r="D289" s="15" t="n"/>
      <c r="E289" s="16" t="n"/>
      <c r="F289" s="18">
        <f>IF(OR(D289="",E289=""),"",D289*E289)</f>
        <v/>
      </c>
      <c r="G289" s="15" t="n"/>
    </row>
    <row r="290">
      <c r="A290" s="19" t="n"/>
      <c r="B290" s="15" t="n"/>
      <c r="C290">
        <f>IF(B290="","",IFERROR(INDEX(Items!$B$5:$B$304,MATCH(B290,Items!$A$5:$A$304,0)),"Unknown code"))</f>
        <v/>
      </c>
      <c r="D290" s="15" t="n"/>
      <c r="E290" s="16" t="n"/>
      <c r="F290" s="18">
        <f>IF(OR(D290="",E290=""),"",D290*E290)</f>
        <v/>
      </c>
      <c r="G290" s="15" t="n"/>
    </row>
    <row r="291">
      <c r="A291" s="19" t="n"/>
      <c r="B291" s="15" t="n"/>
      <c r="C291">
        <f>IF(B291="","",IFERROR(INDEX(Items!$B$5:$B$304,MATCH(B291,Items!$A$5:$A$304,0)),"Unknown code"))</f>
        <v/>
      </c>
      <c r="D291" s="15" t="n"/>
      <c r="E291" s="16" t="n"/>
      <c r="F291" s="18">
        <f>IF(OR(D291="",E291=""),"",D291*E291)</f>
        <v/>
      </c>
      <c r="G291" s="15" t="n"/>
    </row>
    <row r="292">
      <c r="A292" s="19" t="n"/>
      <c r="B292" s="15" t="n"/>
      <c r="C292">
        <f>IF(B292="","",IFERROR(INDEX(Items!$B$5:$B$304,MATCH(B292,Items!$A$5:$A$304,0)),"Unknown code"))</f>
        <v/>
      </c>
      <c r="D292" s="15" t="n"/>
      <c r="E292" s="16" t="n"/>
      <c r="F292" s="18">
        <f>IF(OR(D292="",E292=""),"",D292*E292)</f>
        <v/>
      </c>
      <c r="G292" s="15" t="n"/>
    </row>
    <row r="293">
      <c r="A293" s="19" t="n"/>
      <c r="B293" s="15" t="n"/>
      <c r="C293">
        <f>IF(B293="","",IFERROR(INDEX(Items!$B$5:$B$304,MATCH(B293,Items!$A$5:$A$304,0)),"Unknown code"))</f>
        <v/>
      </c>
      <c r="D293" s="15" t="n"/>
      <c r="E293" s="16" t="n"/>
      <c r="F293" s="18">
        <f>IF(OR(D293="",E293=""),"",D293*E293)</f>
        <v/>
      </c>
      <c r="G293" s="15" t="n"/>
    </row>
    <row r="294">
      <c r="A294" s="19" t="n"/>
      <c r="B294" s="15" t="n"/>
      <c r="C294">
        <f>IF(B294="","",IFERROR(INDEX(Items!$B$5:$B$304,MATCH(B294,Items!$A$5:$A$304,0)),"Unknown code"))</f>
        <v/>
      </c>
      <c r="D294" s="15" t="n"/>
      <c r="E294" s="16" t="n"/>
      <c r="F294" s="18">
        <f>IF(OR(D294="",E294=""),"",D294*E294)</f>
        <v/>
      </c>
      <c r="G294" s="15" t="n"/>
    </row>
    <row r="295">
      <c r="A295" s="19" t="n"/>
      <c r="B295" s="15" t="n"/>
      <c r="C295">
        <f>IF(B295="","",IFERROR(INDEX(Items!$B$5:$B$304,MATCH(B295,Items!$A$5:$A$304,0)),"Unknown code"))</f>
        <v/>
      </c>
      <c r="D295" s="15" t="n"/>
      <c r="E295" s="16" t="n"/>
      <c r="F295" s="18">
        <f>IF(OR(D295="",E295=""),"",D295*E295)</f>
        <v/>
      </c>
      <c r="G295" s="15" t="n"/>
    </row>
    <row r="296">
      <c r="A296" s="19" t="n"/>
      <c r="B296" s="15" t="n"/>
      <c r="C296">
        <f>IF(B296="","",IFERROR(INDEX(Items!$B$5:$B$304,MATCH(B296,Items!$A$5:$A$304,0)),"Unknown code"))</f>
        <v/>
      </c>
      <c r="D296" s="15" t="n"/>
      <c r="E296" s="16" t="n"/>
      <c r="F296" s="18">
        <f>IF(OR(D296="",E296=""),"",D296*E296)</f>
        <v/>
      </c>
      <c r="G296" s="15" t="n"/>
    </row>
    <row r="297">
      <c r="A297" s="19" t="n"/>
      <c r="B297" s="15" t="n"/>
      <c r="C297">
        <f>IF(B297="","",IFERROR(INDEX(Items!$B$5:$B$304,MATCH(B297,Items!$A$5:$A$304,0)),"Unknown code"))</f>
        <v/>
      </c>
      <c r="D297" s="15" t="n"/>
      <c r="E297" s="16" t="n"/>
      <c r="F297" s="18">
        <f>IF(OR(D297="",E297=""),"",D297*E297)</f>
        <v/>
      </c>
      <c r="G297" s="15" t="n"/>
    </row>
    <row r="298">
      <c r="A298" s="19" t="n"/>
      <c r="B298" s="15" t="n"/>
      <c r="C298">
        <f>IF(B298="","",IFERROR(INDEX(Items!$B$5:$B$304,MATCH(B298,Items!$A$5:$A$304,0)),"Unknown code"))</f>
        <v/>
      </c>
      <c r="D298" s="15" t="n"/>
      <c r="E298" s="16" t="n"/>
      <c r="F298" s="18">
        <f>IF(OR(D298="",E298=""),"",D298*E298)</f>
        <v/>
      </c>
      <c r="G298" s="15" t="n"/>
    </row>
    <row r="299">
      <c r="A299" s="19" t="n"/>
      <c r="B299" s="15" t="n"/>
      <c r="C299">
        <f>IF(B299="","",IFERROR(INDEX(Items!$B$5:$B$304,MATCH(B299,Items!$A$5:$A$304,0)),"Unknown code"))</f>
        <v/>
      </c>
      <c r="D299" s="15" t="n"/>
      <c r="E299" s="16" t="n"/>
      <c r="F299" s="18">
        <f>IF(OR(D299="",E299=""),"",D299*E299)</f>
        <v/>
      </c>
      <c r="G299" s="15" t="n"/>
    </row>
    <row r="300">
      <c r="A300" s="19" t="n"/>
      <c r="B300" s="15" t="n"/>
      <c r="C300">
        <f>IF(B300="","",IFERROR(INDEX(Items!$B$5:$B$304,MATCH(B300,Items!$A$5:$A$304,0)),"Unknown code"))</f>
        <v/>
      </c>
      <c r="D300" s="15" t="n"/>
      <c r="E300" s="16" t="n"/>
      <c r="F300" s="18">
        <f>IF(OR(D300="",E300=""),"",D300*E300)</f>
        <v/>
      </c>
      <c r="G300" s="15" t="n"/>
    </row>
    <row r="301">
      <c r="A301" s="19" t="n"/>
      <c r="B301" s="15" t="n"/>
      <c r="C301">
        <f>IF(B301="","",IFERROR(INDEX(Items!$B$5:$B$304,MATCH(B301,Items!$A$5:$A$304,0)),"Unknown code"))</f>
        <v/>
      </c>
      <c r="D301" s="15" t="n"/>
      <c r="E301" s="16" t="n"/>
      <c r="F301" s="18">
        <f>IF(OR(D301="",E301=""),"",D301*E301)</f>
        <v/>
      </c>
      <c r="G301" s="15" t="n"/>
    </row>
    <row r="302">
      <c r="A302" s="19" t="n"/>
      <c r="B302" s="15" t="n"/>
      <c r="C302">
        <f>IF(B302="","",IFERROR(INDEX(Items!$B$5:$B$304,MATCH(B302,Items!$A$5:$A$304,0)),"Unknown code"))</f>
        <v/>
      </c>
      <c r="D302" s="15" t="n"/>
      <c r="E302" s="16" t="n"/>
      <c r="F302" s="18">
        <f>IF(OR(D302="",E302=""),"",D302*E302)</f>
        <v/>
      </c>
      <c r="G302" s="15" t="n"/>
    </row>
    <row r="303">
      <c r="A303" s="19" t="n"/>
      <c r="B303" s="15" t="n"/>
      <c r="C303">
        <f>IF(B303="","",IFERROR(INDEX(Items!$B$5:$B$304,MATCH(B303,Items!$A$5:$A$304,0)),"Unknown code"))</f>
        <v/>
      </c>
      <c r="D303" s="15" t="n"/>
      <c r="E303" s="16" t="n"/>
      <c r="F303" s="18">
        <f>IF(OR(D303="",E303=""),"",D303*E303)</f>
        <v/>
      </c>
      <c r="G303" s="15" t="n"/>
    </row>
    <row r="304">
      <c r="A304" s="19" t="n"/>
      <c r="B304" s="15" t="n"/>
      <c r="C304">
        <f>IF(B304="","",IFERROR(INDEX(Items!$B$5:$B$304,MATCH(B304,Items!$A$5:$A$304,0)),"Unknown code"))</f>
        <v/>
      </c>
      <c r="D304" s="15" t="n"/>
      <c r="E304" s="16" t="n"/>
      <c r="F304" s="18">
        <f>IF(OR(D304="",E304=""),"",D304*E304)</f>
        <v/>
      </c>
      <c r="G304" s="15" t="n"/>
    </row>
    <row r="305">
      <c r="A305" s="19" t="n"/>
      <c r="B305" s="15" t="n"/>
      <c r="C305">
        <f>IF(B305="","",IFERROR(INDEX(Items!$B$5:$B$304,MATCH(B305,Items!$A$5:$A$304,0)),"Unknown code"))</f>
        <v/>
      </c>
      <c r="D305" s="15" t="n"/>
      <c r="E305" s="16" t="n"/>
      <c r="F305" s="18">
        <f>IF(OR(D305="",E305=""),"",D305*E305)</f>
        <v/>
      </c>
      <c r="G305" s="15" t="n"/>
    </row>
    <row r="306">
      <c r="A306" s="19" t="n"/>
      <c r="B306" s="15" t="n"/>
      <c r="C306">
        <f>IF(B306="","",IFERROR(INDEX(Items!$B$5:$B$304,MATCH(B306,Items!$A$5:$A$304,0)),"Unknown code"))</f>
        <v/>
      </c>
      <c r="D306" s="15" t="n"/>
      <c r="E306" s="16" t="n"/>
      <c r="F306" s="18">
        <f>IF(OR(D306="",E306=""),"",D306*E306)</f>
        <v/>
      </c>
      <c r="G306" s="15" t="n"/>
    </row>
    <row r="307">
      <c r="A307" s="19" t="n"/>
      <c r="B307" s="15" t="n"/>
      <c r="C307">
        <f>IF(B307="","",IFERROR(INDEX(Items!$B$5:$B$304,MATCH(B307,Items!$A$5:$A$304,0)),"Unknown code"))</f>
        <v/>
      </c>
      <c r="D307" s="15" t="n"/>
      <c r="E307" s="16" t="n"/>
      <c r="F307" s="18">
        <f>IF(OR(D307="",E307=""),"",D307*E307)</f>
        <v/>
      </c>
      <c r="G307" s="15" t="n"/>
    </row>
    <row r="308">
      <c r="A308" s="19" t="n"/>
      <c r="B308" s="15" t="n"/>
      <c r="C308">
        <f>IF(B308="","",IFERROR(INDEX(Items!$B$5:$B$304,MATCH(B308,Items!$A$5:$A$304,0)),"Unknown code"))</f>
        <v/>
      </c>
      <c r="D308" s="15" t="n"/>
      <c r="E308" s="16" t="n"/>
      <c r="F308" s="18">
        <f>IF(OR(D308="",E308=""),"",D308*E308)</f>
        <v/>
      </c>
      <c r="G308" s="15" t="n"/>
    </row>
    <row r="309">
      <c r="A309" s="19" t="n"/>
      <c r="B309" s="15" t="n"/>
      <c r="C309">
        <f>IF(B309="","",IFERROR(INDEX(Items!$B$5:$B$304,MATCH(B309,Items!$A$5:$A$304,0)),"Unknown code"))</f>
        <v/>
      </c>
      <c r="D309" s="15" t="n"/>
      <c r="E309" s="16" t="n"/>
      <c r="F309" s="18">
        <f>IF(OR(D309="",E309=""),"",D309*E309)</f>
        <v/>
      </c>
      <c r="G309" s="15" t="n"/>
    </row>
    <row r="310">
      <c r="A310" s="19" t="n"/>
      <c r="B310" s="15" t="n"/>
      <c r="C310">
        <f>IF(B310="","",IFERROR(INDEX(Items!$B$5:$B$304,MATCH(B310,Items!$A$5:$A$304,0)),"Unknown code"))</f>
        <v/>
      </c>
      <c r="D310" s="15" t="n"/>
      <c r="E310" s="16" t="n"/>
      <c r="F310" s="18">
        <f>IF(OR(D310="",E310=""),"",D310*E310)</f>
        <v/>
      </c>
      <c r="G310" s="15" t="n"/>
    </row>
    <row r="311">
      <c r="A311" s="19" t="n"/>
      <c r="B311" s="15" t="n"/>
      <c r="C311">
        <f>IF(B311="","",IFERROR(INDEX(Items!$B$5:$B$304,MATCH(B311,Items!$A$5:$A$304,0)),"Unknown code"))</f>
        <v/>
      </c>
      <c r="D311" s="15" t="n"/>
      <c r="E311" s="16" t="n"/>
      <c r="F311" s="18">
        <f>IF(OR(D311="",E311=""),"",D311*E311)</f>
        <v/>
      </c>
      <c r="G311" s="15" t="n"/>
    </row>
    <row r="312">
      <c r="A312" s="19" t="n"/>
      <c r="B312" s="15" t="n"/>
      <c r="C312">
        <f>IF(B312="","",IFERROR(INDEX(Items!$B$5:$B$304,MATCH(B312,Items!$A$5:$A$304,0)),"Unknown code"))</f>
        <v/>
      </c>
      <c r="D312" s="15" t="n"/>
      <c r="E312" s="16" t="n"/>
      <c r="F312" s="18">
        <f>IF(OR(D312="",E312=""),"",D312*E312)</f>
        <v/>
      </c>
      <c r="G312" s="15" t="n"/>
    </row>
    <row r="313">
      <c r="A313" s="19" t="n"/>
      <c r="B313" s="15" t="n"/>
      <c r="C313">
        <f>IF(B313="","",IFERROR(INDEX(Items!$B$5:$B$304,MATCH(B313,Items!$A$5:$A$304,0)),"Unknown code"))</f>
        <v/>
      </c>
      <c r="D313" s="15" t="n"/>
      <c r="E313" s="16" t="n"/>
      <c r="F313" s="18">
        <f>IF(OR(D313="",E313=""),"",D313*E313)</f>
        <v/>
      </c>
      <c r="G313" s="15" t="n"/>
    </row>
    <row r="314">
      <c r="A314" s="19" t="n"/>
      <c r="B314" s="15" t="n"/>
      <c r="C314">
        <f>IF(B314="","",IFERROR(INDEX(Items!$B$5:$B$304,MATCH(B314,Items!$A$5:$A$304,0)),"Unknown code"))</f>
        <v/>
      </c>
      <c r="D314" s="15" t="n"/>
      <c r="E314" s="16" t="n"/>
      <c r="F314" s="18">
        <f>IF(OR(D314="",E314=""),"",D314*E314)</f>
        <v/>
      </c>
      <c r="G314" s="15" t="n"/>
    </row>
    <row r="315">
      <c r="A315" s="19" t="n"/>
      <c r="B315" s="15" t="n"/>
      <c r="C315">
        <f>IF(B315="","",IFERROR(INDEX(Items!$B$5:$B$304,MATCH(B315,Items!$A$5:$A$304,0)),"Unknown code"))</f>
        <v/>
      </c>
      <c r="D315" s="15" t="n"/>
      <c r="E315" s="16" t="n"/>
      <c r="F315" s="18">
        <f>IF(OR(D315="",E315=""),"",D315*E315)</f>
        <v/>
      </c>
      <c r="G315" s="15" t="n"/>
    </row>
    <row r="316">
      <c r="A316" s="19" t="n"/>
      <c r="B316" s="15" t="n"/>
      <c r="C316">
        <f>IF(B316="","",IFERROR(INDEX(Items!$B$5:$B$304,MATCH(B316,Items!$A$5:$A$304,0)),"Unknown code"))</f>
        <v/>
      </c>
      <c r="D316" s="15" t="n"/>
      <c r="E316" s="16" t="n"/>
      <c r="F316" s="18">
        <f>IF(OR(D316="",E316=""),"",D316*E316)</f>
        <v/>
      </c>
      <c r="G316" s="15" t="n"/>
    </row>
    <row r="317">
      <c r="A317" s="19" t="n"/>
      <c r="B317" s="15" t="n"/>
      <c r="C317">
        <f>IF(B317="","",IFERROR(INDEX(Items!$B$5:$B$304,MATCH(B317,Items!$A$5:$A$304,0)),"Unknown code"))</f>
        <v/>
      </c>
      <c r="D317" s="15" t="n"/>
      <c r="E317" s="16" t="n"/>
      <c r="F317" s="18">
        <f>IF(OR(D317="",E317=""),"",D317*E317)</f>
        <v/>
      </c>
      <c r="G317" s="15" t="n"/>
    </row>
    <row r="318">
      <c r="A318" s="19" t="n"/>
      <c r="B318" s="15" t="n"/>
      <c r="C318">
        <f>IF(B318="","",IFERROR(INDEX(Items!$B$5:$B$304,MATCH(B318,Items!$A$5:$A$304,0)),"Unknown code"))</f>
        <v/>
      </c>
      <c r="D318" s="15" t="n"/>
      <c r="E318" s="16" t="n"/>
      <c r="F318" s="18">
        <f>IF(OR(D318="",E318=""),"",D318*E318)</f>
        <v/>
      </c>
      <c r="G318" s="15" t="n"/>
    </row>
    <row r="319">
      <c r="A319" s="19" t="n"/>
      <c r="B319" s="15" t="n"/>
      <c r="C319">
        <f>IF(B319="","",IFERROR(INDEX(Items!$B$5:$B$304,MATCH(B319,Items!$A$5:$A$304,0)),"Unknown code"))</f>
        <v/>
      </c>
      <c r="D319" s="15" t="n"/>
      <c r="E319" s="16" t="n"/>
      <c r="F319" s="18">
        <f>IF(OR(D319="",E319=""),"",D319*E319)</f>
        <v/>
      </c>
      <c r="G319" s="15" t="n"/>
    </row>
    <row r="320">
      <c r="A320" s="19" t="n"/>
      <c r="B320" s="15" t="n"/>
      <c r="C320">
        <f>IF(B320="","",IFERROR(INDEX(Items!$B$5:$B$304,MATCH(B320,Items!$A$5:$A$304,0)),"Unknown code"))</f>
        <v/>
      </c>
      <c r="D320" s="15" t="n"/>
      <c r="E320" s="16" t="n"/>
      <c r="F320" s="18">
        <f>IF(OR(D320="",E320=""),"",D320*E320)</f>
        <v/>
      </c>
      <c r="G320" s="15" t="n"/>
    </row>
    <row r="321">
      <c r="A321" s="19" t="n"/>
      <c r="B321" s="15" t="n"/>
      <c r="C321">
        <f>IF(B321="","",IFERROR(INDEX(Items!$B$5:$B$304,MATCH(B321,Items!$A$5:$A$304,0)),"Unknown code"))</f>
        <v/>
      </c>
      <c r="D321" s="15" t="n"/>
      <c r="E321" s="16" t="n"/>
      <c r="F321" s="18">
        <f>IF(OR(D321="",E321=""),"",D321*E321)</f>
        <v/>
      </c>
      <c r="G321" s="15" t="n"/>
    </row>
    <row r="322">
      <c r="A322" s="19" t="n"/>
      <c r="B322" s="15" t="n"/>
      <c r="C322">
        <f>IF(B322="","",IFERROR(INDEX(Items!$B$5:$B$304,MATCH(B322,Items!$A$5:$A$304,0)),"Unknown code"))</f>
        <v/>
      </c>
      <c r="D322" s="15" t="n"/>
      <c r="E322" s="16" t="n"/>
      <c r="F322" s="18">
        <f>IF(OR(D322="",E322=""),"",D322*E322)</f>
        <v/>
      </c>
      <c r="G322" s="15" t="n"/>
    </row>
    <row r="323">
      <c r="A323" s="19" t="n"/>
      <c r="B323" s="15" t="n"/>
      <c r="C323">
        <f>IF(B323="","",IFERROR(INDEX(Items!$B$5:$B$304,MATCH(B323,Items!$A$5:$A$304,0)),"Unknown code"))</f>
        <v/>
      </c>
      <c r="D323" s="15" t="n"/>
      <c r="E323" s="16" t="n"/>
      <c r="F323" s="18">
        <f>IF(OR(D323="",E323=""),"",D323*E323)</f>
        <v/>
      </c>
      <c r="G323" s="15" t="n"/>
    </row>
    <row r="324">
      <c r="A324" s="19" t="n"/>
      <c r="B324" s="15" t="n"/>
      <c r="C324">
        <f>IF(B324="","",IFERROR(INDEX(Items!$B$5:$B$304,MATCH(B324,Items!$A$5:$A$304,0)),"Unknown code"))</f>
        <v/>
      </c>
      <c r="D324" s="15" t="n"/>
      <c r="E324" s="16" t="n"/>
      <c r="F324" s="18">
        <f>IF(OR(D324="",E324=""),"",D324*E324)</f>
        <v/>
      </c>
      <c r="G324" s="15" t="n"/>
    </row>
    <row r="325">
      <c r="A325" s="19" t="n"/>
      <c r="B325" s="15" t="n"/>
      <c r="C325">
        <f>IF(B325="","",IFERROR(INDEX(Items!$B$5:$B$304,MATCH(B325,Items!$A$5:$A$304,0)),"Unknown code"))</f>
        <v/>
      </c>
      <c r="D325" s="15" t="n"/>
      <c r="E325" s="16" t="n"/>
      <c r="F325" s="18">
        <f>IF(OR(D325="",E325=""),"",D325*E325)</f>
        <v/>
      </c>
      <c r="G325" s="15" t="n"/>
    </row>
    <row r="326">
      <c r="A326" s="19" t="n"/>
      <c r="B326" s="15" t="n"/>
      <c r="C326">
        <f>IF(B326="","",IFERROR(INDEX(Items!$B$5:$B$304,MATCH(B326,Items!$A$5:$A$304,0)),"Unknown code"))</f>
        <v/>
      </c>
      <c r="D326" s="15" t="n"/>
      <c r="E326" s="16" t="n"/>
      <c r="F326" s="18">
        <f>IF(OR(D326="",E326=""),"",D326*E326)</f>
        <v/>
      </c>
      <c r="G326" s="15" t="n"/>
    </row>
    <row r="327">
      <c r="A327" s="19" t="n"/>
      <c r="B327" s="15" t="n"/>
      <c r="C327">
        <f>IF(B327="","",IFERROR(INDEX(Items!$B$5:$B$304,MATCH(B327,Items!$A$5:$A$304,0)),"Unknown code"))</f>
        <v/>
      </c>
      <c r="D327" s="15" t="n"/>
      <c r="E327" s="16" t="n"/>
      <c r="F327" s="18">
        <f>IF(OR(D327="",E327=""),"",D327*E327)</f>
        <v/>
      </c>
      <c r="G327" s="15" t="n"/>
    </row>
    <row r="328">
      <c r="A328" s="19" t="n"/>
      <c r="B328" s="15" t="n"/>
      <c r="C328">
        <f>IF(B328="","",IFERROR(INDEX(Items!$B$5:$B$304,MATCH(B328,Items!$A$5:$A$304,0)),"Unknown code"))</f>
        <v/>
      </c>
      <c r="D328" s="15" t="n"/>
      <c r="E328" s="16" t="n"/>
      <c r="F328" s="18">
        <f>IF(OR(D328="",E328=""),"",D328*E328)</f>
        <v/>
      </c>
      <c r="G328" s="15" t="n"/>
    </row>
    <row r="329">
      <c r="A329" s="19" t="n"/>
      <c r="B329" s="15" t="n"/>
      <c r="C329">
        <f>IF(B329="","",IFERROR(INDEX(Items!$B$5:$B$304,MATCH(B329,Items!$A$5:$A$304,0)),"Unknown code"))</f>
        <v/>
      </c>
      <c r="D329" s="15" t="n"/>
      <c r="E329" s="16" t="n"/>
      <c r="F329" s="18">
        <f>IF(OR(D329="",E329=""),"",D329*E329)</f>
        <v/>
      </c>
      <c r="G329" s="15" t="n"/>
    </row>
    <row r="330">
      <c r="A330" s="19" t="n"/>
      <c r="B330" s="15" t="n"/>
      <c r="C330">
        <f>IF(B330="","",IFERROR(INDEX(Items!$B$5:$B$304,MATCH(B330,Items!$A$5:$A$304,0)),"Unknown code"))</f>
        <v/>
      </c>
      <c r="D330" s="15" t="n"/>
      <c r="E330" s="16" t="n"/>
      <c r="F330" s="18">
        <f>IF(OR(D330="",E330=""),"",D330*E330)</f>
        <v/>
      </c>
      <c r="G330" s="15" t="n"/>
    </row>
    <row r="331">
      <c r="A331" s="19" t="n"/>
      <c r="B331" s="15" t="n"/>
      <c r="C331">
        <f>IF(B331="","",IFERROR(INDEX(Items!$B$5:$B$304,MATCH(B331,Items!$A$5:$A$304,0)),"Unknown code"))</f>
        <v/>
      </c>
      <c r="D331" s="15" t="n"/>
      <c r="E331" s="16" t="n"/>
      <c r="F331" s="18">
        <f>IF(OR(D331="",E331=""),"",D331*E331)</f>
        <v/>
      </c>
      <c r="G331" s="15" t="n"/>
    </row>
    <row r="332">
      <c r="A332" s="19" t="n"/>
      <c r="B332" s="15" t="n"/>
      <c r="C332">
        <f>IF(B332="","",IFERROR(INDEX(Items!$B$5:$B$304,MATCH(B332,Items!$A$5:$A$304,0)),"Unknown code"))</f>
        <v/>
      </c>
      <c r="D332" s="15" t="n"/>
      <c r="E332" s="16" t="n"/>
      <c r="F332" s="18">
        <f>IF(OR(D332="",E332=""),"",D332*E332)</f>
        <v/>
      </c>
      <c r="G332" s="15" t="n"/>
    </row>
    <row r="333">
      <c r="A333" s="19" t="n"/>
      <c r="B333" s="15" t="n"/>
      <c r="C333">
        <f>IF(B333="","",IFERROR(INDEX(Items!$B$5:$B$304,MATCH(B333,Items!$A$5:$A$304,0)),"Unknown code"))</f>
        <v/>
      </c>
      <c r="D333" s="15" t="n"/>
      <c r="E333" s="16" t="n"/>
      <c r="F333" s="18">
        <f>IF(OR(D333="",E333=""),"",D333*E333)</f>
        <v/>
      </c>
      <c r="G333" s="15" t="n"/>
    </row>
    <row r="334">
      <c r="A334" s="19" t="n"/>
      <c r="B334" s="15" t="n"/>
      <c r="C334">
        <f>IF(B334="","",IFERROR(INDEX(Items!$B$5:$B$304,MATCH(B334,Items!$A$5:$A$304,0)),"Unknown code"))</f>
        <v/>
      </c>
      <c r="D334" s="15" t="n"/>
      <c r="E334" s="16" t="n"/>
      <c r="F334" s="18">
        <f>IF(OR(D334="",E334=""),"",D334*E334)</f>
        <v/>
      </c>
      <c r="G334" s="15" t="n"/>
    </row>
    <row r="335">
      <c r="A335" s="19" t="n"/>
      <c r="B335" s="15" t="n"/>
      <c r="C335">
        <f>IF(B335="","",IFERROR(INDEX(Items!$B$5:$B$304,MATCH(B335,Items!$A$5:$A$304,0)),"Unknown code"))</f>
        <v/>
      </c>
      <c r="D335" s="15" t="n"/>
      <c r="E335" s="16" t="n"/>
      <c r="F335" s="18">
        <f>IF(OR(D335="",E335=""),"",D335*E335)</f>
        <v/>
      </c>
      <c r="G335" s="15" t="n"/>
    </row>
    <row r="336">
      <c r="A336" s="19" t="n"/>
      <c r="B336" s="15" t="n"/>
      <c r="C336">
        <f>IF(B336="","",IFERROR(INDEX(Items!$B$5:$B$304,MATCH(B336,Items!$A$5:$A$304,0)),"Unknown code"))</f>
        <v/>
      </c>
      <c r="D336" s="15" t="n"/>
      <c r="E336" s="16" t="n"/>
      <c r="F336" s="18">
        <f>IF(OR(D336="",E336=""),"",D336*E336)</f>
        <v/>
      </c>
      <c r="G336" s="15" t="n"/>
    </row>
    <row r="337">
      <c r="A337" s="19" t="n"/>
      <c r="B337" s="15" t="n"/>
      <c r="C337">
        <f>IF(B337="","",IFERROR(INDEX(Items!$B$5:$B$304,MATCH(B337,Items!$A$5:$A$304,0)),"Unknown code"))</f>
        <v/>
      </c>
      <c r="D337" s="15" t="n"/>
      <c r="E337" s="16" t="n"/>
      <c r="F337" s="18">
        <f>IF(OR(D337="",E337=""),"",D337*E337)</f>
        <v/>
      </c>
      <c r="G337" s="15" t="n"/>
    </row>
    <row r="338">
      <c r="A338" s="19" t="n"/>
      <c r="B338" s="15" t="n"/>
      <c r="C338">
        <f>IF(B338="","",IFERROR(INDEX(Items!$B$5:$B$304,MATCH(B338,Items!$A$5:$A$304,0)),"Unknown code"))</f>
        <v/>
      </c>
      <c r="D338" s="15" t="n"/>
      <c r="E338" s="16" t="n"/>
      <c r="F338" s="18">
        <f>IF(OR(D338="",E338=""),"",D338*E338)</f>
        <v/>
      </c>
      <c r="G338" s="15" t="n"/>
    </row>
    <row r="339">
      <c r="A339" s="19" t="n"/>
      <c r="B339" s="15" t="n"/>
      <c r="C339">
        <f>IF(B339="","",IFERROR(INDEX(Items!$B$5:$B$304,MATCH(B339,Items!$A$5:$A$304,0)),"Unknown code"))</f>
        <v/>
      </c>
      <c r="D339" s="15" t="n"/>
      <c r="E339" s="16" t="n"/>
      <c r="F339" s="18">
        <f>IF(OR(D339="",E339=""),"",D339*E339)</f>
        <v/>
      </c>
      <c r="G339" s="15" t="n"/>
    </row>
    <row r="340">
      <c r="A340" s="19" t="n"/>
      <c r="B340" s="15" t="n"/>
      <c r="C340">
        <f>IF(B340="","",IFERROR(INDEX(Items!$B$5:$B$304,MATCH(B340,Items!$A$5:$A$304,0)),"Unknown code"))</f>
        <v/>
      </c>
      <c r="D340" s="15" t="n"/>
      <c r="E340" s="16" t="n"/>
      <c r="F340" s="18">
        <f>IF(OR(D340="",E340=""),"",D340*E340)</f>
        <v/>
      </c>
      <c r="G340" s="15" t="n"/>
    </row>
    <row r="341">
      <c r="A341" s="19" t="n"/>
      <c r="B341" s="15" t="n"/>
      <c r="C341">
        <f>IF(B341="","",IFERROR(INDEX(Items!$B$5:$B$304,MATCH(B341,Items!$A$5:$A$304,0)),"Unknown code"))</f>
        <v/>
      </c>
      <c r="D341" s="15" t="n"/>
      <c r="E341" s="16" t="n"/>
      <c r="F341" s="18">
        <f>IF(OR(D341="",E341=""),"",D341*E341)</f>
        <v/>
      </c>
      <c r="G341" s="15" t="n"/>
    </row>
    <row r="342">
      <c r="A342" s="19" t="n"/>
      <c r="B342" s="15" t="n"/>
      <c r="C342">
        <f>IF(B342="","",IFERROR(INDEX(Items!$B$5:$B$304,MATCH(B342,Items!$A$5:$A$304,0)),"Unknown code"))</f>
        <v/>
      </c>
      <c r="D342" s="15" t="n"/>
      <c r="E342" s="16" t="n"/>
      <c r="F342" s="18">
        <f>IF(OR(D342="",E342=""),"",D342*E342)</f>
        <v/>
      </c>
      <c r="G342" s="15" t="n"/>
    </row>
    <row r="343">
      <c r="A343" s="19" t="n"/>
      <c r="B343" s="15" t="n"/>
      <c r="C343">
        <f>IF(B343="","",IFERROR(INDEX(Items!$B$5:$B$304,MATCH(B343,Items!$A$5:$A$304,0)),"Unknown code"))</f>
        <v/>
      </c>
      <c r="D343" s="15" t="n"/>
      <c r="E343" s="16" t="n"/>
      <c r="F343" s="18">
        <f>IF(OR(D343="",E343=""),"",D343*E343)</f>
        <v/>
      </c>
      <c r="G343" s="15" t="n"/>
    </row>
    <row r="344">
      <c r="A344" s="19" t="n"/>
      <c r="B344" s="15" t="n"/>
      <c r="C344">
        <f>IF(B344="","",IFERROR(INDEX(Items!$B$5:$B$304,MATCH(B344,Items!$A$5:$A$304,0)),"Unknown code"))</f>
        <v/>
      </c>
      <c r="D344" s="15" t="n"/>
      <c r="E344" s="16" t="n"/>
      <c r="F344" s="18">
        <f>IF(OR(D344="",E344=""),"",D344*E344)</f>
        <v/>
      </c>
      <c r="G344" s="15" t="n"/>
    </row>
    <row r="345">
      <c r="A345" s="19" t="n"/>
      <c r="B345" s="15" t="n"/>
      <c r="C345">
        <f>IF(B345="","",IFERROR(INDEX(Items!$B$5:$B$304,MATCH(B345,Items!$A$5:$A$304,0)),"Unknown code"))</f>
        <v/>
      </c>
      <c r="D345" s="15" t="n"/>
      <c r="E345" s="16" t="n"/>
      <c r="F345" s="18">
        <f>IF(OR(D345="",E345=""),"",D345*E345)</f>
        <v/>
      </c>
      <c r="G345" s="15" t="n"/>
    </row>
    <row r="346">
      <c r="A346" s="19" t="n"/>
      <c r="B346" s="15" t="n"/>
      <c r="C346">
        <f>IF(B346="","",IFERROR(INDEX(Items!$B$5:$B$304,MATCH(B346,Items!$A$5:$A$304,0)),"Unknown code"))</f>
        <v/>
      </c>
      <c r="D346" s="15" t="n"/>
      <c r="E346" s="16" t="n"/>
      <c r="F346" s="18">
        <f>IF(OR(D346="",E346=""),"",D346*E346)</f>
        <v/>
      </c>
      <c r="G346" s="15" t="n"/>
    </row>
    <row r="347">
      <c r="A347" s="19" t="n"/>
      <c r="B347" s="15" t="n"/>
      <c r="C347">
        <f>IF(B347="","",IFERROR(INDEX(Items!$B$5:$B$304,MATCH(B347,Items!$A$5:$A$304,0)),"Unknown code"))</f>
        <v/>
      </c>
      <c r="D347" s="15" t="n"/>
      <c r="E347" s="16" t="n"/>
      <c r="F347" s="18">
        <f>IF(OR(D347="",E347=""),"",D347*E347)</f>
        <v/>
      </c>
      <c r="G347" s="15" t="n"/>
    </row>
    <row r="348">
      <c r="A348" s="19" t="n"/>
      <c r="B348" s="15" t="n"/>
      <c r="C348">
        <f>IF(B348="","",IFERROR(INDEX(Items!$B$5:$B$304,MATCH(B348,Items!$A$5:$A$304,0)),"Unknown code"))</f>
        <v/>
      </c>
      <c r="D348" s="15" t="n"/>
      <c r="E348" s="16" t="n"/>
      <c r="F348" s="18">
        <f>IF(OR(D348="",E348=""),"",D348*E348)</f>
        <v/>
      </c>
      <c r="G348" s="15" t="n"/>
    </row>
    <row r="349">
      <c r="A349" s="19" t="n"/>
      <c r="B349" s="15" t="n"/>
      <c r="C349">
        <f>IF(B349="","",IFERROR(INDEX(Items!$B$5:$B$304,MATCH(B349,Items!$A$5:$A$304,0)),"Unknown code"))</f>
        <v/>
      </c>
      <c r="D349" s="15" t="n"/>
      <c r="E349" s="16" t="n"/>
      <c r="F349" s="18">
        <f>IF(OR(D349="",E349=""),"",D349*E349)</f>
        <v/>
      </c>
      <c r="G349" s="15" t="n"/>
    </row>
    <row r="350">
      <c r="A350" s="19" t="n"/>
      <c r="B350" s="15" t="n"/>
      <c r="C350">
        <f>IF(B350="","",IFERROR(INDEX(Items!$B$5:$B$304,MATCH(B350,Items!$A$5:$A$304,0)),"Unknown code"))</f>
        <v/>
      </c>
      <c r="D350" s="15" t="n"/>
      <c r="E350" s="16" t="n"/>
      <c r="F350" s="18">
        <f>IF(OR(D350="",E350=""),"",D350*E350)</f>
        <v/>
      </c>
      <c r="G350" s="15" t="n"/>
    </row>
    <row r="351">
      <c r="A351" s="19" t="n"/>
      <c r="B351" s="15" t="n"/>
      <c r="C351">
        <f>IF(B351="","",IFERROR(INDEX(Items!$B$5:$B$304,MATCH(B351,Items!$A$5:$A$304,0)),"Unknown code"))</f>
        <v/>
      </c>
      <c r="D351" s="15" t="n"/>
      <c r="E351" s="16" t="n"/>
      <c r="F351" s="18">
        <f>IF(OR(D351="",E351=""),"",D351*E351)</f>
        <v/>
      </c>
      <c r="G351" s="15" t="n"/>
    </row>
    <row r="352">
      <c r="A352" s="19" t="n"/>
      <c r="B352" s="15" t="n"/>
      <c r="C352">
        <f>IF(B352="","",IFERROR(INDEX(Items!$B$5:$B$304,MATCH(B352,Items!$A$5:$A$304,0)),"Unknown code"))</f>
        <v/>
      </c>
      <c r="D352" s="15" t="n"/>
      <c r="E352" s="16" t="n"/>
      <c r="F352" s="18">
        <f>IF(OR(D352="",E352=""),"",D352*E352)</f>
        <v/>
      </c>
      <c r="G352" s="15" t="n"/>
    </row>
    <row r="353">
      <c r="A353" s="19" t="n"/>
      <c r="B353" s="15" t="n"/>
      <c r="C353">
        <f>IF(B353="","",IFERROR(INDEX(Items!$B$5:$B$304,MATCH(B353,Items!$A$5:$A$304,0)),"Unknown code"))</f>
        <v/>
      </c>
      <c r="D353" s="15" t="n"/>
      <c r="E353" s="16" t="n"/>
      <c r="F353" s="18">
        <f>IF(OR(D353="",E353=""),"",D353*E353)</f>
        <v/>
      </c>
      <c r="G353" s="15" t="n"/>
    </row>
    <row r="354">
      <c r="A354" s="19" t="n"/>
      <c r="B354" s="15" t="n"/>
      <c r="C354">
        <f>IF(B354="","",IFERROR(INDEX(Items!$B$5:$B$304,MATCH(B354,Items!$A$5:$A$304,0)),"Unknown code"))</f>
        <v/>
      </c>
      <c r="D354" s="15" t="n"/>
      <c r="E354" s="16" t="n"/>
      <c r="F354" s="18">
        <f>IF(OR(D354="",E354=""),"",D354*E354)</f>
        <v/>
      </c>
      <c r="G354" s="15" t="n"/>
    </row>
    <row r="355">
      <c r="A355" s="19" t="n"/>
      <c r="B355" s="15" t="n"/>
      <c r="C355">
        <f>IF(B355="","",IFERROR(INDEX(Items!$B$5:$B$304,MATCH(B355,Items!$A$5:$A$304,0)),"Unknown code"))</f>
        <v/>
      </c>
      <c r="D355" s="15" t="n"/>
      <c r="E355" s="16" t="n"/>
      <c r="F355" s="18">
        <f>IF(OR(D355="",E355=""),"",D355*E355)</f>
        <v/>
      </c>
      <c r="G355" s="15" t="n"/>
    </row>
    <row r="356">
      <c r="A356" s="19" t="n"/>
      <c r="B356" s="15" t="n"/>
      <c r="C356">
        <f>IF(B356="","",IFERROR(INDEX(Items!$B$5:$B$304,MATCH(B356,Items!$A$5:$A$304,0)),"Unknown code"))</f>
        <v/>
      </c>
      <c r="D356" s="15" t="n"/>
      <c r="E356" s="16" t="n"/>
      <c r="F356" s="18">
        <f>IF(OR(D356="",E356=""),"",D356*E356)</f>
        <v/>
      </c>
      <c r="G356" s="15" t="n"/>
    </row>
    <row r="357">
      <c r="A357" s="19" t="n"/>
      <c r="B357" s="15" t="n"/>
      <c r="C357">
        <f>IF(B357="","",IFERROR(INDEX(Items!$B$5:$B$304,MATCH(B357,Items!$A$5:$A$304,0)),"Unknown code"))</f>
        <v/>
      </c>
      <c r="D357" s="15" t="n"/>
      <c r="E357" s="16" t="n"/>
      <c r="F357" s="18">
        <f>IF(OR(D357="",E357=""),"",D357*E357)</f>
        <v/>
      </c>
      <c r="G357" s="15" t="n"/>
    </row>
    <row r="358">
      <c r="A358" s="19" t="n"/>
      <c r="B358" s="15" t="n"/>
      <c r="C358">
        <f>IF(B358="","",IFERROR(INDEX(Items!$B$5:$B$304,MATCH(B358,Items!$A$5:$A$304,0)),"Unknown code"))</f>
        <v/>
      </c>
      <c r="D358" s="15" t="n"/>
      <c r="E358" s="16" t="n"/>
      <c r="F358" s="18">
        <f>IF(OR(D358="",E358=""),"",D358*E358)</f>
        <v/>
      </c>
      <c r="G358" s="15" t="n"/>
    </row>
    <row r="359">
      <c r="A359" s="19" t="n"/>
      <c r="B359" s="15" t="n"/>
      <c r="C359">
        <f>IF(B359="","",IFERROR(INDEX(Items!$B$5:$B$304,MATCH(B359,Items!$A$5:$A$304,0)),"Unknown code"))</f>
        <v/>
      </c>
      <c r="D359" s="15" t="n"/>
      <c r="E359" s="16" t="n"/>
      <c r="F359" s="18">
        <f>IF(OR(D359="",E359=""),"",D359*E359)</f>
        <v/>
      </c>
      <c r="G359" s="15" t="n"/>
    </row>
    <row r="360">
      <c r="A360" s="19" t="n"/>
      <c r="B360" s="15" t="n"/>
      <c r="C360">
        <f>IF(B360="","",IFERROR(INDEX(Items!$B$5:$B$304,MATCH(B360,Items!$A$5:$A$304,0)),"Unknown code"))</f>
        <v/>
      </c>
      <c r="D360" s="15" t="n"/>
      <c r="E360" s="16" t="n"/>
      <c r="F360" s="18">
        <f>IF(OR(D360="",E360=""),"",D360*E360)</f>
        <v/>
      </c>
      <c r="G360" s="15" t="n"/>
    </row>
    <row r="361">
      <c r="A361" s="19" t="n"/>
      <c r="B361" s="15" t="n"/>
      <c r="C361">
        <f>IF(B361="","",IFERROR(INDEX(Items!$B$5:$B$304,MATCH(B361,Items!$A$5:$A$304,0)),"Unknown code"))</f>
        <v/>
      </c>
      <c r="D361" s="15" t="n"/>
      <c r="E361" s="16" t="n"/>
      <c r="F361" s="18">
        <f>IF(OR(D361="",E361=""),"",D361*E361)</f>
        <v/>
      </c>
      <c r="G361" s="15" t="n"/>
    </row>
    <row r="362">
      <c r="A362" s="19" t="n"/>
      <c r="B362" s="15" t="n"/>
      <c r="C362">
        <f>IF(B362="","",IFERROR(INDEX(Items!$B$5:$B$304,MATCH(B362,Items!$A$5:$A$304,0)),"Unknown code"))</f>
        <v/>
      </c>
      <c r="D362" s="15" t="n"/>
      <c r="E362" s="16" t="n"/>
      <c r="F362" s="18">
        <f>IF(OR(D362="",E362=""),"",D362*E362)</f>
        <v/>
      </c>
      <c r="G362" s="15" t="n"/>
    </row>
    <row r="363">
      <c r="A363" s="19" t="n"/>
      <c r="B363" s="15" t="n"/>
      <c r="C363">
        <f>IF(B363="","",IFERROR(INDEX(Items!$B$5:$B$304,MATCH(B363,Items!$A$5:$A$304,0)),"Unknown code"))</f>
        <v/>
      </c>
      <c r="D363" s="15" t="n"/>
      <c r="E363" s="16" t="n"/>
      <c r="F363" s="18">
        <f>IF(OR(D363="",E363=""),"",D363*E363)</f>
        <v/>
      </c>
      <c r="G363" s="15" t="n"/>
    </row>
    <row r="364">
      <c r="A364" s="19" t="n"/>
      <c r="B364" s="15" t="n"/>
      <c r="C364">
        <f>IF(B364="","",IFERROR(INDEX(Items!$B$5:$B$304,MATCH(B364,Items!$A$5:$A$304,0)),"Unknown code"))</f>
        <v/>
      </c>
      <c r="D364" s="15" t="n"/>
      <c r="E364" s="16" t="n"/>
      <c r="F364" s="18">
        <f>IF(OR(D364="",E364=""),"",D364*E364)</f>
        <v/>
      </c>
      <c r="G364" s="15" t="n"/>
    </row>
    <row r="365">
      <c r="A365" s="19" t="n"/>
      <c r="B365" s="15" t="n"/>
      <c r="C365">
        <f>IF(B365="","",IFERROR(INDEX(Items!$B$5:$B$304,MATCH(B365,Items!$A$5:$A$304,0)),"Unknown code"))</f>
        <v/>
      </c>
      <c r="D365" s="15" t="n"/>
      <c r="E365" s="16" t="n"/>
      <c r="F365" s="18">
        <f>IF(OR(D365="",E365=""),"",D365*E365)</f>
        <v/>
      </c>
      <c r="G365" s="15" t="n"/>
    </row>
    <row r="366">
      <c r="A366" s="19" t="n"/>
      <c r="B366" s="15" t="n"/>
      <c r="C366">
        <f>IF(B366="","",IFERROR(INDEX(Items!$B$5:$B$304,MATCH(B366,Items!$A$5:$A$304,0)),"Unknown code"))</f>
        <v/>
      </c>
      <c r="D366" s="15" t="n"/>
      <c r="E366" s="16" t="n"/>
      <c r="F366" s="18">
        <f>IF(OR(D366="",E366=""),"",D366*E366)</f>
        <v/>
      </c>
      <c r="G366" s="15" t="n"/>
    </row>
    <row r="367">
      <c r="A367" s="19" t="n"/>
      <c r="B367" s="15" t="n"/>
      <c r="C367">
        <f>IF(B367="","",IFERROR(INDEX(Items!$B$5:$B$304,MATCH(B367,Items!$A$5:$A$304,0)),"Unknown code"))</f>
        <v/>
      </c>
      <c r="D367" s="15" t="n"/>
      <c r="E367" s="16" t="n"/>
      <c r="F367" s="18">
        <f>IF(OR(D367="",E367=""),"",D367*E367)</f>
        <v/>
      </c>
      <c r="G367" s="15" t="n"/>
    </row>
    <row r="368">
      <c r="A368" s="19" t="n"/>
      <c r="B368" s="15" t="n"/>
      <c r="C368">
        <f>IF(B368="","",IFERROR(INDEX(Items!$B$5:$B$304,MATCH(B368,Items!$A$5:$A$304,0)),"Unknown code"))</f>
        <v/>
      </c>
      <c r="D368" s="15" t="n"/>
      <c r="E368" s="16" t="n"/>
      <c r="F368" s="18">
        <f>IF(OR(D368="",E368=""),"",D368*E368)</f>
        <v/>
      </c>
      <c r="G368" s="15" t="n"/>
    </row>
    <row r="369">
      <c r="A369" s="19" t="n"/>
      <c r="B369" s="15" t="n"/>
      <c r="C369">
        <f>IF(B369="","",IFERROR(INDEX(Items!$B$5:$B$304,MATCH(B369,Items!$A$5:$A$304,0)),"Unknown code"))</f>
        <v/>
      </c>
      <c r="D369" s="15" t="n"/>
      <c r="E369" s="16" t="n"/>
      <c r="F369" s="18">
        <f>IF(OR(D369="",E369=""),"",D369*E369)</f>
        <v/>
      </c>
      <c r="G369" s="15" t="n"/>
    </row>
    <row r="370">
      <c r="A370" s="19" t="n"/>
      <c r="B370" s="15" t="n"/>
      <c r="C370">
        <f>IF(B370="","",IFERROR(INDEX(Items!$B$5:$B$304,MATCH(B370,Items!$A$5:$A$304,0)),"Unknown code"))</f>
        <v/>
      </c>
      <c r="D370" s="15" t="n"/>
      <c r="E370" s="16" t="n"/>
      <c r="F370" s="18">
        <f>IF(OR(D370="",E370=""),"",D370*E370)</f>
        <v/>
      </c>
      <c r="G370" s="15" t="n"/>
    </row>
    <row r="371">
      <c r="A371" s="19" t="n"/>
      <c r="B371" s="15" t="n"/>
      <c r="C371">
        <f>IF(B371="","",IFERROR(INDEX(Items!$B$5:$B$304,MATCH(B371,Items!$A$5:$A$304,0)),"Unknown code"))</f>
        <v/>
      </c>
      <c r="D371" s="15" t="n"/>
      <c r="E371" s="16" t="n"/>
      <c r="F371" s="18">
        <f>IF(OR(D371="",E371=""),"",D371*E371)</f>
        <v/>
      </c>
      <c r="G371" s="15" t="n"/>
    </row>
    <row r="372">
      <c r="A372" s="19" t="n"/>
      <c r="B372" s="15" t="n"/>
      <c r="C372">
        <f>IF(B372="","",IFERROR(INDEX(Items!$B$5:$B$304,MATCH(B372,Items!$A$5:$A$304,0)),"Unknown code"))</f>
        <v/>
      </c>
      <c r="D372" s="15" t="n"/>
      <c r="E372" s="16" t="n"/>
      <c r="F372" s="18">
        <f>IF(OR(D372="",E372=""),"",D372*E372)</f>
        <v/>
      </c>
      <c r="G372" s="15" t="n"/>
    </row>
    <row r="373">
      <c r="A373" s="19" t="n"/>
      <c r="B373" s="15" t="n"/>
      <c r="C373">
        <f>IF(B373="","",IFERROR(INDEX(Items!$B$5:$B$304,MATCH(B373,Items!$A$5:$A$304,0)),"Unknown code"))</f>
        <v/>
      </c>
      <c r="D373" s="15" t="n"/>
      <c r="E373" s="16" t="n"/>
      <c r="F373" s="18">
        <f>IF(OR(D373="",E373=""),"",D373*E373)</f>
        <v/>
      </c>
      <c r="G373" s="15" t="n"/>
    </row>
    <row r="374">
      <c r="A374" s="19" t="n"/>
      <c r="B374" s="15" t="n"/>
      <c r="C374">
        <f>IF(B374="","",IFERROR(INDEX(Items!$B$5:$B$304,MATCH(B374,Items!$A$5:$A$304,0)),"Unknown code"))</f>
        <v/>
      </c>
      <c r="D374" s="15" t="n"/>
      <c r="E374" s="16" t="n"/>
      <c r="F374" s="18">
        <f>IF(OR(D374="",E374=""),"",D374*E374)</f>
        <v/>
      </c>
      <c r="G374" s="15" t="n"/>
    </row>
    <row r="375">
      <c r="A375" s="19" t="n"/>
      <c r="B375" s="15" t="n"/>
      <c r="C375">
        <f>IF(B375="","",IFERROR(INDEX(Items!$B$5:$B$304,MATCH(B375,Items!$A$5:$A$304,0)),"Unknown code"))</f>
        <v/>
      </c>
      <c r="D375" s="15" t="n"/>
      <c r="E375" s="16" t="n"/>
      <c r="F375" s="18">
        <f>IF(OR(D375="",E375=""),"",D375*E375)</f>
        <v/>
      </c>
      <c r="G375" s="15" t="n"/>
    </row>
    <row r="376">
      <c r="A376" s="19" t="n"/>
      <c r="B376" s="15" t="n"/>
      <c r="C376">
        <f>IF(B376="","",IFERROR(INDEX(Items!$B$5:$B$304,MATCH(B376,Items!$A$5:$A$304,0)),"Unknown code"))</f>
        <v/>
      </c>
      <c r="D376" s="15" t="n"/>
      <c r="E376" s="16" t="n"/>
      <c r="F376" s="18">
        <f>IF(OR(D376="",E376=""),"",D376*E376)</f>
        <v/>
      </c>
      <c r="G376" s="15" t="n"/>
    </row>
    <row r="377">
      <c r="A377" s="19" t="n"/>
      <c r="B377" s="15" t="n"/>
      <c r="C377">
        <f>IF(B377="","",IFERROR(INDEX(Items!$B$5:$B$304,MATCH(B377,Items!$A$5:$A$304,0)),"Unknown code"))</f>
        <v/>
      </c>
      <c r="D377" s="15" t="n"/>
      <c r="E377" s="16" t="n"/>
      <c r="F377" s="18">
        <f>IF(OR(D377="",E377=""),"",D377*E377)</f>
        <v/>
      </c>
      <c r="G377" s="15" t="n"/>
    </row>
    <row r="378">
      <c r="A378" s="19" t="n"/>
      <c r="B378" s="15" t="n"/>
      <c r="C378">
        <f>IF(B378="","",IFERROR(INDEX(Items!$B$5:$B$304,MATCH(B378,Items!$A$5:$A$304,0)),"Unknown code"))</f>
        <v/>
      </c>
      <c r="D378" s="15" t="n"/>
      <c r="E378" s="16" t="n"/>
      <c r="F378" s="18">
        <f>IF(OR(D378="",E378=""),"",D378*E378)</f>
        <v/>
      </c>
      <c r="G378" s="15" t="n"/>
    </row>
    <row r="379">
      <c r="A379" s="19" t="n"/>
      <c r="B379" s="15" t="n"/>
      <c r="C379">
        <f>IF(B379="","",IFERROR(INDEX(Items!$B$5:$B$304,MATCH(B379,Items!$A$5:$A$304,0)),"Unknown code"))</f>
        <v/>
      </c>
      <c r="D379" s="15" t="n"/>
      <c r="E379" s="16" t="n"/>
      <c r="F379" s="18">
        <f>IF(OR(D379="",E379=""),"",D379*E379)</f>
        <v/>
      </c>
      <c r="G379" s="15" t="n"/>
    </row>
    <row r="380">
      <c r="A380" s="19" t="n"/>
      <c r="B380" s="15" t="n"/>
      <c r="C380">
        <f>IF(B380="","",IFERROR(INDEX(Items!$B$5:$B$304,MATCH(B380,Items!$A$5:$A$304,0)),"Unknown code"))</f>
        <v/>
      </c>
      <c r="D380" s="15" t="n"/>
      <c r="E380" s="16" t="n"/>
      <c r="F380" s="18">
        <f>IF(OR(D380="",E380=""),"",D380*E380)</f>
        <v/>
      </c>
      <c r="G380" s="15" t="n"/>
    </row>
    <row r="381">
      <c r="A381" s="19" t="n"/>
      <c r="B381" s="15" t="n"/>
      <c r="C381">
        <f>IF(B381="","",IFERROR(INDEX(Items!$B$5:$B$304,MATCH(B381,Items!$A$5:$A$304,0)),"Unknown code"))</f>
        <v/>
      </c>
      <c r="D381" s="15" t="n"/>
      <c r="E381" s="16" t="n"/>
      <c r="F381" s="18">
        <f>IF(OR(D381="",E381=""),"",D381*E381)</f>
        <v/>
      </c>
      <c r="G381" s="15" t="n"/>
    </row>
    <row r="382">
      <c r="A382" s="19" t="n"/>
      <c r="B382" s="15" t="n"/>
      <c r="C382">
        <f>IF(B382="","",IFERROR(INDEX(Items!$B$5:$B$304,MATCH(B382,Items!$A$5:$A$304,0)),"Unknown code"))</f>
        <v/>
      </c>
      <c r="D382" s="15" t="n"/>
      <c r="E382" s="16" t="n"/>
      <c r="F382" s="18">
        <f>IF(OR(D382="",E382=""),"",D382*E382)</f>
        <v/>
      </c>
      <c r="G382" s="15" t="n"/>
    </row>
    <row r="383">
      <c r="A383" s="19" t="n"/>
      <c r="B383" s="15" t="n"/>
      <c r="C383">
        <f>IF(B383="","",IFERROR(INDEX(Items!$B$5:$B$304,MATCH(B383,Items!$A$5:$A$304,0)),"Unknown code"))</f>
        <v/>
      </c>
      <c r="D383" s="15" t="n"/>
      <c r="E383" s="16" t="n"/>
      <c r="F383" s="18">
        <f>IF(OR(D383="",E383=""),"",D383*E383)</f>
        <v/>
      </c>
      <c r="G383" s="15" t="n"/>
    </row>
    <row r="384">
      <c r="A384" s="19" t="n"/>
      <c r="B384" s="15" t="n"/>
      <c r="C384">
        <f>IF(B384="","",IFERROR(INDEX(Items!$B$5:$B$304,MATCH(B384,Items!$A$5:$A$304,0)),"Unknown code"))</f>
        <v/>
      </c>
      <c r="D384" s="15" t="n"/>
      <c r="E384" s="16" t="n"/>
      <c r="F384" s="18">
        <f>IF(OR(D384="",E384=""),"",D384*E384)</f>
        <v/>
      </c>
      <c r="G384" s="15" t="n"/>
    </row>
    <row r="385">
      <c r="A385" s="19" t="n"/>
      <c r="B385" s="15" t="n"/>
      <c r="C385">
        <f>IF(B385="","",IFERROR(INDEX(Items!$B$5:$B$304,MATCH(B385,Items!$A$5:$A$304,0)),"Unknown code"))</f>
        <v/>
      </c>
      <c r="D385" s="15" t="n"/>
      <c r="E385" s="16" t="n"/>
      <c r="F385" s="18">
        <f>IF(OR(D385="",E385=""),"",D385*E385)</f>
        <v/>
      </c>
      <c r="G385" s="15" t="n"/>
    </row>
    <row r="386">
      <c r="A386" s="19" t="n"/>
      <c r="B386" s="15" t="n"/>
      <c r="C386">
        <f>IF(B386="","",IFERROR(INDEX(Items!$B$5:$B$304,MATCH(B386,Items!$A$5:$A$304,0)),"Unknown code"))</f>
        <v/>
      </c>
      <c r="D386" s="15" t="n"/>
      <c r="E386" s="16" t="n"/>
      <c r="F386" s="18">
        <f>IF(OR(D386="",E386=""),"",D386*E386)</f>
        <v/>
      </c>
      <c r="G386" s="15" t="n"/>
    </row>
    <row r="387">
      <c r="A387" s="19" t="n"/>
      <c r="B387" s="15" t="n"/>
      <c r="C387">
        <f>IF(B387="","",IFERROR(INDEX(Items!$B$5:$B$304,MATCH(B387,Items!$A$5:$A$304,0)),"Unknown code"))</f>
        <v/>
      </c>
      <c r="D387" s="15" t="n"/>
      <c r="E387" s="16" t="n"/>
      <c r="F387" s="18">
        <f>IF(OR(D387="",E387=""),"",D387*E387)</f>
        <v/>
      </c>
      <c r="G387" s="15" t="n"/>
    </row>
    <row r="388">
      <c r="A388" s="19" t="n"/>
      <c r="B388" s="15" t="n"/>
      <c r="C388">
        <f>IF(B388="","",IFERROR(INDEX(Items!$B$5:$B$304,MATCH(B388,Items!$A$5:$A$304,0)),"Unknown code"))</f>
        <v/>
      </c>
      <c r="D388" s="15" t="n"/>
      <c r="E388" s="16" t="n"/>
      <c r="F388" s="18">
        <f>IF(OR(D388="",E388=""),"",D388*E388)</f>
        <v/>
      </c>
      <c r="G388" s="15" t="n"/>
    </row>
    <row r="389">
      <c r="A389" s="19" t="n"/>
      <c r="B389" s="15" t="n"/>
      <c r="C389">
        <f>IF(B389="","",IFERROR(INDEX(Items!$B$5:$B$304,MATCH(B389,Items!$A$5:$A$304,0)),"Unknown code"))</f>
        <v/>
      </c>
      <c r="D389" s="15" t="n"/>
      <c r="E389" s="16" t="n"/>
      <c r="F389" s="18">
        <f>IF(OR(D389="",E389=""),"",D389*E389)</f>
        <v/>
      </c>
      <c r="G389" s="15" t="n"/>
    </row>
    <row r="390">
      <c r="A390" s="19" t="n"/>
      <c r="B390" s="15" t="n"/>
      <c r="C390">
        <f>IF(B390="","",IFERROR(INDEX(Items!$B$5:$B$304,MATCH(B390,Items!$A$5:$A$304,0)),"Unknown code"))</f>
        <v/>
      </c>
      <c r="D390" s="15" t="n"/>
      <c r="E390" s="16" t="n"/>
      <c r="F390" s="18">
        <f>IF(OR(D390="",E390=""),"",D390*E390)</f>
        <v/>
      </c>
      <c r="G390" s="15" t="n"/>
    </row>
    <row r="391">
      <c r="A391" s="19" t="n"/>
      <c r="B391" s="15" t="n"/>
      <c r="C391">
        <f>IF(B391="","",IFERROR(INDEX(Items!$B$5:$B$304,MATCH(B391,Items!$A$5:$A$304,0)),"Unknown code"))</f>
        <v/>
      </c>
      <c r="D391" s="15" t="n"/>
      <c r="E391" s="16" t="n"/>
      <c r="F391" s="18">
        <f>IF(OR(D391="",E391=""),"",D391*E391)</f>
        <v/>
      </c>
      <c r="G391" s="15" t="n"/>
    </row>
    <row r="392">
      <c r="A392" s="19" t="n"/>
      <c r="B392" s="15" t="n"/>
      <c r="C392">
        <f>IF(B392="","",IFERROR(INDEX(Items!$B$5:$B$304,MATCH(B392,Items!$A$5:$A$304,0)),"Unknown code"))</f>
        <v/>
      </c>
      <c r="D392" s="15" t="n"/>
      <c r="E392" s="16" t="n"/>
      <c r="F392" s="18">
        <f>IF(OR(D392="",E392=""),"",D392*E392)</f>
        <v/>
      </c>
      <c r="G392" s="15" t="n"/>
    </row>
    <row r="393">
      <c r="A393" s="19" t="n"/>
      <c r="B393" s="15" t="n"/>
      <c r="C393">
        <f>IF(B393="","",IFERROR(INDEX(Items!$B$5:$B$304,MATCH(B393,Items!$A$5:$A$304,0)),"Unknown code"))</f>
        <v/>
      </c>
      <c r="D393" s="15" t="n"/>
      <c r="E393" s="16" t="n"/>
      <c r="F393" s="18">
        <f>IF(OR(D393="",E393=""),"",D393*E393)</f>
        <v/>
      </c>
      <c r="G393" s="15" t="n"/>
    </row>
    <row r="394">
      <c r="A394" s="19" t="n"/>
      <c r="B394" s="15" t="n"/>
      <c r="C394">
        <f>IF(B394="","",IFERROR(INDEX(Items!$B$5:$B$304,MATCH(B394,Items!$A$5:$A$304,0)),"Unknown code"))</f>
        <v/>
      </c>
      <c r="D394" s="15" t="n"/>
      <c r="E394" s="16" t="n"/>
      <c r="F394" s="18">
        <f>IF(OR(D394="",E394=""),"",D394*E394)</f>
        <v/>
      </c>
      <c r="G394" s="15" t="n"/>
    </row>
    <row r="395">
      <c r="A395" s="19" t="n"/>
      <c r="B395" s="15" t="n"/>
      <c r="C395">
        <f>IF(B395="","",IFERROR(INDEX(Items!$B$5:$B$304,MATCH(B395,Items!$A$5:$A$304,0)),"Unknown code"))</f>
        <v/>
      </c>
      <c r="D395" s="15" t="n"/>
      <c r="E395" s="16" t="n"/>
      <c r="F395" s="18">
        <f>IF(OR(D395="",E395=""),"",D395*E395)</f>
        <v/>
      </c>
      <c r="G395" s="15" t="n"/>
    </row>
    <row r="396">
      <c r="A396" s="19" t="n"/>
      <c r="B396" s="15" t="n"/>
      <c r="C396">
        <f>IF(B396="","",IFERROR(INDEX(Items!$B$5:$B$304,MATCH(B396,Items!$A$5:$A$304,0)),"Unknown code"))</f>
        <v/>
      </c>
      <c r="D396" s="15" t="n"/>
      <c r="E396" s="16" t="n"/>
      <c r="F396" s="18">
        <f>IF(OR(D396="",E396=""),"",D396*E396)</f>
        <v/>
      </c>
      <c r="G396" s="15" t="n"/>
    </row>
    <row r="397">
      <c r="A397" s="19" t="n"/>
      <c r="B397" s="15" t="n"/>
      <c r="C397">
        <f>IF(B397="","",IFERROR(INDEX(Items!$B$5:$B$304,MATCH(B397,Items!$A$5:$A$304,0)),"Unknown code"))</f>
        <v/>
      </c>
      <c r="D397" s="15" t="n"/>
      <c r="E397" s="16" t="n"/>
      <c r="F397" s="18">
        <f>IF(OR(D397="",E397=""),"",D397*E397)</f>
        <v/>
      </c>
      <c r="G397" s="15" t="n"/>
    </row>
    <row r="398">
      <c r="A398" s="19" t="n"/>
      <c r="B398" s="15" t="n"/>
      <c r="C398">
        <f>IF(B398="","",IFERROR(INDEX(Items!$B$5:$B$304,MATCH(B398,Items!$A$5:$A$304,0)),"Unknown code"))</f>
        <v/>
      </c>
      <c r="D398" s="15" t="n"/>
      <c r="E398" s="16" t="n"/>
      <c r="F398" s="18">
        <f>IF(OR(D398="",E398=""),"",D398*E398)</f>
        <v/>
      </c>
      <c r="G398" s="15" t="n"/>
    </row>
    <row r="399">
      <c r="A399" s="19" t="n"/>
      <c r="B399" s="15" t="n"/>
      <c r="C399">
        <f>IF(B399="","",IFERROR(INDEX(Items!$B$5:$B$304,MATCH(B399,Items!$A$5:$A$304,0)),"Unknown code"))</f>
        <v/>
      </c>
      <c r="D399" s="15" t="n"/>
      <c r="E399" s="16" t="n"/>
      <c r="F399" s="18">
        <f>IF(OR(D399="",E399=""),"",D399*E399)</f>
        <v/>
      </c>
      <c r="G399" s="15" t="n"/>
    </row>
    <row r="400">
      <c r="A400" s="19" t="n"/>
      <c r="B400" s="15" t="n"/>
      <c r="C400">
        <f>IF(B400="","",IFERROR(INDEX(Items!$B$5:$B$304,MATCH(B400,Items!$A$5:$A$304,0)),"Unknown code"))</f>
        <v/>
      </c>
      <c r="D400" s="15" t="n"/>
      <c r="E400" s="16" t="n"/>
      <c r="F400" s="18">
        <f>IF(OR(D400="",E400=""),"",D400*E400)</f>
        <v/>
      </c>
      <c r="G400" s="15" t="n"/>
    </row>
    <row r="401">
      <c r="A401" s="19" t="n"/>
      <c r="B401" s="15" t="n"/>
      <c r="C401">
        <f>IF(B401="","",IFERROR(INDEX(Items!$B$5:$B$304,MATCH(B401,Items!$A$5:$A$304,0)),"Unknown code"))</f>
        <v/>
      </c>
      <c r="D401" s="15" t="n"/>
      <c r="E401" s="16" t="n"/>
      <c r="F401" s="18">
        <f>IF(OR(D401="",E401=""),"",D401*E401)</f>
        <v/>
      </c>
      <c r="G401" s="15" t="n"/>
    </row>
    <row r="402">
      <c r="A402" s="19" t="n"/>
      <c r="B402" s="15" t="n"/>
      <c r="C402">
        <f>IF(B402="","",IFERROR(INDEX(Items!$B$5:$B$304,MATCH(B402,Items!$A$5:$A$304,0)),"Unknown code"))</f>
        <v/>
      </c>
      <c r="D402" s="15" t="n"/>
      <c r="E402" s="16" t="n"/>
      <c r="F402" s="18">
        <f>IF(OR(D402="",E402=""),"",D402*E402)</f>
        <v/>
      </c>
      <c r="G402" s="15" t="n"/>
    </row>
    <row r="403">
      <c r="A403" s="19" t="n"/>
      <c r="B403" s="15" t="n"/>
      <c r="C403">
        <f>IF(B403="","",IFERROR(INDEX(Items!$B$5:$B$304,MATCH(B403,Items!$A$5:$A$304,0)),"Unknown code"))</f>
        <v/>
      </c>
      <c r="D403" s="15" t="n"/>
      <c r="E403" s="16" t="n"/>
      <c r="F403" s="18">
        <f>IF(OR(D403="",E403=""),"",D403*E403)</f>
        <v/>
      </c>
      <c r="G403" s="15" t="n"/>
    </row>
    <row r="404">
      <c r="A404" s="19" t="n"/>
      <c r="B404" s="15" t="n"/>
      <c r="C404">
        <f>IF(B404="","",IFERROR(INDEX(Items!$B$5:$B$304,MATCH(B404,Items!$A$5:$A$304,0)),"Unknown code"))</f>
        <v/>
      </c>
      <c r="D404" s="15" t="n"/>
      <c r="E404" s="16" t="n"/>
      <c r="F404" s="18">
        <f>IF(OR(D404="",E404=""),"",D404*E404)</f>
        <v/>
      </c>
      <c r="G404" s="15" t="n"/>
    </row>
    <row r="405">
      <c r="A405" s="19" t="n"/>
      <c r="B405" s="15" t="n"/>
      <c r="C405">
        <f>IF(B405="","",IFERROR(INDEX(Items!$B$5:$B$304,MATCH(B405,Items!$A$5:$A$304,0)),"Unknown code"))</f>
        <v/>
      </c>
      <c r="D405" s="15" t="n"/>
      <c r="E405" s="16" t="n"/>
      <c r="F405" s="18">
        <f>IF(OR(D405="",E405=""),"",D405*E405)</f>
        <v/>
      </c>
      <c r="G405" s="15" t="n"/>
    </row>
    <row r="406">
      <c r="A406" s="19" t="n"/>
      <c r="B406" s="15" t="n"/>
      <c r="C406">
        <f>IF(B406="","",IFERROR(INDEX(Items!$B$5:$B$304,MATCH(B406,Items!$A$5:$A$304,0)),"Unknown code"))</f>
        <v/>
      </c>
      <c r="D406" s="15" t="n"/>
      <c r="E406" s="16" t="n"/>
      <c r="F406" s="18">
        <f>IF(OR(D406="",E406=""),"",D406*E406)</f>
        <v/>
      </c>
      <c r="G406" s="15" t="n"/>
    </row>
    <row r="407">
      <c r="A407" s="19" t="n"/>
      <c r="B407" s="15" t="n"/>
      <c r="C407">
        <f>IF(B407="","",IFERROR(INDEX(Items!$B$5:$B$304,MATCH(B407,Items!$A$5:$A$304,0)),"Unknown code"))</f>
        <v/>
      </c>
      <c r="D407" s="15" t="n"/>
      <c r="E407" s="16" t="n"/>
      <c r="F407" s="18">
        <f>IF(OR(D407="",E407=""),"",D407*E407)</f>
        <v/>
      </c>
      <c r="G407" s="15" t="n"/>
    </row>
    <row r="408">
      <c r="A408" s="19" t="n"/>
      <c r="B408" s="15" t="n"/>
      <c r="C408">
        <f>IF(B408="","",IFERROR(INDEX(Items!$B$5:$B$304,MATCH(B408,Items!$A$5:$A$304,0)),"Unknown code"))</f>
        <v/>
      </c>
      <c r="D408" s="15" t="n"/>
      <c r="E408" s="16" t="n"/>
      <c r="F408" s="18">
        <f>IF(OR(D408="",E408=""),"",D408*E408)</f>
        <v/>
      </c>
      <c r="G408" s="15" t="n"/>
    </row>
    <row r="409">
      <c r="A409" s="19" t="n"/>
      <c r="B409" s="15" t="n"/>
      <c r="C409">
        <f>IF(B409="","",IFERROR(INDEX(Items!$B$5:$B$304,MATCH(B409,Items!$A$5:$A$304,0)),"Unknown code"))</f>
        <v/>
      </c>
      <c r="D409" s="15" t="n"/>
      <c r="E409" s="16" t="n"/>
      <c r="F409" s="18">
        <f>IF(OR(D409="",E409=""),"",D409*E409)</f>
        <v/>
      </c>
      <c r="G409" s="15" t="n"/>
    </row>
    <row r="410">
      <c r="A410" s="19" t="n"/>
      <c r="B410" s="15" t="n"/>
      <c r="C410">
        <f>IF(B410="","",IFERROR(INDEX(Items!$B$5:$B$304,MATCH(B410,Items!$A$5:$A$304,0)),"Unknown code"))</f>
        <v/>
      </c>
      <c r="D410" s="15" t="n"/>
      <c r="E410" s="16" t="n"/>
      <c r="F410" s="18">
        <f>IF(OR(D410="",E410=""),"",D410*E410)</f>
        <v/>
      </c>
      <c r="G410" s="15" t="n"/>
    </row>
    <row r="411">
      <c r="A411" s="19" t="n"/>
      <c r="B411" s="15" t="n"/>
      <c r="C411">
        <f>IF(B411="","",IFERROR(INDEX(Items!$B$5:$B$304,MATCH(B411,Items!$A$5:$A$304,0)),"Unknown code"))</f>
        <v/>
      </c>
      <c r="D411" s="15" t="n"/>
      <c r="E411" s="16" t="n"/>
      <c r="F411" s="18">
        <f>IF(OR(D411="",E411=""),"",D411*E411)</f>
        <v/>
      </c>
      <c r="G411" s="15" t="n"/>
    </row>
    <row r="412">
      <c r="A412" s="19" t="n"/>
      <c r="B412" s="15" t="n"/>
      <c r="C412">
        <f>IF(B412="","",IFERROR(INDEX(Items!$B$5:$B$304,MATCH(B412,Items!$A$5:$A$304,0)),"Unknown code"))</f>
        <v/>
      </c>
      <c r="D412" s="15" t="n"/>
      <c r="E412" s="16" t="n"/>
      <c r="F412" s="18">
        <f>IF(OR(D412="",E412=""),"",D412*E412)</f>
        <v/>
      </c>
      <c r="G412" s="15" t="n"/>
    </row>
    <row r="413">
      <c r="A413" s="19" t="n"/>
      <c r="B413" s="15" t="n"/>
      <c r="C413">
        <f>IF(B413="","",IFERROR(INDEX(Items!$B$5:$B$304,MATCH(B413,Items!$A$5:$A$304,0)),"Unknown code"))</f>
        <v/>
      </c>
      <c r="D413" s="15" t="n"/>
      <c r="E413" s="16" t="n"/>
      <c r="F413" s="18">
        <f>IF(OR(D413="",E413=""),"",D413*E413)</f>
        <v/>
      </c>
      <c r="G413" s="15" t="n"/>
    </row>
    <row r="414">
      <c r="A414" s="19" t="n"/>
      <c r="B414" s="15" t="n"/>
      <c r="C414">
        <f>IF(B414="","",IFERROR(INDEX(Items!$B$5:$B$304,MATCH(B414,Items!$A$5:$A$304,0)),"Unknown code"))</f>
        <v/>
      </c>
      <c r="D414" s="15" t="n"/>
      <c r="E414" s="16" t="n"/>
      <c r="F414" s="18">
        <f>IF(OR(D414="",E414=""),"",D414*E414)</f>
        <v/>
      </c>
      <c r="G414" s="15" t="n"/>
    </row>
    <row r="415">
      <c r="A415" s="19" t="n"/>
      <c r="B415" s="15" t="n"/>
      <c r="C415">
        <f>IF(B415="","",IFERROR(INDEX(Items!$B$5:$B$304,MATCH(B415,Items!$A$5:$A$304,0)),"Unknown code"))</f>
        <v/>
      </c>
      <c r="D415" s="15" t="n"/>
      <c r="E415" s="16" t="n"/>
      <c r="F415" s="18">
        <f>IF(OR(D415="",E415=""),"",D415*E415)</f>
        <v/>
      </c>
      <c r="G415" s="15" t="n"/>
    </row>
    <row r="416">
      <c r="A416" s="19" t="n"/>
      <c r="B416" s="15" t="n"/>
      <c r="C416">
        <f>IF(B416="","",IFERROR(INDEX(Items!$B$5:$B$304,MATCH(B416,Items!$A$5:$A$304,0)),"Unknown code"))</f>
        <v/>
      </c>
      <c r="D416" s="15" t="n"/>
      <c r="E416" s="16" t="n"/>
      <c r="F416" s="18">
        <f>IF(OR(D416="",E416=""),"",D416*E416)</f>
        <v/>
      </c>
      <c r="G416" s="15" t="n"/>
    </row>
    <row r="417">
      <c r="A417" s="19" t="n"/>
      <c r="B417" s="15" t="n"/>
      <c r="C417">
        <f>IF(B417="","",IFERROR(INDEX(Items!$B$5:$B$304,MATCH(B417,Items!$A$5:$A$304,0)),"Unknown code"))</f>
        <v/>
      </c>
      <c r="D417" s="15" t="n"/>
      <c r="E417" s="16" t="n"/>
      <c r="F417" s="18">
        <f>IF(OR(D417="",E417=""),"",D417*E417)</f>
        <v/>
      </c>
      <c r="G417" s="15" t="n"/>
    </row>
    <row r="418">
      <c r="A418" s="19" t="n"/>
      <c r="B418" s="15" t="n"/>
      <c r="C418">
        <f>IF(B418="","",IFERROR(INDEX(Items!$B$5:$B$304,MATCH(B418,Items!$A$5:$A$304,0)),"Unknown code"))</f>
        <v/>
      </c>
      <c r="D418" s="15" t="n"/>
      <c r="E418" s="16" t="n"/>
      <c r="F418" s="18">
        <f>IF(OR(D418="",E418=""),"",D418*E418)</f>
        <v/>
      </c>
      <c r="G418" s="15" t="n"/>
    </row>
    <row r="419">
      <c r="A419" s="19" t="n"/>
      <c r="B419" s="15" t="n"/>
      <c r="C419">
        <f>IF(B419="","",IFERROR(INDEX(Items!$B$5:$B$304,MATCH(B419,Items!$A$5:$A$304,0)),"Unknown code"))</f>
        <v/>
      </c>
      <c r="D419" s="15" t="n"/>
      <c r="E419" s="16" t="n"/>
      <c r="F419" s="18">
        <f>IF(OR(D419="",E419=""),"",D419*E419)</f>
        <v/>
      </c>
      <c r="G419" s="15" t="n"/>
    </row>
    <row r="420">
      <c r="A420" s="19" t="n"/>
      <c r="B420" s="15" t="n"/>
      <c r="C420">
        <f>IF(B420="","",IFERROR(INDEX(Items!$B$5:$B$304,MATCH(B420,Items!$A$5:$A$304,0)),"Unknown code"))</f>
        <v/>
      </c>
      <c r="D420" s="15" t="n"/>
      <c r="E420" s="16" t="n"/>
      <c r="F420" s="18">
        <f>IF(OR(D420="",E420=""),"",D420*E420)</f>
        <v/>
      </c>
      <c r="G420" s="15" t="n"/>
    </row>
    <row r="421">
      <c r="A421" s="19" t="n"/>
      <c r="B421" s="15" t="n"/>
      <c r="C421">
        <f>IF(B421="","",IFERROR(INDEX(Items!$B$5:$B$304,MATCH(B421,Items!$A$5:$A$304,0)),"Unknown code"))</f>
        <v/>
      </c>
      <c r="D421" s="15" t="n"/>
      <c r="E421" s="16" t="n"/>
      <c r="F421" s="18">
        <f>IF(OR(D421="",E421=""),"",D421*E421)</f>
        <v/>
      </c>
      <c r="G421" s="15" t="n"/>
    </row>
    <row r="422">
      <c r="A422" s="19" t="n"/>
      <c r="B422" s="15" t="n"/>
      <c r="C422">
        <f>IF(B422="","",IFERROR(INDEX(Items!$B$5:$B$304,MATCH(B422,Items!$A$5:$A$304,0)),"Unknown code"))</f>
        <v/>
      </c>
      <c r="D422" s="15" t="n"/>
      <c r="E422" s="16" t="n"/>
      <c r="F422" s="18">
        <f>IF(OR(D422="",E422=""),"",D422*E422)</f>
        <v/>
      </c>
      <c r="G422" s="15" t="n"/>
    </row>
    <row r="423">
      <c r="A423" s="19" t="n"/>
      <c r="B423" s="15" t="n"/>
      <c r="C423">
        <f>IF(B423="","",IFERROR(INDEX(Items!$B$5:$B$304,MATCH(B423,Items!$A$5:$A$304,0)),"Unknown code"))</f>
        <v/>
      </c>
      <c r="D423" s="15" t="n"/>
      <c r="E423" s="16" t="n"/>
      <c r="F423" s="18">
        <f>IF(OR(D423="",E423=""),"",D423*E423)</f>
        <v/>
      </c>
      <c r="G423" s="15" t="n"/>
    </row>
    <row r="424">
      <c r="A424" s="19" t="n"/>
      <c r="B424" s="15" t="n"/>
      <c r="C424">
        <f>IF(B424="","",IFERROR(INDEX(Items!$B$5:$B$304,MATCH(B424,Items!$A$5:$A$304,0)),"Unknown code"))</f>
        <v/>
      </c>
      <c r="D424" s="15" t="n"/>
      <c r="E424" s="16" t="n"/>
      <c r="F424" s="18">
        <f>IF(OR(D424="",E424=""),"",D424*E424)</f>
        <v/>
      </c>
      <c r="G424" s="15" t="n"/>
    </row>
    <row r="425">
      <c r="A425" s="19" t="n"/>
      <c r="B425" s="15" t="n"/>
      <c r="C425">
        <f>IF(B425="","",IFERROR(INDEX(Items!$B$5:$B$304,MATCH(B425,Items!$A$5:$A$304,0)),"Unknown code"))</f>
        <v/>
      </c>
      <c r="D425" s="15" t="n"/>
      <c r="E425" s="16" t="n"/>
      <c r="F425" s="18">
        <f>IF(OR(D425="",E425=""),"",D425*E425)</f>
        <v/>
      </c>
      <c r="G425" s="15" t="n"/>
    </row>
    <row r="426">
      <c r="A426" s="19" t="n"/>
      <c r="B426" s="15" t="n"/>
      <c r="C426">
        <f>IF(B426="","",IFERROR(INDEX(Items!$B$5:$B$304,MATCH(B426,Items!$A$5:$A$304,0)),"Unknown code"))</f>
        <v/>
      </c>
      <c r="D426" s="15" t="n"/>
      <c r="E426" s="16" t="n"/>
      <c r="F426" s="18">
        <f>IF(OR(D426="",E426=""),"",D426*E426)</f>
        <v/>
      </c>
      <c r="G426" s="15" t="n"/>
    </row>
    <row r="427">
      <c r="A427" s="19" t="n"/>
      <c r="B427" s="15" t="n"/>
      <c r="C427">
        <f>IF(B427="","",IFERROR(INDEX(Items!$B$5:$B$304,MATCH(B427,Items!$A$5:$A$304,0)),"Unknown code"))</f>
        <v/>
      </c>
      <c r="D427" s="15" t="n"/>
      <c r="E427" s="16" t="n"/>
      <c r="F427" s="18">
        <f>IF(OR(D427="",E427=""),"",D427*E427)</f>
        <v/>
      </c>
      <c r="G427" s="15" t="n"/>
    </row>
    <row r="428">
      <c r="A428" s="19" t="n"/>
      <c r="B428" s="15" t="n"/>
      <c r="C428">
        <f>IF(B428="","",IFERROR(INDEX(Items!$B$5:$B$304,MATCH(B428,Items!$A$5:$A$304,0)),"Unknown code"))</f>
        <v/>
      </c>
      <c r="D428" s="15" t="n"/>
      <c r="E428" s="16" t="n"/>
      <c r="F428" s="18">
        <f>IF(OR(D428="",E428=""),"",D428*E428)</f>
        <v/>
      </c>
      <c r="G428" s="15" t="n"/>
    </row>
    <row r="429">
      <c r="A429" s="19" t="n"/>
      <c r="B429" s="15" t="n"/>
      <c r="C429">
        <f>IF(B429="","",IFERROR(INDEX(Items!$B$5:$B$304,MATCH(B429,Items!$A$5:$A$304,0)),"Unknown code"))</f>
        <v/>
      </c>
      <c r="D429" s="15" t="n"/>
      <c r="E429" s="16" t="n"/>
      <c r="F429" s="18">
        <f>IF(OR(D429="",E429=""),"",D429*E429)</f>
        <v/>
      </c>
      <c r="G429" s="15" t="n"/>
    </row>
    <row r="430">
      <c r="A430" s="19" t="n"/>
      <c r="B430" s="15" t="n"/>
      <c r="C430">
        <f>IF(B430="","",IFERROR(INDEX(Items!$B$5:$B$304,MATCH(B430,Items!$A$5:$A$304,0)),"Unknown code"))</f>
        <v/>
      </c>
      <c r="D430" s="15" t="n"/>
      <c r="E430" s="16" t="n"/>
      <c r="F430" s="18">
        <f>IF(OR(D430="",E430=""),"",D430*E430)</f>
        <v/>
      </c>
      <c r="G430" s="15" t="n"/>
    </row>
    <row r="431">
      <c r="A431" s="19" t="n"/>
      <c r="B431" s="15" t="n"/>
      <c r="C431">
        <f>IF(B431="","",IFERROR(INDEX(Items!$B$5:$B$304,MATCH(B431,Items!$A$5:$A$304,0)),"Unknown code"))</f>
        <v/>
      </c>
      <c r="D431" s="15" t="n"/>
      <c r="E431" s="16" t="n"/>
      <c r="F431" s="18">
        <f>IF(OR(D431="",E431=""),"",D431*E431)</f>
        <v/>
      </c>
      <c r="G431" s="15" t="n"/>
    </row>
    <row r="432">
      <c r="A432" s="19" t="n"/>
      <c r="B432" s="15" t="n"/>
      <c r="C432">
        <f>IF(B432="","",IFERROR(INDEX(Items!$B$5:$B$304,MATCH(B432,Items!$A$5:$A$304,0)),"Unknown code"))</f>
        <v/>
      </c>
      <c r="D432" s="15" t="n"/>
      <c r="E432" s="16" t="n"/>
      <c r="F432" s="18">
        <f>IF(OR(D432="",E432=""),"",D432*E432)</f>
        <v/>
      </c>
      <c r="G432" s="15" t="n"/>
    </row>
    <row r="433">
      <c r="A433" s="19" t="n"/>
      <c r="B433" s="15" t="n"/>
      <c r="C433">
        <f>IF(B433="","",IFERROR(INDEX(Items!$B$5:$B$304,MATCH(B433,Items!$A$5:$A$304,0)),"Unknown code"))</f>
        <v/>
      </c>
      <c r="D433" s="15" t="n"/>
      <c r="E433" s="16" t="n"/>
      <c r="F433" s="18">
        <f>IF(OR(D433="",E433=""),"",D433*E433)</f>
        <v/>
      </c>
      <c r="G433" s="15" t="n"/>
    </row>
    <row r="434">
      <c r="A434" s="19" t="n"/>
      <c r="B434" s="15" t="n"/>
      <c r="C434">
        <f>IF(B434="","",IFERROR(INDEX(Items!$B$5:$B$304,MATCH(B434,Items!$A$5:$A$304,0)),"Unknown code"))</f>
        <v/>
      </c>
      <c r="D434" s="15" t="n"/>
      <c r="E434" s="16" t="n"/>
      <c r="F434" s="18">
        <f>IF(OR(D434="",E434=""),"",D434*E434)</f>
        <v/>
      </c>
      <c r="G434" s="15" t="n"/>
    </row>
    <row r="435">
      <c r="A435" s="19" t="n"/>
      <c r="B435" s="15" t="n"/>
      <c r="C435">
        <f>IF(B435="","",IFERROR(INDEX(Items!$B$5:$B$304,MATCH(B435,Items!$A$5:$A$304,0)),"Unknown code"))</f>
        <v/>
      </c>
      <c r="D435" s="15" t="n"/>
      <c r="E435" s="16" t="n"/>
      <c r="F435" s="18">
        <f>IF(OR(D435="",E435=""),"",D435*E435)</f>
        <v/>
      </c>
      <c r="G435" s="15" t="n"/>
    </row>
    <row r="436">
      <c r="A436" s="19" t="n"/>
      <c r="B436" s="15" t="n"/>
      <c r="C436">
        <f>IF(B436="","",IFERROR(INDEX(Items!$B$5:$B$304,MATCH(B436,Items!$A$5:$A$304,0)),"Unknown code"))</f>
        <v/>
      </c>
      <c r="D436" s="15" t="n"/>
      <c r="E436" s="16" t="n"/>
      <c r="F436" s="18">
        <f>IF(OR(D436="",E436=""),"",D436*E436)</f>
        <v/>
      </c>
      <c r="G436" s="15" t="n"/>
    </row>
    <row r="437">
      <c r="A437" s="19" t="n"/>
      <c r="B437" s="15" t="n"/>
      <c r="C437">
        <f>IF(B437="","",IFERROR(INDEX(Items!$B$5:$B$304,MATCH(B437,Items!$A$5:$A$304,0)),"Unknown code"))</f>
        <v/>
      </c>
      <c r="D437" s="15" t="n"/>
      <c r="E437" s="16" t="n"/>
      <c r="F437" s="18">
        <f>IF(OR(D437="",E437=""),"",D437*E437)</f>
        <v/>
      </c>
      <c r="G437" s="15" t="n"/>
    </row>
    <row r="438">
      <c r="A438" s="19" t="n"/>
      <c r="B438" s="15" t="n"/>
      <c r="C438">
        <f>IF(B438="","",IFERROR(INDEX(Items!$B$5:$B$304,MATCH(B438,Items!$A$5:$A$304,0)),"Unknown code"))</f>
        <v/>
      </c>
      <c r="D438" s="15" t="n"/>
      <c r="E438" s="16" t="n"/>
      <c r="F438" s="18">
        <f>IF(OR(D438="",E438=""),"",D438*E438)</f>
        <v/>
      </c>
      <c r="G438" s="15" t="n"/>
    </row>
    <row r="439">
      <c r="A439" s="19" t="n"/>
      <c r="B439" s="15" t="n"/>
      <c r="C439">
        <f>IF(B439="","",IFERROR(INDEX(Items!$B$5:$B$304,MATCH(B439,Items!$A$5:$A$304,0)),"Unknown code"))</f>
        <v/>
      </c>
      <c r="D439" s="15" t="n"/>
      <c r="E439" s="16" t="n"/>
      <c r="F439" s="18">
        <f>IF(OR(D439="",E439=""),"",D439*E439)</f>
        <v/>
      </c>
      <c r="G439" s="15" t="n"/>
    </row>
    <row r="440">
      <c r="A440" s="19" t="n"/>
      <c r="B440" s="15" t="n"/>
      <c r="C440">
        <f>IF(B440="","",IFERROR(INDEX(Items!$B$5:$B$304,MATCH(B440,Items!$A$5:$A$304,0)),"Unknown code"))</f>
        <v/>
      </c>
      <c r="D440" s="15" t="n"/>
      <c r="E440" s="16" t="n"/>
      <c r="F440" s="18">
        <f>IF(OR(D440="",E440=""),"",D440*E440)</f>
        <v/>
      </c>
      <c r="G440" s="15" t="n"/>
    </row>
    <row r="441">
      <c r="A441" s="19" t="n"/>
      <c r="B441" s="15" t="n"/>
      <c r="C441">
        <f>IF(B441="","",IFERROR(INDEX(Items!$B$5:$B$304,MATCH(B441,Items!$A$5:$A$304,0)),"Unknown code"))</f>
        <v/>
      </c>
      <c r="D441" s="15" t="n"/>
      <c r="E441" s="16" t="n"/>
      <c r="F441" s="18">
        <f>IF(OR(D441="",E441=""),"",D441*E441)</f>
        <v/>
      </c>
      <c r="G441" s="15" t="n"/>
    </row>
    <row r="442">
      <c r="A442" s="19" t="n"/>
      <c r="B442" s="15" t="n"/>
      <c r="C442">
        <f>IF(B442="","",IFERROR(INDEX(Items!$B$5:$B$304,MATCH(B442,Items!$A$5:$A$304,0)),"Unknown code"))</f>
        <v/>
      </c>
      <c r="D442" s="15" t="n"/>
      <c r="E442" s="16" t="n"/>
      <c r="F442" s="18">
        <f>IF(OR(D442="",E442=""),"",D442*E442)</f>
        <v/>
      </c>
      <c r="G442" s="15" t="n"/>
    </row>
    <row r="443">
      <c r="A443" s="19" t="n"/>
      <c r="B443" s="15" t="n"/>
      <c r="C443">
        <f>IF(B443="","",IFERROR(INDEX(Items!$B$5:$B$304,MATCH(B443,Items!$A$5:$A$304,0)),"Unknown code"))</f>
        <v/>
      </c>
      <c r="D443" s="15" t="n"/>
      <c r="E443" s="16" t="n"/>
      <c r="F443" s="18">
        <f>IF(OR(D443="",E443=""),"",D443*E443)</f>
        <v/>
      </c>
      <c r="G443" s="15" t="n"/>
    </row>
    <row r="444">
      <c r="A444" s="19" t="n"/>
      <c r="B444" s="15" t="n"/>
      <c r="C444">
        <f>IF(B444="","",IFERROR(INDEX(Items!$B$5:$B$304,MATCH(B444,Items!$A$5:$A$304,0)),"Unknown code"))</f>
        <v/>
      </c>
      <c r="D444" s="15" t="n"/>
      <c r="E444" s="16" t="n"/>
      <c r="F444" s="18">
        <f>IF(OR(D444="",E444=""),"",D444*E444)</f>
        <v/>
      </c>
      <c r="G444" s="15" t="n"/>
    </row>
    <row r="445">
      <c r="A445" s="19" t="n"/>
      <c r="B445" s="15" t="n"/>
      <c r="C445">
        <f>IF(B445="","",IFERROR(INDEX(Items!$B$5:$B$304,MATCH(B445,Items!$A$5:$A$304,0)),"Unknown code"))</f>
        <v/>
      </c>
      <c r="D445" s="15" t="n"/>
      <c r="E445" s="16" t="n"/>
      <c r="F445" s="18">
        <f>IF(OR(D445="",E445=""),"",D445*E445)</f>
        <v/>
      </c>
      <c r="G445" s="15" t="n"/>
    </row>
    <row r="446">
      <c r="A446" s="19" t="n"/>
      <c r="B446" s="15" t="n"/>
      <c r="C446">
        <f>IF(B446="","",IFERROR(INDEX(Items!$B$5:$B$304,MATCH(B446,Items!$A$5:$A$304,0)),"Unknown code"))</f>
        <v/>
      </c>
      <c r="D446" s="15" t="n"/>
      <c r="E446" s="16" t="n"/>
      <c r="F446" s="18">
        <f>IF(OR(D446="",E446=""),"",D446*E446)</f>
        <v/>
      </c>
      <c r="G446" s="15" t="n"/>
    </row>
    <row r="447">
      <c r="A447" s="19" t="n"/>
      <c r="B447" s="15" t="n"/>
      <c r="C447">
        <f>IF(B447="","",IFERROR(INDEX(Items!$B$5:$B$304,MATCH(B447,Items!$A$5:$A$304,0)),"Unknown code"))</f>
        <v/>
      </c>
      <c r="D447" s="15" t="n"/>
      <c r="E447" s="16" t="n"/>
      <c r="F447" s="18">
        <f>IF(OR(D447="",E447=""),"",D447*E447)</f>
        <v/>
      </c>
      <c r="G447" s="15" t="n"/>
    </row>
    <row r="448">
      <c r="A448" s="19" t="n"/>
      <c r="B448" s="15" t="n"/>
      <c r="C448">
        <f>IF(B448="","",IFERROR(INDEX(Items!$B$5:$B$304,MATCH(B448,Items!$A$5:$A$304,0)),"Unknown code"))</f>
        <v/>
      </c>
      <c r="D448" s="15" t="n"/>
      <c r="E448" s="16" t="n"/>
      <c r="F448" s="18">
        <f>IF(OR(D448="",E448=""),"",D448*E448)</f>
        <v/>
      </c>
      <c r="G448" s="15" t="n"/>
    </row>
    <row r="449">
      <c r="A449" s="19" t="n"/>
      <c r="B449" s="15" t="n"/>
      <c r="C449">
        <f>IF(B449="","",IFERROR(INDEX(Items!$B$5:$B$304,MATCH(B449,Items!$A$5:$A$304,0)),"Unknown code"))</f>
        <v/>
      </c>
      <c r="D449" s="15" t="n"/>
      <c r="E449" s="16" t="n"/>
      <c r="F449" s="18">
        <f>IF(OR(D449="",E449=""),"",D449*E449)</f>
        <v/>
      </c>
      <c r="G449" s="15" t="n"/>
    </row>
    <row r="450">
      <c r="A450" s="19" t="n"/>
      <c r="B450" s="15" t="n"/>
      <c r="C450">
        <f>IF(B450="","",IFERROR(INDEX(Items!$B$5:$B$304,MATCH(B450,Items!$A$5:$A$304,0)),"Unknown code"))</f>
        <v/>
      </c>
      <c r="D450" s="15" t="n"/>
      <c r="E450" s="16" t="n"/>
      <c r="F450" s="18">
        <f>IF(OR(D450="",E450=""),"",D450*E450)</f>
        <v/>
      </c>
      <c r="G450" s="15" t="n"/>
    </row>
    <row r="451">
      <c r="A451" s="19" t="n"/>
      <c r="B451" s="15" t="n"/>
      <c r="C451">
        <f>IF(B451="","",IFERROR(INDEX(Items!$B$5:$B$304,MATCH(B451,Items!$A$5:$A$304,0)),"Unknown code"))</f>
        <v/>
      </c>
      <c r="D451" s="15" t="n"/>
      <c r="E451" s="16" t="n"/>
      <c r="F451" s="18">
        <f>IF(OR(D451="",E451=""),"",D451*E451)</f>
        <v/>
      </c>
      <c r="G451" s="15" t="n"/>
    </row>
    <row r="452">
      <c r="A452" s="19" t="n"/>
      <c r="B452" s="15" t="n"/>
      <c r="C452">
        <f>IF(B452="","",IFERROR(INDEX(Items!$B$5:$B$304,MATCH(B452,Items!$A$5:$A$304,0)),"Unknown code"))</f>
        <v/>
      </c>
      <c r="D452" s="15" t="n"/>
      <c r="E452" s="16" t="n"/>
      <c r="F452" s="18">
        <f>IF(OR(D452="",E452=""),"",D452*E452)</f>
        <v/>
      </c>
      <c r="G452" s="15" t="n"/>
    </row>
    <row r="453">
      <c r="A453" s="19" t="n"/>
      <c r="B453" s="15" t="n"/>
      <c r="C453">
        <f>IF(B453="","",IFERROR(INDEX(Items!$B$5:$B$304,MATCH(B453,Items!$A$5:$A$304,0)),"Unknown code"))</f>
        <v/>
      </c>
      <c r="D453" s="15" t="n"/>
      <c r="E453" s="16" t="n"/>
      <c r="F453" s="18">
        <f>IF(OR(D453="",E453=""),"",D453*E453)</f>
        <v/>
      </c>
      <c r="G453" s="15" t="n"/>
    </row>
    <row r="454">
      <c r="A454" s="19" t="n"/>
      <c r="B454" s="15" t="n"/>
      <c r="C454">
        <f>IF(B454="","",IFERROR(INDEX(Items!$B$5:$B$304,MATCH(B454,Items!$A$5:$A$304,0)),"Unknown code"))</f>
        <v/>
      </c>
      <c r="D454" s="15" t="n"/>
      <c r="E454" s="16" t="n"/>
      <c r="F454" s="18">
        <f>IF(OR(D454="",E454=""),"",D454*E454)</f>
        <v/>
      </c>
      <c r="G454" s="15" t="n"/>
    </row>
    <row r="455">
      <c r="A455" s="19" t="n"/>
      <c r="B455" s="15" t="n"/>
      <c r="C455">
        <f>IF(B455="","",IFERROR(INDEX(Items!$B$5:$B$304,MATCH(B455,Items!$A$5:$A$304,0)),"Unknown code"))</f>
        <v/>
      </c>
      <c r="D455" s="15" t="n"/>
      <c r="E455" s="16" t="n"/>
      <c r="F455" s="18">
        <f>IF(OR(D455="",E455=""),"",D455*E455)</f>
        <v/>
      </c>
      <c r="G455" s="15" t="n"/>
    </row>
    <row r="456">
      <c r="A456" s="19" t="n"/>
      <c r="B456" s="15" t="n"/>
      <c r="C456">
        <f>IF(B456="","",IFERROR(INDEX(Items!$B$5:$B$304,MATCH(B456,Items!$A$5:$A$304,0)),"Unknown code"))</f>
        <v/>
      </c>
      <c r="D456" s="15" t="n"/>
      <c r="E456" s="16" t="n"/>
      <c r="F456" s="18">
        <f>IF(OR(D456="",E456=""),"",D456*E456)</f>
        <v/>
      </c>
      <c r="G456" s="15" t="n"/>
    </row>
    <row r="457">
      <c r="A457" s="19" t="n"/>
      <c r="B457" s="15" t="n"/>
      <c r="C457">
        <f>IF(B457="","",IFERROR(INDEX(Items!$B$5:$B$304,MATCH(B457,Items!$A$5:$A$304,0)),"Unknown code"))</f>
        <v/>
      </c>
      <c r="D457" s="15" t="n"/>
      <c r="E457" s="16" t="n"/>
      <c r="F457" s="18">
        <f>IF(OR(D457="",E457=""),"",D457*E457)</f>
        <v/>
      </c>
      <c r="G457" s="15" t="n"/>
    </row>
    <row r="458">
      <c r="A458" s="19" t="n"/>
      <c r="B458" s="15" t="n"/>
      <c r="C458">
        <f>IF(B458="","",IFERROR(INDEX(Items!$B$5:$B$304,MATCH(B458,Items!$A$5:$A$304,0)),"Unknown code"))</f>
        <v/>
      </c>
      <c r="D458" s="15" t="n"/>
      <c r="E458" s="16" t="n"/>
      <c r="F458" s="18">
        <f>IF(OR(D458="",E458=""),"",D458*E458)</f>
        <v/>
      </c>
      <c r="G458" s="15" t="n"/>
    </row>
    <row r="459">
      <c r="A459" s="19" t="n"/>
      <c r="B459" s="15" t="n"/>
      <c r="C459">
        <f>IF(B459="","",IFERROR(INDEX(Items!$B$5:$B$304,MATCH(B459,Items!$A$5:$A$304,0)),"Unknown code"))</f>
        <v/>
      </c>
      <c r="D459" s="15" t="n"/>
      <c r="E459" s="16" t="n"/>
      <c r="F459" s="18">
        <f>IF(OR(D459="",E459=""),"",D459*E459)</f>
        <v/>
      </c>
      <c r="G459" s="15" t="n"/>
    </row>
    <row r="460">
      <c r="A460" s="19" t="n"/>
      <c r="B460" s="15" t="n"/>
      <c r="C460">
        <f>IF(B460="","",IFERROR(INDEX(Items!$B$5:$B$304,MATCH(B460,Items!$A$5:$A$304,0)),"Unknown code"))</f>
        <v/>
      </c>
      <c r="D460" s="15" t="n"/>
      <c r="E460" s="16" t="n"/>
      <c r="F460" s="18">
        <f>IF(OR(D460="",E460=""),"",D460*E460)</f>
        <v/>
      </c>
      <c r="G460" s="15" t="n"/>
    </row>
    <row r="461">
      <c r="A461" s="19" t="n"/>
      <c r="B461" s="15" t="n"/>
      <c r="C461">
        <f>IF(B461="","",IFERROR(INDEX(Items!$B$5:$B$304,MATCH(B461,Items!$A$5:$A$304,0)),"Unknown code"))</f>
        <v/>
      </c>
      <c r="D461" s="15" t="n"/>
      <c r="E461" s="16" t="n"/>
      <c r="F461" s="18">
        <f>IF(OR(D461="",E461=""),"",D461*E461)</f>
        <v/>
      </c>
      <c r="G461" s="15" t="n"/>
    </row>
    <row r="462">
      <c r="A462" s="19" t="n"/>
      <c r="B462" s="15" t="n"/>
      <c r="C462">
        <f>IF(B462="","",IFERROR(INDEX(Items!$B$5:$B$304,MATCH(B462,Items!$A$5:$A$304,0)),"Unknown code"))</f>
        <v/>
      </c>
      <c r="D462" s="15" t="n"/>
      <c r="E462" s="16" t="n"/>
      <c r="F462" s="18">
        <f>IF(OR(D462="",E462=""),"",D462*E462)</f>
        <v/>
      </c>
      <c r="G462" s="15" t="n"/>
    </row>
    <row r="463">
      <c r="A463" s="19" t="n"/>
      <c r="B463" s="15" t="n"/>
      <c r="C463">
        <f>IF(B463="","",IFERROR(INDEX(Items!$B$5:$B$304,MATCH(B463,Items!$A$5:$A$304,0)),"Unknown code"))</f>
        <v/>
      </c>
      <c r="D463" s="15" t="n"/>
      <c r="E463" s="16" t="n"/>
      <c r="F463" s="18">
        <f>IF(OR(D463="",E463=""),"",D463*E463)</f>
        <v/>
      </c>
      <c r="G463" s="15" t="n"/>
    </row>
    <row r="464">
      <c r="A464" s="19" t="n"/>
      <c r="B464" s="15" t="n"/>
      <c r="C464">
        <f>IF(B464="","",IFERROR(INDEX(Items!$B$5:$B$304,MATCH(B464,Items!$A$5:$A$304,0)),"Unknown code"))</f>
        <v/>
      </c>
      <c r="D464" s="15" t="n"/>
      <c r="E464" s="16" t="n"/>
      <c r="F464" s="18">
        <f>IF(OR(D464="",E464=""),"",D464*E464)</f>
        <v/>
      </c>
      <c r="G464" s="15" t="n"/>
    </row>
    <row r="465">
      <c r="A465" s="19" t="n"/>
      <c r="B465" s="15" t="n"/>
      <c r="C465">
        <f>IF(B465="","",IFERROR(INDEX(Items!$B$5:$B$304,MATCH(B465,Items!$A$5:$A$304,0)),"Unknown code"))</f>
        <v/>
      </c>
      <c r="D465" s="15" t="n"/>
      <c r="E465" s="16" t="n"/>
      <c r="F465" s="18">
        <f>IF(OR(D465="",E465=""),"",D465*E465)</f>
        <v/>
      </c>
      <c r="G465" s="15" t="n"/>
    </row>
    <row r="466">
      <c r="A466" s="19" t="n"/>
      <c r="B466" s="15" t="n"/>
      <c r="C466">
        <f>IF(B466="","",IFERROR(INDEX(Items!$B$5:$B$304,MATCH(B466,Items!$A$5:$A$304,0)),"Unknown code"))</f>
        <v/>
      </c>
      <c r="D466" s="15" t="n"/>
      <c r="E466" s="16" t="n"/>
      <c r="F466" s="18">
        <f>IF(OR(D466="",E466=""),"",D466*E466)</f>
        <v/>
      </c>
      <c r="G466" s="15" t="n"/>
    </row>
    <row r="467">
      <c r="A467" s="19" t="n"/>
      <c r="B467" s="15" t="n"/>
      <c r="C467">
        <f>IF(B467="","",IFERROR(INDEX(Items!$B$5:$B$304,MATCH(B467,Items!$A$5:$A$304,0)),"Unknown code"))</f>
        <v/>
      </c>
      <c r="D467" s="15" t="n"/>
      <c r="E467" s="16" t="n"/>
      <c r="F467" s="18">
        <f>IF(OR(D467="",E467=""),"",D467*E467)</f>
        <v/>
      </c>
      <c r="G467" s="15" t="n"/>
    </row>
    <row r="468">
      <c r="A468" s="19" t="n"/>
      <c r="B468" s="15" t="n"/>
      <c r="C468">
        <f>IF(B468="","",IFERROR(INDEX(Items!$B$5:$B$304,MATCH(B468,Items!$A$5:$A$304,0)),"Unknown code"))</f>
        <v/>
      </c>
      <c r="D468" s="15" t="n"/>
      <c r="E468" s="16" t="n"/>
      <c r="F468" s="18">
        <f>IF(OR(D468="",E468=""),"",D468*E468)</f>
        <v/>
      </c>
      <c r="G468" s="15" t="n"/>
    </row>
    <row r="469">
      <c r="A469" s="19" t="n"/>
      <c r="B469" s="15" t="n"/>
      <c r="C469">
        <f>IF(B469="","",IFERROR(INDEX(Items!$B$5:$B$304,MATCH(B469,Items!$A$5:$A$304,0)),"Unknown code"))</f>
        <v/>
      </c>
      <c r="D469" s="15" t="n"/>
      <c r="E469" s="16" t="n"/>
      <c r="F469" s="18">
        <f>IF(OR(D469="",E469=""),"",D469*E469)</f>
        <v/>
      </c>
      <c r="G469" s="15" t="n"/>
    </row>
    <row r="470">
      <c r="A470" s="19" t="n"/>
      <c r="B470" s="15" t="n"/>
      <c r="C470">
        <f>IF(B470="","",IFERROR(INDEX(Items!$B$5:$B$304,MATCH(B470,Items!$A$5:$A$304,0)),"Unknown code"))</f>
        <v/>
      </c>
      <c r="D470" s="15" t="n"/>
      <c r="E470" s="16" t="n"/>
      <c r="F470" s="18">
        <f>IF(OR(D470="",E470=""),"",D470*E470)</f>
        <v/>
      </c>
      <c r="G470" s="15" t="n"/>
    </row>
    <row r="471">
      <c r="A471" s="19" t="n"/>
      <c r="B471" s="15" t="n"/>
      <c r="C471">
        <f>IF(B471="","",IFERROR(INDEX(Items!$B$5:$B$304,MATCH(B471,Items!$A$5:$A$304,0)),"Unknown code"))</f>
        <v/>
      </c>
      <c r="D471" s="15" t="n"/>
      <c r="E471" s="16" t="n"/>
      <c r="F471" s="18">
        <f>IF(OR(D471="",E471=""),"",D471*E471)</f>
        <v/>
      </c>
      <c r="G471" s="15" t="n"/>
    </row>
    <row r="472">
      <c r="A472" s="19" t="n"/>
      <c r="B472" s="15" t="n"/>
      <c r="C472">
        <f>IF(B472="","",IFERROR(INDEX(Items!$B$5:$B$304,MATCH(B472,Items!$A$5:$A$304,0)),"Unknown code"))</f>
        <v/>
      </c>
      <c r="D472" s="15" t="n"/>
      <c r="E472" s="16" t="n"/>
      <c r="F472" s="18">
        <f>IF(OR(D472="",E472=""),"",D472*E472)</f>
        <v/>
      </c>
      <c r="G472" s="15" t="n"/>
    </row>
    <row r="473">
      <c r="A473" s="19" t="n"/>
      <c r="B473" s="15" t="n"/>
      <c r="C473">
        <f>IF(B473="","",IFERROR(INDEX(Items!$B$5:$B$304,MATCH(B473,Items!$A$5:$A$304,0)),"Unknown code"))</f>
        <v/>
      </c>
      <c r="D473" s="15" t="n"/>
      <c r="E473" s="16" t="n"/>
      <c r="F473" s="18">
        <f>IF(OR(D473="",E473=""),"",D473*E473)</f>
        <v/>
      </c>
      <c r="G473" s="15" t="n"/>
    </row>
    <row r="474">
      <c r="A474" s="19" t="n"/>
      <c r="B474" s="15" t="n"/>
      <c r="C474">
        <f>IF(B474="","",IFERROR(INDEX(Items!$B$5:$B$304,MATCH(B474,Items!$A$5:$A$304,0)),"Unknown code"))</f>
        <v/>
      </c>
      <c r="D474" s="15" t="n"/>
      <c r="E474" s="16" t="n"/>
      <c r="F474" s="18">
        <f>IF(OR(D474="",E474=""),"",D474*E474)</f>
        <v/>
      </c>
      <c r="G474" s="15" t="n"/>
    </row>
    <row r="475">
      <c r="A475" s="19" t="n"/>
      <c r="B475" s="15" t="n"/>
      <c r="C475">
        <f>IF(B475="","",IFERROR(INDEX(Items!$B$5:$B$304,MATCH(B475,Items!$A$5:$A$304,0)),"Unknown code"))</f>
        <v/>
      </c>
      <c r="D475" s="15" t="n"/>
      <c r="E475" s="16" t="n"/>
      <c r="F475" s="18">
        <f>IF(OR(D475="",E475=""),"",D475*E475)</f>
        <v/>
      </c>
      <c r="G475" s="15" t="n"/>
    </row>
    <row r="476">
      <c r="A476" s="19" t="n"/>
      <c r="B476" s="15" t="n"/>
      <c r="C476">
        <f>IF(B476="","",IFERROR(INDEX(Items!$B$5:$B$304,MATCH(B476,Items!$A$5:$A$304,0)),"Unknown code"))</f>
        <v/>
      </c>
      <c r="D476" s="15" t="n"/>
      <c r="E476" s="16" t="n"/>
      <c r="F476" s="18">
        <f>IF(OR(D476="",E476=""),"",D476*E476)</f>
        <v/>
      </c>
      <c r="G476" s="15" t="n"/>
    </row>
    <row r="477">
      <c r="A477" s="19" t="n"/>
      <c r="B477" s="15" t="n"/>
      <c r="C477">
        <f>IF(B477="","",IFERROR(INDEX(Items!$B$5:$B$304,MATCH(B477,Items!$A$5:$A$304,0)),"Unknown code"))</f>
        <v/>
      </c>
      <c r="D477" s="15" t="n"/>
      <c r="E477" s="16" t="n"/>
      <c r="F477" s="18">
        <f>IF(OR(D477="",E477=""),"",D477*E477)</f>
        <v/>
      </c>
      <c r="G477" s="15" t="n"/>
    </row>
    <row r="478">
      <c r="A478" s="19" t="n"/>
      <c r="B478" s="15" t="n"/>
      <c r="C478">
        <f>IF(B478="","",IFERROR(INDEX(Items!$B$5:$B$304,MATCH(B478,Items!$A$5:$A$304,0)),"Unknown code"))</f>
        <v/>
      </c>
      <c r="D478" s="15" t="n"/>
      <c r="E478" s="16" t="n"/>
      <c r="F478" s="18">
        <f>IF(OR(D478="",E478=""),"",D478*E478)</f>
        <v/>
      </c>
      <c r="G478" s="15" t="n"/>
    </row>
    <row r="479">
      <c r="A479" s="19" t="n"/>
      <c r="B479" s="15" t="n"/>
      <c r="C479">
        <f>IF(B479="","",IFERROR(INDEX(Items!$B$5:$B$304,MATCH(B479,Items!$A$5:$A$304,0)),"Unknown code"))</f>
        <v/>
      </c>
      <c r="D479" s="15" t="n"/>
      <c r="E479" s="16" t="n"/>
      <c r="F479" s="18">
        <f>IF(OR(D479="",E479=""),"",D479*E479)</f>
        <v/>
      </c>
      <c r="G479" s="15" t="n"/>
    </row>
    <row r="480">
      <c r="A480" s="19" t="n"/>
      <c r="B480" s="15" t="n"/>
      <c r="C480">
        <f>IF(B480="","",IFERROR(INDEX(Items!$B$5:$B$304,MATCH(B480,Items!$A$5:$A$304,0)),"Unknown code"))</f>
        <v/>
      </c>
      <c r="D480" s="15" t="n"/>
      <c r="E480" s="16" t="n"/>
      <c r="F480" s="18">
        <f>IF(OR(D480="",E480=""),"",D480*E480)</f>
        <v/>
      </c>
      <c r="G480" s="15" t="n"/>
    </row>
    <row r="481">
      <c r="A481" s="19" t="n"/>
      <c r="B481" s="15" t="n"/>
      <c r="C481">
        <f>IF(B481="","",IFERROR(INDEX(Items!$B$5:$B$304,MATCH(B481,Items!$A$5:$A$304,0)),"Unknown code"))</f>
        <v/>
      </c>
      <c r="D481" s="15" t="n"/>
      <c r="E481" s="16" t="n"/>
      <c r="F481" s="18">
        <f>IF(OR(D481="",E481=""),"",D481*E481)</f>
        <v/>
      </c>
      <c r="G481" s="15" t="n"/>
    </row>
    <row r="482">
      <c r="A482" s="19" t="n"/>
      <c r="B482" s="15" t="n"/>
      <c r="C482">
        <f>IF(B482="","",IFERROR(INDEX(Items!$B$5:$B$304,MATCH(B482,Items!$A$5:$A$304,0)),"Unknown code"))</f>
        <v/>
      </c>
      <c r="D482" s="15" t="n"/>
      <c r="E482" s="16" t="n"/>
      <c r="F482" s="18">
        <f>IF(OR(D482="",E482=""),"",D482*E482)</f>
        <v/>
      </c>
      <c r="G482" s="15" t="n"/>
    </row>
    <row r="483">
      <c r="A483" s="19" t="n"/>
      <c r="B483" s="15" t="n"/>
      <c r="C483">
        <f>IF(B483="","",IFERROR(INDEX(Items!$B$5:$B$304,MATCH(B483,Items!$A$5:$A$304,0)),"Unknown code"))</f>
        <v/>
      </c>
      <c r="D483" s="15" t="n"/>
      <c r="E483" s="16" t="n"/>
      <c r="F483" s="18">
        <f>IF(OR(D483="",E483=""),"",D483*E483)</f>
        <v/>
      </c>
      <c r="G483" s="15" t="n"/>
    </row>
    <row r="484">
      <c r="A484" s="19" t="n"/>
      <c r="B484" s="15" t="n"/>
      <c r="C484">
        <f>IF(B484="","",IFERROR(INDEX(Items!$B$5:$B$304,MATCH(B484,Items!$A$5:$A$304,0)),"Unknown code"))</f>
        <v/>
      </c>
      <c r="D484" s="15" t="n"/>
      <c r="E484" s="16" t="n"/>
      <c r="F484" s="18">
        <f>IF(OR(D484="",E484=""),"",D484*E484)</f>
        <v/>
      </c>
      <c r="G484" s="15" t="n"/>
    </row>
    <row r="485">
      <c r="A485" s="19" t="n"/>
      <c r="B485" s="15" t="n"/>
      <c r="C485">
        <f>IF(B485="","",IFERROR(INDEX(Items!$B$5:$B$304,MATCH(B485,Items!$A$5:$A$304,0)),"Unknown code"))</f>
        <v/>
      </c>
      <c r="D485" s="15" t="n"/>
      <c r="E485" s="16" t="n"/>
      <c r="F485" s="18">
        <f>IF(OR(D485="",E485=""),"",D485*E485)</f>
        <v/>
      </c>
      <c r="G485" s="15" t="n"/>
    </row>
    <row r="486">
      <c r="A486" s="19" t="n"/>
      <c r="B486" s="15" t="n"/>
      <c r="C486">
        <f>IF(B486="","",IFERROR(INDEX(Items!$B$5:$B$304,MATCH(B486,Items!$A$5:$A$304,0)),"Unknown code"))</f>
        <v/>
      </c>
      <c r="D486" s="15" t="n"/>
      <c r="E486" s="16" t="n"/>
      <c r="F486" s="18">
        <f>IF(OR(D486="",E486=""),"",D486*E486)</f>
        <v/>
      </c>
      <c r="G486" s="15" t="n"/>
    </row>
    <row r="487">
      <c r="A487" s="19" t="n"/>
      <c r="B487" s="15" t="n"/>
      <c r="C487">
        <f>IF(B487="","",IFERROR(INDEX(Items!$B$5:$B$304,MATCH(B487,Items!$A$5:$A$304,0)),"Unknown code"))</f>
        <v/>
      </c>
      <c r="D487" s="15" t="n"/>
      <c r="E487" s="16" t="n"/>
      <c r="F487" s="18">
        <f>IF(OR(D487="",E487=""),"",D487*E487)</f>
        <v/>
      </c>
      <c r="G487" s="15" t="n"/>
    </row>
    <row r="488">
      <c r="A488" s="19" t="n"/>
      <c r="B488" s="15" t="n"/>
      <c r="C488">
        <f>IF(B488="","",IFERROR(INDEX(Items!$B$5:$B$304,MATCH(B488,Items!$A$5:$A$304,0)),"Unknown code"))</f>
        <v/>
      </c>
      <c r="D488" s="15" t="n"/>
      <c r="E488" s="16" t="n"/>
      <c r="F488" s="18">
        <f>IF(OR(D488="",E488=""),"",D488*E488)</f>
        <v/>
      </c>
      <c r="G488" s="15" t="n"/>
    </row>
    <row r="489">
      <c r="A489" s="19" t="n"/>
      <c r="B489" s="15" t="n"/>
      <c r="C489">
        <f>IF(B489="","",IFERROR(INDEX(Items!$B$5:$B$304,MATCH(B489,Items!$A$5:$A$304,0)),"Unknown code"))</f>
        <v/>
      </c>
      <c r="D489" s="15" t="n"/>
      <c r="E489" s="16" t="n"/>
      <c r="F489" s="18">
        <f>IF(OR(D489="",E489=""),"",D489*E489)</f>
        <v/>
      </c>
      <c r="G489" s="15" t="n"/>
    </row>
    <row r="490">
      <c r="A490" s="19" t="n"/>
      <c r="B490" s="15" t="n"/>
      <c r="C490">
        <f>IF(B490="","",IFERROR(INDEX(Items!$B$5:$B$304,MATCH(B490,Items!$A$5:$A$304,0)),"Unknown code"))</f>
        <v/>
      </c>
      <c r="D490" s="15" t="n"/>
      <c r="E490" s="16" t="n"/>
      <c r="F490" s="18">
        <f>IF(OR(D490="",E490=""),"",D490*E490)</f>
        <v/>
      </c>
      <c r="G490" s="15" t="n"/>
    </row>
    <row r="491">
      <c r="A491" s="19" t="n"/>
      <c r="B491" s="15" t="n"/>
      <c r="C491">
        <f>IF(B491="","",IFERROR(INDEX(Items!$B$5:$B$304,MATCH(B491,Items!$A$5:$A$304,0)),"Unknown code"))</f>
        <v/>
      </c>
      <c r="D491" s="15" t="n"/>
      <c r="E491" s="16" t="n"/>
      <c r="F491" s="18">
        <f>IF(OR(D491="",E491=""),"",D491*E491)</f>
        <v/>
      </c>
      <c r="G491" s="15" t="n"/>
    </row>
    <row r="492">
      <c r="A492" s="19" t="n"/>
      <c r="B492" s="15" t="n"/>
      <c r="C492">
        <f>IF(B492="","",IFERROR(INDEX(Items!$B$5:$B$304,MATCH(B492,Items!$A$5:$A$304,0)),"Unknown code"))</f>
        <v/>
      </c>
      <c r="D492" s="15" t="n"/>
      <c r="E492" s="16" t="n"/>
      <c r="F492" s="18">
        <f>IF(OR(D492="",E492=""),"",D492*E492)</f>
        <v/>
      </c>
      <c r="G492" s="15" t="n"/>
    </row>
    <row r="493">
      <c r="A493" s="19" t="n"/>
      <c r="B493" s="15" t="n"/>
      <c r="C493">
        <f>IF(B493="","",IFERROR(INDEX(Items!$B$5:$B$304,MATCH(B493,Items!$A$5:$A$304,0)),"Unknown code"))</f>
        <v/>
      </c>
      <c r="D493" s="15" t="n"/>
      <c r="E493" s="16" t="n"/>
      <c r="F493" s="18">
        <f>IF(OR(D493="",E493=""),"",D493*E493)</f>
        <v/>
      </c>
      <c r="G493" s="15" t="n"/>
    </row>
    <row r="494">
      <c r="A494" s="19" t="n"/>
      <c r="B494" s="15" t="n"/>
      <c r="C494">
        <f>IF(B494="","",IFERROR(INDEX(Items!$B$5:$B$304,MATCH(B494,Items!$A$5:$A$304,0)),"Unknown code"))</f>
        <v/>
      </c>
      <c r="D494" s="15" t="n"/>
      <c r="E494" s="16" t="n"/>
      <c r="F494" s="18">
        <f>IF(OR(D494="",E494=""),"",D494*E494)</f>
        <v/>
      </c>
      <c r="G494" s="15" t="n"/>
    </row>
    <row r="495">
      <c r="A495" s="19" t="n"/>
      <c r="B495" s="15" t="n"/>
      <c r="C495">
        <f>IF(B495="","",IFERROR(INDEX(Items!$B$5:$B$304,MATCH(B495,Items!$A$5:$A$304,0)),"Unknown code"))</f>
        <v/>
      </c>
      <c r="D495" s="15" t="n"/>
      <c r="E495" s="16" t="n"/>
      <c r="F495" s="18">
        <f>IF(OR(D495="",E495=""),"",D495*E495)</f>
        <v/>
      </c>
      <c r="G495" s="15" t="n"/>
    </row>
    <row r="496">
      <c r="A496" s="19" t="n"/>
      <c r="B496" s="15" t="n"/>
      <c r="C496">
        <f>IF(B496="","",IFERROR(INDEX(Items!$B$5:$B$304,MATCH(B496,Items!$A$5:$A$304,0)),"Unknown code"))</f>
        <v/>
      </c>
      <c r="D496" s="15" t="n"/>
      <c r="E496" s="16" t="n"/>
      <c r="F496" s="18">
        <f>IF(OR(D496="",E496=""),"",D496*E496)</f>
        <v/>
      </c>
      <c r="G496" s="15" t="n"/>
    </row>
    <row r="497">
      <c r="A497" s="19" t="n"/>
      <c r="B497" s="15" t="n"/>
      <c r="C497">
        <f>IF(B497="","",IFERROR(INDEX(Items!$B$5:$B$304,MATCH(B497,Items!$A$5:$A$304,0)),"Unknown code"))</f>
        <v/>
      </c>
      <c r="D497" s="15" t="n"/>
      <c r="E497" s="16" t="n"/>
      <c r="F497" s="18">
        <f>IF(OR(D497="",E497=""),"",D497*E497)</f>
        <v/>
      </c>
      <c r="G497" s="15" t="n"/>
    </row>
    <row r="498">
      <c r="A498" s="19" t="n"/>
      <c r="B498" s="15" t="n"/>
      <c r="C498">
        <f>IF(B498="","",IFERROR(INDEX(Items!$B$5:$B$304,MATCH(B498,Items!$A$5:$A$304,0)),"Unknown code"))</f>
        <v/>
      </c>
      <c r="D498" s="15" t="n"/>
      <c r="E498" s="16" t="n"/>
      <c r="F498" s="18">
        <f>IF(OR(D498="",E498=""),"",D498*E498)</f>
        <v/>
      </c>
      <c r="G498" s="15" t="n"/>
    </row>
    <row r="499">
      <c r="A499" s="19" t="n"/>
      <c r="B499" s="15" t="n"/>
      <c r="C499">
        <f>IF(B499="","",IFERROR(INDEX(Items!$B$5:$B$304,MATCH(B499,Items!$A$5:$A$304,0)),"Unknown code"))</f>
        <v/>
      </c>
      <c r="D499" s="15" t="n"/>
      <c r="E499" s="16" t="n"/>
      <c r="F499" s="18">
        <f>IF(OR(D499="",E499=""),"",D499*E499)</f>
        <v/>
      </c>
      <c r="G499" s="15" t="n"/>
    </row>
    <row r="500">
      <c r="A500" s="19" t="n"/>
      <c r="B500" s="15" t="n"/>
      <c r="C500">
        <f>IF(B500="","",IFERROR(INDEX(Items!$B$5:$B$304,MATCH(B500,Items!$A$5:$A$304,0)),"Unknown code"))</f>
        <v/>
      </c>
      <c r="D500" s="15" t="n"/>
      <c r="E500" s="16" t="n"/>
      <c r="F500" s="18">
        <f>IF(OR(D500="",E500=""),"",D500*E500)</f>
        <v/>
      </c>
      <c r="G500" s="15" t="n"/>
    </row>
    <row r="501">
      <c r="A501" s="19" t="n"/>
      <c r="B501" s="15" t="n"/>
      <c r="C501">
        <f>IF(B501="","",IFERROR(INDEX(Items!$B$5:$B$304,MATCH(B501,Items!$A$5:$A$304,0)),"Unknown code"))</f>
        <v/>
      </c>
      <c r="D501" s="15" t="n"/>
      <c r="E501" s="16" t="n"/>
      <c r="F501" s="18">
        <f>IF(OR(D501="",E501=""),"",D501*E501)</f>
        <v/>
      </c>
      <c r="G501" s="15" t="n"/>
    </row>
    <row r="502">
      <c r="A502" s="19" t="n"/>
      <c r="B502" s="15" t="n"/>
      <c r="C502">
        <f>IF(B502="","",IFERROR(INDEX(Items!$B$5:$B$304,MATCH(B502,Items!$A$5:$A$304,0)),"Unknown code"))</f>
        <v/>
      </c>
      <c r="D502" s="15" t="n"/>
      <c r="E502" s="16" t="n"/>
      <c r="F502" s="18">
        <f>IF(OR(D502="",E502=""),"",D502*E502)</f>
        <v/>
      </c>
      <c r="G502" s="15" t="n"/>
    </row>
    <row r="503">
      <c r="A503" s="19" t="n"/>
      <c r="B503" s="15" t="n"/>
      <c r="C503">
        <f>IF(B503="","",IFERROR(INDEX(Items!$B$5:$B$304,MATCH(B503,Items!$A$5:$A$304,0)),"Unknown code"))</f>
        <v/>
      </c>
      <c r="D503" s="15" t="n"/>
      <c r="E503" s="16" t="n"/>
      <c r="F503" s="18">
        <f>IF(OR(D503="",E503=""),"",D503*E503)</f>
        <v/>
      </c>
      <c r="G503" s="15" t="n"/>
    </row>
    <row r="504">
      <c r="A504" s="19" t="n"/>
      <c r="B504" s="15" t="n"/>
      <c r="C504">
        <f>IF(B504="","",IFERROR(INDEX(Items!$B$5:$B$304,MATCH(B504,Items!$A$5:$A$304,0)),"Unknown code"))</f>
        <v/>
      </c>
      <c r="D504" s="15" t="n"/>
      <c r="E504" s="16" t="n"/>
      <c r="F504" s="18">
        <f>IF(OR(D504="",E504=""),"",D504*E504)</f>
        <v/>
      </c>
      <c r="G504" s="15" t="n"/>
    </row>
    <row r="505">
      <c r="A505" s="19" t="n"/>
      <c r="B505" s="15" t="n"/>
      <c r="C505">
        <f>IF(B505="","",IFERROR(INDEX(Items!$B$5:$B$304,MATCH(B505,Items!$A$5:$A$304,0)),"Unknown code"))</f>
        <v/>
      </c>
      <c r="D505" s="15" t="n"/>
      <c r="E505" s="16" t="n"/>
      <c r="F505" s="18">
        <f>IF(OR(D505="",E505=""),"",D505*E505)</f>
        <v/>
      </c>
      <c r="G505" s="15" t="n"/>
    </row>
    <row r="506">
      <c r="A506" s="19" t="n"/>
      <c r="B506" s="15" t="n"/>
      <c r="C506">
        <f>IF(B506="","",IFERROR(INDEX(Items!$B$5:$B$304,MATCH(B506,Items!$A$5:$A$304,0)),"Unknown code"))</f>
        <v/>
      </c>
      <c r="D506" s="15" t="n"/>
      <c r="E506" s="16" t="n"/>
      <c r="F506" s="18">
        <f>IF(OR(D506="",E506=""),"",D506*E506)</f>
        <v/>
      </c>
      <c r="G506" s="15" t="n"/>
    </row>
    <row r="507">
      <c r="A507" s="19" t="n"/>
      <c r="B507" s="15" t="n"/>
      <c r="C507">
        <f>IF(B507="","",IFERROR(INDEX(Items!$B$5:$B$304,MATCH(B507,Items!$A$5:$A$304,0)),"Unknown code"))</f>
        <v/>
      </c>
      <c r="D507" s="15" t="n"/>
      <c r="E507" s="16" t="n"/>
      <c r="F507" s="18">
        <f>IF(OR(D507="",E507=""),"",D507*E507)</f>
        <v/>
      </c>
      <c r="G507" s="15" t="n"/>
    </row>
    <row r="508">
      <c r="A508" s="19" t="n"/>
      <c r="B508" s="15" t="n"/>
      <c r="C508">
        <f>IF(B508="","",IFERROR(INDEX(Items!$B$5:$B$304,MATCH(B508,Items!$A$5:$A$304,0)),"Unknown code"))</f>
        <v/>
      </c>
      <c r="D508" s="15" t="n"/>
      <c r="E508" s="16" t="n"/>
      <c r="F508" s="18">
        <f>IF(OR(D508="",E508=""),"",D508*E508)</f>
        <v/>
      </c>
      <c r="G508" s="15" t="n"/>
    </row>
    <row r="509">
      <c r="A509" s="19" t="n"/>
      <c r="B509" s="15" t="n"/>
      <c r="C509">
        <f>IF(B509="","",IFERROR(INDEX(Items!$B$5:$B$304,MATCH(B509,Items!$A$5:$A$304,0)),"Unknown code"))</f>
        <v/>
      </c>
      <c r="D509" s="15" t="n"/>
      <c r="E509" s="16" t="n"/>
      <c r="F509" s="18">
        <f>IF(OR(D509="",E509=""),"",D509*E509)</f>
        <v/>
      </c>
      <c r="G509" s="15" t="n"/>
    </row>
    <row r="510">
      <c r="A510" s="19" t="n"/>
      <c r="B510" s="15" t="n"/>
      <c r="C510">
        <f>IF(B510="","",IFERROR(INDEX(Items!$B$5:$B$304,MATCH(B510,Items!$A$5:$A$304,0)),"Unknown code"))</f>
        <v/>
      </c>
      <c r="D510" s="15" t="n"/>
      <c r="E510" s="16" t="n"/>
      <c r="F510" s="18">
        <f>IF(OR(D510="",E510=""),"",D510*E510)</f>
        <v/>
      </c>
      <c r="G510" s="15" t="n"/>
    </row>
    <row r="511">
      <c r="A511" s="19" t="n"/>
      <c r="B511" s="15" t="n"/>
      <c r="C511">
        <f>IF(B511="","",IFERROR(INDEX(Items!$B$5:$B$304,MATCH(B511,Items!$A$5:$A$304,0)),"Unknown code"))</f>
        <v/>
      </c>
      <c r="D511" s="15" t="n"/>
      <c r="E511" s="16" t="n"/>
      <c r="F511" s="18">
        <f>IF(OR(D511="",E511=""),"",D511*E511)</f>
        <v/>
      </c>
      <c r="G511" s="15" t="n"/>
    </row>
    <row r="512">
      <c r="A512" s="19" t="n"/>
      <c r="B512" s="15" t="n"/>
      <c r="C512">
        <f>IF(B512="","",IFERROR(INDEX(Items!$B$5:$B$304,MATCH(B512,Items!$A$5:$A$304,0)),"Unknown code"))</f>
        <v/>
      </c>
      <c r="D512" s="15" t="n"/>
      <c r="E512" s="16" t="n"/>
      <c r="F512" s="18">
        <f>IF(OR(D512="",E512=""),"",D512*E512)</f>
        <v/>
      </c>
      <c r="G512" s="15" t="n"/>
    </row>
    <row r="513">
      <c r="A513" s="19" t="n"/>
      <c r="B513" s="15" t="n"/>
      <c r="C513">
        <f>IF(B513="","",IFERROR(INDEX(Items!$B$5:$B$304,MATCH(B513,Items!$A$5:$A$304,0)),"Unknown code"))</f>
        <v/>
      </c>
      <c r="D513" s="15" t="n"/>
      <c r="E513" s="16" t="n"/>
      <c r="F513" s="18">
        <f>IF(OR(D513="",E513=""),"",D513*E513)</f>
        <v/>
      </c>
      <c r="G513" s="15" t="n"/>
    </row>
    <row r="514">
      <c r="A514" s="19" t="n"/>
      <c r="B514" s="15" t="n"/>
      <c r="C514">
        <f>IF(B514="","",IFERROR(INDEX(Items!$B$5:$B$304,MATCH(B514,Items!$A$5:$A$304,0)),"Unknown code"))</f>
        <v/>
      </c>
      <c r="D514" s="15" t="n"/>
      <c r="E514" s="16" t="n"/>
      <c r="F514" s="18">
        <f>IF(OR(D514="",E514=""),"",D514*E514)</f>
        <v/>
      </c>
      <c r="G514" s="15" t="n"/>
    </row>
    <row r="515">
      <c r="A515" s="19" t="n"/>
      <c r="B515" s="15" t="n"/>
      <c r="C515">
        <f>IF(B515="","",IFERROR(INDEX(Items!$B$5:$B$304,MATCH(B515,Items!$A$5:$A$304,0)),"Unknown code"))</f>
        <v/>
      </c>
      <c r="D515" s="15" t="n"/>
      <c r="E515" s="16" t="n"/>
      <c r="F515" s="18">
        <f>IF(OR(D515="",E515=""),"",D515*E515)</f>
        <v/>
      </c>
      <c r="G515" s="15" t="n"/>
    </row>
    <row r="516">
      <c r="A516" s="19" t="n"/>
      <c r="B516" s="15" t="n"/>
      <c r="C516">
        <f>IF(B516="","",IFERROR(INDEX(Items!$B$5:$B$304,MATCH(B516,Items!$A$5:$A$304,0)),"Unknown code"))</f>
        <v/>
      </c>
      <c r="D516" s="15" t="n"/>
      <c r="E516" s="16" t="n"/>
      <c r="F516" s="18">
        <f>IF(OR(D516="",E516=""),"",D516*E516)</f>
        <v/>
      </c>
      <c r="G516" s="15" t="n"/>
    </row>
    <row r="517">
      <c r="A517" s="19" t="n"/>
      <c r="B517" s="15" t="n"/>
      <c r="C517">
        <f>IF(B517="","",IFERROR(INDEX(Items!$B$5:$B$304,MATCH(B517,Items!$A$5:$A$304,0)),"Unknown code"))</f>
        <v/>
      </c>
      <c r="D517" s="15" t="n"/>
      <c r="E517" s="16" t="n"/>
      <c r="F517" s="18">
        <f>IF(OR(D517="",E517=""),"",D517*E517)</f>
        <v/>
      </c>
      <c r="G517" s="15" t="n"/>
    </row>
    <row r="518">
      <c r="A518" s="19" t="n"/>
      <c r="B518" s="15" t="n"/>
      <c r="C518">
        <f>IF(B518="","",IFERROR(INDEX(Items!$B$5:$B$304,MATCH(B518,Items!$A$5:$A$304,0)),"Unknown code"))</f>
        <v/>
      </c>
      <c r="D518" s="15" t="n"/>
      <c r="E518" s="16" t="n"/>
      <c r="F518" s="18">
        <f>IF(OR(D518="",E518=""),"",D518*E518)</f>
        <v/>
      </c>
      <c r="G518" s="15" t="n"/>
    </row>
    <row r="519">
      <c r="A519" s="19" t="n"/>
      <c r="B519" s="15" t="n"/>
      <c r="C519">
        <f>IF(B519="","",IFERROR(INDEX(Items!$B$5:$B$304,MATCH(B519,Items!$A$5:$A$304,0)),"Unknown code"))</f>
        <v/>
      </c>
      <c r="D519" s="15" t="n"/>
      <c r="E519" s="16" t="n"/>
      <c r="F519" s="18">
        <f>IF(OR(D519="",E519=""),"",D519*E519)</f>
        <v/>
      </c>
      <c r="G519" s="15" t="n"/>
    </row>
    <row r="520">
      <c r="A520" s="19" t="n"/>
      <c r="B520" s="15" t="n"/>
      <c r="C520">
        <f>IF(B520="","",IFERROR(INDEX(Items!$B$5:$B$304,MATCH(B520,Items!$A$5:$A$304,0)),"Unknown code"))</f>
        <v/>
      </c>
      <c r="D520" s="15" t="n"/>
      <c r="E520" s="16" t="n"/>
      <c r="F520" s="18">
        <f>IF(OR(D520="",E520=""),"",D520*E520)</f>
        <v/>
      </c>
      <c r="G520" s="15" t="n"/>
    </row>
    <row r="521">
      <c r="A521" s="19" t="n"/>
      <c r="B521" s="15" t="n"/>
      <c r="C521">
        <f>IF(B521="","",IFERROR(INDEX(Items!$B$5:$B$304,MATCH(B521,Items!$A$5:$A$304,0)),"Unknown code"))</f>
        <v/>
      </c>
      <c r="D521" s="15" t="n"/>
      <c r="E521" s="16" t="n"/>
      <c r="F521" s="18">
        <f>IF(OR(D521="",E521=""),"",D521*E521)</f>
        <v/>
      </c>
      <c r="G521" s="15" t="n"/>
    </row>
    <row r="522">
      <c r="A522" s="19" t="n"/>
      <c r="B522" s="15" t="n"/>
      <c r="C522">
        <f>IF(B522="","",IFERROR(INDEX(Items!$B$5:$B$304,MATCH(B522,Items!$A$5:$A$304,0)),"Unknown code"))</f>
        <v/>
      </c>
      <c r="D522" s="15" t="n"/>
      <c r="E522" s="16" t="n"/>
      <c r="F522" s="18">
        <f>IF(OR(D522="",E522=""),"",D522*E522)</f>
        <v/>
      </c>
      <c r="G522" s="15" t="n"/>
    </row>
    <row r="523">
      <c r="A523" s="19" t="n"/>
      <c r="B523" s="15" t="n"/>
      <c r="C523">
        <f>IF(B523="","",IFERROR(INDEX(Items!$B$5:$B$304,MATCH(B523,Items!$A$5:$A$304,0)),"Unknown code"))</f>
        <v/>
      </c>
      <c r="D523" s="15" t="n"/>
      <c r="E523" s="16" t="n"/>
      <c r="F523" s="18">
        <f>IF(OR(D523="",E523=""),"",D523*E523)</f>
        <v/>
      </c>
      <c r="G523" s="15" t="n"/>
    </row>
    <row r="524">
      <c r="A524" s="19" t="n"/>
      <c r="B524" s="15" t="n"/>
      <c r="C524">
        <f>IF(B524="","",IFERROR(INDEX(Items!$B$5:$B$304,MATCH(B524,Items!$A$5:$A$304,0)),"Unknown code"))</f>
        <v/>
      </c>
      <c r="D524" s="15" t="n"/>
      <c r="E524" s="16" t="n"/>
      <c r="F524" s="18">
        <f>IF(OR(D524="",E524=""),"",D524*E524)</f>
        <v/>
      </c>
      <c r="G524" s="15" t="n"/>
    </row>
    <row r="525">
      <c r="A525" s="19" t="n"/>
      <c r="B525" s="15" t="n"/>
      <c r="C525">
        <f>IF(B525="","",IFERROR(INDEX(Items!$B$5:$B$304,MATCH(B525,Items!$A$5:$A$304,0)),"Unknown code"))</f>
        <v/>
      </c>
      <c r="D525" s="15" t="n"/>
      <c r="E525" s="16" t="n"/>
      <c r="F525" s="18">
        <f>IF(OR(D525="",E525=""),"",D525*E525)</f>
        <v/>
      </c>
      <c r="G525" s="15" t="n"/>
    </row>
    <row r="526">
      <c r="A526" s="19" t="n"/>
      <c r="B526" s="15" t="n"/>
      <c r="C526">
        <f>IF(B526="","",IFERROR(INDEX(Items!$B$5:$B$304,MATCH(B526,Items!$A$5:$A$304,0)),"Unknown code"))</f>
        <v/>
      </c>
      <c r="D526" s="15" t="n"/>
      <c r="E526" s="16" t="n"/>
      <c r="F526" s="18">
        <f>IF(OR(D526="",E526=""),"",D526*E526)</f>
        <v/>
      </c>
      <c r="G526" s="15" t="n"/>
    </row>
    <row r="527">
      <c r="A527" s="19" t="n"/>
      <c r="B527" s="15" t="n"/>
      <c r="C527">
        <f>IF(B527="","",IFERROR(INDEX(Items!$B$5:$B$304,MATCH(B527,Items!$A$5:$A$304,0)),"Unknown code"))</f>
        <v/>
      </c>
      <c r="D527" s="15" t="n"/>
      <c r="E527" s="16" t="n"/>
      <c r="F527" s="18">
        <f>IF(OR(D527="",E527=""),"",D527*E527)</f>
        <v/>
      </c>
      <c r="G527" s="15" t="n"/>
    </row>
    <row r="528">
      <c r="A528" s="19" t="n"/>
      <c r="B528" s="15" t="n"/>
      <c r="C528">
        <f>IF(B528="","",IFERROR(INDEX(Items!$B$5:$B$304,MATCH(B528,Items!$A$5:$A$304,0)),"Unknown code"))</f>
        <v/>
      </c>
      <c r="D528" s="15" t="n"/>
      <c r="E528" s="16" t="n"/>
      <c r="F528" s="18">
        <f>IF(OR(D528="",E528=""),"",D528*E528)</f>
        <v/>
      </c>
      <c r="G528" s="15" t="n"/>
    </row>
    <row r="529">
      <c r="A529" s="19" t="n"/>
      <c r="B529" s="15" t="n"/>
      <c r="C529">
        <f>IF(B529="","",IFERROR(INDEX(Items!$B$5:$B$304,MATCH(B529,Items!$A$5:$A$304,0)),"Unknown code"))</f>
        <v/>
      </c>
      <c r="D529" s="15" t="n"/>
      <c r="E529" s="16" t="n"/>
      <c r="F529" s="18">
        <f>IF(OR(D529="",E529=""),"",D529*E529)</f>
        <v/>
      </c>
      <c r="G529" s="15" t="n"/>
    </row>
    <row r="530">
      <c r="A530" s="19" t="n"/>
      <c r="B530" s="15" t="n"/>
      <c r="C530">
        <f>IF(B530="","",IFERROR(INDEX(Items!$B$5:$B$304,MATCH(B530,Items!$A$5:$A$304,0)),"Unknown code"))</f>
        <v/>
      </c>
      <c r="D530" s="15" t="n"/>
      <c r="E530" s="16" t="n"/>
      <c r="F530" s="18">
        <f>IF(OR(D530="",E530=""),"",D530*E530)</f>
        <v/>
      </c>
      <c r="G530" s="15" t="n"/>
    </row>
    <row r="531">
      <c r="A531" s="19" t="n"/>
      <c r="B531" s="15" t="n"/>
      <c r="C531">
        <f>IF(B531="","",IFERROR(INDEX(Items!$B$5:$B$304,MATCH(B531,Items!$A$5:$A$304,0)),"Unknown code"))</f>
        <v/>
      </c>
      <c r="D531" s="15" t="n"/>
      <c r="E531" s="16" t="n"/>
      <c r="F531" s="18">
        <f>IF(OR(D531="",E531=""),"",D531*E531)</f>
        <v/>
      </c>
      <c r="G531" s="15" t="n"/>
    </row>
    <row r="532">
      <c r="A532" s="19" t="n"/>
      <c r="B532" s="15" t="n"/>
      <c r="C532">
        <f>IF(B532="","",IFERROR(INDEX(Items!$B$5:$B$304,MATCH(B532,Items!$A$5:$A$304,0)),"Unknown code"))</f>
        <v/>
      </c>
      <c r="D532" s="15" t="n"/>
      <c r="E532" s="16" t="n"/>
      <c r="F532" s="18">
        <f>IF(OR(D532="",E532=""),"",D532*E532)</f>
        <v/>
      </c>
      <c r="G532" s="15" t="n"/>
    </row>
    <row r="533">
      <c r="A533" s="19" t="n"/>
      <c r="B533" s="15" t="n"/>
      <c r="C533">
        <f>IF(B533="","",IFERROR(INDEX(Items!$B$5:$B$304,MATCH(B533,Items!$A$5:$A$304,0)),"Unknown code"))</f>
        <v/>
      </c>
      <c r="D533" s="15" t="n"/>
      <c r="E533" s="16" t="n"/>
      <c r="F533" s="18">
        <f>IF(OR(D533="",E533=""),"",D533*E533)</f>
        <v/>
      </c>
      <c r="G533" s="15" t="n"/>
    </row>
    <row r="534">
      <c r="A534" s="19" t="n"/>
      <c r="B534" s="15" t="n"/>
      <c r="C534">
        <f>IF(B534="","",IFERROR(INDEX(Items!$B$5:$B$304,MATCH(B534,Items!$A$5:$A$304,0)),"Unknown code"))</f>
        <v/>
      </c>
      <c r="D534" s="15" t="n"/>
      <c r="E534" s="16" t="n"/>
      <c r="F534" s="18">
        <f>IF(OR(D534="",E534=""),"",D534*E534)</f>
        <v/>
      </c>
      <c r="G534" s="15" t="n"/>
    </row>
    <row r="535">
      <c r="A535" s="19" t="n"/>
      <c r="B535" s="15" t="n"/>
      <c r="C535">
        <f>IF(B535="","",IFERROR(INDEX(Items!$B$5:$B$304,MATCH(B535,Items!$A$5:$A$304,0)),"Unknown code"))</f>
        <v/>
      </c>
      <c r="D535" s="15" t="n"/>
      <c r="E535" s="16" t="n"/>
      <c r="F535" s="18">
        <f>IF(OR(D535="",E535=""),"",D535*E535)</f>
        <v/>
      </c>
      <c r="G535" s="15" t="n"/>
    </row>
    <row r="536">
      <c r="A536" s="19" t="n"/>
      <c r="B536" s="15" t="n"/>
      <c r="C536">
        <f>IF(B536="","",IFERROR(INDEX(Items!$B$5:$B$304,MATCH(B536,Items!$A$5:$A$304,0)),"Unknown code"))</f>
        <v/>
      </c>
      <c r="D536" s="15" t="n"/>
      <c r="E536" s="16" t="n"/>
      <c r="F536" s="18">
        <f>IF(OR(D536="",E536=""),"",D536*E536)</f>
        <v/>
      </c>
      <c r="G536" s="15" t="n"/>
    </row>
    <row r="537">
      <c r="A537" s="19" t="n"/>
      <c r="B537" s="15" t="n"/>
      <c r="C537">
        <f>IF(B537="","",IFERROR(INDEX(Items!$B$5:$B$304,MATCH(B537,Items!$A$5:$A$304,0)),"Unknown code"))</f>
        <v/>
      </c>
      <c r="D537" s="15" t="n"/>
      <c r="E537" s="16" t="n"/>
      <c r="F537" s="18">
        <f>IF(OR(D537="",E537=""),"",D537*E537)</f>
        <v/>
      </c>
      <c r="G537" s="15" t="n"/>
    </row>
    <row r="538">
      <c r="A538" s="19" t="n"/>
      <c r="B538" s="15" t="n"/>
      <c r="C538">
        <f>IF(B538="","",IFERROR(INDEX(Items!$B$5:$B$304,MATCH(B538,Items!$A$5:$A$304,0)),"Unknown code"))</f>
        <v/>
      </c>
      <c r="D538" s="15" t="n"/>
      <c r="E538" s="16" t="n"/>
      <c r="F538" s="18">
        <f>IF(OR(D538="",E538=""),"",D538*E538)</f>
        <v/>
      </c>
      <c r="G538" s="15" t="n"/>
    </row>
    <row r="539">
      <c r="A539" s="19" t="n"/>
      <c r="B539" s="15" t="n"/>
      <c r="C539">
        <f>IF(B539="","",IFERROR(INDEX(Items!$B$5:$B$304,MATCH(B539,Items!$A$5:$A$304,0)),"Unknown code"))</f>
        <v/>
      </c>
      <c r="D539" s="15" t="n"/>
      <c r="E539" s="16" t="n"/>
      <c r="F539" s="18">
        <f>IF(OR(D539="",E539=""),"",D539*E539)</f>
        <v/>
      </c>
      <c r="G539" s="15" t="n"/>
    </row>
    <row r="540">
      <c r="A540" s="19" t="n"/>
      <c r="B540" s="15" t="n"/>
      <c r="C540">
        <f>IF(B540="","",IFERROR(INDEX(Items!$B$5:$B$304,MATCH(B540,Items!$A$5:$A$304,0)),"Unknown code"))</f>
        <v/>
      </c>
      <c r="D540" s="15" t="n"/>
      <c r="E540" s="16" t="n"/>
      <c r="F540" s="18">
        <f>IF(OR(D540="",E540=""),"",D540*E540)</f>
        <v/>
      </c>
      <c r="G540" s="15" t="n"/>
    </row>
    <row r="541">
      <c r="A541" s="19" t="n"/>
      <c r="B541" s="15" t="n"/>
      <c r="C541">
        <f>IF(B541="","",IFERROR(INDEX(Items!$B$5:$B$304,MATCH(B541,Items!$A$5:$A$304,0)),"Unknown code"))</f>
        <v/>
      </c>
      <c r="D541" s="15" t="n"/>
      <c r="E541" s="16" t="n"/>
      <c r="F541" s="18">
        <f>IF(OR(D541="",E541=""),"",D541*E541)</f>
        <v/>
      </c>
      <c r="G541" s="15" t="n"/>
    </row>
    <row r="542">
      <c r="A542" s="19" t="n"/>
      <c r="B542" s="15" t="n"/>
      <c r="C542">
        <f>IF(B542="","",IFERROR(INDEX(Items!$B$5:$B$304,MATCH(B542,Items!$A$5:$A$304,0)),"Unknown code"))</f>
        <v/>
      </c>
      <c r="D542" s="15" t="n"/>
      <c r="E542" s="16" t="n"/>
      <c r="F542" s="18">
        <f>IF(OR(D542="",E542=""),"",D542*E542)</f>
        <v/>
      </c>
      <c r="G542" s="15" t="n"/>
    </row>
    <row r="543">
      <c r="A543" s="19" t="n"/>
      <c r="B543" s="15" t="n"/>
      <c r="C543">
        <f>IF(B543="","",IFERROR(INDEX(Items!$B$5:$B$304,MATCH(B543,Items!$A$5:$A$304,0)),"Unknown code"))</f>
        <v/>
      </c>
      <c r="D543" s="15" t="n"/>
      <c r="E543" s="16" t="n"/>
      <c r="F543" s="18">
        <f>IF(OR(D543="",E543=""),"",D543*E543)</f>
        <v/>
      </c>
      <c r="G543" s="15" t="n"/>
    </row>
    <row r="544">
      <c r="A544" s="19" t="n"/>
      <c r="B544" s="15" t="n"/>
      <c r="C544">
        <f>IF(B544="","",IFERROR(INDEX(Items!$B$5:$B$304,MATCH(B544,Items!$A$5:$A$304,0)),"Unknown code"))</f>
        <v/>
      </c>
      <c r="D544" s="15" t="n"/>
      <c r="E544" s="16" t="n"/>
      <c r="F544" s="18">
        <f>IF(OR(D544="",E544=""),"",D544*E544)</f>
        <v/>
      </c>
      <c r="G544" s="15" t="n"/>
    </row>
    <row r="545">
      <c r="A545" s="19" t="n"/>
      <c r="B545" s="15" t="n"/>
      <c r="C545">
        <f>IF(B545="","",IFERROR(INDEX(Items!$B$5:$B$304,MATCH(B545,Items!$A$5:$A$304,0)),"Unknown code"))</f>
        <v/>
      </c>
      <c r="D545" s="15" t="n"/>
      <c r="E545" s="16" t="n"/>
      <c r="F545" s="18">
        <f>IF(OR(D545="",E545=""),"",D545*E545)</f>
        <v/>
      </c>
      <c r="G545" s="15" t="n"/>
    </row>
    <row r="546">
      <c r="A546" s="19" t="n"/>
      <c r="B546" s="15" t="n"/>
      <c r="C546">
        <f>IF(B546="","",IFERROR(INDEX(Items!$B$5:$B$304,MATCH(B546,Items!$A$5:$A$304,0)),"Unknown code"))</f>
        <v/>
      </c>
      <c r="D546" s="15" t="n"/>
      <c r="E546" s="16" t="n"/>
      <c r="F546" s="18">
        <f>IF(OR(D546="",E546=""),"",D546*E546)</f>
        <v/>
      </c>
      <c r="G546" s="15" t="n"/>
    </row>
    <row r="547">
      <c r="A547" s="19" t="n"/>
      <c r="B547" s="15" t="n"/>
      <c r="C547">
        <f>IF(B547="","",IFERROR(INDEX(Items!$B$5:$B$304,MATCH(B547,Items!$A$5:$A$304,0)),"Unknown code"))</f>
        <v/>
      </c>
      <c r="D547" s="15" t="n"/>
      <c r="E547" s="16" t="n"/>
      <c r="F547" s="18">
        <f>IF(OR(D547="",E547=""),"",D547*E547)</f>
        <v/>
      </c>
      <c r="G547" s="15" t="n"/>
    </row>
    <row r="548">
      <c r="A548" s="19" t="n"/>
      <c r="B548" s="15" t="n"/>
      <c r="C548">
        <f>IF(B548="","",IFERROR(INDEX(Items!$B$5:$B$304,MATCH(B548,Items!$A$5:$A$304,0)),"Unknown code"))</f>
        <v/>
      </c>
      <c r="D548" s="15" t="n"/>
      <c r="E548" s="16" t="n"/>
      <c r="F548" s="18">
        <f>IF(OR(D548="",E548=""),"",D548*E548)</f>
        <v/>
      </c>
      <c r="G548" s="15" t="n"/>
    </row>
    <row r="549">
      <c r="A549" s="19" t="n"/>
      <c r="B549" s="15" t="n"/>
      <c r="C549">
        <f>IF(B549="","",IFERROR(INDEX(Items!$B$5:$B$304,MATCH(B549,Items!$A$5:$A$304,0)),"Unknown code"))</f>
        <v/>
      </c>
      <c r="D549" s="15" t="n"/>
      <c r="E549" s="16" t="n"/>
      <c r="F549" s="18">
        <f>IF(OR(D549="",E549=""),"",D549*E549)</f>
        <v/>
      </c>
      <c r="G549" s="15" t="n"/>
    </row>
    <row r="550">
      <c r="A550" s="19" t="n"/>
      <c r="B550" s="15" t="n"/>
      <c r="C550">
        <f>IF(B550="","",IFERROR(INDEX(Items!$B$5:$B$304,MATCH(B550,Items!$A$5:$A$304,0)),"Unknown code"))</f>
        <v/>
      </c>
      <c r="D550" s="15" t="n"/>
      <c r="E550" s="16" t="n"/>
      <c r="F550" s="18">
        <f>IF(OR(D550="",E550=""),"",D550*E550)</f>
        <v/>
      </c>
      <c r="G550" s="15" t="n"/>
    </row>
    <row r="551">
      <c r="A551" s="19" t="n"/>
      <c r="B551" s="15" t="n"/>
      <c r="C551">
        <f>IF(B551="","",IFERROR(INDEX(Items!$B$5:$B$304,MATCH(B551,Items!$A$5:$A$304,0)),"Unknown code"))</f>
        <v/>
      </c>
      <c r="D551" s="15" t="n"/>
      <c r="E551" s="16" t="n"/>
      <c r="F551" s="18">
        <f>IF(OR(D551="",E551=""),"",D551*E551)</f>
        <v/>
      </c>
      <c r="G551" s="15" t="n"/>
    </row>
    <row r="552">
      <c r="A552" s="19" t="n"/>
      <c r="B552" s="15" t="n"/>
      <c r="C552">
        <f>IF(B552="","",IFERROR(INDEX(Items!$B$5:$B$304,MATCH(B552,Items!$A$5:$A$304,0)),"Unknown code"))</f>
        <v/>
      </c>
      <c r="D552" s="15" t="n"/>
      <c r="E552" s="16" t="n"/>
      <c r="F552" s="18">
        <f>IF(OR(D552="",E552=""),"",D552*E552)</f>
        <v/>
      </c>
      <c r="G552" s="15" t="n"/>
    </row>
    <row r="553">
      <c r="A553" s="19" t="n"/>
      <c r="B553" s="15" t="n"/>
      <c r="C553">
        <f>IF(B553="","",IFERROR(INDEX(Items!$B$5:$B$304,MATCH(B553,Items!$A$5:$A$304,0)),"Unknown code"))</f>
        <v/>
      </c>
      <c r="D553" s="15" t="n"/>
      <c r="E553" s="16" t="n"/>
      <c r="F553" s="18">
        <f>IF(OR(D553="",E553=""),"",D553*E553)</f>
        <v/>
      </c>
      <c r="G553" s="15" t="n"/>
    </row>
    <row r="554">
      <c r="A554" s="19" t="n"/>
      <c r="B554" s="15" t="n"/>
      <c r="C554">
        <f>IF(B554="","",IFERROR(INDEX(Items!$B$5:$B$304,MATCH(B554,Items!$A$5:$A$304,0)),"Unknown code"))</f>
        <v/>
      </c>
      <c r="D554" s="15" t="n"/>
      <c r="E554" s="16" t="n"/>
      <c r="F554" s="18">
        <f>IF(OR(D554="",E554=""),"",D554*E554)</f>
        <v/>
      </c>
      <c r="G554" s="15" t="n"/>
    </row>
    <row r="555">
      <c r="A555" s="19" t="n"/>
      <c r="B555" s="15" t="n"/>
      <c r="C555">
        <f>IF(B555="","",IFERROR(INDEX(Items!$B$5:$B$304,MATCH(B555,Items!$A$5:$A$304,0)),"Unknown code"))</f>
        <v/>
      </c>
      <c r="D555" s="15" t="n"/>
      <c r="E555" s="16" t="n"/>
      <c r="F555" s="18">
        <f>IF(OR(D555="",E555=""),"",D555*E555)</f>
        <v/>
      </c>
      <c r="G555" s="15" t="n"/>
    </row>
    <row r="556">
      <c r="A556" s="19" t="n"/>
      <c r="B556" s="15" t="n"/>
      <c r="C556">
        <f>IF(B556="","",IFERROR(INDEX(Items!$B$5:$B$304,MATCH(B556,Items!$A$5:$A$304,0)),"Unknown code"))</f>
        <v/>
      </c>
      <c r="D556" s="15" t="n"/>
      <c r="E556" s="16" t="n"/>
      <c r="F556" s="18">
        <f>IF(OR(D556="",E556=""),"",D556*E556)</f>
        <v/>
      </c>
      <c r="G556" s="15" t="n"/>
    </row>
    <row r="557">
      <c r="A557" s="19" t="n"/>
      <c r="B557" s="15" t="n"/>
      <c r="C557">
        <f>IF(B557="","",IFERROR(INDEX(Items!$B$5:$B$304,MATCH(B557,Items!$A$5:$A$304,0)),"Unknown code"))</f>
        <v/>
      </c>
      <c r="D557" s="15" t="n"/>
      <c r="E557" s="16" t="n"/>
      <c r="F557" s="18">
        <f>IF(OR(D557="",E557=""),"",D557*E557)</f>
        <v/>
      </c>
      <c r="G557" s="15" t="n"/>
    </row>
    <row r="558">
      <c r="A558" s="19" t="n"/>
      <c r="B558" s="15" t="n"/>
      <c r="C558">
        <f>IF(B558="","",IFERROR(INDEX(Items!$B$5:$B$304,MATCH(B558,Items!$A$5:$A$304,0)),"Unknown code"))</f>
        <v/>
      </c>
      <c r="D558" s="15" t="n"/>
      <c r="E558" s="16" t="n"/>
      <c r="F558" s="18">
        <f>IF(OR(D558="",E558=""),"",D558*E558)</f>
        <v/>
      </c>
      <c r="G558" s="15" t="n"/>
    </row>
    <row r="559">
      <c r="A559" s="19" t="n"/>
      <c r="B559" s="15" t="n"/>
      <c r="C559">
        <f>IF(B559="","",IFERROR(INDEX(Items!$B$5:$B$304,MATCH(B559,Items!$A$5:$A$304,0)),"Unknown code"))</f>
        <v/>
      </c>
      <c r="D559" s="15" t="n"/>
      <c r="E559" s="16" t="n"/>
      <c r="F559" s="18">
        <f>IF(OR(D559="",E559=""),"",D559*E559)</f>
        <v/>
      </c>
      <c r="G559" s="15" t="n"/>
    </row>
    <row r="560">
      <c r="A560" s="19" t="n"/>
      <c r="B560" s="15" t="n"/>
      <c r="C560">
        <f>IF(B560="","",IFERROR(INDEX(Items!$B$5:$B$304,MATCH(B560,Items!$A$5:$A$304,0)),"Unknown code"))</f>
        <v/>
      </c>
      <c r="D560" s="15" t="n"/>
      <c r="E560" s="16" t="n"/>
      <c r="F560" s="18">
        <f>IF(OR(D560="",E560=""),"",D560*E560)</f>
        <v/>
      </c>
      <c r="G560" s="15" t="n"/>
    </row>
    <row r="561">
      <c r="A561" s="19" t="n"/>
      <c r="B561" s="15" t="n"/>
      <c r="C561">
        <f>IF(B561="","",IFERROR(INDEX(Items!$B$5:$B$304,MATCH(B561,Items!$A$5:$A$304,0)),"Unknown code"))</f>
        <v/>
      </c>
      <c r="D561" s="15" t="n"/>
      <c r="E561" s="16" t="n"/>
      <c r="F561" s="18">
        <f>IF(OR(D561="",E561=""),"",D561*E561)</f>
        <v/>
      </c>
      <c r="G561" s="15" t="n"/>
    </row>
    <row r="562">
      <c r="A562" s="19" t="n"/>
      <c r="B562" s="15" t="n"/>
      <c r="C562">
        <f>IF(B562="","",IFERROR(INDEX(Items!$B$5:$B$304,MATCH(B562,Items!$A$5:$A$304,0)),"Unknown code"))</f>
        <v/>
      </c>
      <c r="D562" s="15" t="n"/>
      <c r="E562" s="16" t="n"/>
      <c r="F562" s="18">
        <f>IF(OR(D562="",E562=""),"",D562*E562)</f>
        <v/>
      </c>
      <c r="G562" s="15" t="n"/>
    </row>
    <row r="563">
      <c r="A563" s="19" t="n"/>
      <c r="B563" s="15" t="n"/>
      <c r="C563">
        <f>IF(B563="","",IFERROR(INDEX(Items!$B$5:$B$304,MATCH(B563,Items!$A$5:$A$304,0)),"Unknown code"))</f>
        <v/>
      </c>
      <c r="D563" s="15" t="n"/>
      <c r="E563" s="16" t="n"/>
      <c r="F563" s="18">
        <f>IF(OR(D563="",E563=""),"",D563*E563)</f>
        <v/>
      </c>
      <c r="G563" s="15" t="n"/>
    </row>
    <row r="564">
      <c r="A564" s="19" t="n"/>
      <c r="B564" s="15" t="n"/>
      <c r="C564">
        <f>IF(B564="","",IFERROR(INDEX(Items!$B$5:$B$304,MATCH(B564,Items!$A$5:$A$304,0)),"Unknown code"))</f>
        <v/>
      </c>
      <c r="D564" s="15" t="n"/>
      <c r="E564" s="16" t="n"/>
      <c r="F564" s="18">
        <f>IF(OR(D564="",E564=""),"",D564*E564)</f>
        <v/>
      </c>
      <c r="G564" s="15" t="n"/>
    </row>
    <row r="565">
      <c r="A565" s="19" t="n"/>
      <c r="B565" s="15" t="n"/>
      <c r="C565">
        <f>IF(B565="","",IFERROR(INDEX(Items!$B$5:$B$304,MATCH(B565,Items!$A$5:$A$304,0)),"Unknown code"))</f>
        <v/>
      </c>
      <c r="D565" s="15" t="n"/>
      <c r="E565" s="16" t="n"/>
      <c r="F565" s="18">
        <f>IF(OR(D565="",E565=""),"",D565*E565)</f>
        <v/>
      </c>
      <c r="G565" s="15" t="n"/>
    </row>
    <row r="566">
      <c r="A566" s="19" t="n"/>
      <c r="B566" s="15" t="n"/>
      <c r="C566">
        <f>IF(B566="","",IFERROR(INDEX(Items!$B$5:$B$304,MATCH(B566,Items!$A$5:$A$304,0)),"Unknown code"))</f>
        <v/>
      </c>
      <c r="D566" s="15" t="n"/>
      <c r="E566" s="16" t="n"/>
      <c r="F566" s="18">
        <f>IF(OR(D566="",E566=""),"",D566*E566)</f>
        <v/>
      </c>
      <c r="G566" s="15" t="n"/>
    </row>
    <row r="567">
      <c r="A567" s="19" t="n"/>
      <c r="B567" s="15" t="n"/>
      <c r="C567">
        <f>IF(B567="","",IFERROR(INDEX(Items!$B$5:$B$304,MATCH(B567,Items!$A$5:$A$304,0)),"Unknown code"))</f>
        <v/>
      </c>
      <c r="D567" s="15" t="n"/>
      <c r="E567" s="16" t="n"/>
      <c r="F567" s="18">
        <f>IF(OR(D567="",E567=""),"",D567*E567)</f>
        <v/>
      </c>
      <c r="G567" s="15" t="n"/>
    </row>
    <row r="568">
      <c r="A568" s="19" t="n"/>
      <c r="B568" s="15" t="n"/>
      <c r="C568">
        <f>IF(B568="","",IFERROR(INDEX(Items!$B$5:$B$304,MATCH(B568,Items!$A$5:$A$304,0)),"Unknown code"))</f>
        <v/>
      </c>
      <c r="D568" s="15" t="n"/>
      <c r="E568" s="16" t="n"/>
      <c r="F568" s="18">
        <f>IF(OR(D568="",E568=""),"",D568*E568)</f>
        <v/>
      </c>
      <c r="G568" s="15" t="n"/>
    </row>
    <row r="569">
      <c r="A569" s="19" t="n"/>
      <c r="B569" s="15" t="n"/>
      <c r="C569">
        <f>IF(B569="","",IFERROR(INDEX(Items!$B$5:$B$304,MATCH(B569,Items!$A$5:$A$304,0)),"Unknown code"))</f>
        <v/>
      </c>
      <c r="D569" s="15" t="n"/>
      <c r="E569" s="16" t="n"/>
      <c r="F569" s="18">
        <f>IF(OR(D569="",E569=""),"",D569*E569)</f>
        <v/>
      </c>
      <c r="G569" s="15" t="n"/>
    </row>
    <row r="570">
      <c r="A570" s="19" t="n"/>
      <c r="B570" s="15" t="n"/>
      <c r="C570">
        <f>IF(B570="","",IFERROR(INDEX(Items!$B$5:$B$304,MATCH(B570,Items!$A$5:$A$304,0)),"Unknown code"))</f>
        <v/>
      </c>
      <c r="D570" s="15" t="n"/>
      <c r="E570" s="16" t="n"/>
      <c r="F570" s="18">
        <f>IF(OR(D570="",E570=""),"",D570*E570)</f>
        <v/>
      </c>
      <c r="G570" s="15" t="n"/>
    </row>
    <row r="571">
      <c r="A571" s="19" t="n"/>
      <c r="B571" s="15" t="n"/>
      <c r="C571">
        <f>IF(B571="","",IFERROR(INDEX(Items!$B$5:$B$304,MATCH(B571,Items!$A$5:$A$304,0)),"Unknown code"))</f>
        <v/>
      </c>
      <c r="D571" s="15" t="n"/>
      <c r="E571" s="16" t="n"/>
      <c r="F571" s="18">
        <f>IF(OR(D571="",E571=""),"",D571*E571)</f>
        <v/>
      </c>
      <c r="G571" s="15" t="n"/>
    </row>
    <row r="572">
      <c r="A572" s="19" t="n"/>
      <c r="B572" s="15" t="n"/>
      <c r="C572">
        <f>IF(B572="","",IFERROR(INDEX(Items!$B$5:$B$304,MATCH(B572,Items!$A$5:$A$304,0)),"Unknown code"))</f>
        <v/>
      </c>
      <c r="D572" s="15" t="n"/>
      <c r="E572" s="16" t="n"/>
      <c r="F572" s="18">
        <f>IF(OR(D572="",E572=""),"",D572*E572)</f>
        <v/>
      </c>
      <c r="G572" s="15" t="n"/>
    </row>
    <row r="573">
      <c r="A573" s="19" t="n"/>
      <c r="B573" s="15" t="n"/>
      <c r="C573">
        <f>IF(B573="","",IFERROR(INDEX(Items!$B$5:$B$304,MATCH(B573,Items!$A$5:$A$304,0)),"Unknown code"))</f>
        <v/>
      </c>
      <c r="D573" s="15" t="n"/>
      <c r="E573" s="16" t="n"/>
      <c r="F573" s="18">
        <f>IF(OR(D573="",E573=""),"",D573*E573)</f>
        <v/>
      </c>
      <c r="G573" s="15" t="n"/>
    </row>
    <row r="574">
      <c r="A574" s="19" t="n"/>
      <c r="B574" s="15" t="n"/>
      <c r="C574">
        <f>IF(B574="","",IFERROR(INDEX(Items!$B$5:$B$304,MATCH(B574,Items!$A$5:$A$304,0)),"Unknown code"))</f>
        <v/>
      </c>
      <c r="D574" s="15" t="n"/>
      <c r="E574" s="16" t="n"/>
      <c r="F574" s="18">
        <f>IF(OR(D574="",E574=""),"",D574*E574)</f>
        <v/>
      </c>
      <c r="G574" s="15" t="n"/>
    </row>
    <row r="575">
      <c r="A575" s="19" t="n"/>
      <c r="B575" s="15" t="n"/>
      <c r="C575">
        <f>IF(B575="","",IFERROR(INDEX(Items!$B$5:$B$304,MATCH(B575,Items!$A$5:$A$304,0)),"Unknown code"))</f>
        <v/>
      </c>
      <c r="D575" s="15" t="n"/>
      <c r="E575" s="16" t="n"/>
      <c r="F575" s="18">
        <f>IF(OR(D575="",E575=""),"",D575*E575)</f>
        <v/>
      </c>
      <c r="G575" s="15" t="n"/>
    </row>
    <row r="576">
      <c r="A576" s="19" t="n"/>
      <c r="B576" s="15" t="n"/>
      <c r="C576">
        <f>IF(B576="","",IFERROR(INDEX(Items!$B$5:$B$304,MATCH(B576,Items!$A$5:$A$304,0)),"Unknown code"))</f>
        <v/>
      </c>
      <c r="D576" s="15" t="n"/>
      <c r="E576" s="16" t="n"/>
      <c r="F576" s="18">
        <f>IF(OR(D576="",E576=""),"",D576*E576)</f>
        <v/>
      </c>
      <c r="G576" s="15" t="n"/>
    </row>
    <row r="577">
      <c r="A577" s="19" t="n"/>
      <c r="B577" s="15" t="n"/>
      <c r="C577">
        <f>IF(B577="","",IFERROR(INDEX(Items!$B$5:$B$304,MATCH(B577,Items!$A$5:$A$304,0)),"Unknown code"))</f>
        <v/>
      </c>
      <c r="D577" s="15" t="n"/>
      <c r="E577" s="16" t="n"/>
      <c r="F577" s="18">
        <f>IF(OR(D577="",E577=""),"",D577*E577)</f>
        <v/>
      </c>
      <c r="G577" s="15" t="n"/>
    </row>
    <row r="578">
      <c r="A578" s="19" t="n"/>
      <c r="B578" s="15" t="n"/>
      <c r="C578">
        <f>IF(B578="","",IFERROR(INDEX(Items!$B$5:$B$304,MATCH(B578,Items!$A$5:$A$304,0)),"Unknown code"))</f>
        <v/>
      </c>
      <c r="D578" s="15" t="n"/>
      <c r="E578" s="16" t="n"/>
      <c r="F578" s="18">
        <f>IF(OR(D578="",E578=""),"",D578*E578)</f>
        <v/>
      </c>
      <c r="G578" s="15" t="n"/>
    </row>
    <row r="579">
      <c r="A579" s="19" t="n"/>
      <c r="B579" s="15" t="n"/>
      <c r="C579">
        <f>IF(B579="","",IFERROR(INDEX(Items!$B$5:$B$304,MATCH(B579,Items!$A$5:$A$304,0)),"Unknown code"))</f>
        <v/>
      </c>
      <c r="D579" s="15" t="n"/>
      <c r="E579" s="16" t="n"/>
      <c r="F579" s="18">
        <f>IF(OR(D579="",E579=""),"",D579*E579)</f>
        <v/>
      </c>
      <c r="G579" s="15" t="n"/>
    </row>
    <row r="580">
      <c r="A580" s="19" t="n"/>
      <c r="B580" s="15" t="n"/>
      <c r="C580">
        <f>IF(B580="","",IFERROR(INDEX(Items!$B$5:$B$304,MATCH(B580,Items!$A$5:$A$304,0)),"Unknown code"))</f>
        <v/>
      </c>
      <c r="D580" s="15" t="n"/>
      <c r="E580" s="16" t="n"/>
      <c r="F580" s="18">
        <f>IF(OR(D580="",E580=""),"",D580*E580)</f>
        <v/>
      </c>
      <c r="G580" s="15" t="n"/>
    </row>
    <row r="581">
      <c r="A581" s="19" t="n"/>
      <c r="B581" s="15" t="n"/>
      <c r="C581">
        <f>IF(B581="","",IFERROR(INDEX(Items!$B$5:$B$304,MATCH(B581,Items!$A$5:$A$304,0)),"Unknown code"))</f>
        <v/>
      </c>
      <c r="D581" s="15" t="n"/>
      <c r="E581" s="16" t="n"/>
      <c r="F581" s="18">
        <f>IF(OR(D581="",E581=""),"",D581*E581)</f>
        <v/>
      </c>
      <c r="G581" s="15" t="n"/>
    </row>
    <row r="582">
      <c r="A582" s="19" t="n"/>
      <c r="B582" s="15" t="n"/>
      <c r="C582">
        <f>IF(B582="","",IFERROR(INDEX(Items!$B$5:$B$304,MATCH(B582,Items!$A$5:$A$304,0)),"Unknown code"))</f>
        <v/>
      </c>
      <c r="D582" s="15" t="n"/>
      <c r="E582" s="16" t="n"/>
      <c r="F582" s="18">
        <f>IF(OR(D582="",E582=""),"",D582*E582)</f>
        <v/>
      </c>
      <c r="G582" s="15" t="n"/>
    </row>
    <row r="583">
      <c r="A583" s="19" t="n"/>
      <c r="B583" s="15" t="n"/>
      <c r="C583">
        <f>IF(B583="","",IFERROR(INDEX(Items!$B$5:$B$304,MATCH(B583,Items!$A$5:$A$304,0)),"Unknown code"))</f>
        <v/>
      </c>
      <c r="D583" s="15" t="n"/>
      <c r="E583" s="16" t="n"/>
      <c r="F583" s="18">
        <f>IF(OR(D583="",E583=""),"",D583*E583)</f>
        <v/>
      </c>
      <c r="G583" s="15" t="n"/>
    </row>
    <row r="584">
      <c r="A584" s="19" t="n"/>
      <c r="B584" s="15" t="n"/>
      <c r="C584">
        <f>IF(B584="","",IFERROR(INDEX(Items!$B$5:$B$304,MATCH(B584,Items!$A$5:$A$304,0)),"Unknown code"))</f>
        <v/>
      </c>
      <c r="D584" s="15" t="n"/>
      <c r="E584" s="16" t="n"/>
      <c r="F584" s="18">
        <f>IF(OR(D584="",E584=""),"",D584*E584)</f>
        <v/>
      </c>
      <c r="G584" s="15" t="n"/>
    </row>
    <row r="585">
      <c r="A585" s="19" t="n"/>
      <c r="B585" s="15" t="n"/>
      <c r="C585">
        <f>IF(B585="","",IFERROR(INDEX(Items!$B$5:$B$304,MATCH(B585,Items!$A$5:$A$304,0)),"Unknown code"))</f>
        <v/>
      </c>
      <c r="D585" s="15" t="n"/>
      <c r="E585" s="16" t="n"/>
      <c r="F585" s="18">
        <f>IF(OR(D585="",E585=""),"",D585*E585)</f>
        <v/>
      </c>
      <c r="G585" s="15" t="n"/>
    </row>
    <row r="586">
      <c r="A586" s="19" t="n"/>
      <c r="B586" s="15" t="n"/>
      <c r="C586">
        <f>IF(B586="","",IFERROR(INDEX(Items!$B$5:$B$304,MATCH(B586,Items!$A$5:$A$304,0)),"Unknown code"))</f>
        <v/>
      </c>
      <c r="D586" s="15" t="n"/>
      <c r="E586" s="16" t="n"/>
      <c r="F586" s="18">
        <f>IF(OR(D586="",E586=""),"",D586*E586)</f>
        <v/>
      </c>
      <c r="G586" s="15" t="n"/>
    </row>
    <row r="587">
      <c r="A587" s="19" t="n"/>
      <c r="B587" s="15" t="n"/>
      <c r="C587">
        <f>IF(B587="","",IFERROR(INDEX(Items!$B$5:$B$304,MATCH(B587,Items!$A$5:$A$304,0)),"Unknown code"))</f>
        <v/>
      </c>
      <c r="D587" s="15" t="n"/>
      <c r="E587" s="16" t="n"/>
      <c r="F587" s="18">
        <f>IF(OR(D587="",E587=""),"",D587*E587)</f>
        <v/>
      </c>
      <c r="G587" s="15" t="n"/>
    </row>
    <row r="588">
      <c r="A588" s="19" t="n"/>
      <c r="B588" s="15" t="n"/>
      <c r="C588">
        <f>IF(B588="","",IFERROR(INDEX(Items!$B$5:$B$304,MATCH(B588,Items!$A$5:$A$304,0)),"Unknown code"))</f>
        <v/>
      </c>
      <c r="D588" s="15" t="n"/>
      <c r="E588" s="16" t="n"/>
      <c r="F588" s="18">
        <f>IF(OR(D588="",E588=""),"",D588*E588)</f>
        <v/>
      </c>
      <c r="G588" s="15" t="n"/>
    </row>
    <row r="589">
      <c r="A589" s="19" t="n"/>
      <c r="B589" s="15" t="n"/>
      <c r="C589">
        <f>IF(B589="","",IFERROR(INDEX(Items!$B$5:$B$304,MATCH(B589,Items!$A$5:$A$304,0)),"Unknown code"))</f>
        <v/>
      </c>
      <c r="D589" s="15" t="n"/>
      <c r="E589" s="16" t="n"/>
      <c r="F589" s="18">
        <f>IF(OR(D589="",E589=""),"",D589*E589)</f>
        <v/>
      </c>
      <c r="G589" s="15" t="n"/>
    </row>
    <row r="590">
      <c r="A590" s="19" t="n"/>
      <c r="B590" s="15" t="n"/>
      <c r="C590">
        <f>IF(B590="","",IFERROR(INDEX(Items!$B$5:$B$304,MATCH(B590,Items!$A$5:$A$304,0)),"Unknown code"))</f>
        <v/>
      </c>
      <c r="D590" s="15" t="n"/>
      <c r="E590" s="16" t="n"/>
      <c r="F590" s="18">
        <f>IF(OR(D590="",E590=""),"",D590*E590)</f>
        <v/>
      </c>
      <c r="G590" s="15" t="n"/>
    </row>
    <row r="591">
      <c r="A591" s="19" t="n"/>
      <c r="B591" s="15" t="n"/>
      <c r="C591">
        <f>IF(B591="","",IFERROR(INDEX(Items!$B$5:$B$304,MATCH(B591,Items!$A$5:$A$304,0)),"Unknown code"))</f>
        <v/>
      </c>
      <c r="D591" s="15" t="n"/>
      <c r="E591" s="16" t="n"/>
      <c r="F591" s="18">
        <f>IF(OR(D591="",E591=""),"",D591*E591)</f>
        <v/>
      </c>
      <c r="G591" s="15" t="n"/>
    </row>
    <row r="592">
      <c r="A592" s="19" t="n"/>
      <c r="B592" s="15" t="n"/>
      <c r="C592">
        <f>IF(B592="","",IFERROR(INDEX(Items!$B$5:$B$304,MATCH(B592,Items!$A$5:$A$304,0)),"Unknown code"))</f>
        <v/>
      </c>
      <c r="D592" s="15" t="n"/>
      <c r="E592" s="16" t="n"/>
      <c r="F592" s="18">
        <f>IF(OR(D592="",E592=""),"",D592*E592)</f>
        <v/>
      </c>
      <c r="G592" s="15" t="n"/>
    </row>
    <row r="593">
      <c r="A593" s="19" t="n"/>
      <c r="B593" s="15" t="n"/>
      <c r="C593">
        <f>IF(B593="","",IFERROR(INDEX(Items!$B$5:$B$304,MATCH(B593,Items!$A$5:$A$304,0)),"Unknown code"))</f>
        <v/>
      </c>
      <c r="D593" s="15" t="n"/>
      <c r="E593" s="16" t="n"/>
      <c r="F593" s="18">
        <f>IF(OR(D593="",E593=""),"",D593*E593)</f>
        <v/>
      </c>
      <c r="G593" s="15" t="n"/>
    </row>
    <row r="594">
      <c r="A594" s="19" t="n"/>
      <c r="B594" s="15" t="n"/>
      <c r="C594">
        <f>IF(B594="","",IFERROR(INDEX(Items!$B$5:$B$304,MATCH(B594,Items!$A$5:$A$304,0)),"Unknown code"))</f>
        <v/>
      </c>
      <c r="D594" s="15" t="n"/>
      <c r="E594" s="16" t="n"/>
      <c r="F594" s="18">
        <f>IF(OR(D594="",E594=""),"",D594*E594)</f>
        <v/>
      </c>
      <c r="G594" s="15" t="n"/>
    </row>
    <row r="595">
      <c r="A595" s="19" t="n"/>
      <c r="B595" s="15" t="n"/>
      <c r="C595">
        <f>IF(B595="","",IFERROR(INDEX(Items!$B$5:$B$304,MATCH(B595,Items!$A$5:$A$304,0)),"Unknown code"))</f>
        <v/>
      </c>
      <c r="D595" s="15" t="n"/>
      <c r="E595" s="16" t="n"/>
      <c r="F595" s="18">
        <f>IF(OR(D595="",E595=""),"",D595*E595)</f>
        <v/>
      </c>
      <c r="G595" s="15" t="n"/>
    </row>
    <row r="596">
      <c r="A596" s="19" t="n"/>
      <c r="B596" s="15" t="n"/>
      <c r="C596">
        <f>IF(B596="","",IFERROR(INDEX(Items!$B$5:$B$304,MATCH(B596,Items!$A$5:$A$304,0)),"Unknown code"))</f>
        <v/>
      </c>
      <c r="D596" s="15" t="n"/>
      <c r="E596" s="16" t="n"/>
      <c r="F596" s="18">
        <f>IF(OR(D596="",E596=""),"",D596*E596)</f>
        <v/>
      </c>
      <c r="G596" s="15" t="n"/>
    </row>
    <row r="597">
      <c r="A597" s="19" t="n"/>
      <c r="B597" s="15" t="n"/>
      <c r="C597">
        <f>IF(B597="","",IFERROR(INDEX(Items!$B$5:$B$304,MATCH(B597,Items!$A$5:$A$304,0)),"Unknown code"))</f>
        <v/>
      </c>
      <c r="D597" s="15" t="n"/>
      <c r="E597" s="16" t="n"/>
      <c r="F597" s="18">
        <f>IF(OR(D597="",E597=""),"",D597*E597)</f>
        <v/>
      </c>
      <c r="G597" s="15" t="n"/>
    </row>
    <row r="598">
      <c r="A598" s="19" t="n"/>
      <c r="B598" s="15" t="n"/>
      <c r="C598">
        <f>IF(B598="","",IFERROR(INDEX(Items!$B$5:$B$304,MATCH(B598,Items!$A$5:$A$304,0)),"Unknown code"))</f>
        <v/>
      </c>
      <c r="D598" s="15" t="n"/>
      <c r="E598" s="16" t="n"/>
      <c r="F598" s="18">
        <f>IF(OR(D598="",E598=""),"",D598*E598)</f>
        <v/>
      </c>
      <c r="G598" s="15" t="n"/>
    </row>
    <row r="599">
      <c r="A599" s="19" t="n"/>
      <c r="B599" s="15" t="n"/>
      <c r="C599">
        <f>IF(B599="","",IFERROR(INDEX(Items!$B$5:$B$304,MATCH(B599,Items!$A$5:$A$304,0)),"Unknown code"))</f>
        <v/>
      </c>
      <c r="D599" s="15" t="n"/>
      <c r="E599" s="16" t="n"/>
      <c r="F599" s="18">
        <f>IF(OR(D599="",E599=""),"",D599*E599)</f>
        <v/>
      </c>
      <c r="G599" s="15" t="n"/>
    </row>
    <row r="600">
      <c r="A600" s="19" t="n"/>
      <c r="B600" s="15" t="n"/>
      <c r="C600">
        <f>IF(B600="","",IFERROR(INDEX(Items!$B$5:$B$304,MATCH(B600,Items!$A$5:$A$304,0)),"Unknown code"))</f>
        <v/>
      </c>
      <c r="D600" s="15" t="n"/>
      <c r="E600" s="16" t="n"/>
      <c r="F600" s="18">
        <f>IF(OR(D600="",E600=""),"",D600*E600)</f>
        <v/>
      </c>
      <c r="G600" s="15" t="n"/>
    </row>
    <row r="601">
      <c r="A601" s="19" t="n"/>
      <c r="B601" s="15" t="n"/>
      <c r="C601">
        <f>IF(B601="","",IFERROR(INDEX(Items!$B$5:$B$304,MATCH(B601,Items!$A$5:$A$304,0)),"Unknown code"))</f>
        <v/>
      </c>
      <c r="D601" s="15" t="n"/>
      <c r="E601" s="16" t="n"/>
      <c r="F601" s="18">
        <f>IF(OR(D601="",E601=""),"",D601*E601)</f>
        <v/>
      </c>
      <c r="G601" s="15" t="n"/>
    </row>
    <row r="602">
      <c r="A602" s="19" t="n"/>
      <c r="B602" s="15" t="n"/>
      <c r="C602">
        <f>IF(B602="","",IFERROR(INDEX(Items!$B$5:$B$304,MATCH(B602,Items!$A$5:$A$304,0)),"Unknown code"))</f>
        <v/>
      </c>
      <c r="D602" s="15" t="n"/>
      <c r="E602" s="16" t="n"/>
      <c r="F602" s="18">
        <f>IF(OR(D602="",E602=""),"",D602*E602)</f>
        <v/>
      </c>
      <c r="G602" s="15" t="n"/>
    </row>
    <row r="603">
      <c r="A603" s="19" t="n"/>
      <c r="B603" s="15" t="n"/>
      <c r="C603">
        <f>IF(B603="","",IFERROR(INDEX(Items!$B$5:$B$304,MATCH(B603,Items!$A$5:$A$304,0)),"Unknown code"))</f>
        <v/>
      </c>
      <c r="D603" s="15" t="n"/>
      <c r="E603" s="16" t="n"/>
      <c r="F603" s="18">
        <f>IF(OR(D603="",E603=""),"",D603*E603)</f>
        <v/>
      </c>
      <c r="G603" s="15" t="n"/>
    </row>
    <row r="604">
      <c r="A604" s="19" t="n"/>
      <c r="B604" s="15" t="n"/>
      <c r="C604">
        <f>IF(B604="","",IFERROR(INDEX(Items!$B$5:$B$304,MATCH(B604,Items!$A$5:$A$304,0)),"Unknown code"))</f>
        <v/>
      </c>
      <c r="D604" s="15" t="n"/>
      <c r="E604" s="16" t="n"/>
      <c r="F604" s="18">
        <f>IF(OR(D604="",E604=""),"",D604*E604)</f>
        <v/>
      </c>
      <c r="G604" s="15" t="n"/>
    </row>
    <row r="605">
      <c r="A605" s="19" t="n"/>
      <c r="B605" s="15" t="n"/>
      <c r="C605">
        <f>IF(B605="","",IFERROR(INDEX(Items!$B$5:$B$304,MATCH(B605,Items!$A$5:$A$304,0)),"Unknown code"))</f>
        <v/>
      </c>
      <c r="D605" s="15" t="n"/>
      <c r="E605" s="16" t="n"/>
      <c r="F605" s="18">
        <f>IF(OR(D605="",E605=""),"",D605*E605)</f>
        <v/>
      </c>
      <c r="G605" s="15" t="n"/>
    </row>
    <row r="606">
      <c r="A606" s="19" t="n"/>
      <c r="B606" s="15" t="n"/>
      <c r="C606">
        <f>IF(B606="","",IFERROR(INDEX(Items!$B$5:$B$304,MATCH(B606,Items!$A$5:$A$304,0)),"Unknown code"))</f>
        <v/>
      </c>
      <c r="D606" s="15" t="n"/>
      <c r="E606" s="16" t="n"/>
      <c r="F606" s="18">
        <f>IF(OR(D606="",E606=""),"",D606*E606)</f>
        <v/>
      </c>
      <c r="G606" s="15" t="n"/>
    </row>
    <row r="607">
      <c r="A607" s="19" t="n"/>
      <c r="B607" s="15" t="n"/>
      <c r="C607">
        <f>IF(B607="","",IFERROR(INDEX(Items!$B$5:$B$304,MATCH(B607,Items!$A$5:$A$304,0)),"Unknown code"))</f>
        <v/>
      </c>
      <c r="D607" s="15" t="n"/>
      <c r="E607" s="16" t="n"/>
      <c r="F607" s="18">
        <f>IF(OR(D607="",E607=""),"",D607*E607)</f>
        <v/>
      </c>
      <c r="G607" s="15" t="n"/>
    </row>
    <row r="608">
      <c r="A608" s="19" t="n"/>
      <c r="B608" s="15" t="n"/>
      <c r="C608">
        <f>IF(B608="","",IFERROR(INDEX(Items!$B$5:$B$304,MATCH(B608,Items!$A$5:$A$304,0)),"Unknown code"))</f>
        <v/>
      </c>
      <c r="D608" s="15" t="n"/>
      <c r="E608" s="16" t="n"/>
      <c r="F608" s="18">
        <f>IF(OR(D608="",E608=""),"",D608*E608)</f>
        <v/>
      </c>
      <c r="G608" s="15" t="n"/>
    </row>
    <row r="609">
      <c r="A609" s="19" t="n"/>
      <c r="B609" s="15" t="n"/>
      <c r="C609">
        <f>IF(B609="","",IFERROR(INDEX(Items!$B$5:$B$304,MATCH(B609,Items!$A$5:$A$304,0)),"Unknown code"))</f>
        <v/>
      </c>
      <c r="D609" s="15" t="n"/>
      <c r="E609" s="16" t="n"/>
      <c r="F609" s="18">
        <f>IF(OR(D609="",E609=""),"",D609*E609)</f>
        <v/>
      </c>
      <c r="G609" s="15" t="n"/>
    </row>
    <row r="610">
      <c r="A610" s="19" t="n"/>
      <c r="B610" s="15" t="n"/>
      <c r="C610">
        <f>IF(B610="","",IFERROR(INDEX(Items!$B$5:$B$304,MATCH(B610,Items!$A$5:$A$304,0)),"Unknown code"))</f>
        <v/>
      </c>
      <c r="D610" s="15" t="n"/>
      <c r="E610" s="16" t="n"/>
      <c r="F610" s="18">
        <f>IF(OR(D610="",E610=""),"",D610*E610)</f>
        <v/>
      </c>
      <c r="G610" s="15" t="n"/>
    </row>
    <row r="611">
      <c r="A611" s="19" t="n"/>
      <c r="B611" s="15" t="n"/>
      <c r="C611">
        <f>IF(B611="","",IFERROR(INDEX(Items!$B$5:$B$304,MATCH(B611,Items!$A$5:$A$304,0)),"Unknown code"))</f>
        <v/>
      </c>
      <c r="D611" s="15" t="n"/>
      <c r="E611" s="16" t="n"/>
      <c r="F611" s="18">
        <f>IF(OR(D611="",E611=""),"",D611*E611)</f>
        <v/>
      </c>
      <c r="G611" s="15" t="n"/>
    </row>
    <row r="612">
      <c r="A612" s="19" t="n"/>
      <c r="B612" s="15" t="n"/>
      <c r="C612">
        <f>IF(B612="","",IFERROR(INDEX(Items!$B$5:$B$304,MATCH(B612,Items!$A$5:$A$304,0)),"Unknown code"))</f>
        <v/>
      </c>
      <c r="D612" s="15" t="n"/>
      <c r="E612" s="16" t="n"/>
      <c r="F612" s="18">
        <f>IF(OR(D612="",E612=""),"",D612*E612)</f>
        <v/>
      </c>
      <c r="G612" s="15" t="n"/>
    </row>
    <row r="613">
      <c r="A613" s="19" t="n"/>
      <c r="B613" s="15" t="n"/>
      <c r="C613">
        <f>IF(B613="","",IFERROR(INDEX(Items!$B$5:$B$304,MATCH(B613,Items!$A$5:$A$304,0)),"Unknown code"))</f>
        <v/>
      </c>
      <c r="D613" s="15" t="n"/>
      <c r="E613" s="16" t="n"/>
      <c r="F613" s="18">
        <f>IF(OR(D613="",E613=""),"",D613*E613)</f>
        <v/>
      </c>
      <c r="G613" s="15" t="n"/>
    </row>
    <row r="614">
      <c r="A614" s="19" t="n"/>
      <c r="B614" s="15" t="n"/>
      <c r="C614">
        <f>IF(B614="","",IFERROR(INDEX(Items!$B$5:$B$304,MATCH(B614,Items!$A$5:$A$304,0)),"Unknown code"))</f>
        <v/>
      </c>
      <c r="D614" s="15" t="n"/>
      <c r="E614" s="16" t="n"/>
      <c r="F614" s="18">
        <f>IF(OR(D614="",E614=""),"",D614*E614)</f>
        <v/>
      </c>
      <c r="G614" s="15" t="n"/>
    </row>
    <row r="615">
      <c r="A615" s="19" t="n"/>
      <c r="B615" s="15" t="n"/>
      <c r="C615">
        <f>IF(B615="","",IFERROR(INDEX(Items!$B$5:$B$304,MATCH(B615,Items!$A$5:$A$304,0)),"Unknown code"))</f>
        <v/>
      </c>
      <c r="D615" s="15" t="n"/>
      <c r="E615" s="16" t="n"/>
      <c r="F615" s="18">
        <f>IF(OR(D615="",E615=""),"",D615*E615)</f>
        <v/>
      </c>
      <c r="G615" s="15" t="n"/>
    </row>
    <row r="616">
      <c r="A616" s="19" t="n"/>
      <c r="B616" s="15" t="n"/>
      <c r="C616">
        <f>IF(B616="","",IFERROR(INDEX(Items!$B$5:$B$304,MATCH(B616,Items!$A$5:$A$304,0)),"Unknown code"))</f>
        <v/>
      </c>
      <c r="D616" s="15" t="n"/>
      <c r="E616" s="16" t="n"/>
      <c r="F616" s="18">
        <f>IF(OR(D616="",E616=""),"",D616*E616)</f>
        <v/>
      </c>
      <c r="G616" s="15" t="n"/>
    </row>
    <row r="617">
      <c r="A617" s="19" t="n"/>
      <c r="B617" s="15" t="n"/>
      <c r="C617">
        <f>IF(B617="","",IFERROR(INDEX(Items!$B$5:$B$304,MATCH(B617,Items!$A$5:$A$304,0)),"Unknown code"))</f>
        <v/>
      </c>
      <c r="D617" s="15" t="n"/>
      <c r="E617" s="16" t="n"/>
      <c r="F617" s="18">
        <f>IF(OR(D617="",E617=""),"",D617*E617)</f>
        <v/>
      </c>
      <c r="G617" s="15" t="n"/>
    </row>
    <row r="618">
      <c r="A618" s="19" t="n"/>
      <c r="B618" s="15" t="n"/>
      <c r="C618">
        <f>IF(B618="","",IFERROR(INDEX(Items!$B$5:$B$304,MATCH(B618,Items!$A$5:$A$304,0)),"Unknown code"))</f>
        <v/>
      </c>
      <c r="D618" s="15" t="n"/>
      <c r="E618" s="16" t="n"/>
      <c r="F618" s="18">
        <f>IF(OR(D618="",E618=""),"",D618*E618)</f>
        <v/>
      </c>
      <c r="G618" s="15" t="n"/>
    </row>
    <row r="619">
      <c r="A619" s="19" t="n"/>
      <c r="B619" s="15" t="n"/>
      <c r="C619">
        <f>IF(B619="","",IFERROR(INDEX(Items!$B$5:$B$304,MATCH(B619,Items!$A$5:$A$304,0)),"Unknown code"))</f>
        <v/>
      </c>
      <c r="D619" s="15" t="n"/>
      <c r="E619" s="16" t="n"/>
      <c r="F619" s="18">
        <f>IF(OR(D619="",E619=""),"",D619*E619)</f>
        <v/>
      </c>
      <c r="G619" s="15" t="n"/>
    </row>
    <row r="620">
      <c r="A620" s="19" t="n"/>
      <c r="B620" s="15" t="n"/>
      <c r="C620">
        <f>IF(B620="","",IFERROR(INDEX(Items!$B$5:$B$304,MATCH(B620,Items!$A$5:$A$304,0)),"Unknown code"))</f>
        <v/>
      </c>
      <c r="D620" s="15" t="n"/>
      <c r="E620" s="16" t="n"/>
      <c r="F620" s="18">
        <f>IF(OR(D620="",E620=""),"",D620*E620)</f>
        <v/>
      </c>
      <c r="G620" s="15" t="n"/>
    </row>
    <row r="621">
      <c r="A621" s="19" t="n"/>
      <c r="B621" s="15" t="n"/>
      <c r="C621">
        <f>IF(B621="","",IFERROR(INDEX(Items!$B$5:$B$304,MATCH(B621,Items!$A$5:$A$304,0)),"Unknown code"))</f>
        <v/>
      </c>
      <c r="D621" s="15" t="n"/>
      <c r="E621" s="16" t="n"/>
      <c r="F621" s="18">
        <f>IF(OR(D621="",E621=""),"",D621*E621)</f>
        <v/>
      </c>
      <c r="G621" s="15" t="n"/>
    </row>
    <row r="622">
      <c r="A622" s="19" t="n"/>
      <c r="B622" s="15" t="n"/>
      <c r="C622">
        <f>IF(B622="","",IFERROR(INDEX(Items!$B$5:$B$304,MATCH(B622,Items!$A$5:$A$304,0)),"Unknown code"))</f>
        <v/>
      </c>
      <c r="D622" s="15" t="n"/>
      <c r="E622" s="16" t="n"/>
      <c r="F622" s="18">
        <f>IF(OR(D622="",E622=""),"",D622*E622)</f>
        <v/>
      </c>
      <c r="G622" s="15" t="n"/>
    </row>
    <row r="623">
      <c r="A623" s="19" t="n"/>
      <c r="B623" s="15" t="n"/>
      <c r="C623">
        <f>IF(B623="","",IFERROR(INDEX(Items!$B$5:$B$304,MATCH(B623,Items!$A$5:$A$304,0)),"Unknown code"))</f>
        <v/>
      </c>
      <c r="D623" s="15" t="n"/>
      <c r="E623" s="16" t="n"/>
      <c r="F623" s="18">
        <f>IF(OR(D623="",E623=""),"",D623*E623)</f>
        <v/>
      </c>
      <c r="G623" s="15" t="n"/>
    </row>
    <row r="624">
      <c r="A624" s="19" t="n"/>
      <c r="B624" s="15" t="n"/>
      <c r="C624">
        <f>IF(B624="","",IFERROR(INDEX(Items!$B$5:$B$304,MATCH(B624,Items!$A$5:$A$304,0)),"Unknown code"))</f>
        <v/>
      </c>
      <c r="D624" s="15" t="n"/>
      <c r="E624" s="16" t="n"/>
      <c r="F624" s="18">
        <f>IF(OR(D624="",E624=""),"",D624*E624)</f>
        <v/>
      </c>
      <c r="G624" s="15" t="n"/>
    </row>
    <row r="625">
      <c r="A625" s="19" t="n"/>
      <c r="B625" s="15" t="n"/>
      <c r="C625">
        <f>IF(B625="","",IFERROR(INDEX(Items!$B$5:$B$304,MATCH(B625,Items!$A$5:$A$304,0)),"Unknown code"))</f>
        <v/>
      </c>
      <c r="D625" s="15" t="n"/>
      <c r="E625" s="16" t="n"/>
      <c r="F625" s="18">
        <f>IF(OR(D625="",E625=""),"",D625*E625)</f>
        <v/>
      </c>
      <c r="G625" s="15" t="n"/>
    </row>
    <row r="626">
      <c r="A626" s="19" t="n"/>
      <c r="B626" s="15" t="n"/>
      <c r="C626">
        <f>IF(B626="","",IFERROR(INDEX(Items!$B$5:$B$304,MATCH(B626,Items!$A$5:$A$304,0)),"Unknown code"))</f>
        <v/>
      </c>
      <c r="D626" s="15" t="n"/>
      <c r="E626" s="16" t="n"/>
      <c r="F626" s="18">
        <f>IF(OR(D626="",E626=""),"",D626*E626)</f>
        <v/>
      </c>
      <c r="G626" s="15" t="n"/>
    </row>
    <row r="627">
      <c r="A627" s="19" t="n"/>
      <c r="B627" s="15" t="n"/>
      <c r="C627">
        <f>IF(B627="","",IFERROR(INDEX(Items!$B$5:$B$304,MATCH(B627,Items!$A$5:$A$304,0)),"Unknown code"))</f>
        <v/>
      </c>
      <c r="D627" s="15" t="n"/>
      <c r="E627" s="16" t="n"/>
      <c r="F627" s="18">
        <f>IF(OR(D627="",E627=""),"",D627*E627)</f>
        <v/>
      </c>
      <c r="G627" s="15" t="n"/>
    </row>
    <row r="628">
      <c r="A628" s="19" t="n"/>
      <c r="B628" s="15" t="n"/>
      <c r="C628">
        <f>IF(B628="","",IFERROR(INDEX(Items!$B$5:$B$304,MATCH(B628,Items!$A$5:$A$304,0)),"Unknown code"))</f>
        <v/>
      </c>
      <c r="D628" s="15" t="n"/>
      <c r="E628" s="16" t="n"/>
      <c r="F628" s="18">
        <f>IF(OR(D628="",E628=""),"",D628*E628)</f>
        <v/>
      </c>
      <c r="G628" s="15" t="n"/>
    </row>
    <row r="629">
      <c r="A629" s="19" t="n"/>
      <c r="B629" s="15" t="n"/>
      <c r="C629">
        <f>IF(B629="","",IFERROR(INDEX(Items!$B$5:$B$304,MATCH(B629,Items!$A$5:$A$304,0)),"Unknown code"))</f>
        <v/>
      </c>
      <c r="D629" s="15" t="n"/>
      <c r="E629" s="16" t="n"/>
      <c r="F629" s="18">
        <f>IF(OR(D629="",E629=""),"",D629*E629)</f>
        <v/>
      </c>
      <c r="G629" s="15" t="n"/>
    </row>
    <row r="630">
      <c r="A630" s="19" t="n"/>
      <c r="B630" s="15" t="n"/>
      <c r="C630">
        <f>IF(B630="","",IFERROR(INDEX(Items!$B$5:$B$304,MATCH(B630,Items!$A$5:$A$304,0)),"Unknown code"))</f>
        <v/>
      </c>
      <c r="D630" s="15" t="n"/>
      <c r="E630" s="16" t="n"/>
      <c r="F630" s="18">
        <f>IF(OR(D630="",E630=""),"",D630*E630)</f>
        <v/>
      </c>
      <c r="G630" s="15" t="n"/>
    </row>
    <row r="631">
      <c r="A631" s="19" t="n"/>
      <c r="B631" s="15" t="n"/>
      <c r="C631">
        <f>IF(B631="","",IFERROR(INDEX(Items!$B$5:$B$304,MATCH(B631,Items!$A$5:$A$304,0)),"Unknown code"))</f>
        <v/>
      </c>
      <c r="D631" s="15" t="n"/>
      <c r="E631" s="16" t="n"/>
      <c r="F631" s="18">
        <f>IF(OR(D631="",E631=""),"",D631*E631)</f>
        <v/>
      </c>
      <c r="G631" s="15" t="n"/>
    </row>
    <row r="632">
      <c r="A632" s="19" t="n"/>
      <c r="B632" s="15" t="n"/>
      <c r="C632">
        <f>IF(B632="","",IFERROR(INDEX(Items!$B$5:$B$304,MATCH(B632,Items!$A$5:$A$304,0)),"Unknown code"))</f>
        <v/>
      </c>
      <c r="D632" s="15" t="n"/>
      <c r="E632" s="16" t="n"/>
      <c r="F632" s="18">
        <f>IF(OR(D632="",E632=""),"",D632*E632)</f>
        <v/>
      </c>
      <c r="G632" s="15" t="n"/>
    </row>
    <row r="633">
      <c r="A633" s="19" t="n"/>
      <c r="B633" s="15" t="n"/>
      <c r="C633">
        <f>IF(B633="","",IFERROR(INDEX(Items!$B$5:$B$304,MATCH(B633,Items!$A$5:$A$304,0)),"Unknown code"))</f>
        <v/>
      </c>
      <c r="D633" s="15" t="n"/>
      <c r="E633" s="16" t="n"/>
      <c r="F633" s="18">
        <f>IF(OR(D633="",E633=""),"",D633*E633)</f>
        <v/>
      </c>
      <c r="G633" s="15" t="n"/>
    </row>
    <row r="634">
      <c r="A634" s="19" t="n"/>
      <c r="B634" s="15" t="n"/>
      <c r="C634">
        <f>IF(B634="","",IFERROR(INDEX(Items!$B$5:$B$304,MATCH(B634,Items!$A$5:$A$304,0)),"Unknown code"))</f>
        <v/>
      </c>
      <c r="D634" s="15" t="n"/>
      <c r="E634" s="16" t="n"/>
      <c r="F634" s="18">
        <f>IF(OR(D634="",E634=""),"",D634*E634)</f>
        <v/>
      </c>
      <c r="G634" s="15" t="n"/>
    </row>
    <row r="635">
      <c r="A635" s="19" t="n"/>
      <c r="B635" s="15" t="n"/>
      <c r="C635">
        <f>IF(B635="","",IFERROR(INDEX(Items!$B$5:$B$304,MATCH(B635,Items!$A$5:$A$304,0)),"Unknown code"))</f>
        <v/>
      </c>
      <c r="D635" s="15" t="n"/>
      <c r="E635" s="16" t="n"/>
      <c r="F635" s="18">
        <f>IF(OR(D635="",E635=""),"",D635*E635)</f>
        <v/>
      </c>
      <c r="G635" s="15" t="n"/>
    </row>
    <row r="636">
      <c r="A636" s="19" t="n"/>
      <c r="B636" s="15" t="n"/>
      <c r="C636">
        <f>IF(B636="","",IFERROR(INDEX(Items!$B$5:$B$304,MATCH(B636,Items!$A$5:$A$304,0)),"Unknown code"))</f>
        <v/>
      </c>
      <c r="D636" s="15" t="n"/>
      <c r="E636" s="16" t="n"/>
      <c r="F636" s="18">
        <f>IF(OR(D636="",E636=""),"",D636*E636)</f>
        <v/>
      </c>
      <c r="G636" s="15" t="n"/>
    </row>
    <row r="637">
      <c r="A637" s="19" t="n"/>
      <c r="B637" s="15" t="n"/>
      <c r="C637">
        <f>IF(B637="","",IFERROR(INDEX(Items!$B$5:$B$304,MATCH(B637,Items!$A$5:$A$304,0)),"Unknown code"))</f>
        <v/>
      </c>
      <c r="D637" s="15" t="n"/>
      <c r="E637" s="16" t="n"/>
      <c r="F637" s="18">
        <f>IF(OR(D637="",E637=""),"",D637*E637)</f>
        <v/>
      </c>
      <c r="G637" s="15" t="n"/>
    </row>
    <row r="638">
      <c r="A638" s="19" t="n"/>
      <c r="B638" s="15" t="n"/>
      <c r="C638">
        <f>IF(B638="","",IFERROR(INDEX(Items!$B$5:$B$304,MATCH(B638,Items!$A$5:$A$304,0)),"Unknown code"))</f>
        <v/>
      </c>
      <c r="D638" s="15" t="n"/>
      <c r="E638" s="16" t="n"/>
      <c r="F638" s="18">
        <f>IF(OR(D638="",E638=""),"",D638*E638)</f>
        <v/>
      </c>
      <c r="G638" s="15" t="n"/>
    </row>
    <row r="639">
      <c r="A639" s="19" t="n"/>
      <c r="B639" s="15" t="n"/>
      <c r="C639">
        <f>IF(B639="","",IFERROR(INDEX(Items!$B$5:$B$304,MATCH(B639,Items!$A$5:$A$304,0)),"Unknown code"))</f>
        <v/>
      </c>
      <c r="D639" s="15" t="n"/>
      <c r="E639" s="16" t="n"/>
      <c r="F639" s="18">
        <f>IF(OR(D639="",E639=""),"",D639*E639)</f>
        <v/>
      </c>
      <c r="G639" s="15" t="n"/>
    </row>
    <row r="640">
      <c r="A640" s="19" t="n"/>
      <c r="B640" s="15" t="n"/>
      <c r="C640">
        <f>IF(B640="","",IFERROR(INDEX(Items!$B$5:$B$304,MATCH(B640,Items!$A$5:$A$304,0)),"Unknown code"))</f>
        <v/>
      </c>
      <c r="D640" s="15" t="n"/>
      <c r="E640" s="16" t="n"/>
      <c r="F640" s="18">
        <f>IF(OR(D640="",E640=""),"",D640*E640)</f>
        <v/>
      </c>
      <c r="G640" s="15" t="n"/>
    </row>
    <row r="641">
      <c r="A641" s="19" t="n"/>
      <c r="B641" s="15" t="n"/>
      <c r="C641">
        <f>IF(B641="","",IFERROR(INDEX(Items!$B$5:$B$304,MATCH(B641,Items!$A$5:$A$304,0)),"Unknown code"))</f>
        <v/>
      </c>
      <c r="D641" s="15" t="n"/>
      <c r="E641" s="16" t="n"/>
      <c r="F641" s="18">
        <f>IF(OR(D641="",E641=""),"",D641*E641)</f>
        <v/>
      </c>
      <c r="G641" s="15" t="n"/>
    </row>
    <row r="642">
      <c r="A642" s="19" t="n"/>
      <c r="B642" s="15" t="n"/>
      <c r="C642">
        <f>IF(B642="","",IFERROR(INDEX(Items!$B$5:$B$304,MATCH(B642,Items!$A$5:$A$304,0)),"Unknown code"))</f>
        <v/>
      </c>
      <c r="D642" s="15" t="n"/>
      <c r="E642" s="16" t="n"/>
      <c r="F642" s="18">
        <f>IF(OR(D642="",E642=""),"",D642*E642)</f>
        <v/>
      </c>
      <c r="G642" s="15" t="n"/>
    </row>
    <row r="643">
      <c r="A643" s="19" t="n"/>
      <c r="B643" s="15" t="n"/>
      <c r="C643">
        <f>IF(B643="","",IFERROR(INDEX(Items!$B$5:$B$304,MATCH(B643,Items!$A$5:$A$304,0)),"Unknown code"))</f>
        <v/>
      </c>
      <c r="D643" s="15" t="n"/>
      <c r="E643" s="16" t="n"/>
      <c r="F643" s="18">
        <f>IF(OR(D643="",E643=""),"",D643*E643)</f>
        <v/>
      </c>
      <c r="G643" s="15" t="n"/>
    </row>
    <row r="644">
      <c r="A644" s="19" t="n"/>
      <c r="B644" s="15" t="n"/>
      <c r="C644">
        <f>IF(B644="","",IFERROR(INDEX(Items!$B$5:$B$304,MATCH(B644,Items!$A$5:$A$304,0)),"Unknown code"))</f>
        <v/>
      </c>
      <c r="D644" s="15" t="n"/>
      <c r="E644" s="16" t="n"/>
      <c r="F644" s="18">
        <f>IF(OR(D644="",E644=""),"",D644*E644)</f>
        <v/>
      </c>
      <c r="G644" s="15" t="n"/>
    </row>
    <row r="645">
      <c r="A645" s="19" t="n"/>
      <c r="B645" s="15" t="n"/>
      <c r="C645">
        <f>IF(B645="","",IFERROR(INDEX(Items!$B$5:$B$304,MATCH(B645,Items!$A$5:$A$304,0)),"Unknown code"))</f>
        <v/>
      </c>
      <c r="D645" s="15" t="n"/>
      <c r="E645" s="16" t="n"/>
      <c r="F645" s="18">
        <f>IF(OR(D645="",E645=""),"",D645*E645)</f>
        <v/>
      </c>
      <c r="G645" s="15" t="n"/>
    </row>
    <row r="646">
      <c r="A646" s="19" t="n"/>
      <c r="B646" s="15" t="n"/>
      <c r="C646">
        <f>IF(B646="","",IFERROR(INDEX(Items!$B$5:$B$304,MATCH(B646,Items!$A$5:$A$304,0)),"Unknown code"))</f>
        <v/>
      </c>
      <c r="D646" s="15" t="n"/>
      <c r="E646" s="16" t="n"/>
      <c r="F646" s="18">
        <f>IF(OR(D646="",E646=""),"",D646*E646)</f>
        <v/>
      </c>
      <c r="G646" s="15" t="n"/>
    </row>
    <row r="647">
      <c r="A647" s="19" t="n"/>
      <c r="B647" s="15" t="n"/>
      <c r="C647">
        <f>IF(B647="","",IFERROR(INDEX(Items!$B$5:$B$304,MATCH(B647,Items!$A$5:$A$304,0)),"Unknown code"))</f>
        <v/>
      </c>
      <c r="D647" s="15" t="n"/>
      <c r="E647" s="16" t="n"/>
      <c r="F647" s="18">
        <f>IF(OR(D647="",E647=""),"",D647*E647)</f>
        <v/>
      </c>
      <c r="G647" s="15" t="n"/>
    </row>
    <row r="648">
      <c r="A648" s="19" t="n"/>
      <c r="B648" s="15" t="n"/>
      <c r="C648">
        <f>IF(B648="","",IFERROR(INDEX(Items!$B$5:$B$304,MATCH(B648,Items!$A$5:$A$304,0)),"Unknown code"))</f>
        <v/>
      </c>
      <c r="D648" s="15" t="n"/>
      <c r="E648" s="16" t="n"/>
      <c r="F648" s="18">
        <f>IF(OR(D648="",E648=""),"",D648*E648)</f>
        <v/>
      </c>
      <c r="G648" s="15" t="n"/>
    </row>
    <row r="649">
      <c r="A649" s="19" t="n"/>
      <c r="B649" s="15" t="n"/>
      <c r="C649">
        <f>IF(B649="","",IFERROR(INDEX(Items!$B$5:$B$304,MATCH(B649,Items!$A$5:$A$304,0)),"Unknown code"))</f>
        <v/>
      </c>
      <c r="D649" s="15" t="n"/>
      <c r="E649" s="16" t="n"/>
      <c r="F649" s="18">
        <f>IF(OR(D649="",E649=""),"",D649*E649)</f>
        <v/>
      </c>
      <c r="G649" s="15" t="n"/>
    </row>
    <row r="650">
      <c r="A650" s="19" t="n"/>
      <c r="B650" s="15" t="n"/>
      <c r="C650">
        <f>IF(B650="","",IFERROR(INDEX(Items!$B$5:$B$304,MATCH(B650,Items!$A$5:$A$304,0)),"Unknown code"))</f>
        <v/>
      </c>
      <c r="D650" s="15" t="n"/>
      <c r="E650" s="16" t="n"/>
      <c r="F650" s="18">
        <f>IF(OR(D650="",E650=""),"",D650*E650)</f>
        <v/>
      </c>
      <c r="G650" s="15" t="n"/>
    </row>
    <row r="651">
      <c r="A651" s="19" t="n"/>
      <c r="B651" s="15" t="n"/>
      <c r="C651">
        <f>IF(B651="","",IFERROR(INDEX(Items!$B$5:$B$304,MATCH(B651,Items!$A$5:$A$304,0)),"Unknown code"))</f>
        <v/>
      </c>
      <c r="D651" s="15" t="n"/>
      <c r="E651" s="16" t="n"/>
      <c r="F651" s="18">
        <f>IF(OR(D651="",E651=""),"",D651*E651)</f>
        <v/>
      </c>
      <c r="G651" s="15" t="n"/>
    </row>
    <row r="652">
      <c r="A652" s="19" t="n"/>
      <c r="B652" s="15" t="n"/>
      <c r="C652">
        <f>IF(B652="","",IFERROR(INDEX(Items!$B$5:$B$304,MATCH(B652,Items!$A$5:$A$304,0)),"Unknown code"))</f>
        <v/>
      </c>
      <c r="D652" s="15" t="n"/>
      <c r="E652" s="16" t="n"/>
      <c r="F652" s="18">
        <f>IF(OR(D652="",E652=""),"",D652*E652)</f>
        <v/>
      </c>
      <c r="G652" s="15" t="n"/>
    </row>
    <row r="653">
      <c r="A653" s="19" t="n"/>
      <c r="B653" s="15" t="n"/>
      <c r="C653">
        <f>IF(B653="","",IFERROR(INDEX(Items!$B$5:$B$304,MATCH(B653,Items!$A$5:$A$304,0)),"Unknown code"))</f>
        <v/>
      </c>
      <c r="D653" s="15" t="n"/>
      <c r="E653" s="16" t="n"/>
      <c r="F653" s="18">
        <f>IF(OR(D653="",E653=""),"",D653*E653)</f>
        <v/>
      </c>
      <c r="G653" s="15" t="n"/>
    </row>
    <row r="654">
      <c r="A654" s="19" t="n"/>
      <c r="B654" s="15" t="n"/>
      <c r="C654">
        <f>IF(B654="","",IFERROR(INDEX(Items!$B$5:$B$304,MATCH(B654,Items!$A$5:$A$304,0)),"Unknown code"))</f>
        <v/>
      </c>
      <c r="D654" s="15" t="n"/>
      <c r="E654" s="16" t="n"/>
      <c r="F654" s="18">
        <f>IF(OR(D654="",E654=""),"",D654*E654)</f>
        <v/>
      </c>
      <c r="G654" s="15" t="n"/>
    </row>
    <row r="655">
      <c r="A655" s="19" t="n"/>
      <c r="B655" s="15" t="n"/>
      <c r="C655">
        <f>IF(B655="","",IFERROR(INDEX(Items!$B$5:$B$304,MATCH(B655,Items!$A$5:$A$304,0)),"Unknown code"))</f>
        <v/>
      </c>
      <c r="D655" s="15" t="n"/>
      <c r="E655" s="16" t="n"/>
      <c r="F655" s="18">
        <f>IF(OR(D655="",E655=""),"",D655*E655)</f>
        <v/>
      </c>
      <c r="G655" s="15" t="n"/>
    </row>
    <row r="656">
      <c r="A656" s="19" t="n"/>
      <c r="B656" s="15" t="n"/>
      <c r="C656">
        <f>IF(B656="","",IFERROR(INDEX(Items!$B$5:$B$304,MATCH(B656,Items!$A$5:$A$304,0)),"Unknown code"))</f>
        <v/>
      </c>
      <c r="D656" s="15" t="n"/>
      <c r="E656" s="16" t="n"/>
      <c r="F656" s="18">
        <f>IF(OR(D656="",E656=""),"",D656*E656)</f>
        <v/>
      </c>
      <c r="G656" s="15" t="n"/>
    </row>
    <row r="657">
      <c r="A657" s="19" t="n"/>
      <c r="B657" s="15" t="n"/>
      <c r="C657">
        <f>IF(B657="","",IFERROR(INDEX(Items!$B$5:$B$304,MATCH(B657,Items!$A$5:$A$304,0)),"Unknown code"))</f>
        <v/>
      </c>
      <c r="D657" s="15" t="n"/>
      <c r="E657" s="16" t="n"/>
      <c r="F657" s="18">
        <f>IF(OR(D657="",E657=""),"",D657*E657)</f>
        <v/>
      </c>
      <c r="G657" s="15" t="n"/>
    </row>
    <row r="658">
      <c r="A658" s="19" t="n"/>
      <c r="B658" s="15" t="n"/>
      <c r="C658">
        <f>IF(B658="","",IFERROR(INDEX(Items!$B$5:$B$304,MATCH(B658,Items!$A$5:$A$304,0)),"Unknown code"))</f>
        <v/>
      </c>
      <c r="D658" s="15" t="n"/>
      <c r="E658" s="16" t="n"/>
      <c r="F658" s="18">
        <f>IF(OR(D658="",E658=""),"",D658*E658)</f>
        <v/>
      </c>
      <c r="G658" s="15" t="n"/>
    </row>
    <row r="659">
      <c r="A659" s="19" t="n"/>
      <c r="B659" s="15" t="n"/>
      <c r="C659">
        <f>IF(B659="","",IFERROR(INDEX(Items!$B$5:$B$304,MATCH(B659,Items!$A$5:$A$304,0)),"Unknown code"))</f>
        <v/>
      </c>
      <c r="D659" s="15" t="n"/>
      <c r="E659" s="16" t="n"/>
      <c r="F659" s="18">
        <f>IF(OR(D659="",E659=""),"",D659*E659)</f>
        <v/>
      </c>
      <c r="G659" s="15" t="n"/>
    </row>
    <row r="660">
      <c r="A660" s="19" t="n"/>
      <c r="B660" s="15" t="n"/>
      <c r="C660">
        <f>IF(B660="","",IFERROR(INDEX(Items!$B$5:$B$304,MATCH(B660,Items!$A$5:$A$304,0)),"Unknown code"))</f>
        <v/>
      </c>
      <c r="D660" s="15" t="n"/>
      <c r="E660" s="16" t="n"/>
      <c r="F660" s="18">
        <f>IF(OR(D660="",E660=""),"",D660*E660)</f>
        <v/>
      </c>
      <c r="G660" s="15" t="n"/>
    </row>
    <row r="661">
      <c r="A661" s="19" t="n"/>
      <c r="B661" s="15" t="n"/>
      <c r="C661">
        <f>IF(B661="","",IFERROR(INDEX(Items!$B$5:$B$304,MATCH(B661,Items!$A$5:$A$304,0)),"Unknown code"))</f>
        <v/>
      </c>
      <c r="D661" s="15" t="n"/>
      <c r="E661" s="16" t="n"/>
      <c r="F661" s="18">
        <f>IF(OR(D661="",E661=""),"",D661*E661)</f>
        <v/>
      </c>
      <c r="G661" s="15" t="n"/>
    </row>
    <row r="662">
      <c r="A662" s="19" t="n"/>
      <c r="B662" s="15" t="n"/>
      <c r="C662">
        <f>IF(B662="","",IFERROR(INDEX(Items!$B$5:$B$304,MATCH(B662,Items!$A$5:$A$304,0)),"Unknown code"))</f>
        <v/>
      </c>
      <c r="D662" s="15" t="n"/>
      <c r="E662" s="16" t="n"/>
      <c r="F662" s="18">
        <f>IF(OR(D662="",E662=""),"",D662*E662)</f>
        <v/>
      </c>
      <c r="G662" s="15" t="n"/>
    </row>
    <row r="663">
      <c r="A663" s="19" t="n"/>
      <c r="B663" s="15" t="n"/>
      <c r="C663">
        <f>IF(B663="","",IFERROR(INDEX(Items!$B$5:$B$304,MATCH(B663,Items!$A$5:$A$304,0)),"Unknown code"))</f>
        <v/>
      </c>
      <c r="D663" s="15" t="n"/>
      <c r="E663" s="16" t="n"/>
      <c r="F663" s="18">
        <f>IF(OR(D663="",E663=""),"",D663*E663)</f>
        <v/>
      </c>
      <c r="G663" s="15" t="n"/>
    </row>
    <row r="664">
      <c r="A664" s="19" t="n"/>
      <c r="B664" s="15" t="n"/>
      <c r="C664">
        <f>IF(B664="","",IFERROR(INDEX(Items!$B$5:$B$304,MATCH(B664,Items!$A$5:$A$304,0)),"Unknown code"))</f>
        <v/>
      </c>
      <c r="D664" s="15" t="n"/>
      <c r="E664" s="16" t="n"/>
      <c r="F664" s="18">
        <f>IF(OR(D664="",E664=""),"",D664*E664)</f>
        <v/>
      </c>
      <c r="G664" s="15" t="n"/>
    </row>
    <row r="665">
      <c r="A665" s="19" t="n"/>
      <c r="B665" s="15" t="n"/>
      <c r="C665">
        <f>IF(B665="","",IFERROR(INDEX(Items!$B$5:$B$304,MATCH(B665,Items!$A$5:$A$304,0)),"Unknown code"))</f>
        <v/>
      </c>
      <c r="D665" s="15" t="n"/>
      <c r="E665" s="16" t="n"/>
      <c r="F665" s="18">
        <f>IF(OR(D665="",E665=""),"",D665*E665)</f>
        <v/>
      </c>
      <c r="G665" s="15" t="n"/>
    </row>
    <row r="666">
      <c r="A666" s="19" t="n"/>
      <c r="B666" s="15" t="n"/>
      <c r="C666">
        <f>IF(B666="","",IFERROR(INDEX(Items!$B$5:$B$304,MATCH(B666,Items!$A$5:$A$304,0)),"Unknown code"))</f>
        <v/>
      </c>
      <c r="D666" s="15" t="n"/>
      <c r="E666" s="16" t="n"/>
      <c r="F666" s="18">
        <f>IF(OR(D666="",E666=""),"",D666*E666)</f>
        <v/>
      </c>
      <c r="G666" s="15" t="n"/>
    </row>
    <row r="667">
      <c r="A667" s="19" t="n"/>
      <c r="B667" s="15" t="n"/>
      <c r="C667">
        <f>IF(B667="","",IFERROR(INDEX(Items!$B$5:$B$304,MATCH(B667,Items!$A$5:$A$304,0)),"Unknown code"))</f>
        <v/>
      </c>
      <c r="D667" s="15" t="n"/>
      <c r="E667" s="16" t="n"/>
      <c r="F667" s="18">
        <f>IF(OR(D667="",E667=""),"",D667*E667)</f>
        <v/>
      </c>
      <c r="G667" s="15" t="n"/>
    </row>
    <row r="668">
      <c r="A668" s="19" t="n"/>
      <c r="B668" s="15" t="n"/>
      <c r="C668">
        <f>IF(B668="","",IFERROR(INDEX(Items!$B$5:$B$304,MATCH(B668,Items!$A$5:$A$304,0)),"Unknown code"))</f>
        <v/>
      </c>
      <c r="D668" s="15" t="n"/>
      <c r="E668" s="16" t="n"/>
      <c r="F668" s="18">
        <f>IF(OR(D668="",E668=""),"",D668*E668)</f>
        <v/>
      </c>
      <c r="G668" s="15" t="n"/>
    </row>
    <row r="669">
      <c r="A669" s="19" t="n"/>
      <c r="B669" s="15" t="n"/>
      <c r="C669">
        <f>IF(B669="","",IFERROR(INDEX(Items!$B$5:$B$304,MATCH(B669,Items!$A$5:$A$304,0)),"Unknown code"))</f>
        <v/>
      </c>
      <c r="D669" s="15" t="n"/>
      <c r="E669" s="16" t="n"/>
      <c r="F669" s="18">
        <f>IF(OR(D669="",E669=""),"",D669*E669)</f>
        <v/>
      </c>
      <c r="G669" s="15" t="n"/>
    </row>
    <row r="670">
      <c r="A670" s="19" t="n"/>
      <c r="B670" s="15" t="n"/>
      <c r="C670">
        <f>IF(B670="","",IFERROR(INDEX(Items!$B$5:$B$304,MATCH(B670,Items!$A$5:$A$304,0)),"Unknown code"))</f>
        <v/>
      </c>
      <c r="D670" s="15" t="n"/>
      <c r="E670" s="16" t="n"/>
      <c r="F670" s="18">
        <f>IF(OR(D670="",E670=""),"",D670*E670)</f>
        <v/>
      </c>
      <c r="G670" s="15" t="n"/>
    </row>
    <row r="671">
      <c r="A671" s="19" t="n"/>
      <c r="B671" s="15" t="n"/>
      <c r="C671">
        <f>IF(B671="","",IFERROR(INDEX(Items!$B$5:$B$304,MATCH(B671,Items!$A$5:$A$304,0)),"Unknown code"))</f>
        <v/>
      </c>
      <c r="D671" s="15" t="n"/>
      <c r="E671" s="16" t="n"/>
      <c r="F671" s="18">
        <f>IF(OR(D671="",E671=""),"",D671*E671)</f>
        <v/>
      </c>
      <c r="G671" s="15" t="n"/>
    </row>
    <row r="672">
      <c r="A672" s="19" t="n"/>
      <c r="B672" s="15" t="n"/>
      <c r="C672">
        <f>IF(B672="","",IFERROR(INDEX(Items!$B$5:$B$304,MATCH(B672,Items!$A$5:$A$304,0)),"Unknown code"))</f>
        <v/>
      </c>
      <c r="D672" s="15" t="n"/>
      <c r="E672" s="16" t="n"/>
      <c r="F672" s="18">
        <f>IF(OR(D672="",E672=""),"",D672*E672)</f>
        <v/>
      </c>
      <c r="G672" s="15" t="n"/>
    </row>
    <row r="673">
      <c r="A673" s="19" t="n"/>
      <c r="B673" s="15" t="n"/>
      <c r="C673">
        <f>IF(B673="","",IFERROR(INDEX(Items!$B$5:$B$304,MATCH(B673,Items!$A$5:$A$304,0)),"Unknown code"))</f>
        <v/>
      </c>
      <c r="D673" s="15" t="n"/>
      <c r="E673" s="16" t="n"/>
      <c r="F673" s="18">
        <f>IF(OR(D673="",E673=""),"",D673*E673)</f>
        <v/>
      </c>
      <c r="G673" s="15" t="n"/>
    </row>
    <row r="674">
      <c r="A674" s="19" t="n"/>
      <c r="B674" s="15" t="n"/>
      <c r="C674">
        <f>IF(B674="","",IFERROR(INDEX(Items!$B$5:$B$304,MATCH(B674,Items!$A$5:$A$304,0)),"Unknown code"))</f>
        <v/>
      </c>
      <c r="D674" s="15" t="n"/>
      <c r="E674" s="16" t="n"/>
      <c r="F674" s="18">
        <f>IF(OR(D674="",E674=""),"",D674*E674)</f>
        <v/>
      </c>
      <c r="G674" s="15" t="n"/>
    </row>
    <row r="675">
      <c r="A675" s="19" t="n"/>
      <c r="B675" s="15" t="n"/>
      <c r="C675">
        <f>IF(B675="","",IFERROR(INDEX(Items!$B$5:$B$304,MATCH(B675,Items!$A$5:$A$304,0)),"Unknown code"))</f>
        <v/>
      </c>
      <c r="D675" s="15" t="n"/>
      <c r="E675" s="16" t="n"/>
      <c r="F675" s="18">
        <f>IF(OR(D675="",E675=""),"",D675*E675)</f>
        <v/>
      </c>
      <c r="G675" s="15" t="n"/>
    </row>
    <row r="676">
      <c r="A676" s="19" t="n"/>
      <c r="B676" s="15" t="n"/>
      <c r="C676">
        <f>IF(B676="","",IFERROR(INDEX(Items!$B$5:$B$304,MATCH(B676,Items!$A$5:$A$304,0)),"Unknown code"))</f>
        <v/>
      </c>
      <c r="D676" s="15" t="n"/>
      <c r="E676" s="16" t="n"/>
      <c r="F676" s="18">
        <f>IF(OR(D676="",E676=""),"",D676*E676)</f>
        <v/>
      </c>
      <c r="G676" s="15" t="n"/>
    </row>
    <row r="677">
      <c r="A677" s="19" t="n"/>
      <c r="B677" s="15" t="n"/>
      <c r="C677">
        <f>IF(B677="","",IFERROR(INDEX(Items!$B$5:$B$304,MATCH(B677,Items!$A$5:$A$304,0)),"Unknown code"))</f>
        <v/>
      </c>
      <c r="D677" s="15" t="n"/>
      <c r="E677" s="16" t="n"/>
      <c r="F677" s="18">
        <f>IF(OR(D677="",E677=""),"",D677*E677)</f>
        <v/>
      </c>
      <c r="G677" s="15" t="n"/>
    </row>
    <row r="678">
      <c r="A678" s="19" t="n"/>
      <c r="B678" s="15" t="n"/>
      <c r="C678">
        <f>IF(B678="","",IFERROR(INDEX(Items!$B$5:$B$304,MATCH(B678,Items!$A$5:$A$304,0)),"Unknown code"))</f>
        <v/>
      </c>
      <c r="D678" s="15" t="n"/>
      <c r="E678" s="16" t="n"/>
      <c r="F678" s="18">
        <f>IF(OR(D678="",E678=""),"",D678*E678)</f>
        <v/>
      </c>
      <c r="G678" s="15" t="n"/>
    </row>
    <row r="679">
      <c r="A679" s="19" t="n"/>
      <c r="B679" s="15" t="n"/>
      <c r="C679">
        <f>IF(B679="","",IFERROR(INDEX(Items!$B$5:$B$304,MATCH(B679,Items!$A$5:$A$304,0)),"Unknown code"))</f>
        <v/>
      </c>
      <c r="D679" s="15" t="n"/>
      <c r="E679" s="16" t="n"/>
      <c r="F679" s="18">
        <f>IF(OR(D679="",E679=""),"",D679*E679)</f>
        <v/>
      </c>
      <c r="G679" s="15" t="n"/>
    </row>
    <row r="680">
      <c r="A680" s="19" t="n"/>
      <c r="B680" s="15" t="n"/>
      <c r="C680">
        <f>IF(B680="","",IFERROR(INDEX(Items!$B$5:$B$304,MATCH(B680,Items!$A$5:$A$304,0)),"Unknown code"))</f>
        <v/>
      </c>
      <c r="D680" s="15" t="n"/>
      <c r="E680" s="16" t="n"/>
      <c r="F680" s="18">
        <f>IF(OR(D680="",E680=""),"",D680*E680)</f>
        <v/>
      </c>
      <c r="G680" s="15" t="n"/>
    </row>
    <row r="681">
      <c r="A681" s="19" t="n"/>
      <c r="B681" s="15" t="n"/>
      <c r="C681">
        <f>IF(B681="","",IFERROR(INDEX(Items!$B$5:$B$304,MATCH(B681,Items!$A$5:$A$304,0)),"Unknown code"))</f>
        <v/>
      </c>
      <c r="D681" s="15" t="n"/>
      <c r="E681" s="16" t="n"/>
      <c r="F681" s="18">
        <f>IF(OR(D681="",E681=""),"",D681*E681)</f>
        <v/>
      </c>
      <c r="G681" s="15" t="n"/>
    </row>
    <row r="682">
      <c r="A682" s="19" t="n"/>
      <c r="B682" s="15" t="n"/>
      <c r="C682">
        <f>IF(B682="","",IFERROR(INDEX(Items!$B$5:$B$304,MATCH(B682,Items!$A$5:$A$304,0)),"Unknown code"))</f>
        <v/>
      </c>
      <c r="D682" s="15" t="n"/>
      <c r="E682" s="16" t="n"/>
      <c r="F682" s="18">
        <f>IF(OR(D682="",E682=""),"",D682*E682)</f>
        <v/>
      </c>
      <c r="G682" s="15" t="n"/>
    </row>
    <row r="683">
      <c r="A683" s="19" t="n"/>
      <c r="B683" s="15" t="n"/>
      <c r="C683">
        <f>IF(B683="","",IFERROR(INDEX(Items!$B$5:$B$304,MATCH(B683,Items!$A$5:$A$304,0)),"Unknown code"))</f>
        <v/>
      </c>
      <c r="D683" s="15" t="n"/>
      <c r="E683" s="16" t="n"/>
      <c r="F683" s="18">
        <f>IF(OR(D683="",E683=""),"",D683*E683)</f>
        <v/>
      </c>
      <c r="G683" s="15" t="n"/>
    </row>
    <row r="684">
      <c r="A684" s="19" t="n"/>
      <c r="B684" s="15" t="n"/>
      <c r="C684">
        <f>IF(B684="","",IFERROR(INDEX(Items!$B$5:$B$304,MATCH(B684,Items!$A$5:$A$304,0)),"Unknown code"))</f>
        <v/>
      </c>
      <c r="D684" s="15" t="n"/>
      <c r="E684" s="16" t="n"/>
      <c r="F684" s="18">
        <f>IF(OR(D684="",E684=""),"",D684*E684)</f>
        <v/>
      </c>
      <c r="G684" s="15" t="n"/>
    </row>
    <row r="685">
      <c r="A685" s="19" t="n"/>
      <c r="B685" s="15" t="n"/>
      <c r="C685">
        <f>IF(B685="","",IFERROR(INDEX(Items!$B$5:$B$304,MATCH(B685,Items!$A$5:$A$304,0)),"Unknown code"))</f>
        <v/>
      </c>
      <c r="D685" s="15" t="n"/>
      <c r="E685" s="16" t="n"/>
      <c r="F685" s="18">
        <f>IF(OR(D685="",E685=""),"",D685*E685)</f>
        <v/>
      </c>
      <c r="G685" s="15" t="n"/>
    </row>
    <row r="686">
      <c r="A686" s="19" t="n"/>
      <c r="B686" s="15" t="n"/>
      <c r="C686">
        <f>IF(B686="","",IFERROR(INDEX(Items!$B$5:$B$304,MATCH(B686,Items!$A$5:$A$304,0)),"Unknown code"))</f>
        <v/>
      </c>
      <c r="D686" s="15" t="n"/>
      <c r="E686" s="16" t="n"/>
      <c r="F686" s="18">
        <f>IF(OR(D686="",E686=""),"",D686*E686)</f>
        <v/>
      </c>
      <c r="G686" s="15" t="n"/>
    </row>
    <row r="687">
      <c r="A687" s="19" t="n"/>
      <c r="B687" s="15" t="n"/>
      <c r="C687">
        <f>IF(B687="","",IFERROR(INDEX(Items!$B$5:$B$304,MATCH(B687,Items!$A$5:$A$304,0)),"Unknown code"))</f>
        <v/>
      </c>
      <c r="D687" s="15" t="n"/>
      <c r="E687" s="16" t="n"/>
      <c r="F687" s="18">
        <f>IF(OR(D687="",E687=""),"",D687*E687)</f>
        <v/>
      </c>
      <c r="G687" s="15" t="n"/>
    </row>
    <row r="688">
      <c r="A688" s="19" t="n"/>
      <c r="B688" s="15" t="n"/>
      <c r="C688">
        <f>IF(B688="","",IFERROR(INDEX(Items!$B$5:$B$304,MATCH(B688,Items!$A$5:$A$304,0)),"Unknown code"))</f>
        <v/>
      </c>
      <c r="D688" s="15" t="n"/>
      <c r="E688" s="16" t="n"/>
      <c r="F688" s="18">
        <f>IF(OR(D688="",E688=""),"",D688*E688)</f>
        <v/>
      </c>
      <c r="G688" s="15" t="n"/>
    </row>
    <row r="689">
      <c r="A689" s="19" t="n"/>
      <c r="B689" s="15" t="n"/>
      <c r="C689">
        <f>IF(B689="","",IFERROR(INDEX(Items!$B$5:$B$304,MATCH(B689,Items!$A$5:$A$304,0)),"Unknown code"))</f>
        <v/>
      </c>
      <c r="D689" s="15" t="n"/>
      <c r="E689" s="16" t="n"/>
      <c r="F689" s="18">
        <f>IF(OR(D689="",E689=""),"",D689*E689)</f>
        <v/>
      </c>
      <c r="G689" s="15" t="n"/>
    </row>
    <row r="690">
      <c r="A690" s="19" t="n"/>
      <c r="B690" s="15" t="n"/>
      <c r="C690">
        <f>IF(B690="","",IFERROR(INDEX(Items!$B$5:$B$304,MATCH(B690,Items!$A$5:$A$304,0)),"Unknown code"))</f>
        <v/>
      </c>
      <c r="D690" s="15" t="n"/>
      <c r="E690" s="16" t="n"/>
      <c r="F690" s="18">
        <f>IF(OR(D690="",E690=""),"",D690*E690)</f>
        <v/>
      </c>
      <c r="G690" s="15" t="n"/>
    </row>
    <row r="691">
      <c r="A691" s="19" t="n"/>
      <c r="B691" s="15" t="n"/>
      <c r="C691">
        <f>IF(B691="","",IFERROR(INDEX(Items!$B$5:$B$304,MATCH(B691,Items!$A$5:$A$304,0)),"Unknown code"))</f>
        <v/>
      </c>
      <c r="D691" s="15" t="n"/>
      <c r="E691" s="16" t="n"/>
      <c r="F691" s="18">
        <f>IF(OR(D691="",E691=""),"",D691*E691)</f>
        <v/>
      </c>
      <c r="G691" s="15" t="n"/>
    </row>
    <row r="692">
      <c r="A692" s="19" t="n"/>
      <c r="B692" s="15" t="n"/>
      <c r="C692">
        <f>IF(B692="","",IFERROR(INDEX(Items!$B$5:$B$304,MATCH(B692,Items!$A$5:$A$304,0)),"Unknown code"))</f>
        <v/>
      </c>
      <c r="D692" s="15" t="n"/>
      <c r="E692" s="16" t="n"/>
      <c r="F692" s="18">
        <f>IF(OR(D692="",E692=""),"",D692*E692)</f>
        <v/>
      </c>
      <c r="G692" s="15" t="n"/>
    </row>
    <row r="693">
      <c r="A693" s="19" t="n"/>
      <c r="B693" s="15" t="n"/>
      <c r="C693">
        <f>IF(B693="","",IFERROR(INDEX(Items!$B$5:$B$304,MATCH(B693,Items!$A$5:$A$304,0)),"Unknown code"))</f>
        <v/>
      </c>
      <c r="D693" s="15" t="n"/>
      <c r="E693" s="16" t="n"/>
      <c r="F693" s="18">
        <f>IF(OR(D693="",E693=""),"",D693*E693)</f>
        <v/>
      </c>
      <c r="G693" s="15" t="n"/>
    </row>
    <row r="694">
      <c r="A694" s="19" t="n"/>
      <c r="B694" s="15" t="n"/>
      <c r="C694">
        <f>IF(B694="","",IFERROR(INDEX(Items!$B$5:$B$304,MATCH(B694,Items!$A$5:$A$304,0)),"Unknown code"))</f>
        <v/>
      </c>
      <c r="D694" s="15" t="n"/>
      <c r="E694" s="16" t="n"/>
      <c r="F694" s="18">
        <f>IF(OR(D694="",E694=""),"",D694*E694)</f>
        <v/>
      </c>
      <c r="G694" s="15" t="n"/>
    </row>
    <row r="695">
      <c r="A695" s="19" t="n"/>
      <c r="B695" s="15" t="n"/>
      <c r="C695">
        <f>IF(B695="","",IFERROR(INDEX(Items!$B$5:$B$304,MATCH(B695,Items!$A$5:$A$304,0)),"Unknown code"))</f>
        <v/>
      </c>
      <c r="D695" s="15" t="n"/>
      <c r="E695" s="16" t="n"/>
      <c r="F695" s="18">
        <f>IF(OR(D695="",E695=""),"",D695*E695)</f>
        <v/>
      </c>
      <c r="G695" s="15" t="n"/>
    </row>
    <row r="696">
      <c r="A696" s="19" t="n"/>
      <c r="B696" s="15" t="n"/>
      <c r="C696">
        <f>IF(B696="","",IFERROR(INDEX(Items!$B$5:$B$304,MATCH(B696,Items!$A$5:$A$304,0)),"Unknown code"))</f>
        <v/>
      </c>
      <c r="D696" s="15" t="n"/>
      <c r="E696" s="16" t="n"/>
      <c r="F696" s="18">
        <f>IF(OR(D696="",E696=""),"",D696*E696)</f>
        <v/>
      </c>
      <c r="G696" s="15" t="n"/>
    </row>
    <row r="697">
      <c r="A697" s="19" t="n"/>
      <c r="B697" s="15" t="n"/>
      <c r="C697">
        <f>IF(B697="","",IFERROR(INDEX(Items!$B$5:$B$304,MATCH(B697,Items!$A$5:$A$304,0)),"Unknown code"))</f>
        <v/>
      </c>
      <c r="D697" s="15" t="n"/>
      <c r="E697" s="16" t="n"/>
      <c r="F697" s="18">
        <f>IF(OR(D697="",E697=""),"",D697*E697)</f>
        <v/>
      </c>
      <c r="G697" s="15" t="n"/>
    </row>
    <row r="698">
      <c r="A698" s="19" t="n"/>
      <c r="B698" s="15" t="n"/>
      <c r="C698">
        <f>IF(B698="","",IFERROR(INDEX(Items!$B$5:$B$304,MATCH(B698,Items!$A$5:$A$304,0)),"Unknown code"))</f>
        <v/>
      </c>
      <c r="D698" s="15" t="n"/>
      <c r="E698" s="16" t="n"/>
      <c r="F698" s="18">
        <f>IF(OR(D698="",E698=""),"",D698*E698)</f>
        <v/>
      </c>
      <c r="G698" s="15" t="n"/>
    </row>
    <row r="699">
      <c r="A699" s="19" t="n"/>
      <c r="B699" s="15" t="n"/>
      <c r="C699">
        <f>IF(B699="","",IFERROR(INDEX(Items!$B$5:$B$304,MATCH(B699,Items!$A$5:$A$304,0)),"Unknown code"))</f>
        <v/>
      </c>
      <c r="D699" s="15" t="n"/>
      <c r="E699" s="16" t="n"/>
      <c r="F699" s="18">
        <f>IF(OR(D699="",E699=""),"",D699*E699)</f>
        <v/>
      </c>
      <c r="G699" s="15" t="n"/>
    </row>
    <row r="700">
      <c r="A700" s="19" t="n"/>
      <c r="B700" s="15" t="n"/>
      <c r="C700">
        <f>IF(B700="","",IFERROR(INDEX(Items!$B$5:$B$304,MATCH(B700,Items!$A$5:$A$304,0)),"Unknown code"))</f>
        <v/>
      </c>
      <c r="D700" s="15" t="n"/>
      <c r="E700" s="16" t="n"/>
      <c r="F700" s="18">
        <f>IF(OR(D700="",E700=""),"",D700*E700)</f>
        <v/>
      </c>
      <c r="G700" s="15" t="n"/>
    </row>
    <row r="701">
      <c r="A701" s="19" t="n"/>
      <c r="B701" s="15" t="n"/>
      <c r="C701">
        <f>IF(B701="","",IFERROR(INDEX(Items!$B$5:$B$304,MATCH(B701,Items!$A$5:$A$304,0)),"Unknown code"))</f>
        <v/>
      </c>
      <c r="D701" s="15" t="n"/>
      <c r="E701" s="16" t="n"/>
      <c r="F701" s="18">
        <f>IF(OR(D701="",E701=""),"",D701*E701)</f>
        <v/>
      </c>
      <c r="G701" s="15" t="n"/>
    </row>
    <row r="702">
      <c r="A702" s="19" t="n"/>
      <c r="B702" s="15" t="n"/>
      <c r="C702">
        <f>IF(B702="","",IFERROR(INDEX(Items!$B$5:$B$304,MATCH(B702,Items!$A$5:$A$304,0)),"Unknown code"))</f>
        <v/>
      </c>
      <c r="D702" s="15" t="n"/>
      <c r="E702" s="16" t="n"/>
      <c r="F702" s="18">
        <f>IF(OR(D702="",E702=""),"",D702*E702)</f>
        <v/>
      </c>
      <c r="G702" s="15" t="n"/>
    </row>
    <row r="703">
      <c r="A703" s="19" t="n"/>
      <c r="B703" s="15" t="n"/>
      <c r="C703">
        <f>IF(B703="","",IFERROR(INDEX(Items!$B$5:$B$304,MATCH(B703,Items!$A$5:$A$304,0)),"Unknown code"))</f>
        <v/>
      </c>
      <c r="D703" s="15" t="n"/>
      <c r="E703" s="16" t="n"/>
      <c r="F703" s="18">
        <f>IF(OR(D703="",E703=""),"",D703*E703)</f>
        <v/>
      </c>
      <c r="G703" s="15" t="n"/>
    </row>
    <row r="704">
      <c r="A704" s="19" t="n"/>
      <c r="B704" s="15" t="n"/>
      <c r="C704">
        <f>IF(B704="","",IFERROR(INDEX(Items!$B$5:$B$304,MATCH(B704,Items!$A$5:$A$304,0)),"Unknown code"))</f>
        <v/>
      </c>
      <c r="D704" s="15" t="n"/>
      <c r="E704" s="16" t="n"/>
      <c r="F704" s="18">
        <f>IF(OR(D704="",E704=""),"",D704*E704)</f>
        <v/>
      </c>
      <c r="G704" s="15" t="n"/>
    </row>
    <row r="705">
      <c r="A705" s="19" t="n"/>
      <c r="B705" s="15" t="n"/>
      <c r="C705">
        <f>IF(B705="","",IFERROR(INDEX(Items!$B$5:$B$304,MATCH(B705,Items!$A$5:$A$304,0)),"Unknown code"))</f>
        <v/>
      </c>
      <c r="D705" s="15" t="n"/>
      <c r="E705" s="16" t="n"/>
      <c r="F705" s="18">
        <f>IF(OR(D705="",E705=""),"",D705*E705)</f>
        <v/>
      </c>
      <c r="G705" s="15" t="n"/>
    </row>
    <row r="706">
      <c r="A706" s="19" t="n"/>
      <c r="B706" s="15" t="n"/>
      <c r="C706">
        <f>IF(B706="","",IFERROR(INDEX(Items!$B$5:$B$304,MATCH(B706,Items!$A$5:$A$304,0)),"Unknown code"))</f>
        <v/>
      </c>
      <c r="D706" s="15" t="n"/>
      <c r="E706" s="16" t="n"/>
      <c r="F706" s="18">
        <f>IF(OR(D706="",E706=""),"",D706*E706)</f>
        <v/>
      </c>
      <c r="G706" s="15" t="n"/>
    </row>
    <row r="707">
      <c r="A707" s="19" t="n"/>
      <c r="B707" s="15" t="n"/>
      <c r="C707">
        <f>IF(B707="","",IFERROR(INDEX(Items!$B$5:$B$304,MATCH(B707,Items!$A$5:$A$304,0)),"Unknown code"))</f>
        <v/>
      </c>
      <c r="D707" s="15" t="n"/>
      <c r="E707" s="16" t="n"/>
      <c r="F707" s="18">
        <f>IF(OR(D707="",E707=""),"",D707*E707)</f>
        <v/>
      </c>
      <c r="G707" s="15" t="n"/>
    </row>
    <row r="708">
      <c r="A708" s="19" t="n"/>
      <c r="B708" s="15" t="n"/>
      <c r="C708">
        <f>IF(B708="","",IFERROR(INDEX(Items!$B$5:$B$304,MATCH(B708,Items!$A$5:$A$304,0)),"Unknown code"))</f>
        <v/>
      </c>
      <c r="D708" s="15" t="n"/>
      <c r="E708" s="16" t="n"/>
      <c r="F708" s="18">
        <f>IF(OR(D708="",E708=""),"",D708*E708)</f>
        <v/>
      </c>
      <c r="G708" s="15" t="n"/>
    </row>
    <row r="709">
      <c r="A709" s="19" t="n"/>
      <c r="B709" s="15" t="n"/>
      <c r="C709">
        <f>IF(B709="","",IFERROR(INDEX(Items!$B$5:$B$304,MATCH(B709,Items!$A$5:$A$304,0)),"Unknown code"))</f>
        <v/>
      </c>
      <c r="D709" s="15" t="n"/>
      <c r="E709" s="16" t="n"/>
      <c r="F709" s="18">
        <f>IF(OR(D709="",E709=""),"",D709*E709)</f>
        <v/>
      </c>
      <c r="G709" s="15" t="n"/>
    </row>
    <row r="710">
      <c r="A710" s="19" t="n"/>
      <c r="B710" s="15" t="n"/>
      <c r="C710">
        <f>IF(B710="","",IFERROR(INDEX(Items!$B$5:$B$304,MATCH(B710,Items!$A$5:$A$304,0)),"Unknown code"))</f>
        <v/>
      </c>
      <c r="D710" s="15" t="n"/>
      <c r="E710" s="16" t="n"/>
      <c r="F710" s="18">
        <f>IF(OR(D710="",E710=""),"",D710*E710)</f>
        <v/>
      </c>
      <c r="G710" s="15" t="n"/>
    </row>
    <row r="711">
      <c r="A711" s="19" t="n"/>
      <c r="B711" s="15" t="n"/>
      <c r="C711">
        <f>IF(B711="","",IFERROR(INDEX(Items!$B$5:$B$304,MATCH(B711,Items!$A$5:$A$304,0)),"Unknown code"))</f>
        <v/>
      </c>
      <c r="D711" s="15" t="n"/>
      <c r="E711" s="16" t="n"/>
      <c r="F711" s="18">
        <f>IF(OR(D711="",E711=""),"",D711*E711)</f>
        <v/>
      </c>
      <c r="G711" s="15" t="n"/>
    </row>
    <row r="712">
      <c r="A712" s="19" t="n"/>
      <c r="B712" s="15" t="n"/>
      <c r="C712">
        <f>IF(B712="","",IFERROR(INDEX(Items!$B$5:$B$304,MATCH(B712,Items!$A$5:$A$304,0)),"Unknown code"))</f>
        <v/>
      </c>
      <c r="D712" s="15" t="n"/>
      <c r="E712" s="16" t="n"/>
      <c r="F712" s="18">
        <f>IF(OR(D712="",E712=""),"",D712*E712)</f>
        <v/>
      </c>
      <c r="G712" s="15" t="n"/>
    </row>
    <row r="713">
      <c r="A713" s="19" t="n"/>
      <c r="B713" s="15" t="n"/>
      <c r="C713">
        <f>IF(B713="","",IFERROR(INDEX(Items!$B$5:$B$304,MATCH(B713,Items!$A$5:$A$304,0)),"Unknown code"))</f>
        <v/>
      </c>
      <c r="D713" s="15" t="n"/>
      <c r="E713" s="16" t="n"/>
      <c r="F713" s="18">
        <f>IF(OR(D713="",E713=""),"",D713*E713)</f>
        <v/>
      </c>
      <c r="G713" s="15" t="n"/>
    </row>
    <row r="714">
      <c r="A714" s="19" t="n"/>
      <c r="B714" s="15" t="n"/>
      <c r="C714">
        <f>IF(B714="","",IFERROR(INDEX(Items!$B$5:$B$304,MATCH(B714,Items!$A$5:$A$304,0)),"Unknown code"))</f>
        <v/>
      </c>
      <c r="D714" s="15" t="n"/>
      <c r="E714" s="16" t="n"/>
      <c r="F714" s="18">
        <f>IF(OR(D714="",E714=""),"",D714*E714)</f>
        <v/>
      </c>
      <c r="G714" s="15" t="n"/>
    </row>
    <row r="715">
      <c r="A715" s="19" t="n"/>
      <c r="B715" s="15" t="n"/>
      <c r="C715">
        <f>IF(B715="","",IFERROR(INDEX(Items!$B$5:$B$304,MATCH(B715,Items!$A$5:$A$304,0)),"Unknown code"))</f>
        <v/>
      </c>
      <c r="D715" s="15" t="n"/>
      <c r="E715" s="16" t="n"/>
      <c r="F715" s="18">
        <f>IF(OR(D715="",E715=""),"",D715*E715)</f>
        <v/>
      </c>
      <c r="G715" s="15" t="n"/>
    </row>
    <row r="716">
      <c r="A716" s="19" t="n"/>
      <c r="B716" s="15" t="n"/>
      <c r="C716">
        <f>IF(B716="","",IFERROR(INDEX(Items!$B$5:$B$304,MATCH(B716,Items!$A$5:$A$304,0)),"Unknown code"))</f>
        <v/>
      </c>
      <c r="D716" s="15" t="n"/>
      <c r="E716" s="16" t="n"/>
      <c r="F716" s="18">
        <f>IF(OR(D716="",E716=""),"",D716*E716)</f>
        <v/>
      </c>
      <c r="G716" s="15" t="n"/>
    </row>
    <row r="717">
      <c r="A717" s="19" t="n"/>
      <c r="B717" s="15" t="n"/>
      <c r="C717">
        <f>IF(B717="","",IFERROR(INDEX(Items!$B$5:$B$304,MATCH(B717,Items!$A$5:$A$304,0)),"Unknown code"))</f>
        <v/>
      </c>
      <c r="D717" s="15" t="n"/>
      <c r="E717" s="16" t="n"/>
      <c r="F717" s="18">
        <f>IF(OR(D717="",E717=""),"",D717*E717)</f>
        <v/>
      </c>
      <c r="G717" s="15" t="n"/>
    </row>
    <row r="718">
      <c r="A718" s="19" t="n"/>
      <c r="B718" s="15" t="n"/>
      <c r="C718">
        <f>IF(B718="","",IFERROR(INDEX(Items!$B$5:$B$304,MATCH(B718,Items!$A$5:$A$304,0)),"Unknown code"))</f>
        <v/>
      </c>
      <c r="D718" s="15" t="n"/>
      <c r="E718" s="16" t="n"/>
      <c r="F718" s="18">
        <f>IF(OR(D718="",E718=""),"",D718*E718)</f>
        <v/>
      </c>
      <c r="G718" s="15" t="n"/>
    </row>
    <row r="719">
      <c r="A719" s="19" t="n"/>
      <c r="B719" s="15" t="n"/>
      <c r="C719">
        <f>IF(B719="","",IFERROR(INDEX(Items!$B$5:$B$304,MATCH(B719,Items!$A$5:$A$304,0)),"Unknown code"))</f>
        <v/>
      </c>
      <c r="D719" s="15" t="n"/>
      <c r="E719" s="16" t="n"/>
      <c r="F719" s="18">
        <f>IF(OR(D719="",E719=""),"",D719*E719)</f>
        <v/>
      </c>
      <c r="G719" s="15" t="n"/>
    </row>
    <row r="720">
      <c r="A720" s="19" t="n"/>
      <c r="B720" s="15" t="n"/>
      <c r="C720">
        <f>IF(B720="","",IFERROR(INDEX(Items!$B$5:$B$304,MATCH(B720,Items!$A$5:$A$304,0)),"Unknown code"))</f>
        <v/>
      </c>
      <c r="D720" s="15" t="n"/>
      <c r="E720" s="16" t="n"/>
      <c r="F720" s="18">
        <f>IF(OR(D720="",E720=""),"",D720*E720)</f>
        <v/>
      </c>
      <c r="G720" s="15" t="n"/>
    </row>
    <row r="721">
      <c r="A721" s="19" t="n"/>
      <c r="B721" s="15" t="n"/>
      <c r="C721">
        <f>IF(B721="","",IFERROR(INDEX(Items!$B$5:$B$304,MATCH(B721,Items!$A$5:$A$304,0)),"Unknown code"))</f>
        <v/>
      </c>
      <c r="D721" s="15" t="n"/>
      <c r="E721" s="16" t="n"/>
      <c r="F721" s="18">
        <f>IF(OR(D721="",E721=""),"",D721*E721)</f>
        <v/>
      </c>
      <c r="G721" s="15" t="n"/>
    </row>
    <row r="722">
      <c r="A722" s="19" t="n"/>
      <c r="B722" s="15" t="n"/>
      <c r="C722">
        <f>IF(B722="","",IFERROR(INDEX(Items!$B$5:$B$304,MATCH(B722,Items!$A$5:$A$304,0)),"Unknown code"))</f>
        <v/>
      </c>
      <c r="D722" s="15" t="n"/>
      <c r="E722" s="16" t="n"/>
      <c r="F722" s="18">
        <f>IF(OR(D722="",E722=""),"",D722*E722)</f>
        <v/>
      </c>
      <c r="G722" s="15" t="n"/>
    </row>
    <row r="723">
      <c r="A723" s="19" t="n"/>
      <c r="B723" s="15" t="n"/>
      <c r="C723">
        <f>IF(B723="","",IFERROR(INDEX(Items!$B$5:$B$304,MATCH(B723,Items!$A$5:$A$304,0)),"Unknown code"))</f>
        <v/>
      </c>
      <c r="D723" s="15" t="n"/>
      <c r="E723" s="16" t="n"/>
      <c r="F723" s="18">
        <f>IF(OR(D723="",E723=""),"",D723*E723)</f>
        <v/>
      </c>
      <c r="G723" s="15" t="n"/>
    </row>
    <row r="724">
      <c r="A724" s="19" t="n"/>
      <c r="B724" s="15" t="n"/>
      <c r="C724">
        <f>IF(B724="","",IFERROR(INDEX(Items!$B$5:$B$304,MATCH(B724,Items!$A$5:$A$304,0)),"Unknown code"))</f>
        <v/>
      </c>
      <c r="D724" s="15" t="n"/>
      <c r="E724" s="16" t="n"/>
      <c r="F724" s="18">
        <f>IF(OR(D724="",E724=""),"",D724*E724)</f>
        <v/>
      </c>
      <c r="G724" s="15" t="n"/>
    </row>
    <row r="725">
      <c r="A725" s="19" t="n"/>
      <c r="B725" s="15" t="n"/>
      <c r="C725">
        <f>IF(B725="","",IFERROR(INDEX(Items!$B$5:$B$304,MATCH(B725,Items!$A$5:$A$304,0)),"Unknown code"))</f>
        <v/>
      </c>
      <c r="D725" s="15" t="n"/>
      <c r="E725" s="16" t="n"/>
      <c r="F725" s="18">
        <f>IF(OR(D725="",E725=""),"",D725*E725)</f>
        <v/>
      </c>
      <c r="G725" s="15" t="n"/>
    </row>
    <row r="726">
      <c r="A726" s="19" t="n"/>
      <c r="B726" s="15" t="n"/>
      <c r="C726">
        <f>IF(B726="","",IFERROR(INDEX(Items!$B$5:$B$304,MATCH(B726,Items!$A$5:$A$304,0)),"Unknown code"))</f>
        <v/>
      </c>
      <c r="D726" s="15" t="n"/>
      <c r="E726" s="16" t="n"/>
      <c r="F726" s="18">
        <f>IF(OR(D726="",E726=""),"",D726*E726)</f>
        <v/>
      </c>
      <c r="G726" s="15" t="n"/>
    </row>
    <row r="727">
      <c r="A727" s="19" t="n"/>
      <c r="B727" s="15" t="n"/>
      <c r="C727">
        <f>IF(B727="","",IFERROR(INDEX(Items!$B$5:$B$304,MATCH(B727,Items!$A$5:$A$304,0)),"Unknown code"))</f>
        <v/>
      </c>
      <c r="D727" s="15" t="n"/>
      <c r="E727" s="16" t="n"/>
      <c r="F727" s="18">
        <f>IF(OR(D727="",E727=""),"",D727*E727)</f>
        <v/>
      </c>
      <c r="G727" s="15" t="n"/>
    </row>
    <row r="728">
      <c r="A728" s="19" t="n"/>
      <c r="B728" s="15" t="n"/>
      <c r="C728">
        <f>IF(B728="","",IFERROR(INDEX(Items!$B$5:$B$304,MATCH(B728,Items!$A$5:$A$304,0)),"Unknown code"))</f>
        <v/>
      </c>
      <c r="D728" s="15" t="n"/>
      <c r="E728" s="16" t="n"/>
      <c r="F728" s="18">
        <f>IF(OR(D728="",E728=""),"",D728*E728)</f>
        <v/>
      </c>
      <c r="G728" s="15" t="n"/>
    </row>
    <row r="729">
      <c r="A729" s="19" t="n"/>
      <c r="B729" s="15" t="n"/>
      <c r="C729">
        <f>IF(B729="","",IFERROR(INDEX(Items!$B$5:$B$304,MATCH(B729,Items!$A$5:$A$304,0)),"Unknown code"))</f>
        <v/>
      </c>
      <c r="D729" s="15" t="n"/>
      <c r="E729" s="16" t="n"/>
      <c r="F729" s="18">
        <f>IF(OR(D729="",E729=""),"",D729*E729)</f>
        <v/>
      </c>
      <c r="G729" s="15" t="n"/>
    </row>
    <row r="730">
      <c r="A730" s="19" t="n"/>
      <c r="B730" s="15" t="n"/>
      <c r="C730">
        <f>IF(B730="","",IFERROR(INDEX(Items!$B$5:$B$304,MATCH(B730,Items!$A$5:$A$304,0)),"Unknown code"))</f>
        <v/>
      </c>
      <c r="D730" s="15" t="n"/>
      <c r="E730" s="16" t="n"/>
      <c r="F730" s="18">
        <f>IF(OR(D730="",E730=""),"",D730*E730)</f>
        <v/>
      </c>
      <c r="G730" s="15" t="n"/>
    </row>
    <row r="731">
      <c r="A731" s="19" t="n"/>
      <c r="B731" s="15" t="n"/>
      <c r="C731">
        <f>IF(B731="","",IFERROR(INDEX(Items!$B$5:$B$304,MATCH(B731,Items!$A$5:$A$304,0)),"Unknown code"))</f>
        <v/>
      </c>
      <c r="D731" s="15" t="n"/>
      <c r="E731" s="16" t="n"/>
      <c r="F731" s="18">
        <f>IF(OR(D731="",E731=""),"",D731*E731)</f>
        <v/>
      </c>
      <c r="G731" s="15" t="n"/>
    </row>
    <row r="732">
      <c r="A732" s="19" t="n"/>
      <c r="B732" s="15" t="n"/>
      <c r="C732">
        <f>IF(B732="","",IFERROR(INDEX(Items!$B$5:$B$304,MATCH(B732,Items!$A$5:$A$304,0)),"Unknown code"))</f>
        <v/>
      </c>
      <c r="D732" s="15" t="n"/>
      <c r="E732" s="16" t="n"/>
      <c r="F732" s="18">
        <f>IF(OR(D732="",E732=""),"",D732*E732)</f>
        <v/>
      </c>
      <c r="G732" s="15" t="n"/>
    </row>
    <row r="733">
      <c r="A733" s="19" t="n"/>
      <c r="B733" s="15" t="n"/>
      <c r="C733">
        <f>IF(B733="","",IFERROR(INDEX(Items!$B$5:$B$304,MATCH(B733,Items!$A$5:$A$304,0)),"Unknown code"))</f>
        <v/>
      </c>
      <c r="D733" s="15" t="n"/>
      <c r="E733" s="16" t="n"/>
      <c r="F733" s="18">
        <f>IF(OR(D733="",E733=""),"",D733*E733)</f>
        <v/>
      </c>
      <c r="G733" s="15" t="n"/>
    </row>
    <row r="734">
      <c r="A734" s="19" t="n"/>
      <c r="B734" s="15" t="n"/>
      <c r="C734">
        <f>IF(B734="","",IFERROR(INDEX(Items!$B$5:$B$304,MATCH(B734,Items!$A$5:$A$304,0)),"Unknown code"))</f>
        <v/>
      </c>
      <c r="D734" s="15" t="n"/>
      <c r="E734" s="16" t="n"/>
      <c r="F734" s="18">
        <f>IF(OR(D734="",E734=""),"",D734*E734)</f>
        <v/>
      </c>
      <c r="G734" s="15" t="n"/>
    </row>
    <row r="735">
      <c r="A735" s="19" t="n"/>
      <c r="B735" s="15" t="n"/>
      <c r="C735">
        <f>IF(B735="","",IFERROR(INDEX(Items!$B$5:$B$304,MATCH(B735,Items!$A$5:$A$304,0)),"Unknown code"))</f>
        <v/>
      </c>
      <c r="D735" s="15" t="n"/>
      <c r="E735" s="16" t="n"/>
      <c r="F735" s="18">
        <f>IF(OR(D735="",E735=""),"",D735*E735)</f>
        <v/>
      </c>
      <c r="G735" s="15" t="n"/>
    </row>
    <row r="736">
      <c r="A736" s="19" t="n"/>
      <c r="B736" s="15" t="n"/>
      <c r="C736">
        <f>IF(B736="","",IFERROR(INDEX(Items!$B$5:$B$304,MATCH(B736,Items!$A$5:$A$304,0)),"Unknown code"))</f>
        <v/>
      </c>
      <c r="D736" s="15" t="n"/>
      <c r="E736" s="16" t="n"/>
      <c r="F736" s="18">
        <f>IF(OR(D736="",E736=""),"",D736*E736)</f>
        <v/>
      </c>
      <c r="G736" s="15" t="n"/>
    </row>
    <row r="737">
      <c r="A737" s="19" t="n"/>
      <c r="B737" s="15" t="n"/>
      <c r="C737">
        <f>IF(B737="","",IFERROR(INDEX(Items!$B$5:$B$304,MATCH(B737,Items!$A$5:$A$304,0)),"Unknown code"))</f>
        <v/>
      </c>
      <c r="D737" s="15" t="n"/>
      <c r="E737" s="16" t="n"/>
      <c r="F737" s="18">
        <f>IF(OR(D737="",E737=""),"",D737*E737)</f>
        <v/>
      </c>
      <c r="G737" s="15" t="n"/>
    </row>
    <row r="738">
      <c r="A738" s="19" t="n"/>
      <c r="B738" s="15" t="n"/>
      <c r="C738">
        <f>IF(B738="","",IFERROR(INDEX(Items!$B$5:$B$304,MATCH(B738,Items!$A$5:$A$304,0)),"Unknown code"))</f>
        <v/>
      </c>
      <c r="D738" s="15" t="n"/>
      <c r="E738" s="16" t="n"/>
      <c r="F738" s="18">
        <f>IF(OR(D738="",E738=""),"",D738*E738)</f>
        <v/>
      </c>
      <c r="G738" s="15" t="n"/>
    </row>
    <row r="739">
      <c r="A739" s="19" t="n"/>
      <c r="B739" s="15" t="n"/>
      <c r="C739">
        <f>IF(B739="","",IFERROR(INDEX(Items!$B$5:$B$304,MATCH(B739,Items!$A$5:$A$304,0)),"Unknown code"))</f>
        <v/>
      </c>
      <c r="D739" s="15" t="n"/>
      <c r="E739" s="16" t="n"/>
      <c r="F739" s="18">
        <f>IF(OR(D739="",E739=""),"",D739*E739)</f>
        <v/>
      </c>
      <c r="G739" s="15" t="n"/>
    </row>
    <row r="740">
      <c r="A740" s="19" t="n"/>
      <c r="B740" s="15" t="n"/>
      <c r="C740">
        <f>IF(B740="","",IFERROR(INDEX(Items!$B$5:$B$304,MATCH(B740,Items!$A$5:$A$304,0)),"Unknown code"))</f>
        <v/>
      </c>
      <c r="D740" s="15" t="n"/>
      <c r="E740" s="16" t="n"/>
      <c r="F740" s="18">
        <f>IF(OR(D740="",E740=""),"",D740*E740)</f>
        <v/>
      </c>
      <c r="G740" s="15" t="n"/>
    </row>
    <row r="741">
      <c r="A741" s="19" t="n"/>
      <c r="B741" s="15" t="n"/>
      <c r="C741">
        <f>IF(B741="","",IFERROR(INDEX(Items!$B$5:$B$304,MATCH(B741,Items!$A$5:$A$304,0)),"Unknown code"))</f>
        <v/>
      </c>
      <c r="D741" s="15" t="n"/>
      <c r="E741" s="16" t="n"/>
      <c r="F741" s="18">
        <f>IF(OR(D741="",E741=""),"",D741*E741)</f>
        <v/>
      </c>
      <c r="G741" s="15" t="n"/>
    </row>
    <row r="742">
      <c r="A742" s="19" t="n"/>
      <c r="B742" s="15" t="n"/>
      <c r="C742">
        <f>IF(B742="","",IFERROR(INDEX(Items!$B$5:$B$304,MATCH(B742,Items!$A$5:$A$304,0)),"Unknown code"))</f>
        <v/>
      </c>
      <c r="D742" s="15" t="n"/>
      <c r="E742" s="16" t="n"/>
      <c r="F742" s="18">
        <f>IF(OR(D742="",E742=""),"",D742*E742)</f>
        <v/>
      </c>
      <c r="G742" s="15" t="n"/>
    </row>
    <row r="743">
      <c r="A743" s="19" t="n"/>
      <c r="B743" s="15" t="n"/>
      <c r="C743">
        <f>IF(B743="","",IFERROR(INDEX(Items!$B$5:$B$304,MATCH(B743,Items!$A$5:$A$304,0)),"Unknown code"))</f>
        <v/>
      </c>
      <c r="D743" s="15" t="n"/>
      <c r="E743" s="16" t="n"/>
      <c r="F743" s="18">
        <f>IF(OR(D743="",E743=""),"",D743*E743)</f>
        <v/>
      </c>
      <c r="G743" s="15" t="n"/>
    </row>
    <row r="744">
      <c r="A744" s="19" t="n"/>
      <c r="B744" s="15" t="n"/>
      <c r="C744">
        <f>IF(B744="","",IFERROR(INDEX(Items!$B$5:$B$304,MATCH(B744,Items!$A$5:$A$304,0)),"Unknown code"))</f>
        <v/>
      </c>
      <c r="D744" s="15" t="n"/>
      <c r="E744" s="16" t="n"/>
      <c r="F744" s="18">
        <f>IF(OR(D744="",E744=""),"",D744*E744)</f>
        <v/>
      </c>
      <c r="G744" s="15" t="n"/>
    </row>
    <row r="745">
      <c r="A745" s="19" t="n"/>
      <c r="B745" s="15" t="n"/>
      <c r="C745">
        <f>IF(B745="","",IFERROR(INDEX(Items!$B$5:$B$304,MATCH(B745,Items!$A$5:$A$304,0)),"Unknown code"))</f>
        <v/>
      </c>
      <c r="D745" s="15" t="n"/>
      <c r="E745" s="16" t="n"/>
      <c r="F745" s="18">
        <f>IF(OR(D745="",E745=""),"",D745*E745)</f>
        <v/>
      </c>
      <c r="G745" s="15" t="n"/>
    </row>
    <row r="746">
      <c r="A746" s="19" t="n"/>
      <c r="B746" s="15" t="n"/>
      <c r="C746">
        <f>IF(B746="","",IFERROR(INDEX(Items!$B$5:$B$304,MATCH(B746,Items!$A$5:$A$304,0)),"Unknown code"))</f>
        <v/>
      </c>
      <c r="D746" s="15" t="n"/>
      <c r="E746" s="16" t="n"/>
      <c r="F746" s="18">
        <f>IF(OR(D746="",E746=""),"",D746*E746)</f>
        <v/>
      </c>
      <c r="G746" s="15" t="n"/>
    </row>
    <row r="747">
      <c r="A747" s="19" t="n"/>
      <c r="B747" s="15" t="n"/>
      <c r="C747">
        <f>IF(B747="","",IFERROR(INDEX(Items!$B$5:$B$304,MATCH(B747,Items!$A$5:$A$304,0)),"Unknown code"))</f>
        <v/>
      </c>
      <c r="D747" s="15" t="n"/>
      <c r="E747" s="16" t="n"/>
      <c r="F747" s="18">
        <f>IF(OR(D747="",E747=""),"",D747*E747)</f>
        <v/>
      </c>
      <c r="G747" s="15" t="n"/>
    </row>
    <row r="748">
      <c r="A748" s="19" t="n"/>
      <c r="B748" s="15" t="n"/>
      <c r="C748">
        <f>IF(B748="","",IFERROR(INDEX(Items!$B$5:$B$304,MATCH(B748,Items!$A$5:$A$304,0)),"Unknown code"))</f>
        <v/>
      </c>
      <c r="D748" s="15" t="n"/>
      <c r="E748" s="16" t="n"/>
      <c r="F748" s="18">
        <f>IF(OR(D748="",E748=""),"",D748*E748)</f>
        <v/>
      </c>
      <c r="G748" s="15" t="n"/>
    </row>
    <row r="749">
      <c r="A749" s="19" t="n"/>
      <c r="B749" s="15" t="n"/>
      <c r="C749">
        <f>IF(B749="","",IFERROR(INDEX(Items!$B$5:$B$304,MATCH(B749,Items!$A$5:$A$304,0)),"Unknown code"))</f>
        <v/>
      </c>
      <c r="D749" s="15" t="n"/>
      <c r="E749" s="16" t="n"/>
      <c r="F749" s="18">
        <f>IF(OR(D749="",E749=""),"",D749*E749)</f>
        <v/>
      </c>
      <c r="G749" s="15" t="n"/>
    </row>
    <row r="750">
      <c r="A750" s="19" t="n"/>
      <c r="B750" s="15" t="n"/>
      <c r="C750">
        <f>IF(B750="","",IFERROR(INDEX(Items!$B$5:$B$304,MATCH(B750,Items!$A$5:$A$304,0)),"Unknown code"))</f>
        <v/>
      </c>
      <c r="D750" s="15" t="n"/>
      <c r="E750" s="16" t="n"/>
      <c r="F750" s="18">
        <f>IF(OR(D750="",E750=""),"",D750*E750)</f>
        <v/>
      </c>
      <c r="G750" s="15" t="n"/>
    </row>
    <row r="751">
      <c r="A751" s="19" t="n"/>
      <c r="B751" s="15" t="n"/>
      <c r="C751">
        <f>IF(B751="","",IFERROR(INDEX(Items!$B$5:$B$304,MATCH(B751,Items!$A$5:$A$304,0)),"Unknown code"))</f>
        <v/>
      </c>
      <c r="D751" s="15" t="n"/>
      <c r="E751" s="16" t="n"/>
      <c r="F751" s="18">
        <f>IF(OR(D751="",E751=""),"",D751*E751)</f>
        <v/>
      </c>
      <c r="G751" s="15" t="n"/>
    </row>
    <row r="752">
      <c r="A752" s="19" t="n"/>
      <c r="B752" s="15" t="n"/>
      <c r="C752">
        <f>IF(B752="","",IFERROR(INDEX(Items!$B$5:$B$304,MATCH(B752,Items!$A$5:$A$304,0)),"Unknown code"))</f>
        <v/>
      </c>
      <c r="D752" s="15" t="n"/>
      <c r="E752" s="16" t="n"/>
      <c r="F752" s="18">
        <f>IF(OR(D752="",E752=""),"",D752*E752)</f>
        <v/>
      </c>
      <c r="G752" s="15" t="n"/>
    </row>
    <row r="753">
      <c r="A753" s="19" t="n"/>
      <c r="B753" s="15" t="n"/>
      <c r="C753">
        <f>IF(B753="","",IFERROR(INDEX(Items!$B$5:$B$304,MATCH(B753,Items!$A$5:$A$304,0)),"Unknown code"))</f>
        <v/>
      </c>
      <c r="D753" s="15" t="n"/>
      <c r="E753" s="16" t="n"/>
      <c r="F753" s="18">
        <f>IF(OR(D753="",E753=""),"",D753*E753)</f>
        <v/>
      </c>
      <c r="G753" s="15" t="n"/>
    </row>
    <row r="754">
      <c r="A754" s="19" t="n"/>
      <c r="B754" s="15" t="n"/>
      <c r="C754">
        <f>IF(B754="","",IFERROR(INDEX(Items!$B$5:$B$304,MATCH(B754,Items!$A$5:$A$304,0)),"Unknown code"))</f>
        <v/>
      </c>
      <c r="D754" s="15" t="n"/>
      <c r="E754" s="16" t="n"/>
      <c r="F754" s="18">
        <f>IF(OR(D754="",E754=""),"",D754*E754)</f>
        <v/>
      </c>
      <c r="G754" s="15" t="n"/>
    </row>
    <row r="755">
      <c r="A755" s="19" t="n"/>
      <c r="B755" s="15" t="n"/>
      <c r="C755">
        <f>IF(B755="","",IFERROR(INDEX(Items!$B$5:$B$304,MATCH(B755,Items!$A$5:$A$304,0)),"Unknown code"))</f>
        <v/>
      </c>
      <c r="D755" s="15" t="n"/>
      <c r="E755" s="16" t="n"/>
      <c r="F755" s="18">
        <f>IF(OR(D755="",E755=""),"",D755*E755)</f>
        <v/>
      </c>
      <c r="G755" s="15" t="n"/>
    </row>
    <row r="756">
      <c r="A756" s="19" t="n"/>
      <c r="B756" s="15" t="n"/>
      <c r="C756">
        <f>IF(B756="","",IFERROR(INDEX(Items!$B$5:$B$304,MATCH(B756,Items!$A$5:$A$304,0)),"Unknown code"))</f>
        <v/>
      </c>
      <c r="D756" s="15" t="n"/>
      <c r="E756" s="16" t="n"/>
      <c r="F756" s="18">
        <f>IF(OR(D756="",E756=""),"",D756*E756)</f>
        <v/>
      </c>
      <c r="G756" s="15" t="n"/>
    </row>
    <row r="757">
      <c r="A757" s="19" t="n"/>
      <c r="B757" s="15" t="n"/>
      <c r="C757">
        <f>IF(B757="","",IFERROR(INDEX(Items!$B$5:$B$304,MATCH(B757,Items!$A$5:$A$304,0)),"Unknown code"))</f>
        <v/>
      </c>
      <c r="D757" s="15" t="n"/>
      <c r="E757" s="16" t="n"/>
      <c r="F757" s="18">
        <f>IF(OR(D757="",E757=""),"",D757*E757)</f>
        <v/>
      </c>
      <c r="G757" s="15" t="n"/>
    </row>
    <row r="758">
      <c r="A758" s="19" t="n"/>
      <c r="B758" s="15" t="n"/>
      <c r="C758">
        <f>IF(B758="","",IFERROR(INDEX(Items!$B$5:$B$304,MATCH(B758,Items!$A$5:$A$304,0)),"Unknown code"))</f>
        <v/>
      </c>
      <c r="D758" s="15" t="n"/>
      <c r="E758" s="16" t="n"/>
      <c r="F758" s="18">
        <f>IF(OR(D758="",E758=""),"",D758*E758)</f>
        <v/>
      </c>
      <c r="G758" s="15" t="n"/>
    </row>
    <row r="759">
      <c r="A759" s="19" t="n"/>
      <c r="B759" s="15" t="n"/>
      <c r="C759">
        <f>IF(B759="","",IFERROR(INDEX(Items!$B$5:$B$304,MATCH(B759,Items!$A$5:$A$304,0)),"Unknown code"))</f>
        <v/>
      </c>
      <c r="D759" s="15" t="n"/>
      <c r="E759" s="16" t="n"/>
      <c r="F759" s="18">
        <f>IF(OR(D759="",E759=""),"",D759*E759)</f>
        <v/>
      </c>
      <c r="G759" s="15" t="n"/>
    </row>
    <row r="760">
      <c r="A760" s="19" t="n"/>
      <c r="B760" s="15" t="n"/>
      <c r="C760">
        <f>IF(B760="","",IFERROR(INDEX(Items!$B$5:$B$304,MATCH(B760,Items!$A$5:$A$304,0)),"Unknown code"))</f>
        <v/>
      </c>
      <c r="D760" s="15" t="n"/>
      <c r="E760" s="16" t="n"/>
      <c r="F760" s="18">
        <f>IF(OR(D760="",E760=""),"",D760*E760)</f>
        <v/>
      </c>
      <c r="G760" s="15" t="n"/>
    </row>
    <row r="761">
      <c r="A761" s="19" t="n"/>
      <c r="B761" s="15" t="n"/>
      <c r="C761">
        <f>IF(B761="","",IFERROR(INDEX(Items!$B$5:$B$304,MATCH(B761,Items!$A$5:$A$304,0)),"Unknown code"))</f>
        <v/>
      </c>
      <c r="D761" s="15" t="n"/>
      <c r="E761" s="16" t="n"/>
      <c r="F761" s="18">
        <f>IF(OR(D761="",E761=""),"",D761*E761)</f>
        <v/>
      </c>
      <c r="G761" s="15" t="n"/>
    </row>
    <row r="762">
      <c r="A762" s="19" t="n"/>
      <c r="B762" s="15" t="n"/>
      <c r="C762">
        <f>IF(B762="","",IFERROR(INDEX(Items!$B$5:$B$304,MATCH(B762,Items!$A$5:$A$304,0)),"Unknown code"))</f>
        <v/>
      </c>
      <c r="D762" s="15" t="n"/>
      <c r="E762" s="16" t="n"/>
      <c r="F762" s="18">
        <f>IF(OR(D762="",E762=""),"",D762*E762)</f>
        <v/>
      </c>
      <c r="G762" s="15" t="n"/>
    </row>
    <row r="763">
      <c r="A763" s="19" t="n"/>
      <c r="B763" s="15" t="n"/>
      <c r="C763">
        <f>IF(B763="","",IFERROR(INDEX(Items!$B$5:$B$304,MATCH(B763,Items!$A$5:$A$304,0)),"Unknown code"))</f>
        <v/>
      </c>
      <c r="D763" s="15" t="n"/>
      <c r="E763" s="16" t="n"/>
      <c r="F763" s="18">
        <f>IF(OR(D763="",E763=""),"",D763*E763)</f>
        <v/>
      </c>
      <c r="G763" s="15" t="n"/>
    </row>
    <row r="764">
      <c r="A764" s="19" t="n"/>
      <c r="B764" s="15" t="n"/>
      <c r="C764">
        <f>IF(B764="","",IFERROR(INDEX(Items!$B$5:$B$304,MATCH(B764,Items!$A$5:$A$304,0)),"Unknown code"))</f>
        <v/>
      </c>
      <c r="D764" s="15" t="n"/>
      <c r="E764" s="16" t="n"/>
      <c r="F764" s="18">
        <f>IF(OR(D764="",E764=""),"",D764*E764)</f>
        <v/>
      </c>
      <c r="G764" s="15" t="n"/>
    </row>
    <row r="765">
      <c r="A765" s="19" t="n"/>
      <c r="B765" s="15" t="n"/>
      <c r="C765">
        <f>IF(B765="","",IFERROR(INDEX(Items!$B$5:$B$304,MATCH(B765,Items!$A$5:$A$304,0)),"Unknown code"))</f>
        <v/>
      </c>
      <c r="D765" s="15" t="n"/>
      <c r="E765" s="16" t="n"/>
      <c r="F765" s="18">
        <f>IF(OR(D765="",E765=""),"",D765*E765)</f>
        <v/>
      </c>
      <c r="G765" s="15" t="n"/>
    </row>
    <row r="766">
      <c r="A766" s="19" t="n"/>
      <c r="B766" s="15" t="n"/>
      <c r="C766">
        <f>IF(B766="","",IFERROR(INDEX(Items!$B$5:$B$304,MATCH(B766,Items!$A$5:$A$304,0)),"Unknown code"))</f>
        <v/>
      </c>
      <c r="D766" s="15" t="n"/>
      <c r="E766" s="16" t="n"/>
      <c r="F766" s="18">
        <f>IF(OR(D766="",E766=""),"",D766*E766)</f>
        <v/>
      </c>
      <c r="G766" s="15" t="n"/>
    </row>
    <row r="767">
      <c r="A767" s="19" t="n"/>
      <c r="B767" s="15" t="n"/>
      <c r="C767">
        <f>IF(B767="","",IFERROR(INDEX(Items!$B$5:$B$304,MATCH(B767,Items!$A$5:$A$304,0)),"Unknown code"))</f>
        <v/>
      </c>
      <c r="D767" s="15" t="n"/>
      <c r="E767" s="16" t="n"/>
      <c r="F767" s="18">
        <f>IF(OR(D767="",E767=""),"",D767*E767)</f>
        <v/>
      </c>
      <c r="G767" s="15" t="n"/>
    </row>
    <row r="768">
      <c r="A768" s="19" t="n"/>
      <c r="B768" s="15" t="n"/>
      <c r="C768">
        <f>IF(B768="","",IFERROR(INDEX(Items!$B$5:$B$304,MATCH(B768,Items!$A$5:$A$304,0)),"Unknown code"))</f>
        <v/>
      </c>
      <c r="D768" s="15" t="n"/>
      <c r="E768" s="16" t="n"/>
      <c r="F768" s="18">
        <f>IF(OR(D768="",E768=""),"",D768*E768)</f>
        <v/>
      </c>
      <c r="G768" s="15" t="n"/>
    </row>
    <row r="769">
      <c r="A769" s="19" t="n"/>
      <c r="B769" s="15" t="n"/>
      <c r="C769">
        <f>IF(B769="","",IFERROR(INDEX(Items!$B$5:$B$304,MATCH(B769,Items!$A$5:$A$304,0)),"Unknown code"))</f>
        <v/>
      </c>
      <c r="D769" s="15" t="n"/>
      <c r="E769" s="16" t="n"/>
      <c r="F769" s="18">
        <f>IF(OR(D769="",E769=""),"",D769*E769)</f>
        <v/>
      </c>
      <c r="G769" s="15" t="n"/>
    </row>
    <row r="770">
      <c r="A770" s="19" t="n"/>
      <c r="B770" s="15" t="n"/>
      <c r="C770">
        <f>IF(B770="","",IFERROR(INDEX(Items!$B$5:$B$304,MATCH(B770,Items!$A$5:$A$304,0)),"Unknown code"))</f>
        <v/>
      </c>
      <c r="D770" s="15" t="n"/>
      <c r="E770" s="16" t="n"/>
      <c r="F770" s="18">
        <f>IF(OR(D770="",E770=""),"",D770*E770)</f>
        <v/>
      </c>
      <c r="G770" s="15" t="n"/>
    </row>
    <row r="771">
      <c r="A771" s="19" t="n"/>
      <c r="B771" s="15" t="n"/>
      <c r="C771">
        <f>IF(B771="","",IFERROR(INDEX(Items!$B$5:$B$304,MATCH(B771,Items!$A$5:$A$304,0)),"Unknown code"))</f>
        <v/>
      </c>
      <c r="D771" s="15" t="n"/>
      <c r="E771" s="16" t="n"/>
      <c r="F771" s="18">
        <f>IF(OR(D771="",E771=""),"",D771*E771)</f>
        <v/>
      </c>
      <c r="G771" s="15" t="n"/>
    </row>
    <row r="772">
      <c r="A772" s="19" t="n"/>
      <c r="B772" s="15" t="n"/>
      <c r="C772">
        <f>IF(B772="","",IFERROR(INDEX(Items!$B$5:$B$304,MATCH(B772,Items!$A$5:$A$304,0)),"Unknown code"))</f>
        <v/>
      </c>
      <c r="D772" s="15" t="n"/>
      <c r="E772" s="16" t="n"/>
      <c r="F772" s="18">
        <f>IF(OR(D772="",E772=""),"",D772*E772)</f>
        <v/>
      </c>
      <c r="G772" s="15" t="n"/>
    </row>
    <row r="773">
      <c r="A773" s="19" t="n"/>
      <c r="B773" s="15" t="n"/>
      <c r="C773">
        <f>IF(B773="","",IFERROR(INDEX(Items!$B$5:$B$304,MATCH(B773,Items!$A$5:$A$304,0)),"Unknown code"))</f>
        <v/>
      </c>
      <c r="D773" s="15" t="n"/>
      <c r="E773" s="16" t="n"/>
      <c r="F773" s="18">
        <f>IF(OR(D773="",E773=""),"",D773*E773)</f>
        <v/>
      </c>
      <c r="G773" s="15" t="n"/>
    </row>
    <row r="774">
      <c r="A774" s="19" t="n"/>
      <c r="B774" s="15" t="n"/>
      <c r="C774">
        <f>IF(B774="","",IFERROR(INDEX(Items!$B$5:$B$304,MATCH(B774,Items!$A$5:$A$304,0)),"Unknown code"))</f>
        <v/>
      </c>
      <c r="D774" s="15" t="n"/>
      <c r="E774" s="16" t="n"/>
      <c r="F774" s="18">
        <f>IF(OR(D774="",E774=""),"",D774*E774)</f>
        <v/>
      </c>
      <c r="G774" s="15" t="n"/>
    </row>
    <row r="775">
      <c r="A775" s="19" t="n"/>
      <c r="B775" s="15" t="n"/>
      <c r="C775">
        <f>IF(B775="","",IFERROR(INDEX(Items!$B$5:$B$304,MATCH(B775,Items!$A$5:$A$304,0)),"Unknown code"))</f>
        <v/>
      </c>
      <c r="D775" s="15" t="n"/>
      <c r="E775" s="16" t="n"/>
      <c r="F775" s="18">
        <f>IF(OR(D775="",E775=""),"",D775*E775)</f>
        <v/>
      </c>
      <c r="G775" s="15" t="n"/>
    </row>
    <row r="776">
      <c r="A776" s="19" t="n"/>
      <c r="B776" s="15" t="n"/>
      <c r="C776">
        <f>IF(B776="","",IFERROR(INDEX(Items!$B$5:$B$304,MATCH(B776,Items!$A$5:$A$304,0)),"Unknown code"))</f>
        <v/>
      </c>
      <c r="D776" s="15" t="n"/>
      <c r="E776" s="16" t="n"/>
      <c r="F776" s="18">
        <f>IF(OR(D776="",E776=""),"",D776*E776)</f>
        <v/>
      </c>
      <c r="G776" s="15" t="n"/>
    </row>
    <row r="777">
      <c r="A777" s="19" t="n"/>
      <c r="B777" s="15" t="n"/>
      <c r="C777">
        <f>IF(B777="","",IFERROR(INDEX(Items!$B$5:$B$304,MATCH(B777,Items!$A$5:$A$304,0)),"Unknown code"))</f>
        <v/>
      </c>
      <c r="D777" s="15" t="n"/>
      <c r="E777" s="16" t="n"/>
      <c r="F777" s="18">
        <f>IF(OR(D777="",E777=""),"",D777*E777)</f>
        <v/>
      </c>
      <c r="G777" s="15" t="n"/>
    </row>
    <row r="778">
      <c r="A778" s="19" t="n"/>
      <c r="B778" s="15" t="n"/>
      <c r="C778">
        <f>IF(B778="","",IFERROR(INDEX(Items!$B$5:$B$304,MATCH(B778,Items!$A$5:$A$304,0)),"Unknown code"))</f>
        <v/>
      </c>
      <c r="D778" s="15" t="n"/>
      <c r="E778" s="16" t="n"/>
      <c r="F778" s="18">
        <f>IF(OR(D778="",E778=""),"",D778*E778)</f>
        <v/>
      </c>
      <c r="G778" s="15" t="n"/>
    </row>
    <row r="779">
      <c r="A779" s="19" t="n"/>
      <c r="B779" s="15" t="n"/>
      <c r="C779">
        <f>IF(B779="","",IFERROR(INDEX(Items!$B$5:$B$304,MATCH(B779,Items!$A$5:$A$304,0)),"Unknown code"))</f>
        <v/>
      </c>
      <c r="D779" s="15" t="n"/>
      <c r="E779" s="16" t="n"/>
      <c r="F779" s="18">
        <f>IF(OR(D779="",E779=""),"",D779*E779)</f>
        <v/>
      </c>
      <c r="G779" s="15" t="n"/>
    </row>
    <row r="780">
      <c r="A780" s="19" t="n"/>
      <c r="B780" s="15" t="n"/>
      <c r="C780">
        <f>IF(B780="","",IFERROR(INDEX(Items!$B$5:$B$304,MATCH(B780,Items!$A$5:$A$304,0)),"Unknown code"))</f>
        <v/>
      </c>
      <c r="D780" s="15" t="n"/>
      <c r="E780" s="16" t="n"/>
      <c r="F780" s="18">
        <f>IF(OR(D780="",E780=""),"",D780*E780)</f>
        <v/>
      </c>
      <c r="G780" s="15" t="n"/>
    </row>
    <row r="781">
      <c r="A781" s="19" t="n"/>
      <c r="B781" s="15" t="n"/>
      <c r="C781">
        <f>IF(B781="","",IFERROR(INDEX(Items!$B$5:$B$304,MATCH(B781,Items!$A$5:$A$304,0)),"Unknown code"))</f>
        <v/>
      </c>
      <c r="D781" s="15" t="n"/>
      <c r="E781" s="16" t="n"/>
      <c r="F781" s="18">
        <f>IF(OR(D781="",E781=""),"",D781*E781)</f>
        <v/>
      </c>
      <c r="G781" s="15" t="n"/>
    </row>
    <row r="782">
      <c r="A782" s="19" t="n"/>
      <c r="B782" s="15" t="n"/>
      <c r="C782">
        <f>IF(B782="","",IFERROR(INDEX(Items!$B$5:$B$304,MATCH(B782,Items!$A$5:$A$304,0)),"Unknown code"))</f>
        <v/>
      </c>
      <c r="D782" s="15" t="n"/>
      <c r="E782" s="16" t="n"/>
      <c r="F782" s="18">
        <f>IF(OR(D782="",E782=""),"",D782*E782)</f>
        <v/>
      </c>
      <c r="G782" s="15" t="n"/>
    </row>
    <row r="783">
      <c r="A783" s="19" t="n"/>
      <c r="B783" s="15" t="n"/>
      <c r="C783">
        <f>IF(B783="","",IFERROR(INDEX(Items!$B$5:$B$304,MATCH(B783,Items!$A$5:$A$304,0)),"Unknown code"))</f>
        <v/>
      </c>
      <c r="D783" s="15" t="n"/>
      <c r="E783" s="16" t="n"/>
      <c r="F783" s="18">
        <f>IF(OR(D783="",E783=""),"",D783*E783)</f>
        <v/>
      </c>
      <c r="G783" s="15" t="n"/>
    </row>
    <row r="784">
      <c r="A784" s="19" t="n"/>
      <c r="B784" s="15" t="n"/>
      <c r="C784">
        <f>IF(B784="","",IFERROR(INDEX(Items!$B$5:$B$304,MATCH(B784,Items!$A$5:$A$304,0)),"Unknown code"))</f>
        <v/>
      </c>
      <c r="D784" s="15" t="n"/>
      <c r="E784" s="16" t="n"/>
      <c r="F784" s="18">
        <f>IF(OR(D784="",E784=""),"",D784*E784)</f>
        <v/>
      </c>
      <c r="G784" s="15" t="n"/>
    </row>
    <row r="785">
      <c r="A785" s="19" t="n"/>
      <c r="B785" s="15" t="n"/>
      <c r="C785">
        <f>IF(B785="","",IFERROR(INDEX(Items!$B$5:$B$304,MATCH(B785,Items!$A$5:$A$304,0)),"Unknown code"))</f>
        <v/>
      </c>
      <c r="D785" s="15" t="n"/>
      <c r="E785" s="16" t="n"/>
      <c r="F785" s="18">
        <f>IF(OR(D785="",E785=""),"",D785*E785)</f>
        <v/>
      </c>
      <c r="G785" s="15" t="n"/>
    </row>
    <row r="786">
      <c r="A786" s="19" t="n"/>
      <c r="B786" s="15" t="n"/>
      <c r="C786">
        <f>IF(B786="","",IFERROR(INDEX(Items!$B$5:$B$304,MATCH(B786,Items!$A$5:$A$304,0)),"Unknown code"))</f>
        <v/>
      </c>
      <c r="D786" s="15" t="n"/>
      <c r="E786" s="16" t="n"/>
      <c r="F786" s="18">
        <f>IF(OR(D786="",E786=""),"",D786*E786)</f>
        <v/>
      </c>
      <c r="G786" s="15" t="n"/>
    </row>
    <row r="787">
      <c r="A787" s="19" t="n"/>
      <c r="B787" s="15" t="n"/>
      <c r="C787">
        <f>IF(B787="","",IFERROR(INDEX(Items!$B$5:$B$304,MATCH(B787,Items!$A$5:$A$304,0)),"Unknown code"))</f>
        <v/>
      </c>
      <c r="D787" s="15" t="n"/>
      <c r="E787" s="16" t="n"/>
      <c r="F787" s="18">
        <f>IF(OR(D787="",E787=""),"",D787*E787)</f>
        <v/>
      </c>
      <c r="G787" s="15" t="n"/>
    </row>
    <row r="788">
      <c r="A788" s="19" t="n"/>
      <c r="B788" s="15" t="n"/>
      <c r="C788">
        <f>IF(B788="","",IFERROR(INDEX(Items!$B$5:$B$304,MATCH(B788,Items!$A$5:$A$304,0)),"Unknown code"))</f>
        <v/>
      </c>
      <c r="D788" s="15" t="n"/>
      <c r="E788" s="16" t="n"/>
      <c r="F788" s="18">
        <f>IF(OR(D788="",E788=""),"",D788*E788)</f>
        <v/>
      </c>
      <c r="G788" s="15" t="n"/>
    </row>
    <row r="789">
      <c r="A789" s="19" t="n"/>
      <c r="B789" s="15" t="n"/>
      <c r="C789">
        <f>IF(B789="","",IFERROR(INDEX(Items!$B$5:$B$304,MATCH(B789,Items!$A$5:$A$304,0)),"Unknown code"))</f>
        <v/>
      </c>
      <c r="D789" s="15" t="n"/>
      <c r="E789" s="16" t="n"/>
      <c r="F789" s="18">
        <f>IF(OR(D789="",E789=""),"",D789*E789)</f>
        <v/>
      </c>
      <c r="G789" s="15" t="n"/>
    </row>
    <row r="790">
      <c r="A790" s="19" t="n"/>
      <c r="B790" s="15" t="n"/>
      <c r="C790">
        <f>IF(B790="","",IFERROR(INDEX(Items!$B$5:$B$304,MATCH(B790,Items!$A$5:$A$304,0)),"Unknown code"))</f>
        <v/>
      </c>
      <c r="D790" s="15" t="n"/>
      <c r="E790" s="16" t="n"/>
      <c r="F790" s="18">
        <f>IF(OR(D790="",E790=""),"",D790*E790)</f>
        <v/>
      </c>
      <c r="G790" s="15" t="n"/>
    </row>
    <row r="791">
      <c r="A791" s="19" t="n"/>
      <c r="B791" s="15" t="n"/>
      <c r="C791">
        <f>IF(B791="","",IFERROR(INDEX(Items!$B$5:$B$304,MATCH(B791,Items!$A$5:$A$304,0)),"Unknown code"))</f>
        <v/>
      </c>
      <c r="D791" s="15" t="n"/>
      <c r="E791" s="16" t="n"/>
      <c r="F791" s="18">
        <f>IF(OR(D791="",E791=""),"",D791*E791)</f>
        <v/>
      </c>
      <c r="G791" s="15" t="n"/>
    </row>
    <row r="792">
      <c r="A792" s="19" t="n"/>
      <c r="B792" s="15" t="n"/>
      <c r="C792">
        <f>IF(B792="","",IFERROR(INDEX(Items!$B$5:$B$304,MATCH(B792,Items!$A$5:$A$304,0)),"Unknown code"))</f>
        <v/>
      </c>
      <c r="D792" s="15" t="n"/>
      <c r="E792" s="16" t="n"/>
      <c r="F792" s="18">
        <f>IF(OR(D792="",E792=""),"",D792*E792)</f>
        <v/>
      </c>
      <c r="G792" s="15" t="n"/>
    </row>
    <row r="793">
      <c r="A793" s="19" t="n"/>
      <c r="B793" s="15" t="n"/>
      <c r="C793">
        <f>IF(B793="","",IFERROR(INDEX(Items!$B$5:$B$304,MATCH(B793,Items!$A$5:$A$304,0)),"Unknown code"))</f>
        <v/>
      </c>
      <c r="D793" s="15" t="n"/>
      <c r="E793" s="16" t="n"/>
      <c r="F793" s="18">
        <f>IF(OR(D793="",E793=""),"",D793*E793)</f>
        <v/>
      </c>
      <c r="G793" s="15" t="n"/>
    </row>
    <row r="794">
      <c r="A794" s="19" t="n"/>
      <c r="B794" s="15" t="n"/>
      <c r="C794">
        <f>IF(B794="","",IFERROR(INDEX(Items!$B$5:$B$304,MATCH(B794,Items!$A$5:$A$304,0)),"Unknown code"))</f>
        <v/>
      </c>
      <c r="D794" s="15" t="n"/>
      <c r="E794" s="16" t="n"/>
      <c r="F794" s="18">
        <f>IF(OR(D794="",E794=""),"",D794*E794)</f>
        <v/>
      </c>
      <c r="G794" s="15" t="n"/>
    </row>
    <row r="795">
      <c r="A795" s="19" t="n"/>
      <c r="B795" s="15" t="n"/>
      <c r="C795">
        <f>IF(B795="","",IFERROR(INDEX(Items!$B$5:$B$304,MATCH(B795,Items!$A$5:$A$304,0)),"Unknown code"))</f>
        <v/>
      </c>
      <c r="D795" s="15" t="n"/>
      <c r="E795" s="16" t="n"/>
      <c r="F795" s="18">
        <f>IF(OR(D795="",E795=""),"",D795*E795)</f>
        <v/>
      </c>
      <c r="G795" s="15" t="n"/>
    </row>
    <row r="796">
      <c r="A796" s="19" t="n"/>
      <c r="B796" s="15" t="n"/>
      <c r="C796">
        <f>IF(B796="","",IFERROR(INDEX(Items!$B$5:$B$304,MATCH(B796,Items!$A$5:$A$304,0)),"Unknown code"))</f>
        <v/>
      </c>
      <c r="D796" s="15" t="n"/>
      <c r="E796" s="16" t="n"/>
      <c r="F796" s="18">
        <f>IF(OR(D796="",E796=""),"",D796*E796)</f>
        <v/>
      </c>
      <c r="G796" s="15" t="n"/>
    </row>
    <row r="797">
      <c r="A797" s="19" t="n"/>
      <c r="B797" s="15" t="n"/>
      <c r="C797">
        <f>IF(B797="","",IFERROR(INDEX(Items!$B$5:$B$304,MATCH(B797,Items!$A$5:$A$304,0)),"Unknown code"))</f>
        <v/>
      </c>
      <c r="D797" s="15" t="n"/>
      <c r="E797" s="16" t="n"/>
      <c r="F797" s="18">
        <f>IF(OR(D797="",E797=""),"",D797*E797)</f>
        <v/>
      </c>
      <c r="G797" s="15" t="n"/>
    </row>
    <row r="798">
      <c r="A798" s="19" t="n"/>
      <c r="B798" s="15" t="n"/>
      <c r="C798">
        <f>IF(B798="","",IFERROR(INDEX(Items!$B$5:$B$304,MATCH(B798,Items!$A$5:$A$304,0)),"Unknown code"))</f>
        <v/>
      </c>
      <c r="D798" s="15" t="n"/>
      <c r="E798" s="16" t="n"/>
      <c r="F798" s="18">
        <f>IF(OR(D798="",E798=""),"",D798*E798)</f>
        <v/>
      </c>
      <c r="G798" s="15" t="n"/>
    </row>
    <row r="799">
      <c r="A799" s="19" t="n"/>
      <c r="B799" s="15" t="n"/>
      <c r="C799">
        <f>IF(B799="","",IFERROR(INDEX(Items!$B$5:$B$304,MATCH(B799,Items!$A$5:$A$304,0)),"Unknown code"))</f>
        <v/>
      </c>
      <c r="D799" s="15" t="n"/>
      <c r="E799" s="16" t="n"/>
      <c r="F799" s="18">
        <f>IF(OR(D799="",E799=""),"",D799*E799)</f>
        <v/>
      </c>
      <c r="G799" s="15" t="n"/>
    </row>
    <row r="800">
      <c r="A800" s="19" t="n"/>
      <c r="B800" s="15" t="n"/>
      <c r="C800">
        <f>IF(B800="","",IFERROR(INDEX(Items!$B$5:$B$304,MATCH(B800,Items!$A$5:$A$304,0)),"Unknown code"))</f>
        <v/>
      </c>
      <c r="D800" s="15" t="n"/>
      <c r="E800" s="16" t="n"/>
      <c r="F800" s="18">
        <f>IF(OR(D800="",E800=""),"",D800*E800)</f>
        <v/>
      </c>
      <c r="G800" s="15" t="n"/>
    </row>
    <row r="801">
      <c r="A801" s="19" t="n"/>
      <c r="B801" s="15" t="n"/>
      <c r="C801">
        <f>IF(B801="","",IFERROR(INDEX(Items!$B$5:$B$304,MATCH(B801,Items!$A$5:$A$304,0)),"Unknown code"))</f>
        <v/>
      </c>
      <c r="D801" s="15" t="n"/>
      <c r="E801" s="16" t="n"/>
      <c r="F801" s="18">
        <f>IF(OR(D801="",E801=""),"",D801*E801)</f>
        <v/>
      </c>
      <c r="G801" s="15" t="n"/>
    </row>
    <row r="802">
      <c r="A802" s="19" t="n"/>
      <c r="B802" s="15" t="n"/>
      <c r="C802">
        <f>IF(B802="","",IFERROR(INDEX(Items!$B$5:$B$304,MATCH(B802,Items!$A$5:$A$304,0)),"Unknown code"))</f>
        <v/>
      </c>
      <c r="D802" s="15" t="n"/>
      <c r="E802" s="16" t="n"/>
      <c r="F802" s="18">
        <f>IF(OR(D802="",E802=""),"",D802*E802)</f>
        <v/>
      </c>
      <c r="G802" s="15" t="n"/>
    </row>
    <row r="803">
      <c r="A803" s="19" t="n"/>
      <c r="B803" s="15" t="n"/>
      <c r="C803">
        <f>IF(B803="","",IFERROR(INDEX(Items!$B$5:$B$304,MATCH(B803,Items!$A$5:$A$304,0)),"Unknown code"))</f>
        <v/>
      </c>
      <c r="D803" s="15" t="n"/>
      <c r="E803" s="16" t="n"/>
      <c r="F803" s="18">
        <f>IF(OR(D803="",E803=""),"",D803*E803)</f>
        <v/>
      </c>
      <c r="G803" s="15" t="n"/>
    </row>
    <row r="804">
      <c r="A804" s="19" t="n"/>
      <c r="B804" s="15" t="n"/>
      <c r="C804">
        <f>IF(B804="","",IFERROR(INDEX(Items!$B$5:$B$304,MATCH(B804,Items!$A$5:$A$304,0)),"Unknown code"))</f>
        <v/>
      </c>
      <c r="D804" s="15" t="n"/>
      <c r="E804" s="16" t="n"/>
      <c r="F804" s="18">
        <f>IF(OR(D804="",E804=""),"",D804*E804)</f>
        <v/>
      </c>
      <c r="G804" s="15" t="n"/>
    </row>
    <row r="805">
      <c r="A805" s="19" t="n"/>
      <c r="B805" s="15" t="n"/>
      <c r="C805">
        <f>IF(B805="","",IFERROR(INDEX(Items!$B$5:$B$304,MATCH(B805,Items!$A$5:$A$304,0)),"Unknown code"))</f>
        <v/>
      </c>
      <c r="D805" s="15" t="n"/>
      <c r="E805" s="16" t="n"/>
      <c r="F805" s="18">
        <f>IF(OR(D805="",E805=""),"",D805*E805)</f>
        <v/>
      </c>
      <c r="G805" s="15" t="n"/>
    </row>
    <row r="806">
      <c r="A806" s="19" t="n"/>
      <c r="B806" s="15" t="n"/>
      <c r="C806">
        <f>IF(B806="","",IFERROR(INDEX(Items!$B$5:$B$304,MATCH(B806,Items!$A$5:$A$304,0)),"Unknown code"))</f>
        <v/>
      </c>
      <c r="D806" s="15" t="n"/>
      <c r="E806" s="16" t="n"/>
      <c r="F806" s="18">
        <f>IF(OR(D806="",E806=""),"",D806*E806)</f>
        <v/>
      </c>
      <c r="G806" s="15" t="n"/>
    </row>
    <row r="807">
      <c r="A807" s="19" t="n"/>
      <c r="B807" s="15" t="n"/>
      <c r="C807">
        <f>IF(B807="","",IFERROR(INDEX(Items!$B$5:$B$304,MATCH(B807,Items!$A$5:$A$304,0)),"Unknown code"))</f>
        <v/>
      </c>
      <c r="D807" s="15" t="n"/>
      <c r="E807" s="16" t="n"/>
      <c r="F807" s="18">
        <f>IF(OR(D807="",E807=""),"",D807*E807)</f>
        <v/>
      </c>
      <c r="G807" s="15" t="n"/>
    </row>
    <row r="808">
      <c r="A808" s="19" t="n"/>
      <c r="B808" s="15" t="n"/>
      <c r="C808">
        <f>IF(B808="","",IFERROR(INDEX(Items!$B$5:$B$304,MATCH(B808,Items!$A$5:$A$304,0)),"Unknown code"))</f>
        <v/>
      </c>
      <c r="D808" s="15" t="n"/>
      <c r="E808" s="16" t="n"/>
      <c r="F808" s="18">
        <f>IF(OR(D808="",E808=""),"",D808*E808)</f>
        <v/>
      </c>
      <c r="G808" s="15" t="n"/>
    </row>
    <row r="809">
      <c r="A809" s="19" t="n"/>
      <c r="B809" s="15" t="n"/>
      <c r="C809">
        <f>IF(B809="","",IFERROR(INDEX(Items!$B$5:$B$304,MATCH(B809,Items!$A$5:$A$304,0)),"Unknown code"))</f>
        <v/>
      </c>
      <c r="D809" s="15" t="n"/>
      <c r="E809" s="16" t="n"/>
      <c r="F809" s="18">
        <f>IF(OR(D809="",E809=""),"",D809*E809)</f>
        <v/>
      </c>
      <c r="G809" s="15" t="n"/>
    </row>
    <row r="810">
      <c r="A810" s="19" t="n"/>
      <c r="B810" s="15" t="n"/>
      <c r="C810">
        <f>IF(B810="","",IFERROR(INDEX(Items!$B$5:$B$304,MATCH(B810,Items!$A$5:$A$304,0)),"Unknown code"))</f>
        <v/>
      </c>
      <c r="D810" s="15" t="n"/>
      <c r="E810" s="16" t="n"/>
      <c r="F810" s="18">
        <f>IF(OR(D810="",E810=""),"",D810*E810)</f>
        <v/>
      </c>
      <c r="G810" s="15" t="n"/>
    </row>
    <row r="811">
      <c r="A811" s="19" t="n"/>
      <c r="B811" s="15" t="n"/>
      <c r="C811">
        <f>IF(B811="","",IFERROR(INDEX(Items!$B$5:$B$304,MATCH(B811,Items!$A$5:$A$304,0)),"Unknown code"))</f>
        <v/>
      </c>
      <c r="D811" s="15" t="n"/>
      <c r="E811" s="16" t="n"/>
      <c r="F811" s="18">
        <f>IF(OR(D811="",E811=""),"",D811*E811)</f>
        <v/>
      </c>
      <c r="G811" s="15" t="n"/>
    </row>
    <row r="812">
      <c r="A812" s="19" t="n"/>
      <c r="B812" s="15" t="n"/>
      <c r="C812">
        <f>IF(B812="","",IFERROR(INDEX(Items!$B$5:$B$304,MATCH(B812,Items!$A$5:$A$304,0)),"Unknown code"))</f>
        <v/>
      </c>
      <c r="D812" s="15" t="n"/>
      <c r="E812" s="16" t="n"/>
      <c r="F812" s="18">
        <f>IF(OR(D812="",E812=""),"",D812*E812)</f>
        <v/>
      </c>
      <c r="G812" s="15" t="n"/>
    </row>
    <row r="813">
      <c r="A813" s="19" t="n"/>
      <c r="B813" s="15" t="n"/>
      <c r="C813">
        <f>IF(B813="","",IFERROR(INDEX(Items!$B$5:$B$304,MATCH(B813,Items!$A$5:$A$304,0)),"Unknown code"))</f>
        <v/>
      </c>
      <c r="D813" s="15" t="n"/>
      <c r="E813" s="16" t="n"/>
      <c r="F813" s="18">
        <f>IF(OR(D813="",E813=""),"",D813*E813)</f>
        <v/>
      </c>
      <c r="G813" s="15" t="n"/>
    </row>
    <row r="814">
      <c r="A814" s="19" t="n"/>
      <c r="B814" s="15" t="n"/>
      <c r="C814">
        <f>IF(B814="","",IFERROR(INDEX(Items!$B$5:$B$304,MATCH(B814,Items!$A$5:$A$304,0)),"Unknown code"))</f>
        <v/>
      </c>
      <c r="D814" s="15" t="n"/>
      <c r="E814" s="16" t="n"/>
      <c r="F814" s="18">
        <f>IF(OR(D814="",E814=""),"",D814*E814)</f>
        <v/>
      </c>
      <c r="G814" s="15" t="n"/>
    </row>
    <row r="815">
      <c r="A815" s="19" t="n"/>
      <c r="B815" s="15" t="n"/>
      <c r="C815">
        <f>IF(B815="","",IFERROR(INDEX(Items!$B$5:$B$304,MATCH(B815,Items!$A$5:$A$304,0)),"Unknown code"))</f>
        <v/>
      </c>
      <c r="D815" s="15" t="n"/>
      <c r="E815" s="16" t="n"/>
      <c r="F815" s="18">
        <f>IF(OR(D815="",E815=""),"",D815*E815)</f>
        <v/>
      </c>
      <c r="G815" s="15" t="n"/>
    </row>
    <row r="816">
      <c r="A816" s="19" t="n"/>
      <c r="B816" s="15" t="n"/>
      <c r="C816">
        <f>IF(B816="","",IFERROR(INDEX(Items!$B$5:$B$304,MATCH(B816,Items!$A$5:$A$304,0)),"Unknown code"))</f>
        <v/>
      </c>
      <c r="D816" s="15" t="n"/>
      <c r="E816" s="16" t="n"/>
      <c r="F816" s="18">
        <f>IF(OR(D816="",E816=""),"",D816*E816)</f>
        <v/>
      </c>
      <c r="G816" s="15" t="n"/>
    </row>
    <row r="817">
      <c r="A817" s="19" t="n"/>
      <c r="B817" s="15" t="n"/>
      <c r="C817">
        <f>IF(B817="","",IFERROR(INDEX(Items!$B$5:$B$304,MATCH(B817,Items!$A$5:$A$304,0)),"Unknown code"))</f>
        <v/>
      </c>
      <c r="D817" s="15" t="n"/>
      <c r="E817" s="16" t="n"/>
      <c r="F817" s="18">
        <f>IF(OR(D817="",E817=""),"",D817*E817)</f>
        <v/>
      </c>
      <c r="G817" s="15" t="n"/>
    </row>
    <row r="818">
      <c r="A818" s="19" t="n"/>
      <c r="B818" s="15" t="n"/>
      <c r="C818">
        <f>IF(B818="","",IFERROR(INDEX(Items!$B$5:$B$304,MATCH(B818,Items!$A$5:$A$304,0)),"Unknown code"))</f>
        <v/>
      </c>
      <c r="D818" s="15" t="n"/>
      <c r="E818" s="16" t="n"/>
      <c r="F818" s="18">
        <f>IF(OR(D818="",E818=""),"",D818*E818)</f>
        <v/>
      </c>
      <c r="G818" s="15" t="n"/>
    </row>
    <row r="819">
      <c r="A819" s="19" t="n"/>
      <c r="B819" s="15" t="n"/>
      <c r="C819">
        <f>IF(B819="","",IFERROR(INDEX(Items!$B$5:$B$304,MATCH(B819,Items!$A$5:$A$304,0)),"Unknown code"))</f>
        <v/>
      </c>
      <c r="D819" s="15" t="n"/>
      <c r="E819" s="16" t="n"/>
      <c r="F819" s="18">
        <f>IF(OR(D819="",E819=""),"",D819*E819)</f>
        <v/>
      </c>
      <c r="G819" s="15" t="n"/>
    </row>
    <row r="820">
      <c r="A820" s="19" t="n"/>
      <c r="B820" s="15" t="n"/>
      <c r="C820">
        <f>IF(B820="","",IFERROR(INDEX(Items!$B$5:$B$304,MATCH(B820,Items!$A$5:$A$304,0)),"Unknown code"))</f>
        <v/>
      </c>
      <c r="D820" s="15" t="n"/>
      <c r="E820" s="16" t="n"/>
      <c r="F820" s="18">
        <f>IF(OR(D820="",E820=""),"",D820*E820)</f>
        <v/>
      </c>
      <c r="G820" s="15" t="n"/>
    </row>
    <row r="821">
      <c r="A821" s="19" t="n"/>
      <c r="B821" s="15" t="n"/>
      <c r="C821">
        <f>IF(B821="","",IFERROR(INDEX(Items!$B$5:$B$304,MATCH(B821,Items!$A$5:$A$304,0)),"Unknown code"))</f>
        <v/>
      </c>
      <c r="D821" s="15" t="n"/>
      <c r="E821" s="16" t="n"/>
      <c r="F821" s="18">
        <f>IF(OR(D821="",E821=""),"",D821*E821)</f>
        <v/>
      </c>
      <c r="G821" s="15" t="n"/>
    </row>
    <row r="822">
      <c r="A822" s="19" t="n"/>
      <c r="B822" s="15" t="n"/>
      <c r="C822">
        <f>IF(B822="","",IFERROR(INDEX(Items!$B$5:$B$304,MATCH(B822,Items!$A$5:$A$304,0)),"Unknown code"))</f>
        <v/>
      </c>
      <c r="D822" s="15" t="n"/>
      <c r="E822" s="16" t="n"/>
      <c r="F822" s="18">
        <f>IF(OR(D822="",E822=""),"",D822*E822)</f>
        <v/>
      </c>
      <c r="G822" s="15" t="n"/>
    </row>
    <row r="823">
      <c r="A823" s="19" t="n"/>
      <c r="B823" s="15" t="n"/>
      <c r="C823">
        <f>IF(B823="","",IFERROR(INDEX(Items!$B$5:$B$304,MATCH(B823,Items!$A$5:$A$304,0)),"Unknown code"))</f>
        <v/>
      </c>
      <c r="D823" s="15" t="n"/>
      <c r="E823" s="16" t="n"/>
      <c r="F823" s="18">
        <f>IF(OR(D823="",E823=""),"",D823*E823)</f>
        <v/>
      </c>
      <c r="G823" s="15" t="n"/>
    </row>
    <row r="824">
      <c r="A824" s="19" t="n"/>
      <c r="B824" s="15" t="n"/>
      <c r="C824">
        <f>IF(B824="","",IFERROR(INDEX(Items!$B$5:$B$304,MATCH(B824,Items!$A$5:$A$304,0)),"Unknown code"))</f>
        <v/>
      </c>
      <c r="D824" s="15" t="n"/>
      <c r="E824" s="16" t="n"/>
      <c r="F824" s="18">
        <f>IF(OR(D824="",E824=""),"",D824*E824)</f>
        <v/>
      </c>
      <c r="G824" s="15" t="n"/>
    </row>
    <row r="825">
      <c r="A825" s="19" t="n"/>
      <c r="B825" s="15" t="n"/>
      <c r="C825">
        <f>IF(B825="","",IFERROR(INDEX(Items!$B$5:$B$304,MATCH(B825,Items!$A$5:$A$304,0)),"Unknown code"))</f>
        <v/>
      </c>
      <c r="D825" s="15" t="n"/>
      <c r="E825" s="16" t="n"/>
      <c r="F825" s="18">
        <f>IF(OR(D825="",E825=""),"",D825*E825)</f>
        <v/>
      </c>
      <c r="G825" s="15" t="n"/>
    </row>
    <row r="826">
      <c r="A826" s="19" t="n"/>
      <c r="B826" s="15" t="n"/>
      <c r="C826">
        <f>IF(B826="","",IFERROR(INDEX(Items!$B$5:$B$304,MATCH(B826,Items!$A$5:$A$304,0)),"Unknown code"))</f>
        <v/>
      </c>
      <c r="D826" s="15" t="n"/>
      <c r="E826" s="16" t="n"/>
      <c r="F826" s="18">
        <f>IF(OR(D826="",E826=""),"",D826*E826)</f>
        <v/>
      </c>
      <c r="G826" s="15" t="n"/>
    </row>
    <row r="827">
      <c r="A827" s="19" t="n"/>
      <c r="B827" s="15" t="n"/>
      <c r="C827">
        <f>IF(B827="","",IFERROR(INDEX(Items!$B$5:$B$304,MATCH(B827,Items!$A$5:$A$304,0)),"Unknown code"))</f>
        <v/>
      </c>
      <c r="D827" s="15" t="n"/>
      <c r="E827" s="16" t="n"/>
      <c r="F827" s="18">
        <f>IF(OR(D827="",E827=""),"",D827*E827)</f>
        <v/>
      </c>
      <c r="G827" s="15" t="n"/>
    </row>
    <row r="828">
      <c r="A828" s="19" t="n"/>
      <c r="B828" s="15" t="n"/>
      <c r="C828">
        <f>IF(B828="","",IFERROR(INDEX(Items!$B$5:$B$304,MATCH(B828,Items!$A$5:$A$304,0)),"Unknown code"))</f>
        <v/>
      </c>
      <c r="D828" s="15" t="n"/>
      <c r="E828" s="16" t="n"/>
      <c r="F828" s="18">
        <f>IF(OR(D828="",E828=""),"",D828*E828)</f>
        <v/>
      </c>
      <c r="G828" s="15" t="n"/>
    </row>
    <row r="829">
      <c r="A829" s="19" t="n"/>
      <c r="B829" s="15" t="n"/>
      <c r="C829">
        <f>IF(B829="","",IFERROR(INDEX(Items!$B$5:$B$304,MATCH(B829,Items!$A$5:$A$304,0)),"Unknown code"))</f>
        <v/>
      </c>
      <c r="D829" s="15" t="n"/>
      <c r="E829" s="16" t="n"/>
      <c r="F829" s="18">
        <f>IF(OR(D829="",E829=""),"",D829*E829)</f>
        <v/>
      </c>
      <c r="G829" s="15" t="n"/>
    </row>
    <row r="830">
      <c r="A830" s="19" t="n"/>
      <c r="B830" s="15" t="n"/>
      <c r="C830">
        <f>IF(B830="","",IFERROR(INDEX(Items!$B$5:$B$304,MATCH(B830,Items!$A$5:$A$304,0)),"Unknown code"))</f>
        <v/>
      </c>
      <c r="D830" s="15" t="n"/>
      <c r="E830" s="16" t="n"/>
      <c r="F830" s="18">
        <f>IF(OR(D830="",E830=""),"",D830*E830)</f>
        <v/>
      </c>
      <c r="G830" s="15" t="n"/>
    </row>
    <row r="831">
      <c r="A831" s="19" t="n"/>
      <c r="B831" s="15" t="n"/>
      <c r="C831">
        <f>IF(B831="","",IFERROR(INDEX(Items!$B$5:$B$304,MATCH(B831,Items!$A$5:$A$304,0)),"Unknown code"))</f>
        <v/>
      </c>
      <c r="D831" s="15" t="n"/>
      <c r="E831" s="16" t="n"/>
      <c r="F831" s="18">
        <f>IF(OR(D831="",E831=""),"",D831*E831)</f>
        <v/>
      </c>
      <c r="G831" s="15" t="n"/>
    </row>
    <row r="832">
      <c r="A832" s="19" t="n"/>
      <c r="B832" s="15" t="n"/>
      <c r="C832">
        <f>IF(B832="","",IFERROR(INDEX(Items!$B$5:$B$304,MATCH(B832,Items!$A$5:$A$304,0)),"Unknown code"))</f>
        <v/>
      </c>
      <c r="D832" s="15" t="n"/>
      <c r="E832" s="16" t="n"/>
      <c r="F832" s="18">
        <f>IF(OR(D832="",E832=""),"",D832*E832)</f>
        <v/>
      </c>
      <c r="G832" s="15" t="n"/>
    </row>
    <row r="833">
      <c r="A833" s="19" t="n"/>
      <c r="B833" s="15" t="n"/>
      <c r="C833">
        <f>IF(B833="","",IFERROR(INDEX(Items!$B$5:$B$304,MATCH(B833,Items!$A$5:$A$304,0)),"Unknown code"))</f>
        <v/>
      </c>
      <c r="D833" s="15" t="n"/>
      <c r="E833" s="16" t="n"/>
      <c r="F833" s="18">
        <f>IF(OR(D833="",E833=""),"",D833*E833)</f>
        <v/>
      </c>
      <c r="G833" s="15" t="n"/>
    </row>
    <row r="834">
      <c r="A834" s="19" t="n"/>
      <c r="B834" s="15" t="n"/>
      <c r="C834">
        <f>IF(B834="","",IFERROR(INDEX(Items!$B$5:$B$304,MATCH(B834,Items!$A$5:$A$304,0)),"Unknown code"))</f>
        <v/>
      </c>
      <c r="D834" s="15" t="n"/>
      <c r="E834" s="16" t="n"/>
      <c r="F834" s="18">
        <f>IF(OR(D834="",E834=""),"",D834*E834)</f>
        <v/>
      </c>
      <c r="G834" s="15" t="n"/>
    </row>
    <row r="835">
      <c r="A835" s="19" t="n"/>
      <c r="B835" s="15" t="n"/>
      <c r="C835">
        <f>IF(B835="","",IFERROR(INDEX(Items!$B$5:$B$304,MATCH(B835,Items!$A$5:$A$304,0)),"Unknown code"))</f>
        <v/>
      </c>
      <c r="D835" s="15" t="n"/>
      <c r="E835" s="16" t="n"/>
      <c r="F835" s="18">
        <f>IF(OR(D835="",E835=""),"",D835*E835)</f>
        <v/>
      </c>
      <c r="G835" s="15" t="n"/>
    </row>
    <row r="836">
      <c r="A836" s="19" t="n"/>
      <c r="B836" s="15" t="n"/>
      <c r="C836">
        <f>IF(B836="","",IFERROR(INDEX(Items!$B$5:$B$304,MATCH(B836,Items!$A$5:$A$304,0)),"Unknown code"))</f>
        <v/>
      </c>
      <c r="D836" s="15" t="n"/>
      <c r="E836" s="16" t="n"/>
      <c r="F836" s="18">
        <f>IF(OR(D836="",E836=""),"",D836*E836)</f>
        <v/>
      </c>
      <c r="G836" s="15" t="n"/>
    </row>
    <row r="837">
      <c r="A837" s="19" t="n"/>
      <c r="B837" s="15" t="n"/>
      <c r="C837">
        <f>IF(B837="","",IFERROR(INDEX(Items!$B$5:$B$304,MATCH(B837,Items!$A$5:$A$304,0)),"Unknown code"))</f>
        <v/>
      </c>
      <c r="D837" s="15" t="n"/>
      <c r="E837" s="16" t="n"/>
      <c r="F837" s="18">
        <f>IF(OR(D837="",E837=""),"",D837*E837)</f>
        <v/>
      </c>
      <c r="G837" s="15" t="n"/>
    </row>
    <row r="838">
      <c r="A838" s="19" t="n"/>
      <c r="B838" s="15" t="n"/>
      <c r="C838">
        <f>IF(B838="","",IFERROR(INDEX(Items!$B$5:$B$304,MATCH(B838,Items!$A$5:$A$304,0)),"Unknown code"))</f>
        <v/>
      </c>
      <c r="D838" s="15" t="n"/>
      <c r="E838" s="16" t="n"/>
      <c r="F838" s="18">
        <f>IF(OR(D838="",E838=""),"",D838*E838)</f>
        <v/>
      </c>
      <c r="G838" s="15" t="n"/>
    </row>
    <row r="839">
      <c r="A839" s="19" t="n"/>
      <c r="B839" s="15" t="n"/>
      <c r="C839">
        <f>IF(B839="","",IFERROR(INDEX(Items!$B$5:$B$304,MATCH(B839,Items!$A$5:$A$304,0)),"Unknown code"))</f>
        <v/>
      </c>
      <c r="D839" s="15" t="n"/>
      <c r="E839" s="16" t="n"/>
      <c r="F839" s="18">
        <f>IF(OR(D839="",E839=""),"",D839*E839)</f>
        <v/>
      </c>
      <c r="G839" s="15" t="n"/>
    </row>
    <row r="840">
      <c r="A840" s="19" t="n"/>
      <c r="B840" s="15" t="n"/>
      <c r="C840">
        <f>IF(B840="","",IFERROR(INDEX(Items!$B$5:$B$304,MATCH(B840,Items!$A$5:$A$304,0)),"Unknown code"))</f>
        <v/>
      </c>
      <c r="D840" s="15" t="n"/>
      <c r="E840" s="16" t="n"/>
      <c r="F840" s="18">
        <f>IF(OR(D840="",E840=""),"",D840*E840)</f>
        <v/>
      </c>
      <c r="G840" s="15" t="n"/>
    </row>
    <row r="841">
      <c r="A841" s="19" t="n"/>
      <c r="B841" s="15" t="n"/>
      <c r="C841">
        <f>IF(B841="","",IFERROR(INDEX(Items!$B$5:$B$304,MATCH(B841,Items!$A$5:$A$304,0)),"Unknown code"))</f>
        <v/>
      </c>
      <c r="D841" s="15" t="n"/>
      <c r="E841" s="16" t="n"/>
      <c r="F841" s="18">
        <f>IF(OR(D841="",E841=""),"",D841*E841)</f>
        <v/>
      </c>
      <c r="G841" s="15" t="n"/>
    </row>
    <row r="842">
      <c r="A842" s="19" t="n"/>
      <c r="B842" s="15" t="n"/>
      <c r="C842">
        <f>IF(B842="","",IFERROR(INDEX(Items!$B$5:$B$304,MATCH(B842,Items!$A$5:$A$304,0)),"Unknown code"))</f>
        <v/>
      </c>
      <c r="D842" s="15" t="n"/>
      <c r="E842" s="16" t="n"/>
      <c r="F842" s="18">
        <f>IF(OR(D842="",E842=""),"",D842*E842)</f>
        <v/>
      </c>
      <c r="G842" s="15" t="n"/>
    </row>
    <row r="843">
      <c r="A843" s="19" t="n"/>
      <c r="B843" s="15" t="n"/>
      <c r="C843">
        <f>IF(B843="","",IFERROR(INDEX(Items!$B$5:$B$304,MATCH(B843,Items!$A$5:$A$304,0)),"Unknown code"))</f>
        <v/>
      </c>
      <c r="D843" s="15" t="n"/>
      <c r="E843" s="16" t="n"/>
      <c r="F843" s="18">
        <f>IF(OR(D843="",E843=""),"",D843*E843)</f>
        <v/>
      </c>
      <c r="G843" s="15" t="n"/>
    </row>
    <row r="844">
      <c r="A844" s="19" t="n"/>
      <c r="B844" s="15" t="n"/>
      <c r="C844">
        <f>IF(B844="","",IFERROR(INDEX(Items!$B$5:$B$304,MATCH(B844,Items!$A$5:$A$304,0)),"Unknown code"))</f>
        <v/>
      </c>
      <c r="D844" s="15" t="n"/>
      <c r="E844" s="16" t="n"/>
      <c r="F844" s="18">
        <f>IF(OR(D844="",E844=""),"",D844*E844)</f>
        <v/>
      </c>
      <c r="G844" s="15" t="n"/>
    </row>
    <row r="845">
      <c r="A845" s="19" t="n"/>
      <c r="B845" s="15" t="n"/>
      <c r="C845">
        <f>IF(B845="","",IFERROR(INDEX(Items!$B$5:$B$304,MATCH(B845,Items!$A$5:$A$304,0)),"Unknown code"))</f>
        <v/>
      </c>
      <c r="D845" s="15" t="n"/>
      <c r="E845" s="16" t="n"/>
      <c r="F845" s="18">
        <f>IF(OR(D845="",E845=""),"",D845*E845)</f>
        <v/>
      </c>
      <c r="G845" s="15" t="n"/>
    </row>
    <row r="846">
      <c r="A846" s="19" t="n"/>
      <c r="B846" s="15" t="n"/>
      <c r="C846">
        <f>IF(B846="","",IFERROR(INDEX(Items!$B$5:$B$304,MATCH(B846,Items!$A$5:$A$304,0)),"Unknown code"))</f>
        <v/>
      </c>
      <c r="D846" s="15" t="n"/>
      <c r="E846" s="16" t="n"/>
      <c r="F846" s="18">
        <f>IF(OR(D846="",E846=""),"",D846*E846)</f>
        <v/>
      </c>
      <c r="G846" s="15" t="n"/>
    </row>
    <row r="847">
      <c r="A847" s="19" t="n"/>
      <c r="B847" s="15" t="n"/>
      <c r="C847">
        <f>IF(B847="","",IFERROR(INDEX(Items!$B$5:$B$304,MATCH(B847,Items!$A$5:$A$304,0)),"Unknown code"))</f>
        <v/>
      </c>
      <c r="D847" s="15" t="n"/>
      <c r="E847" s="16" t="n"/>
      <c r="F847" s="18">
        <f>IF(OR(D847="",E847=""),"",D847*E847)</f>
        <v/>
      </c>
      <c r="G847" s="15" t="n"/>
    </row>
    <row r="848">
      <c r="A848" s="19" t="n"/>
      <c r="B848" s="15" t="n"/>
      <c r="C848">
        <f>IF(B848="","",IFERROR(INDEX(Items!$B$5:$B$304,MATCH(B848,Items!$A$5:$A$304,0)),"Unknown code"))</f>
        <v/>
      </c>
      <c r="D848" s="15" t="n"/>
      <c r="E848" s="16" t="n"/>
      <c r="F848" s="18">
        <f>IF(OR(D848="",E848=""),"",D848*E848)</f>
        <v/>
      </c>
      <c r="G848" s="15" t="n"/>
    </row>
    <row r="849">
      <c r="A849" s="19" t="n"/>
      <c r="B849" s="15" t="n"/>
      <c r="C849">
        <f>IF(B849="","",IFERROR(INDEX(Items!$B$5:$B$304,MATCH(B849,Items!$A$5:$A$304,0)),"Unknown code"))</f>
        <v/>
      </c>
      <c r="D849" s="15" t="n"/>
      <c r="E849" s="16" t="n"/>
      <c r="F849" s="18">
        <f>IF(OR(D849="",E849=""),"",D849*E849)</f>
        <v/>
      </c>
      <c r="G849" s="15" t="n"/>
    </row>
    <row r="850">
      <c r="A850" s="19" t="n"/>
      <c r="B850" s="15" t="n"/>
      <c r="C850">
        <f>IF(B850="","",IFERROR(INDEX(Items!$B$5:$B$304,MATCH(B850,Items!$A$5:$A$304,0)),"Unknown code"))</f>
        <v/>
      </c>
      <c r="D850" s="15" t="n"/>
      <c r="E850" s="16" t="n"/>
      <c r="F850" s="18">
        <f>IF(OR(D850="",E850=""),"",D850*E850)</f>
        <v/>
      </c>
      <c r="G850" s="15" t="n"/>
    </row>
    <row r="851">
      <c r="A851" s="19" t="n"/>
      <c r="B851" s="15" t="n"/>
      <c r="C851">
        <f>IF(B851="","",IFERROR(INDEX(Items!$B$5:$B$304,MATCH(B851,Items!$A$5:$A$304,0)),"Unknown code"))</f>
        <v/>
      </c>
      <c r="D851" s="15" t="n"/>
      <c r="E851" s="16" t="n"/>
      <c r="F851" s="18">
        <f>IF(OR(D851="",E851=""),"",D851*E851)</f>
        <v/>
      </c>
      <c r="G851" s="15" t="n"/>
    </row>
    <row r="852">
      <c r="A852" s="19" t="n"/>
      <c r="B852" s="15" t="n"/>
      <c r="C852">
        <f>IF(B852="","",IFERROR(INDEX(Items!$B$5:$B$304,MATCH(B852,Items!$A$5:$A$304,0)),"Unknown code"))</f>
        <v/>
      </c>
      <c r="D852" s="15" t="n"/>
      <c r="E852" s="16" t="n"/>
      <c r="F852" s="18">
        <f>IF(OR(D852="",E852=""),"",D852*E852)</f>
        <v/>
      </c>
      <c r="G852" s="15" t="n"/>
    </row>
    <row r="853">
      <c r="A853" s="19" t="n"/>
      <c r="B853" s="15" t="n"/>
      <c r="C853">
        <f>IF(B853="","",IFERROR(INDEX(Items!$B$5:$B$304,MATCH(B853,Items!$A$5:$A$304,0)),"Unknown code"))</f>
        <v/>
      </c>
      <c r="D853" s="15" t="n"/>
      <c r="E853" s="16" t="n"/>
      <c r="F853" s="18">
        <f>IF(OR(D853="",E853=""),"",D853*E853)</f>
        <v/>
      </c>
      <c r="G853" s="15" t="n"/>
    </row>
    <row r="854">
      <c r="A854" s="19" t="n"/>
      <c r="B854" s="15" t="n"/>
      <c r="C854">
        <f>IF(B854="","",IFERROR(INDEX(Items!$B$5:$B$304,MATCH(B854,Items!$A$5:$A$304,0)),"Unknown code"))</f>
        <v/>
      </c>
      <c r="D854" s="15" t="n"/>
      <c r="E854" s="16" t="n"/>
      <c r="F854" s="18">
        <f>IF(OR(D854="",E854=""),"",D854*E854)</f>
        <v/>
      </c>
      <c r="G854" s="15" t="n"/>
    </row>
    <row r="855">
      <c r="A855" s="19" t="n"/>
      <c r="B855" s="15" t="n"/>
      <c r="C855">
        <f>IF(B855="","",IFERROR(INDEX(Items!$B$5:$B$304,MATCH(B855,Items!$A$5:$A$304,0)),"Unknown code"))</f>
        <v/>
      </c>
      <c r="D855" s="15" t="n"/>
      <c r="E855" s="16" t="n"/>
      <c r="F855" s="18">
        <f>IF(OR(D855="",E855=""),"",D855*E855)</f>
        <v/>
      </c>
      <c r="G855" s="15" t="n"/>
    </row>
    <row r="856">
      <c r="A856" s="19" t="n"/>
      <c r="B856" s="15" t="n"/>
      <c r="C856">
        <f>IF(B856="","",IFERROR(INDEX(Items!$B$5:$B$304,MATCH(B856,Items!$A$5:$A$304,0)),"Unknown code"))</f>
        <v/>
      </c>
      <c r="D856" s="15" t="n"/>
      <c r="E856" s="16" t="n"/>
      <c r="F856" s="18">
        <f>IF(OR(D856="",E856=""),"",D856*E856)</f>
        <v/>
      </c>
      <c r="G856" s="15" t="n"/>
    </row>
    <row r="857">
      <c r="A857" s="19" t="n"/>
      <c r="B857" s="15" t="n"/>
      <c r="C857">
        <f>IF(B857="","",IFERROR(INDEX(Items!$B$5:$B$304,MATCH(B857,Items!$A$5:$A$304,0)),"Unknown code"))</f>
        <v/>
      </c>
      <c r="D857" s="15" t="n"/>
      <c r="E857" s="16" t="n"/>
      <c r="F857" s="18">
        <f>IF(OR(D857="",E857=""),"",D857*E857)</f>
        <v/>
      </c>
      <c r="G857" s="15" t="n"/>
    </row>
    <row r="858">
      <c r="A858" s="19" t="n"/>
      <c r="B858" s="15" t="n"/>
      <c r="C858">
        <f>IF(B858="","",IFERROR(INDEX(Items!$B$5:$B$304,MATCH(B858,Items!$A$5:$A$304,0)),"Unknown code"))</f>
        <v/>
      </c>
      <c r="D858" s="15" t="n"/>
      <c r="E858" s="16" t="n"/>
      <c r="F858" s="18">
        <f>IF(OR(D858="",E858=""),"",D858*E858)</f>
        <v/>
      </c>
      <c r="G858" s="15" t="n"/>
    </row>
    <row r="859">
      <c r="A859" s="19" t="n"/>
      <c r="B859" s="15" t="n"/>
      <c r="C859">
        <f>IF(B859="","",IFERROR(INDEX(Items!$B$5:$B$304,MATCH(B859,Items!$A$5:$A$304,0)),"Unknown code"))</f>
        <v/>
      </c>
      <c r="D859" s="15" t="n"/>
      <c r="E859" s="16" t="n"/>
      <c r="F859" s="18">
        <f>IF(OR(D859="",E859=""),"",D859*E859)</f>
        <v/>
      </c>
      <c r="G859" s="15" t="n"/>
    </row>
    <row r="860">
      <c r="A860" s="19" t="n"/>
      <c r="B860" s="15" t="n"/>
      <c r="C860">
        <f>IF(B860="","",IFERROR(INDEX(Items!$B$5:$B$304,MATCH(B860,Items!$A$5:$A$304,0)),"Unknown code"))</f>
        <v/>
      </c>
      <c r="D860" s="15" t="n"/>
      <c r="E860" s="16" t="n"/>
      <c r="F860" s="18">
        <f>IF(OR(D860="",E860=""),"",D860*E860)</f>
        <v/>
      </c>
      <c r="G860" s="15" t="n"/>
    </row>
    <row r="861">
      <c r="A861" s="19" t="n"/>
      <c r="B861" s="15" t="n"/>
      <c r="C861">
        <f>IF(B861="","",IFERROR(INDEX(Items!$B$5:$B$304,MATCH(B861,Items!$A$5:$A$304,0)),"Unknown code"))</f>
        <v/>
      </c>
      <c r="D861" s="15" t="n"/>
      <c r="E861" s="16" t="n"/>
      <c r="F861" s="18">
        <f>IF(OR(D861="",E861=""),"",D861*E861)</f>
        <v/>
      </c>
      <c r="G861" s="15" t="n"/>
    </row>
    <row r="862">
      <c r="A862" s="19" t="n"/>
      <c r="B862" s="15" t="n"/>
      <c r="C862">
        <f>IF(B862="","",IFERROR(INDEX(Items!$B$5:$B$304,MATCH(B862,Items!$A$5:$A$304,0)),"Unknown code"))</f>
        <v/>
      </c>
      <c r="D862" s="15" t="n"/>
      <c r="E862" s="16" t="n"/>
      <c r="F862" s="18">
        <f>IF(OR(D862="",E862=""),"",D862*E862)</f>
        <v/>
      </c>
      <c r="G862" s="15" t="n"/>
    </row>
    <row r="863">
      <c r="A863" s="19" t="n"/>
      <c r="B863" s="15" t="n"/>
      <c r="C863">
        <f>IF(B863="","",IFERROR(INDEX(Items!$B$5:$B$304,MATCH(B863,Items!$A$5:$A$304,0)),"Unknown code"))</f>
        <v/>
      </c>
      <c r="D863" s="15" t="n"/>
      <c r="E863" s="16" t="n"/>
      <c r="F863" s="18">
        <f>IF(OR(D863="",E863=""),"",D863*E863)</f>
        <v/>
      </c>
      <c r="G863" s="15" t="n"/>
    </row>
    <row r="864">
      <c r="A864" s="19" t="n"/>
      <c r="B864" s="15" t="n"/>
      <c r="C864">
        <f>IF(B864="","",IFERROR(INDEX(Items!$B$5:$B$304,MATCH(B864,Items!$A$5:$A$304,0)),"Unknown code"))</f>
        <v/>
      </c>
      <c r="D864" s="15" t="n"/>
      <c r="E864" s="16" t="n"/>
      <c r="F864" s="18">
        <f>IF(OR(D864="",E864=""),"",D864*E864)</f>
        <v/>
      </c>
      <c r="G864" s="15" t="n"/>
    </row>
    <row r="865">
      <c r="A865" s="19" t="n"/>
      <c r="B865" s="15" t="n"/>
      <c r="C865">
        <f>IF(B865="","",IFERROR(INDEX(Items!$B$5:$B$304,MATCH(B865,Items!$A$5:$A$304,0)),"Unknown code"))</f>
        <v/>
      </c>
      <c r="D865" s="15" t="n"/>
      <c r="E865" s="16" t="n"/>
      <c r="F865" s="18">
        <f>IF(OR(D865="",E865=""),"",D865*E865)</f>
        <v/>
      </c>
      <c r="G865" s="15" t="n"/>
    </row>
    <row r="866">
      <c r="A866" s="19" t="n"/>
      <c r="B866" s="15" t="n"/>
      <c r="C866">
        <f>IF(B866="","",IFERROR(INDEX(Items!$B$5:$B$304,MATCH(B866,Items!$A$5:$A$304,0)),"Unknown code"))</f>
        <v/>
      </c>
      <c r="D866" s="15" t="n"/>
      <c r="E866" s="16" t="n"/>
      <c r="F866" s="18">
        <f>IF(OR(D866="",E866=""),"",D866*E866)</f>
        <v/>
      </c>
      <c r="G866" s="15" t="n"/>
    </row>
    <row r="867">
      <c r="A867" s="19" t="n"/>
      <c r="B867" s="15" t="n"/>
      <c r="C867">
        <f>IF(B867="","",IFERROR(INDEX(Items!$B$5:$B$304,MATCH(B867,Items!$A$5:$A$304,0)),"Unknown code"))</f>
        <v/>
      </c>
      <c r="D867" s="15" t="n"/>
      <c r="E867" s="16" t="n"/>
      <c r="F867" s="18">
        <f>IF(OR(D867="",E867=""),"",D867*E867)</f>
        <v/>
      </c>
      <c r="G867" s="15" t="n"/>
    </row>
    <row r="868">
      <c r="A868" s="19" t="n"/>
      <c r="B868" s="15" t="n"/>
      <c r="C868">
        <f>IF(B868="","",IFERROR(INDEX(Items!$B$5:$B$304,MATCH(B868,Items!$A$5:$A$304,0)),"Unknown code"))</f>
        <v/>
      </c>
      <c r="D868" s="15" t="n"/>
      <c r="E868" s="16" t="n"/>
      <c r="F868" s="18">
        <f>IF(OR(D868="",E868=""),"",D868*E868)</f>
        <v/>
      </c>
      <c r="G868" s="15" t="n"/>
    </row>
    <row r="869">
      <c r="A869" s="19" t="n"/>
      <c r="B869" s="15" t="n"/>
      <c r="C869">
        <f>IF(B869="","",IFERROR(INDEX(Items!$B$5:$B$304,MATCH(B869,Items!$A$5:$A$304,0)),"Unknown code"))</f>
        <v/>
      </c>
      <c r="D869" s="15" t="n"/>
      <c r="E869" s="16" t="n"/>
      <c r="F869" s="18">
        <f>IF(OR(D869="",E869=""),"",D869*E869)</f>
        <v/>
      </c>
      <c r="G869" s="15" t="n"/>
    </row>
    <row r="870">
      <c r="A870" s="19" t="n"/>
      <c r="B870" s="15" t="n"/>
      <c r="C870">
        <f>IF(B870="","",IFERROR(INDEX(Items!$B$5:$B$304,MATCH(B870,Items!$A$5:$A$304,0)),"Unknown code"))</f>
        <v/>
      </c>
      <c r="D870" s="15" t="n"/>
      <c r="E870" s="16" t="n"/>
      <c r="F870" s="18">
        <f>IF(OR(D870="",E870=""),"",D870*E870)</f>
        <v/>
      </c>
      <c r="G870" s="15" t="n"/>
    </row>
    <row r="871">
      <c r="A871" s="19" t="n"/>
      <c r="B871" s="15" t="n"/>
      <c r="C871">
        <f>IF(B871="","",IFERROR(INDEX(Items!$B$5:$B$304,MATCH(B871,Items!$A$5:$A$304,0)),"Unknown code"))</f>
        <v/>
      </c>
      <c r="D871" s="15" t="n"/>
      <c r="E871" s="16" t="n"/>
      <c r="F871" s="18">
        <f>IF(OR(D871="",E871=""),"",D871*E871)</f>
        <v/>
      </c>
      <c r="G871" s="15" t="n"/>
    </row>
    <row r="872">
      <c r="A872" s="19" t="n"/>
      <c r="B872" s="15" t="n"/>
      <c r="C872">
        <f>IF(B872="","",IFERROR(INDEX(Items!$B$5:$B$304,MATCH(B872,Items!$A$5:$A$304,0)),"Unknown code"))</f>
        <v/>
      </c>
      <c r="D872" s="15" t="n"/>
      <c r="E872" s="16" t="n"/>
      <c r="F872" s="18">
        <f>IF(OR(D872="",E872=""),"",D872*E872)</f>
        <v/>
      </c>
      <c r="G872" s="15" t="n"/>
    </row>
    <row r="873">
      <c r="A873" s="19" t="n"/>
      <c r="B873" s="15" t="n"/>
      <c r="C873">
        <f>IF(B873="","",IFERROR(INDEX(Items!$B$5:$B$304,MATCH(B873,Items!$A$5:$A$304,0)),"Unknown code"))</f>
        <v/>
      </c>
      <c r="D873" s="15" t="n"/>
      <c r="E873" s="16" t="n"/>
      <c r="F873" s="18">
        <f>IF(OR(D873="",E873=""),"",D873*E873)</f>
        <v/>
      </c>
      <c r="G873" s="15" t="n"/>
    </row>
    <row r="874">
      <c r="A874" s="19" t="n"/>
      <c r="B874" s="15" t="n"/>
      <c r="C874">
        <f>IF(B874="","",IFERROR(INDEX(Items!$B$5:$B$304,MATCH(B874,Items!$A$5:$A$304,0)),"Unknown code"))</f>
        <v/>
      </c>
      <c r="D874" s="15" t="n"/>
      <c r="E874" s="16" t="n"/>
      <c r="F874" s="18">
        <f>IF(OR(D874="",E874=""),"",D874*E874)</f>
        <v/>
      </c>
      <c r="G874" s="15" t="n"/>
    </row>
    <row r="875">
      <c r="A875" s="19" t="n"/>
      <c r="B875" s="15" t="n"/>
      <c r="C875">
        <f>IF(B875="","",IFERROR(INDEX(Items!$B$5:$B$304,MATCH(B875,Items!$A$5:$A$304,0)),"Unknown code"))</f>
        <v/>
      </c>
      <c r="D875" s="15" t="n"/>
      <c r="E875" s="16" t="n"/>
      <c r="F875" s="18">
        <f>IF(OR(D875="",E875=""),"",D875*E875)</f>
        <v/>
      </c>
      <c r="G875" s="15" t="n"/>
    </row>
    <row r="876">
      <c r="A876" s="19" t="n"/>
      <c r="B876" s="15" t="n"/>
      <c r="C876">
        <f>IF(B876="","",IFERROR(INDEX(Items!$B$5:$B$304,MATCH(B876,Items!$A$5:$A$304,0)),"Unknown code"))</f>
        <v/>
      </c>
      <c r="D876" s="15" t="n"/>
      <c r="E876" s="16" t="n"/>
      <c r="F876" s="18">
        <f>IF(OR(D876="",E876=""),"",D876*E876)</f>
        <v/>
      </c>
      <c r="G876" s="15" t="n"/>
    </row>
    <row r="877">
      <c r="A877" s="19" t="n"/>
      <c r="B877" s="15" t="n"/>
      <c r="C877">
        <f>IF(B877="","",IFERROR(INDEX(Items!$B$5:$B$304,MATCH(B877,Items!$A$5:$A$304,0)),"Unknown code"))</f>
        <v/>
      </c>
      <c r="D877" s="15" t="n"/>
      <c r="E877" s="16" t="n"/>
      <c r="F877" s="18">
        <f>IF(OR(D877="",E877=""),"",D877*E877)</f>
        <v/>
      </c>
      <c r="G877" s="15" t="n"/>
    </row>
    <row r="878">
      <c r="A878" s="19" t="n"/>
      <c r="B878" s="15" t="n"/>
      <c r="C878">
        <f>IF(B878="","",IFERROR(INDEX(Items!$B$5:$B$304,MATCH(B878,Items!$A$5:$A$304,0)),"Unknown code"))</f>
        <v/>
      </c>
      <c r="D878" s="15" t="n"/>
      <c r="E878" s="16" t="n"/>
      <c r="F878" s="18">
        <f>IF(OR(D878="",E878=""),"",D878*E878)</f>
        <v/>
      </c>
      <c r="G878" s="15" t="n"/>
    </row>
    <row r="879">
      <c r="A879" s="19" t="n"/>
      <c r="B879" s="15" t="n"/>
      <c r="C879">
        <f>IF(B879="","",IFERROR(INDEX(Items!$B$5:$B$304,MATCH(B879,Items!$A$5:$A$304,0)),"Unknown code"))</f>
        <v/>
      </c>
      <c r="D879" s="15" t="n"/>
      <c r="E879" s="16" t="n"/>
      <c r="F879" s="18">
        <f>IF(OR(D879="",E879=""),"",D879*E879)</f>
        <v/>
      </c>
      <c r="G879" s="15" t="n"/>
    </row>
    <row r="880">
      <c r="A880" s="19" t="n"/>
      <c r="B880" s="15" t="n"/>
      <c r="C880">
        <f>IF(B880="","",IFERROR(INDEX(Items!$B$5:$B$304,MATCH(B880,Items!$A$5:$A$304,0)),"Unknown code"))</f>
        <v/>
      </c>
      <c r="D880" s="15" t="n"/>
      <c r="E880" s="16" t="n"/>
      <c r="F880" s="18">
        <f>IF(OR(D880="",E880=""),"",D880*E880)</f>
        <v/>
      </c>
      <c r="G880" s="15" t="n"/>
    </row>
    <row r="881">
      <c r="A881" s="19" t="n"/>
      <c r="B881" s="15" t="n"/>
      <c r="C881">
        <f>IF(B881="","",IFERROR(INDEX(Items!$B$5:$B$304,MATCH(B881,Items!$A$5:$A$304,0)),"Unknown code"))</f>
        <v/>
      </c>
      <c r="D881" s="15" t="n"/>
      <c r="E881" s="16" t="n"/>
      <c r="F881" s="18">
        <f>IF(OR(D881="",E881=""),"",D881*E881)</f>
        <v/>
      </c>
      <c r="G881" s="15" t="n"/>
    </row>
    <row r="882">
      <c r="A882" s="19" t="n"/>
      <c r="B882" s="15" t="n"/>
      <c r="C882">
        <f>IF(B882="","",IFERROR(INDEX(Items!$B$5:$B$304,MATCH(B882,Items!$A$5:$A$304,0)),"Unknown code"))</f>
        <v/>
      </c>
      <c r="D882" s="15" t="n"/>
      <c r="E882" s="16" t="n"/>
      <c r="F882" s="18">
        <f>IF(OR(D882="",E882=""),"",D882*E882)</f>
        <v/>
      </c>
      <c r="G882" s="15" t="n"/>
    </row>
    <row r="883">
      <c r="A883" s="19" t="n"/>
      <c r="B883" s="15" t="n"/>
      <c r="C883">
        <f>IF(B883="","",IFERROR(INDEX(Items!$B$5:$B$304,MATCH(B883,Items!$A$5:$A$304,0)),"Unknown code"))</f>
        <v/>
      </c>
      <c r="D883" s="15" t="n"/>
      <c r="E883" s="16" t="n"/>
      <c r="F883" s="18">
        <f>IF(OR(D883="",E883=""),"",D883*E883)</f>
        <v/>
      </c>
      <c r="G883" s="15" t="n"/>
    </row>
    <row r="884">
      <c r="A884" s="19" t="n"/>
      <c r="B884" s="15" t="n"/>
      <c r="C884">
        <f>IF(B884="","",IFERROR(INDEX(Items!$B$5:$B$304,MATCH(B884,Items!$A$5:$A$304,0)),"Unknown code"))</f>
        <v/>
      </c>
      <c r="D884" s="15" t="n"/>
      <c r="E884" s="16" t="n"/>
      <c r="F884" s="18">
        <f>IF(OR(D884="",E884=""),"",D884*E884)</f>
        <v/>
      </c>
      <c r="G884" s="15" t="n"/>
    </row>
    <row r="885">
      <c r="A885" s="19" t="n"/>
      <c r="B885" s="15" t="n"/>
      <c r="C885">
        <f>IF(B885="","",IFERROR(INDEX(Items!$B$5:$B$304,MATCH(B885,Items!$A$5:$A$304,0)),"Unknown code"))</f>
        <v/>
      </c>
      <c r="D885" s="15" t="n"/>
      <c r="E885" s="16" t="n"/>
      <c r="F885" s="18">
        <f>IF(OR(D885="",E885=""),"",D885*E885)</f>
        <v/>
      </c>
      <c r="G885" s="15" t="n"/>
    </row>
    <row r="886">
      <c r="A886" s="19" t="n"/>
      <c r="B886" s="15" t="n"/>
      <c r="C886">
        <f>IF(B886="","",IFERROR(INDEX(Items!$B$5:$B$304,MATCH(B886,Items!$A$5:$A$304,0)),"Unknown code"))</f>
        <v/>
      </c>
      <c r="D886" s="15" t="n"/>
      <c r="E886" s="16" t="n"/>
      <c r="F886" s="18">
        <f>IF(OR(D886="",E886=""),"",D886*E886)</f>
        <v/>
      </c>
      <c r="G886" s="15" t="n"/>
    </row>
    <row r="887">
      <c r="A887" s="19" t="n"/>
      <c r="B887" s="15" t="n"/>
      <c r="C887">
        <f>IF(B887="","",IFERROR(INDEX(Items!$B$5:$B$304,MATCH(B887,Items!$A$5:$A$304,0)),"Unknown code"))</f>
        <v/>
      </c>
      <c r="D887" s="15" t="n"/>
      <c r="E887" s="16" t="n"/>
      <c r="F887" s="18">
        <f>IF(OR(D887="",E887=""),"",D887*E887)</f>
        <v/>
      </c>
      <c r="G887" s="15" t="n"/>
    </row>
    <row r="888">
      <c r="A888" s="19" t="n"/>
      <c r="B888" s="15" t="n"/>
      <c r="C888">
        <f>IF(B888="","",IFERROR(INDEX(Items!$B$5:$B$304,MATCH(B888,Items!$A$5:$A$304,0)),"Unknown code"))</f>
        <v/>
      </c>
      <c r="D888" s="15" t="n"/>
      <c r="E888" s="16" t="n"/>
      <c r="F888" s="18">
        <f>IF(OR(D888="",E888=""),"",D888*E888)</f>
        <v/>
      </c>
      <c r="G888" s="15" t="n"/>
    </row>
    <row r="889">
      <c r="A889" s="19" t="n"/>
      <c r="B889" s="15" t="n"/>
      <c r="C889">
        <f>IF(B889="","",IFERROR(INDEX(Items!$B$5:$B$304,MATCH(B889,Items!$A$5:$A$304,0)),"Unknown code"))</f>
        <v/>
      </c>
      <c r="D889" s="15" t="n"/>
      <c r="E889" s="16" t="n"/>
      <c r="F889" s="18">
        <f>IF(OR(D889="",E889=""),"",D889*E889)</f>
        <v/>
      </c>
      <c r="G889" s="15" t="n"/>
    </row>
    <row r="890">
      <c r="A890" s="19" t="n"/>
      <c r="B890" s="15" t="n"/>
      <c r="C890">
        <f>IF(B890="","",IFERROR(INDEX(Items!$B$5:$B$304,MATCH(B890,Items!$A$5:$A$304,0)),"Unknown code"))</f>
        <v/>
      </c>
      <c r="D890" s="15" t="n"/>
      <c r="E890" s="16" t="n"/>
      <c r="F890" s="18">
        <f>IF(OR(D890="",E890=""),"",D890*E890)</f>
        <v/>
      </c>
      <c r="G890" s="15" t="n"/>
    </row>
    <row r="891">
      <c r="A891" s="19" t="n"/>
      <c r="B891" s="15" t="n"/>
      <c r="C891">
        <f>IF(B891="","",IFERROR(INDEX(Items!$B$5:$B$304,MATCH(B891,Items!$A$5:$A$304,0)),"Unknown code"))</f>
        <v/>
      </c>
      <c r="D891" s="15" t="n"/>
      <c r="E891" s="16" t="n"/>
      <c r="F891" s="18">
        <f>IF(OR(D891="",E891=""),"",D891*E891)</f>
        <v/>
      </c>
      <c r="G891" s="15" t="n"/>
    </row>
    <row r="892">
      <c r="A892" s="19" t="n"/>
      <c r="B892" s="15" t="n"/>
      <c r="C892">
        <f>IF(B892="","",IFERROR(INDEX(Items!$B$5:$B$304,MATCH(B892,Items!$A$5:$A$304,0)),"Unknown code"))</f>
        <v/>
      </c>
      <c r="D892" s="15" t="n"/>
      <c r="E892" s="16" t="n"/>
      <c r="F892" s="18">
        <f>IF(OR(D892="",E892=""),"",D892*E892)</f>
        <v/>
      </c>
      <c r="G892" s="15" t="n"/>
    </row>
    <row r="893">
      <c r="A893" s="19" t="n"/>
      <c r="B893" s="15" t="n"/>
      <c r="C893">
        <f>IF(B893="","",IFERROR(INDEX(Items!$B$5:$B$304,MATCH(B893,Items!$A$5:$A$304,0)),"Unknown code"))</f>
        <v/>
      </c>
      <c r="D893" s="15" t="n"/>
      <c r="E893" s="16" t="n"/>
      <c r="F893" s="18">
        <f>IF(OR(D893="",E893=""),"",D893*E893)</f>
        <v/>
      </c>
      <c r="G893" s="15" t="n"/>
    </row>
    <row r="894">
      <c r="A894" s="19" t="n"/>
      <c r="B894" s="15" t="n"/>
      <c r="C894">
        <f>IF(B894="","",IFERROR(INDEX(Items!$B$5:$B$304,MATCH(B894,Items!$A$5:$A$304,0)),"Unknown code"))</f>
        <v/>
      </c>
      <c r="D894" s="15" t="n"/>
      <c r="E894" s="16" t="n"/>
      <c r="F894" s="18">
        <f>IF(OR(D894="",E894=""),"",D894*E894)</f>
        <v/>
      </c>
      <c r="G894" s="15" t="n"/>
    </row>
    <row r="895">
      <c r="A895" s="19" t="n"/>
      <c r="B895" s="15" t="n"/>
      <c r="C895">
        <f>IF(B895="","",IFERROR(INDEX(Items!$B$5:$B$304,MATCH(B895,Items!$A$5:$A$304,0)),"Unknown code"))</f>
        <v/>
      </c>
      <c r="D895" s="15" t="n"/>
      <c r="E895" s="16" t="n"/>
      <c r="F895" s="18">
        <f>IF(OR(D895="",E895=""),"",D895*E895)</f>
        <v/>
      </c>
      <c r="G895" s="15" t="n"/>
    </row>
    <row r="896">
      <c r="A896" s="19" t="n"/>
      <c r="B896" s="15" t="n"/>
      <c r="C896">
        <f>IF(B896="","",IFERROR(INDEX(Items!$B$5:$B$304,MATCH(B896,Items!$A$5:$A$304,0)),"Unknown code"))</f>
        <v/>
      </c>
      <c r="D896" s="15" t="n"/>
      <c r="E896" s="16" t="n"/>
      <c r="F896" s="18">
        <f>IF(OR(D896="",E896=""),"",D896*E896)</f>
        <v/>
      </c>
      <c r="G896" s="15" t="n"/>
    </row>
    <row r="897">
      <c r="A897" s="19" t="n"/>
      <c r="B897" s="15" t="n"/>
      <c r="C897">
        <f>IF(B897="","",IFERROR(INDEX(Items!$B$5:$B$304,MATCH(B897,Items!$A$5:$A$304,0)),"Unknown code"))</f>
        <v/>
      </c>
      <c r="D897" s="15" t="n"/>
      <c r="E897" s="16" t="n"/>
      <c r="F897" s="18">
        <f>IF(OR(D897="",E897=""),"",D897*E897)</f>
        <v/>
      </c>
      <c r="G897" s="15" t="n"/>
    </row>
    <row r="898">
      <c r="A898" s="19" t="n"/>
      <c r="B898" s="15" t="n"/>
      <c r="C898">
        <f>IF(B898="","",IFERROR(INDEX(Items!$B$5:$B$304,MATCH(B898,Items!$A$5:$A$304,0)),"Unknown code"))</f>
        <v/>
      </c>
      <c r="D898" s="15" t="n"/>
      <c r="E898" s="16" t="n"/>
      <c r="F898" s="18">
        <f>IF(OR(D898="",E898=""),"",D898*E898)</f>
        <v/>
      </c>
      <c r="G898" s="15" t="n"/>
    </row>
    <row r="899">
      <c r="A899" s="19" t="n"/>
      <c r="B899" s="15" t="n"/>
      <c r="C899">
        <f>IF(B899="","",IFERROR(INDEX(Items!$B$5:$B$304,MATCH(B899,Items!$A$5:$A$304,0)),"Unknown code"))</f>
        <v/>
      </c>
      <c r="D899" s="15" t="n"/>
      <c r="E899" s="16" t="n"/>
      <c r="F899" s="18">
        <f>IF(OR(D899="",E899=""),"",D899*E899)</f>
        <v/>
      </c>
      <c r="G899" s="15" t="n"/>
    </row>
    <row r="900">
      <c r="A900" s="19" t="n"/>
      <c r="B900" s="15" t="n"/>
      <c r="C900">
        <f>IF(B900="","",IFERROR(INDEX(Items!$B$5:$B$304,MATCH(B900,Items!$A$5:$A$304,0)),"Unknown code"))</f>
        <v/>
      </c>
      <c r="D900" s="15" t="n"/>
      <c r="E900" s="16" t="n"/>
      <c r="F900" s="18">
        <f>IF(OR(D900="",E900=""),"",D900*E900)</f>
        <v/>
      </c>
      <c r="G900" s="15" t="n"/>
    </row>
    <row r="901">
      <c r="A901" s="19" t="n"/>
      <c r="B901" s="15" t="n"/>
      <c r="C901">
        <f>IF(B901="","",IFERROR(INDEX(Items!$B$5:$B$304,MATCH(B901,Items!$A$5:$A$304,0)),"Unknown code"))</f>
        <v/>
      </c>
      <c r="D901" s="15" t="n"/>
      <c r="E901" s="16" t="n"/>
      <c r="F901" s="18">
        <f>IF(OR(D901="",E901=""),"",D901*E901)</f>
        <v/>
      </c>
      <c r="G901" s="15" t="n"/>
    </row>
    <row r="902">
      <c r="A902" s="19" t="n"/>
      <c r="B902" s="15" t="n"/>
      <c r="C902">
        <f>IF(B902="","",IFERROR(INDEX(Items!$B$5:$B$304,MATCH(B902,Items!$A$5:$A$304,0)),"Unknown code"))</f>
        <v/>
      </c>
      <c r="D902" s="15" t="n"/>
      <c r="E902" s="16" t="n"/>
      <c r="F902" s="18">
        <f>IF(OR(D902="",E902=""),"",D902*E902)</f>
        <v/>
      </c>
      <c r="G902" s="15" t="n"/>
    </row>
    <row r="903">
      <c r="A903" s="19" t="n"/>
      <c r="B903" s="15" t="n"/>
      <c r="C903">
        <f>IF(B903="","",IFERROR(INDEX(Items!$B$5:$B$304,MATCH(B903,Items!$A$5:$A$304,0)),"Unknown code"))</f>
        <v/>
      </c>
      <c r="D903" s="15" t="n"/>
      <c r="E903" s="16" t="n"/>
      <c r="F903" s="18">
        <f>IF(OR(D903="",E903=""),"",D903*E903)</f>
        <v/>
      </c>
      <c r="G903" s="15" t="n"/>
    </row>
    <row r="904">
      <c r="A904" s="19" t="n"/>
      <c r="B904" s="15" t="n"/>
      <c r="C904">
        <f>IF(B904="","",IFERROR(INDEX(Items!$B$5:$B$304,MATCH(B904,Items!$A$5:$A$304,0)),"Unknown code"))</f>
        <v/>
      </c>
      <c r="D904" s="15" t="n"/>
      <c r="E904" s="16" t="n"/>
      <c r="F904" s="18">
        <f>IF(OR(D904="",E904=""),"",D904*E904)</f>
        <v/>
      </c>
      <c r="G904" s="15" t="n"/>
    </row>
    <row r="905">
      <c r="A905" s="19" t="n"/>
      <c r="B905" s="15" t="n"/>
      <c r="C905">
        <f>IF(B905="","",IFERROR(INDEX(Items!$B$5:$B$304,MATCH(B905,Items!$A$5:$A$304,0)),"Unknown code"))</f>
        <v/>
      </c>
      <c r="D905" s="15" t="n"/>
      <c r="E905" s="16" t="n"/>
      <c r="F905" s="18">
        <f>IF(OR(D905="",E905=""),"",D905*E905)</f>
        <v/>
      </c>
      <c r="G905" s="15" t="n"/>
    </row>
    <row r="906">
      <c r="A906" s="19" t="n"/>
      <c r="B906" s="15" t="n"/>
      <c r="C906">
        <f>IF(B906="","",IFERROR(INDEX(Items!$B$5:$B$304,MATCH(B906,Items!$A$5:$A$304,0)),"Unknown code"))</f>
        <v/>
      </c>
      <c r="D906" s="15" t="n"/>
      <c r="E906" s="16" t="n"/>
      <c r="F906" s="18">
        <f>IF(OR(D906="",E906=""),"",D906*E906)</f>
        <v/>
      </c>
      <c r="G906" s="15" t="n"/>
    </row>
    <row r="907">
      <c r="A907" s="19" t="n"/>
      <c r="B907" s="15" t="n"/>
      <c r="C907">
        <f>IF(B907="","",IFERROR(INDEX(Items!$B$5:$B$304,MATCH(B907,Items!$A$5:$A$304,0)),"Unknown code"))</f>
        <v/>
      </c>
      <c r="D907" s="15" t="n"/>
      <c r="E907" s="16" t="n"/>
      <c r="F907" s="18">
        <f>IF(OR(D907="",E907=""),"",D907*E907)</f>
        <v/>
      </c>
      <c r="G907" s="15" t="n"/>
    </row>
    <row r="908">
      <c r="A908" s="19" t="n"/>
      <c r="B908" s="15" t="n"/>
      <c r="C908">
        <f>IF(B908="","",IFERROR(INDEX(Items!$B$5:$B$304,MATCH(B908,Items!$A$5:$A$304,0)),"Unknown code"))</f>
        <v/>
      </c>
      <c r="D908" s="15" t="n"/>
      <c r="E908" s="16" t="n"/>
      <c r="F908" s="18">
        <f>IF(OR(D908="",E908=""),"",D908*E908)</f>
        <v/>
      </c>
      <c r="G908" s="15" t="n"/>
    </row>
    <row r="909">
      <c r="A909" s="19" t="n"/>
      <c r="B909" s="15" t="n"/>
      <c r="C909">
        <f>IF(B909="","",IFERROR(INDEX(Items!$B$5:$B$304,MATCH(B909,Items!$A$5:$A$304,0)),"Unknown code"))</f>
        <v/>
      </c>
      <c r="D909" s="15" t="n"/>
      <c r="E909" s="16" t="n"/>
      <c r="F909" s="18">
        <f>IF(OR(D909="",E909=""),"",D909*E909)</f>
        <v/>
      </c>
      <c r="G909" s="15" t="n"/>
    </row>
    <row r="910">
      <c r="A910" s="19" t="n"/>
      <c r="B910" s="15" t="n"/>
      <c r="C910">
        <f>IF(B910="","",IFERROR(INDEX(Items!$B$5:$B$304,MATCH(B910,Items!$A$5:$A$304,0)),"Unknown code"))</f>
        <v/>
      </c>
      <c r="D910" s="15" t="n"/>
      <c r="E910" s="16" t="n"/>
      <c r="F910" s="18">
        <f>IF(OR(D910="",E910=""),"",D910*E910)</f>
        <v/>
      </c>
      <c r="G910" s="15" t="n"/>
    </row>
    <row r="911">
      <c r="A911" s="19" t="n"/>
      <c r="B911" s="15" t="n"/>
      <c r="C911">
        <f>IF(B911="","",IFERROR(INDEX(Items!$B$5:$B$304,MATCH(B911,Items!$A$5:$A$304,0)),"Unknown code"))</f>
        <v/>
      </c>
      <c r="D911" s="15" t="n"/>
      <c r="E911" s="16" t="n"/>
      <c r="F911" s="18">
        <f>IF(OR(D911="",E911=""),"",D911*E911)</f>
        <v/>
      </c>
      <c r="G911" s="15" t="n"/>
    </row>
    <row r="912">
      <c r="A912" s="19" t="n"/>
      <c r="B912" s="15" t="n"/>
      <c r="C912">
        <f>IF(B912="","",IFERROR(INDEX(Items!$B$5:$B$304,MATCH(B912,Items!$A$5:$A$304,0)),"Unknown code"))</f>
        <v/>
      </c>
      <c r="D912" s="15" t="n"/>
      <c r="E912" s="16" t="n"/>
      <c r="F912" s="18">
        <f>IF(OR(D912="",E912=""),"",D912*E912)</f>
        <v/>
      </c>
      <c r="G912" s="15" t="n"/>
    </row>
    <row r="913">
      <c r="A913" s="19" t="n"/>
      <c r="B913" s="15" t="n"/>
      <c r="C913">
        <f>IF(B913="","",IFERROR(INDEX(Items!$B$5:$B$304,MATCH(B913,Items!$A$5:$A$304,0)),"Unknown code"))</f>
        <v/>
      </c>
      <c r="D913" s="15" t="n"/>
      <c r="E913" s="16" t="n"/>
      <c r="F913" s="18">
        <f>IF(OR(D913="",E913=""),"",D913*E913)</f>
        <v/>
      </c>
      <c r="G913" s="15" t="n"/>
    </row>
    <row r="914">
      <c r="A914" s="19" t="n"/>
      <c r="B914" s="15" t="n"/>
      <c r="C914">
        <f>IF(B914="","",IFERROR(INDEX(Items!$B$5:$B$304,MATCH(B914,Items!$A$5:$A$304,0)),"Unknown code"))</f>
        <v/>
      </c>
      <c r="D914" s="15" t="n"/>
      <c r="E914" s="16" t="n"/>
      <c r="F914" s="18">
        <f>IF(OR(D914="",E914=""),"",D914*E914)</f>
        <v/>
      </c>
      <c r="G914" s="15" t="n"/>
    </row>
    <row r="915">
      <c r="A915" s="19" t="n"/>
      <c r="B915" s="15" t="n"/>
      <c r="C915">
        <f>IF(B915="","",IFERROR(INDEX(Items!$B$5:$B$304,MATCH(B915,Items!$A$5:$A$304,0)),"Unknown code"))</f>
        <v/>
      </c>
      <c r="D915" s="15" t="n"/>
      <c r="E915" s="16" t="n"/>
      <c r="F915" s="18">
        <f>IF(OR(D915="",E915=""),"",D915*E915)</f>
        <v/>
      </c>
      <c r="G915" s="15" t="n"/>
    </row>
    <row r="916">
      <c r="A916" s="19" t="n"/>
      <c r="B916" s="15" t="n"/>
      <c r="C916">
        <f>IF(B916="","",IFERROR(INDEX(Items!$B$5:$B$304,MATCH(B916,Items!$A$5:$A$304,0)),"Unknown code"))</f>
        <v/>
      </c>
      <c r="D916" s="15" t="n"/>
      <c r="E916" s="16" t="n"/>
      <c r="F916" s="18">
        <f>IF(OR(D916="",E916=""),"",D916*E916)</f>
        <v/>
      </c>
      <c r="G916" s="15" t="n"/>
    </row>
    <row r="917">
      <c r="A917" s="19" t="n"/>
      <c r="B917" s="15" t="n"/>
      <c r="C917">
        <f>IF(B917="","",IFERROR(INDEX(Items!$B$5:$B$304,MATCH(B917,Items!$A$5:$A$304,0)),"Unknown code"))</f>
        <v/>
      </c>
      <c r="D917" s="15" t="n"/>
      <c r="E917" s="16" t="n"/>
      <c r="F917" s="18">
        <f>IF(OR(D917="",E917=""),"",D917*E917)</f>
        <v/>
      </c>
      <c r="G917" s="15" t="n"/>
    </row>
    <row r="918">
      <c r="A918" s="19" t="n"/>
      <c r="B918" s="15" t="n"/>
      <c r="C918">
        <f>IF(B918="","",IFERROR(INDEX(Items!$B$5:$B$304,MATCH(B918,Items!$A$5:$A$304,0)),"Unknown code"))</f>
        <v/>
      </c>
      <c r="D918" s="15" t="n"/>
      <c r="E918" s="16" t="n"/>
      <c r="F918" s="18">
        <f>IF(OR(D918="",E918=""),"",D918*E918)</f>
        <v/>
      </c>
      <c r="G918" s="15" t="n"/>
    </row>
    <row r="919">
      <c r="A919" s="19" t="n"/>
      <c r="B919" s="15" t="n"/>
      <c r="C919">
        <f>IF(B919="","",IFERROR(INDEX(Items!$B$5:$B$304,MATCH(B919,Items!$A$5:$A$304,0)),"Unknown code"))</f>
        <v/>
      </c>
      <c r="D919" s="15" t="n"/>
      <c r="E919" s="16" t="n"/>
      <c r="F919" s="18">
        <f>IF(OR(D919="",E919=""),"",D919*E919)</f>
        <v/>
      </c>
      <c r="G919" s="15" t="n"/>
    </row>
    <row r="920">
      <c r="A920" s="19" t="n"/>
      <c r="B920" s="15" t="n"/>
      <c r="C920">
        <f>IF(B920="","",IFERROR(INDEX(Items!$B$5:$B$304,MATCH(B920,Items!$A$5:$A$304,0)),"Unknown code"))</f>
        <v/>
      </c>
      <c r="D920" s="15" t="n"/>
      <c r="E920" s="16" t="n"/>
      <c r="F920" s="18">
        <f>IF(OR(D920="",E920=""),"",D920*E920)</f>
        <v/>
      </c>
      <c r="G920" s="15" t="n"/>
    </row>
    <row r="921">
      <c r="A921" s="19" t="n"/>
      <c r="B921" s="15" t="n"/>
      <c r="C921">
        <f>IF(B921="","",IFERROR(INDEX(Items!$B$5:$B$304,MATCH(B921,Items!$A$5:$A$304,0)),"Unknown code"))</f>
        <v/>
      </c>
      <c r="D921" s="15" t="n"/>
      <c r="E921" s="16" t="n"/>
      <c r="F921" s="18">
        <f>IF(OR(D921="",E921=""),"",D921*E921)</f>
        <v/>
      </c>
      <c r="G921" s="15" t="n"/>
    </row>
    <row r="922">
      <c r="A922" s="19" t="n"/>
      <c r="B922" s="15" t="n"/>
      <c r="C922">
        <f>IF(B922="","",IFERROR(INDEX(Items!$B$5:$B$304,MATCH(B922,Items!$A$5:$A$304,0)),"Unknown code"))</f>
        <v/>
      </c>
      <c r="D922" s="15" t="n"/>
      <c r="E922" s="16" t="n"/>
      <c r="F922" s="18">
        <f>IF(OR(D922="",E922=""),"",D922*E922)</f>
        <v/>
      </c>
      <c r="G922" s="15" t="n"/>
    </row>
    <row r="923">
      <c r="A923" s="19" t="n"/>
      <c r="B923" s="15" t="n"/>
      <c r="C923">
        <f>IF(B923="","",IFERROR(INDEX(Items!$B$5:$B$304,MATCH(B923,Items!$A$5:$A$304,0)),"Unknown code"))</f>
        <v/>
      </c>
      <c r="D923" s="15" t="n"/>
      <c r="E923" s="16" t="n"/>
      <c r="F923" s="18">
        <f>IF(OR(D923="",E923=""),"",D923*E923)</f>
        <v/>
      </c>
      <c r="G923" s="15" t="n"/>
    </row>
    <row r="924">
      <c r="A924" s="19" t="n"/>
      <c r="B924" s="15" t="n"/>
      <c r="C924">
        <f>IF(B924="","",IFERROR(INDEX(Items!$B$5:$B$304,MATCH(B924,Items!$A$5:$A$304,0)),"Unknown code"))</f>
        <v/>
      </c>
      <c r="D924" s="15" t="n"/>
      <c r="E924" s="16" t="n"/>
      <c r="F924" s="18">
        <f>IF(OR(D924="",E924=""),"",D924*E924)</f>
        <v/>
      </c>
      <c r="G924" s="15" t="n"/>
    </row>
    <row r="925">
      <c r="A925" s="19" t="n"/>
      <c r="B925" s="15" t="n"/>
      <c r="C925">
        <f>IF(B925="","",IFERROR(INDEX(Items!$B$5:$B$304,MATCH(B925,Items!$A$5:$A$304,0)),"Unknown code"))</f>
        <v/>
      </c>
      <c r="D925" s="15" t="n"/>
      <c r="E925" s="16" t="n"/>
      <c r="F925" s="18">
        <f>IF(OR(D925="",E925=""),"",D925*E925)</f>
        <v/>
      </c>
      <c r="G925" s="15" t="n"/>
    </row>
    <row r="926">
      <c r="A926" s="19" t="n"/>
      <c r="B926" s="15" t="n"/>
      <c r="C926">
        <f>IF(B926="","",IFERROR(INDEX(Items!$B$5:$B$304,MATCH(B926,Items!$A$5:$A$304,0)),"Unknown code"))</f>
        <v/>
      </c>
      <c r="D926" s="15" t="n"/>
      <c r="E926" s="16" t="n"/>
      <c r="F926" s="18">
        <f>IF(OR(D926="",E926=""),"",D926*E926)</f>
        <v/>
      </c>
      <c r="G926" s="15" t="n"/>
    </row>
    <row r="927">
      <c r="A927" s="19" t="n"/>
      <c r="B927" s="15" t="n"/>
      <c r="C927">
        <f>IF(B927="","",IFERROR(INDEX(Items!$B$5:$B$304,MATCH(B927,Items!$A$5:$A$304,0)),"Unknown code"))</f>
        <v/>
      </c>
      <c r="D927" s="15" t="n"/>
      <c r="E927" s="16" t="n"/>
      <c r="F927" s="18">
        <f>IF(OR(D927="",E927=""),"",D927*E927)</f>
        <v/>
      </c>
      <c r="G927" s="15" t="n"/>
    </row>
    <row r="928">
      <c r="A928" s="19" t="n"/>
      <c r="B928" s="15" t="n"/>
      <c r="C928">
        <f>IF(B928="","",IFERROR(INDEX(Items!$B$5:$B$304,MATCH(B928,Items!$A$5:$A$304,0)),"Unknown code"))</f>
        <v/>
      </c>
      <c r="D928" s="15" t="n"/>
      <c r="E928" s="16" t="n"/>
      <c r="F928" s="18">
        <f>IF(OR(D928="",E928=""),"",D928*E928)</f>
        <v/>
      </c>
      <c r="G928" s="15" t="n"/>
    </row>
    <row r="929">
      <c r="A929" s="19" t="n"/>
      <c r="B929" s="15" t="n"/>
      <c r="C929">
        <f>IF(B929="","",IFERROR(INDEX(Items!$B$5:$B$304,MATCH(B929,Items!$A$5:$A$304,0)),"Unknown code"))</f>
        <v/>
      </c>
      <c r="D929" s="15" t="n"/>
      <c r="E929" s="16" t="n"/>
      <c r="F929" s="18">
        <f>IF(OR(D929="",E929=""),"",D929*E929)</f>
        <v/>
      </c>
      <c r="G929" s="15" t="n"/>
    </row>
    <row r="930">
      <c r="A930" s="19" t="n"/>
      <c r="B930" s="15" t="n"/>
      <c r="C930">
        <f>IF(B930="","",IFERROR(INDEX(Items!$B$5:$B$304,MATCH(B930,Items!$A$5:$A$304,0)),"Unknown code"))</f>
        <v/>
      </c>
      <c r="D930" s="15" t="n"/>
      <c r="E930" s="16" t="n"/>
      <c r="F930" s="18">
        <f>IF(OR(D930="",E930=""),"",D930*E930)</f>
        <v/>
      </c>
      <c r="G930" s="15" t="n"/>
    </row>
    <row r="931">
      <c r="A931" s="19" t="n"/>
      <c r="B931" s="15" t="n"/>
      <c r="C931">
        <f>IF(B931="","",IFERROR(INDEX(Items!$B$5:$B$304,MATCH(B931,Items!$A$5:$A$304,0)),"Unknown code"))</f>
        <v/>
      </c>
      <c r="D931" s="15" t="n"/>
      <c r="E931" s="16" t="n"/>
      <c r="F931" s="18">
        <f>IF(OR(D931="",E931=""),"",D931*E931)</f>
        <v/>
      </c>
      <c r="G931" s="15" t="n"/>
    </row>
    <row r="932">
      <c r="A932" s="19" t="n"/>
      <c r="B932" s="15" t="n"/>
      <c r="C932">
        <f>IF(B932="","",IFERROR(INDEX(Items!$B$5:$B$304,MATCH(B932,Items!$A$5:$A$304,0)),"Unknown code"))</f>
        <v/>
      </c>
      <c r="D932" s="15" t="n"/>
      <c r="E932" s="16" t="n"/>
      <c r="F932" s="18">
        <f>IF(OR(D932="",E932=""),"",D932*E932)</f>
        <v/>
      </c>
      <c r="G932" s="15" t="n"/>
    </row>
    <row r="933">
      <c r="A933" s="19" t="n"/>
      <c r="B933" s="15" t="n"/>
      <c r="C933">
        <f>IF(B933="","",IFERROR(INDEX(Items!$B$5:$B$304,MATCH(B933,Items!$A$5:$A$304,0)),"Unknown code"))</f>
        <v/>
      </c>
      <c r="D933" s="15" t="n"/>
      <c r="E933" s="16" t="n"/>
      <c r="F933" s="18">
        <f>IF(OR(D933="",E933=""),"",D933*E933)</f>
        <v/>
      </c>
      <c r="G933" s="15" t="n"/>
    </row>
    <row r="934">
      <c r="A934" s="19" t="n"/>
      <c r="B934" s="15" t="n"/>
      <c r="C934">
        <f>IF(B934="","",IFERROR(INDEX(Items!$B$5:$B$304,MATCH(B934,Items!$A$5:$A$304,0)),"Unknown code"))</f>
        <v/>
      </c>
      <c r="D934" s="15" t="n"/>
      <c r="E934" s="16" t="n"/>
      <c r="F934" s="18">
        <f>IF(OR(D934="",E934=""),"",D934*E934)</f>
        <v/>
      </c>
      <c r="G934" s="15" t="n"/>
    </row>
    <row r="935">
      <c r="A935" s="19" t="n"/>
      <c r="B935" s="15" t="n"/>
      <c r="C935">
        <f>IF(B935="","",IFERROR(INDEX(Items!$B$5:$B$304,MATCH(B935,Items!$A$5:$A$304,0)),"Unknown code"))</f>
        <v/>
      </c>
      <c r="D935" s="15" t="n"/>
      <c r="E935" s="16" t="n"/>
      <c r="F935" s="18">
        <f>IF(OR(D935="",E935=""),"",D935*E935)</f>
        <v/>
      </c>
      <c r="G935" s="15" t="n"/>
    </row>
    <row r="936">
      <c r="A936" s="19" t="n"/>
      <c r="B936" s="15" t="n"/>
      <c r="C936">
        <f>IF(B936="","",IFERROR(INDEX(Items!$B$5:$B$304,MATCH(B936,Items!$A$5:$A$304,0)),"Unknown code"))</f>
        <v/>
      </c>
      <c r="D936" s="15" t="n"/>
      <c r="E936" s="16" t="n"/>
      <c r="F936" s="18">
        <f>IF(OR(D936="",E936=""),"",D936*E936)</f>
        <v/>
      </c>
      <c r="G936" s="15" t="n"/>
    </row>
    <row r="937">
      <c r="A937" s="19" t="n"/>
      <c r="B937" s="15" t="n"/>
      <c r="C937">
        <f>IF(B937="","",IFERROR(INDEX(Items!$B$5:$B$304,MATCH(B937,Items!$A$5:$A$304,0)),"Unknown code"))</f>
        <v/>
      </c>
      <c r="D937" s="15" t="n"/>
      <c r="E937" s="16" t="n"/>
      <c r="F937" s="18">
        <f>IF(OR(D937="",E937=""),"",D937*E937)</f>
        <v/>
      </c>
      <c r="G937" s="15" t="n"/>
    </row>
    <row r="938">
      <c r="A938" s="19" t="n"/>
      <c r="B938" s="15" t="n"/>
      <c r="C938">
        <f>IF(B938="","",IFERROR(INDEX(Items!$B$5:$B$304,MATCH(B938,Items!$A$5:$A$304,0)),"Unknown code"))</f>
        <v/>
      </c>
      <c r="D938" s="15" t="n"/>
      <c r="E938" s="16" t="n"/>
      <c r="F938" s="18">
        <f>IF(OR(D938="",E938=""),"",D938*E938)</f>
        <v/>
      </c>
      <c r="G938" s="15" t="n"/>
    </row>
    <row r="939">
      <c r="A939" s="19" t="n"/>
      <c r="B939" s="15" t="n"/>
      <c r="C939">
        <f>IF(B939="","",IFERROR(INDEX(Items!$B$5:$B$304,MATCH(B939,Items!$A$5:$A$304,0)),"Unknown code"))</f>
        <v/>
      </c>
      <c r="D939" s="15" t="n"/>
      <c r="E939" s="16" t="n"/>
      <c r="F939" s="18">
        <f>IF(OR(D939="",E939=""),"",D939*E939)</f>
        <v/>
      </c>
      <c r="G939" s="15" t="n"/>
    </row>
    <row r="940">
      <c r="A940" s="19" t="n"/>
      <c r="B940" s="15" t="n"/>
      <c r="C940">
        <f>IF(B940="","",IFERROR(INDEX(Items!$B$5:$B$304,MATCH(B940,Items!$A$5:$A$304,0)),"Unknown code"))</f>
        <v/>
      </c>
      <c r="D940" s="15" t="n"/>
      <c r="E940" s="16" t="n"/>
      <c r="F940" s="18">
        <f>IF(OR(D940="",E940=""),"",D940*E940)</f>
        <v/>
      </c>
      <c r="G940" s="15" t="n"/>
    </row>
    <row r="941">
      <c r="A941" s="19" t="n"/>
      <c r="B941" s="15" t="n"/>
      <c r="C941">
        <f>IF(B941="","",IFERROR(INDEX(Items!$B$5:$B$304,MATCH(B941,Items!$A$5:$A$304,0)),"Unknown code"))</f>
        <v/>
      </c>
      <c r="D941" s="15" t="n"/>
      <c r="E941" s="16" t="n"/>
      <c r="F941" s="18">
        <f>IF(OR(D941="",E941=""),"",D941*E941)</f>
        <v/>
      </c>
      <c r="G941" s="15" t="n"/>
    </row>
    <row r="942">
      <c r="A942" s="19" t="n"/>
      <c r="B942" s="15" t="n"/>
      <c r="C942">
        <f>IF(B942="","",IFERROR(INDEX(Items!$B$5:$B$304,MATCH(B942,Items!$A$5:$A$304,0)),"Unknown code"))</f>
        <v/>
      </c>
      <c r="D942" s="15" t="n"/>
      <c r="E942" s="16" t="n"/>
      <c r="F942" s="18">
        <f>IF(OR(D942="",E942=""),"",D942*E942)</f>
        <v/>
      </c>
      <c r="G942" s="15" t="n"/>
    </row>
    <row r="943">
      <c r="A943" s="19" t="n"/>
      <c r="B943" s="15" t="n"/>
      <c r="C943">
        <f>IF(B943="","",IFERROR(INDEX(Items!$B$5:$B$304,MATCH(B943,Items!$A$5:$A$304,0)),"Unknown code"))</f>
        <v/>
      </c>
      <c r="D943" s="15" t="n"/>
      <c r="E943" s="16" t="n"/>
      <c r="F943" s="18">
        <f>IF(OR(D943="",E943=""),"",D943*E943)</f>
        <v/>
      </c>
      <c r="G943" s="15" t="n"/>
    </row>
    <row r="944">
      <c r="A944" s="19" t="n"/>
      <c r="B944" s="15" t="n"/>
      <c r="C944">
        <f>IF(B944="","",IFERROR(INDEX(Items!$B$5:$B$304,MATCH(B944,Items!$A$5:$A$304,0)),"Unknown code"))</f>
        <v/>
      </c>
      <c r="D944" s="15" t="n"/>
      <c r="E944" s="16" t="n"/>
      <c r="F944" s="18">
        <f>IF(OR(D944="",E944=""),"",D944*E944)</f>
        <v/>
      </c>
      <c r="G944" s="15" t="n"/>
    </row>
    <row r="945">
      <c r="A945" s="19" t="n"/>
      <c r="B945" s="15" t="n"/>
      <c r="C945">
        <f>IF(B945="","",IFERROR(INDEX(Items!$B$5:$B$304,MATCH(B945,Items!$A$5:$A$304,0)),"Unknown code"))</f>
        <v/>
      </c>
      <c r="D945" s="15" t="n"/>
      <c r="E945" s="16" t="n"/>
      <c r="F945" s="18">
        <f>IF(OR(D945="",E945=""),"",D945*E945)</f>
        <v/>
      </c>
      <c r="G945" s="15" t="n"/>
    </row>
    <row r="946">
      <c r="A946" s="19" t="n"/>
      <c r="B946" s="15" t="n"/>
      <c r="C946">
        <f>IF(B946="","",IFERROR(INDEX(Items!$B$5:$B$304,MATCH(B946,Items!$A$5:$A$304,0)),"Unknown code"))</f>
        <v/>
      </c>
      <c r="D946" s="15" t="n"/>
      <c r="E946" s="16" t="n"/>
      <c r="F946" s="18">
        <f>IF(OR(D946="",E946=""),"",D946*E946)</f>
        <v/>
      </c>
      <c r="G946" s="15" t="n"/>
    </row>
    <row r="947">
      <c r="A947" s="19" t="n"/>
      <c r="B947" s="15" t="n"/>
      <c r="C947">
        <f>IF(B947="","",IFERROR(INDEX(Items!$B$5:$B$304,MATCH(B947,Items!$A$5:$A$304,0)),"Unknown code"))</f>
        <v/>
      </c>
      <c r="D947" s="15" t="n"/>
      <c r="E947" s="16" t="n"/>
      <c r="F947" s="18">
        <f>IF(OR(D947="",E947=""),"",D947*E947)</f>
        <v/>
      </c>
      <c r="G947" s="15" t="n"/>
    </row>
    <row r="948">
      <c r="A948" s="19" t="n"/>
      <c r="B948" s="15" t="n"/>
      <c r="C948">
        <f>IF(B948="","",IFERROR(INDEX(Items!$B$5:$B$304,MATCH(B948,Items!$A$5:$A$304,0)),"Unknown code"))</f>
        <v/>
      </c>
      <c r="D948" s="15" t="n"/>
      <c r="E948" s="16" t="n"/>
      <c r="F948" s="18">
        <f>IF(OR(D948="",E948=""),"",D948*E948)</f>
        <v/>
      </c>
      <c r="G948" s="15" t="n"/>
    </row>
    <row r="949">
      <c r="A949" s="19" t="n"/>
      <c r="B949" s="15" t="n"/>
      <c r="C949">
        <f>IF(B949="","",IFERROR(INDEX(Items!$B$5:$B$304,MATCH(B949,Items!$A$5:$A$304,0)),"Unknown code"))</f>
        <v/>
      </c>
      <c r="D949" s="15" t="n"/>
      <c r="E949" s="16" t="n"/>
      <c r="F949" s="18">
        <f>IF(OR(D949="",E949=""),"",D949*E949)</f>
        <v/>
      </c>
      <c r="G949" s="15" t="n"/>
    </row>
    <row r="950">
      <c r="A950" s="19" t="n"/>
      <c r="B950" s="15" t="n"/>
      <c r="C950">
        <f>IF(B950="","",IFERROR(INDEX(Items!$B$5:$B$304,MATCH(B950,Items!$A$5:$A$304,0)),"Unknown code"))</f>
        <v/>
      </c>
      <c r="D950" s="15" t="n"/>
      <c r="E950" s="16" t="n"/>
      <c r="F950" s="18">
        <f>IF(OR(D950="",E950=""),"",D950*E950)</f>
        <v/>
      </c>
      <c r="G950" s="15" t="n"/>
    </row>
    <row r="951">
      <c r="A951" s="19" t="n"/>
      <c r="B951" s="15" t="n"/>
      <c r="C951">
        <f>IF(B951="","",IFERROR(INDEX(Items!$B$5:$B$304,MATCH(B951,Items!$A$5:$A$304,0)),"Unknown code"))</f>
        <v/>
      </c>
      <c r="D951" s="15" t="n"/>
      <c r="E951" s="16" t="n"/>
      <c r="F951" s="18">
        <f>IF(OR(D951="",E951=""),"",D951*E951)</f>
        <v/>
      </c>
      <c r="G951" s="15" t="n"/>
    </row>
    <row r="952">
      <c r="A952" s="19" t="n"/>
      <c r="B952" s="15" t="n"/>
      <c r="C952">
        <f>IF(B952="","",IFERROR(INDEX(Items!$B$5:$B$304,MATCH(B952,Items!$A$5:$A$304,0)),"Unknown code"))</f>
        <v/>
      </c>
      <c r="D952" s="15" t="n"/>
      <c r="E952" s="16" t="n"/>
      <c r="F952" s="18">
        <f>IF(OR(D952="",E952=""),"",D952*E952)</f>
        <v/>
      </c>
      <c r="G952" s="15" t="n"/>
    </row>
    <row r="953">
      <c r="A953" s="19" t="n"/>
      <c r="B953" s="15" t="n"/>
      <c r="C953">
        <f>IF(B953="","",IFERROR(INDEX(Items!$B$5:$B$304,MATCH(B953,Items!$A$5:$A$304,0)),"Unknown code"))</f>
        <v/>
      </c>
      <c r="D953" s="15" t="n"/>
      <c r="E953" s="16" t="n"/>
      <c r="F953" s="18">
        <f>IF(OR(D953="",E953=""),"",D953*E953)</f>
        <v/>
      </c>
      <c r="G953" s="15" t="n"/>
    </row>
    <row r="954">
      <c r="A954" s="19" t="n"/>
      <c r="B954" s="15" t="n"/>
      <c r="C954">
        <f>IF(B954="","",IFERROR(INDEX(Items!$B$5:$B$304,MATCH(B954,Items!$A$5:$A$304,0)),"Unknown code"))</f>
        <v/>
      </c>
      <c r="D954" s="15" t="n"/>
      <c r="E954" s="16" t="n"/>
      <c r="F954" s="18">
        <f>IF(OR(D954="",E954=""),"",D954*E954)</f>
        <v/>
      </c>
      <c r="G954" s="15" t="n"/>
    </row>
    <row r="955">
      <c r="A955" s="19" t="n"/>
      <c r="B955" s="15" t="n"/>
      <c r="C955">
        <f>IF(B955="","",IFERROR(INDEX(Items!$B$5:$B$304,MATCH(B955,Items!$A$5:$A$304,0)),"Unknown code"))</f>
        <v/>
      </c>
      <c r="D955" s="15" t="n"/>
      <c r="E955" s="16" t="n"/>
      <c r="F955" s="18">
        <f>IF(OR(D955="",E955=""),"",D955*E955)</f>
        <v/>
      </c>
      <c r="G955" s="15" t="n"/>
    </row>
    <row r="956">
      <c r="A956" s="19" t="n"/>
      <c r="B956" s="15" t="n"/>
      <c r="C956">
        <f>IF(B956="","",IFERROR(INDEX(Items!$B$5:$B$304,MATCH(B956,Items!$A$5:$A$304,0)),"Unknown code"))</f>
        <v/>
      </c>
      <c r="D956" s="15" t="n"/>
      <c r="E956" s="16" t="n"/>
      <c r="F956" s="18">
        <f>IF(OR(D956="",E956=""),"",D956*E956)</f>
        <v/>
      </c>
      <c r="G956" s="15" t="n"/>
    </row>
    <row r="957">
      <c r="A957" s="19" t="n"/>
      <c r="B957" s="15" t="n"/>
      <c r="C957">
        <f>IF(B957="","",IFERROR(INDEX(Items!$B$5:$B$304,MATCH(B957,Items!$A$5:$A$304,0)),"Unknown code"))</f>
        <v/>
      </c>
      <c r="D957" s="15" t="n"/>
      <c r="E957" s="16" t="n"/>
      <c r="F957" s="18">
        <f>IF(OR(D957="",E957=""),"",D957*E957)</f>
        <v/>
      </c>
      <c r="G957" s="15" t="n"/>
    </row>
    <row r="958">
      <c r="A958" s="19" t="n"/>
      <c r="B958" s="15" t="n"/>
      <c r="C958">
        <f>IF(B958="","",IFERROR(INDEX(Items!$B$5:$B$304,MATCH(B958,Items!$A$5:$A$304,0)),"Unknown code"))</f>
        <v/>
      </c>
      <c r="D958" s="15" t="n"/>
      <c r="E958" s="16" t="n"/>
      <c r="F958" s="18">
        <f>IF(OR(D958="",E958=""),"",D958*E958)</f>
        <v/>
      </c>
      <c r="G958" s="15" t="n"/>
    </row>
    <row r="959">
      <c r="A959" s="19" t="n"/>
      <c r="B959" s="15" t="n"/>
      <c r="C959">
        <f>IF(B959="","",IFERROR(INDEX(Items!$B$5:$B$304,MATCH(B959,Items!$A$5:$A$304,0)),"Unknown code"))</f>
        <v/>
      </c>
      <c r="D959" s="15" t="n"/>
      <c r="E959" s="16" t="n"/>
      <c r="F959" s="18">
        <f>IF(OR(D959="",E959=""),"",D959*E959)</f>
        <v/>
      </c>
      <c r="G959" s="15" t="n"/>
    </row>
    <row r="960">
      <c r="A960" s="19" t="n"/>
      <c r="B960" s="15" t="n"/>
      <c r="C960">
        <f>IF(B960="","",IFERROR(INDEX(Items!$B$5:$B$304,MATCH(B960,Items!$A$5:$A$304,0)),"Unknown code"))</f>
        <v/>
      </c>
      <c r="D960" s="15" t="n"/>
      <c r="E960" s="16" t="n"/>
      <c r="F960" s="18">
        <f>IF(OR(D960="",E960=""),"",D960*E960)</f>
        <v/>
      </c>
      <c r="G960" s="15" t="n"/>
    </row>
    <row r="961">
      <c r="A961" s="19" t="n"/>
      <c r="B961" s="15" t="n"/>
      <c r="C961">
        <f>IF(B961="","",IFERROR(INDEX(Items!$B$5:$B$304,MATCH(B961,Items!$A$5:$A$304,0)),"Unknown code"))</f>
        <v/>
      </c>
      <c r="D961" s="15" t="n"/>
      <c r="E961" s="16" t="n"/>
      <c r="F961" s="18">
        <f>IF(OR(D961="",E961=""),"",D961*E961)</f>
        <v/>
      </c>
      <c r="G961" s="15" t="n"/>
    </row>
    <row r="962">
      <c r="A962" s="19" t="n"/>
      <c r="B962" s="15" t="n"/>
      <c r="C962">
        <f>IF(B962="","",IFERROR(INDEX(Items!$B$5:$B$304,MATCH(B962,Items!$A$5:$A$304,0)),"Unknown code"))</f>
        <v/>
      </c>
      <c r="D962" s="15" t="n"/>
      <c r="E962" s="16" t="n"/>
      <c r="F962" s="18">
        <f>IF(OR(D962="",E962=""),"",D962*E962)</f>
        <v/>
      </c>
      <c r="G962" s="15" t="n"/>
    </row>
    <row r="963">
      <c r="A963" s="19" t="n"/>
      <c r="B963" s="15" t="n"/>
      <c r="C963">
        <f>IF(B963="","",IFERROR(INDEX(Items!$B$5:$B$304,MATCH(B963,Items!$A$5:$A$304,0)),"Unknown code"))</f>
        <v/>
      </c>
      <c r="D963" s="15" t="n"/>
      <c r="E963" s="16" t="n"/>
      <c r="F963" s="18">
        <f>IF(OR(D963="",E963=""),"",D963*E963)</f>
        <v/>
      </c>
      <c r="G963" s="15" t="n"/>
    </row>
    <row r="964">
      <c r="A964" s="19" t="n"/>
      <c r="B964" s="15" t="n"/>
      <c r="C964">
        <f>IF(B964="","",IFERROR(INDEX(Items!$B$5:$B$304,MATCH(B964,Items!$A$5:$A$304,0)),"Unknown code"))</f>
        <v/>
      </c>
      <c r="D964" s="15" t="n"/>
      <c r="E964" s="16" t="n"/>
      <c r="F964" s="18">
        <f>IF(OR(D964="",E964=""),"",D964*E964)</f>
        <v/>
      </c>
      <c r="G964" s="15" t="n"/>
    </row>
    <row r="965">
      <c r="A965" s="19" t="n"/>
      <c r="B965" s="15" t="n"/>
      <c r="C965">
        <f>IF(B965="","",IFERROR(INDEX(Items!$B$5:$B$304,MATCH(B965,Items!$A$5:$A$304,0)),"Unknown code"))</f>
        <v/>
      </c>
      <c r="D965" s="15" t="n"/>
      <c r="E965" s="16" t="n"/>
      <c r="F965" s="18">
        <f>IF(OR(D965="",E965=""),"",D965*E965)</f>
        <v/>
      </c>
      <c r="G965" s="15" t="n"/>
    </row>
    <row r="966">
      <c r="A966" s="19" t="n"/>
      <c r="B966" s="15" t="n"/>
      <c r="C966">
        <f>IF(B966="","",IFERROR(INDEX(Items!$B$5:$B$304,MATCH(B966,Items!$A$5:$A$304,0)),"Unknown code"))</f>
        <v/>
      </c>
      <c r="D966" s="15" t="n"/>
      <c r="E966" s="16" t="n"/>
      <c r="F966" s="18">
        <f>IF(OR(D966="",E966=""),"",D966*E966)</f>
        <v/>
      </c>
      <c r="G966" s="15" t="n"/>
    </row>
    <row r="967">
      <c r="A967" s="19" t="n"/>
      <c r="B967" s="15" t="n"/>
      <c r="C967">
        <f>IF(B967="","",IFERROR(INDEX(Items!$B$5:$B$304,MATCH(B967,Items!$A$5:$A$304,0)),"Unknown code"))</f>
        <v/>
      </c>
      <c r="D967" s="15" t="n"/>
      <c r="E967" s="16" t="n"/>
      <c r="F967" s="18">
        <f>IF(OR(D967="",E967=""),"",D967*E967)</f>
        <v/>
      </c>
      <c r="G967" s="15" t="n"/>
    </row>
    <row r="968">
      <c r="A968" s="19" t="n"/>
      <c r="B968" s="15" t="n"/>
      <c r="C968">
        <f>IF(B968="","",IFERROR(INDEX(Items!$B$5:$B$304,MATCH(B968,Items!$A$5:$A$304,0)),"Unknown code"))</f>
        <v/>
      </c>
      <c r="D968" s="15" t="n"/>
      <c r="E968" s="16" t="n"/>
      <c r="F968" s="18">
        <f>IF(OR(D968="",E968=""),"",D968*E968)</f>
        <v/>
      </c>
      <c r="G968" s="15" t="n"/>
    </row>
    <row r="969">
      <c r="A969" s="19" t="n"/>
      <c r="B969" s="15" t="n"/>
      <c r="C969">
        <f>IF(B969="","",IFERROR(INDEX(Items!$B$5:$B$304,MATCH(B969,Items!$A$5:$A$304,0)),"Unknown code"))</f>
        <v/>
      </c>
      <c r="D969" s="15" t="n"/>
      <c r="E969" s="16" t="n"/>
      <c r="F969" s="18">
        <f>IF(OR(D969="",E969=""),"",D969*E969)</f>
        <v/>
      </c>
      <c r="G969" s="15" t="n"/>
    </row>
    <row r="970">
      <c r="A970" s="19" t="n"/>
      <c r="B970" s="15" t="n"/>
      <c r="C970">
        <f>IF(B970="","",IFERROR(INDEX(Items!$B$5:$B$304,MATCH(B970,Items!$A$5:$A$304,0)),"Unknown code"))</f>
        <v/>
      </c>
      <c r="D970" s="15" t="n"/>
      <c r="E970" s="16" t="n"/>
      <c r="F970" s="18">
        <f>IF(OR(D970="",E970=""),"",D970*E970)</f>
        <v/>
      </c>
      <c r="G970" s="15" t="n"/>
    </row>
    <row r="971">
      <c r="A971" s="19" t="n"/>
      <c r="B971" s="15" t="n"/>
      <c r="C971">
        <f>IF(B971="","",IFERROR(INDEX(Items!$B$5:$B$304,MATCH(B971,Items!$A$5:$A$304,0)),"Unknown code"))</f>
        <v/>
      </c>
      <c r="D971" s="15" t="n"/>
      <c r="E971" s="16" t="n"/>
      <c r="F971" s="18">
        <f>IF(OR(D971="",E971=""),"",D971*E971)</f>
        <v/>
      </c>
      <c r="G971" s="15" t="n"/>
    </row>
    <row r="972">
      <c r="A972" s="19" t="n"/>
      <c r="B972" s="15" t="n"/>
      <c r="C972">
        <f>IF(B972="","",IFERROR(INDEX(Items!$B$5:$B$304,MATCH(B972,Items!$A$5:$A$304,0)),"Unknown code"))</f>
        <v/>
      </c>
      <c r="D972" s="15" t="n"/>
      <c r="E972" s="16" t="n"/>
      <c r="F972" s="18">
        <f>IF(OR(D972="",E972=""),"",D972*E972)</f>
        <v/>
      </c>
      <c r="G972" s="15" t="n"/>
    </row>
    <row r="973">
      <c r="A973" s="19" t="n"/>
      <c r="B973" s="15" t="n"/>
      <c r="C973">
        <f>IF(B973="","",IFERROR(INDEX(Items!$B$5:$B$304,MATCH(B973,Items!$A$5:$A$304,0)),"Unknown code"))</f>
        <v/>
      </c>
      <c r="D973" s="15" t="n"/>
      <c r="E973" s="16" t="n"/>
      <c r="F973" s="18">
        <f>IF(OR(D973="",E973=""),"",D973*E973)</f>
        <v/>
      </c>
      <c r="G973" s="15" t="n"/>
    </row>
    <row r="974">
      <c r="A974" s="19" t="n"/>
      <c r="B974" s="15" t="n"/>
      <c r="C974">
        <f>IF(B974="","",IFERROR(INDEX(Items!$B$5:$B$304,MATCH(B974,Items!$A$5:$A$304,0)),"Unknown code"))</f>
        <v/>
      </c>
      <c r="D974" s="15" t="n"/>
      <c r="E974" s="16" t="n"/>
      <c r="F974" s="18">
        <f>IF(OR(D974="",E974=""),"",D974*E974)</f>
        <v/>
      </c>
      <c r="G974" s="15" t="n"/>
    </row>
    <row r="975">
      <c r="A975" s="19" t="n"/>
      <c r="B975" s="15" t="n"/>
      <c r="C975">
        <f>IF(B975="","",IFERROR(INDEX(Items!$B$5:$B$304,MATCH(B975,Items!$A$5:$A$304,0)),"Unknown code"))</f>
        <v/>
      </c>
      <c r="D975" s="15" t="n"/>
      <c r="E975" s="16" t="n"/>
      <c r="F975" s="18">
        <f>IF(OR(D975="",E975=""),"",D975*E975)</f>
        <v/>
      </c>
      <c r="G975" s="15" t="n"/>
    </row>
    <row r="976">
      <c r="A976" s="19" t="n"/>
      <c r="B976" s="15" t="n"/>
      <c r="C976">
        <f>IF(B976="","",IFERROR(INDEX(Items!$B$5:$B$304,MATCH(B976,Items!$A$5:$A$304,0)),"Unknown code"))</f>
        <v/>
      </c>
      <c r="D976" s="15" t="n"/>
      <c r="E976" s="16" t="n"/>
      <c r="F976" s="18">
        <f>IF(OR(D976="",E976=""),"",D976*E976)</f>
        <v/>
      </c>
      <c r="G976" s="15" t="n"/>
    </row>
    <row r="977">
      <c r="A977" s="19" t="n"/>
      <c r="B977" s="15" t="n"/>
      <c r="C977">
        <f>IF(B977="","",IFERROR(INDEX(Items!$B$5:$B$304,MATCH(B977,Items!$A$5:$A$304,0)),"Unknown code"))</f>
        <v/>
      </c>
      <c r="D977" s="15" t="n"/>
      <c r="E977" s="16" t="n"/>
      <c r="F977" s="18">
        <f>IF(OR(D977="",E977=""),"",D977*E977)</f>
        <v/>
      </c>
      <c r="G977" s="15" t="n"/>
    </row>
    <row r="978">
      <c r="A978" s="19" t="n"/>
      <c r="B978" s="15" t="n"/>
      <c r="C978">
        <f>IF(B978="","",IFERROR(INDEX(Items!$B$5:$B$304,MATCH(B978,Items!$A$5:$A$304,0)),"Unknown code"))</f>
        <v/>
      </c>
      <c r="D978" s="15" t="n"/>
      <c r="E978" s="16" t="n"/>
      <c r="F978" s="18">
        <f>IF(OR(D978="",E978=""),"",D978*E978)</f>
        <v/>
      </c>
      <c r="G978" s="15" t="n"/>
    </row>
    <row r="979">
      <c r="A979" s="19" t="n"/>
      <c r="B979" s="15" t="n"/>
      <c r="C979">
        <f>IF(B979="","",IFERROR(INDEX(Items!$B$5:$B$304,MATCH(B979,Items!$A$5:$A$304,0)),"Unknown code"))</f>
        <v/>
      </c>
      <c r="D979" s="15" t="n"/>
      <c r="E979" s="16" t="n"/>
      <c r="F979" s="18">
        <f>IF(OR(D979="",E979=""),"",D979*E979)</f>
        <v/>
      </c>
      <c r="G979" s="15" t="n"/>
    </row>
    <row r="980">
      <c r="A980" s="19" t="n"/>
      <c r="B980" s="15" t="n"/>
      <c r="C980">
        <f>IF(B980="","",IFERROR(INDEX(Items!$B$5:$B$304,MATCH(B980,Items!$A$5:$A$304,0)),"Unknown code"))</f>
        <v/>
      </c>
      <c r="D980" s="15" t="n"/>
      <c r="E980" s="16" t="n"/>
      <c r="F980" s="18">
        <f>IF(OR(D980="",E980=""),"",D980*E980)</f>
        <v/>
      </c>
      <c r="G980" s="15" t="n"/>
    </row>
    <row r="981">
      <c r="A981" s="19" t="n"/>
      <c r="B981" s="15" t="n"/>
      <c r="C981">
        <f>IF(B981="","",IFERROR(INDEX(Items!$B$5:$B$304,MATCH(B981,Items!$A$5:$A$304,0)),"Unknown code"))</f>
        <v/>
      </c>
      <c r="D981" s="15" t="n"/>
      <c r="E981" s="16" t="n"/>
      <c r="F981" s="18">
        <f>IF(OR(D981="",E981=""),"",D981*E981)</f>
        <v/>
      </c>
      <c r="G981" s="15" t="n"/>
    </row>
    <row r="982">
      <c r="A982" s="19" t="n"/>
      <c r="B982" s="15" t="n"/>
      <c r="C982">
        <f>IF(B982="","",IFERROR(INDEX(Items!$B$5:$B$304,MATCH(B982,Items!$A$5:$A$304,0)),"Unknown code"))</f>
        <v/>
      </c>
      <c r="D982" s="15" t="n"/>
      <c r="E982" s="16" t="n"/>
      <c r="F982" s="18">
        <f>IF(OR(D982="",E982=""),"",D982*E982)</f>
        <v/>
      </c>
      <c r="G982" s="15" t="n"/>
    </row>
    <row r="983">
      <c r="A983" s="19" t="n"/>
      <c r="B983" s="15" t="n"/>
      <c r="C983">
        <f>IF(B983="","",IFERROR(INDEX(Items!$B$5:$B$304,MATCH(B983,Items!$A$5:$A$304,0)),"Unknown code"))</f>
        <v/>
      </c>
      <c r="D983" s="15" t="n"/>
      <c r="E983" s="16" t="n"/>
      <c r="F983" s="18">
        <f>IF(OR(D983="",E983=""),"",D983*E983)</f>
        <v/>
      </c>
      <c r="G983" s="15" t="n"/>
    </row>
    <row r="984">
      <c r="A984" s="19" t="n"/>
      <c r="B984" s="15" t="n"/>
      <c r="C984">
        <f>IF(B984="","",IFERROR(INDEX(Items!$B$5:$B$304,MATCH(B984,Items!$A$5:$A$304,0)),"Unknown code"))</f>
        <v/>
      </c>
      <c r="D984" s="15" t="n"/>
      <c r="E984" s="16" t="n"/>
      <c r="F984" s="18">
        <f>IF(OR(D984="",E984=""),"",D984*E984)</f>
        <v/>
      </c>
      <c r="G984" s="15" t="n"/>
    </row>
    <row r="985">
      <c r="A985" s="19" t="n"/>
      <c r="B985" s="15" t="n"/>
      <c r="C985">
        <f>IF(B985="","",IFERROR(INDEX(Items!$B$5:$B$304,MATCH(B985,Items!$A$5:$A$304,0)),"Unknown code"))</f>
        <v/>
      </c>
      <c r="D985" s="15" t="n"/>
      <c r="E985" s="16" t="n"/>
      <c r="F985" s="18">
        <f>IF(OR(D985="",E985=""),"",D985*E985)</f>
        <v/>
      </c>
      <c r="G985" s="15" t="n"/>
    </row>
    <row r="986">
      <c r="A986" s="19" t="n"/>
      <c r="B986" s="15" t="n"/>
      <c r="C986">
        <f>IF(B986="","",IFERROR(INDEX(Items!$B$5:$B$304,MATCH(B986,Items!$A$5:$A$304,0)),"Unknown code"))</f>
        <v/>
      </c>
      <c r="D986" s="15" t="n"/>
      <c r="E986" s="16" t="n"/>
      <c r="F986" s="18">
        <f>IF(OR(D986="",E986=""),"",D986*E986)</f>
        <v/>
      </c>
      <c r="G986" s="15" t="n"/>
    </row>
    <row r="987">
      <c r="A987" s="19" t="n"/>
      <c r="B987" s="15" t="n"/>
      <c r="C987">
        <f>IF(B987="","",IFERROR(INDEX(Items!$B$5:$B$304,MATCH(B987,Items!$A$5:$A$304,0)),"Unknown code"))</f>
        <v/>
      </c>
      <c r="D987" s="15" t="n"/>
      <c r="E987" s="16" t="n"/>
      <c r="F987" s="18">
        <f>IF(OR(D987="",E987=""),"",D987*E987)</f>
        <v/>
      </c>
      <c r="G987" s="15" t="n"/>
    </row>
    <row r="988">
      <c r="A988" s="19" t="n"/>
      <c r="B988" s="15" t="n"/>
      <c r="C988">
        <f>IF(B988="","",IFERROR(INDEX(Items!$B$5:$B$304,MATCH(B988,Items!$A$5:$A$304,0)),"Unknown code"))</f>
        <v/>
      </c>
      <c r="D988" s="15" t="n"/>
      <c r="E988" s="16" t="n"/>
      <c r="F988" s="18">
        <f>IF(OR(D988="",E988=""),"",D988*E988)</f>
        <v/>
      </c>
      <c r="G988" s="15" t="n"/>
    </row>
    <row r="989">
      <c r="A989" s="19" t="n"/>
      <c r="B989" s="15" t="n"/>
      <c r="C989">
        <f>IF(B989="","",IFERROR(INDEX(Items!$B$5:$B$304,MATCH(B989,Items!$A$5:$A$304,0)),"Unknown code"))</f>
        <v/>
      </c>
      <c r="D989" s="15" t="n"/>
      <c r="E989" s="16" t="n"/>
      <c r="F989" s="18">
        <f>IF(OR(D989="",E989=""),"",D989*E989)</f>
        <v/>
      </c>
      <c r="G989" s="15" t="n"/>
    </row>
    <row r="990">
      <c r="A990" s="19" t="n"/>
      <c r="B990" s="15" t="n"/>
      <c r="C990">
        <f>IF(B990="","",IFERROR(INDEX(Items!$B$5:$B$304,MATCH(B990,Items!$A$5:$A$304,0)),"Unknown code"))</f>
        <v/>
      </c>
      <c r="D990" s="15" t="n"/>
      <c r="E990" s="16" t="n"/>
      <c r="F990" s="18">
        <f>IF(OR(D990="",E990=""),"",D990*E990)</f>
        <v/>
      </c>
      <c r="G990" s="15" t="n"/>
    </row>
    <row r="991">
      <c r="A991" s="19" t="n"/>
      <c r="B991" s="15" t="n"/>
      <c r="C991">
        <f>IF(B991="","",IFERROR(INDEX(Items!$B$5:$B$304,MATCH(B991,Items!$A$5:$A$304,0)),"Unknown code"))</f>
        <v/>
      </c>
      <c r="D991" s="15" t="n"/>
      <c r="E991" s="16" t="n"/>
      <c r="F991" s="18">
        <f>IF(OR(D991="",E991=""),"",D991*E991)</f>
        <v/>
      </c>
      <c r="G991" s="15" t="n"/>
    </row>
    <row r="992">
      <c r="A992" s="19" t="n"/>
      <c r="B992" s="15" t="n"/>
      <c r="C992">
        <f>IF(B992="","",IFERROR(INDEX(Items!$B$5:$B$304,MATCH(B992,Items!$A$5:$A$304,0)),"Unknown code"))</f>
        <v/>
      </c>
      <c r="D992" s="15" t="n"/>
      <c r="E992" s="16" t="n"/>
      <c r="F992" s="18">
        <f>IF(OR(D992="",E992=""),"",D992*E992)</f>
        <v/>
      </c>
      <c r="G992" s="15" t="n"/>
    </row>
    <row r="993">
      <c r="A993" s="19" t="n"/>
      <c r="B993" s="15" t="n"/>
      <c r="C993">
        <f>IF(B993="","",IFERROR(INDEX(Items!$B$5:$B$304,MATCH(B993,Items!$A$5:$A$304,0)),"Unknown code"))</f>
        <v/>
      </c>
      <c r="D993" s="15" t="n"/>
      <c r="E993" s="16" t="n"/>
      <c r="F993" s="18">
        <f>IF(OR(D993="",E993=""),"",D993*E993)</f>
        <v/>
      </c>
      <c r="G993" s="15" t="n"/>
    </row>
    <row r="994">
      <c r="A994" s="19" t="n"/>
      <c r="B994" s="15" t="n"/>
      <c r="C994">
        <f>IF(B994="","",IFERROR(INDEX(Items!$B$5:$B$304,MATCH(B994,Items!$A$5:$A$304,0)),"Unknown code"))</f>
        <v/>
      </c>
      <c r="D994" s="15" t="n"/>
      <c r="E994" s="16" t="n"/>
      <c r="F994" s="18">
        <f>IF(OR(D994="",E994=""),"",D994*E994)</f>
        <v/>
      </c>
      <c r="G994" s="15" t="n"/>
    </row>
    <row r="995">
      <c r="A995" s="19" t="n"/>
      <c r="B995" s="15" t="n"/>
      <c r="C995">
        <f>IF(B995="","",IFERROR(INDEX(Items!$B$5:$B$304,MATCH(B995,Items!$A$5:$A$304,0)),"Unknown code"))</f>
        <v/>
      </c>
      <c r="D995" s="15" t="n"/>
      <c r="E995" s="16" t="n"/>
      <c r="F995" s="18">
        <f>IF(OR(D995="",E995=""),"",D995*E995)</f>
        <v/>
      </c>
      <c r="G995" s="15" t="n"/>
    </row>
    <row r="996">
      <c r="A996" s="19" t="n"/>
      <c r="B996" s="15" t="n"/>
      <c r="C996">
        <f>IF(B996="","",IFERROR(INDEX(Items!$B$5:$B$304,MATCH(B996,Items!$A$5:$A$304,0)),"Unknown code"))</f>
        <v/>
      </c>
      <c r="D996" s="15" t="n"/>
      <c r="E996" s="16" t="n"/>
      <c r="F996" s="18">
        <f>IF(OR(D996="",E996=""),"",D996*E996)</f>
        <v/>
      </c>
      <c r="G996" s="15" t="n"/>
    </row>
    <row r="997">
      <c r="A997" s="19" t="n"/>
      <c r="B997" s="15" t="n"/>
      <c r="C997">
        <f>IF(B997="","",IFERROR(INDEX(Items!$B$5:$B$304,MATCH(B997,Items!$A$5:$A$304,0)),"Unknown code"))</f>
        <v/>
      </c>
      <c r="D997" s="15" t="n"/>
      <c r="E997" s="16" t="n"/>
      <c r="F997" s="18">
        <f>IF(OR(D997="",E997=""),"",D997*E997)</f>
        <v/>
      </c>
      <c r="G997" s="15" t="n"/>
    </row>
    <row r="998">
      <c r="A998" s="19" t="n"/>
      <c r="B998" s="15" t="n"/>
      <c r="C998">
        <f>IF(B998="","",IFERROR(INDEX(Items!$B$5:$B$304,MATCH(B998,Items!$A$5:$A$304,0)),"Unknown code"))</f>
        <v/>
      </c>
      <c r="D998" s="15" t="n"/>
      <c r="E998" s="16" t="n"/>
      <c r="F998" s="18">
        <f>IF(OR(D998="",E998=""),"",D998*E998)</f>
        <v/>
      </c>
      <c r="G998" s="15" t="n"/>
    </row>
    <row r="999">
      <c r="A999" s="19" t="n"/>
      <c r="B999" s="15" t="n"/>
      <c r="C999">
        <f>IF(B999="","",IFERROR(INDEX(Items!$B$5:$B$304,MATCH(B999,Items!$A$5:$A$304,0)),"Unknown code"))</f>
        <v/>
      </c>
      <c r="D999" s="15" t="n"/>
      <c r="E999" s="16" t="n"/>
      <c r="F999" s="18">
        <f>IF(OR(D999="",E999=""),"",D999*E999)</f>
        <v/>
      </c>
      <c r="G999" s="15" t="n"/>
    </row>
    <row r="1000">
      <c r="A1000" s="19" t="n"/>
      <c r="B1000" s="15" t="n"/>
      <c r="C1000">
        <f>IF(B1000="","",IFERROR(INDEX(Items!$B$5:$B$304,MATCH(B1000,Items!$A$5:$A$304,0)),"Unknown code"))</f>
        <v/>
      </c>
      <c r="D1000" s="15" t="n"/>
      <c r="E1000" s="16" t="n"/>
      <c r="F1000" s="18">
        <f>IF(OR(D1000="",E1000=""),"",D1000*E1000)</f>
        <v/>
      </c>
      <c r="G1000" s="15" t="n"/>
    </row>
    <row r="1001">
      <c r="A1001" s="19" t="n"/>
      <c r="B1001" s="15" t="n"/>
      <c r="C1001">
        <f>IF(B1001="","",IFERROR(INDEX(Items!$B$5:$B$304,MATCH(B1001,Items!$A$5:$A$304,0)),"Unknown code"))</f>
        <v/>
      </c>
      <c r="D1001" s="15" t="n"/>
      <c r="E1001" s="16" t="n"/>
      <c r="F1001" s="18">
        <f>IF(OR(D1001="",E1001=""),"",D1001*E1001)</f>
        <v/>
      </c>
      <c r="G1001" s="15" t="n"/>
    </row>
    <row r="1002">
      <c r="A1002" s="19" t="n"/>
      <c r="B1002" s="15" t="n"/>
      <c r="C1002">
        <f>IF(B1002="","",IFERROR(INDEX(Items!$B$5:$B$304,MATCH(B1002,Items!$A$5:$A$304,0)),"Unknown code"))</f>
        <v/>
      </c>
      <c r="D1002" s="15" t="n"/>
      <c r="E1002" s="16" t="n"/>
      <c r="F1002" s="18">
        <f>IF(OR(D1002="",E1002=""),"",D1002*E1002)</f>
        <v/>
      </c>
      <c r="G1002" s="15" t="n"/>
    </row>
    <row r="1003">
      <c r="A1003" s="19" t="n"/>
      <c r="B1003" s="15" t="n"/>
      <c r="C1003">
        <f>IF(B1003="","",IFERROR(INDEX(Items!$B$5:$B$304,MATCH(B1003,Items!$A$5:$A$304,0)),"Unknown code"))</f>
        <v/>
      </c>
      <c r="D1003" s="15" t="n"/>
      <c r="E1003" s="16" t="n"/>
      <c r="F1003" s="18">
        <f>IF(OR(D1003="",E1003=""),"",D1003*E1003)</f>
        <v/>
      </c>
      <c r="G1003" s="15" t="n"/>
    </row>
    <row r="1004">
      <c r="A1004" s="19" t="n"/>
      <c r="B1004" s="15" t="n"/>
      <c r="C1004">
        <f>IF(B1004="","",IFERROR(INDEX(Items!$B$5:$B$304,MATCH(B1004,Items!$A$5:$A$304,0)),"Unknown code"))</f>
        <v/>
      </c>
      <c r="D1004" s="15" t="n"/>
      <c r="E1004" s="16" t="n"/>
      <c r="F1004" s="18">
        <f>IF(OR(D1004="",E1004=""),"",D1004*E1004)</f>
        <v/>
      </c>
      <c r="G1004" s="15" t="n"/>
    </row>
    <row r="1005">
      <c r="A1005" s="19" t="n"/>
      <c r="B1005" s="15" t="n"/>
      <c r="C1005">
        <f>IF(B1005="","",IFERROR(INDEX(Items!$B$5:$B$304,MATCH(B1005,Items!$A$5:$A$304,0)),"Unknown code"))</f>
        <v/>
      </c>
      <c r="D1005" s="15" t="n"/>
      <c r="E1005" s="16" t="n"/>
      <c r="F1005" s="18">
        <f>IF(OR(D1005="",E1005=""),"",D1005*E1005)</f>
        <v/>
      </c>
      <c r="G1005" s="15" t="n"/>
    </row>
    <row r="1006">
      <c r="A1006" s="19" t="n"/>
      <c r="B1006" s="15" t="n"/>
      <c r="C1006">
        <f>IF(B1006="","",IFERROR(INDEX(Items!$B$5:$B$304,MATCH(B1006,Items!$A$5:$A$304,0)),"Unknown code"))</f>
        <v/>
      </c>
      <c r="D1006" s="15" t="n"/>
      <c r="E1006" s="16" t="n"/>
      <c r="F1006" s="18">
        <f>IF(OR(D1006="",E1006=""),"",D1006*E1006)</f>
        <v/>
      </c>
      <c r="G1006" s="15" t="n"/>
    </row>
    <row r="1007">
      <c r="A1007" s="19" t="n"/>
      <c r="B1007" s="15" t="n"/>
      <c r="C1007">
        <f>IF(B1007="","",IFERROR(INDEX(Items!$B$5:$B$304,MATCH(B1007,Items!$A$5:$A$304,0)),"Unknown code"))</f>
        <v/>
      </c>
      <c r="D1007" s="15" t="n"/>
      <c r="E1007" s="16" t="n"/>
      <c r="F1007" s="18">
        <f>IF(OR(D1007="",E1007=""),"",D1007*E1007)</f>
        <v/>
      </c>
      <c r="G1007" s="15" t="n"/>
    </row>
    <row r="1008">
      <c r="A1008" s="19" t="n"/>
      <c r="B1008" s="15" t="n"/>
      <c r="C1008">
        <f>IF(B1008="","",IFERROR(INDEX(Items!$B$5:$B$304,MATCH(B1008,Items!$A$5:$A$304,0)),"Unknown code"))</f>
        <v/>
      </c>
      <c r="D1008" s="15" t="n"/>
      <c r="E1008" s="16" t="n"/>
      <c r="F1008" s="18">
        <f>IF(OR(D1008="",E1008=""),"",D1008*E1008)</f>
        <v/>
      </c>
      <c r="G1008" s="15" t="n"/>
    </row>
    <row r="1009">
      <c r="A1009" s="19" t="n"/>
      <c r="B1009" s="15" t="n"/>
      <c r="C1009">
        <f>IF(B1009="","",IFERROR(INDEX(Items!$B$5:$B$304,MATCH(B1009,Items!$A$5:$A$304,0)),"Unknown code"))</f>
        <v/>
      </c>
      <c r="D1009" s="15" t="n"/>
      <c r="E1009" s="16" t="n"/>
      <c r="F1009" s="18">
        <f>IF(OR(D1009="",E1009=""),"",D1009*E1009)</f>
        <v/>
      </c>
      <c r="G1009" s="15" t="n"/>
    </row>
    <row r="1010">
      <c r="A1010" s="19" t="n"/>
      <c r="B1010" s="15" t="n"/>
      <c r="C1010">
        <f>IF(B1010="","",IFERROR(INDEX(Items!$B$5:$B$304,MATCH(B1010,Items!$A$5:$A$304,0)),"Unknown code"))</f>
        <v/>
      </c>
      <c r="D1010" s="15" t="n"/>
      <c r="E1010" s="16" t="n"/>
      <c r="F1010" s="18">
        <f>IF(OR(D1010="",E1010=""),"",D1010*E1010)</f>
        <v/>
      </c>
      <c r="G1010" s="15" t="n"/>
    </row>
    <row r="1011">
      <c r="A1011" s="19" t="n"/>
      <c r="B1011" s="15" t="n"/>
      <c r="C1011">
        <f>IF(B1011="","",IFERROR(INDEX(Items!$B$5:$B$304,MATCH(B1011,Items!$A$5:$A$304,0)),"Unknown code"))</f>
        <v/>
      </c>
      <c r="D1011" s="15" t="n"/>
      <c r="E1011" s="16" t="n"/>
      <c r="F1011" s="18">
        <f>IF(OR(D1011="",E1011=""),"",D1011*E1011)</f>
        <v/>
      </c>
      <c r="G1011" s="15" t="n"/>
    </row>
    <row r="1012">
      <c r="A1012" s="19" t="n"/>
      <c r="B1012" s="15" t="n"/>
      <c r="C1012">
        <f>IF(B1012="","",IFERROR(INDEX(Items!$B$5:$B$304,MATCH(B1012,Items!$A$5:$A$304,0)),"Unknown code"))</f>
        <v/>
      </c>
      <c r="D1012" s="15" t="n"/>
      <c r="E1012" s="16" t="n"/>
      <c r="F1012" s="18">
        <f>IF(OR(D1012="",E1012=""),"",D1012*E1012)</f>
        <v/>
      </c>
      <c r="G1012" s="15" t="n"/>
    </row>
    <row r="1013">
      <c r="A1013" s="19" t="n"/>
      <c r="B1013" s="15" t="n"/>
      <c r="C1013">
        <f>IF(B1013="","",IFERROR(INDEX(Items!$B$5:$B$304,MATCH(B1013,Items!$A$5:$A$304,0)),"Unknown code"))</f>
        <v/>
      </c>
      <c r="D1013" s="15" t="n"/>
      <c r="E1013" s="16" t="n"/>
      <c r="F1013" s="18">
        <f>IF(OR(D1013="",E1013=""),"",D1013*E1013)</f>
        <v/>
      </c>
      <c r="G1013" s="15" t="n"/>
    </row>
    <row r="1014">
      <c r="A1014" s="19" t="n"/>
      <c r="B1014" s="15" t="n"/>
      <c r="C1014">
        <f>IF(B1014="","",IFERROR(INDEX(Items!$B$5:$B$304,MATCH(B1014,Items!$A$5:$A$304,0)),"Unknown code"))</f>
        <v/>
      </c>
      <c r="D1014" s="15" t="n"/>
      <c r="E1014" s="16" t="n"/>
      <c r="F1014" s="18">
        <f>IF(OR(D1014="",E1014=""),"",D1014*E1014)</f>
        <v/>
      </c>
      <c r="G1014" s="15" t="n"/>
    </row>
    <row r="1015">
      <c r="A1015" s="19" t="n"/>
      <c r="B1015" s="15" t="n"/>
      <c r="C1015">
        <f>IF(B1015="","",IFERROR(INDEX(Items!$B$5:$B$304,MATCH(B1015,Items!$A$5:$A$304,0)),"Unknown code"))</f>
        <v/>
      </c>
      <c r="D1015" s="15" t="n"/>
      <c r="E1015" s="16" t="n"/>
      <c r="F1015" s="18">
        <f>IF(OR(D1015="",E1015=""),"",D1015*E1015)</f>
        <v/>
      </c>
      <c r="G1015" s="15" t="n"/>
    </row>
    <row r="1016">
      <c r="A1016" s="19" t="n"/>
      <c r="B1016" s="15" t="n"/>
      <c r="C1016">
        <f>IF(B1016="","",IFERROR(INDEX(Items!$B$5:$B$304,MATCH(B1016,Items!$A$5:$A$304,0)),"Unknown code"))</f>
        <v/>
      </c>
      <c r="D1016" s="15" t="n"/>
      <c r="E1016" s="16" t="n"/>
      <c r="F1016" s="18">
        <f>IF(OR(D1016="",E1016=""),"",D1016*E1016)</f>
        <v/>
      </c>
      <c r="G1016" s="15" t="n"/>
    </row>
    <row r="1017">
      <c r="A1017" s="19" t="n"/>
      <c r="B1017" s="15" t="n"/>
      <c r="C1017">
        <f>IF(B1017="","",IFERROR(INDEX(Items!$B$5:$B$304,MATCH(B1017,Items!$A$5:$A$304,0)),"Unknown code"))</f>
        <v/>
      </c>
      <c r="D1017" s="15" t="n"/>
      <c r="E1017" s="16" t="n"/>
      <c r="F1017" s="18">
        <f>IF(OR(D1017="",E1017=""),"",D1017*E1017)</f>
        <v/>
      </c>
      <c r="G1017" s="15" t="n"/>
    </row>
    <row r="1018">
      <c r="A1018" s="19" t="n"/>
      <c r="B1018" s="15" t="n"/>
      <c r="C1018">
        <f>IF(B1018="","",IFERROR(INDEX(Items!$B$5:$B$304,MATCH(B1018,Items!$A$5:$A$304,0)),"Unknown code"))</f>
        <v/>
      </c>
      <c r="D1018" s="15" t="n"/>
      <c r="E1018" s="16" t="n"/>
      <c r="F1018" s="18">
        <f>IF(OR(D1018="",E1018=""),"",D1018*E1018)</f>
        <v/>
      </c>
      <c r="G1018" s="15" t="n"/>
    </row>
    <row r="1019">
      <c r="A1019" s="19" t="n"/>
      <c r="B1019" s="15" t="n"/>
      <c r="C1019">
        <f>IF(B1019="","",IFERROR(INDEX(Items!$B$5:$B$304,MATCH(B1019,Items!$A$5:$A$304,0)),"Unknown code"))</f>
        <v/>
      </c>
      <c r="D1019" s="15" t="n"/>
      <c r="E1019" s="16" t="n"/>
      <c r="F1019" s="18">
        <f>IF(OR(D1019="",E1019=""),"",D1019*E1019)</f>
        <v/>
      </c>
      <c r="G1019" s="15" t="n"/>
    </row>
    <row r="1020">
      <c r="A1020" s="19" t="n"/>
      <c r="B1020" s="15" t="n"/>
      <c r="C1020">
        <f>IF(B1020="","",IFERROR(INDEX(Items!$B$5:$B$304,MATCH(B1020,Items!$A$5:$A$304,0)),"Unknown code"))</f>
        <v/>
      </c>
      <c r="D1020" s="15" t="n"/>
      <c r="E1020" s="16" t="n"/>
      <c r="F1020" s="18">
        <f>IF(OR(D1020="",E1020=""),"",D1020*E1020)</f>
        <v/>
      </c>
      <c r="G1020" s="15" t="n"/>
    </row>
    <row r="1021">
      <c r="A1021" s="19" t="n"/>
      <c r="B1021" s="15" t="n"/>
      <c r="C1021">
        <f>IF(B1021="","",IFERROR(INDEX(Items!$B$5:$B$304,MATCH(B1021,Items!$A$5:$A$304,0)),"Unknown code"))</f>
        <v/>
      </c>
      <c r="D1021" s="15" t="n"/>
      <c r="E1021" s="16" t="n"/>
      <c r="F1021" s="18">
        <f>IF(OR(D1021="",E1021=""),"",D1021*E1021)</f>
        <v/>
      </c>
      <c r="G1021" s="15" t="n"/>
    </row>
    <row r="1022">
      <c r="A1022" s="19" t="n"/>
      <c r="B1022" s="15" t="n"/>
      <c r="C1022">
        <f>IF(B1022="","",IFERROR(INDEX(Items!$B$5:$B$304,MATCH(B1022,Items!$A$5:$A$304,0)),"Unknown code"))</f>
        <v/>
      </c>
      <c r="D1022" s="15" t="n"/>
      <c r="E1022" s="16" t="n"/>
      <c r="F1022" s="18">
        <f>IF(OR(D1022="",E1022=""),"",D1022*E1022)</f>
        <v/>
      </c>
      <c r="G1022" s="15" t="n"/>
    </row>
    <row r="1023">
      <c r="A1023" s="19" t="n"/>
      <c r="B1023" s="15" t="n"/>
      <c r="C1023">
        <f>IF(B1023="","",IFERROR(INDEX(Items!$B$5:$B$304,MATCH(B1023,Items!$A$5:$A$304,0)),"Unknown code"))</f>
        <v/>
      </c>
      <c r="D1023" s="15" t="n"/>
      <c r="E1023" s="16" t="n"/>
      <c r="F1023" s="18">
        <f>IF(OR(D1023="",E1023=""),"",D1023*E1023)</f>
        <v/>
      </c>
      <c r="G1023" s="15" t="n"/>
    </row>
    <row r="1024">
      <c r="A1024" s="19" t="n"/>
      <c r="B1024" s="15" t="n"/>
      <c r="C1024">
        <f>IF(B1024="","",IFERROR(INDEX(Items!$B$5:$B$304,MATCH(B1024,Items!$A$5:$A$304,0)),"Unknown code"))</f>
        <v/>
      </c>
      <c r="D1024" s="15" t="n"/>
      <c r="E1024" s="16" t="n"/>
      <c r="F1024" s="18">
        <f>IF(OR(D1024="",E1024=""),"",D1024*E1024)</f>
        <v/>
      </c>
      <c r="G1024" s="15" t="n"/>
    </row>
    <row r="1025">
      <c r="A1025" s="19" t="n"/>
      <c r="B1025" s="15" t="n"/>
      <c r="C1025">
        <f>IF(B1025="","",IFERROR(INDEX(Items!$B$5:$B$304,MATCH(B1025,Items!$A$5:$A$304,0)),"Unknown code"))</f>
        <v/>
      </c>
      <c r="D1025" s="15" t="n"/>
      <c r="E1025" s="16" t="n"/>
      <c r="F1025" s="18">
        <f>IF(OR(D1025="",E1025=""),"",D1025*E1025)</f>
        <v/>
      </c>
      <c r="G1025" s="15" t="n"/>
    </row>
    <row r="1026">
      <c r="A1026" s="19" t="n"/>
      <c r="B1026" s="15" t="n"/>
      <c r="C1026">
        <f>IF(B1026="","",IFERROR(INDEX(Items!$B$5:$B$304,MATCH(B1026,Items!$A$5:$A$304,0)),"Unknown code"))</f>
        <v/>
      </c>
      <c r="D1026" s="15" t="n"/>
      <c r="E1026" s="16" t="n"/>
      <c r="F1026" s="18">
        <f>IF(OR(D1026="",E1026=""),"",D1026*E1026)</f>
        <v/>
      </c>
      <c r="G1026" s="15" t="n"/>
    </row>
    <row r="1027">
      <c r="A1027" s="19" t="n"/>
      <c r="B1027" s="15" t="n"/>
      <c r="C1027">
        <f>IF(B1027="","",IFERROR(INDEX(Items!$B$5:$B$304,MATCH(B1027,Items!$A$5:$A$304,0)),"Unknown code"))</f>
        <v/>
      </c>
      <c r="D1027" s="15" t="n"/>
      <c r="E1027" s="16" t="n"/>
      <c r="F1027" s="18">
        <f>IF(OR(D1027="",E1027=""),"",D1027*E1027)</f>
        <v/>
      </c>
      <c r="G1027" s="15" t="n"/>
    </row>
    <row r="1028">
      <c r="A1028" s="19" t="n"/>
      <c r="B1028" s="15" t="n"/>
      <c r="C1028">
        <f>IF(B1028="","",IFERROR(INDEX(Items!$B$5:$B$304,MATCH(B1028,Items!$A$5:$A$304,0)),"Unknown code"))</f>
        <v/>
      </c>
      <c r="D1028" s="15" t="n"/>
      <c r="E1028" s="16" t="n"/>
      <c r="F1028" s="18">
        <f>IF(OR(D1028="",E1028=""),"",D1028*E1028)</f>
        <v/>
      </c>
      <c r="G1028" s="15" t="n"/>
    </row>
    <row r="1029">
      <c r="A1029" s="19" t="n"/>
      <c r="B1029" s="15" t="n"/>
      <c r="C1029">
        <f>IF(B1029="","",IFERROR(INDEX(Items!$B$5:$B$304,MATCH(B1029,Items!$A$5:$A$304,0)),"Unknown code"))</f>
        <v/>
      </c>
      <c r="D1029" s="15" t="n"/>
      <c r="E1029" s="16" t="n"/>
      <c r="F1029" s="18">
        <f>IF(OR(D1029="",E1029=""),"",D1029*E1029)</f>
        <v/>
      </c>
      <c r="G1029" s="15" t="n"/>
    </row>
    <row r="1030">
      <c r="A1030" s="19" t="n"/>
      <c r="B1030" s="15" t="n"/>
      <c r="C1030">
        <f>IF(B1030="","",IFERROR(INDEX(Items!$B$5:$B$304,MATCH(B1030,Items!$A$5:$A$304,0)),"Unknown code"))</f>
        <v/>
      </c>
      <c r="D1030" s="15" t="n"/>
      <c r="E1030" s="16" t="n"/>
      <c r="F1030" s="18">
        <f>IF(OR(D1030="",E1030=""),"",D1030*E1030)</f>
        <v/>
      </c>
      <c r="G1030" s="15" t="n"/>
    </row>
    <row r="1031">
      <c r="A1031" s="19" t="n"/>
      <c r="B1031" s="15" t="n"/>
      <c r="C1031">
        <f>IF(B1031="","",IFERROR(INDEX(Items!$B$5:$B$304,MATCH(B1031,Items!$A$5:$A$304,0)),"Unknown code"))</f>
        <v/>
      </c>
      <c r="D1031" s="15" t="n"/>
      <c r="E1031" s="16" t="n"/>
      <c r="F1031" s="18">
        <f>IF(OR(D1031="",E1031=""),"",D1031*E1031)</f>
        <v/>
      </c>
      <c r="G1031" s="15" t="n"/>
    </row>
    <row r="1032">
      <c r="A1032" s="19" t="n"/>
      <c r="B1032" s="15" t="n"/>
      <c r="C1032">
        <f>IF(B1032="","",IFERROR(INDEX(Items!$B$5:$B$304,MATCH(B1032,Items!$A$5:$A$304,0)),"Unknown code"))</f>
        <v/>
      </c>
      <c r="D1032" s="15" t="n"/>
      <c r="E1032" s="16" t="n"/>
      <c r="F1032" s="18">
        <f>IF(OR(D1032="",E1032=""),"",D1032*E1032)</f>
        <v/>
      </c>
      <c r="G1032" s="15" t="n"/>
    </row>
    <row r="1033">
      <c r="A1033" s="19" t="n"/>
      <c r="B1033" s="15" t="n"/>
      <c r="C1033">
        <f>IF(B1033="","",IFERROR(INDEX(Items!$B$5:$B$304,MATCH(B1033,Items!$A$5:$A$304,0)),"Unknown code"))</f>
        <v/>
      </c>
      <c r="D1033" s="15" t="n"/>
      <c r="E1033" s="16" t="n"/>
      <c r="F1033" s="18">
        <f>IF(OR(D1033="",E1033=""),"",D1033*E1033)</f>
        <v/>
      </c>
      <c r="G1033" s="15" t="n"/>
    </row>
    <row r="1034">
      <c r="A1034" s="19" t="n"/>
      <c r="B1034" s="15" t="n"/>
      <c r="C1034">
        <f>IF(B1034="","",IFERROR(INDEX(Items!$B$5:$B$304,MATCH(B1034,Items!$A$5:$A$304,0)),"Unknown code"))</f>
        <v/>
      </c>
      <c r="D1034" s="15" t="n"/>
      <c r="E1034" s="16" t="n"/>
      <c r="F1034" s="18">
        <f>IF(OR(D1034="",E1034=""),"",D1034*E1034)</f>
        <v/>
      </c>
      <c r="G1034" s="15" t="n"/>
    </row>
    <row r="1035">
      <c r="A1035" s="19" t="n"/>
      <c r="B1035" s="15" t="n"/>
      <c r="C1035">
        <f>IF(B1035="","",IFERROR(INDEX(Items!$B$5:$B$304,MATCH(B1035,Items!$A$5:$A$304,0)),"Unknown code"))</f>
        <v/>
      </c>
      <c r="D1035" s="15" t="n"/>
      <c r="E1035" s="16" t="n"/>
      <c r="F1035" s="18">
        <f>IF(OR(D1035="",E1035=""),"",D1035*E1035)</f>
        <v/>
      </c>
      <c r="G1035" s="15" t="n"/>
    </row>
    <row r="1036">
      <c r="A1036" s="19" t="n"/>
      <c r="B1036" s="15" t="n"/>
      <c r="C1036">
        <f>IF(B1036="","",IFERROR(INDEX(Items!$B$5:$B$304,MATCH(B1036,Items!$A$5:$A$304,0)),"Unknown code"))</f>
        <v/>
      </c>
      <c r="D1036" s="15" t="n"/>
      <c r="E1036" s="16" t="n"/>
      <c r="F1036" s="18">
        <f>IF(OR(D1036="",E1036=""),"",D1036*E1036)</f>
        <v/>
      </c>
      <c r="G1036" s="15" t="n"/>
    </row>
    <row r="1037">
      <c r="A1037" s="19" t="n"/>
      <c r="B1037" s="15" t="n"/>
      <c r="C1037">
        <f>IF(B1037="","",IFERROR(INDEX(Items!$B$5:$B$304,MATCH(B1037,Items!$A$5:$A$304,0)),"Unknown code"))</f>
        <v/>
      </c>
      <c r="D1037" s="15" t="n"/>
      <c r="E1037" s="16" t="n"/>
      <c r="F1037" s="18">
        <f>IF(OR(D1037="",E1037=""),"",D1037*E1037)</f>
        <v/>
      </c>
      <c r="G1037" s="15" t="n"/>
    </row>
    <row r="1038">
      <c r="A1038" s="19" t="n"/>
      <c r="B1038" s="15" t="n"/>
      <c r="C1038">
        <f>IF(B1038="","",IFERROR(INDEX(Items!$B$5:$B$304,MATCH(B1038,Items!$A$5:$A$304,0)),"Unknown code"))</f>
        <v/>
      </c>
      <c r="D1038" s="15" t="n"/>
      <c r="E1038" s="16" t="n"/>
      <c r="F1038" s="18">
        <f>IF(OR(D1038="",E1038=""),"",D1038*E1038)</f>
        <v/>
      </c>
      <c r="G1038" s="15" t="n"/>
    </row>
    <row r="1039">
      <c r="A1039" s="19" t="n"/>
      <c r="B1039" s="15" t="n"/>
      <c r="C1039">
        <f>IF(B1039="","",IFERROR(INDEX(Items!$B$5:$B$304,MATCH(B1039,Items!$A$5:$A$304,0)),"Unknown code"))</f>
        <v/>
      </c>
      <c r="D1039" s="15" t="n"/>
      <c r="E1039" s="16" t="n"/>
      <c r="F1039" s="18">
        <f>IF(OR(D1039="",E1039=""),"",D1039*E1039)</f>
        <v/>
      </c>
      <c r="G1039" s="15" t="n"/>
    </row>
    <row r="1040">
      <c r="A1040" s="19" t="n"/>
      <c r="B1040" s="15" t="n"/>
      <c r="C1040">
        <f>IF(B1040="","",IFERROR(INDEX(Items!$B$5:$B$304,MATCH(B1040,Items!$A$5:$A$304,0)),"Unknown code"))</f>
        <v/>
      </c>
      <c r="D1040" s="15" t="n"/>
      <c r="E1040" s="16" t="n"/>
      <c r="F1040" s="18">
        <f>IF(OR(D1040="",E1040=""),"",D1040*E1040)</f>
        <v/>
      </c>
      <c r="G1040" s="15" t="n"/>
    </row>
    <row r="1041">
      <c r="A1041" s="19" t="n"/>
      <c r="B1041" s="15" t="n"/>
      <c r="C1041">
        <f>IF(B1041="","",IFERROR(INDEX(Items!$B$5:$B$304,MATCH(B1041,Items!$A$5:$A$304,0)),"Unknown code"))</f>
        <v/>
      </c>
      <c r="D1041" s="15" t="n"/>
      <c r="E1041" s="16" t="n"/>
      <c r="F1041" s="18">
        <f>IF(OR(D1041="",E1041=""),"",D1041*E1041)</f>
        <v/>
      </c>
      <c r="G1041" s="15" t="n"/>
    </row>
    <row r="1042">
      <c r="A1042" s="19" t="n"/>
      <c r="B1042" s="15" t="n"/>
      <c r="C1042">
        <f>IF(B1042="","",IFERROR(INDEX(Items!$B$5:$B$304,MATCH(B1042,Items!$A$5:$A$304,0)),"Unknown code"))</f>
        <v/>
      </c>
      <c r="D1042" s="15" t="n"/>
      <c r="E1042" s="16" t="n"/>
      <c r="F1042" s="18">
        <f>IF(OR(D1042="",E1042=""),"",D1042*E1042)</f>
        <v/>
      </c>
      <c r="G1042" s="15" t="n"/>
    </row>
    <row r="1043">
      <c r="A1043" s="19" t="n"/>
      <c r="B1043" s="15" t="n"/>
      <c r="C1043">
        <f>IF(B1043="","",IFERROR(INDEX(Items!$B$5:$B$304,MATCH(B1043,Items!$A$5:$A$304,0)),"Unknown code"))</f>
        <v/>
      </c>
      <c r="D1043" s="15" t="n"/>
      <c r="E1043" s="16" t="n"/>
      <c r="F1043" s="18">
        <f>IF(OR(D1043="",E1043=""),"",D1043*E1043)</f>
        <v/>
      </c>
      <c r="G1043" s="15" t="n"/>
    </row>
    <row r="1044">
      <c r="A1044" s="19" t="n"/>
      <c r="B1044" s="15" t="n"/>
      <c r="C1044">
        <f>IF(B1044="","",IFERROR(INDEX(Items!$B$5:$B$304,MATCH(B1044,Items!$A$5:$A$304,0)),"Unknown code"))</f>
        <v/>
      </c>
      <c r="D1044" s="15" t="n"/>
      <c r="E1044" s="16" t="n"/>
      <c r="F1044" s="18">
        <f>IF(OR(D1044="",E1044=""),"",D1044*E1044)</f>
        <v/>
      </c>
      <c r="G1044" s="15" t="n"/>
    </row>
    <row r="1045">
      <c r="A1045" s="19" t="n"/>
      <c r="B1045" s="15" t="n"/>
      <c r="C1045">
        <f>IF(B1045="","",IFERROR(INDEX(Items!$B$5:$B$304,MATCH(B1045,Items!$A$5:$A$304,0)),"Unknown code"))</f>
        <v/>
      </c>
      <c r="D1045" s="15" t="n"/>
      <c r="E1045" s="16" t="n"/>
      <c r="F1045" s="18">
        <f>IF(OR(D1045="",E1045=""),"",D1045*E1045)</f>
        <v/>
      </c>
      <c r="G1045" s="15" t="n"/>
    </row>
    <row r="1046">
      <c r="A1046" s="19" t="n"/>
      <c r="B1046" s="15" t="n"/>
      <c r="C1046">
        <f>IF(B1046="","",IFERROR(INDEX(Items!$B$5:$B$304,MATCH(B1046,Items!$A$5:$A$304,0)),"Unknown code"))</f>
        <v/>
      </c>
      <c r="D1046" s="15" t="n"/>
      <c r="E1046" s="16" t="n"/>
      <c r="F1046" s="18">
        <f>IF(OR(D1046="",E1046=""),"",D1046*E1046)</f>
        <v/>
      </c>
      <c r="G1046" s="15" t="n"/>
    </row>
    <row r="1047">
      <c r="A1047" s="19" t="n"/>
      <c r="B1047" s="15" t="n"/>
      <c r="C1047">
        <f>IF(B1047="","",IFERROR(INDEX(Items!$B$5:$B$304,MATCH(B1047,Items!$A$5:$A$304,0)),"Unknown code"))</f>
        <v/>
      </c>
      <c r="D1047" s="15" t="n"/>
      <c r="E1047" s="16" t="n"/>
      <c r="F1047" s="18">
        <f>IF(OR(D1047="",E1047=""),"",D1047*E1047)</f>
        <v/>
      </c>
      <c r="G1047" s="15" t="n"/>
    </row>
    <row r="1048">
      <c r="A1048" s="19" t="n"/>
      <c r="B1048" s="15" t="n"/>
      <c r="C1048">
        <f>IF(B1048="","",IFERROR(INDEX(Items!$B$5:$B$304,MATCH(B1048,Items!$A$5:$A$304,0)),"Unknown code"))</f>
        <v/>
      </c>
      <c r="D1048" s="15" t="n"/>
      <c r="E1048" s="16" t="n"/>
      <c r="F1048" s="18">
        <f>IF(OR(D1048="",E1048=""),"",D1048*E1048)</f>
        <v/>
      </c>
      <c r="G1048" s="15" t="n"/>
    </row>
    <row r="1049">
      <c r="A1049" s="19" t="n"/>
      <c r="B1049" s="15" t="n"/>
      <c r="C1049">
        <f>IF(B1049="","",IFERROR(INDEX(Items!$B$5:$B$304,MATCH(B1049,Items!$A$5:$A$304,0)),"Unknown code"))</f>
        <v/>
      </c>
      <c r="D1049" s="15" t="n"/>
      <c r="E1049" s="16" t="n"/>
      <c r="F1049" s="18">
        <f>IF(OR(D1049="",E1049=""),"",D1049*E1049)</f>
        <v/>
      </c>
      <c r="G1049" s="15" t="n"/>
    </row>
    <row r="1050">
      <c r="A1050" s="19" t="n"/>
      <c r="B1050" s="15" t="n"/>
      <c r="C1050">
        <f>IF(B1050="","",IFERROR(INDEX(Items!$B$5:$B$304,MATCH(B1050,Items!$A$5:$A$304,0)),"Unknown code"))</f>
        <v/>
      </c>
      <c r="D1050" s="15" t="n"/>
      <c r="E1050" s="16" t="n"/>
      <c r="F1050" s="18">
        <f>IF(OR(D1050="",E1050=""),"",D1050*E1050)</f>
        <v/>
      </c>
      <c r="G1050" s="15" t="n"/>
    </row>
    <row r="1051">
      <c r="A1051" s="19" t="n"/>
      <c r="B1051" s="15" t="n"/>
      <c r="C1051">
        <f>IF(B1051="","",IFERROR(INDEX(Items!$B$5:$B$304,MATCH(B1051,Items!$A$5:$A$304,0)),"Unknown code"))</f>
        <v/>
      </c>
      <c r="D1051" s="15" t="n"/>
      <c r="E1051" s="16" t="n"/>
      <c r="F1051" s="18">
        <f>IF(OR(D1051="",E1051=""),"",D1051*E1051)</f>
        <v/>
      </c>
      <c r="G1051" s="15" t="n"/>
    </row>
    <row r="1052">
      <c r="A1052" s="19" t="n"/>
      <c r="B1052" s="15" t="n"/>
      <c r="C1052">
        <f>IF(B1052="","",IFERROR(INDEX(Items!$B$5:$B$304,MATCH(B1052,Items!$A$5:$A$304,0)),"Unknown code"))</f>
        <v/>
      </c>
      <c r="D1052" s="15" t="n"/>
      <c r="E1052" s="16" t="n"/>
      <c r="F1052" s="18">
        <f>IF(OR(D1052="",E1052=""),"",D1052*E1052)</f>
        <v/>
      </c>
      <c r="G1052" s="15" t="n"/>
    </row>
    <row r="1053">
      <c r="A1053" s="19" t="n"/>
      <c r="B1053" s="15" t="n"/>
      <c r="C1053">
        <f>IF(B1053="","",IFERROR(INDEX(Items!$B$5:$B$304,MATCH(B1053,Items!$A$5:$A$304,0)),"Unknown code"))</f>
        <v/>
      </c>
      <c r="D1053" s="15" t="n"/>
      <c r="E1053" s="16" t="n"/>
      <c r="F1053" s="18">
        <f>IF(OR(D1053="",E1053=""),"",D1053*E1053)</f>
        <v/>
      </c>
      <c r="G1053" s="15" t="n"/>
    </row>
    <row r="1054">
      <c r="A1054" s="19" t="n"/>
      <c r="B1054" s="15" t="n"/>
      <c r="C1054">
        <f>IF(B1054="","",IFERROR(INDEX(Items!$B$5:$B$304,MATCH(B1054,Items!$A$5:$A$304,0)),"Unknown code"))</f>
        <v/>
      </c>
      <c r="D1054" s="15" t="n"/>
      <c r="E1054" s="16" t="n"/>
      <c r="F1054" s="18">
        <f>IF(OR(D1054="",E1054=""),"",D1054*E1054)</f>
        <v/>
      </c>
      <c r="G1054" s="15" t="n"/>
    </row>
    <row r="1055">
      <c r="A1055" s="19" t="n"/>
      <c r="B1055" s="15" t="n"/>
      <c r="C1055">
        <f>IF(B1055="","",IFERROR(INDEX(Items!$B$5:$B$304,MATCH(B1055,Items!$A$5:$A$304,0)),"Unknown code"))</f>
        <v/>
      </c>
      <c r="D1055" s="15" t="n"/>
      <c r="E1055" s="16" t="n"/>
      <c r="F1055" s="18">
        <f>IF(OR(D1055="",E1055=""),"",D1055*E1055)</f>
        <v/>
      </c>
      <c r="G1055" s="15" t="n"/>
    </row>
    <row r="1056">
      <c r="A1056" s="19" t="n"/>
      <c r="B1056" s="15" t="n"/>
      <c r="C1056">
        <f>IF(B1056="","",IFERROR(INDEX(Items!$B$5:$B$304,MATCH(B1056,Items!$A$5:$A$304,0)),"Unknown code"))</f>
        <v/>
      </c>
      <c r="D1056" s="15" t="n"/>
      <c r="E1056" s="16" t="n"/>
      <c r="F1056" s="18">
        <f>IF(OR(D1056="",E1056=""),"",D1056*E1056)</f>
        <v/>
      </c>
      <c r="G1056" s="15" t="n"/>
    </row>
    <row r="1057">
      <c r="A1057" s="19" t="n"/>
      <c r="B1057" s="15" t="n"/>
      <c r="C1057">
        <f>IF(B1057="","",IFERROR(INDEX(Items!$B$5:$B$304,MATCH(B1057,Items!$A$5:$A$304,0)),"Unknown code"))</f>
        <v/>
      </c>
      <c r="D1057" s="15" t="n"/>
      <c r="E1057" s="16" t="n"/>
      <c r="F1057" s="18">
        <f>IF(OR(D1057="",E1057=""),"",D1057*E1057)</f>
        <v/>
      </c>
      <c r="G1057" s="15" t="n"/>
    </row>
    <row r="1058">
      <c r="A1058" s="19" t="n"/>
      <c r="B1058" s="15" t="n"/>
      <c r="C1058">
        <f>IF(B1058="","",IFERROR(INDEX(Items!$B$5:$B$304,MATCH(B1058,Items!$A$5:$A$304,0)),"Unknown code"))</f>
        <v/>
      </c>
      <c r="D1058" s="15" t="n"/>
      <c r="E1058" s="16" t="n"/>
      <c r="F1058" s="18">
        <f>IF(OR(D1058="",E1058=""),"",D1058*E1058)</f>
        <v/>
      </c>
      <c r="G1058" s="15" t="n"/>
    </row>
    <row r="1059">
      <c r="A1059" s="19" t="n"/>
      <c r="B1059" s="15" t="n"/>
      <c r="C1059">
        <f>IF(B1059="","",IFERROR(INDEX(Items!$B$5:$B$304,MATCH(B1059,Items!$A$5:$A$304,0)),"Unknown code"))</f>
        <v/>
      </c>
      <c r="D1059" s="15" t="n"/>
      <c r="E1059" s="16" t="n"/>
      <c r="F1059" s="18">
        <f>IF(OR(D1059="",E1059=""),"",D1059*E1059)</f>
        <v/>
      </c>
      <c r="G1059" s="15" t="n"/>
    </row>
    <row r="1060">
      <c r="A1060" s="19" t="n"/>
      <c r="B1060" s="15" t="n"/>
      <c r="C1060">
        <f>IF(B1060="","",IFERROR(INDEX(Items!$B$5:$B$304,MATCH(B1060,Items!$A$5:$A$304,0)),"Unknown code"))</f>
        <v/>
      </c>
      <c r="D1060" s="15" t="n"/>
      <c r="E1060" s="16" t="n"/>
      <c r="F1060" s="18">
        <f>IF(OR(D1060="",E1060=""),"",D1060*E1060)</f>
        <v/>
      </c>
      <c r="G1060" s="15" t="n"/>
    </row>
    <row r="1061">
      <c r="A1061" s="19" t="n"/>
      <c r="B1061" s="15" t="n"/>
      <c r="C1061">
        <f>IF(B1061="","",IFERROR(INDEX(Items!$B$5:$B$304,MATCH(B1061,Items!$A$5:$A$304,0)),"Unknown code"))</f>
        <v/>
      </c>
      <c r="D1061" s="15" t="n"/>
      <c r="E1061" s="16" t="n"/>
      <c r="F1061" s="18">
        <f>IF(OR(D1061="",E1061=""),"",D1061*E1061)</f>
        <v/>
      </c>
      <c r="G1061" s="15" t="n"/>
    </row>
    <row r="1062">
      <c r="A1062" s="19" t="n"/>
      <c r="B1062" s="15" t="n"/>
      <c r="C1062">
        <f>IF(B1062="","",IFERROR(INDEX(Items!$B$5:$B$304,MATCH(B1062,Items!$A$5:$A$304,0)),"Unknown code"))</f>
        <v/>
      </c>
      <c r="D1062" s="15" t="n"/>
      <c r="E1062" s="16" t="n"/>
      <c r="F1062" s="18">
        <f>IF(OR(D1062="",E1062=""),"",D1062*E1062)</f>
        <v/>
      </c>
      <c r="G1062" s="15" t="n"/>
    </row>
    <row r="1063">
      <c r="A1063" s="19" t="n"/>
      <c r="B1063" s="15" t="n"/>
      <c r="C1063">
        <f>IF(B1063="","",IFERROR(INDEX(Items!$B$5:$B$304,MATCH(B1063,Items!$A$5:$A$304,0)),"Unknown code"))</f>
        <v/>
      </c>
      <c r="D1063" s="15" t="n"/>
      <c r="E1063" s="16" t="n"/>
      <c r="F1063" s="18">
        <f>IF(OR(D1063="",E1063=""),"",D1063*E1063)</f>
        <v/>
      </c>
      <c r="G1063" s="15" t="n"/>
    </row>
    <row r="1064">
      <c r="A1064" s="19" t="n"/>
      <c r="B1064" s="15" t="n"/>
      <c r="C1064">
        <f>IF(B1064="","",IFERROR(INDEX(Items!$B$5:$B$304,MATCH(B1064,Items!$A$5:$A$304,0)),"Unknown code"))</f>
        <v/>
      </c>
      <c r="D1064" s="15" t="n"/>
      <c r="E1064" s="16" t="n"/>
      <c r="F1064" s="18">
        <f>IF(OR(D1064="",E1064=""),"",D1064*E1064)</f>
        <v/>
      </c>
      <c r="G1064" s="15" t="n"/>
    </row>
    <row r="1065">
      <c r="A1065" s="19" t="n"/>
      <c r="B1065" s="15" t="n"/>
      <c r="C1065">
        <f>IF(B1065="","",IFERROR(INDEX(Items!$B$5:$B$304,MATCH(B1065,Items!$A$5:$A$304,0)),"Unknown code"))</f>
        <v/>
      </c>
      <c r="D1065" s="15" t="n"/>
      <c r="E1065" s="16" t="n"/>
      <c r="F1065" s="18">
        <f>IF(OR(D1065="",E1065=""),"",D1065*E1065)</f>
        <v/>
      </c>
      <c r="G1065" s="15" t="n"/>
    </row>
    <row r="1066">
      <c r="A1066" s="19" t="n"/>
      <c r="B1066" s="15" t="n"/>
      <c r="C1066">
        <f>IF(B1066="","",IFERROR(INDEX(Items!$B$5:$B$304,MATCH(B1066,Items!$A$5:$A$304,0)),"Unknown code"))</f>
        <v/>
      </c>
      <c r="D1066" s="15" t="n"/>
      <c r="E1066" s="16" t="n"/>
      <c r="F1066" s="18">
        <f>IF(OR(D1066="",E1066=""),"",D1066*E1066)</f>
        <v/>
      </c>
      <c r="G1066" s="15" t="n"/>
    </row>
    <row r="1067">
      <c r="A1067" s="19" t="n"/>
      <c r="B1067" s="15" t="n"/>
      <c r="C1067">
        <f>IF(B1067="","",IFERROR(INDEX(Items!$B$5:$B$304,MATCH(B1067,Items!$A$5:$A$304,0)),"Unknown code"))</f>
        <v/>
      </c>
      <c r="D1067" s="15" t="n"/>
      <c r="E1067" s="16" t="n"/>
      <c r="F1067" s="18">
        <f>IF(OR(D1067="",E1067=""),"",D1067*E1067)</f>
        <v/>
      </c>
      <c r="G1067" s="15" t="n"/>
    </row>
    <row r="1068">
      <c r="A1068" s="19" t="n"/>
      <c r="B1068" s="15" t="n"/>
      <c r="C1068">
        <f>IF(B1068="","",IFERROR(INDEX(Items!$B$5:$B$304,MATCH(B1068,Items!$A$5:$A$304,0)),"Unknown code"))</f>
        <v/>
      </c>
      <c r="D1068" s="15" t="n"/>
      <c r="E1068" s="16" t="n"/>
      <c r="F1068" s="18">
        <f>IF(OR(D1068="",E1068=""),"",D1068*E1068)</f>
        <v/>
      </c>
      <c r="G1068" s="15" t="n"/>
    </row>
    <row r="1069">
      <c r="A1069" s="19" t="n"/>
      <c r="B1069" s="15" t="n"/>
      <c r="C1069">
        <f>IF(B1069="","",IFERROR(INDEX(Items!$B$5:$B$304,MATCH(B1069,Items!$A$5:$A$304,0)),"Unknown code"))</f>
        <v/>
      </c>
      <c r="D1069" s="15" t="n"/>
      <c r="E1069" s="16" t="n"/>
      <c r="F1069" s="18">
        <f>IF(OR(D1069="",E1069=""),"",D1069*E1069)</f>
        <v/>
      </c>
      <c r="G1069" s="15" t="n"/>
    </row>
    <row r="1070">
      <c r="A1070" s="19" t="n"/>
      <c r="B1070" s="15" t="n"/>
      <c r="C1070">
        <f>IF(B1070="","",IFERROR(INDEX(Items!$B$5:$B$304,MATCH(B1070,Items!$A$5:$A$304,0)),"Unknown code"))</f>
        <v/>
      </c>
      <c r="D1070" s="15" t="n"/>
      <c r="E1070" s="16" t="n"/>
      <c r="F1070" s="18">
        <f>IF(OR(D1070="",E1070=""),"",D1070*E1070)</f>
        <v/>
      </c>
      <c r="G1070" s="15" t="n"/>
    </row>
    <row r="1071">
      <c r="A1071" s="19" t="n"/>
      <c r="B1071" s="15" t="n"/>
      <c r="C1071">
        <f>IF(B1071="","",IFERROR(INDEX(Items!$B$5:$B$304,MATCH(B1071,Items!$A$5:$A$304,0)),"Unknown code"))</f>
        <v/>
      </c>
      <c r="D1071" s="15" t="n"/>
      <c r="E1071" s="16" t="n"/>
      <c r="F1071" s="18">
        <f>IF(OR(D1071="",E1071=""),"",D1071*E1071)</f>
        <v/>
      </c>
      <c r="G1071" s="15" t="n"/>
    </row>
    <row r="1072">
      <c r="A1072" s="19" t="n"/>
      <c r="B1072" s="15" t="n"/>
      <c r="C1072">
        <f>IF(B1072="","",IFERROR(INDEX(Items!$B$5:$B$304,MATCH(B1072,Items!$A$5:$A$304,0)),"Unknown code"))</f>
        <v/>
      </c>
      <c r="D1072" s="15" t="n"/>
      <c r="E1072" s="16" t="n"/>
      <c r="F1072" s="18">
        <f>IF(OR(D1072="",E1072=""),"",D1072*E1072)</f>
        <v/>
      </c>
      <c r="G1072" s="15" t="n"/>
    </row>
    <row r="1073">
      <c r="A1073" s="19" t="n"/>
      <c r="B1073" s="15" t="n"/>
      <c r="C1073">
        <f>IF(B1073="","",IFERROR(INDEX(Items!$B$5:$B$304,MATCH(B1073,Items!$A$5:$A$304,0)),"Unknown code"))</f>
        <v/>
      </c>
      <c r="D1073" s="15" t="n"/>
      <c r="E1073" s="16" t="n"/>
      <c r="F1073" s="18">
        <f>IF(OR(D1073="",E1073=""),"",D1073*E1073)</f>
        <v/>
      </c>
      <c r="G1073" s="15" t="n"/>
    </row>
    <row r="1074">
      <c r="A1074" s="19" t="n"/>
      <c r="B1074" s="15" t="n"/>
      <c r="C1074">
        <f>IF(B1074="","",IFERROR(INDEX(Items!$B$5:$B$304,MATCH(B1074,Items!$A$5:$A$304,0)),"Unknown code"))</f>
        <v/>
      </c>
      <c r="D1074" s="15" t="n"/>
      <c r="E1074" s="16" t="n"/>
      <c r="F1074" s="18">
        <f>IF(OR(D1074="",E1074=""),"",D1074*E1074)</f>
        <v/>
      </c>
      <c r="G1074" s="15" t="n"/>
    </row>
    <row r="1075">
      <c r="A1075" s="19" t="n"/>
      <c r="B1075" s="15" t="n"/>
      <c r="C1075">
        <f>IF(B1075="","",IFERROR(INDEX(Items!$B$5:$B$304,MATCH(B1075,Items!$A$5:$A$304,0)),"Unknown code"))</f>
        <v/>
      </c>
      <c r="D1075" s="15" t="n"/>
      <c r="E1075" s="16" t="n"/>
      <c r="F1075" s="18">
        <f>IF(OR(D1075="",E1075=""),"",D1075*E1075)</f>
        <v/>
      </c>
      <c r="G1075" s="15" t="n"/>
    </row>
    <row r="1076">
      <c r="A1076" s="19" t="n"/>
      <c r="B1076" s="15" t="n"/>
      <c r="C1076">
        <f>IF(B1076="","",IFERROR(INDEX(Items!$B$5:$B$304,MATCH(B1076,Items!$A$5:$A$304,0)),"Unknown code"))</f>
        <v/>
      </c>
      <c r="D1076" s="15" t="n"/>
      <c r="E1076" s="16" t="n"/>
      <c r="F1076" s="18">
        <f>IF(OR(D1076="",E1076=""),"",D1076*E1076)</f>
        <v/>
      </c>
      <c r="G1076" s="15" t="n"/>
    </row>
    <row r="1077">
      <c r="A1077" s="19" t="n"/>
      <c r="B1077" s="15" t="n"/>
      <c r="C1077">
        <f>IF(B1077="","",IFERROR(INDEX(Items!$B$5:$B$304,MATCH(B1077,Items!$A$5:$A$304,0)),"Unknown code"))</f>
        <v/>
      </c>
      <c r="D1077" s="15" t="n"/>
      <c r="E1077" s="16" t="n"/>
      <c r="F1077" s="18">
        <f>IF(OR(D1077="",E1077=""),"",D1077*E1077)</f>
        <v/>
      </c>
      <c r="G1077" s="15" t="n"/>
    </row>
    <row r="1078">
      <c r="A1078" s="19" t="n"/>
      <c r="B1078" s="15" t="n"/>
      <c r="C1078">
        <f>IF(B1078="","",IFERROR(INDEX(Items!$B$5:$B$304,MATCH(B1078,Items!$A$5:$A$304,0)),"Unknown code"))</f>
        <v/>
      </c>
      <c r="D1078" s="15" t="n"/>
      <c r="E1078" s="16" t="n"/>
      <c r="F1078" s="18">
        <f>IF(OR(D1078="",E1078=""),"",D1078*E1078)</f>
        <v/>
      </c>
      <c r="G1078" s="15" t="n"/>
    </row>
    <row r="1079">
      <c r="A1079" s="19" t="n"/>
      <c r="B1079" s="15" t="n"/>
      <c r="C1079">
        <f>IF(B1079="","",IFERROR(INDEX(Items!$B$5:$B$304,MATCH(B1079,Items!$A$5:$A$304,0)),"Unknown code"))</f>
        <v/>
      </c>
      <c r="D1079" s="15" t="n"/>
      <c r="E1079" s="16" t="n"/>
      <c r="F1079" s="18">
        <f>IF(OR(D1079="",E1079=""),"",D1079*E1079)</f>
        <v/>
      </c>
      <c r="G1079" s="15" t="n"/>
    </row>
    <row r="1080">
      <c r="A1080" s="19" t="n"/>
      <c r="B1080" s="15" t="n"/>
      <c r="C1080">
        <f>IF(B1080="","",IFERROR(INDEX(Items!$B$5:$B$304,MATCH(B1080,Items!$A$5:$A$304,0)),"Unknown code"))</f>
        <v/>
      </c>
      <c r="D1080" s="15" t="n"/>
      <c r="E1080" s="16" t="n"/>
      <c r="F1080" s="18">
        <f>IF(OR(D1080="",E1080=""),"",D1080*E1080)</f>
        <v/>
      </c>
      <c r="G1080" s="15" t="n"/>
    </row>
    <row r="1081">
      <c r="A1081" s="19" t="n"/>
      <c r="B1081" s="15" t="n"/>
      <c r="C1081">
        <f>IF(B1081="","",IFERROR(INDEX(Items!$B$5:$B$304,MATCH(B1081,Items!$A$5:$A$304,0)),"Unknown code"))</f>
        <v/>
      </c>
      <c r="D1081" s="15" t="n"/>
      <c r="E1081" s="16" t="n"/>
      <c r="F1081" s="18">
        <f>IF(OR(D1081="",E1081=""),"",D1081*E1081)</f>
        <v/>
      </c>
      <c r="G1081" s="15" t="n"/>
    </row>
    <row r="1082">
      <c r="A1082" s="19" t="n"/>
      <c r="B1082" s="15" t="n"/>
      <c r="C1082">
        <f>IF(B1082="","",IFERROR(INDEX(Items!$B$5:$B$304,MATCH(B1082,Items!$A$5:$A$304,0)),"Unknown code"))</f>
        <v/>
      </c>
      <c r="D1082" s="15" t="n"/>
      <c r="E1082" s="16" t="n"/>
      <c r="F1082" s="18">
        <f>IF(OR(D1082="",E1082=""),"",D1082*E1082)</f>
        <v/>
      </c>
      <c r="G1082" s="15" t="n"/>
    </row>
    <row r="1083">
      <c r="A1083" s="19" t="n"/>
      <c r="B1083" s="15" t="n"/>
      <c r="C1083">
        <f>IF(B1083="","",IFERROR(INDEX(Items!$B$5:$B$304,MATCH(B1083,Items!$A$5:$A$304,0)),"Unknown code"))</f>
        <v/>
      </c>
      <c r="D1083" s="15" t="n"/>
      <c r="E1083" s="16" t="n"/>
      <c r="F1083" s="18">
        <f>IF(OR(D1083="",E1083=""),"",D1083*E1083)</f>
        <v/>
      </c>
      <c r="G1083" s="15" t="n"/>
    </row>
    <row r="1084">
      <c r="A1084" s="19" t="n"/>
      <c r="B1084" s="15" t="n"/>
      <c r="C1084">
        <f>IF(B1084="","",IFERROR(INDEX(Items!$B$5:$B$304,MATCH(B1084,Items!$A$5:$A$304,0)),"Unknown code"))</f>
        <v/>
      </c>
      <c r="D1084" s="15" t="n"/>
      <c r="E1084" s="16" t="n"/>
      <c r="F1084" s="18">
        <f>IF(OR(D1084="",E1084=""),"",D1084*E1084)</f>
        <v/>
      </c>
      <c r="G1084" s="15" t="n"/>
    </row>
    <row r="1085">
      <c r="A1085" s="19" t="n"/>
      <c r="B1085" s="15" t="n"/>
      <c r="C1085">
        <f>IF(B1085="","",IFERROR(INDEX(Items!$B$5:$B$304,MATCH(B1085,Items!$A$5:$A$304,0)),"Unknown code"))</f>
        <v/>
      </c>
      <c r="D1085" s="15" t="n"/>
      <c r="E1085" s="16" t="n"/>
      <c r="F1085" s="18">
        <f>IF(OR(D1085="",E1085=""),"",D1085*E1085)</f>
        <v/>
      </c>
      <c r="G1085" s="15" t="n"/>
    </row>
    <row r="1086">
      <c r="A1086" s="19" t="n"/>
      <c r="B1086" s="15" t="n"/>
      <c r="C1086">
        <f>IF(B1086="","",IFERROR(INDEX(Items!$B$5:$B$304,MATCH(B1086,Items!$A$5:$A$304,0)),"Unknown code"))</f>
        <v/>
      </c>
      <c r="D1086" s="15" t="n"/>
      <c r="E1086" s="16" t="n"/>
      <c r="F1086" s="18">
        <f>IF(OR(D1086="",E1086=""),"",D1086*E1086)</f>
        <v/>
      </c>
      <c r="G1086" s="15" t="n"/>
    </row>
    <row r="1087">
      <c r="A1087" s="19" t="n"/>
      <c r="B1087" s="15" t="n"/>
      <c r="C1087">
        <f>IF(B1087="","",IFERROR(INDEX(Items!$B$5:$B$304,MATCH(B1087,Items!$A$5:$A$304,0)),"Unknown code"))</f>
        <v/>
      </c>
      <c r="D1087" s="15" t="n"/>
      <c r="E1087" s="16" t="n"/>
      <c r="F1087" s="18">
        <f>IF(OR(D1087="",E1087=""),"",D1087*E1087)</f>
        <v/>
      </c>
      <c r="G1087" s="15" t="n"/>
    </row>
    <row r="1088">
      <c r="A1088" s="19" t="n"/>
      <c r="B1088" s="15" t="n"/>
      <c r="C1088">
        <f>IF(B1088="","",IFERROR(INDEX(Items!$B$5:$B$304,MATCH(B1088,Items!$A$5:$A$304,0)),"Unknown code"))</f>
        <v/>
      </c>
      <c r="D1088" s="15" t="n"/>
      <c r="E1088" s="16" t="n"/>
      <c r="F1088" s="18">
        <f>IF(OR(D1088="",E1088=""),"",D1088*E1088)</f>
        <v/>
      </c>
      <c r="G1088" s="15" t="n"/>
    </row>
    <row r="1089">
      <c r="A1089" s="19" t="n"/>
      <c r="B1089" s="15" t="n"/>
      <c r="C1089">
        <f>IF(B1089="","",IFERROR(INDEX(Items!$B$5:$B$304,MATCH(B1089,Items!$A$5:$A$304,0)),"Unknown code"))</f>
        <v/>
      </c>
      <c r="D1089" s="15" t="n"/>
      <c r="E1089" s="16" t="n"/>
      <c r="F1089" s="18">
        <f>IF(OR(D1089="",E1089=""),"",D1089*E1089)</f>
        <v/>
      </c>
      <c r="G1089" s="15" t="n"/>
    </row>
    <row r="1090">
      <c r="A1090" s="19" t="n"/>
      <c r="B1090" s="15" t="n"/>
      <c r="C1090">
        <f>IF(B1090="","",IFERROR(INDEX(Items!$B$5:$B$304,MATCH(B1090,Items!$A$5:$A$304,0)),"Unknown code"))</f>
        <v/>
      </c>
      <c r="D1090" s="15" t="n"/>
      <c r="E1090" s="16" t="n"/>
      <c r="F1090" s="18">
        <f>IF(OR(D1090="",E1090=""),"",D1090*E1090)</f>
        <v/>
      </c>
      <c r="G1090" s="15" t="n"/>
    </row>
    <row r="1091">
      <c r="A1091" s="19" t="n"/>
      <c r="B1091" s="15" t="n"/>
      <c r="C1091">
        <f>IF(B1091="","",IFERROR(INDEX(Items!$B$5:$B$304,MATCH(B1091,Items!$A$5:$A$304,0)),"Unknown code"))</f>
        <v/>
      </c>
      <c r="D1091" s="15" t="n"/>
      <c r="E1091" s="16" t="n"/>
      <c r="F1091" s="18">
        <f>IF(OR(D1091="",E1091=""),"",D1091*E1091)</f>
        <v/>
      </c>
      <c r="G1091" s="15" t="n"/>
    </row>
    <row r="1092">
      <c r="A1092" s="19" t="n"/>
      <c r="B1092" s="15" t="n"/>
      <c r="C1092">
        <f>IF(B1092="","",IFERROR(INDEX(Items!$B$5:$B$304,MATCH(B1092,Items!$A$5:$A$304,0)),"Unknown code"))</f>
        <v/>
      </c>
      <c r="D1092" s="15" t="n"/>
      <c r="E1092" s="16" t="n"/>
      <c r="F1092" s="18">
        <f>IF(OR(D1092="",E1092=""),"",D1092*E1092)</f>
        <v/>
      </c>
      <c r="G1092" s="15" t="n"/>
    </row>
    <row r="1093">
      <c r="A1093" s="19" t="n"/>
      <c r="B1093" s="15" t="n"/>
      <c r="C1093">
        <f>IF(B1093="","",IFERROR(INDEX(Items!$B$5:$B$304,MATCH(B1093,Items!$A$5:$A$304,0)),"Unknown code"))</f>
        <v/>
      </c>
      <c r="D1093" s="15" t="n"/>
      <c r="E1093" s="16" t="n"/>
      <c r="F1093" s="18">
        <f>IF(OR(D1093="",E1093=""),"",D1093*E1093)</f>
        <v/>
      </c>
      <c r="G1093" s="15" t="n"/>
    </row>
    <row r="1094">
      <c r="A1094" s="19" t="n"/>
      <c r="B1094" s="15" t="n"/>
      <c r="C1094">
        <f>IF(B1094="","",IFERROR(INDEX(Items!$B$5:$B$304,MATCH(B1094,Items!$A$5:$A$304,0)),"Unknown code"))</f>
        <v/>
      </c>
      <c r="D1094" s="15" t="n"/>
      <c r="E1094" s="16" t="n"/>
      <c r="F1094" s="18">
        <f>IF(OR(D1094="",E1094=""),"",D1094*E1094)</f>
        <v/>
      </c>
      <c r="G1094" s="15" t="n"/>
    </row>
    <row r="1095">
      <c r="A1095" s="19" t="n"/>
      <c r="B1095" s="15" t="n"/>
      <c r="C1095">
        <f>IF(B1095="","",IFERROR(INDEX(Items!$B$5:$B$304,MATCH(B1095,Items!$A$5:$A$304,0)),"Unknown code"))</f>
        <v/>
      </c>
      <c r="D1095" s="15" t="n"/>
      <c r="E1095" s="16" t="n"/>
      <c r="F1095" s="18">
        <f>IF(OR(D1095="",E1095=""),"",D1095*E1095)</f>
        <v/>
      </c>
      <c r="G1095" s="15" t="n"/>
    </row>
    <row r="1096">
      <c r="A1096" s="19" t="n"/>
      <c r="B1096" s="15" t="n"/>
      <c r="C1096">
        <f>IF(B1096="","",IFERROR(INDEX(Items!$B$5:$B$304,MATCH(B1096,Items!$A$5:$A$304,0)),"Unknown code"))</f>
        <v/>
      </c>
      <c r="D1096" s="15" t="n"/>
      <c r="E1096" s="16" t="n"/>
      <c r="F1096" s="18">
        <f>IF(OR(D1096="",E1096=""),"",D1096*E1096)</f>
        <v/>
      </c>
      <c r="G1096" s="15" t="n"/>
    </row>
    <row r="1097">
      <c r="A1097" s="19" t="n"/>
      <c r="B1097" s="15" t="n"/>
      <c r="C1097">
        <f>IF(B1097="","",IFERROR(INDEX(Items!$B$5:$B$304,MATCH(B1097,Items!$A$5:$A$304,0)),"Unknown code"))</f>
        <v/>
      </c>
      <c r="D1097" s="15" t="n"/>
      <c r="E1097" s="16" t="n"/>
      <c r="F1097" s="18">
        <f>IF(OR(D1097="",E1097=""),"",D1097*E1097)</f>
        <v/>
      </c>
      <c r="G1097" s="15" t="n"/>
    </row>
    <row r="1098">
      <c r="A1098" s="19" t="n"/>
      <c r="B1098" s="15" t="n"/>
      <c r="C1098">
        <f>IF(B1098="","",IFERROR(INDEX(Items!$B$5:$B$304,MATCH(B1098,Items!$A$5:$A$304,0)),"Unknown code"))</f>
        <v/>
      </c>
      <c r="D1098" s="15" t="n"/>
      <c r="E1098" s="16" t="n"/>
      <c r="F1098" s="18">
        <f>IF(OR(D1098="",E1098=""),"",D1098*E1098)</f>
        <v/>
      </c>
      <c r="G1098" s="15" t="n"/>
    </row>
    <row r="1099">
      <c r="A1099" s="19" t="n"/>
      <c r="B1099" s="15" t="n"/>
      <c r="C1099">
        <f>IF(B1099="","",IFERROR(INDEX(Items!$B$5:$B$304,MATCH(B1099,Items!$A$5:$A$304,0)),"Unknown code"))</f>
        <v/>
      </c>
      <c r="D1099" s="15" t="n"/>
      <c r="E1099" s="16" t="n"/>
      <c r="F1099" s="18">
        <f>IF(OR(D1099="",E1099=""),"",D1099*E1099)</f>
        <v/>
      </c>
      <c r="G1099" s="15" t="n"/>
    </row>
    <row r="1100">
      <c r="A1100" s="19" t="n"/>
      <c r="B1100" s="15" t="n"/>
      <c r="C1100">
        <f>IF(B1100="","",IFERROR(INDEX(Items!$B$5:$B$304,MATCH(B1100,Items!$A$5:$A$304,0)),"Unknown code"))</f>
        <v/>
      </c>
      <c r="D1100" s="15" t="n"/>
      <c r="E1100" s="16" t="n"/>
      <c r="F1100" s="18">
        <f>IF(OR(D1100="",E1100=""),"",D1100*E1100)</f>
        <v/>
      </c>
      <c r="G1100" s="15" t="n"/>
    </row>
    <row r="1101">
      <c r="A1101" s="19" t="n"/>
      <c r="B1101" s="15" t="n"/>
      <c r="C1101">
        <f>IF(B1101="","",IFERROR(INDEX(Items!$B$5:$B$304,MATCH(B1101,Items!$A$5:$A$304,0)),"Unknown code"))</f>
        <v/>
      </c>
      <c r="D1101" s="15" t="n"/>
      <c r="E1101" s="16" t="n"/>
      <c r="F1101" s="18">
        <f>IF(OR(D1101="",E1101=""),"",D1101*E1101)</f>
        <v/>
      </c>
      <c r="G1101" s="15" t="n"/>
    </row>
    <row r="1102">
      <c r="A1102" s="19" t="n"/>
      <c r="B1102" s="15" t="n"/>
      <c r="C1102">
        <f>IF(B1102="","",IFERROR(INDEX(Items!$B$5:$B$304,MATCH(B1102,Items!$A$5:$A$304,0)),"Unknown code"))</f>
        <v/>
      </c>
      <c r="D1102" s="15" t="n"/>
      <c r="E1102" s="16" t="n"/>
      <c r="F1102" s="18">
        <f>IF(OR(D1102="",E1102=""),"",D1102*E1102)</f>
        <v/>
      </c>
      <c r="G1102" s="15" t="n"/>
    </row>
    <row r="1103">
      <c r="A1103" s="19" t="n"/>
      <c r="B1103" s="15" t="n"/>
      <c r="C1103">
        <f>IF(B1103="","",IFERROR(INDEX(Items!$B$5:$B$304,MATCH(B1103,Items!$A$5:$A$304,0)),"Unknown code"))</f>
        <v/>
      </c>
      <c r="D1103" s="15" t="n"/>
      <c r="E1103" s="16" t="n"/>
      <c r="F1103" s="18">
        <f>IF(OR(D1103="",E1103=""),"",D1103*E1103)</f>
        <v/>
      </c>
      <c r="G1103" s="15" t="n"/>
    </row>
    <row r="1104">
      <c r="A1104" s="19" t="n"/>
      <c r="B1104" s="15" t="n"/>
      <c r="C1104">
        <f>IF(B1104="","",IFERROR(INDEX(Items!$B$5:$B$304,MATCH(B1104,Items!$A$5:$A$304,0)),"Unknown code"))</f>
        <v/>
      </c>
      <c r="D1104" s="15" t="n"/>
      <c r="E1104" s="16" t="n"/>
      <c r="F1104" s="18">
        <f>IF(OR(D1104="",E1104=""),"",D1104*E1104)</f>
        <v/>
      </c>
      <c r="G1104" s="15" t="n"/>
    </row>
    <row r="1105">
      <c r="A1105" s="19" t="n"/>
      <c r="B1105" s="15" t="n"/>
      <c r="C1105">
        <f>IF(B1105="","",IFERROR(INDEX(Items!$B$5:$B$304,MATCH(B1105,Items!$A$5:$A$304,0)),"Unknown code"))</f>
        <v/>
      </c>
      <c r="D1105" s="15" t="n"/>
      <c r="E1105" s="16" t="n"/>
      <c r="F1105" s="18">
        <f>IF(OR(D1105="",E1105=""),"",D1105*E1105)</f>
        <v/>
      </c>
      <c r="G1105" s="15" t="n"/>
    </row>
    <row r="1106">
      <c r="A1106" s="19" t="n"/>
      <c r="B1106" s="15" t="n"/>
      <c r="C1106">
        <f>IF(B1106="","",IFERROR(INDEX(Items!$B$5:$B$304,MATCH(B1106,Items!$A$5:$A$304,0)),"Unknown code"))</f>
        <v/>
      </c>
      <c r="D1106" s="15" t="n"/>
      <c r="E1106" s="16" t="n"/>
      <c r="F1106" s="18">
        <f>IF(OR(D1106="",E1106=""),"",D1106*E1106)</f>
        <v/>
      </c>
      <c r="G1106" s="15" t="n"/>
    </row>
    <row r="1107">
      <c r="A1107" s="19" t="n"/>
      <c r="B1107" s="15" t="n"/>
      <c r="C1107">
        <f>IF(B1107="","",IFERROR(INDEX(Items!$B$5:$B$304,MATCH(B1107,Items!$A$5:$A$304,0)),"Unknown code"))</f>
        <v/>
      </c>
      <c r="D1107" s="15" t="n"/>
      <c r="E1107" s="16" t="n"/>
      <c r="F1107" s="18">
        <f>IF(OR(D1107="",E1107=""),"",D1107*E1107)</f>
        <v/>
      </c>
      <c r="G1107" s="15" t="n"/>
    </row>
    <row r="1108">
      <c r="A1108" s="19" t="n"/>
      <c r="B1108" s="15" t="n"/>
      <c r="C1108">
        <f>IF(B1108="","",IFERROR(INDEX(Items!$B$5:$B$304,MATCH(B1108,Items!$A$5:$A$304,0)),"Unknown code"))</f>
        <v/>
      </c>
      <c r="D1108" s="15" t="n"/>
      <c r="E1108" s="16" t="n"/>
      <c r="F1108" s="18">
        <f>IF(OR(D1108="",E1108=""),"",D1108*E1108)</f>
        <v/>
      </c>
      <c r="G1108" s="15" t="n"/>
    </row>
    <row r="1109">
      <c r="A1109" s="19" t="n"/>
      <c r="B1109" s="15" t="n"/>
      <c r="C1109">
        <f>IF(B1109="","",IFERROR(INDEX(Items!$B$5:$B$304,MATCH(B1109,Items!$A$5:$A$304,0)),"Unknown code"))</f>
        <v/>
      </c>
      <c r="D1109" s="15" t="n"/>
      <c r="E1109" s="16" t="n"/>
      <c r="F1109" s="18">
        <f>IF(OR(D1109="",E1109=""),"",D1109*E1109)</f>
        <v/>
      </c>
      <c r="G1109" s="15" t="n"/>
    </row>
    <row r="1110">
      <c r="A1110" s="19" t="n"/>
      <c r="B1110" s="15" t="n"/>
      <c r="C1110">
        <f>IF(B1110="","",IFERROR(INDEX(Items!$B$5:$B$304,MATCH(B1110,Items!$A$5:$A$304,0)),"Unknown code"))</f>
        <v/>
      </c>
      <c r="D1110" s="15" t="n"/>
      <c r="E1110" s="16" t="n"/>
      <c r="F1110" s="18">
        <f>IF(OR(D1110="",E1110=""),"",D1110*E1110)</f>
        <v/>
      </c>
      <c r="G1110" s="15" t="n"/>
    </row>
    <row r="1111">
      <c r="A1111" s="19" t="n"/>
      <c r="B1111" s="15" t="n"/>
      <c r="C1111">
        <f>IF(B1111="","",IFERROR(INDEX(Items!$B$5:$B$304,MATCH(B1111,Items!$A$5:$A$304,0)),"Unknown code"))</f>
        <v/>
      </c>
      <c r="D1111" s="15" t="n"/>
      <c r="E1111" s="16" t="n"/>
      <c r="F1111" s="18">
        <f>IF(OR(D1111="",E1111=""),"",D1111*E1111)</f>
        <v/>
      </c>
      <c r="G1111" s="15" t="n"/>
    </row>
    <row r="1112">
      <c r="A1112" s="19" t="n"/>
      <c r="B1112" s="15" t="n"/>
      <c r="C1112">
        <f>IF(B1112="","",IFERROR(INDEX(Items!$B$5:$B$304,MATCH(B1112,Items!$A$5:$A$304,0)),"Unknown code"))</f>
        <v/>
      </c>
      <c r="D1112" s="15" t="n"/>
      <c r="E1112" s="16" t="n"/>
      <c r="F1112" s="18">
        <f>IF(OR(D1112="",E1112=""),"",D1112*E1112)</f>
        <v/>
      </c>
      <c r="G1112" s="15" t="n"/>
    </row>
    <row r="1113">
      <c r="A1113" s="19" t="n"/>
      <c r="B1113" s="15" t="n"/>
      <c r="C1113">
        <f>IF(B1113="","",IFERROR(INDEX(Items!$B$5:$B$304,MATCH(B1113,Items!$A$5:$A$304,0)),"Unknown code"))</f>
        <v/>
      </c>
      <c r="D1113" s="15" t="n"/>
      <c r="E1113" s="16" t="n"/>
      <c r="F1113" s="18">
        <f>IF(OR(D1113="",E1113=""),"",D1113*E1113)</f>
        <v/>
      </c>
      <c r="G1113" s="15" t="n"/>
    </row>
    <row r="1114">
      <c r="A1114" s="19" t="n"/>
      <c r="B1114" s="15" t="n"/>
      <c r="C1114">
        <f>IF(B1114="","",IFERROR(INDEX(Items!$B$5:$B$304,MATCH(B1114,Items!$A$5:$A$304,0)),"Unknown code"))</f>
        <v/>
      </c>
      <c r="D1114" s="15" t="n"/>
      <c r="E1114" s="16" t="n"/>
      <c r="F1114" s="18">
        <f>IF(OR(D1114="",E1114=""),"",D1114*E1114)</f>
        <v/>
      </c>
      <c r="G1114" s="15" t="n"/>
    </row>
    <row r="1115">
      <c r="A1115" s="19" t="n"/>
      <c r="B1115" s="15" t="n"/>
      <c r="C1115">
        <f>IF(B1115="","",IFERROR(INDEX(Items!$B$5:$B$304,MATCH(B1115,Items!$A$5:$A$304,0)),"Unknown code"))</f>
        <v/>
      </c>
      <c r="D1115" s="15" t="n"/>
      <c r="E1115" s="16" t="n"/>
      <c r="F1115" s="18">
        <f>IF(OR(D1115="",E1115=""),"",D1115*E1115)</f>
        <v/>
      </c>
      <c r="G1115" s="15" t="n"/>
    </row>
    <row r="1116">
      <c r="A1116" s="19" t="n"/>
      <c r="B1116" s="15" t="n"/>
      <c r="C1116">
        <f>IF(B1116="","",IFERROR(INDEX(Items!$B$5:$B$304,MATCH(B1116,Items!$A$5:$A$304,0)),"Unknown code"))</f>
        <v/>
      </c>
      <c r="D1116" s="15" t="n"/>
      <c r="E1116" s="16" t="n"/>
      <c r="F1116" s="18">
        <f>IF(OR(D1116="",E1116=""),"",D1116*E1116)</f>
        <v/>
      </c>
      <c r="G1116" s="15" t="n"/>
    </row>
    <row r="1117">
      <c r="A1117" s="19" t="n"/>
      <c r="B1117" s="15" t="n"/>
      <c r="C1117">
        <f>IF(B1117="","",IFERROR(INDEX(Items!$B$5:$B$304,MATCH(B1117,Items!$A$5:$A$304,0)),"Unknown code"))</f>
        <v/>
      </c>
      <c r="D1117" s="15" t="n"/>
      <c r="E1117" s="16" t="n"/>
      <c r="F1117" s="18">
        <f>IF(OR(D1117="",E1117=""),"",D1117*E1117)</f>
        <v/>
      </c>
      <c r="G1117" s="15" t="n"/>
    </row>
    <row r="1118">
      <c r="A1118" s="19" t="n"/>
      <c r="B1118" s="15" t="n"/>
      <c r="C1118">
        <f>IF(B1118="","",IFERROR(INDEX(Items!$B$5:$B$304,MATCH(B1118,Items!$A$5:$A$304,0)),"Unknown code"))</f>
        <v/>
      </c>
      <c r="D1118" s="15" t="n"/>
      <c r="E1118" s="16" t="n"/>
      <c r="F1118" s="18">
        <f>IF(OR(D1118="",E1118=""),"",D1118*E1118)</f>
        <v/>
      </c>
      <c r="G1118" s="15" t="n"/>
    </row>
    <row r="1119">
      <c r="A1119" s="19" t="n"/>
      <c r="B1119" s="15" t="n"/>
      <c r="C1119">
        <f>IF(B1119="","",IFERROR(INDEX(Items!$B$5:$B$304,MATCH(B1119,Items!$A$5:$A$304,0)),"Unknown code"))</f>
        <v/>
      </c>
      <c r="D1119" s="15" t="n"/>
      <c r="E1119" s="16" t="n"/>
      <c r="F1119" s="18">
        <f>IF(OR(D1119="",E1119=""),"",D1119*E1119)</f>
        <v/>
      </c>
      <c r="G1119" s="15" t="n"/>
    </row>
    <row r="1120">
      <c r="A1120" s="19" t="n"/>
      <c r="B1120" s="15" t="n"/>
      <c r="C1120">
        <f>IF(B1120="","",IFERROR(INDEX(Items!$B$5:$B$304,MATCH(B1120,Items!$A$5:$A$304,0)),"Unknown code"))</f>
        <v/>
      </c>
      <c r="D1120" s="15" t="n"/>
      <c r="E1120" s="16" t="n"/>
      <c r="F1120" s="18">
        <f>IF(OR(D1120="",E1120=""),"",D1120*E1120)</f>
        <v/>
      </c>
      <c r="G1120" s="15" t="n"/>
    </row>
    <row r="1121">
      <c r="A1121" s="19" t="n"/>
      <c r="B1121" s="15" t="n"/>
      <c r="C1121">
        <f>IF(B1121="","",IFERROR(INDEX(Items!$B$5:$B$304,MATCH(B1121,Items!$A$5:$A$304,0)),"Unknown code"))</f>
        <v/>
      </c>
      <c r="D1121" s="15" t="n"/>
      <c r="E1121" s="16" t="n"/>
      <c r="F1121" s="18">
        <f>IF(OR(D1121="",E1121=""),"",D1121*E1121)</f>
        <v/>
      </c>
      <c r="G1121" s="15" t="n"/>
    </row>
    <row r="1122">
      <c r="A1122" s="19" t="n"/>
      <c r="B1122" s="15" t="n"/>
      <c r="C1122">
        <f>IF(B1122="","",IFERROR(INDEX(Items!$B$5:$B$304,MATCH(B1122,Items!$A$5:$A$304,0)),"Unknown code"))</f>
        <v/>
      </c>
      <c r="D1122" s="15" t="n"/>
      <c r="E1122" s="16" t="n"/>
      <c r="F1122" s="18">
        <f>IF(OR(D1122="",E1122=""),"",D1122*E1122)</f>
        <v/>
      </c>
      <c r="G1122" s="15" t="n"/>
    </row>
    <row r="1123">
      <c r="A1123" s="19" t="n"/>
      <c r="B1123" s="15" t="n"/>
      <c r="C1123">
        <f>IF(B1123="","",IFERROR(INDEX(Items!$B$5:$B$304,MATCH(B1123,Items!$A$5:$A$304,0)),"Unknown code"))</f>
        <v/>
      </c>
      <c r="D1123" s="15" t="n"/>
      <c r="E1123" s="16" t="n"/>
      <c r="F1123" s="18">
        <f>IF(OR(D1123="",E1123=""),"",D1123*E1123)</f>
        <v/>
      </c>
      <c r="G1123" s="15" t="n"/>
    </row>
    <row r="1124">
      <c r="A1124" s="19" t="n"/>
      <c r="B1124" s="15" t="n"/>
      <c r="C1124">
        <f>IF(B1124="","",IFERROR(INDEX(Items!$B$5:$B$304,MATCH(B1124,Items!$A$5:$A$304,0)),"Unknown code"))</f>
        <v/>
      </c>
      <c r="D1124" s="15" t="n"/>
      <c r="E1124" s="16" t="n"/>
      <c r="F1124" s="18">
        <f>IF(OR(D1124="",E1124=""),"",D1124*E1124)</f>
        <v/>
      </c>
      <c r="G1124" s="15" t="n"/>
    </row>
    <row r="1125">
      <c r="A1125" s="19" t="n"/>
      <c r="B1125" s="15" t="n"/>
      <c r="C1125">
        <f>IF(B1125="","",IFERROR(INDEX(Items!$B$5:$B$304,MATCH(B1125,Items!$A$5:$A$304,0)),"Unknown code"))</f>
        <v/>
      </c>
      <c r="D1125" s="15" t="n"/>
      <c r="E1125" s="16" t="n"/>
      <c r="F1125" s="18">
        <f>IF(OR(D1125="",E1125=""),"",D1125*E1125)</f>
        <v/>
      </c>
      <c r="G1125" s="15" t="n"/>
    </row>
    <row r="1126">
      <c r="A1126" s="19" t="n"/>
      <c r="B1126" s="15" t="n"/>
      <c r="C1126">
        <f>IF(B1126="","",IFERROR(INDEX(Items!$B$5:$B$304,MATCH(B1126,Items!$A$5:$A$304,0)),"Unknown code"))</f>
        <v/>
      </c>
      <c r="D1126" s="15" t="n"/>
      <c r="E1126" s="16" t="n"/>
      <c r="F1126" s="18">
        <f>IF(OR(D1126="",E1126=""),"",D1126*E1126)</f>
        <v/>
      </c>
      <c r="G1126" s="15" t="n"/>
    </row>
    <row r="1127">
      <c r="A1127" s="19" t="n"/>
      <c r="B1127" s="15" t="n"/>
      <c r="C1127">
        <f>IF(B1127="","",IFERROR(INDEX(Items!$B$5:$B$304,MATCH(B1127,Items!$A$5:$A$304,0)),"Unknown code"))</f>
        <v/>
      </c>
      <c r="D1127" s="15" t="n"/>
      <c r="E1127" s="16" t="n"/>
      <c r="F1127" s="18">
        <f>IF(OR(D1127="",E1127=""),"",D1127*E1127)</f>
        <v/>
      </c>
      <c r="G1127" s="15" t="n"/>
    </row>
    <row r="1128">
      <c r="A1128" s="19" t="n"/>
      <c r="B1128" s="15" t="n"/>
      <c r="C1128">
        <f>IF(B1128="","",IFERROR(INDEX(Items!$B$5:$B$304,MATCH(B1128,Items!$A$5:$A$304,0)),"Unknown code"))</f>
        <v/>
      </c>
      <c r="D1128" s="15" t="n"/>
      <c r="E1128" s="16" t="n"/>
      <c r="F1128" s="18">
        <f>IF(OR(D1128="",E1128=""),"",D1128*E1128)</f>
        <v/>
      </c>
      <c r="G1128" s="15" t="n"/>
    </row>
    <row r="1129">
      <c r="A1129" s="19" t="n"/>
      <c r="B1129" s="15" t="n"/>
      <c r="C1129">
        <f>IF(B1129="","",IFERROR(INDEX(Items!$B$5:$B$304,MATCH(B1129,Items!$A$5:$A$304,0)),"Unknown code"))</f>
        <v/>
      </c>
      <c r="D1129" s="15" t="n"/>
      <c r="E1129" s="16" t="n"/>
      <c r="F1129" s="18">
        <f>IF(OR(D1129="",E1129=""),"",D1129*E1129)</f>
        <v/>
      </c>
      <c r="G1129" s="15" t="n"/>
    </row>
    <row r="1130">
      <c r="A1130" s="19" t="n"/>
      <c r="B1130" s="15" t="n"/>
      <c r="C1130">
        <f>IF(B1130="","",IFERROR(INDEX(Items!$B$5:$B$304,MATCH(B1130,Items!$A$5:$A$304,0)),"Unknown code"))</f>
        <v/>
      </c>
      <c r="D1130" s="15" t="n"/>
      <c r="E1130" s="16" t="n"/>
      <c r="F1130" s="18">
        <f>IF(OR(D1130="",E1130=""),"",D1130*E1130)</f>
        <v/>
      </c>
      <c r="G1130" s="15" t="n"/>
    </row>
    <row r="1131">
      <c r="A1131" s="19" t="n"/>
      <c r="B1131" s="15" t="n"/>
      <c r="C1131">
        <f>IF(B1131="","",IFERROR(INDEX(Items!$B$5:$B$304,MATCH(B1131,Items!$A$5:$A$304,0)),"Unknown code"))</f>
        <v/>
      </c>
      <c r="D1131" s="15" t="n"/>
      <c r="E1131" s="16" t="n"/>
      <c r="F1131" s="18">
        <f>IF(OR(D1131="",E1131=""),"",D1131*E1131)</f>
        <v/>
      </c>
      <c r="G1131" s="15" t="n"/>
    </row>
    <row r="1132">
      <c r="A1132" s="19" t="n"/>
      <c r="B1132" s="15" t="n"/>
      <c r="C1132">
        <f>IF(B1132="","",IFERROR(INDEX(Items!$B$5:$B$304,MATCH(B1132,Items!$A$5:$A$304,0)),"Unknown code"))</f>
        <v/>
      </c>
      <c r="D1132" s="15" t="n"/>
      <c r="E1132" s="16" t="n"/>
      <c r="F1132" s="18">
        <f>IF(OR(D1132="",E1132=""),"",D1132*E1132)</f>
        <v/>
      </c>
      <c r="G1132" s="15" t="n"/>
    </row>
    <row r="1133">
      <c r="A1133" s="19" t="n"/>
      <c r="B1133" s="15" t="n"/>
      <c r="C1133">
        <f>IF(B1133="","",IFERROR(INDEX(Items!$B$5:$B$304,MATCH(B1133,Items!$A$5:$A$304,0)),"Unknown code"))</f>
        <v/>
      </c>
      <c r="D1133" s="15" t="n"/>
      <c r="E1133" s="16" t="n"/>
      <c r="F1133" s="18">
        <f>IF(OR(D1133="",E1133=""),"",D1133*E1133)</f>
        <v/>
      </c>
      <c r="G1133" s="15" t="n"/>
    </row>
    <row r="1134">
      <c r="A1134" s="19" t="n"/>
      <c r="B1134" s="15" t="n"/>
      <c r="C1134">
        <f>IF(B1134="","",IFERROR(INDEX(Items!$B$5:$B$304,MATCH(B1134,Items!$A$5:$A$304,0)),"Unknown code"))</f>
        <v/>
      </c>
      <c r="D1134" s="15" t="n"/>
      <c r="E1134" s="16" t="n"/>
      <c r="F1134" s="18">
        <f>IF(OR(D1134="",E1134=""),"",D1134*E1134)</f>
        <v/>
      </c>
      <c r="G1134" s="15" t="n"/>
    </row>
    <row r="1135">
      <c r="A1135" s="19" t="n"/>
      <c r="B1135" s="15" t="n"/>
      <c r="C1135">
        <f>IF(B1135="","",IFERROR(INDEX(Items!$B$5:$B$304,MATCH(B1135,Items!$A$5:$A$304,0)),"Unknown code"))</f>
        <v/>
      </c>
      <c r="D1135" s="15" t="n"/>
      <c r="E1135" s="16" t="n"/>
      <c r="F1135" s="18">
        <f>IF(OR(D1135="",E1135=""),"",D1135*E1135)</f>
        <v/>
      </c>
      <c r="G1135" s="15" t="n"/>
    </row>
    <row r="1136">
      <c r="A1136" s="19" t="n"/>
      <c r="B1136" s="15" t="n"/>
      <c r="C1136">
        <f>IF(B1136="","",IFERROR(INDEX(Items!$B$5:$B$304,MATCH(B1136,Items!$A$5:$A$304,0)),"Unknown code"))</f>
        <v/>
      </c>
      <c r="D1136" s="15" t="n"/>
      <c r="E1136" s="16" t="n"/>
      <c r="F1136" s="18">
        <f>IF(OR(D1136="",E1136=""),"",D1136*E1136)</f>
        <v/>
      </c>
      <c r="G1136" s="15" t="n"/>
    </row>
    <row r="1137">
      <c r="A1137" s="19" t="n"/>
      <c r="B1137" s="15" t="n"/>
      <c r="C1137">
        <f>IF(B1137="","",IFERROR(INDEX(Items!$B$5:$B$304,MATCH(B1137,Items!$A$5:$A$304,0)),"Unknown code"))</f>
        <v/>
      </c>
      <c r="D1137" s="15" t="n"/>
      <c r="E1137" s="16" t="n"/>
      <c r="F1137" s="18">
        <f>IF(OR(D1137="",E1137=""),"",D1137*E1137)</f>
        <v/>
      </c>
      <c r="G1137" s="15" t="n"/>
    </row>
    <row r="1138">
      <c r="A1138" s="19" t="n"/>
      <c r="B1138" s="15" t="n"/>
      <c r="C1138">
        <f>IF(B1138="","",IFERROR(INDEX(Items!$B$5:$B$304,MATCH(B1138,Items!$A$5:$A$304,0)),"Unknown code"))</f>
        <v/>
      </c>
      <c r="D1138" s="15" t="n"/>
      <c r="E1138" s="16" t="n"/>
      <c r="F1138" s="18">
        <f>IF(OR(D1138="",E1138=""),"",D1138*E1138)</f>
        <v/>
      </c>
      <c r="G1138" s="15" t="n"/>
    </row>
    <row r="1139">
      <c r="A1139" s="19" t="n"/>
      <c r="B1139" s="15" t="n"/>
      <c r="C1139">
        <f>IF(B1139="","",IFERROR(INDEX(Items!$B$5:$B$304,MATCH(B1139,Items!$A$5:$A$304,0)),"Unknown code"))</f>
        <v/>
      </c>
      <c r="D1139" s="15" t="n"/>
      <c r="E1139" s="16" t="n"/>
      <c r="F1139" s="18">
        <f>IF(OR(D1139="",E1139=""),"",D1139*E1139)</f>
        <v/>
      </c>
      <c r="G1139" s="15" t="n"/>
    </row>
    <row r="1140">
      <c r="A1140" s="19" t="n"/>
      <c r="B1140" s="15" t="n"/>
      <c r="C1140">
        <f>IF(B1140="","",IFERROR(INDEX(Items!$B$5:$B$304,MATCH(B1140,Items!$A$5:$A$304,0)),"Unknown code"))</f>
        <v/>
      </c>
      <c r="D1140" s="15" t="n"/>
      <c r="E1140" s="16" t="n"/>
      <c r="F1140" s="18">
        <f>IF(OR(D1140="",E1140=""),"",D1140*E1140)</f>
        <v/>
      </c>
      <c r="G1140" s="15" t="n"/>
    </row>
    <row r="1141">
      <c r="A1141" s="19" t="n"/>
      <c r="B1141" s="15" t="n"/>
      <c r="C1141">
        <f>IF(B1141="","",IFERROR(INDEX(Items!$B$5:$B$304,MATCH(B1141,Items!$A$5:$A$304,0)),"Unknown code"))</f>
        <v/>
      </c>
      <c r="D1141" s="15" t="n"/>
      <c r="E1141" s="16" t="n"/>
      <c r="F1141" s="18">
        <f>IF(OR(D1141="",E1141=""),"",D1141*E1141)</f>
        <v/>
      </c>
      <c r="G1141" s="15" t="n"/>
    </row>
    <row r="1142">
      <c r="A1142" s="19" t="n"/>
      <c r="B1142" s="15" t="n"/>
      <c r="C1142">
        <f>IF(B1142="","",IFERROR(INDEX(Items!$B$5:$B$304,MATCH(B1142,Items!$A$5:$A$304,0)),"Unknown code"))</f>
        <v/>
      </c>
      <c r="D1142" s="15" t="n"/>
      <c r="E1142" s="16" t="n"/>
      <c r="F1142" s="18">
        <f>IF(OR(D1142="",E1142=""),"",D1142*E1142)</f>
        <v/>
      </c>
      <c r="G1142" s="15" t="n"/>
    </row>
    <row r="1143">
      <c r="A1143" s="19" t="n"/>
      <c r="B1143" s="15" t="n"/>
      <c r="C1143">
        <f>IF(B1143="","",IFERROR(INDEX(Items!$B$5:$B$304,MATCH(B1143,Items!$A$5:$A$304,0)),"Unknown code"))</f>
        <v/>
      </c>
      <c r="D1143" s="15" t="n"/>
      <c r="E1143" s="16" t="n"/>
      <c r="F1143" s="18">
        <f>IF(OR(D1143="",E1143=""),"",D1143*E1143)</f>
        <v/>
      </c>
      <c r="G1143" s="15" t="n"/>
    </row>
    <row r="1144">
      <c r="A1144" s="19" t="n"/>
      <c r="B1144" s="15" t="n"/>
      <c r="C1144">
        <f>IF(B1144="","",IFERROR(INDEX(Items!$B$5:$B$304,MATCH(B1144,Items!$A$5:$A$304,0)),"Unknown code"))</f>
        <v/>
      </c>
      <c r="D1144" s="15" t="n"/>
      <c r="E1144" s="16" t="n"/>
      <c r="F1144" s="18">
        <f>IF(OR(D1144="",E1144=""),"",D1144*E1144)</f>
        <v/>
      </c>
      <c r="G1144" s="15" t="n"/>
    </row>
    <row r="1145">
      <c r="A1145" s="19" t="n"/>
      <c r="B1145" s="15" t="n"/>
      <c r="C1145">
        <f>IF(B1145="","",IFERROR(INDEX(Items!$B$5:$B$304,MATCH(B1145,Items!$A$5:$A$304,0)),"Unknown code"))</f>
        <v/>
      </c>
      <c r="D1145" s="15" t="n"/>
      <c r="E1145" s="16" t="n"/>
      <c r="F1145" s="18">
        <f>IF(OR(D1145="",E1145=""),"",D1145*E1145)</f>
        <v/>
      </c>
      <c r="G1145" s="15" t="n"/>
    </row>
    <row r="1146">
      <c r="A1146" s="19" t="n"/>
      <c r="B1146" s="15" t="n"/>
      <c r="C1146">
        <f>IF(B1146="","",IFERROR(INDEX(Items!$B$5:$B$304,MATCH(B1146,Items!$A$5:$A$304,0)),"Unknown code"))</f>
        <v/>
      </c>
      <c r="D1146" s="15" t="n"/>
      <c r="E1146" s="16" t="n"/>
      <c r="F1146" s="18">
        <f>IF(OR(D1146="",E1146=""),"",D1146*E1146)</f>
        <v/>
      </c>
      <c r="G1146" s="15" t="n"/>
    </row>
    <row r="1147">
      <c r="A1147" s="19" t="n"/>
      <c r="B1147" s="15" t="n"/>
      <c r="C1147">
        <f>IF(B1147="","",IFERROR(INDEX(Items!$B$5:$B$304,MATCH(B1147,Items!$A$5:$A$304,0)),"Unknown code"))</f>
        <v/>
      </c>
      <c r="D1147" s="15" t="n"/>
      <c r="E1147" s="16" t="n"/>
      <c r="F1147" s="18">
        <f>IF(OR(D1147="",E1147=""),"",D1147*E1147)</f>
        <v/>
      </c>
      <c r="G1147" s="15" t="n"/>
    </row>
    <row r="1148">
      <c r="A1148" s="19" t="n"/>
      <c r="B1148" s="15" t="n"/>
      <c r="C1148">
        <f>IF(B1148="","",IFERROR(INDEX(Items!$B$5:$B$304,MATCH(B1148,Items!$A$5:$A$304,0)),"Unknown code"))</f>
        <v/>
      </c>
      <c r="D1148" s="15" t="n"/>
      <c r="E1148" s="16" t="n"/>
      <c r="F1148" s="18">
        <f>IF(OR(D1148="",E1148=""),"",D1148*E1148)</f>
        <v/>
      </c>
      <c r="G1148" s="15" t="n"/>
    </row>
    <row r="1149">
      <c r="A1149" s="19" t="n"/>
      <c r="B1149" s="15" t="n"/>
      <c r="C1149">
        <f>IF(B1149="","",IFERROR(INDEX(Items!$B$5:$B$304,MATCH(B1149,Items!$A$5:$A$304,0)),"Unknown code"))</f>
        <v/>
      </c>
      <c r="D1149" s="15" t="n"/>
      <c r="E1149" s="16" t="n"/>
      <c r="F1149" s="18">
        <f>IF(OR(D1149="",E1149=""),"",D1149*E1149)</f>
        <v/>
      </c>
      <c r="G1149" s="15" t="n"/>
    </row>
    <row r="1150">
      <c r="A1150" s="19" t="n"/>
      <c r="B1150" s="15" t="n"/>
      <c r="C1150">
        <f>IF(B1150="","",IFERROR(INDEX(Items!$B$5:$B$304,MATCH(B1150,Items!$A$5:$A$304,0)),"Unknown code"))</f>
        <v/>
      </c>
      <c r="D1150" s="15" t="n"/>
      <c r="E1150" s="16" t="n"/>
      <c r="F1150" s="18">
        <f>IF(OR(D1150="",E1150=""),"",D1150*E1150)</f>
        <v/>
      </c>
      <c r="G1150" s="15" t="n"/>
    </row>
    <row r="1151">
      <c r="A1151" s="19" t="n"/>
      <c r="B1151" s="15" t="n"/>
      <c r="C1151">
        <f>IF(B1151="","",IFERROR(INDEX(Items!$B$5:$B$304,MATCH(B1151,Items!$A$5:$A$304,0)),"Unknown code"))</f>
        <v/>
      </c>
      <c r="D1151" s="15" t="n"/>
      <c r="E1151" s="16" t="n"/>
      <c r="F1151" s="18">
        <f>IF(OR(D1151="",E1151=""),"",D1151*E1151)</f>
        <v/>
      </c>
      <c r="G1151" s="15" t="n"/>
    </row>
    <row r="1152">
      <c r="A1152" s="19" t="n"/>
      <c r="B1152" s="15" t="n"/>
      <c r="C1152">
        <f>IF(B1152="","",IFERROR(INDEX(Items!$B$5:$B$304,MATCH(B1152,Items!$A$5:$A$304,0)),"Unknown code"))</f>
        <v/>
      </c>
      <c r="D1152" s="15" t="n"/>
      <c r="E1152" s="16" t="n"/>
      <c r="F1152" s="18">
        <f>IF(OR(D1152="",E1152=""),"",D1152*E1152)</f>
        <v/>
      </c>
      <c r="G1152" s="15" t="n"/>
    </row>
    <row r="1153">
      <c r="A1153" s="19" t="n"/>
      <c r="B1153" s="15" t="n"/>
      <c r="C1153">
        <f>IF(B1153="","",IFERROR(INDEX(Items!$B$5:$B$304,MATCH(B1153,Items!$A$5:$A$304,0)),"Unknown code"))</f>
        <v/>
      </c>
      <c r="D1153" s="15" t="n"/>
      <c r="E1153" s="16" t="n"/>
      <c r="F1153" s="18">
        <f>IF(OR(D1153="",E1153=""),"",D1153*E1153)</f>
        <v/>
      </c>
      <c r="G1153" s="15" t="n"/>
    </row>
    <row r="1154">
      <c r="A1154" s="19" t="n"/>
      <c r="B1154" s="15" t="n"/>
      <c r="C1154">
        <f>IF(B1154="","",IFERROR(INDEX(Items!$B$5:$B$304,MATCH(B1154,Items!$A$5:$A$304,0)),"Unknown code"))</f>
        <v/>
      </c>
      <c r="D1154" s="15" t="n"/>
      <c r="E1154" s="16" t="n"/>
      <c r="F1154" s="18">
        <f>IF(OR(D1154="",E1154=""),"",D1154*E1154)</f>
        <v/>
      </c>
      <c r="G1154" s="15" t="n"/>
    </row>
    <row r="1155">
      <c r="A1155" s="19" t="n"/>
      <c r="B1155" s="15" t="n"/>
      <c r="C1155">
        <f>IF(B1155="","",IFERROR(INDEX(Items!$B$5:$B$304,MATCH(B1155,Items!$A$5:$A$304,0)),"Unknown code"))</f>
        <v/>
      </c>
      <c r="D1155" s="15" t="n"/>
      <c r="E1155" s="16" t="n"/>
      <c r="F1155" s="18">
        <f>IF(OR(D1155="",E1155=""),"",D1155*E1155)</f>
        <v/>
      </c>
      <c r="G1155" s="15" t="n"/>
    </row>
    <row r="1156">
      <c r="A1156" s="19" t="n"/>
      <c r="B1156" s="15" t="n"/>
      <c r="C1156">
        <f>IF(B1156="","",IFERROR(INDEX(Items!$B$5:$B$304,MATCH(B1156,Items!$A$5:$A$304,0)),"Unknown code"))</f>
        <v/>
      </c>
      <c r="D1156" s="15" t="n"/>
      <c r="E1156" s="16" t="n"/>
      <c r="F1156" s="18">
        <f>IF(OR(D1156="",E1156=""),"",D1156*E1156)</f>
        <v/>
      </c>
      <c r="G1156" s="15" t="n"/>
    </row>
    <row r="1157">
      <c r="A1157" s="19" t="n"/>
      <c r="B1157" s="15" t="n"/>
      <c r="C1157">
        <f>IF(B1157="","",IFERROR(INDEX(Items!$B$5:$B$304,MATCH(B1157,Items!$A$5:$A$304,0)),"Unknown code"))</f>
        <v/>
      </c>
      <c r="D1157" s="15" t="n"/>
      <c r="E1157" s="16" t="n"/>
      <c r="F1157" s="18">
        <f>IF(OR(D1157="",E1157=""),"",D1157*E1157)</f>
        <v/>
      </c>
      <c r="G1157" s="15" t="n"/>
    </row>
    <row r="1158">
      <c r="A1158" s="19" t="n"/>
      <c r="B1158" s="15" t="n"/>
      <c r="C1158">
        <f>IF(B1158="","",IFERROR(INDEX(Items!$B$5:$B$304,MATCH(B1158,Items!$A$5:$A$304,0)),"Unknown code"))</f>
        <v/>
      </c>
      <c r="D1158" s="15" t="n"/>
      <c r="E1158" s="16" t="n"/>
      <c r="F1158" s="18">
        <f>IF(OR(D1158="",E1158=""),"",D1158*E1158)</f>
        <v/>
      </c>
      <c r="G1158" s="15" t="n"/>
    </row>
    <row r="1159">
      <c r="A1159" s="19" t="n"/>
      <c r="B1159" s="15" t="n"/>
      <c r="C1159">
        <f>IF(B1159="","",IFERROR(INDEX(Items!$B$5:$B$304,MATCH(B1159,Items!$A$5:$A$304,0)),"Unknown code"))</f>
        <v/>
      </c>
      <c r="D1159" s="15" t="n"/>
      <c r="E1159" s="16" t="n"/>
      <c r="F1159" s="18">
        <f>IF(OR(D1159="",E1159=""),"",D1159*E1159)</f>
        <v/>
      </c>
      <c r="G1159" s="15" t="n"/>
    </row>
    <row r="1160">
      <c r="A1160" s="19" t="n"/>
      <c r="B1160" s="15" t="n"/>
      <c r="C1160">
        <f>IF(B1160="","",IFERROR(INDEX(Items!$B$5:$B$304,MATCH(B1160,Items!$A$5:$A$304,0)),"Unknown code"))</f>
        <v/>
      </c>
      <c r="D1160" s="15" t="n"/>
      <c r="E1160" s="16" t="n"/>
      <c r="F1160" s="18">
        <f>IF(OR(D1160="",E1160=""),"",D1160*E1160)</f>
        <v/>
      </c>
      <c r="G1160" s="15" t="n"/>
    </row>
    <row r="1161">
      <c r="A1161" s="19" t="n"/>
      <c r="B1161" s="15" t="n"/>
      <c r="C1161">
        <f>IF(B1161="","",IFERROR(INDEX(Items!$B$5:$B$304,MATCH(B1161,Items!$A$5:$A$304,0)),"Unknown code"))</f>
        <v/>
      </c>
      <c r="D1161" s="15" t="n"/>
      <c r="E1161" s="16" t="n"/>
      <c r="F1161" s="18">
        <f>IF(OR(D1161="",E1161=""),"",D1161*E1161)</f>
        <v/>
      </c>
      <c r="G1161" s="15" t="n"/>
    </row>
    <row r="1162">
      <c r="A1162" s="19" t="n"/>
      <c r="B1162" s="15" t="n"/>
      <c r="C1162">
        <f>IF(B1162="","",IFERROR(INDEX(Items!$B$5:$B$304,MATCH(B1162,Items!$A$5:$A$304,0)),"Unknown code"))</f>
        <v/>
      </c>
      <c r="D1162" s="15" t="n"/>
      <c r="E1162" s="16" t="n"/>
      <c r="F1162" s="18">
        <f>IF(OR(D1162="",E1162=""),"",D1162*E1162)</f>
        <v/>
      </c>
      <c r="G1162" s="15" t="n"/>
    </row>
    <row r="1163">
      <c r="A1163" s="19" t="n"/>
      <c r="B1163" s="15" t="n"/>
      <c r="C1163">
        <f>IF(B1163="","",IFERROR(INDEX(Items!$B$5:$B$304,MATCH(B1163,Items!$A$5:$A$304,0)),"Unknown code"))</f>
        <v/>
      </c>
      <c r="D1163" s="15" t="n"/>
      <c r="E1163" s="16" t="n"/>
      <c r="F1163" s="18">
        <f>IF(OR(D1163="",E1163=""),"",D1163*E1163)</f>
        <v/>
      </c>
      <c r="G1163" s="15" t="n"/>
    </row>
    <row r="1164">
      <c r="A1164" s="19" t="n"/>
      <c r="B1164" s="15" t="n"/>
      <c r="C1164">
        <f>IF(B1164="","",IFERROR(INDEX(Items!$B$5:$B$304,MATCH(B1164,Items!$A$5:$A$304,0)),"Unknown code"))</f>
        <v/>
      </c>
      <c r="D1164" s="15" t="n"/>
      <c r="E1164" s="16" t="n"/>
      <c r="F1164" s="18">
        <f>IF(OR(D1164="",E1164=""),"",D1164*E1164)</f>
        <v/>
      </c>
      <c r="G1164" s="15" t="n"/>
    </row>
    <row r="1165">
      <c r="A1165" s="19" t="n"/>
      <c r="B1165" s="15" t="n"/>
      <c r="C1165">
        <f>IF(B1165="","",IFERROR(INDEX(Items!$B$5:$B$304,MATCH(B1165,Items!$A$5:$A$304,0)),"Unknown code"))</f>
        <v/>
      </c>
      <c r="D1165" s="15" t="n"/>
      <c r="E1165" s="16" t="n"/>
      <c r="F1165" s="18">
        <f>IF(OR(D1165="",E1165=""),"",D1165*E1165)</f>
        <v/>
      </c>
      <c r="G1165" s="15" t="n"/>
    </row>
    <row r="1166">
      <c r="A1166" s="19" t="n"/>
      <c r="B1166" s="15" t="n"/>
      <c r="C1166">
        <f>IF(B1166="","",IFERROR(INDEX(Items!$B$5:$B$304,MATCH(B1166,Items!$A$5:$A$304,0)),"Unknown code"))</f>
        <v/>
      </c>
      <c r="D1166" s="15" t="n"/>
      <c r="E1166" s="16" t="n"/>
      <c r="F1166" s="18">
        <f>IF(OR(D1166="",E1166=""),"",D1166*E1166)</f>
        <v/>
      </c>
      <c r="G1166" s="15" t="n"/>
    </row>
    <row r="1167">
      <c r="A1167" s="19" t="n"/>
      <c r="B1167" s="15" t="n"/>
      <c r="C1167">
        <f>IF(B1167="","",IFERROR(INDEX(Items!$B$5:$B$304,MATCH(B1167,Items!$A$5:$A$304,0)),"Unknown code"))</f>
        <v/>
      </c>
      <c r="D1167" s="15" t="n"/>
      <c r="E1167" s="16" t="n"/>
      <c r="F1167" s="18">
        <f>IF(OR(D1167="",E1167=""),"",D1167*E1167)</f>
        <v/>
      </c>
      <c r="G1167" s="15" t="n"/>
    </row>
    <row r="1168">
      <c r="A1168" s="19" t="n"/>
      <c r="B1168" s="15" t="n"/>
      <c r="C1168">
        <f>IF(B1168="","",IFERROR(INDEX(Items!$B$5:$B$304,MATCH(B1168,Items!$A$5:$A$304,0)),"Unknown code"))</f>
        <v/>
      </c>
      <c r="D1168" s="15" t="n"/>
      <c r="E1168" s="16" t="n"/>
      <c r="F1168" s="18">
        <f>IF(OR(D1168="",E1168=""),"",D1168*E1168)</f>
        <v/>
      </c>
      <c r="G1168" s="15" t="n"/>
    </row>
    <row r="1169">
      <c r="A1169" s="19" t="n"/>
      <c r="B1169" s="15" t="n"/>
      <c r="C1169">
        <f>IF(B1169="","",IFERROR(INDEX(Items!$B$5:$B$304,MATCH(B1169,Items!$A$5:$A$304,0)),"Unknown code"))</f>
        <v/>
      </c>
      <c r="D1169" s="15" t="n"/>
      <c r="E1169" s="16" t="n"/>
      <c r="F1169" s="18">
        <f>IF(OR(D1169="",E1169=""),"",D1169*E1169)</f>
        <v/>
      </c>
      <c r="G1169" s="15" t="n"/>
    </row>
    <row r="1170">
      <c r="A1170" s="19" t="n"/>
      <c r="B1170" s="15" t="n"/>
      <c r="C1170">
        <f>IF(B1170="","",IFERROR(INDEX(Items!$B$5:$B$304,MATCH(B1170,Items!$A$5:$A$304,0)),"Unknown code"))</f>
        <v/>
      </c>
      <c r="D1170" s="15" t="n"/>
      <c r="E1170" s="16" t="n"/>
      <c r="F1170" s="18">
        <f>IF(OR(D1170="",E1170=""),"",D1170*E1170)</f>
        <v/>
      </c>
      <c r="G1170" s="15" t="n"/>
    </row>
    <row r="1171">
      <c r="A1171" s="19" t="n"/>
      <c r="B1171" s="15" t="n"/>
      <c r="C1171">
        <f>IF(B1171="","",IFERROR(INDEX(Items!$B$5:$B$304,MATCH(B1171,Items!$A$5:$A$304,0)),"Unknown code"))</f>
        <v/>
      </c>
      <c r="D1171" s="15" t="n"/>
      <c r="E1171" s="16" t="n"/>
      <c r="F1171" s="18">
        <f>IF(OR(D1171="",E1171=""),"",D1171*E1171)</f>
        <v/>
      </c>
      <c r="G1171" s="15" t="n"/>
    </row>
    <row r="1172">
      <c r="A1172" s="19" t="n"/>
      <c r="B1172" s="15" t="n"/>
      <c r="C1172">
        <f>IF(B1172="","",IFERROR(INDEX(Items!$B$5:$B$304,MATCH(B1172,Items!$A$5:$A$304,0)),"Unknown code"))</f>
        <v/>
      </c>
      <c r="D1172" s="15" t="n"/>
      <c r="E1172" s="16" t="n"/>
      <c r="F1172" s="18">
        <f>IF(OR(D1172="",E1172=""),"",D1172*E1172)</f>
        <v/>
      </c>
      <c r="G1172" s="15" t="n"/>
    </row>
    <row r="1173">
      <c r="A1173" s="19" t="n"/>
      <c r="B1173" s="15" t="n"/>
      <c r="C1173">
        <f>IF(B1173="","",IFERROR(INDEX(Items!$B$5:$B$304,MATCH(B1173,Items!$A$5:$A$304,0)),"Unknown code"))</f>
        <v/>
      </c>
      <c r="D1173" s="15" t="n"/>
      <c r="E1173" s="16" t="n"/>
      <c r="F1173" s="18">
        <f>IF(OR(D1173="",E1173=""),"",D1173*E1173)</f>
        <v/>
      </c>
      <c r="G1173" s="15" t="n"/>
    </row>
    <row r="1174">
      <c r="A1174" s="19" t="n"/>
      <c r="B1174" s="15" t="n"/>
      <c r="C1174">
        <f>IF(B1174="","",IFERROR(INDEX(Items!$B$5:$B$304,MATCH(B1174,Items!$A$5:$A$304,0)),"Unknown code"))</f>
        <v/>
      </c>
      <c r="D1174" s="15" t="n"/>
      <c r="E1174" s="16" t="n"/>
      <c r="F1174" s="18">
        <f>IF(OR(D1174="",E1174=""),"",D1174*E1174)</f>
        <v/>
      </c>
      <c r="G1174" s="15" t="n"/>
    </row>
    <row r="1175">
      <c r="A1175" s="19" t="n"/>
      <c r="B1175" s="15" t="n"/>
      <c r="C1175">
        <f>IF(B1175="","",IFERROR(INDEX(Items!$B$5:$B$304,MATCH(B1175,Items!$A$5:$A$304,0)),"Unknown code"))</f>
        <v/>
      </c>
      <c r="D1175" s="15" t="n"/>
      <c r="E1175" s="16" t="n"/>
      <c r="F1175" s="18">
        <f>IF(OR(D1175="",E1175=""),"",D1175*E1175)</f>
        <v/>
      </c>
      <c r="G1175" s="15" t="n"/>
    </row>
    <row r="1176">
      <c r="A1176" s="19" t="n"/>
      <c r="B1176" s="15" t="n"/>
      <c r="C1176">
        <f>IF(B1176="","",IFERROR(INDEX(Items!$B$5:$B$304,MATCH(B1176,Items!$A$5:$A$304,0)),"Unknown code"))</f>
        <v/>
      </c>
      <c r="D1176" s="15" t="n"/>
      <c r="E1176" s="16" t="n"/>
      <c r="F1176" s="18">
        <f>IF(OR(D1176="",E1176=""),"",D1176*E1176)</f>
        <v/>
      </c>
      <c r="G1176" s="15" t="n"/>
    </row>
    <row r="1177">
      <c r="A1177" s="19" t="n"/>
      <c r="B1177" s="15" t="n"/>
      <c r="C1177">
        <f>IF(B1177="","",IFERROR(INDEX(Items!$B$5:$B$304,MATCH(B1177,Items!$A$5:$A$304,0)),"Unknown code"))</f>
        <v/>
      </c>
      <c r="D1177" s="15" t="n"/>
      <c r="E1177" s="16" t="n"/>
      <c r="F1177" s="18">
        <f>IF(OR(D1177="",E1177=""),"",D1177*E1177)</f>
        <v/>
      </c>
      <c r="G1177" s="15" t="n"/>
    </row>
    <row r="1178">
      <c r="A1178" s="19" t="n"/>
      <c r="B1178" s="15" t="n"/>
      <c r="C1178">
        <f>IF(B1178="","",IFERROR(INDEX(Items!$B$5:$B$304,MATCH(B1178,Items!$A$5:$A$304,0)),"Unknown code"))</f>
        <v/>
      </c>
      <c r="D1178" s="15" t="n"/>
      <c r="E1178" s="16" t="n"/>
      <c r="F1178" s="18">
        <f>IF(OR(D1178="",E1178=""),"",D1178*E1178)</f>
        <v/>
      </c>
      <c r="G1178" s="15" t="n"/>
    </row>
    <row r="1179">
      <c r="A1179" s="19" t="n"/>
      <c r="B1179" s="15" t="n"/>
      <c r="C1179">
        <f>IF(B1179="","",IFERROR(INDEX(Items!$B$5:$B$304,MATCH(B1179,Items!$A$5:$A$304,0)),"Unknown code"))</f>
        <v/>
      </c>
      <c r="D1179" s="15" t="n"/>
      <c r="E1179" s="16" t="n"/>
      <c r="F1179" s="18">
        <f>IF(OR(D1179="",E1179=""),"",D1179*E1179)</f>
        <v/>
      </c>
      <c r="G1179" s="15" t="n"/>
    </row>
    <row r="1180">
      <c r="A1180" s="19" t="n"/>
      <c r="B1180" s="15" t="n"/>
      <c r="C1180">
        <f>IF(B1180="","",IFERROR(INDEX(Items!$B$5:$B$304,MATCH(B1180,Items!$A$5:$A$304,0)),"Unknown code"))</f>
        <v/>
      </c>
      <c r="D1180" s="15" t="n"/>
      <c r="E1180" s="16" t="n"/>
      <c r="F1180" s="18">
        <f>IF(OR(D1180="",E1180=""),"",D1180*E1180)</f>
        <v/>
      </c>
      <c r="G1180" s="15" t="n"/>
    </row>
    <row r="1181">
      <c r="A1181" s="19" t="n"/>
      <c r="B1181" s="15" t="n"/>
      <c r="C1181">
        <f>IF(B1181="","",IFERROR(INDEX(Items!$B$5:$B$304,MATCH(B1181,Items!$A$5:$A$304,0)),"Unknown code"))</f>
        <v/>
      </c>
      <c r="D1181" s="15" t="n"/>
      <c r="E1181" s="16" t="n"/>
      <c r="F1181" s="18">
        <f>IF(OR(D1181="",E1181=""),"",D1181*E1181)</f>
        <v/>
      </c>
      <c r="G1181" s="15" t="n"/>
    </row>
    <row r="1182">
      <c r="A1182" s="19" t="n"/>
      <c r="B1182" s="15" t="n"/>
      <c r="C1182">
        <f>IF(B1182="","",IFERROR(INDEX(Items!$B$5:$B$304,MATCH(B1182,Items!$A$5:$A$304,0)),"Unknown code"))</f>
        <v/>
      </c>
      <c r="D1182" s="15" t="n"/>
      <c r="E1182" s="16" t="n"/>
      <c r="F1182" s="18">
        <f>IF(OR(D1182="",E1182=""),"",D1182*E1182)</f>
        <v/>
      </c>
      <c r="G1182" s="15" t="n"/>
    </row>
    <row r="1183">
      <c r="A1183" s="19" t="n"/>
      <c r="B1183" s="15" t="n"/>
      <c r="C1183">
        <f>IF(B1183="","",IFERROR(INDEX(Items!$B$5:$B$304,MATCH(B1183,Items!$A$5:$A$304,0)),"Unknown code"))</f>
        <v/>
      </c>
      <c r="D1183" s="15" t="n"/>
      <c r="E1183" s="16" t="n"/>
      <c r="F1183" s="18">
        <f>IF(OR(D1183="",E1183=""),"",D1183*E1183)</f>
        <v/>
      </c>
      <c r="G1183" s="15" t="n"/>
    </row>
    <row r="1184">
      <c r="A1184" s="19" t="n"/>
      <c r="B1184" s="15" t="n"/>
      <c r="C1184">
        <f>IF(B1184="","",IFERROR(INDEX(Items!$B$5:$B$304,MATCH(B1184,Items!$A$5:$A$304,0)),"Unknown code"))</f>
        <v/>
      </c>
      <c r="D1184" s="15" t="n"/>
      <c r="E1184" s="16" t="n"/>
      <c r="F1184" s="18">
        <f>IF(OR(D1184="",E1184=""),"",D1184*E1184)</f>
        <v/>
      </c>
      <c r="G1184" s="15" t="n"/>
    </row>
    <row r="1185">
      <c r="A1185" s="19" t="n"/>
      <c r="B1185" s="15" t="n"/>
      <c r="C1185">
        <f>IF(B1185="","",IFERROR(INDEX(Items!$B$5:$B$304,MATCH(B1185,Items!$A$5:$A$304,0)),"Unknown code"))</f>
        <v/>
      </c>
      <c r="D1185" s="15" t="n"/>
      <c r="E1185" s="16" t="n"/>
      <c r="F1185" s="18">
        <f>IF(OR(D1185="",E1185=""),"",D1185*E1185)</f>
        <v/>
      </c>
      <c r="G1185" s="15" t="n"/>
    </row>
    <row r="1186">
      <c r="A1186" s="19" t="n"/>
      <c r="B1186" s="15" t="n"/>
      <c r="C1186">
        <f>IF(B1186="","",IFERROR(INDEX(Items!$B$5:$B$304,MATCH(B1186,Items!$A$5:$A$304,0)),"Unknown code"))</f>
        <v/>
      </c>
      <c r="D1186" s="15" t="n"/>
      <c r="E1186" s="16" t="n"/>
      <c r="F1186" s="18">
        <f>IF(OR(D1186="",E1186=""),"",D1186*E1186)</f>
        <v/>
      </c>
      <c r="G1186" s="15" t="n"/>
    </row>
    <row r="1187">
      <c r="A1187" s="19" t="n"/>
      <c r="B1187" s="15" t="n"/>
      <c r="C1187">
        <f>IF(B1187="","",IFERROR(INDEX(Items!$B$5:$B$304,MATCH(B1187,Items!$A$5:$A$304,0)),"Unknown code"))</f>
        <v/>
      </c>
      <c r="D1187" s="15" t="n"/>
      <c r="E1187" s="16" t="n"/>
      <c r="F1187" s="18">
        <f>IF(OR(D1187="",E1187=""),"",D1187*E1187)</f>
        <v/>
      </c>
      <c r="G1187" s="15" t="n"/>
    </row>
    <row r="1188">
      <c r="A1188" s="19" t="n"/>
      <c r="B1188" s="15" t="n"/>
      <c r="C1188">
        <f>IF(B1188="","",IFERROR(INDEX(Items!$B$5:$B$304,MATCH(B1188,Items!$A$5:$A$304,0)),"Unknown code"))</f>
        <v/>
      </c>
      <c r="D1188" s="15" t="n"/>
      <c r="E1188" s="16" t="n"/>
      <c r="F1188" s="18">
        <f>IF(OR(D1188="",E1188=""),"",D1188*E1188)</f>
        <v/>
      </c>
      <c r="G1188" s="15" t="n"/>
    </row>
    <row r="1189">
      <c r="A1189" s="19" t="n"/>
      <c r="B1189" s="15" t="n"/>
      <c r="C1189">
        <f>IF(B1189="","",IFERROR(INDEX(Items!$B$5:$B$304,MATCH(B1189,Items!$A$5:$A$304,0)),"Unknown code"))</f>
        <v/>
      </c>
      <c r="D1189" s="15" t="n"/>
      <c r="E1189" s="16" t="n"/>
      <c r="F1189" s="18">
        <f>IF(OR(D1189="",E1189=""),"",D1189*E1189)</f>
        <v/>
      </c>
      <c r="G1189" s="15" t="n"/>
    </row>
    <row r="1190">
      <c r="A1190" s="19" t="n"/>
      <c r="B1190" s="15" t="n"/>
      <c r="C1190">
        <f>IF(B1190="","",IFERROR(INDEX(Items!$B$5:$B$304,MATCH(B1190,Items!$A$5:$A$304,0)),"Unknown code"))</f>
        <v/>
      </c>
      <c r="D1190" s="15" t="n"/>
      <c r="E1190" s="16" t="n"/>
      <c r="F1190" s="18">
        <f>IF(OR(D1190="",E1190=""),"",D1190*E1190)</f>
        <v/>
      </c>
      <c r="G1190" s="15" t="n"/>
    </row>
    <row r="1191">
      <c r="A1191" s="19" t="n"/>
      <c r="B1191" s="15" t="n"/>
      <c r="C1191">
        <f>IF(B1191="","",IFERROR(INDEX(Items!$B$5:$B$304,MATCH(B1191,Items!$A$5:$A$304,0)),"Unknown code"))</f>
        <v/>
      </c>
      <c r="D1191" s="15" t="n"/>
      <c r="E1191" s="16" t="n"/>
      <c r="F1191" s="18">
        <f>IF(OR(D1191="",E1191=""),"",D1191*E1191)</f>
        <v/>
      </c>
      <c r="G1191" s="15" t="n"/>
    </row>
    <row r="1192">
      <c r="A1192" s="19" t="n"/>
      <c r="B1192" s="15" t="n"/>
      <c r="C1192">
        <f>IF(B1192="","",IFERROR(INDEX(Items!$B$5:$B$304,MATCH(B1192,Items!$A$5:$A$304,0)),"Unknown code"))</f>
        <v/>
      </c>
      <c r="D1192" s="15" t="n"/>
      <c r="E1192" s="16" t="n"/>
      <c r="F1192" s="18">
        <f>IF(OR(D1192="",E1192=""),"",D1192*E1192)</f>
        <v/>
      </c>
      <c r="G1192" s="15" t="n"/>
    </row>
    <row r="1193">
      <c r="A1193" s="19" t="n"/>
      <c r="B1193" s="15" t="n"/>
      <c r="C1193">
        <f>IF(B1193="","",IFERROR(INDEX(Items!$B$5:$B$304,MATCH(B1193,Items!$A$5:$A$304,0)),"Unknown code"))</f>
        <v/>
      </c>
      <c r="D1193" s="15" t="n"/>
      <c r="E1193" s="16" t="n"/>
      <c r="F1193" s="18">
        <f>IF(OR(D1193="",E1193=""),"",D1193*E1193)</f>
        <v/>
      </c>
      <c r="G1193" s="15" t="n"/>
    </row>
    <row r="1194">
      <c r="A1194" s="19" t="n"/>
      <c r="B1194" s="15" t="n"/>
      <c r="C1194">
        <f>IF(B1194="","",IFERROR(INDEX(Items!$B$5:$B$304,MATCH(B1194,Items!$A$5:$A$304,0)),"Unknown code"))</f>
        <v/>
      </c>
      <c r="D1194" s="15" t="n"/>
      <c r="E1194" s="16" t="n"/>
      <c r="F1194" s="18">
        <f>IF(OR(D1194="",E1194=""),"",D1194*E1194)</f>
        <v/>
      </c>
      <c r="G1194" s="15" t="n"/>
    </row>
    <row r="1195">
      <c r="A1195" s="19" t="n"/>
      <c r="B1195" s="15" t="n"/>
      <c r="C1195">
        <f>IF(B1195="","",IFERROR(INDEX(Items!$B$5:$B$304,MATCH(B1195,Items!$A$5:$A$304,0)),"Unknown code"))</f>
        <v/>
      </c>
      <c r="D1195" s="15" t="n"/>
      <c r="E1195" s="16" t="n"/>
      <c r="F1195" s="18">
        <f>IF(OR(D1195="",E1195=""),"",D1195*E1195)</f>
        <v/>
      </c>
      <c r="G1195" s="15" t="n"/>
    </row>
    <row r="1196">
      <c r="A1196" s="19" t="n"/>
      <c r="B1196" s="15" t="n"/>
      <c r="C1196">
        <f>IF(B1196="","",IFERROR(INDEX(Items!$B$5:$B$304,MATCH(B1196,Items!$A$5:$A$304,0)),"Unknown code"))</f>
        <v/>
      </c>
      <c r="D1196" s="15" t="n"/>
      <c r="E1196" s="16" t="n"/>
      <c r="F1196" s="18">
        <f>IF(OR(D1196="",E1196=""),"",D1196*E1196)</f>
        <v/>
      </c>
      <c r="G1196" s="15" t="n"/>
    </row>
    <row r="1197">
      <c r="A1197" s="19" t="n"/>
      <c r="B1197" s="15" t="n"/>
      <c r="C1197">
        <f>IF(B1197="","",IFERROR(INDEX(Items!$B$5:$B$304,MATCH(B1197,Items!$A$5:$A$304,0)),"Unknown code"))</f>
        <v/>
      </c>
      <c r="D1197" s="15" t="n"/>
      <c r="E1197" s="16" t="n"/>
      <c r="F1197" s="18">
        <f>IF(OR(D1197="",E1197=""),"",D1197*E1197)</f>
        <v/>
      </c>
      <c r="G1197" s="15" t="n"/>
    </row>
    <row r="1198">
      <c r="A1198" s="19" t="n"/>
      <c r="B1198" s="15" t="n"/>
      <c r="C1198">
        <f>IF(B1198="","",IFERROR(INDEX(Items!$B$5:$B$304,MATCH(B1198,Items!$A$5:$A$304,0)),"Unknown code"))</f>
        <v/>
      </c>
      <c r="D1198" s="15" t="n"/>
      <c r="E1198" s="16" t="n"/>
      <c r="F1198" s="18">
        <f>IF(OR(D1198="",E1198=""),"",D1198*E1198)</f>
        <v/>
      </c>
      <c r="G1198" s="15" t="n"/>
    </row>
    <row r="1199">
      <c r="A1199" s="19" t="n"/>
      <c r="B1199" s="15" t="n"/>
      <c r="C1199">
        <f>IF(B1199="","",IFERROR(INDEX(Items!$B$5:$B$304,MATCH(B1199,Items!$A$5:$A$304,0)),"Unknown code"))</f>
        <v/>
      </c>
      <c r="D1199" s="15" t="n"/>
      <c r="E1199" s="16" t="n"/>
      <c r="F1199" s="18">
        <f>IF(OR(D1199="",E1199=""),"",D1199*E1199)</f>
        <v/>
      </c>
      <c r="G1199" s="15" t="n"/>
    </row>
    <row r="1200">
      <c r="A1200" s="19" t="n"/>
      <c r="B1200" s="15" t="n"/>
      <c r="C1200">
        <f>IF(B1200="","",IFERROR(INDEX(Items!$B$5:$B$304,MATCH(B1200,Items!$A$5:$A$304,0)),"Unknown code"))</f>
        <v/>
      </c>
      <c r="D1200" s="15" t="n"/>
      <c r="E1200" s="16" t="n"/>
      <c r="F1200" s="18">
        <f>IF(OR(D1200="",E1200=""),"",D1200*E1200)</f>
        <v/>
      </c>
      <c r="G1200" s="15" t="n"/>
    </row>
    <row r="1201">
      <c r="A1201" s="19" t="n"/>
      <c r="B1201" s="15" t="n"/>
      <c r="C1201">
        <f>IF(B1201="","",IFERROR(INDEX(Items!$B$5:$B$304,MATCH(B1201,Items!$A$5:$A$304,0)),"Unknown code"))</f>
        <v/>
      </c>
      <c r="D1201" s="15" t="n"/>
      <c r="E1201" s="16" t="n"/>
      <c r="F1201" s="18">
        <f>IF(OR(D1201="",E1201=""),"",D1201*E1201)</f>
        <v/>
      </c>
      <c r="G1201" s="15" t="n"/>
    </row>
    <row r="1202">
      <c r="A1202" s="19" t="n"/>
      <c r="B1202" s="15" t="n"/>
      <c r="C1202">
        <f>IF(B1202="","",IFERROR(INDEX(Items!$B$5:$B$304,MATCH(B1202,Items!$A$5:$A$304,0)),"Unknown code"))</f>
        <v/>
      </c>
      <c r="D1202" s="15" t="n"/>
      <c r="E1202" s="16" t="n"/>
      <c r="F1202" s="18">
        <f>IF(OR(D1202="",E1202=""),"",D1202*E1202)</f>
        <v/>
      </c>
      <c r="G1202" s="15" t="n"/>
    </row>
    <row r="1203">
      <c r="A1203" s="19" t="n"/>
      <c r="B1203" s="15" t="n"/>
      <c r="C1203">
        <f>IF(B1203="","",IFERROR(INDEX(Items!$B$5:$B$304,MATCH(B1203,Items!$A$5:$A$304,0)),"Unknown code"))</f>
        <v/>
      </c>
      <c r="D1203" s="15" t="n"/>
      <c r="E1203" s="16" t="n"/>
      <c r="F1203" s="18">
        <f>IF(OR(D1203="",E1203=""),"",D1203*E1203)</f>
        <v/>
      </c>
      <c r="G1203" s="15" t="n"/>
    </row>
    <row r="1204">
      <c r="A1204" s="19" t="n"/>
      <c r="B1204" s="15" t="n"/>
      <c r="C1204">
        <f>IF(B1204="","",IFERROR(INDEX(Items!$B$5:$B$304,MATCH(B1204,Items!$A$5:$A$304,0)),"Unknown code"))</f>
        <v/>
      </c>
      <c r="D1204" s="15" t="n"/>
      <c r="E1204" s="16" t="n"/>
      <c r="F1204" s="18">
        <f>IF(OR(D1204="",E1204=""),"",D1204*E1204)</f>
        <v/>
      </c>
      <c r="G1204" s="15" t="n"/>
    </row>
    <row r="1205">
      <c r="A1205" s="19" t="n"/>
      <c r="B1205" s="15" t="n"/>
      <c r="C1205">
        <f>IF(B1205="","",IFERROR(INDEX(Items!$B$5:$B$304,MATCH(B1205,Items!$A$5:$A$304,0)),"Unknown code"))</f>
        <v/>
      </c>
      <c r="D1205" s="15" t="n"/>
      <c r="E1205" s="16" t="n"/>
      <c r="F1205" s="18">
        <f>IF(OR(D1205="",E1205=""),"",D1205*E1205)</f>
        <v/>
      </c>
      <c r="G1205" s="15" t="n"/>
    </row>
    <row r="1206">
      <c r="A1206" s="19" t="n"/>
      <c r="B1206" s="15" t="n"/>
      <c r="C1206">
        <f>IF(B1206="","",IFERROR(INDEX(Items!$B$5:$B$304,MATCH(B1206,Items!$A$5:$A$304,0)),"Unknown code"))</f>
        <v/>
      </c>
      <c r="D1206" s="15" t="n"/>
      <c r="E1206" s="16" t="n"/>
      <c r="F1206" s="18">
        <f>IF(OR(D1206="",E1206=""),"",D1206*E1206)</f>
        <v/>
      </c>
      <c r="G1206" s="15" t="n"/>
    </row>
    <row r="1207">
      <c r="A1207" s="19" t="n"/>
      <c r="B1207" s="15" t="n"/>
      <c r="C1207">
        <f>IF(B1207="","",IFERROR(INDEX(Items!$B$5:$B$304,MATCH(B1207,Items!$A$5:$A$304,0)),"Unknown code"))</f>
        <v/>
      </c>
      <c r="D1207" s="15" t="n"/>
      <c r="E1207" s="16" t="n"/>
      <c r="F1207" s="18">
        <f>IF(OR(D1207="",E1207=""),"",D1207*E1207)</f>
        <v/>
      </c>
      <c r="G1207" s="15" t="n"/>
    </row>
    <row r="1208">
      <c r="A1208" s="19" t="n"/>
      <c r="B1208" s="15" t="n"/>
      <c r="C1208">
        <f>IF(B1208="","",IFERROR(INDEX(Items!$B$5:$B$304,MATCH(B1208,Items!$A$5:$A$304,0)),"Unknown code"))</f>
        <v/>
      </c>
      <c r="D1208" s="15" t="n"/>
      <c r="E1208" s="16" t="n"/>
      <c r="F1208" s="18">
        <f>IF(OR(D1208="",E1208=""),"",D1208*E1208)</f>
        <v/>
      </c>
      <c r="G1208" s="15" t="n"/>
    </row>
    <row r="1209">
      <c r="A1209" s="19" t="n"/>
      <c r="B1209" s="15" t="n"/>
      <c r="C1209">
        <f>IF(B1209="","",IFERROR(INDEX(Items!$B$5:$B$304,MATCH(B1209,Items!$A$5:$A$304,0)),"Unknown code"))</f>
        <v/>
      </c>
      <c r="D1209" s="15" t="n"/>
      <c r="E1209" s="16" t="n"/>
      <c r="F1209" s="18">
        <f>IF(OR(D1209="",E1209=""),"",D1209*E1209)</f>
        <v/>
      </c>
      <c r="G1209" s="15" t="n"/>
    </row>
    <row r="1210">
      <c r="A1210" s="19" t="n"/>
      <c r="B1210" s="15" t="n"/>
      <c r="C1210">
        <f>IF(B1210="","",IFERROR(INDEX(Items!$B$5:$B$304,MATCH(B1210,Items!$A$5:$A$304,0)),"Unknown code"))</f>
        <v/>
      </c>
      <c r="D1210" s="15" t="n"/>
      <c r="E1210" s="16" t="n"/>
      <c r="F1210" s="18">
        <f>IF(OR(D1210="",E1210=""),"",D1210*E1210)</f>
        <v/>
      </c>
      <c r="G1210" s="15" t="n"/>
    </row>
    <row r="1211">
      <c r="A1211" s="19" t="n"/>
      <c r="B1211" s="15" t="n"/>
      <c r="C1211">
        <f>IF(B1211="","",IFERROR(INDEX(Items!$B$5:$B$304,MATCH(B1211,Items!$A$5:$A$304,0)),"Unknown code"))</f>
        <v/>
      </c>
      <c r="D1211" s="15" t="n"/>
      <c r="E1211" s="16" t="n"/>
      <c r="F1211" s="18">
        <f>IF(OR(D1211="",E1211=""),"",D1211*E1211)</f>
        <v/>
      </c>
      <c r="G1211" s="15" t="n"/>
    </row>
    <row r="1212">
      <c r="A1212" s="19" t="n"/>
      <c r="B1212" s="15" t="n"/>
      <c r="C1212">
        <f>IF(B1212="","",IFERROR(INDEX(Items!$B$5:$B$304,MATCH(B1212,Items!$A$5:$A$304,0)),"Unknown code"))</f>
        <v/>
      </c>
      <c r="D1212" s="15" t="n"/>
      <c r="E1212" s="16" t="n"/>
      <c r="F1212" s="18">
        <f>IF(OR(D1212="",E1212=""),"",D1212*E1212)</f>
        <v/>
      </c>
      <c r="G1212" s="15" t="n"/>
    </row>
    <row r="1213">
      <c r="A1213" s="19" t="n"/>
      <c r="B1213" s="15" t="n"/>
      <c r="C1213">
        <f>IF(B1213="","",IFERROR(INDEX(Items!$B$5:$B$304,MATCH(B1213,Items!$A$5:$A$304,0)),"Unknown code"))</f>
        <v/>
      </c>
      <c r="D1213" s="15" t="n"/>
      <c r="E1213" s="16" t="n"/>
      <c r="F1213" s="18">
        <f>IF(OR(D1213="",E1213=""),"",D1213*E1213)</f>
        <v/>
      </c>
      <c r="G1213" s="15" t="n"/>
    </row>
    <row r="1214">
      <c r="A1214" s="19" t="n"/>
      <c r="B1214" s="15" t="n"/>
      <c r="C1214">
        <f>IF(B1214="","",IFERROR(INDEX(Items!$B$5:$B$304,MATCH(B1214,Items!$A$5:$A$304,0)),"Unknown code"))</f>
        <v/>
      </c>
      <c r="D1214" s="15" t="n"/>
      <c r="E1214" s="16" t="n"/>
      <c r="F1214" s="18">
        <f>IF(OR(D1214="",E1214=""),"",D1214*E1214)</f>
        <v/>
      </c>
      <c r="G1214" s="15" t="n"/>
    </row>
    <row r="1215">
      <c r="A1215" s="19" t="n"/>
      <c r="B1215" s="15" t="n"/>
      <c r="C1215">
        <f>IF(B1215="","",IFERROR(INDEX(Items!$B$5:$B$304,MATCH(B1215,Items!$A$5:$A$304,0)),"Unknown code"))</f>
        <v/>
      </c>
      <c r="D1215" s="15" t="n"/>
      <c r="E1215" s="16" t="n"/>
      <c r="F1215" s="18">
        <f>IF(OR(D1215="",E1215=""),"",D1215*E1215)</f>
        <v/>
      </c>
      <c r="G1215" s="15" t="n"/>
    </row>
    <row r="1216">
      <c r="A1216" s="19" t="n"/>
      <c r="B1216" s="15" t="n"/>
      <c r="C1216">
        <f>IF(B1216="","",IFERROR(INDEX(Items!$B$5:$B$304,MATCH(B1216,Items!$A$5:$A$304,0)),"Unknown code"))</f>
        <v/>
      </c>
      <c r="D1216" s="15" t="n"/>
      <c r="E1216" s="16" t="n"/>
      <c r="F1216" s="18">
        <f>IF(OR(D1216="",E1216=""),"",D1216*E1216)</f>
        <v/>
      </c>
      <c r="G1216" s="15" t="n"/>
    </row>
    <row r="1217">
      <c r="A1217" s="19" t="n"/>
      <c r="B1217" s="15" t="n"/>
      <c r="C1217">
        <f>IF(B1217="","",IFERROR(INDEX(Items!$B$5:$B$304,MATCH(B1217,Items!$A$5:$A$304,0)),"Unknown code"))</f>
        <v/>
      </c>
      <c r="D1217" s="15" t="n"/>
      <c r="E1217" s="16" t="n"/>
      <c r="F1217" s="18">
        <f>IF(OR(D1217="",E1217=""),"",D1217*E1217)</f>
        <v/>
      </c>
      <c r="G1217" s="15" t="n"/>
    </row>
    <row r="1218">
      <c r="A1218" s="19" t="n"/>
      <c r="B1218" s="15" t="n"/>
      <c r="C1218">
        <f>IF(B1218="","",IFERROR(INDEX(Items!$B$5:$B$304,MATCH(B1218,Items!$A$5:$A$304,0)),"Unknown code"))</f>
        <v/>
      </c>
      <c r="D1218" s="15" t="n"/>
      <c r="E1218" s="16" t="n"/>
      <c r="F1218" s="18">
        <f>IF(OR(D1218="",E1218=""),"",D1218*E1218)</f>
        <v/>
      </c>
      <c r="G1218" s="15" t="n"/>
    </row>
    <row r="1219">
      <c r="A1219" s="19" t="n"/>
      <c r="B1219" s="15" t="n"/>
      <c r="C1219">
        <f>IF(B1219="","",IFERROR(INDEX(Items!$B$5:$B$304,MATCH(B1219,Items!$A$5:$A$304,0)),"Unknown code"))</f>
        <v/>
      </c>
      <c r="D1219" s="15" t="n"/>
      <c r="E1219" s="16" t="n"/>
      <c r="F1219" s="18">
        <f>IF(OR(D1219="",E1219=""),"",D1219*E1219)</f>
        <v/>
      </c>
      <c r="G1219" s="15" t="n"/>
    </row>
    <row r="1220">
      <c r="A1220" s="19" t="n"/>
      <c r="B1220" s="15" t="n"/>
      <c r="C1220">
        <f>IF(B1220="","",IFERROR(INDEX(Items!$B$5:$B$304,MATCH(B1220,Items!$A$5:$A$304,0)),"Unknown code"))</f>
        <v/>
      </c>
      <c r="D1220" s="15" t="n"/>
      <c r="E1220" s="16" t="n"/>
      <c r="F1220" s="18">
        <f>IF(OR(D1220="",E1220=""),"",D1220*E1220)</f>
        <v/>
      </c>
      <c r="G1220" s="15" t="n"/>
    </row>
    <row r="1221">
      <c r="A1221" s="19" t="n"/>
      <c r="B1221" s="15" t="n"/>
      <c r="C1221">
        <f>IF(B1221="","",IFERROR(INDEX(Items!$B$5:$B$304,MATCH(B1221,Items!$A$5:$A$304,0)),"Unknown code"))</f>
        <v/>
      </c>
      <c r="D1221" s="15" t="n"/>
      <c r="E1221" s="16" t="n"/>
      <c r="F1221" s="18">
        <f>IF(OR(D1221="",E1221=""),"",D1221*E1221)</f>
        <v/>
      </c>
      <c r="G1221" s="15" t="n"/>
    </row>
    <row r="1222">
      <c r="A1222" s="19" t="n"/>
      <c r="B1222" s="15" t="n"/>
      <c r="C1222">
        <f>IF(B1222="","",IFERROR(INDEX(Items!$B$5:$B$304,MATCH(B1222,Items!$A$5:$A$304,0)),"Unknown code"))</f>
        <v/>
      </c>
      <c r="D1222" s="15" t="n"/>
      <c r="E1222" s="16" t="n"/>
      <c r="F1222" s="18">
        <f>IF(OR(D1222="",E1222=""),"",D1222*E1222)</f>
        <v/>
      </c>
      <c r="G1222" s="15" t="n"/>
    </row>
    <row r="1223">
      <c r="A1223" s="19" t="n"/>
      <c r="B1223" s="15" t="n"/>
      <c r="C1223">
        <f>IF(B1223="","",IFERROR(INDEX(Items!$B$5:$B$304,MATCH(B1223,Items!$A$5:$A$304,0)),"Unknown code"))</f>
        <v/>
      </c>
      <c r="D1223" s="15" t="n"/>
      <c r="E1223" s="16" t="n"/>
      <c r="F1223" s="18">
        <f>IF(OR(D1223="",E1223=""),"",D1223*E1223)</f>
        <v/>
      </c>
      <c r="G1223" s="15" t="n"/>
    </row>
    <row r="1224">
      <c r="A1224" s="19" t="n"/>
      <c r="B1224" s="15" t="n"/>
      <c r="C1224">
        <f>IF(B1224="","",IFERROR(INDEX(Items!$B$5:$B$304,MATCH(B1224,Items!$A$5:$A$304,0)),"Unknown code"))</f>
        <v/>
      </c>
      <c r="D1224" s="15" t="n"/>
      <c r="E1224" s="16" t="n"/>
      <c r="F1224" s="18">
        <f>IF(OR(D1224="",E1224=""),"",D1224*E1224)</f>
        <v/>
      </c>
      <c r="G1224" s="15" t="n"/>
    </row>
    <row r="1225">
      <c r="A1225" s="19" t="n"/>
      <c r="B1225" s="15" t="n"/>
      <c r="C1225">
        <f>IF(B1225="","",IFERROR(INDEX(Items!$B$5:$B$304,MATCH(B1225,Items!$A$5:$A$304,0)),"Unknown code"))</f>
        <v/>
      </c>
      <c r="D1225" s="15" t="n"/>
      <c r="E1225" s="16" t="n"/>
      <c r="F1225" s="18">
        <f>IF(OR(D1225="",E1225=""),"",D1225*E1225)</f>
        <v/>
      </c>
      <c r="G1225" s="15" t="n"/>
    </row>
    <row r="1226">
      <c r="A1226" s="19" t="n"/>
      <c r="B1226" s="15" t="n"/>
      <c r="C1226">
        <f>IF(B1226="","",IFERROR(INDEX(Items!$B$5:$B$304,MATCH(B1226,Items!$A$5:$A$304,0)),"Unknown code"))</f>
        <v/>
      </c>
      <c r="D1226" s="15" t="n"/>
      <c r="E1226" s="16" t="n"/>
      <c r="F1226" s="18">
        <f>IF(OR(D1226="",E1226=""),"",D1226*E1226)</f>
        <v/>
      </c>
      <c r="G1226" s="15" t="n"/>
    </row>
    <row r="1227">
      <c r="A1227" s="19" t="n"/>
      <c r="B1227" s="15" t="n"/>
      <c r="C1227">
        <f>IF(B1227="","",IFERROR(INDEX(Items!$B$5:$B$304,MATCH(B1227,Items!$A$5:$A$304,0)),"Unknown code"))</f>
        <v/>
      </c>
      <c r="D1227" s="15" t="n"/>
      <c r="E1227" s="16" t="n"/>
      <c r="F1227" s="18">
        <f>IF(OR(D1227="",E1227=""),"",D1227*E1227)</f>
        <v/>
      </c>
      <c r="G1227" s="15" t="n"/>
    </row>
    <row r="1228">
      <c r="A1228" s="19" t="n"/>
      <c r="B1228" s="15" t="n"/>
      <c r="C1228">
        <f>IF(B1228="","",IFERROR(INDEX(Items!$B$5:$B$304,MATCH(B1228,Items!$A$5:$A$304,0)),"Unknown code"))</f>
        <v/>
      </c>
      <c r="D1228" s="15" t="n"/>
      <c r="E1228" s="16" t="n"/>
      <c r="F1228" s="18">
        <f>IF(OR(D1228="",E1228=""),"",D1228*E1228)</f>
        <v/>
      </c>
      <c r="G1228" s="15" t="n"/>
    </row>
    <row r="1229">
      <c r="A1229" s="19" t="n"/>
      <c r="B1229" s="15" t="n"/>
      <c r="C1229">
        <f>IF(B1229="","",IFERROR(INDEX(Items!$B$5:$B$304,MATCH(B1229,Items!$A$5:$A$304,0)),"Unknown code"))</f>
        <v/>
      </c>
      <c r="D1229" s="15" t="n"/>
      <c r="E1229" s="16" t="n"/>
      <c r="F1229" s="18">
        <f>IF(OR(D1229="",E1229=""),"",D1229*E1229)</f>
        <v/>
      </c>
      <c r="G1229" s="15" t="n"/>
    </row>
    <row r="1230">
      <c r="A1230" s="19" t="n"/>
      <c r="B1230" s="15" t="n"/>
      <c r="C1230">
        <f>IF(B1230="","",IFERROR(INDEX(Items!$B$5:$B$304,MATCH(B1230,Items!$A$5:$A$304,0)),"Unknown code"))</f>
        <v/>
      </c>
      <c r="D1230" s="15" t="n"/>
      <c r="E1230" s="16" t="n"/>
      <c r="F1230" s="18">
        <f>IF(OR(D1230="",E1230=""),"",D1230*E1230)</f>
        <v/>
      </c>
      <c r="G1230" s="15" t="n"/>
    </row>
    <row r="1231">
      <c r="A1231" s="19" t="n"/>
      <c r="B1231" s="15" t="n"/>
      <c r="C1231">
        <f>IF(B1231="","",IFERROR(INDEX(Items!$B$5:$B$304,MATCH(B1231,Items!$A$5:$A$304,0)),"Unknown code"))</f>
        <v/>
      </c>
      <c r="D1231" s="15" t="n"/>
      <c r="E1231" s="16" t="n"/>
      <c r="F1231" s="18">
        <f>IF(OR(D1231="",E1231=""),"",D1231*E1231)</f>
        <v/>
      </c>
      <c r="G1231" s="15" t="n"/>
    </row>
    <row r="1232">
      <c r="A1232" s="19" t="n"/>
      <c r="B1232" s="15" t="n"/>
      <c r="C1232">
        <f>IF(B1232="","",IFERROR(INDEX(Items!$B$5:$B$304,MATCH(B1232,Items!$A$5:$A$304,0)),"Unknown code"))</f>
        <v/>
      </c>
      <c r="D1232" s="15" t="n"/>
      <c r="E1232" s="16" t="n"/>
      <c r="F1232" s="18">
        <f>IF(OR(D1232="",E1232=""),"",D1232*E1232)</f>
        <v/>
      </c>
      <c r="G1232" s="15" t="n"/>
    </row>
    <row r="1233">
      <c r="A1233" s="19" t="n"/>
      <c r="B1233" s="15" t="n"/>
      <c r="C1233">
        <f>IF(B1233="","",IFERROR(INDEX(Items!$B$5:$B$304,MATCH(B1233,Items!$A$5:$A$304,0)),"Unknown code"))</f>
        <v/>
      </c>
      <c r="D1233" s="15" t="n"/>
      <c r="E1233" s="16" t="n"/>
      <c r="F1233" s="18">
        <f>IF(OR(D1233="",E1233=""),"",D1233*E1233)</f>
        <v/>
      </c>
      <c r="G1233" s="15" t="n"/>
    </row>
    <row r="1234">
      <c r="A1234" s="19" t="n"/>
      <c r="B1234" s="15" t="n"/>
      <c r="C1234">
        <f>IF(B1234="","",IFERROR(INDEX(Items!$B$5:$B$304,MATCH(B1234,Items!$A$5:$A$304,0)),"Unknown code"))</f>
        <v/>
      </c>
      <c r="D1234" s="15" t="n"/>
      <c r="E1234" s="16" t="n"/>
      <c r="F1234" s="18">
        <f>IF(OR(D1234="",E1234=""),"",D1234*E1234)</f>
        <v/>
      </c>
      <c r="G1234" s="15" t="n"/>
    </row>
    <row r="1235">
      <c r="A1235" s="19" t="n"/>
      <c r="B1235" s="15" t="n"/>
      <c r="C1235">
        <f>IF(B1235="","",IFERROR(INDEX(Items!$B$5:$B$304,MATCH(B1235,Items!$A$5:$A$304,0)),"Unknown code"))</f>
        <v/>
      </c>
      <c r="D1235" s="15" t="n"/>
      <c r="E1235" s="16" t="n"/>
      <c r="F1235" s="18">
        <f>IF(OR(D1235="",E1235=""),"",D1235*E1235)</f>
        <v/>
      </c>
      <c r="G1235" s="15" t="n"/>
    </row>
    <row r="1236">
      <c r="A1236" s="19" t="n"/>
      <c r="B1236" s="15" t="n"/>
      <c r="C1236">
        <f>IF(B1236="","",IFERROR(INDEX(Items!$B$5:$B$304,MATCH(B1236,Items!$A$5:$A$304,0)),"Unknown code"))</f>
        <v/>
      </c>
      <c r="D1236" s="15" t="n"/>
      <c r="E1236" s="16" t="n"/>
      <c r="F1236" s="18">
        <f>IF(OR(D1236="",E1236=""),"",D1236*E1236)</f>
        <v/>
      </c>
      <c r="G1236" s="15" t="n"/>
    </row>
    <row r="1237">
      <c r="A1237" s="19" t="n"/>
      <c r="B1237" s="15" t="n"/>
      <c r="C1237">
        <f>IF(B1237="","",IFERROR(INDEX(Items!$B$5:$B$304,MATCH(B1237,Items!$A$5:$A$304,0)),"Unknown code"))</f>
        <v/>
      </c>
      <c r="D1237" s="15" t="n"/>
      <c r="E1237" s="16" t="n"/>
      <c r="F1237" s="18">
        <f>IF(OR(D1237="",E1237=""),"",D1237*E1237)</f>
        <v/>
      </c>
      <c r="G1237" s="15" t="n"/>
    </row>
    <row r="1238">
      <c r="A1238" s="19" t="n"/>
      <c r="B1238" s="15" t="n"/>
      <c r="C1238">
        <f>IF(B1238="","",IFERROR(INDEX(Items!$B$5:$B$304,MATCH(B1238,Items!$A$5:$A$304,0)),"Unknown code"))</f>
        <v/>
      </c>
      <c r="D1238" s="15" t="n"/>
      <c r="E1238" s="16" t="n"/>
      <c r="F1238" s="18">
        <f>IF(OR(D1238="",E1238=""),"",D1238*E1238)</f>
        <v/>
      </c>
      <c r="G1238" s="15" t="n"/>
    </row>
    <row r="1239">
      <c r="A1239" s="19" t="n"/>
      <c r="B1239" s="15" t="n"/>
      <c r="C1239">
        <f>IF(B1239="","",IFERROR(INDEX(Items!$B$5:$B$304,MATCH(B1239,Items!$A$5:$A$304,0)),"Unknown code"))</f>
        <v/>
      </c>
      <c r="D1239" s="15" t="n"/>
      <c r="E1239" s="16" t="n"/>
      <c r="F1239" s="18">
        <f>IF(OR(D1239="",E1239=""),"",D1239*E1239)</f>
        <v/>
      </c>
      <c r="G1239" s="15" t="n"/>
    </row>
    <row r="1240">
      <c r="A1240" s="19" t="n"/>
      <c r="B1240" s="15" t="n"/>
      <c r="C1240">
        <f>IF(B1240="","",IFERROR(INDEX(Items!$B$5:$B$304,MATCH(B1240,Items!$A$5:$A$304,0)),"Unknown code"))</f>
        <v/>
      </c>
      <c r="D1240" s="15" t="n"/>
      <c r="E1240" s="16" t="n"/>
      <c r="F1240" s="18">
        <f>IF(OR(D1240="",E1240=""),"",D1240*E1240)</f>
        <v/>
      </c>
      <c r="G1240" s="15" t="n"/>
    </row>
    <row r="1241">
      <c r="A1241" s="19" t="n"/>
      <c r="B1241" s="15" t="n"/>
      <c r="C1241">
        <f>IF(B1241="","",IFERROR(INDEX(Items!$B$5:$B$304,MATCH(B1241,Items!$A$5:$A$304,0)),"Unknown code"))</f>
        <v/>
      </c>
      <c r="D1241" s="15" t="n"/>
      <c r="E1241" s="16" t="n"/>
      <c r="F1241" s="18">
        <f>IF(OR(D1241="",E1241=""),"",D1241*E1241)</f>
        <v/>
      </c>
      <c r="G1241" s="15" t="n"/>
    </row>
    <row r="1242">
      <c r="A1242" s="19" t="n"/>
      <c r="B1242" s="15" t="n"/>
      <c r="C1242">
        <f>IF(B1242="","",IFERROR(INDEX(Items!$B$5:$B$304,MATCH(B1242,Items!$A$5:$A$304,0)),"Unknown code"))</f>
        <v/>
      </c>
      <c r="D1242" s="15" t="n"/>
      <c r="E1242" s="16" t="n"/>
      <c r="F1242" s="18">
        <f>IF(OR(D1242="",E1242=""),"",D1242*E1242)</f>
        <v/>
      </c>
      <c r="G1242" s="15" t="n"/>
    </row>
    <row r="1243">
      <c r="A1243" s="19" t="n"/>
      <c r="B1243" s="15" t="n"/>
      <c r="C1243">
        <f>IF(B1243="","",IFERROR(INDEX(Items!$B$5:$B$304,MATCH(B1243,Items!$A$5:$A$304,0)),"Unknown code"))</f>
        <v/>
      </c>
      <c r="D1243" s="15" t="n"/>
      <c r="E1243" s="16" t="n"/>
      <c r="F1243" s="18">
        <f>IF(OR(D1243="",E1243=""),"",D1243*E1243)</f>
        <v/>
      </c>
      <c r="G1243" s="15" t="n"/>
    </row>
    <row r="1244">
      <c r="A1244" s="19" t="n"/>
      <c r="B1244" s="15" t="n"/>
      <c r="C1244">
        <f>IF(B1244="","",IFERROR(INDEX(Items!$B$5:$B$304,MATCH(B1244,Items!$A$5:$A$304,0)),"Unknown code"))</f>
        <v/>
      </c>
      <c r="D1244" s="15" t="n"/>
      <c r="E1244" s="16" t="n"/>
      <c r="F1244" s="18">
        <f>IF(OR(D1244="",E1244=""),"",D1244*E1244)</f>
        <v/>
      </c>
      <c r="G1244" s="15" t="n"/>
    </row>
    <row r="1245">
      <c r="A1245" s="19" t="n"/>
      <c r="B1245" s="15" t="n"/>
      <c r="C1245">
        <f>IF(B1245="","",IFERROR(INDEX(Items!$B$5:$B$304,MATCH(B1245,Items!$A$5:$A$304,0)),"Unknown code"))</f>
        <v/>
      </c>
      <c r="D1245" s="15" t="n"/>
      <c r="E1245" s="16" t="n"/>
      <c r="F1245" s="18">
        <f>IF(OR(D1245="",E1245=""),"",D1245*E1245)</f>
        <v/>
      </c>
      <c r="G1245" s="15" t="n"/>
    </row>
    <row r="1246">
      <c r="A1246" s="19" t="n"/>
      <c r="B1246" s="15" t="n"/>
      <c r="C1246">
        <f>IF(B1246="","",IFERROR(INDEX(Items!$B$5:$B$304,MATCH(B1246,Items!$A$5:$A$304,0)),"Unknown code"))</f>
        <v/>
      </c>
      <c r="D1246" s="15" t="n"/>
      <c r="E1246" s="16" t="n"/>
      <c r="F1246" s="18">
        <f>IF(OR(D1246="",E1246=""),"",D1246*E1246)</f>
        <v/>
      </c>
      <c r="G1246" s="15" t="n"/>
    </row>
    <row r="1247">
      <c r="A1247" s="19" t="n"/>
      <c r="B1247" s="15" t="n"/>
      <c r="C1247">
        <f>IF(B1247="","",IFERROR(INDEX(Items!$B$5:$B$304,MATCH(B1247,Items!$A$5:$A$304,0)),"Unknown code"))</f>
        <v/>
      </c>
      <c r="D1247" s="15" t="n"/>
      <c r="E1247" s="16" t="n"/>
      <c r="F1247" s="18">
        <f>IF(OR(D1247="",E1247=""),"",D1247*E1247)</f>
        <v/>
      </c>
      <c r="G1247" s="15" t="n"/>
    </row>
    <row r="1248">
      <c r="A1248" s="19" t="n"/>
      <c r="B1248" s="15" t="n"/>
      <c r="C1248">
        <f>IF(B1248="","",IFERROR(INDEX(Items!$B$5:$B$304,MATCH(B1248,Items!$A$5:$A$304,0)),"Unknown code"))</f>
        <v/>
      </c>
      <c r="D1248" s="15" t="n"/>
      <c r="E1248" s="16" t="n"/>
      <c r="F1248" s="18">
        <f>IF(OR(D1248="",E1248=""),"",D1248*E1248)</f>
        <v/>
      </c>
      <c r="G1248" s="15" t="n"/>
    </row>
    <row r="1249">
      <c r="A1249" s="19" t="n"/>
      <c r="B1249" s="15" t="n"/>
      <c r="C1249">
        <f>IF(B1249="","",IFERROR(INDEX(Items!$B$5:$B$304,MATCH(B1249,Items!$A$5:$A$304,0)),"Unknown code"))</f>
        <v/>
      </c>
      <c r="D1249" s="15" t="n"/>
      <c r="E1249" s="16" t="n"/>
      <c r="F1249" s="18">
        <f>IF(OR(D1249="",E1249=""),"",D1249*E1249)</f>
        <v/>
      </c>
      <c r="G1249" s="15" t="n"/>
    </row>
    <row r="1250">
      <c r="A1250" s="19" t="n"/>
      <c r="B1250" s="15" t="n"/>
      <c r="C1250">
        <f>IF(B1250="","",IFERROR(INDEX(Items!$B$5:$B$304,MATCH(B1250,Items!$A$5:$A$304,0)),"Unknown code"))</f>
        <v/>
      </c>
      <c r="D1250" s="15" t="n"/>
      <c r="E1250" s="16" t="n"/>
      <c r="F1250" s="18">
        <f>IF(OR(D1250="",E1250=""),"",D1250*E1250)</f>
        <v/>
      </c>
      <c r="G1250" s="15" t="n"/>
    </row>
    <row r="1251">
      <c r="A1251" s="19" t="n"/>
      <c r="B1251" s="15" t="n"/>
      <c r="C1251">
        <f>IF(B1251="","",IFERROR(INDEX(Items!$B$5:$B$304,MATCH(B1251,Items!$A$5:$A$304,0)),"Unknown code"))</f>
        <v/>
      </c>
      <c r="D1251" s="15" t="n"/>
      <c r="E1251" s="16" t="n"/>
      <c r="F1251" s="18">
        <f>IF(OR(D1251="",E1251=""),"",D1251*E1251)</f>
        <v/>
      </c>
      <c r="G1251" s="15" t="n"/>
    </row>
    <row r="1252">
      <c r="A1252" s="19" t="n"/>
      <c r="B1252" s="15" t="n"/>
      <c r="C1252">
        <f>IF(B1252="","",IFERROR(INDEX(Items!$B$5:$B$304,MATCH(B1252,Items!$A$5:$A$304,0)),"Unknown code"))</f>
        <v/>
      </c>
      <c r="D1252" s="15" t="n"/>
      <c r="E1252" s="16" t="n"/>
      <c r="F1252" s="18">
        <f>IF(OR(D1252="",E1252=""),"",D1252*E1252)</f>
        <v/>
      </c>
      <c r="G1252" s="15" t="n"/>
    </row>
    <row r="1253">
      <c r="A1253" s="19" t="n"/>
      <c r="B1253" s="15" t="n"/>
      <c r="C1253">
        <f>IF(B1253="","",IFERROR(INDEX(Items!$B$5:$B$304,MATCH(B1253,Items!$A$5:$A$304,0)),"Unknown code"))</f>
        <v/>
      </c>
      <c r="D1253" s="15" t="n"/>
      <c r="E1253" s="16" t="n"/>
      <c r="F1253" s="18">
        <f>IF(OR(D1253="",E1253=""),"",D1253*E1253)</f>
        <v/>
      </c>
      <c r="G1253" s="15" t="n"/>
    </row>
    <row r="1254">
      <c r="A1254" s="19" t="n"/>
      <c r="B1254" s="15" t="n"/>
      <c r="C1254">
        <f>IF(B1254="","",IFERROR(INDEX(Items!$B$5:$B$304,MATCH(B1254,Items!$A$5:$A$304,0)),"Unknown code"))</f>
        <v/>
      </c>
      <c r="D1254" s="15" t="n"/>
      <c r="E1254" s="16" t="n"/>
      <c r="F1254" s="18">
        <f>IF(OR(D1254="",E1254=""),"",D1254*E1254)</f>
        <v/>
      </c>
      <c r="G1254" s="15" t="n"/>
    </row>
    <row r="1255">
      <c r="A1255" s="19" t="n"/>
      <c r="B1255" s="15" t="n"/>
      <c r="C1255">
        <f>IF(B1255="","",IFERROR(INDEX(Items!$B$5:$B$304,MATCH(B1255,Items!$A$5:$A$304,0)),"Unknown code"))</f>
        <v/>
      </c>
      <c r="D1255" s="15" t="n"/>
      <c r="E1255" s="16" t="n"/>
      <c r="F1255" s="18">
        <f>IF(OR(D1255="",E1255=""),"",D1255*E1255)</f>
        <v/>
      </c>
      <c r="G1255" s="15" t="n"/>
    </row>
    <row r="1256">
      <c r="A1256" s="19" t="n"/>
      <c r="B1256" s="15" t="n"/>
      <c r="C1256">
        <f>IF(B1256="","",IFERROR(INDEX(Items!$B$5:$B$304,MATCH(B1256,Items!$A$5:$A$304,0)),"Unknown code"))</f>
        <v/>
      </c>
      <c r="D1256" s="15" t="n"/>
      <c r="E1256" s="16" t="n"/>
      <c r="F1256" s="18">
        <f>IF(OR(D1256="",E1256=""),"",D1256*E1256)</f>
        <v/>
      </c>
      <c r="G1256" s="15" t="n"/>
    </row>
    <row r="1257">
      <c r="A1257" s="19" t="n"/>
      <c r="B1257" s="15" t="n"/>
      <c r="C1257">
        <f>IF(B1257="","",IFERROR(INDEX(Items!$B$5:$B$304,MATCH(B1257,Items!$A$5:$A$304,0)),"Unknown code"))</f>
        <v/>
      </c>
      <c r="D1257" s="15" t="n"/>
      <c r="E1257" s="16" t="n"/>
      <c r="F1257" s="18">
        <f>IF(OR(D1257="",E1257=""),"",D1257*E1257)</f>
        <v/>
      </c>
      <c r="G1257" s="15" t="n"/>
    </row>
    <row r="1258">
      <c r="A1258" s="19" t="n"/>
      <c r="B1258" s="15" t="n"/>
      <c r="C1258">
        <f>IF(B1258="","",IFERROR(INDEX(Items!$B$5:$B$304,MATCH(B1258,Items!$A$5:$A$304,0)),"Unknown code"))</f>
        <v/>
      </c>
      <c r="D1258" s="15" t="n"/>
      <c r="E1258" s="16" t="n"/>
      <c r="F1258" s="18">
        <f>IF(OR(D1258="",E1258=""),"",D1258*E1258)</f>
        <v/>
      </c>
      <c r="G1258" s="15" t="n"/>
    </row>
    <row r="1259">
      <c r="A1259" s="19" t="n"/>
      <c r="B1259" s="15" t="n"/>
      <c r="C1259">
        <f>IF(B1259="","",IFERROR(INDEX(Items!$B$5:$B$304,MATCH(B1259,Items!$A$5:$A$304,0)),"Unknown code"))</f>
        <v/>
      </c>
      <c r="D1259" s="15" t="n"/>
      <c r="E1259" s="16" t="n"/>
      <c r="F1259" s="18">
        <f>IF(OR(D1259="",E1259=""),"",D1259*E1259)</f>
        <v/>
      </c>
      <c r="G1259" s="15" t="n"/>
    </row>
    <row r="1260">
      <c r="A1260" s="19" t="n"/>
      <c r="B1260" s="15" t="n"/>
      <c r="C1260">
        <f>IF(B1260="","",IFERROR(INDEX(Items!$B$5:$B$304,MATCH(B1260,Items!$A$5:$A$304,0)),"Unknown code"))</f>
        <v/>
      </c>
      <c r="D1260" s="15" t="n"/>
      <c r="E1260" s="16" t="n"/>
      <c r="F1260" s="18">
        <f>IF(OR(D1260="",E1260=""),"",D1260*E1260)</f>
        <v/>
      </c>
      <c r="G1260" s="15" t="n"/>
    </row>
    <row r="1261">
      <c r="A1261" s="19" t="n"/>
      <c r="B1261" s="15" t="n"/>
      <c r="C1261">
        <f>IF(B1261="","",IFERROR(INDEX(Items!$B$5:$B$304,MATCH(B1261,Items!$A$5:$A$304,0)),"Unknown code"))</f>
        <v/>
      </c>
      <c r="D1261" s="15" t="n"/>
      <c r="E1261" s="16" t="n"/>
      <c r="F1261" s="18">
        <f>IF(OR(D1261="",E1261=""),"",D1261*E1261)</f>
        <v/>
      </c>
      <c r="G1261" s="15" t="n"/>
    </row>
    <row r="1262">
      <c r="A1262" s="19" t="n"/>
      <c r="B1262" s="15" t="n"/>
      <c r="C1262">
        <f>IF(B1262="","",IFERROR(INDEX(Items!$B$5:$B$304,MATCH(B1262,Items!$A$5:$A$304,0)),"Unknown code"))</f>
        <v/>
      </c>
      <c r="D1262" s="15" t="n"/>
      <c r="E1262" s="16" t="n"/>
      <c r="F1262" s="18">
        <f>IF(OR(D1262="",E1262=""),"",D1262*E1262)</f>
        <v/>
      </c>
      <c r="G1262" s="15" t="n"/>
    </row>
    <row r="1263">
      <c r="A1263" s="19" t="n"/>
      <c r="B1263" s="15" t="n"/>
      <c r="C1263">
        <f>IF(B1263="","",IFERROR(INDEX(Items!$B$5:$B$304,MATCH(B1263,Items!$A$5:$A$304,0)),"Unknown code"))</f>
        <v/>
      </c>
      <c r="D1263" s="15" t="n"/>
      <c r="E1263" s="16" t="n"/>
      <c r="F1263" s="18">
        <f>IF(OR(D1263="",E1263=""),"",D1263*E1263)</f>
        <v/>
      </c>
      <c r="G1263" s="15" t="n"/>
    </row>
    <row r="1264">
      <c r="A1264" s="19" t="n"/>
      <c r="B1264" s="15" t="n"/>
      <c r="C1264">
        <f>IF(B1264="","",IFERROR(INDEX(Items!$B$5:$B$304,MATCH(B1264,Items!$A$5:$A$304,0)),"Unknown code"))</f>
        <v/>
      </c>
      <c r="D1264" s="15" t="n"/>
      <c r="E1264" s="16" t="n"/>
      <c r="F1264" s="18">
        <f>IF(OR(D1264="",E1264=""),"",D1264*E1264)</f>
        <v/>
      </c>
      <c r="G1264" s="15" t="n"/>
    </row>
    <row r="1265">
      <c r="A1265" s="19" t="n"/>
      <c r="B1265" s="15" t="n"/>
      <c r="C1265">
        <f>IF(B1265="","",IFERROR(INDEX(Items!$B$5:$B$304,MATCH(B1265,Items!$A$5:$A$304,0)),"Unknown code"))</f>
        <v/>
      </c>
      <c r="D1265" s="15" t="n"/>
      <c r="E1265" s="16" t="n"/>
      <c r="F1265" s="18">
        <f>IF(OR(D1265="",E1265=""),"",D1265*E1265)</f>
        <v/>
      </c>
      <c r="G1265" s="15" t="n"/>
    </row>
    <row r="1266">
      <c r="A1266" s="19" t="n"/>
      <c r="B1266" s="15" t="n"/>
      <c r="C1266">
        <f>IF(B1266="","",IFERROR(INDEX(Items!$B$5:$B$304,MATCH(B1266,Items!$A$5:$A$304,0)),"Unknown code"))</f>
        <v/>
      </c>
      <c r="D1266" s="15" t="n"/>
      <c r="E1266" s="16" t="n"/>
      <c r="F1266" s="18">
        <f>IF(OR(D1266="",E1266=""),"",D1266*E1266)</f>
        <v/>
      </c>
      <c r="G1266" s="15" t="n"/>
    </row>
    <row r="1267">
      <c r="A1267" s="19" t="n"/>
      <c r="B1267" s="15" t="n"/>
      <c r="C1267">
        <f>IF(B1267="","",IFERROR(INDEX(Items!$B$5:$B$304,MATCH(B1267,Items!$A$5:$A$304,0)),"Unknown code"))</f>
        <v/>
      </c>
      <c r="D1267" s="15" t="n"/>
      <c r="E1267" s="16" t="n"/>
      <c r="F1267" s="18">
        <f>IF(OR(D1267="",E1267=""),"",D1267*E1267)</f>
        <v/>
      </c>
      <c r="G1267" s="15" t="n"/>
    </row>
    <row r="1268">
      <c r="A1268" s="19" t="n"/>
      <c r="B1268" s="15" t="n"/>
      <c r="C1268">
        <f>IF(B1268="","",IFERROR(INDEX(Items!$B$5:$B$304,MATCH(B1268,Items!$A$5:$A$304,0)),"Unknown code"))</f>
        <v/>
      </c>
      <c r="D1268" s="15" t="n"/>
      <c r="E1268" s="16" t="n"/>
      <c r="F1268" s="18">
        <f>IF(OR(D1268="",E1268=""),"",D1268*E1268)</f>
        <v/>
      </c>
      <c r="G1268" s="15" t="n"/>
    </row>
    <row r="1269">
      <c r="A1269" s="19" t="n"/>
      <c r="B1269" s="15" t="n"/>
      <c r="C1269">
        <f>IF(B1269="","",IFERROR(INDEX(Items!$B$5:$B$304,MATCH(B1269,Items!$A$5:$A$304,0)),"Unknown code"))</f>
        <v/>
      </c>
      <c r="D1269" s="15" t="n"/>
      <c r="E1269" s="16" t="n"/>
      <c r="F1269" s="18">
        <f>IF(OR(D1269="",E1269=""),"",D1269*E1269)</f>
        <v/>
      </c>
      <c r="G1269" s="15" t="n"/>
    </row>
    <row r="1270">
      <c r="A1270" s="19" t="n"/>
      <c r="B1270" s="15" t="n"/>
      <c r="C1270">
        <f>IF(B1270="","",IFERROR(INDEX(Items!$B$5:$B$304,MATCH(B1270,Items!$A$5:$A$304,0)),"Unknown code"))</f>
        <v/>
      </c>
      <c r="D1270" s="15" t="n"/>
      <c r="E1270" s="16" t="n"/>
      <c r="F1270" s="18">
        <f>IF(OR(D1270="",E1270=""),"",D1270*E1270)</f>
        <v/>
      </c>
      <c r="G1270" s="15" t="n"/>
    </row>
    <row r="1271">
      <c r="A1271" s="19" t="n"/>
      <c r="B1271" s="15" t="n"/>
      <c r="C1271">
        <f>IF(B1271="","",IFERROR(INDEX(Items!$B$5:$B$304,MATCH(B1271,Items!$A$5:$A$304,0)),"Unknown code"))</f>
        <v/>
      </c>
      <c r="D1271" s="15" t="n"/>
      <c r="E1271" s="16" t="n"/>
      <c r="F1271" s="18">
        <f>IF(OR(D1271="",E1271=""),"",D1271*E1271)</f>
        <v/>
      </c>
      <c r="G1271" s="15" t="n"/>
    </row>
    <row r="1272">
      <c r="A1272" s="19" t="n"/>
      <c r="B1272" s="15" t="n"/>
      <c r="C1272">
        <f>IF(B1272="","",IFERROR(INDEX(Items!$B$5:$B$304,MATCH(B1272,Items!$A$5:$A$304,0)),"Unknown code"))</f>
        <v/>
      </c>
      <c r="D1272" s="15" t="n"/>
      <c r="E1272" s="16" t="n"/>
      <c r="F1272" s="18">
        <f>IF(OR(D1272="",E1272=""),"",D1272*E1272)</f>
        <v/>
      </c>
      <c r="G1272" s="15" t="n"/>
    </row>
    <row r="1273">
      <c r="A1273" s="19" t="n"/>
      <c r="B1273" s="15" t="n"/>
      <c r="C1273">
        <f>IF(B1273="","",IFERROR(INDEX(Items!$B$5:$B$304,MATCH(B1273,Items!$A$5:$A$304,0)),"Unknown code"))</f>
        <v/>
      </c>
      <c r="D1273" s="15" t="n"/>
      <c r="E1273" s="16" t="n"/>
      <c r="F1273" s="18">
        <f>IF(OR(D1273="",E1273=""),"",D1273*E1273)</f>
        <v/>
      </c>
      <c r="G1273" s="15" t="n"/>
    </row>
    <row r="1274">
      <c r="A1274" s="19" t="n"/>
      <c r="B1274" s="15" t="n"/>
      <c r="C1274">
        <f>IF(B1274="","",IFERROR(INDEX(Items!$B$5:$B$304,MATCH(B1274,Items!$A$5:$A$304,0)),"Unknown code"))</f>
        <v/>
      </c>
      <c r="D1274" s="15" t="n"/>
      <c r="E1274" s="16" t="n"/>
      <c r="F1274" s="18">
        <f>IF(OR(D1274="",E1274=""),"",D1274*E1274)</f>
        <v/>
      </c>
      <c r="G1274" s="15" t="n"/>
    </row>
    <row r="1275">
      <c r="A1275" s="19" t="n"/>
      <c r="B1275" s="15" t="n"/>
      <c r="C1275">
        <f>IF(B1275="","",IFERROR(INDEX(Items!$B$5:$B$304,MATCH(B1275,Items!$A$5:$A$304,0)),"Unknown code"))</f>
        <v/>
      </c>
      <c r="D1275" s="15" t="n"/>
      <c r="E1275" s="16" t="n"/>
      <c r="F1275" s="18">
        <f>IF(OR(D1275="",E1275=""),"",D1275*E1275)</f>
        <v/>
      </c>
      <c r="G1275" s="15" t="n"/>
    </row>
    <row r="1276">
      <c r="A1276" s="19" t="n"/>
      <c r="B1276" s="15" t="n"/>
      <c r="C1276">
        <f>IF(B1276="","",IFERROR(INDEX(Items!$B$5:$B$304,MATCH(B1276,Items!$A$5:$A$304,0)),"Unknown code"))</f>
        <v/>
      </c>
      <c r="D1276" s="15" t="n"/>
      <c r="E1276" s="16" t="n"/>
      <c r="F1276" s="18">
        <f>IF(OR(D1276="",E1276=""),"",D1276*E1276)</f>
        <v/>
      </c>
      <c r="G1276" s="15" t="n"/>
    </row>
    <row r="1277">
      <c r="A1277" s="19" t="n"/>
      <c r="B1277" s="15" t="n"/>
      <c r="C1277">
        <f>IF(B1277="","",IFERROR(INDEX(Items!$B$5:$B$304,MATCH(B1277,Items!$A$5:$A$304,0)),"Unknown code"))</f>
        <v/>
      </c>
      <c r="D1277" s="15" t="n"/>
      <c r="E1277" s="16" t="n"/>
      <c r="F1277" s="18">
        <f>IF(OR(D1277="",E1277=""),"",D1277*E1277)</f>
        <v/>
      </c>
      <c r="G1277" s="15" t="n"/>
    </row>
    <row r="1278">
      <c r="A1278" s="19" t="n"/>
      <c r="B1278" s="15" t="n"/>
      <c r="C1278">
        <f>IF(B1278="","",IFERROR(INDEX(Items!$B$5:$B$304,MATCH(B1278,Items!$A$5:$A$304,0)),"Unknown code"))</f>
        <v/>
      </c>
      <c r="D1278" s="15" t="n"/>
      <c r="E1278" s="16" t="n"/>
      <c r="F1278" s="18">
        <f>IF(OR(D1278="",E1278=""),"",D1278*E1278)</f>
        <v/>
      </c>
      <c r="G1278" s="15" t="n"/>
    </row>
    <row r="1279">
      <c r="A1279" s="19" t="n"/>
      <c r="B1279" s="15" t="n"/>
      <c r="C1279">
        <f>IF(B1279="","",IFERROR(INDEX(Items!$B$5:$B$304,MATCH(B1279,Items!$A$5:$A$304,0)),"Unknown code"))</f>
        <v/>
      </c>
      <c r="D1279" s="15" t="n"/>
      <c r="E1279" s="16" t="n"/>
      <c r="F1279" s="18">
        <f>IF(OR(D1279="",E1279=""),"",D1279*E1279)</f>
        <v/>
      </c>
      <c r="G1279" s="15" t="n"/>
    </row>
    <row r="1280">
      <c r="A1280" s="19" t="n"/>
      <c r="B1280" s="15" t="n"/>
      <c r="C1280">
        <f>IF(B1280="","",IFERROR(INDEX(Items!$B$5:$B$304,MATCH(B1280,Items!$A$5:$A$304,0)),"Unknown code"))</f>
        <v/>
      </c>
      <c r="D1280" s="15" t="n"/>
      <c r="E1280" s="16" t="n"/>
      <c r="F1280" s="18">
        <f>IF(OR(D1280="",E1280=""),"",D1280*E1280)</f>
        <v/>
      </c>
      <c r="G1280" s="15" t="n"/>
    </row>
    <row r="1281">
      <c r="A1281" s="19" t="n"/>
      <c r="B1281" s="15" t="n"/>
      <c r="C1281">
        <f>IF(B1281="","",IFERROR(INDEX(Items!$B$5:$B$304,MATCH(B1281,Items!$A$5:$A$304,0)),"Unknown code"))</f>
        <v/>
      </c>
      <c r="D1281" s="15" t="n"/>
      <c r="E1281" s="16" t="n"/>
      <c r="F1281" s="18">
        <f>IF(OR(D1281="",E1281=""),"",D1281*E1281)</f>
        <v/>
      </c>
      <c r="G1281" s="15" t="n"/>
    </row>
    <row r="1282">
      <c r="A1282" s="19" t="n"/>
      <c r="B1282" s="15" t="n"/>
      <c r="C1282">
        <f>IF(B1282="","",IFERROR(INDEX(Items!$B$5:$B$304,MATCH(B1282,Items!$A$5:$A$304,0)),"Unknown code"))</f>
        <v/>
      </c>
      <c r="D1282" s="15" t="n"/>
      <c r="E1282" s="16" t="n"/>
      <c r="F1282" s="18">
        <f>IF(OR(D1282="",E1282=""),"",D1282*E1282)</f>
        <v/>
      </c>
      <c r="G1282" s="15" t="n"/>
    </row>
    <row r="1283">
      <c r="A1283" s="19" t="n"/>
      <c r="B1283" s="15" t="n"/>
      <c r="C1283">
        <f>IF(B1283="","",IFERROR(INDEX(Items!$B$5:$B$304,MATCH(B1283,Items!$A$5:$A$304,0)),"Unknown code"))</f>
        <v/>
      </c>
      <c r="D1283" s="15" t="n"/>
      <c r="E1283" s="16" t="n"/>
      <c r="F1283" s="18">
        <f>IF(OR(D1283="",E1283=""),"",D1283*E1283)</f>
        <v/>
      </c>
      <c r="G1283" s="15" t="n"/>
    </row>
    <row r="1284">
      <c r="A1284" s="19" t="n"/>
      <c r="B1284" s="15" t="n"/>
      <c r="C1284">
        <f>IF(B1284="","",IFERROR(INDEX(Items!$B$5:$B$304,MATCH(B1284,Items!$A$5:$A$304,0)),"Unknown code"))</f>
        <v/>
      </c>
      <c r="D1284" s="15" t="n"/>
      <c r="E1284" s="16" t="n"/>
      <c r="F1284" s="18">
        <f>IF(OR(D1284="",E1284=""),"",D1284*E1284)</f>
        <v/>
      </c>
      <c r="G1284" s="15" t="n"/>
    </row>
    <row r="1285">
      <c r="A1285" s="19" t="n"/>
      <c r="B1285" s="15" t="n"/>
      <c r="C1285">
        <f>IF(B1285="","",IFERROR(INDEX(Items!$B$5:$B$304,MATCH(B1285,Items!$A$5:$A$304,0)),"Unknown code"))</f>
        <v/>
      </c>
      <c r="D1285" s="15" t="n"/>
      <c r="E1285" s="16" t="n"/>
      <c r="F1285" s="18">
        <f>IF(OR(D1285="",E1285=""),"",D1285*E1285)</f>
        <v/>
      </c>
      <c r="G1285" s="15" t="n"/>
    </row>
    <row r="1286">
      <c r="A1286" s="19" t="n"/>
      <c r="B1286" s="15" t="n"/>
      <c r="C1286">
        <f>IF(B1286="","",IFERROR(INDEX(Items!$B$5:$B$304,MATCH(B1286,Items!$A$5:$A$304,0)),"Unknown code"))</f>
        <v/>
      </c>
      <c r="D1286" s="15" t="n"/>
      <c r="E1286" s="16" t="n"/>
      <c r="F1286" s="18">
        <f>IF(OR(D1286="",E1286=""),"",D1286*E1286)</f>
        <v/>
      </c>
      <c r="G1286" s="15" t="n"/>
    </row>
    <row r="1287">
      <c r="A1287" s="19" t="n"/>
      <c r="B1287" s="15" t="n"/>
      <c r="C1287">
        <f>IF(B1287="","",IFERROR(INDEX(Items!$B$5:$B$304,MATCH(B1287,Items!$A$5:$A$304,0)),"Unknown code"))</f>
        <v/>
      </c>
      <c r="D1287" s="15" t="n"/>
      <c r="E1287" s="16" t="n"/>
      <c r="F1287" s="18">
        <f>IF(OR(D1287="",E1287=""),"",D1287*E1287)</f>
        <v/>
      </c>
      <c r="G1287" s="15" t="n"/>
    </row>
    <row r="1288">
      <c r="A1288" s="19" t="n"/>
      <c r="B1288" s="15" t="n"/>
      <c r="C1288">
        <f>IF(B1288="","",IFERROR(INDEX(Items!$B$5:$B$304,MATCH(B1288,Items!$A$5:$A$304,0)),"Unknown code"))</f>
        <v/>
      </c>
      <c r="D1288" s="15" t="n"/>
      <c r="E1288" s="16" t="n"/>
      <c r="F1288" s="18">
        <f>IF(OR(D1288="",E1288=""),"",D1288*E1288)</f>
        <v/>
      </c>
      <c r="G1288" s="15" t="n"/>
    </row>
    <row r="1289">
      <c r="A1289" s="19" t="n"/>
      <c r="B1289" s="15" t="n"/>
      <c r="C1289">
        <f>IF(B1289="","",IFERROR(INDEX(Items!$B$5:$B$304,MATCH(B1289,Items!$A$5:$A$304,0)),"Unknown code"))</f>
        <v/>
      </c>
      <c r="D1289" s="15" t="n"/>
      <c r="E1289" s="16" t="n"/>
      <c r="F1289" s="18">
        <f>IF(OR(D1289="",E1289=""),"",D1289*E1289)</f>
        <v/>
      </c>
      <c r="G1289" s="15" t="n"/>
    </row>
    <row r="1290">
      <c r="A1290" s="19" t="n"/>
      <c r="B1290" s="15" t="n"/>
      <c r="C1290">
        <f>IF(B1290="","",IFERROR(INDEX(Items!$B$5:$B$304,MATCH(B1290,Items!$A$5:$A$304,0)),"Unknown code"))</f>
        <v/>
      </c>
      <c r="D1290" s="15" t="n"/>
      <c r="E1290" s="16" t="n"/>
      <c r="F1290" s="18">
        <f>IF(OR(D1290="",E1290=""),"",D1290*E1290)</f>
        <v/>
      </c>
      <c r="G1290" s="15" t="n"/>
    </row>
    <row r="1291">
      <c r="A1291" s="19" t="n"/>
      <c r="B1291" s="15" t="n"/>
      <c r="C1291">
        <f>IF(B1291="","",IFERROR(INDEX(Items!$B$5:$B$304,MATCH(B1291,Items!$A$5:$A$304,0)),"Unknown code"))</f>
        <v/>
      </c>
      <c r="D1291" s="15" t="n"/>
      <c r="E1291" s="16" t="n"/>
      <c r="F1291" s="18">
        <f>IF(OR(D1291="",E1291=""),"",D1291*E1291)</f>
        <v/>
      </c>
      <c r="G1291" s="15" t="n"/>
    </row>
    <row r="1292">
      <c r="A1292" s="19" t="n"/>
      <c r="B1292" s="15" t="n"/>
      <c r="C1292">
        <f>IF(B1292="","",IFERROR(INDEX(Items!$B$5:$B$304,MATCH(B1292,Items!$A$5:$A$304,0)),"Unknown code"))</f>
        <v/>
      </c>
      <c r="D1292" s="15" t="n"/>
      <c r="E1292" s="16" t="n"/>
      <c r="F1292" s="18">
        <f>IF(OR(D1292="",E1292=""),"",D1292*E1292)</f>
        <v/>
      </c>
      <c r="G1292" s="15" t="n"/>
    </row>
    <row r="1293">
      <c r="A1293" s="19" t="n"/>
      <c r="B1293" s="15" t="n"/>
      <c r="C1293">
        <f>IF(B1293="","",IFERROR(INDEX(Items!$B$5:$B$304,MATCH(B1293,Items!$A$5:$A$304,0)),"Unknown code"))</f>
        <v/>
      </c>
      <c r="D1293" s="15" t="n"/>
      <c r="E1293" s="16" t="n"/>
      <c r="F1293" s="18">
        <f>IF(OR(D1293="",E1293=""),"",D1293*E1293)</f>
        <v/>
      </c>
      <c r="G1293" s="15" t="n"/>
    </row>
    <row r="1294">
      <c r="A1294" s="19" t="n"/>
      <c r="B1294" s="15" t="n"/>
      <c r="C1294">
        <f>IF(B1294="","",IFERROR(INDEX(Items!$B$5:$B$304,MATCH(B1294,Items!$A$5:$A$304,0)),"Unknown code"))</f>
        <v/>
      </c>
      <c r="D1294" s="15" t="n"/>
      <c r="E1294" s="16" t="n"/>
      <c r="F1294" s="18">
        <f>IF(OR(D1294="",E1294=""),"",D1294*E1294)</f>
        <v/>
      </c>
      <c r="G1294" s="15" t="n"/>
    </row>
    <row r="1295">
      <c r="A1295" s="19" t="n"/>
      <c r="B1295" s="15" t="n"/>
      <c r="C1295">
        <f>IF(B1295="","",IFERROR(INDEX(Items!$B$5:$B$304,MATCH(B1295,Items!$A$5:$A$304,0)),"Unknown code"))</f>
        <v/>
      </c>
      <c r="D1295" s="15" t="n"/>
      <c r="E1295" s="16" t="n"/>
      <c r="F1295" s="18">
        <f>IF(OR(D1295="",E1295=""),"",D1295*E1295)</f>
        <v/>
      </c>
      <c r="G1295" s="15" t="n"/>
    </row>
    <row r="1296">
      <c r="A1296" s="19" t="n"/>
      <c r="B1296" s="15" t="n"/>
      <c r="C1296">
        <f>IF(B1296="","",IFERROR(INDEX(Items!$B$5:$B$304,MATCH(B1296,Items!$A$5:$A$304,0)),"Unknown code"))</f>
        <v/>
      </c>
      <c r="D1296" s="15" t="n"/>
      <c r="E1296" s="16" t="n"/>
      <c r="F1296" s="18">
        <f>IF(OR(D1296="",E1296=""),"",D1296*E1296)</f>
        <v/>
      </c>
      <c r="G1296" s="15" t="n"/>
    </row>
    <row r="1297">
      <c r="A1297" s="19" t="n"/>
      <c r="B1297" s="15" t="n"/>
      <c r="C1297">
        <f>IF(B1297="","",IFERROR(INDEX(Items!$B$5:$B$304,MATCH(B1297,Items!$A$5:$A$304,0)),"Unknown code"))</f>
        <v/>
      </c>
      <c r="D1297" s="15" t="n"/>
      <c r="E1297" s="16" t="n"/>
      <c r="F1297" s="18">
        <f>IF(OR(D1297="",E1297=""),"",D1297*E1297)</f>
        <v/>
      </c>
      <c r="G1297" s="15" t="n"/>
    </row>
    <row r="1298">
      <c r="A1298" s="19" t="n"/>
      <c r="B1298" s="15" t="n"/>
      <c r="C1298">
        <f>IF(B1298="","",IFERROR(INDEX(Items!$B$5:$B$304,MATCH(B1298,Items!$A$5:$A$304,0)),"Unknown code"))</f>
        <v/>
      </c>
      <c r="D1298" s="15" t="n"/>
      <c r="E1298" s="16" t="n"/>
      <c r="F1298" s="18">
        <f>IF(OR(D1298="",E1298=""),"",D1298*E1298)</f>
        <v/>
      </c>
      <c r="G1298" s="15" t="n"/>
    </row>
    <row r="1299">
      <c r="A1299" s="19" t="n"/>
      <c r="B1299" s="15" t="n"/>
      <c r="C1299">
        <f>IF(B1299="","",IFERROR(INDEX(Items!$B$5:$B$304,MATCH(B1299,Items!$A$5:$A$304,0)),"Unknown code"))</f>
        <v/>
      </c>
      <c r="D1299" s="15" t="n"/>
      <c r="E1299" s="16" t="n"/>
      <c r="F1299" s="18">
        <f>IF(OR(D1299="",E1299=""),"",D1299*E1299)</f>
        <v/>
      </c>
      <c r="G1299" s="15" t="n"/>
    </row>
    <row r="1300">
      <c r="A1300" s="19" t="n"/>
      <c r="B1300" s="15" t="n"/>
      <c r="C1300">
        <f>IF(B1300="","",IFERROR(INDEX(Items!$B$5:$B$304,MATCH(B1300,Items!$A$5:$A$304,0)),"Unknown code"))</f>
        <v/>
      </c>
      <c r="D1300" s="15" t="n"/>
      <c r="E1300" s="16" t="n"/>
      <c r="F1300" s="18">
        <f>IF(OR(D1300="",E1300=""),"",D1300*E1300)</f>
        <v/>
      </c>
      <c r="G1300" s="15" t="n"/>
    </row>
    <row r="1301">
      <c r="A1301" s="19" t="n"/>
      <c r="B1301" s="15" t="n"/>
      <c r="C1301">
        <f>IF(B1301="","",IFERROR(INDEX(Items!$B$5:$B$304,MATCH(B1301,Items!$A$5:$A$304,0)),"Unknown code"))</f>
        <v/>
      </c>
      <c r="D1301" s="15" t="n"/>
      <c r="E1301" s="16" t="n"/>
      <c r="F1301" s="18">
        <f>IF(OR(D1301="",E1301=""),"",D1301*E1301)</f>
        <v/>
      </c>
      <c r="G1301" s="15" t="n"/>
    </row>
    <row r="1302">
      <c r="A1302" s="19" t="n"/>
      <c r="B1302" s="15" t="n"/>
      <c r="C1302">
        <f>IF(B1302="","",IFERROR(INDEX(Items!$B$5:$B$304,MATCH(B1302,Items!$A$5:$A$304,0)),"Unknown code"))</f>
        <v/>
      </c>
      <c r="D1302" s="15" t="n"/>
      <c r="E1302" s="16" t="n"/>
      <c r="F1302" s="18">
        <f>IF(OR(D1302="",E1302=""),"",D1302*E1302)</f>
        <v/>
      </c>
      <c r="G1302" s="15" t="n"/>
    </row>
    <row r="1303">
      <c r="A1303" s="19" t="n"/>
      <c r="B1303" s="15" t="n"/>
      <c r="C1303">
        <f>IF(B1303="","",IFERROR(INDEX(Items!$B$5:$B$304,MATCH(B1303,Items!$A$5:$A$304,0)),"Unknown code"))</f>
        <v/>
      </c>
      <c r="D1303" s="15" t="n"/>
      <c r="E1303" s="16" t="n"/>
      <c r="F1303" s="18">
        <f>IF(OR(D1303="",E1303=""),"",D1303*E1303)</f>
        <v/>
      </c>
      <c r="G1303" s="15" t="n"/>
    </row>
    <row r="1304">
      <c r="A1304" s="19" t="n"/>
      <c r="B1304" s="15" t="n"/>
      <c r="C1304">
        <f>IF(B1304="","",IFERROR(INDEX(Items!$B$5:$B$304,MATCH(B1304,Items!$A$5:$A$304,0)),"Unknown code"))</f>
        <v/>
      </c>
      <c r="D1304" s="15" t="n"/>
      <c r="E1304" s="16" t="n"/>
      <c r="F1304" s="18">
        <f>IF(OR(D1304="",E1304=""),"",D1304*E1304)</f>
        <v/>
      </c>
      <c r="G1304" s="15" t="n"/>
    </row>
    <row r="1305">
      <c r="A1305" s="19" t="n"/>
      <c r="B1305" s="15" t="n"/>
      <c r="C1305">
        <f>IF(B1305="","",IFERROR(INDEX(Items!$B$5:$B$304,MATCH(B1305,Items!$A$5:$A$304,0)),"Unknown code"))</f>
        <v/>
      </c>
      <c r="D1305" s="15" t="n"/>
      <c r="E1305" s="16" t="n"/>
      <c r="F1305" s="18">
        <f>IF(OR(D1305="",E1305=""),"",D1305*E1305)</f>
        <v/>
      </c>
      <c r="G1305" s="15" t="n"/>
    </row>
    <row r="1306">
      <c r="A1306" s="19" t="n"/>
      <c r="B1306" s="15" t="n"/>
      <c r="C1306">
        <f>IF(B1306="","",IFERROR(INDEX(Items!$B$5:$B$304,MATCH(B1306,Items!$A$5:$A$304,0)),"Unknown code"))</f>
        <v/>
      </c>
      <c r="D1306" s="15" t="n"/>
      <c r="E1306" s="16" t="n"/>
      <c r="F1306" s="18">
        <f>IF(OR(D1306="",E1306=""),"",D1306*E1306)</f>
        <v/>
      </c>
      <c r="G1306" s="15" t="n"/>
    </row>
    <row r="1307">
      <c r="A1307" s="19" t="n"/>
      <c r="B1307" s="15" t="n"/>
      <c r="C1307">
        <f>IF(B1307="","",IFERROR(INDEX(Items!$B$5:$B$304,MATCH(B1307,Items!$A$5:$A$304,0)),"Unknown code"))</f>
        <v/>
      </c>
      <c r="D1307" s="15" t="n"/>
      <c r="E1307" s="16" t="n"/>
      <c r="F1307" s="18">
        <f>IF(OR(D1307="",E1307=""),"",D1307*E1307)</f>
        <v/>
      </c>
      <c r="G1307" s="15" t="n"/>
    </row>
    <row r="1308">
      <c r="A1308" s="19" t="n"/>
      <c r="B1308" s="15" t="n"/>
      <c r="C1308">
        <f>IF(B1308="","",IFERROR(INDEX(Items!$B$5:$B$304,MATCH(B1308,Items!$A$5:$A$304,0)),"Unknown code"))</f>
        <v/>
      </c>
      <c r="D1308" s="15" t="n"/>
      <c r="E1308" s="16" t="n"/>
      <c r="F1308" s="18">
        <f>IF(OR(D1308="",E1308=""),"",D1308*E1308)</f>
        <v/>
      </c>
      <c r="G1308" s="15" t="n"/>
    </row>
    <row r="1309">
      <c r="A1309" s="19" t="n"/>
      <c r="B1309" s="15" t="n"/>
      <c r="C1309">
        <f>IF(B1309="","",IFERROR(INDEX(Items!$B$5:$B$304,MATCH(B1309,Items!$A$5:$A$304,0)),"Unknown code"))</f>
        <v/>
      </c>
      <c r="D1309" s="15" t="n"/>
      <c r="E1309" s="16" t="n"/>
      <c r="F1309" s="18">
        <f>IF(OR(D1309="",E1309=""),"",D1309*E1309)</f>
        <v/>
      </c>
      <c r="G1309" s="15" t="n"/>
    </row>
    <row r="1310">
      <c r="A1310" s="19" t="n"/>
      <c r="B1310" s="15" t="n"/>
      <c r="C1310">
        <f>IF(B1310="","",IFERROR(INDEX(Items!$B$5:$B$304,MATCH(B1310,Items!$A$5:$A$304,0)),"Unknown code"))</f>
        <v/>
      </c>
      <c r="D1310" s="15" t="n"/>
      <c r="E1310" s="16" t="n"/>
      <c r="F1310" s="18">
        <f>IF(OR(D1310="",E1310=""),"",D1310*E1310)</f>
        <v/>
      </c>
      <c r="G1310" s="15" t="n"/>
    </row>
    <row r="1311">
      <c r="A1311" s="19" t="n"/>
      <c r="B1311" s="15" t="n"/>
      <c r="C1311">
        <f>IF(B1311="","",IFERROR(INDEX(Items!$B$5:$B$304,MATCH(B1311,Items!$A$5:$A$304,0)),"Unknown code"))</f>
        <v/>
      </c>
      <c r="D1311" s="15" t="n"/>
      <c r="E1311" s="16" t="n"/>
      <c r="F1311" s="18">
        <f>IF(OR(D1311="",E1311=""),"",D1311*E1311)</f>
        <v/>
      </c>
      <c r="G1311" s="15" t="n"/>
    </row>
    <row r="1312">
      <c r="A1312" s="19" t="n"/>
      <c r="B1312" s="15" t="n"/>
      <c r="C1312">
        <f>IF(B1312="","",IFERROR(INDEX(Items!$B$5:$B$304,MATCH(B1312,Items!$A$5:$A$304,0)),"Unknown code"))</f>
        <v/>
      </c>
      <c r="D1312" s="15" t="n"/>
      <c r="E1312" s="16" t="n"/>
      <c r="F1312" s="18">
        <f>IF(OR(D1312="",E1312=""),"",D1312*E1312)</f>
        <v/>
      </c>
      <c r="G1312" s="15" t="n"/>
    </row>
    <row r="1313">
      <c r="A1313" s="19" t="n"/>
      <c r="B1313" s="15" t="n"/>
      <c r="C1313">
        <f>IF(B1313="","",IFERROR(INDEX(Items!$B$5:$B$304,MATCH(B1313,Items!$A$5:$A$304,0)),"Unknown code"))</f>
        <v/>
      </c>
      <c r="D1313" s="15" t="n"/>
      <c r="E1313" s="16" t="n"/>
      <c r="F1313" s="18">
        <f>IF(OR(D1313="",E1313=""),"",D1313*E1313)</f>
        <v/>
      </c>
      <c r="G1313" s="15" t="n"/>
    </row>
    <row r="1314">
      <c r="A1314" s="19" t="n"/>
      <c r="B1314" s="15" t="n"/>
      <c r="C1314">
        <f>IF(B1314="","",IFERROR(INDEX(Items!$B$5:$B$304,MATCH(B1314,Items!$A$5:$A$304,0)),"Unknown code"))</f>
        <v/>
      </c>
      <c r="D1314" s="15" t="n"/>
      <c r="E1314" s="16" t="n"/>
      <c r="F1314" s="18">
        <f>IF(OR(D1314="",E1314=""),"",D1314*E1314)</f>
        <v/>
      </c>
      <c r="G1314" s="15" t="n"/>
    </row>
    <row r="1315">
      <c r="A1315" s="19" t="n"/>
      <c r="B1315" s="15" t="n"/>
      <c r="C1315">
        <f>IF(B1315="","",IFERROR(INDEX(Items!$B$5:$B$304,MATCH(B1315,Items!$A$5:$A$304,0)),"Unknown code"))</f>
        <v/>
      </c>
      <c r="D1315" s="15" t="n"/>
      <c r="E1315" s="16" t="n"/>
      <c r="F1315" s="18">
        <f>IF(OR(D1315="",E1315=""),"",D1315*E1315)</f>
        <v/>
      </c>
      <c r="G1315" s="15" t="n"/>
    </row>
    <row r="1316">
      <c r="A1316" s="19" t="n"/>
      <c r="B1316" s="15" t="n"/>
      <c r="C1316">
        <f>IF(B1316="","",IFERROR(INDEX(Items!$B$5:$B$304,MATCH(B1316,Items!$A$5:$A$304,0)),"Unknown code"))</f>
        <v/>
      </c>
      <c r="D1316" s="15" t="n"/>
      <c r="E1316" s="16" t="n"/>
      <c r="F1316" s="18">
        <f>IF(OR(D1316="",E1316=""),"",D1316*E1316)</f>
        <v/>
      </c>
      <c r="G1316" s="15" t="n"/>
    </row>
    <row r="1317">
      <c r="A1317" s="19" t="n"/>
      <c r="B1317" s="15" t="n"/>
      <c r="C1317">
        <f>IF(B1317="","",IFERROR(INDEX(Items!$B$5:$B$304,MATCH(B1317,Items!$A$5:$A$304,0)),"Unknown code"))</f>
        <v/>
      </c>
      <c r="D1317" s="15" t="n"/>
      <c r="E1317" s="16" t="n"/>
      <c r="F1317" s="18">
        <f>IF(OR(D1317="",E1317=""),"",D1317*E1317)</f>
        <v/>
      </c>
      <c r="G1317" s="15" t="n"/>
    </row>
    <row r="1318">
      <c r="A1318" s="19" t="n"/>
      <c r="B1318" s="15" t="n"/>
      <c r="C1318">
        <f>IF(B1318="","",IFERROR(INDEX(Items!$B$5:$B$304,MATCH(B1318,Items!$A$5:$A$304,0)),"Unknown code"))</f>
        <v/>
      </c>
      <c r="D1318" s="15" t="n"/>
      <c r="E1318" s="16" t="n"/>
      <c r="F1318" s="18">
        <f>IF(OR(D1318="",E1318=""),"",D1318*E1318)</f>
        <v/>
      </c>
      <c r="G1318" s="15" t="n"/>
    </row>
    <row r="1319">
      <c r="A1319" s="19" t="n"/>
      <c r="B1319" s="15" t="n"/>
      <c r="C1319">
        <f>IF(B1319="","",IFERROR(INDEX(Items!$B$5:$B$304,MATCH(B1319,Items!$A$5:$A$304,0)),"Unknown code"))</f>
        <v/>
      </c>
      <c r="D1319" s="15" t="n"/>
      <c r="E1319" s="16" t="n"/>
      <c r="F1319" s="18">
        <f>IF(OR(D1319="",E1319=""),"",D1319*E1319)</f>
        <v/>
      </c>
      <c r="G1319" s="15" t="n"/>
    </row>
    <row r="1320">
      <c r="A1320" s="19" t="n"/>
      <c r="B1320" s="15" t="n"/>
      <c r="C1320">
        <f>IF(B1320="","",IFERROR(INDEX(Items!$B$5:$B$304,MATCH(B1320,Items!$A$5:$A$304,0)),"Unknown code"))</f>
        <v/>
      </c>
      <c r="D1320" s="15" t="n"/>
      <c r="E1320" s="16" t="n"/>
      <c r="F1320" s="18">
        <f>IF(OR(D1320="",E1320=""),"",D1320*E1320)</f>
        <v/>
      </c>
      <c r="G1320" s="15" t="n"/>
    </row>
    <row r="1321">
      <c r="A1321" s="19" t="n"/>
      <c r="B1321" s="15" t="n"/>
      <c r="C1321">
        <f>IF(B1321="","",IFERROR(INDEX(Items!$B$5:$B$304,MATCH(B1321,Items!$A$5:$A$304,0)),"Unknown code"))</f>
        <v/>
      </c>
      <c r="D1321" s="15" t="n"/>
      <c r="E1321" s="16" t="n"/>
      <c r="F1321" s="18">
        <f>IF(OR(D1321="",E1321=""),"",D1321*E1321)</f>
        <v/>
      </c>
      <c r="G1321" s="15" t="n"/>
    </row>
    <row r="1322">
      <c r="A1322" s="19" t="n"/>
      <c r="B1322" s="15" t="n"/>
      <c r="C1322">
        <f>IF(B1322="","",IFERROR(INDEX(Items!$B$5:$B$304,MATCH(B1322,Items!$A$5:$A$304,0)),"Unknown code"))</f>
        <v/>
      </c>
      <c r="D1322" s="15" t="n"/>
      <c r="E1322" s="16" t="n"/>
      <c r="F1322" s="18">
        <f>IF(OR(D1322="",E1322=""),"",D1322*E1322)</f>
        <v/>
      </c>
      <c r="G1322" s="15" t="n"/>
    </row>
    <row r="1323">
      <c r="A1323" s="19" t="n"/>
      <c r="B1323" s="15" t="n"/>
      <c r="C1323">
        <f>IF(B1323="","",IFERROR(INDEX(Items!$B$5:$B$304,MATCH(B1323,Items!$A$5:$A$304,0)),"Unknown code"))</f>
        <v/>
      </c>
      <c r="D1323" s="15" t="n"/>
      <c r="E1323" s="16" t="n"/>
      <c r="F1323" s="18">
        <f>IF(OR(D1323="",E1323=""),"",D1323*E1323)</f>
        <v/>
      </c>
      <c r="G1323" s="15" t="n"/>
    </row>
    <row r="1324">
      <c r="A1324" s="19" t="n"/>
      <c r="B1324" s="15" t="n"/>
      <c r="C1324">
        <f>IF(B1324="","",IFERROR(INDEX(Items!$B$5:$B$304,MATCH(B1324,Items!$A$5:$A$304,0)),"Unknown code"))</f>
        <v/>
      </c>
      <c r="D1324" s="15" t="n"/>
      <c r="E1324" s="16" t="n"/>
      <c r="F1324" s="18">
        <f>IF(OR(D1324="",E1324=""),"",D1324*E1324)</f>
        <v/>
      </c>
      <c r="G1324" s="15" t="n"/>
    </row>
    <row r="1325">
      <c r="A1325" s="19" t="n"/>
      <c r="B1325" s="15" t="n"/>
      <c r="C1325">
        <f>IF(B1325="","",IFERROR(INDEX(Items!$B$5:$B$304,MATCH(B1325,Items!$A$5:$A$304,0)),"Unknown code"))</f>
        <v/>
      </c>
      <c r="D1325" s="15" t="n"/>
      <c r="E1325" s="16" t="n"/>
      <c r="F1325" s="18">
        <f>IF(OR(D1325="",E1325=""),"",D1325*E1325)</f>
        <v/>
      </c>
      <c r="G1325" s="15" t="n"/>
    </row>
    <row r="1326">
      <c r="A1326" s="19" t="n"/>
      <c r="B1326" s="15" t="n"/>
      <c r="C1326">
        <f>IF(B1326="","",IFERROR(INDEX(Items!$B$5:$B$304,MATCH(B1326,Items!$A$5:$A$304,0)),"Unknown code"))</f>
        <v/>
      </c>
      <c r="D1326" s="15" t="n"/>
      <c r="E1326" s="16" t="n"/>
      <c r="F1326" s="18">
        <f>IF(OR(D1326="",E1326=""),"",D1326*E1326)</f>
        <v/>
      </c>
      <c r="G1326" s="15" t="n"/>
    </row>
    <row r="1327">
      <c r="A1327" s="19" t="n"/>
      <c r="B1327" s="15" t="n"/>
      <c r="C1327">
        <f>IF(B1327="","",IFERROR(INDEX(Items!$B$5:$B$304,MATCH(B1327,Items!$A$5:$A$304,0)),"Unknown code"))</f>
        <v/>
      </c>
      <c r="D1327" s="15" t="n"/>
      <c r="E1327" s="16" t="n"/>
      <c r="F1327" s="18">
        <f>IF(OR(D1327="",E1327=""),"",D1327*E1327)</f>
        <v/>
      </c>
      <c r="G1327" s="15" t="n"/>
    </row>
    <row r="1328">
      <c r="A1328" s="19" t="n"/>
      <c r="B1328" s="15" t="n"/>
      <c r="C1328">
        <f>IF(B1328="","",IFERROR(INDEX(Items!$B$5:$B$304,MATCH(B1328,Items!$A$5:$A$304,0)),"Unknown code"))</f>
        <v/>
      </c>
      <c r="D1328" s="15" t="n"/>
      <c r="E1328" s="16" t="n"/>
      <c r="F1328" s="18">
        <f>IF(OR(D1328="",E1328=""),"",D1328*E1328)</f>
        <v/>
      </c>
      <c r="G1328" s="15" t="n"/>
    </row>
    <row r="1329">
      <c r="A1329" s="19" t="n"/>
      <c r="B1329" s="15" t="n"/>
      <c r="C1329">
        <f>IF(B1329="","",IFERROR(INDEX(Items!$B$5:$B$304,MATCH(B1329,Items!$A$5:$A$304,0)),"Unknown code"))</f>
        <v/>
      </c>
      <c r="D1329" s="15" t="n"/>
      <c r="E1329" s="16" t="n"/>
      <c r="F1329" s="18">
        <f>IF(OR(D1329="",E1329=""),"",D1329*E1329)</f>
        <v/>
      </c>
      <c r="G1329" s="15" t="n"/>
    </row>
    <row r="1330">
      <c r="A1330" s="19" t="n"/>
      <c r="B1330" s="15" t="n"/>
      <c r="C1330">
        <f>IF(B1330="","",IFERROR(INDEX(Items!$B$5:$B$304,MATCH(B1330,Items!$A$5:$A$304,0)),"Unknown code"))</f>
        <v/>
      </c>
      <c r="D1330" s="15" t="n"/>
      <c r="E1330" s="16" t="n"/>
      <c r="F1330" s="18">
        <f>IF(OR(D1330="",E1330=""),"",D1330*E1330)</f>
        <v/>
      </c>
      <c r="G1330" s="15" t="n"/>
    </row>
    <row r="1331">
      <c r="A1331" s="19" t="n"/>
      <c r="B1331" s="15" t="n"/>
      <c r="C1331">
        <f>IF(B1331="","",IFERROR(INDEX(Items!$B$5:$B$304,MATCH(B1331,Items!$A$5:$A$304,0)),"Unknown code"))</f>
        <v/>
      </c>
      <c r="D1331" s="15" t="n"/>
      <c r="E1331" s="16" t="n"/>
      <c r="F1331" s="18">
        <f>IF(OR(D1331="",E1331=""),"",D1331*E1331)</f>
        <v/>
      </c>
      <c r="G1331" s="15" t="n"/>
    </row>
    <row r="1332">
      <c r="A1332" s="19" t="n"/>
      <c r="B1332" s="15" t="n"/>
      <c r="C1332">
        <f>IF(B1332="","",IFERROR(INDEX(Items!$B$5:$B$304,MATCH(B1332,Items!$A$5:$A$304,0)),"Unknown code"))</f>
        <v/>
      </c>
      <c r="D1332" s="15" t="n"/>
      <c r="E1332" s="16" t="n"/>
      <c r="F1332" s="18">
        <f>IF(OR(D1332="",E1332=""),"",D1332*E1332)</f>
        <v/>
      </c>
      <c r="G1332" s="15" t="n"/>
    </row>
    <row r="1333">
      <c r="A1333" s="19" t="n"/>
      <c r="B1333" s="15" t="n"/>
      <c r="C1333">
        <f>IF(B1333="","",IFERROR(INDEX(Items!$B$5:$B$304,MATCH(B1333,Items!$A$5:$A$304,0)),"Unknown code"))</f>
        <v/>
      </c>
      <c r="D1333" s="15" t="n"/>
      <c r="E1333" s="16" t="n"/>
      <c r="F1333" s="18">
        <f>IF(OR(D1333="",E1333=""),"",D1333*E1333)</f>
        <v/>
      </c>
      <c r="G1333" s="15" t="n"/>
    </row>
    <row r="1334">
      <c r="A1334" s="19" t="n"/>
      <c r="B1334" s="15" t="n"/>
      <c r="C1334">
        <f>IF(B1334="","",IFERROR(INDEX(Items!$B$5:$B$304,MATCH(B1334,Items!$A$5:$A$304,0)),"Unknown code"))</f>
        <v/>
      </c>
      <c r="D1334" s="15" t="n"/>
      <c r="E1334" s="16" t="n"/>
      <c r="F1334" s="18">
        <f>IF(OR(D1334="",E1334=""),"",D1334*E1334)</f>
        <v/>
      </c>
      <c r="G1334" s="15" t="n"/>
    </row>
    <row r="1335">
      <c r="A1335" s="19" t="n"/>
      <c r="B1335" s="15" t="n"/>
      <c r="C1335">
        <f>IF(B1335="","",IFERROR(INDEX(Items!$B$5:$B$304,MATCH(B1335,Items!$A$5:$A$304,0)),"Unknown code"))</f>
        <v/>
      </c>
      <c r="D1335" s="15" t="n"/>
      <c r="E1335" s="16" t="n"/>
      <c r="F1335" s="18">
        <f>IF(OR(D1335="",E1335=""),"",D1335*E1335)</f>
        <v/>
      </c>
      <c r="G1335" s="15" t="n"/>
    </row>
    <row r="1336">
      <c r="A1336" s="19" t="n"/>
      <c r="B1336" s="15" t="n"/>
      <c r="C1336">
        <f>IF(B1336="","",IFERROR(INDEX(Items!$B$5:$B$304,MATCH(B1336,Items!$A$5:$A$304,0)),"Unknown code"))</f>
        <v/>
      </c>
      <c r="D1336" s="15" t="n"/>
      <c r="E1336" s="16" t="n"/>
      <c r="F1336" s="18">
        <f>IF(OR(D1336="",E1336=""),"",D1336*E1336)</f>
        <v/>
      </c>
      <c r="G1336" s="15" t="n"/>
    </row>
    <row r="1337">
      <c r="A1337" s="19" t="n"/>
      <c r="B1337" s="15" t="n"/>
      <c r="C1337">
        <f>IF(B1337="","",IFERROR(INDEX(Items!$B$5:$B$304,MATCH(B1337,Items!$A$5:$A$304,0)),"Unknown code"))</f>
        <v/>
      </c>
      <c r="D1337" s="15" t="n"/>
      <c r="E1337" s="16" t="n"/>
      <c r="F1337" s="18">
        <f>IF(OR(D1337="",E1337=""),"",D1337*E1337)</f>
        <v/>
      </c>
      <c r="G1337" s="15" t="n"/>
    </row>
    <row r="1338">
      <c r="A1338" s="19" t="n"/>
      <c r="B1338" s="15" t="n"/>
      <c r="C1338">
        <f>IF(B1338="","",IFERROR(INDEX(Items!$B$5:$B$304,MATCH(B1338,Items!$A$5:$A$304,0)),"Unknown code"))</f>
        <v/>
      </c>
      <c r="D1338" s="15" t="n"/>
      <c r="E1338" s="16" t="n"/>
      <c r="F1338" s="18">
        <f>IF(OR(D1338="",E1338=""),"",D1338*E1338)</f>
        <v/>
      </c>
      <c r="G1338" s="15" t="n"/>
    </row>
    <row r="1339">
      <c r="A1339" s="19" t="n"/>
      <c r="B1339" s="15" t="n"/>
      <c r="C1339">
        <f>IF(B1339="","",IFERROR(INDEX(Items!$B$5:$B$304,MATCH(B1339,Items!$A$5:$A$304,0)),"Unknown code"))</f>
        <v/>
      </c>
      <c r="D1339" s="15" t="n"/>
      <c r="E1339" s="16" t="n"/>
      <c r="F1339" s="18">
        <f>IF(OR(D1339="",E1339=""),"",D1339*E1339)</f>
        <v/>
      </c>
      <c r="G1339" s="15" t="n"/>
    </row>
    <row r="1340">
      <c r="A1340" s="19" t="n"/>
      <c r="B1340" s="15" t="n"/>
      <c r="C1340">
        <f>IF(B1340="","",IFERROR(INDEX(Items!$B$5:$B$304,MATCH(B1340,Items!$A$5:$A$304,0)),"Unknown code"))</f>
        <v/>
      </c>
      <c r="D1340" s="15" t="n"/>
      <c r="E1340" s="16" t="n"/>
      <c r="F1340" s="18">
        <f>IF(OR(D1340="",E1340=""),"",D1340*E1340)</f>
        <v/>
      </c>
      <c r="G1340" s="15" t="n"/>
    </row>
    <row r="1341">
      <c r="A1341" s="19" t="n"/>
      <c r="B1341" s="15" t="n"/>
      <c r="C1341">
        <f>IF(B1341="","",IFERROR(INDEX(Items!$B$5:$B$304,MATCH(B1341,Items!$A$5:$A$304,0)),"Unknown code"))</f>
        <v/>
      </c>
      <c r="D1341" s="15" t="n"/>
      <c r="E1341" s="16" t="n"/>
      <c r="F1341" s="18">
        <f>IF(OR(D1341="",E1341=""),"",D1341*E1341)</f>
        <v/>
      </c>
      <c r="G1341" s="15" t="n"/>
    </row>
    <row r="1342">
      <c r="A1342" s="19" t="n"/>
      <c r="B1342" s="15" t="n"/>
      <c r="C1342">
        <f>IF(B1342="","",IFERROR(INDEX(Items!$B$5:$B$304,MATCH(B1342,Items!$A$5:$A$304,0)),"Unknown code"))</f>
        <v/>
      </c>
      <c r="D1342" s="15" t="n"/>
      <c r="E1342" s="16" t="n"/>
      <c r="F1342" s="18">
        <f>IF(OR(D1342="",E1342=""),"",D1342*E1342)</f>
        <v/>
      </c>
      <c r="G1342" s="15" t="n"/>
    </row>
    <row r="1343">
      <c r="A1343" s="19" t="n"/>
      <c r="B1343" s="15" t="n"/>
      <c r="C1343">
        <f>IF(B1343="","",IFERROR(INDEX(Items!$B$5:$B$304,MATCH(B1343,Items!$A$5:$A$304,0)),"Unknown code"))</f>
        <v/>
      </c>
      <c r="D1343" s="15" t="n"/>
      <c r="E1343" s="16" t="n"/>
      <c r="F1343" s="18">
        <f>IF(OR(D1343="",E1343=""),"",D1343*E1343)</f>
        <v/>
      </c>
      <c r="G1343" s="15" t="n"/>
    </row>
    <row r="1344">
      <c r="A1344" s="19" t="n"/>
      <c r="B1344" s="15" t="n"/>
      <c r="C1344">
        <f>IF(B1344="","",IFERROR(INDEX(Items!$B$5:$B$304,MATCH(B1344,Items!$A$5:$A$304,0)),"Unknown code"))</f>
        <v/>
      </c>
      <c r="D1344" s="15" t="n"/>
      <c r="E1344" s="16" t="n"/>
      <c r="F1344" s="18">
        <f>IF(OR(D1344="",E1344=""),"",D1344*E1344)</f>
        <v/>
      </c>
      <c r="G1344" s="15" t="n"/>
    </row>
    <row r="1345">
      <c r="A1345" s="19" t="n"/>
      <c r="B1345" s="15" t="n"/>
      <c r="C1345">
        <f>IF(B1345="","",IFERROR(INDEX(Items!$B$5:$B$304,MATCH(B1345,Items!$A$5:$A$304,0)),"Unknown code"))</f>
        <v/>
      </c>
      <c r="D1345" s="15" t="n"/>
      <c r="E1345" s="16" t="n"/>
      <c r="F1345" s="18">
        <f>IF(OR(D1345="",E1345=""),"",D1345*E1345)</f>
        <v/>
      </c>
      <c r="G1345" s="15" t="n"/>
    </row>
    <row r="1346">
      <c r="A1346" s="19" t="n"/>
      <c r="B1346" s="15" t="n"/>
      <c r="C1346">
        <f>IF(B1346="","",IFERROR(INDEX(Items!$B$5:$B$304,MATCH(B1346,Items!$A$5:$A$304,0)),"Unknown code"))</f>
        <v/>
      </c>
      <c r="D1346" s="15" t="n"/>
      <c r="E1346" s="16" t="n"/>
      <c r="F1346" s="18">
        <f>IF(OR(D1346="",E1346=""),"",D1346*E1346)</f>
        <v/>
      </c>
      <c r="G1346" s="15" t="n"/>
    </row>
    <row r="1347">
      <c r="A1347" s="19" t="n"/>
      <c r="B1347" s="15" t="n"/>
      <c r="C1347">
        <f>IF(B1347="","",IFERROR(INDEX(Items!$B$5:$B$304,MATCH(B1347,Items!$A$5:$A$304,0)),"Unknown code"))</f>
        <v/>
      </c>
      <c r="D1347" s="15" t="n"/>
      <c r="E1347" s="16" t="n"/>
      <c r="F1347" s="18">
        <f>IF(OR(D1347="",E1347=""),"",D1347*E1347)</f>
        <v/>
      </c>
      <c r="G1347" s="15" t="n"/>
    </row>
    <row r="1348">
      <c r="A1348" s="19" t="n"/>
      <c r="B1348" s="15" t="n"/>
      <c r="C1348">
        <f>IF(B1348="","",IFERROR(INDEX(Items!$B$5:$B$304,MATCH(B1348,Items!$A$5:$A$304,0)),"Unknown code"))</f>
        <v/>
      </c>
      <c r="D1348" s="15" t="n"/>
      <c r="E1348" s="16" t="n"/>
      <c r="F1348" s="18">
        <f>IF(OR(D1348="",E1348=""),"",D1348*E1348)</f>
        <v/>
      </c>
      <c r="G1348" s="15" t="n"/>
    </row>
    <row r="1349">
      <c r="A1349" s="19" t="n"/>
      <c r="B1349" s="15" t="n"/>
      <c r="C1349">
        <f>IF(B1349="","",IFERROR(INDEX(Items!$B$5:$B$304,MATCH(B1349,Items!$A$5:$A$304,0)),"Unknown code"))</f>
        <v/>
      </c>
      <c r="D1349" s="15" t="n"/>
      <c r="E1349" s="16" t="n"/>
      <c r="F1349" s="18">
        <f>IF(OR(D1349="",E1349=""),"",D1349*E1349)</f>
        <v/>
      </c>
      <c r="G1349" s="15" t="n"/>
    </row>
    <row r="1350">
      <c r="A1350" s="19" t="n"/>
      <c r="B1350" s="15" t="n"/>
      <c r="C1350">
        <f>IF(B1350="","",IFERROR(INDEX(Items!$B$5:$B$304,MATCH(B1350,Items!$A$5:$A$304,0)),"Unknown code"))</f>
        <v/>
      </c>
      <c r="D1350" s="15" t="n"/>
      <c r="E1350" s="16" t="n"/>
      <c r="F1350" s="18">
        <f>IF(OR(D1350="",E1350=""),"",D1350*E1350)</f>
        <v/>
      </c>
      <c r="G1350" s="15" t="n"/>
    </row>
    <row r="1351">
      <c r="A1351" s="19" t="n"/>
      <c r="B1351" s="15" t="n"/>
      <c r="C1351">
        <f>IF(B1351="","",IFERROR(INDEX(Items!$B$5:$B$304,MATCH(B1351,Items!$A$5:$A$304,0)),"Unknown code"))</f>
        <v/>
      </c>
      <c r="D1351" s="15" t="n"/>
      <c r="E1351" s="16" t="n"/>
      <c r="F1351" s="18">
        <f>IF(OR(D1351="",E1351=""),"",D1351*E1351)</f>
        <v/>
      </c>
      <c r="G1351" s="15" t="n"/>
    </row>
    <row r="1352">
      <c r="A1352" s="19" t="n"/>
      <c r="B1352" s="15" t="n"/>
      <c r="C1352">
        <f>IF(B1352="","",IFERROR(INDEX(Items!$B$5:$B$304,MATCH(B1352,Items!$A$5:$A$304,0)),"Unknown code"))</f>
        <v/>
      </c>
      <c r="D1352" s="15" t="n"/>
      <c r="E1352" s="16" t="n"/>
      <c r="F1352" s="18">
        <f>IF(OR(D1352="",E1352=""),"",D1352*E1352)</f>
        <v/>
      </c>
      <c r="G1352" s="15" t="n"/>
    </row>
    <row r="1353">
      <c r="A1353" s="19" t="n"/>
      <c r="B1353" s="15" t="n"/>
      <c r="C1353">
        <f>IF(B1353="","",IFERROR(INDEX(Items!$B$5:$B$304,MATCH(B1353,Items!$A$5:$A$304,0)),"Unknown code"))</f>
        <v/>
      </c>
      <c r="D1353" s="15" t="n"/>
      <c r="E1353" s="16" t="n"/>
      <c r="F1353" s="18">
        <f>IF(OR(D1353="",E1353=""),"",D1353*E1353)</f>
        <v/>
      </c>
      <c r="G1353" s="15" t="n"/>
    </row>
    <row r="1354">
      <c r="A1354" s="19" t="n"/>
      <c r="B1354" s="15" t="n"/>
      <c r="C1354">
        <f>IF(B1354="","",IFERROR(INDEX(Items!$B$5:$B$304,MATCH(B1354,Items!$A$5:$A$304,0)),"Unknown code"))</f>
        <v/>
      </c>
      <c r="D1354" s="15" t="n"/>
      <c r="E1354" s="16" t="n"/>
      <c r="F1354" s="18">
        <f>IF(OR(D1354="",E1354=""),"",D1354*E1354)</f>
        <v/>
      </c>
      <c r="G1354" s="15" t="n"/>
    </row>
    <row r="1355">
      <c r="A1355" s="19" t="n"/>
      <c r="B1355" s="15" t="n"/>
      <c r="C1355">
        <f>IF(B1355="","",IFERROR(INDEX(Items!$B$5:$B$304,MATCH(B1355,Items!$A$5:$A$304,0)),"Unknown code"))</f>
        <v/>
      </c>
      <c r="D1355" s="15" t="n"/>
      <c r="E1355" s="16" t="n"/>
      <c r="F1355" s="18">
        <f>IF(OR(D1355="",E1355=""),"",D1355*E1355)</f>
        <v/>
      </c>
      <c r="G1355" s="15" t="n"/>
    </row>
    <row r="1356">
      <c r="A1356" s="19" t="n"/>
      <c r="B1356" s="15" t="n"/>
      <c r="C1356">
        <f>IF(B1356="","",IFERROR(INDEX(Items!$B$5:$B$304,MATCH(B1356,Items!$A$5:$A$304,0)),"Unknown code"))</f>
        <v/>
      </c>
      <c r="D1356" s="15" t="n"/>
      <c r="E1356" s="16" t="n"/>
      <c r="F1356" s="18">
        <f>IF(OR(D1356="",E1356=""),"",D1356*E1356)</f>
        <v/>
      </c>
      <c r="G1356" s="15" t="n"/>
    </row>
    <row r="1357">
      <c r="A1357" s="19" t="n"/>
      <c r="B1357" s="15" t="n"/>
      <c r="C1357">
        <f>IF(B1357="","",IFERROR(INDEX(Items!$B$5:$B$304,MATCH(B1357,Items!$A$5:$A$304,0)),"Unknown code"))</f>
        <v/>
      </c>
      <c r="D1357" s="15" t="n"/>
      <c r="E1357" s="16" t="n"/>
      <c r="F1357" s="18">
        <f>IF(OR(D1357="",E1357=""),"",D1357*E1357)</f>
        <v/>
      </c>
      <c r="G1357" s="15" t="n"/>
    </row>
    <row r="1358">
      <c r="A1358" s="19" t="n"/>
      <c r="B1358" s="15" t="n"/>
      <c r="C1358">
        <f>IF(B1358="","",IFERROR(INDEX(Items!$B$5:$B$304,MATCH(B1358,Items!$A$5:$A$304,0)),"Unknown code"))</f>
        <v/>
      </c>
      <c r="D1358" s="15" t="n"/>
      <c r="E1358" s="16" t="n"/>
      <c r="F1358" s="18">
        <f>IF(OR(D1358="",E1358=""),"",D1358*E1358)</f>
        <v/>
      </c>
      <c r="G1358" s="15" t="n"/>
    </row>
    <row r="1359">
      <c r="A1359" s="19" t="n"/>
      <c r="B1359" s="15" t="n"/>
      <c r="C1359">
        <f>IF(B1359="","",IFERROR(INDEX(Items!$B$5:$B$304,MATCH(B1359,Items!$A$5:$A$304,0)),"Unknown code"))</f>
        <v/>
      </c>
      <c r="D1359" s="15" t="n"/>
      <c r="E1359" s="16" t="n"/>
      <c r="F1359" s="18">
        <f>IF(OR(D1359="",E1359=""),"",D1359*E1359)</f>
        <v/>
      </c>
      <c r="G1359" s="15" t="n"/>
    </row>
    <row r="1360">
      <c r="A1360" s="19" t="n"/>
      <c r="B1360" s="15" t="n"/>
      <c r="C1360">
        <f>IF(B1360="","",IFERROR(INDEX(Items!$B$5:$B$304,MATCH(B1360,Items!$A$5:$A$304,0)),"Unknown code"))</f>
        <v/>
      </c>
      <c r="D1360" s="15" t="n"/>
      <c r="E1360" s="16" t="n"/>
      <c r="F1360" s="18">
        <f>IF(OR(D1360="",E1360=""),"",D1360*E1360)</f>
        <v/>
      </c>
      <c r="G1360" s="15" t="n"/>
    </row>
    <row r="1361">
      <c r="A1361" s="19" t="n"/>
      <c r="B1361" s="15" t="n"/>
      <c r="C1361">
        <f>IF(B1361="","",IFERROR(INDEX(Items!$B$5:$B$304,MATCH(B1361,Items!$A$5:$A$304,0)),"Unknown code"))</f>
        <v/>
      </c>
      <c r="D1361" s="15" t="n"/>
      <c r="E1361" s="16" t="n"/>
      <c r="F1361" s="18">
        <f>IF(OR(D1361="",E1361=""),"",D1361*E1361)</f>
        <v/>
      </c>
      <c r="G1361" s="15" t="n"/>
    </row>
    <row r="1362">
      <c r="A1362" s="19" t="n"/>
      <c r="B1362" s="15" t="n"/>
      <c r="C1362">
        <f>IF(B1362="","",IFERROR(INDEX(Items!$B$5:$B$304,MATCH(B1362,Items!$A$5:$A$304,0)),"Unknown code"))</f>
        <v/>
      </c>
      <c r="D1362" s="15" t="n"/>
      <c r="E1362" s="16" t="n"/>
      <c r="F1362" s="18">
        <f>IF(OR(D1362="",E1362=""),"",D1362*E1362)</f>
        <v/>
      </c>
      <c r="G1362" s="15" t="n"/>
    </row>
    <row r="1363">
      <c r="A1363" s="19" t="n"/>
      <c r="B1363" s="15" t="n"/>
      <c r="C1363">
        <f>IF(B1363="","",IFERROR(INDEX(Items!$B$5:$B$304,MATCH(B1363,Items!$A$5:$A$304,0)),"Unknown code"))</f>
        <v/>
      </c>
      <c r="D1363" s="15" t="n"/>
      <c r="E1363" s="16" t="n"/>
      <c r="F1363" s="18">
        <f>IF(OR(D1363="",E1363=""),"",D1363*E1363)</f>
        <v/>
      </c>
      <c r="G1363" s="15" t="n"/>
    </row>
    <row r="1364">
      <c r="A1364" s="19" t="n"/>
      <c r="B1364" s="15" t="n"/>
      <c r="C1364">
        <f>IF(B1364="","",IFERROR(INDEX(Items!$B$5:$B$304,MATCH(B1364,Items!$A$5:$A$304,0)),"Unknown code"))</f>
        <v/>
      </c>
      <c r="D1364" s="15" t="n"/>
      <c r="E1364" s="16" t="n"/>
      <c r="F1364" s="18">
        <f>IF(OR(D1364="",E1364=""),"",D1364*E1364)</f>
        <v/>
      </c>
      <c r="G1364" s="15" t="n"/>
    </row>
    <row r="1365">
      <c r="A1365" s="19" t="n"/>
      <c r="B1365" s="15" t="n"/>
      <c r="C1365">
        <f>IF(B1365="","",IFERROR(INDEX(Items!$B$5:$B$304,MATCH(B1365,Items!$A$5:$A$304,0)),"Unknown code"))</f>
        <v/>
      </c>
      <c r="D1365" s="15" t="n"/>
      <c r="E1365" s="16" t="n"/>
      <c r="F1365" s="18">
        <f>IF(OR(D1365="",E1365=""),"",D1365*E1365)</f>
        <v/>
      </c>
      <c r="G1365" s="15" t="n"/>
    </row>
    <row r="1366">
      <c r="A1366" s="19" t="n"/>
      <c r="B1366" s="15" t="n"/>
      <c r="C1366">
        <f>IF(B1366="","",IFERROR(INDEX(Items!$B$5:$B$304,MATCH(B1366,Items!$A$5:$A$304,0)),"Unknown code"))</f>
        <v/>
      </c>
      <c r="D1366" s="15" t="n"/>
      <c r="E1366" s="16" t="n"/>
      <c r="F1366" s="18">
        <f>IF(OR(D1366="",E1366=""),"",D1366*E1366)</f>
        <v/>
      </c>
      <c r="G1366" s="15" t="n"/>
    </row>
    <row r="1367">
      <c r="A1367" s="19" t="n"/>
      <c r="B1367" s="15" t="n"/>
      <c r="C1367">
        <f>IF(B1367="","",IFERROR(INDEX(Items!$B$5:$B$304,MATCH(B1367,Items!$A$5:$A$304,0)),"Unknown code"))</f>
        <v/>
      </c>
      <c r="D1367" s="15" t="n"/>
      <c r="E1367" s="16" t="n"/>
      <c r="F1367" s="18">
        <f>IF(OR(D1367="",E1367=""),"",D1367*E1367)</f>
        <v/>
      </c>
      <c r="G1367" s="15" t="n"/>
    </row>
    <row r="1368">
      <c r="A1368" s="19" t="n"/>
      <c r="B1368" s="15" t="n"/>
      <c r="C1368">
        <f>IF(B1368="","",IFERROR(INDEX(Items!$B$5:$B$304,MATCH(B1368,Items!$A$5:$A$304,0)),"Unknown code"))</f>
        <v/>
      </c>
      <c r="D1368" s="15" t="n"/>
      <c r="E1368" s="16" t="n"/>
      <c r="F1368" s="18">
        <f>IF(OR(D1368="",E1368=""),"",D1368*E1368)</f>
        <v/>
      </c>
      <c r="G1368" s="15" t="n"/>
    </row>
    <row r="1369">
      <c r="A1369" s="19" t="n"/>
      <c r="B1369" s="15" t="n"/>
      <c r="C1369">
        <f>IF(B1369="","",IFERROR(INDEX(Items!$B$5:$B$304,MATCH(B1369,Items!$A$5:$A$304,0)),"Unknown code"))</f>
        <v/>
      </c>
      <c r="D1369" s="15" t="n"/>
      <c r="E1369" s="16" t="n"/>
      <c r="F1369" s="18">
        <f>IF(OR(D1369="",E1369=""),"",D1369*E1369)</f>
        <v/>
      </c>
      <c r="G1369" s="15" t="n"/>
    </row>
    <row r="1370">
      <c r="A1370" s="19" t="n"/>
      <c r="B1370" s="15" t="n"/>
      <c r="C1370">
        <f>IF(B1370="","",IFERROR(INDEX(Items!$B$5:$B$304,MATCH(B1370,Items!$A$5:$A$304,0)),"Unknown code"))</f>
        <v/>
      </c>
      <c r="D1370" s="15" t="n"/>
      <c r="E1370" s="16" t="n"/>
      <c r="F1370" s="18">
        <f>IF(OR(D1370="",E1370=""),"",D1370*E1370)</f>
        <v/>
      </c>
      <c r="G1370" s="15" t="n"/>
    </row>
    <row r="1371">
      <c r="A1371" s="19" t="n"/>
      <c r="B1371" s="15" t="n"/>
      <c r="C1371">
        <f>IF(B1371="","",IFERROR(INDEX(Items!$B$5:$B$304,MATCH(B1371,Items!$A$5:$A$304,0)),"Unknown code"))</f>
        <v/>
      </c>
      <c r="D1371" s="15" t="n"/>
      <c r="E1371" s="16" t="n"/>
      <c r="F1371" s="18">
        <f>IF(OR(D1371="",E1371=""),"",D1371*E1371)</f>
        <v/>
      </c>
      <c r="G1371" s="15" t="n"/>
    </row>
    <row r="1372">
      <c r="A1372" s="19" t="n"/>
      <c r="B1372" s="15" t="n"/>
      <c r="C1372">
        <f>IF(B1372="","",IFERROR(INDEX(Items!$B$5:$B$304,MATCH(B1372,Items!$A$5:$A$304,0)),"Unknown code"))</f>
        <v/>
      </c>
      <c r="D1372" s="15" t="n"/>
      <c r="E1372" s="16" t="n"/>
      <c r="F1372" s="18">
        <f>IF(OR(D1372="",E1372=""),"",D1372*E1372)</f>
        <v/>
      </c>
      <c r="G1372" s="15" t="n"/>
    </row>
    <row r="1373">
      <c r="A1373" s="19" t="n"/>
      <c r="B1373" s="15" t="n"/>
      <c r="C1373">
        <f>IF(B1373="","",IFERROR(INDEX(Items!$B$5:$B$304,MATCH(B1373,Items!$A$5:$A$304,0)),"Unknown code"))</f>
        <v/>
      </c>
      <c r="D1373" s="15" t="n"/>
      <c r="E1373" s="16" t="n"/>
      <c r="F1373" s="18">
        <f>IF(OR(D1373="",E1373=""),"",D1373*E1373)</f>
        <v/>
      </c>
      <c r="G1373" s="15" t="n"/>
    </row>
    <row r="1374">
      <c r="A1374" s="19" t="n"/>
      <c r="B1374" s="15" t="n"/>
      <c r="C1374">
        <f>IF(B1374="","",IFERROR(INDEX(Items!$B$5:$B$304,MATCH(B1374,Items!$A$5:$A$304,0)),"Unknown code"))</f>
        <v/>
      </c>
      <c r="D1374" s="15" t="n"/>
      <c r="E1374" s="16" t="n"/>
      <c r="F1374" s="18">
        <f>IF(OR(D1374="",E1374=""),"",D1374*E1374)</f>
        <v/>
      </c>
      <c r="G1374" s="15" t="n"/>
    </row>
    <row r="1375">
      <c r="A1375" s="19" t="n"/>
      <c r="B1375" s="15" t="n"/>
      <c r="C1375">
        <f>IF(B1375="","",IFERROR(INDEX(Items!$B$5:$B$304,MATCH(B1375,Items!$A$5:$A$304,0)),"Unknown code"))</f>
        <v/>
      </c>
      <c r="D1375" s="15" t="n"/>
      <c r="E1375" s="16" t="n"/>
      <c r="F1375" s="18">
        <f>IF(OR(D1375="",E1375=""),"",D1375*E1375)</f>
        <v/>
      </c>
      <c r="G1375" s="15" t="n"/>
    </row>
    <row r="1376">
      <c r="A1376" s="19" t="n"/>
      <c r="B1376" s="15" t="n"/>
      <c r="C1376">
        <f>IF(B1376="","",IFERROR(INDEX(Items!$B$5:$B$304,MATCH(B1376,Items!$A$5:$A$304,0)),"Unknown code"))</f>
        <v/>
      </c>
      <c r="D1376" s="15" t="n"/>
      <c r="E1376" s="16" t="n"/>
      <c r="F1376" s="18">
        <f>IF(OR(D1376="",E1376=""),"",D1376*E1376)</f>
        <v/>
      </c>
      <c r="G1376" s="15" t="n"/>
    </row>
    <row r="1377">
      <c r="A1377" s="19" t="n"/>
      <c r="B1377" s="15" t="n"/>
      <c r="C1377">
        <f>IF(B1377="","",IFERROR(INDEX(Items!$B$5:$B$304,MATCH(B1377,Items!$A$5:$A$304,0)),"Unknown code"))</f>
        <v/>
      </c>
      <c r="D1377" s="15" t="n"/>
      <c r="E1377" s="16" t="n"/>
      <c r="F1377" s="18">
        <f>IF(OR(D1377="",E1377=""),"",D1377*E1377)</f>
        <v/>
      </c>
      <c r="G1377" s="15" t="n"/>
    </row>
    <row r="1378">
      <c r="A1378" s="19" t="n"/>
      <c r="B1378" s="15" t="n"/>
      <c r="C1378">
        <f>IF(B1378="","",IFERROR(INDEX(Items!$B$5:$B$304,MATCH(B1378,Items!$A$5:$A$304,0)),"Unknown code"))</f>
        <v/>
      </c>
      <c r="D1378" s="15" t="n"/>
      <c r="E1378" s="16" t="n"/>
      <c r="F1378" s="18">
        <f>IF(OR(D1378="",E1378=""),"",D1378*E1378)</f>
        <v/>
      </c>
      <c r="G1378" s="15" t="n"/>
    </row>
    <row r="1379">
      <c r="A1379" s="19" t="n"/>
      <c r="B1379" s="15" t="n"/>
      <c r="C1379">
        <f>IF(B1379="","",IFERROR(INDEX(Items!$B$5:$B$304,MATCH(B1379,Items!$A$5:$A$304,0)),"Unknown code"))</f>
        <v/>
      </c>
      <c r="D1379" s="15" t="n"/>
      <c r="E1379" s="16" t="n"/>
      <c r="F1379" s="18">
        <f>IF(OR(D1379="",E1379=""),"",D1379*E1379)</f>
        <v/>
      </c>
      <c r="G1379" s="15" t="n"/>
    </row>
    <row r="1380">
      <c r="A1380" s="19" t="n"/>
      <c r="B1380" s="15" t="n"/>
      <c r="C1380">
        <f>IF(B1380="","",IFERROR(INDEX(Items!$B$5:$B$304,MATCH(B1380,Items!$A$5:$A$304,0)),"Unknown code"))</f>
        <v/>
      </c>
      <c r="D1380" s="15" t="n"/>
      <c r="E1380" s="16" t="n"/>
      <c r="F1380" s="18">
        <f>IF(OR(D1380="",E1380=""),"",D1380*E1380)</f>
        <v/>
      </c>
      <c r="G1380" s="15" t="n"/>
    </row>
    <row r="1381">
      <c r="A1381" s="19" t="n"/>
      <c r="B1381" s="15" t="n"/>
      <c r="C1381">
        <f>IF(B1381="","",IFERROR(INDEX(Items!$B$5:$B$304,MATCH(B1381,Items!$A$5:$A$304,0)),"Unknown code"))</f>
        <v/>
      </c>
      <c r="D1381" s="15" t="n"/>
      <c r="E1381" s="16" t="n"/>
      <c r="F1381" s="18">
        <f>IF(OR(D1381="",E1381=""),"",D1381*E1381)</f>
        <v/>
      </c>
      <c r="G1381" s="15" t="n"/>
    </row>
    <row r="1382">
      <c r="A1382" s="19" t="n"/>
      <c r="B1382" s="15" t="n"/>
      <c r="C1382">
        <f>IF(B1382="","",IFERROR(INDEX(Items!$B$5:$B$304,MATCH(B1382,Items!$A$5:$A$304,0)),"Unknown code"))</f>
        <v/>
      </c>
      <c r="D1382" s="15" t="n"/>
      <c r="E1382" s="16" t="n"/>
      <c r="F1382" s="18">
        <f>IF(OR(D1382="",E1382=""),"",D1382*E1382)</f>
        <v/>
      </c>
      <c r="G1382" s="15" t="n"/>
    </row>
    <row r="1383">
      <c r="A1383" s="19" t="n"/>
      <c r="B1383" s="15" t="n"/>
      <c r="C1383">
        <f>IF(B1383="","",IFERROR(INDEX(Items!$B$5:$B$304,MATCH(B1383,Items!$A$5:$A$304,0)),"Unknown code"))</f>
        <v/>
      </c>
      <c r="D1383" s="15" t="n"/>
      <c r="E1383" s="16" t="n"/>
      <c r="F1383" s="18">
        <f>IF(OR(D1383="",E1383=""),"",D1383*E1383)</f>
        <v/>
      </c>
      <c r="G1383" s="15" t="n"/>
    </row>
    <row r="1384">
      <c r="A1384" s="19" t="n"/>
      <c r="B1384" s="15" t="n"/>
      <c r="C1384">
        <f>IF(B1384="","",IFERROR(INDEX(Items!$B$5:$B$304,MATCH(B1384,Items!$A$5:$A$304,0)),"Unknown code"))</f>
        <v/>
      </c>
      <c r="D1384" s="15" t="n"/>
      <c r="E1384" s="16" t="n"/>
      <c r="F1384" s="18">
        <f>IF(OR(D1384="",E1384=""),"",D1384*E1384)</f>
        <v/>
      </c>
      <c r="G1384" s="15" t="n"/>
    </row>
    <row r="1385">
      <c r="A1385" s="19" t="n"/>
      <c r="B1385" s="15" t="n"/>
      <c r="C1385">
        <f>IF(B1385="","",IFERROR(INDEX(Items!$B$5:$B$304,MATCH(B1385,Items!$A$5:$A$304,0)),"Unknown code"))</f>
        <v/>
      </c>
      <c r="D1385" s="15" t="n"/>
      <c r="E1385" s="16" t="n"/>
      <c r="F1385" s="18">
        <f>IF(OR(D1385="",E1385=""),"",D1385*E1385)</f>
        <v/>
      </c>
      <c r="G1385" s="15" t="n"/>
    </row>
    <row r="1386">
      <c r="A1386" s="19" t="n"/>
      <c r="B1386" s="15" t="n"/>
      <c r="C1386">
        <f>IF(B1386="","",IFERROR(INDEX(Items!$B$5:$B$304,MATCH(B1386,Items!$A$5:$A$304,0)),"Unknown code"))</f>
        <v/>
      </c>
      <c r="D1386" s="15" t="n"/>
      <c r="E1386" s="16" t="n"/>
      <c r="F1386" s="18">
        <f>IF(OR(D1386="",E1386=""),"",D1386*E1386)</f>
        <v/>
      </c>
      <c r="G1386" s="15" t="n"/>
    </row>
    <row r="1387">
      <c r="A1387" s="19" t="n"/>
      <c r="B1387" s="15" t="n"/>
      <c r="C1387">
        <f>IF(B1387="","",IFERROR(INDEX(Items!$B$5:$B$304,MATCH(B1387,Items!$A$5:$A$304,0)),"Unknown code"))</f>
        <v/>
      </c>
      <c r="D1387" s="15" t="n"/>
      <c r="E1387" s="16" t="n"/>
      <c r="F1387" s="18">
        <f>IF(OR(D1387="",E1387=""),"",D1387*E1387)</f>
        <v/>
      </c>
      <c r="G1387" s="15" t="n"/>
    </row>
    <row r="1388">
      <c r="A1388" s="19" t="n"/>
      <c r="B1388" s="15" t="n"/>
      <c r="C1388">
        <f>IF(B1388="","",IFERROR(INDEX(Items!$B$5:$B$304,MATCH(B1388,Items!$A$5:$A$304,0)),"Unknown code"))</f>
        <v/>
      </c>
      <c r="D1388" s="15" t="n"/>
      <c r="E1388" s="16" t="n"/>
      <c r="F1388" s="18">
        <f>IF(OR(D1388="",E1388=""),"",D1388*E1388)</f>
        <v/>
      </c>
      <c r="G1388" s="15" t="n"/>
    </row>
    <row r="1389">
      <c r="A1389" s="19" t="n"/>
      <c r="B1389" s="15" t="n"/>
      <c r="C1389">
        <f>IF(B1389="","",IFERROR(INDEX(Items!$B$5:$B$304,MATCH(B1389,Items!$A$5:$A$304,0)),"Unknown code"))</f>
        <v/>
      </c>
      <c r="D1389" s="15" t="n"/>
      <c r="E1389" s="16" t="n"/>
      <c r="F1389" s="18">
        <f>IF(OR(D1389="",E1389=""),"",D1389*E1389)</f>
        <v/>
      </c>
      <c r="G1389" s="15" t="n"/>
    </row>
    <row r="1390">
      <c r="A1390" s="19" t="n"/>
      <c r="B1390" s="15" t="n"/>
      <c r="C1390">
        <f>IF(B1390="","",IFERROR(INDEX(Items!$B$5:$B$304,MATCH(B1390,Items!$A$5:$A$304,0)),"Unknown code"))</f>
        <v/>
      </c>
      <c r="D1390" s="15" t="n"/>
      <c r="E1390" s="16" t="n"/>
      <c r="F1390" s="18">
        <f>IF(OR(D1390="",E1390=""),"",D1390*E1390)</f>
        <v/>
      </c>
      <c r="G1390" s="15" t="n"/>
    </row>
    <row r="1391">
      <c r="A1391" s="19" t="n"/>
      <c r="B1391" s="15" t="n"/>
      <c r="C1391">
        <f>IF(B1391="","",IFERROR(INDEX(Items!$B$5:$B$304,MATCH(B1391,Items!$A$5:$A$304,0)),"Unknown code"))</f>
        <v/>
      </c>
      <c r="D1391" s="15" t="n"/>
      <c r="E1391" s="16" t="n"/>
      <c r="F1391" s="18">
        <f>IF(OR(D1391="",E1391=""),"",D1391*E1391)</f>
        <v/>
      </c>
      <c r="G1391" s="15" t="n"/>
    </row>
    <row r="1392">
      <c r="A1392" s="19" t="n"/>
      <c r="B1392" s="15" t="n"/>
      <c r="C1392">
        <f>IF(B1392="","",IFERROR(INDEX(Items!$B$5:$B$304,MATCH(B1392,Items!$A$5:$A$304,0)),"Unknown code"))</f>
        <v/>
      </c>
      <c r="D1392" s="15" t="n"/>
      <c r="E1392" s="16" t="n"/>
      <c r="F1392" s="18">
        <f>IF(OR(D1392="",E1392=""),"",D1392*E1392)</f>
        <v/>
      </c>
      <c r="G1392" s="15" t="n"/>
    </row>
    <row r="1393">
      <c r="A1393" s="19" t="n"/>
      <c r="B1393" s="15" t="n"/>
      <c r="C1393">
        <f>IF(B1393="","",IFERROR(INDEX(Items!$B$5:$B$304,MATCH(B1393,Items!$A$5:$A$304,0)),"Unknown code"))</f>
        <v/>
      </c>
      <c r="D1393" s="15" t="n"/>
      <c r="E1393" s="16" t="n"/>
      <c r="F1393" s="18">
        <f>IF(OR(D1393="",E1393=""),"",D1393*E1393)</f>
        <v/>
      </c>
      <c r="G1393" s="15" t="n"/>
    </row>
    <row r="1394">
      <c r="A1394" s="19" t="n"/>
      <c r="B1394" s="15" t="n"/>
      <c r="C1394">
        <f>IF(B1394="","",IFERROR(INDEX(Items!$B$5:$B$304,MATCH(B1394,Items!$A$5:$A$304,0)),"Unknown code"))</f>
        <v/>
      </c>
      <c r="D1394" s="15" t="n"/>
      <c r="E1394" s="16" t="n"/>
      <c r="F1394" s="18">
        <f>IF(OR(D1394="",E1394=""),"",D1394*E1394)</f>
        <v/>
      </c>
      <c r="G1394" s="15" t="n"/>
    </row>
    <row r="1395">
      <c r="A1395" s="19" t="n"/>
      <c r="B1395" s="15" t="n"/>
      <c r="C1395">
        <f>IF(B1395="","",IFERROR(INDEX(Items!$B$5:$B$304,MATCH(B1395,Items!$A$5:$A$304,0)),"Unknown code"))</f>
        <v/>
      </c>
      <c r="D1395" s="15" t="n"/>
      <c r="E1395" s="16" t="n"/>
      <c r="F1395" s="18">
        <f>IF(OR(D1395="",E1395=""),"",D1395*E1395)</f>
        <v/>
      </c>
      <c r="G1395" s="15" t="n"/>
    </row>
    <row r="1396">
      <c r="A1396" s="19" t="n"/>
      <c r="B1396" s="15" t="n"/>
      <c r="C1396">
        <f>IF(B1396="","",IFERROR(INDEX(Items!$B$5:$B$304,MATCH(B1396,Items!$A$5:$A$304,0)),"Unknown code"))</f>
        <v/>
      </c>
      <c r="D1396" s="15" t="n"/>
      <c r="E1396" s="16" t="n"/>
      <c r="F1396" s="18">
        <f>IF(OR(D1396="",E1396=""),"",D1396*E1396)</f>
        <v/>
      </c>
      <c r="G1396" s="15" t="n"/>
    </row>
    <row r="1397">
      <c r="A1397" s="19" t="n"/>
      <c r="B1397" s="15" t="n"/>
      <c r="C1397">
        <f>IF(B1397="","",IFERROR(INDEX(Items!$B$5:$B$304,MATCH(B1397,Items!$A$5:$A$304,0)),"Unknown code"))</f>
        <v/>
      </c>
      <c r="D1397" s="15" t="n"/>
      <c r="E1397" s="16" t="n"/>
      <c r="F1397" s="18">
        <f>IF(OR(D1397="",E1397=""),"",D1397*E1397)</f>
        <v/>
      </c>
      <c r="G1397" s="15" t="n"/>
    </row>
    <row r="1398">
      <c r="A1398" s="19" t="n"/>
      <c r="B1398" s="15" t="n"/>
      <c r="C1398">
        <f>IF(B1398="","",IFERROR(INDEX(Items!$B$5:$B$304,MATCH(B1398,Items!$A$5:$A$304,0)),"Unknown code"))</f>
        <v/>
      </c>
      <c r="D1398" s="15" t="n"/>
      <c r="E1398" s="16" t="n"/>
      <c r="F1398" s="18">
        <f>IF(OR(D1398="",E1398=""),"",D1398*E1398)</f>
        <v/>
      </c>
      <c r="G1398" s="15" t="n"/>
    </row>
    <row r="1399">
      <c r="A1399" s="19" t="n"/>
      <c r="B1399" s="15" t="n"/>
      <c r="C1399">
        <f>IF(B1399="","",IFERROR(INDEX(Items!$B$5:$B$304,MATCH(B1399,Items!$A$5:$A$304,0)),"Unknown code"))</f>
        <v/>
      </c>
      <c r="D1399" s="15" t="n"/>
      <c r="E1399" s="16" t="n"/>
      <c r="F1399" s="18">
        <f>IF(OR(D1399="",E1399=""),"",D1399*E1399)</f>
        <v/>
      </c>
      <c r="G1399" s="15" t="n"/>
    </row>
    <row r="1400">
      <c r="A1400" s="19" t="n"/>
      <c r="B1400" s="15" t="n"/>
      <c r="C1400">
        <f>IF(B1400="","",IFERROR(INDEX(Items!$B$5:$B$304,MATCH(B1400,Items!$A$5:$A$304,0)),"Unknown code"))</f>
        <v/>
      </c>
      <c r="D1400" s="15" t="n"/>
      <c r="E1400" s="16" t="n"/>
      <c r="F1400" s="18">
        <f>IF(OR(D1400="",E1400=""),"",D1400*E1400)</f>
        <v/>
      </c>
      <c r="G1400" s="15" t="n"/>
    </row>
    <row r="1401">
      <c r="A1401" s="19" t="n"/>
      <c r="B1401" s="15" t="n"/>
      <c r="C1401">
        <f>IF(B1401="","",IFERROR(INDEX(Items!$B$5:$B$304,MATCH(B1401,Items!$A$5:$A$304,0)),"Unknown code"))</f>
        <v/>
      </c>
      <c r="D1401" s="15" t="n"/>
      <c r="E1401" s="16" t="n"/>
      <c r="F1401" s="18">
        <f>IF(OR(D1401="",E1401=""),"",D1401*E1401)</f>
        <v/>
      </c>
      <c r="G1401" s="15" t="n"/>
    </row>
    <row r="1402">
      <c r="A1402" s="19" t="n"/>
      <c r="B1402" s="15" t="n"/>
      <c r="C1402">
        <f>IF(B1402="","",IFERROR(INDEX(Items!$B$5:$B$304,MATCH(B1402,Items!$A$5:$A$304,0)),"Unknown code"))</f>
        <v/>
      </c>
      <c r="D1402" s="15" t="n"/>
      <c r="E1402" s="16" t="n"/>
      <c r="F1402" s="18">
        <f>IF(OR(D1402="",E1402=""),"",D1402*E1402)</f>
        <v/>
      </c>
      <c r="G1402" s="15" t="n"/>
    </row>
    <row r="1403">
      <c r="A1403" s="19" t="n"/>
      <c r="B1403" s="15" t="n"/>
      <c r="C1403">
        <f>IF(B1403="","",IFERROR(INDEX(Items!$B$5:$B$304,MATCH(B1403,Items!$A$5:$A$304,0)),"Unknown code"))</f>
        <v/>
      </c>
      <c r="D1403" s="15" t="n"/>
      <c r="E1403" s="16" t="n"/>
      <c r="F1403" s="18">
        <f>IF(OR(D1403="",E1403=""),"",D1403*E1403)</f>
        <v/>
      </c>
      <c r="G1403" s="15" t="n"/>
    </row>
    <row r="1404">
      <c r="A1404" s="19" t="n"/>
      <c r="B1404" s="15" t="n"/>
      <c r="C1404">
        <f>IF(B1404="","",IFERROR(INDEX(Items!$B$5:$B$304,MATCH(B1404,Items!$A$5:$A$304,0)),"Unknown code"))</f>
        <v/>
      </c>
      <c r="D1404" s="15" t="n"/>
      <c r="E1404" s="16" t="n"/>
      <c r="F1404" s="18">
        <f>IF(OR(D1404="",E1404=""),"",D1404*E1404)</f>
        <v/>
      </c>
      <c r="G1404" s="15" t="n"/>
    </row>
    <row r="1405">
      <c r="A1405" s="19" t="n"/>
      <c r="B1405" s="15" t="n"/>
      <c r="C1405">
        <f>IF(B1405="","",IFERROR(INDEX(Items!$B$5:$B$304,MATCH(B1405,Items!$A$5:$A$304,0)),"Unknown code"))</f>
        <v/>
      </c>
      <c r="D1405" s="15" t="n"/>
      <c r="E1405" s="16" t="n"/>
      <c r="F1405" s="18">
        <f>IF(OR(D1405="",E1405=""),"",D1405*E1405)</f>
        <v/>
      </c>
      <c r="G1405" s="15" t="n"/>
    </row>
    <row r="1406">
      <c r="A1406" s="19" t="n"/>
      <c r="B1406" s="15" t="n"/>
      <c r="C1406">
        <f>IF(B1406="","",IFERROR(INDEX(Items!$B$5:$B$304,MATCH(B1406,Items!$A$5:$A$304,0)),"Unknown code"))</f>
        <v/>
      </c>
      <c r="D1406" s="15" t="n"/>
      <c r="E1406" s="16" t="n"/>
      <c r="F1406" s="18">
        <f>IF(OR(D1406="",E1406=""),"",D1406*E1406)</f>
        <v/>
      </c>
      <c r="G1406" s="15" t="n"/>
    </row>
    <row r="1407">
      <c r="A1407" s="19" t="n"/>
      <c r="B1407" s="15" t="n"/>
      <c r="C1407">
        <f>IF(B1407="","",IFERROR(INDEX(Items!$B$5:$B$304,MATCH(B1407,Items!$A$5:$A$304,0)),"Unknown code"))</f>
        <v/>
      </c>
      <c r="D1407" s="15" t="n"/>
      <c r="E1407" s="16" t="n"/>
      <c r="F1407" s="18">
        <f>IF(OR(D1407="",E1407=""),"",D1407*E1407)</f>
        <v/>
      </c>
      <c r="G1407" s="15" t="n"/>
    </row>
    <row r="1408">
      <c r="A1408" s="19" t="n"/>
      <c r="B1408" s="15" t="n"/>
      <c r="C1408">
        <f>IF(B1408="","",IFERROR(INDEX(Items!$B$5:$B$304,MATCH(B1408,Items!$A$5:$A$304,0)),"Unknown code"))</f>
        <v/>
      </c>
      <c r="D1408" s="15" t="n"/>
      <c r="E1408" s="16" t="n"/>
      <c r="F1408" s="18">
        <f>IF(OR(D1408="",E1408=""),"",D1408*E1408)</f>
        <v/>
      </c>
      <c r="G1408" s="15" t="n"/>
    </row>
    <row r="1409">
      <c r="A1409" s="19" t="n"/>
      <c r="B1409" s="15" t="n"/>
      <c r="C1409">
        <f>IF(B1409="","",IFERROR(INDEX(Items!$B$5:$B$304,MATCH(B1409,Items!$A$5:$A$304,0)),"Unknown code"))</f>
        <v/>
      </c>
      <c r="D1409" s="15" t="n"/>
      <c r="E1409" s="16" t="n"/>
      <c r="F1409" s="18">
        <f>IF(OR(D1409="",E1409=""),"",D1409*E1409)</f>
        <v/>
      </c>
      <c r="G1409" s="15" t="n"/>
    </row>
    <row r="1410">
      <c r="A1410" s="19" t="n"/>
      <c r="B1410" s="15" t="n"/>
      <c r="C1410">
        <f>IF(B1410="","",IFERROR(INDEX(Items!$B$5:$B$304,MATCH(B1410,Items!$A$5:$A$304,0)),"Unknown code"))</f>
        <v/>
      </c>
      <c r="D1410" s="15" t="n"/>
      <c r="E1410" s="16" t="n"/>
      <c r="F1410" s="18">
        <f>IF(OR(D1410="",E1410=""),"",D1410*E1410)</f>
        <v/>
      </c>
      <c r="G1410" s="15" t="n"/>
    </row>
    <row r="1411">
      <c r="A1411" s="19" t="n"/>
      <c r="B1411" s="15" t="n"/>
      <c r="C1411">
        <f>IF(B1411="","",IFERROR(INDEX(Items!$B$5:$B$304,MATCH(B1411,Items!$A$5:$A$304,0)),"Unknown code"))</f>
        <v/>
      </c>
      <c r="D1411" s="15" t="n"/>
      <c r="E1411" s="16" t="n"/>
      <c r="F1411" s="18">
        <f>IF(OR(D1411="",E1411=""),"",D1411*E1411)</f>
        <v/>
      </c>
      <c r="G1411" s="15" t="n"/>
    </row>
    <row r="1412">
      <c r="A1412" s="19" t="n"/>
      <c r="B1412" s="15" t="n"/>
      <c r="C1412">
        <f>IF(B1412="","",IFERROR(INDEX(Items!$B$5:$B$304,MATCH(B1412,Items!$A$5:$A$304,0)),"Unknown code"))</f>
        <v/>
      </c>
      <c r="D1412" s="15" t="n"/>
      <c r="E1412" s="16" t="n"/>
      <c r="F1412" s="18">
        <f>IF(OR(D1412="",E1412=""),"",D1412*E1412)</f>
        <v/>
      </c>
      <c r="G1412" s="15" t="n"/>
    </row>
    <row r="1413">
      <c r="A1413" s="19" t="n"/>
      <c r="B1413" s="15" t="n"/>
      <c r="C1413">
        <f>IF(B1413="","",IFERROR(INDEX(Items!$B$5:$B$304,MATCH(B1413,Items!$A$5:$A$304,0)),"Unknown code"))</f>
        <v/>
      </c>
      <c r="D1413" s="15" t="n"/>
      <c r="E1413" s="16" t="n"/>
      <c r="F1413" s="18">
        <f>IF(OR(D1413="",E1413=""),"",D1413*E1413)</f>
        <v/>
      </c>
      <c r="G1413" s="15" t="n"/>
    </row>
    <row r="1414">
      <c r="A1414" s="19" t="n"/>
      <c r="B1414" s="15" t="n"/>
      <c r="C1414">
        <f>IF(B1414="","",IFERROR(INDEX(Items!$B$5:$B$304,MATCH(B1414,Items!$A$5:$A$304,0)),"Unknown code"))</f>
        <v/>
      </c>
      <c r="D1414" s="15" t="n"/>
      <c r="E1414" s="16" t="n"/>
      <c r="F1414" s="18">
        <f>IF(OR(D1414="",E1414=""),"",D1414*E1414)</f>
        <v/>
      </c>
      <c r="G1414" s="15" t="n"/>
    </row>
    <row r="1415">
      <c r="A1415" s="19" t="n"/>
      <c r="B1415" s="15" t="n"/>
      <c r="C1415">
        <f>IF(B1415="","",IFERROR(INDEX(Items!$B$5:$B$304,MATCH(B1415,Items!$A$5:$A$304,0)),"Unknown code"))</f>
        <v/>
      </c>
      <c r="D1415" s="15" t="n"/>
      <c r="E1415" s="16" t="n"/>
      <c r="F1415" s="18">
        <f>IF(OR(D1415="",E1415=""),"",D1415*E1415)</f>
        <v/>
      </c>
      <c r="G1415" s="15" t="n"/>
    </row>
    <row r="1416">
      <c r="A1416" s="19" t="n"/>
      <c r="B1416" s="15" t="n"/>
      <c r="C1416">
        <f>IF(B1416="","",IFERROR(INDEX(Items!$B$5:$B$304,MATCH(B1416,Items!$A$5:$A$304,0)),"Unknown code"))</f>
        <v/>
      </c>
      <c r="D1416" s="15" t="n"/>
      <c r="E1416" s="16" t="n"/>
      <c r="F1416" s="18">
        <f>IF(OR(D1416="",E1416=""),"",D1416*E1416)</f>
        <v/>
      </c>
      <c r="G1416" s="15" t="n"/>
    </row>
    <row r="1417">
      <c r="A1417" s="19" t="n"/>
      <c r="B1417" s="15" t="n"/>
      <c r="C1417">
        <f>IF(B1417="","",IFERROR(INDEX(Items!$B$5:$B$304,MATCH(B1417,Items!$A$5:$A$304,0)),"Unknown code"))</f>
        <v/>
      </c>
      <c r="D1417" s="15" t="n"/>
      <c r="E1417" s="16" t="n"/>
      <c r="F1417" s="18">
        <f>IF(OR(D1417="",E1417=""),"",D1417*E1417)</f>
        <v/>
      </c>
      <c r="G1417" s="15" t="n"/>
    </row>
    <row r="1418">
      <c r="A1418" s="19" t="n"/>
      <c r="B1418" s="15" t="n"/>
      <c r="C1418">
        <f>IF(B1418="","",IFERROR(INDEX(Items!$B$5:$B$304,MATCH(B1418,Items!$A$5:$A$304,0)),"Unknown code"))</f>
        <v/>
      </c>
      <c r="D1418" s="15" t="n"/>
      <c r="E1418" s="16" t="n"/>
      <c r="F1418" s="18">
        <f>IF(OR(D1418="",E1418=""),"",D1418*E1418)</f>
        <v/>
      </c>
      <c r="G1418" s="15" t="n"/>
    </row>
    <row r="1419">
      <c r="A1419" s="19" t="n"/>
      <c r="B1419" s="15" t="n"/>
      <c r="C1419">
        <f>IF(B1419="","",IFERROR(INDEX(Items!$B$5:$B$304,MATCH(B1419,Items!$A$5:$A$304,0)),"Unknown code"))</f>
        <v/>
      </c>
      <c r="D1419" s="15" t="n"/>
      <c r="E1419" s="16" t="n"/>
      <c r="F1419" s="18">
        <f>IF(OR(D1419="",E1419=""),"",D1419*E1419)</f>
        <v/>
      </c>
      <c r="G1419" s="15" t="n"/>
    </row>
    <row r="1420">
      <c r="A1420" s="19" t="n"/>
      <c r="B1420" s="15" t="n"/>
      <c r="C1420">
        <f>IF(B1420="","",IFERROR(INDEX(Items!$B$5:$B$304,MATCH(B1420,Items!$A$5:$A$304,0)),"Unknown code"))</f>
        <v/>
      </c>
      <c r="D1420" s="15" t="n"/>
      <c r="E1420" s="16" t="n"/>
      <c r="F1420" s="18">
        <f>IF(OR(D1420="",E1420=""),"",D1420*E1420)</f>
        <v/>
      </c>
      <c r="G1420" s="15" t="n"/>
    </row>
    <row r="1421">
      <c r="A1421" s="19" t="n"/>
      <c r="B1421" s="15" t="n"/>
      <c r="C1421">
        <f>IF(B1421="","",IFERROR(INDEX(Items!$B$5:$B$304,MATCH(B1421,Items!$A$5:$A$304,0)),"Unknown code"))</f>
        <v/>
      </c>
      <c r="D1421" s="15" t="n"/>
      <c r="E1421" s="16" t="n"/>
      <c r="F1421" s="18">
        <f>IF(OR(D1421="",E1421=""),"",D1421*E1421)</f>
        <v/>
      </c>
      <c r="G1421" s="15" t="n"/>
    </row>
    <row r="1422">
      <c r="A1422" s="19" t="n"/>
      <c r="B1422" s="15" t="n"/>
      <c r="C1422">
        <f>IF(B1422="","",IFERROR(INDEX(Items!$B$5:$B$304,MATCH(B1422,Items!$A$5:$A$304,0)),"Unknown code"))</f>
        <v/>
      </c>
      <c r="D1422" s="15" t="n"/>
      <c r="E1422" s="16" t="n"/>
      <c r="F1422" s="18">
        <f>IF(OR(D1422="",E1422=""),"",D1422*E1422)</f>
        <v/>
      </c>
      <c r="G1422" s="15" t="n"/>
    </row>
    <row r="1423">
      <c r="A1423" s="19" t="n"/>
      <c r="B1423" s="15" t="n"/>
      <c r="C1423">
        <f>IF(B1423="","",IFERROR(INDEX(Items!$B$5:$B$304,MATCH(B1423,Items!$A$5:$A$304,0)),"Unknown code"))</f>
        <v/>
      </c>
      <c r="D1423" s="15" t="n"/>
      <c r="E1423" s="16" t="n"/>
      <c r="F1423" s="18">
        <f>IF(OR(D1423="",E1423=""),"",D1423*E1423)</f>
        <v/>
      </c>
      <c r="G1423" s="15" t="n"/>
    </row>
    <row r="1424">
      <c r="A1424" s="19" t="n"/>
      <c r="B1424" s="15" t="n"/>
      <c r="C1424">
        <f>IF(B1424="","",IFERROR(INDEX(Items!$B$5:$B$304,MATCH(B1424,Items!$A$5:$A$304,0)),"Unknown code"))</f>
        <v/>
      </c>
      <c r="D1424" s="15" t="n"/>
      <c r="E1424" s="16" t="n"/>
      <c r="F1424" s="18">
        <f>IF(OR(D1424="",E1424=""),"",D1424*E1424)</f>
        <v/>
      </c>
      <c r="G1424" s="15" t="n"/>
    </row>
    <row r="1425">
      <c r="A1425" s="19" t="n"/>
      <c r="B1425" s="15" t="n"/>
      <c r="C1425">
        <f>IF(B1425="","",IFERROR(INDEX(Items!$B$5:$B$304,MATCH(B1425,Items!$A$5:$A$304,0)),"Unknown code"))</f>
        <v/>
      </c>
      <c r="D1425" s="15" t="n"/>
      <c r="E1425" s="16" t="n"/>
      <c r="F1425" s="18">
        <f>IF(OR(D1425="",E1425=""),"",D1425*E1425)</f>
        <v/>
      </c>
      <c r="G1425" s="15" t="n"/>
    </row>
    <row r="1426">
      <c r="A1426" s="19" t="n"/>
      <c r="B1426" s="15" t="n"/>
      <c r="C1426">
        <f>IF(B1426="","",IFERROR(INDEX(Items!$B$5:$B$304,MATCH(B1426,Items!$A$5:$A$304,0)),"Unknown code"))</f>
        <v/>
      </c>
      <c r="D1426" s="15" t="n"/>
      <c r="E1426" s="16" t="n"/>
      <c r="F1426" s="18">
        <f>IF(OR(D1426="",E1426=""),"",D1426*E1426)</f>
        <v/>
      </c>
      <c r="G1426" s="15" t="n"/>
    </row>
    <row r="1427">
      <c r="A1427" s="19" t="n"/>
      <c r="B1427" s="15" t="n"/>
      <c r="C1427">
        <f>IF(B1427="","",IFERROR(INDEX(Items!$B$5:$B$304,MATCH(B1427,Items!$A$5:$A$304,0)),"Unknown code"))</f>
        <v/>
      </c>
      <c r="D1427" s="15" t="n"/>
      <c r="E1427" s="16" t="n"/>
      <c r="F1427" s="18">
        <f>IF(OR(D1427="",E1427=""),"",D1427*E1427)</f>
        <v/>
      </c>
      <c r="G1427" s="15" t="n"/>
    </row>
    <row r="1428">
      <c r="A1428" s="19" t="n"/>
      <c r="B1428" s="15" t="n"/>
      <c r="C1428">
        <f>IF(B1428="","",IFERROR(INDEX(Items!$B$5:$B$304,MATCH(B1428,Items!$A$5:$A$304,0)),"Unknown code"))</f>
        <v/>
      </c>
      <c r="D1428" s="15" t="n"/>
      <c r="E1428" s="16" t="n"/>
      <c r="F1428" s="18">
        <f>IF(OR(D1428="",E1428=""),"",D1428*E1428)</f>
        <v/>
      </c>
      <c r="G1428" s="15" t="n"/>
    </row>
    <row r="1429">
      <c r="A1429" s="19" t="n"/>
      <c r="B1429" s="15" t="n"/>
      <c r="C1429">
        <f>IF(B1429="","",IFERROR(INDEX(Items!$B$5:$B$304,MATCH(B1429,Items!$A$5:$A$304,0)),"Unknown code"))</f>
        <v/>
      </c>
      <c r="D1429" s="15" t="n"/>
      <c r="E1429" s="16" t="n"/>
      <c r="F1429" s="18">
        <f>IF(OR(D1429="",E1429=""),"",D1429*E1429)</f>
        <v/>
      </c>
      <c r="G1429" s="15" t="n"/>
    </row>
    <row r="1430">
      <c r="A1430" s="19" t="n"/>
      <c r="B1430" s="15" t="n"/>
      <c r="C1430">
        <f>IF(B1430="","",IFERROR(INDEX(Items!$B$5:$B$304,MATCH(B1430,Items!$A$5:$A$304,0)),"Unknown code"))</f>
        <v/>
      </c>
      <c r="D1430" s="15" t="n"/>
      <c r="E1430" s="16" t="n"/>
      <c r="F1430" s="18">
        <f>IF(OR(D1430="",E1430=""),"",D1430*E1430)</f>
        <v/>
      </c>
      <c r="G1430" s="15" t="n"/>
    </row>
    <row r="1431">
      <c r="A1431" s="19" t="n"/>
      <c r="B1431" s="15" t="n"/>
      <c r="C1431">
        <f>IF(B1431="","",IFERROR(INDEX(Items!$B$5:$B$304,MATCH(B1431,Items!$A$5:$A$304,0)),"Unknown code"))</f>
        <v/>
      </c>
      <c r="D1431" s="15" t="n"/>
      <c r="E1431" s="16" t="n"/>
      <c r="F1431" s="18">
        <f>IF(OR(D1431="",E1431=""),"",D1431*E1431)</f>
        <v/>
      </c>
      <c r="G1431" s="15" t="n"/>
    </row>
    <row r="1432">
      <c r="A1432" s="19" t="n"/>
      <c r="B1432" s="15" t="n"/>
      <c r="C1432">
        <f>IF(B1432="","",IFERROR(INDEX(Items!$B$5:$B$304,MATCH(B1432,Items!$A$5:$A$304,0)),"Unknown code"))</f>
        <v/>
      </c>
      <c r="D1432" s="15" t="n"/>
      <c r="E1432" s="16" t="n"/>
      <c r="F1432" s="18">
        <f>IF(OR(D1432="",E1432=""),"",D1432*E1432)</f>
        <v/>
      </c>
      <c r="G1432" s="15" t="n"/>
    </row>
    <row r="1433">
      <c r="A1433" s="19" t="n"/>
      <c r="B1433" s="15" t="n"/>
      <c r="C1433">
        <f>IF(B1433="","",IFERROR(INDEX(Items!$B$5:$B$304,MATCH(B1433,Items!$A$5:$A$304,0)),"Unknown code"))</f>
        <v/>
      </c>
      <c r="D1433" s="15" t="n"/>
      <c r="E1433" s="16" t="n"/>
      <c r="F1433" s="18">
        <f>IF(OR(D1433="",E1433=""),"",D1433*E1433)</f>
        <v/>
      </c>
      <c r="G1433" s="15" t="n"/>
    </row>
    <row r="1434">
      <c r="A1434" s="19" t="n"/>
      <c r="B1434" s="15" t="n"/>
      <c r="C1434">
        <f>IF(B1434="","",IFERROR(INDEX(Items!$B$5:$B$304,MATCH(B1434,Items!$A$5:$A$304,0)),"Unknown code"))</f>
        <v/>
      </c>
      <c r="D1434" s="15" t="n"/>
      <c r="E1434" s="16" t="n"/>
      <c r="F1434" s="18">
        <f>IF(OR(D1434="",E1434=""),"",D1434*E1434)</f>
        <v/>
      </c>
      <c r="G1434" s="15" t="n"/>
    </row>
    <row r="1435">
      <c r="A1435" s="19" t="n"/>
      <c r="B1435" s="15" t="n"/>
      <c r="C1435">
        <f>IF(B1435="","",IFERROR(INDEX(Items!$B$5:$B$304,MATCH(B1435,Items!$A$5:$A$304,0)),"Unknown code"))</f>
        <v/>
      </c>
      <c r="D1435" s="15" t="n"/>
      <c r="E1435" s="16" t="n"/>
      <c r="F1435" s="18">
        <f>IF(OR(D1435="",E1435=""),"",D1435*E1435)</f>
        <v/>
      </c>
      <c r="G1435" s="15" t="n"/>
    </row>
    <row r="1436">
      <c r="A1436" s="19" t="n"/>
      <c r="B1436" s="15" t="n"/>
      <c r="C1436">
        <f>IF(B1436="","",IFERROR(INDEX(Items!$B$5:$B$304,MATCH(B1436,Items!$A$5:$A$304,0)),"Unknown code"))</f>
        <v/>
      </c>
      <c r="D1436" s="15" t="n"/>
      <c r="E1436" s="16" t="n"/>
      <c r="F1436" s="18">
        <f>IF(OR(D1436="",E1436=""),"",D1436*E1436)</f>
        <v/>
      </c>
      <c r="G1436" s="15" t="n"/>
    </row>
    <row r="1437">
      <c r="A1437" s="19" t="n"/>
      <c r="B1437" s="15" t="n"/>
      <c r="C1437">
        <f>IF(B1437="","",IFERROR(INDEX(Items!$B$5:$B$304,MATCH(B1437,Items!$A$5:$A$304,0)),"Unknown code"))</f>
        <v/>
      </c>
      <c r="D1437" s="15" t="n"/>
      <c r="E1437" s="16" t="n"/>
      <c r="F1437" s="18">
        <f>IF(OR(D1437="",E1437=""),"",D1437*E1437)</f>
        <v/>
      </c>
      <c r="G1437" s="15" t="n"/>
    </row>
    <row r="1438">
      <c r="A1438" s="19" t="n"/>
      <c r="B1438" s="15" t="n"/>
      <c r="C1438">
        <f>IF(B1438="","",IFERROR(INDEX(Items!$B$5:$B$304,MATCH(B1438,Items!$A$5:$A$304,0)),"Unknown code"))</f>
        <v/>
      </c>
      <c r="D1438" s="15" t="n"/>
      <c r="E1438" s="16" t="n"/>
      <c r="F1438" s="18">
        <f>IF(OR(D1438="",E1438=""),"",D1438*E1438)</f>
        <v/>
      </c>
      <c r="G1438" s="15" t="n"/>
    </row>
    <row r="1439">
      <c r="A1439" s="19" t="n"/>
      <c r="B1439" s="15" t="n"/>
      <c r="C1439">
        <f>IF(B1439="","",IFERROR(INDEX(Items!$B$5:$B$304,MATCH(B1439,Items!$A$5:$A$304,0)),"Unknown code"))</f>
        <v/>
      </c>
      <c r="D1439" s="15" t="n"/>
      <c r="E1439" s="16" t="n"/>
      <c r="F1439" s="18">
        <f>IF(OR(D1439="",E1439=""),"",D1439*E1439)</f>
        <v/>
      </c>
      <c r="G1439" s="15" t="n"/>
    </row>
    <row r="1440">
      <c r="A1440" s="19" t="n"/>
      <c r="B1440" s="15" t="n"/>
      <c r="C1440">
        <f>IF(B1440="","",IFERROR(INDEX(Items!$B$5:$B$304,MATCH(B1440,Items!$A$5:$A$304,0)),"Unknown code"))</f>
        <v/>
      </c>
      <c r="D1440" s="15" t="n"/>
      <c r="E1440" s="16" t="n"/>
      <c r="F1440" s="18">
        <f>IF(OR(D1440="",E1440=""),"",D1440*E1440)</f>
        <v/>
      </c>
      <c r="G1440" s="15" t="n"/>
    </row>
    <row r="1441">
      <c r="A1441" s="19" t="n"/>
      <c r="B1441" s="15" t="n"/>
      <c r="C1441">
        <f>IF(B1441="","",IFERROR(INDEX(Items!$B$5:$B$304,MATCH(B1441,Items!$A$5:$A$304,0)),"Unknown code"))</f>
        <v/>
      </c>
      <c r="D1441" s="15" t="n"/>
      <c r="E1441" s="16" t="n"/>
      <c r="F1441" s="18">
        <f>IF(OR(D1441="",E1441=""),"",D1441*E1441)</f>
        <v/>
      </c>
      <c r="G1441" s="15" t="n"/>
    </row>
    <row r="1442">
      <c r="A1442" s="19" t="n"/>
      <c r="B1442" s="15" t="n"/>
      <c r="C1442">
        <f>IF(B1442="","",IFERROR(INDEX(Items!$B$5:$B$304,MATCH(B1442,Items!$A$5:$A$304,0)),"Unknown code"))</f>
        <v/>
      </c>
      <c r="D1442" s="15" t="n"/>
      <c r="E1442" s="16" t="n"/>
      <c r="F1442" s="18">
        <f>IF(OR(D1442="",E1442=""),"",D1442*E1442)</f>
        <v/>
      </c>
      <c r="G1442" s="15" t="n"/>
    </row>
    <row r="1443">
      <c r="A1443" s="19" t="n"/>
      <c r="B1443" s="15" t="n"/>
      <c r="C1443">
        <f>IF(B1443="","",IFERROR(INDEX(Items!$B$5:$B$304,MATCH(B1443,Items!$A$5:$A$304,0)),"Unknown code"))</f>
        <v/>
      </c>
      <c r="D1443" s="15" t="n"/>
      <c r="E1443" s="16" t="n"/>
      <c r="F1443" s="18">
        <f>IF(OR(D1443="",E1443=""),"",D1443*E1443)</f>
        <v/>
      </c>
      <c r="G1443" s="15" t="n"/>
    </row>
    <row r="1444">
      <c r="A1444" s="19" t="n"/>
      <c r="B1444" s="15" t="n"/>
      <c r="C1444">
        <f>IF(B1444="","",IFERROR(INDEX(Items!$B$5:$B$304,MATCH(B1444,Items!$A$5:$A$304,0)),"Unknown code"))</f>
        <v/>
      </c>
      <c r="D1444" s="15" t="n"/>
      <c r="E1444" s="16" t="n"/>
      <c r="F1444" s="18">
        <f>IF(OR(D1444="",E1444=""),"",D1444*E1444)</f>
        <v/>
      </c>
      <c r="G1444" s="15" t="n"/>
    </row>
    <row r="1445">
      <c r="A1445" s="19" t="n"/>
      <c r="B1445" s="15" t="n"/>
      <c r="C1445">
        <f>IF(B1445="","",IFERROR(INDEX(Items!$B$5:$B$304,MATCH(B1445,Items!$A$5:$A$304,0)),"Unknown code"))</f>
        <v/>
      </c>
      <c r="D1445" s="15" t="n"/>
      <c r="E1445" s="16" t="n"/>
      <c r="F1445" s="18">
        <f>IF(OR(D1445="",E1445=""),"",D1445*E1445)</f>
        <v/>
      </c>
      <c r="G1445" s="15" t="n"/>
    </row>
    <row r="1446">
      <c r="A1446" s="19" t="n"/>
      <c r="B1446" s="15" t="n"/>
      <c r="C1446">
        <f>IF(B1446="","",IFERROR(INDEX(Items!$B$5:$B$304,MATCH(B1446,Items!$A$5:$A$304,0)),"Unknown code"))</f>
        <v/>
      </c>
      <c r="D1446" s="15" t="n"/>
      <c r="E1446" s="16" t="n"/>
      <c r="F1446" s="18">
        <f>IF(OR(D1446="",E1446=""),"",D1446*E1446)</f>
        <v/>
      </c>
      <c r="G1446" s="15" t="n"/>
    </row>
    <row r="1447">
      <c r="A1447" s="19" t="n"/>
      <c r="B1447" s="15" t="n"/>
      <c r="C1447">
        <f>IF(B1447="","",IFERROR(INDEX(Items!$B$5:$B$304,MATCH(B1447,Items!$A$5:$A$304,0)),"Unknown code"))</f>
        <v/>
      </c>
      <c r="D1447" s="15" t="n"/>
      <c r="E1447" s="16" t="n"/>
      <c r="F1447" s="18">
        <f>IF(OR(D1447="",E1447=""),"",D1447*E1447)</f>
        <v/>
      </c>
      <c r="G1447" s="15" t="n"/>
    </row>
    <row r="1448">
      <c r="A1448" s="19" t="n"/>
      <c r="B1448" s="15" t="n"/>
      <c r="C1448">
        <f>IF(B1448="","",IFERROR(INDEX(Items!$B$5:$B$304,MATCH(B1448,Items!$A$5:$A$304,0)),"Unknown code"))</f>
        <v/>
      </c>
      <c r="D1448" s="15" t="n"/>
      <c r="E1448" s="16" t="n"/>
      <c r="F1448" s="18">
        <f>IF(OR(D1448="",E1448=""),"",D1448*E1448)</f>
        <v/>
      </c>
      <c r="G1448" s="15" t="n"/>
    </row>
    <row r="1449">
      <c r="A1449" s="19" t="n"/>
      <c r="B1449" s="15" t="n"/>
      <c r="C1449">
        <f>IF(B1449="","",IFERROR(INDEX(Items!$B$5:$B$304,MATCH(B1449,Items!$A$5:$A$304,0)),"Unknown code"))</f>
        <v/>
      </c>
      <c r="D1449" s="15" t="n"/>
      <c r="E1449" s="16" t="n"/>
      <c r="F1449" s="18">
        <f>IF(OR(D1449="",E1449=""),"",D1449*E1449)</f>
        <v/>
      </c>
      <c r="G1449" s="15" t="n"/>
    </row>
    <row r="1450">
      <c r="A1450" s="19" t="n"/>
      <c r="B1450" s="15" t="n"/>
      <c r="C1450">
        <f>IF(B1450="","",IFERROR(INDEX(Items!$B$5:$B$304,MATCH(B1450,Items!$A$5:$A$304,0)),"Unknown code"))</f>
        <v/>
      </c>
      <c r="D1450" s="15" t="n"/>
      <c r="E1450" s="16" t="n"/>
      <c r="F1450" s="18">
        <f>IF(OR(D1450="",E1450=""),"",D1450*E1450)</f>
        <v/>
      </c>
      <c r="G1450" s="15" t="n"/>
    </row>
    <row r="1451">
      <c r="A1451" s="19" t="n"/>
      <c r="B1451" s="15" t="n"/>
      <c r="C1451">
        <f>IF(B1451="","",IFERROR(INDEX(Items!$B$5:$B$304,MATCH(B1451,Items!$A$5:$A$304,0)),"Unknown code"))</f>
        <v/>
      </c>
      <c r="D1451" s="15" t="n"/>
      <c r="E1451" s="16" t="n"/>
      <c r="F1451" s="18">
        <f>IF(OR(D1451="",E1451=""),"",D1451*E1451)</f>
        <v/>
      </c>
      <c r="G1451" s="15" t="n"/>
    </row>
    <row r="1452">
      <c r="A1452" s="19" t="n"/>
      <c r="B1452" s="15" t="n"/>
      <c r="C1452">
        <f>IF(B1452="","",IFERROR(INDEX(Items!$B$5:$B$304,MATCH(B1452,Items!$A$5:$A$304,0)),"Unknown code"))</f>
        <v/>
      </c>
      <c r="D1452" s="15" t="n"/>
      <c r="E1452" s="16" t="n"/>
      <c r="F1452" s="18">
        <f>IF(OR(D1452="",E1452=""),"",D1452*E1452)</f>
        <v/>
      </c>
      <c r="G1452" s="15" t="n"/>
    </row>
    <row r="1453">
      <c r="A1453" s="19" t="n"/>
      <c r="B1453" s="15" t="n"/>
      <c r="C1453">
        <f>IF(B1453="","",IFERROR(INDEX(Items!$B$5:$B$304,MATCH(B1453,Items!$A$5:$A$304,0)),"Unknown code"))</f>
        <v/>
      </c>
      <c r="D1453" s="15" t="n"/>
      <c r="E1453" s="16" t="n"/>
      <c r="F1453" s="18">
        <f>IF(OR(D1453="",E1453=""),"",D1453*E1453)</f>
        <v/>
      </c>
      <c r="G1453" s="15" t="n"/>
    </row>
    <row r="1454">
      <c r="A1454" s="19" t="n"/>
      <c r="B1454" s="15" t="n"/>
      <c r="C1454">
        <f>IF(B1454="","",IFERROR(INDEX(Items!$B$5:$B$304,MATCH(B1454,Items!$A$5:$A$304,0)),"Unknown code"))</f>
        <v/>
      </c>
      <c r="D1454" s="15" t="n"/>
      <c r="E1454" s="16" t="n"/>
      <c r="F1454" s="18">
        <f>IF(OR(D1454="",E1454=""),"",D1454*E1454)</f>
        <v/>
      </c>
      <c r="G1454" s="15" t="n"/>
    </row>
    <row r="1455">
      <c r="A1455" s="19" t="n"/>
      <c r="B1455" s="15" t="n"/>
      <c r="C1455">
        <f>IF(B1455="","",IFERROR(INDEX(Items!$B$5:$B$304,MATCH(B1455,Items!$A$5:$A$304,0)),"Unknown code"))</f>
        <v/>
      </c>
      <c r="D1455" s="15" t="n"/>
      <c r="E1455" s="16" t="n"/>
      <c r="F1455" s="18">
        <f>IF(OR(D1455="",E1455=""),"",D1455*E1455)</f>
        <v/>
      </c>
      <c r="G1455" s="15" t="n"/>
    </row>
    <row r="1456">
      <c r="A1456" s="19" t="n"/>
      <c r="B1456" s="15" t="n"/>
      <c r="C1456">
        <f>IF(B1456="","",IFERROR(INDEX(Items!$B$5:$B$304,MATCH(B1456,Items!$A$5:$A$304,0)),"Unknown code"))</f>
        <v/>
      </c>
      <c r="D1456" s="15" t="n"/>
      <c r="E1456" s="16" t="n"/>
      <c r="F1456" s="18">
        <f>IF(OR(D1456="",E1456=""),"",D1456*E1456)</f>
        <v/>
      </c>
      <c r="G1456" s="15" t="n"/>
    </row>
    <row r="1457">
      <c r="A1457" s="19" t="n"/>
      <c r="B1457" s="15" t="n"/>
      <c r="C1457">
        <f>IF(B1457="","",IFERROR(INDEX(Items!$B$5:$B$304,MATCH(B1457,Items!$A$5:$A$304,0)),"Unknown code"))</f>
        <v/>
      </c>
      <c r="D1457" s="15" t="n"/>
      <c r="E1457" s="16" t="n"/>
      <c r="F1457" s="18">
        <f>IF(OR(D1457="",E1457=""),"",D1457*E1457)</f>
        <v/>
      </c>
      <c r="G1457" s="15" t="n"/>
    </row>
    <row r="1458">
      <c r="A1458" s="19" t="n"/>
      <c r="B1458" s="15" t="n"/>
      <c r="C1458">
        <f>IF(B1458="","",IFERROR(INDEX(Items!$B$5:$B$304,MATCH(B1458,Items!$A$5:$A$304,0)),"Unknown code"))</f>
        <v/>
      </c>
      <c r="D1458" s="15" t="n"/>
      <c r="E1458" s="16" t="n"/>
      <c r="F1458" s="18">
        <f>IF(OR(D1458="",E1458=""),"",D1458*E1458)</f>
        <v/>
      </c>
      <c r="G1458" s="15" t="n"/>
    </row>
    <row r="1459">
      <c r="A1459" s="19" t="n"/>
      <c r="B1459" s="15" t="n"/>
      <c r="C1459">
        <f>IF(B1459="","",IFERROR(INDEX(Items!$B$5:$B$304,MATCH(B1459,Items!$A$5:$A$304,0)),"Unknown code"))</f>
        <v/>
      </c>
      <c r="D1459" s="15" t="n"/>
      <c r="E1459" s="16" t="n"/>
      <c r="F1459" s="18">
        <f>IF(OR(D1459="",E1459=""),"",D1459*E1459)</f>
        <v/>
      </c>
      <c r="G1459" s="15" t="n"/>
    </row>
    <row r="1460">
      <c r="A1460" s="19" t="n"/>
      <c r="B1460" s="15" t="n"/>
      <c r="C1460">
        <f>IF(B1460="","",IFERROR(INDEX(Items!$B$5:$B$304,MATCH(B1460,Items!$A$5:$A$304,0)),"Unknown code"))</f>
        <v/>
      </c>
      <c r="D1460" s="15" t="n"/>
      <c r="E1460" s="16" t="n"/>
      <c r="F1460" s="18">
        <f>IF(OR(D1460="",E1460=""),"",D1460*E1460)</f>
        <v/>
      </c>
      <c r="G1460" s="15" t="n"/>
    </row>
    <row r="1461">
      <c r="A1461" s="19" t="n"/>
      <c r="B1461" s="15" t="n"/>
      <c r="C1461">
        <f>IF(B1461="","",IFERROR(INDEX(Items!$B$5:$B$304,MATCH(B1461,Items!$A$5:$A$304,0)),"Unknown code"))</f>
        <v/>
      </c>
      <c r="D1461" s="15" t="n"/>
      <c r="E1461" s="16" t="n"/>
      <c r="F1461" s="18">
        <f>IF(OR(D1461="",E1461=""),"",D1461*E1461)</f>
        <v/>
      </c>
      <c r="G1461" s="15" t="n"/>
    </row>
    <row r="1462">
      <c r="A1462" s="19" t="n"/>
      <c r="B1462" s="15" t="n"/>
      <c r="C1462">
        <f>IF(B1462="","",IFERROR(INDEX(Items!$B$5:$B$304,MATCH(B1462,Items!$A$5:$A$304,0)),"Unknown code"))</f>
        <v/>
      </c>
      <c r="D1462" s="15" t="n"/>
      <c r="E1462" s="16" t="n"/>
      <c r="F1462" s="18">
        <f>IF(OR(D1462="",E1462=""),"",D1462*E1462)</f>
        <v/>
      </c>
      <c r="G1462" s="15" t="n"/>
    </row>
    <row r="1463">
      <c r="A1463" s="19" t="n"/>
      <c r="B1463" s="15" t="n"/>
      <c r="C1463">
        <f>IF(B1463="","",IFERROR(INDEX(Items!$B$5:$B$304,MATCH(B1463,Items!$A$5:$A$304,0)),"Unknown code"))</f>
        <v/>
      </c>
      <c r="D1463" s="15" t="n"/>
      <c r="E1463" s="16" t="n"/>
      <c r="F1463" s="18">
        <f>IF(OR(D1463="",E1463=""),"",D1463*E1463)</f>
        <v/>
      </c>
      <c r="G1463" s="15" t="n"/>
    </row>
    <row r="1464">
      <c r="A1464" s="19" t="n"/>
      <c r="B1464" s="15" t="n"/>
      <c r="C1464">
        <f>IF(B1464="","",IFERROR(INDEX(Items!$B$5:$B$304,MATCH(B1464,Items!$A$5:$A$304,0)),"Unknown code"))</f>
        <v/>
      </c>
      <c r="D1464" s="15" t="n"/>
      <c r="E1464" s="16" t="n"/>
      <c r="F1464" s="18">
        <f>IF(OR(D1464="",E1464=""),"",D1464*E1464)</f>
        <v/>
      </c>
      <c r="G1464" s="15" t="n"/>
    </row>
    <row r="1465">
      <c r="A1465" s="19" t="n"/>
      <c r="B1465" s="15" t="n"/>
      <c r="C1465">
        <f>IF(B1465="","",IFERROR(INDEX(Items!$B$5:$B$304,MATCH(B1465,Items!$A$5:$A$304,0)),"Unknown code"))</f>
        <v/>
      </c>
      <c r="D1465" s="15" t="n"/>
      <c r="E1465" s="16" t="n"/>
      <c r="F1465" s="18">
        <f>IF(OR(D1465="",E1465=""),"",D1465*E1465)</f>
        <v/>
      </c>
      <c r="G1465" s="15" t="n"/>
    </row>
    <row r="1466">
      <c r="A1466" s="19" t="n"/>
      <c r="B1466" s="15" t="n"/>
      <c r="C1466">
        <f>IF(B1466="","",IFERROR(INDEX(Items!$B$5:$B$304,MATCH(B1466,Items!$A$5:$A$304,0)),"Unknown code"))</f>
        <v/>
      </c>
      <c r="D1466" s="15" t="n"/>
      <c r="E1466" s="16" t="n"/>
      <c r="F1466" s="18">
        <f>IF(OR(D1466="",E1466=""),"",D1466*E1466)</f>
        <v/>
      </c>
      <c r="G1466" s="15" t="n"/>
    </row>
    <row r="1467">
      <c r="A1467" s="19" t="n"/>
      <c r="B1467" s="15" t="n"/>
      <c r="C1467">
        <f>IF(B1467="","",IFERROR(INDEX(Items!$B$5:$B$304,MATCH(B1467,Items!$A$5:$A$304,0)),"Unknown code"))</f>
        <v/>
      </c>
      <c r="D1467" s="15" t="n"/>
      <c r="E1467" s="16" t="n"/>
      <c r="F1467" s="18">
        <f>IF(OR(D1467="",E1467=""),"",D1467*E1467)</f>
        <v/>
      </c>
      <c r="G1467" s="15" t="n"/>
    </row>
    <row r="1468">
      <c r="A1468" s="19" t="n"/>
      <c r="B1468" s="15" t="n"/>
      <c r="C1468">
        <f>IF(B1468="","",IFERROR(INDEX(Items!$B$5:$B$304,MATCH(B1468,Items!$A$5:$A$304,0)),"Unknown code"))</f>
        <v/>
      </c>
      <c r="D1468" s="15" t="n"/>
      <c r="E1468" s="16" t="n"/>
      <c r="F1468" s="18">
        <f>IF(OR(D1468="",E1468=""),"",D1468*E1468)</f>
        <v/>
      </c>
      <c r="G1468" s="15" t="n"/>
    </row>
    <row r="1469">
      <c r="A1469" s="19" t="n"/>
      <c r="B1469" s="15" t="n"/>
      <c r="C1469">
        <f>IF(B1469="","",IFERROR(INDEX(Items!$B$5:$B$304,MATCH(B1469,Items!$A$5:$A$304,0)),"Unknown code"))</f>
        <v/>
      </c>
      <c r="D1469" s="15" t="n"/>
      <c r="E1469" s="16" t="n"/>
      <c r="F1469" s="18">
        <f>IF(OR(D1469="",E1469=""),"",D1469*E1469)</f>
        <v/>
      </c>
      <c r="G1469" s="15" t="n"/>
    </row>
    <row r="1470">
      <c r="A1470" s="19" t="n"/>
      <c r="B1470" s="15" t="n"/>
      <c r="C1470">
        <f>IF(B1470="","",IFERROR(INDEX(Items!$B$5:$B$304,MATCH(B1470,Items!$A$5:$A$304,0)),"Unknown code"))</f>
        <v/>
      </c>
      <c r="D1470" s="15" t="n"/>
      <c r="E1470" s="16" t="n"/>
      <c r="F1470" s="18">
        <f>IF(OR(D1470="",E1470=""),"",D1470*E1470)</f>
        <v/>
      </c>
      <c r="G1470" s="15" t="n"/>
    </row>
    <row r="1471">
      <c r="A1471" s="19" t="n"/>
      <c r="B1471" s="15" t="n"/>
      <c r="C1471">
        <f>IF(B1471="","",IFERROR(INDEX(Items!$B$5:$B$304,MATCH(B1471,Items!$A$5:$A$304,0)),"Unknown code"))</f>
        <v/>
      </c>
      <c r="D1471" s="15" t="n"/>
      <c r="E1471" s="16" t="n"/>
      <c r="F1471" s="18">
        <f>IF(OR(D1471="",E1471=""),"",D1471*E1471)</f>
        <v/>
      </c>
      <c r="G1471" s="15" t="n"/>
    </row>
    <row r="1472">
      <c r="A1472" s="19" t="n"/>
      <c r="B1472" s="15" t="n"/>
      <c r="C1472">
        <f>IF(B1472="","",IFERROR(INDEX(Items!$B$5:$B$304,MATCH(B1472,Items!$A$5:$A$304,0)),"Unknown code"))</f>
        <v/>
      </c>
      <c r="D1472" s="15" t="n"/>
      <c r="E1472" s="16" t="n"/>
      <c r="F1472" s="18">
        <f>IF(OR(D1472="",E1472=""),"",D1472*E1472)</f>
        <v/>
      </c>
      <c r="G1472" s="15" t="n"/>
    </row>
    <row r="1473">
      <c r="A1473" s="19" t="n"/>
      <c r="B1473" s="15" t="n"/>
      <c r="C1473">
        <f>IF(B1473="","",IFERROR(INDEX(Items!$B$5:$B$304,MATCH(B1473,Items!$A$5:$A$304,0)),"Unknown code"))</f>
        <v/>
      </c>
      <c r="D1473" s="15" t="n"/>
      <c r="E1473" s="16" t="n"/>
      <c r="F1473" s="18">
        <f>IF(OR(D1473="",E1473=""),"",D1473*E1473)</f>
        <v/>
      </c>
      <c r="G1473" s="15" t="n"/>
    </row>
    <row r="1474">
      <c r="A1474" s="19" t="n"/>
      <c r="B1474" s="15" t="n"/>
      <c r="C1474">
        <f>IF(B1474="","",IFERROR(INDEX(Items!$B$5:$B$304,MATCH(B1474,Items!$A$5:$A$304,0)),"Unknown code"))</f>
        <v/>
      </c>
      <c r="D1474" s="15" t="n"/>
      <c r="E1474" s="16" t="n"/>
      <c r="F1474" s="18">
        <f>IF(OR(D1474="",E1474=""),"",D1474*E1474)</f>
        <v/>
      </c>
      <c r="G1474" s="15" t="n"/>
    </row>
    <row r="1475">
      <c r="A1475" s="19" t="n"/>
      <c r="B1475" s="15" t="n"/>
      <c r="C1475">
        <f>IF(B1475="","",IFERROR(INDEX(Items!$B$5:$B$304,MATCH(B1475,Items!$A$5:$A$304,0)),"Unknown code"))</f>
        <v/>
      </c>
      <c r="D1475" s="15" t="n"/>
      <c r="E1475" s="16" t="n"/>
      <c r="F1475" s="18">
        <f>IF(OR(D1475="",E1475=""),"",D1475*E1475)</f>
        <v/>
      </c>
      <c r="G1475" s="15" t="n"/>
    </row>
    <row r="1476">
      <c r="A1476" s="19" t="n"/>
      <c r="B1476" s="15" t="n"/>
      <c r="C1476">
        <f>IF(B1476="","",IFERROR(INDEX(Items!$B$5:$B$304,MATCH(B1476,Items!$A$5:$A$304,0)),"Unknown code"))</f>
        <v/>
      </c>
      <c r="D1476" s="15" t="n"/>
      <c r="E1476" s="16" t="n"/>
      <c r="F1476" s="18">
        <f>IF(OR(D1476="",E1476=""),"",D1476*E1476)</f>
        <v/>
      </c>
      <c r="G1476" s="15" t="n"/>
    </row>
    <row r="1477">
      <c r="A1477" s="19" t="n"/>
      <c r="B1477" s="15" t="n"/>
      <c r="C1477">
        <f>IF(B1477="","",IFERROR(INDEX(Items!$B$5:$B$304,MATCH(B1477,Items!$A$5:$A$304,0)),"Unknown code"))</f>
        <v/>
      </c>
      <c r="D1477" s="15" t="n"/>
      <c r="E1477" s="16" t="n"/>
      <c r="F1477" s="18">
        <f>IF(OR(D1477="",E1477=""),"",D1477*E1477)</f>
        <v/>
      </c>
      <c r="G1477" s="15" t="n"/>
    </row>
    <row r="1478">
      <c r="A1478" s="19" t="n"/>
      <c r="B1478" s="15" t="n"/>
      <c r="C1478">
        <f>IF(B1478="","",IFERROR(INDEX(Items!$B$5:$B$304,MATCH(B1478,Items!$A$5:$A$304,0)),"Unknown code"))</f>
        <v/>
      </c>
      <c r="D1478" s="15" t="n"/>
      <c r="E1478" s="16" t="n"/>
      <c r="F1478" s="18">
        <f>IF(OR(D1478="",E1478=""),"",D1478*E1478)</f>
        <v/>
      </c>
      <c r="G1478" s="15" t="n"/>
    </row>
    <row r="1479">
      <c r="A1479" s="19" t="n"/>
      <c r="B1479" s="15" t="n"/>
      <c r="C1479">
        <f>IF(B1479="","",IFERROR(INDEX(Items!$B$5:$B$304,MATCH(B1479,Items!$A$5:$A$304,0)),"Unknown code"))</f>
        <v/>
      </c>
      <c r="D1479" s="15" t="n"/>
      <c r="E1479" s="16" t="n"/>
      <c r="F1479" s="18">
        <f>IF(OR(D1479="",E1479=""),"",D1479*E1479)</f>
        <v/>
      </c>
      <c r="G1479" s="15" t="n"/>
    </row>
    <row r="1480">
      <c r="A1480" s="19" t="n"/>
      <c r="B1480" s="15" t="n"/>
      <c r="C1480">
        <f>IF(B1480="","",IFERROR(INDEX(Items!$B$5:$B$304,MATCH(B1480,Items!$A$5:$A$304,0)),"Unknown code"))</f>
        <v/>
      </c>
      <c r="D1480" s="15" t="n"/>
      <c r="E1480" s="16" t="n"/>
      <c r="F1480" s="18">
        <f>IF(OR(D1480="",E1480=""),"",D1480*E1480)</f>
        <v/>
      </c>
      <c r="G1480" s="15" t="n"/>
    </row>
    <row r="1481">
      <c r="A1481" s="19" t="n"/>
      <c r="B1481" s="15" t="n"/>
      <c r="C1481">
        <f>IF(B1481="","",IFERROR(INDEX(Items!$B$5:$B$304,MATCH(B1481,Items!$A$5:$A$304,0)),"Unknown code"))</f>
        <v/>
      </c>
      <c r="D1481" s="15" t="n"/>
      <c r="E1481" s="16" t="n"/>
      <c r="F1481" s="18">
        <f>IF(OR(D1481="",E1481=""),"",D1481*E1481)</f>
        <v/>
      </c>
      <c r="G1481" s="15" t="n"/>
    </row>
    <row r="1482">
      <c r="A1482" s="19" t="n"/>
      <c r="B1482" s="15" t="n"/>
      <c r="C1482">
        <f>IF(B1482="","",IFERROR(INDEX(Items!$B$5:$B$304,MATCH(B1482,Items!$A$5:$A$304,0)),"Unknown code"))</f>
        <v/>
      </c>
      <c r="D1482" s="15" t="n"/>
      <c r="E1482" s="16" t="n"/>
      <c r="F1482" s="18">
        <f>IF(OR(D1482="",E1482=""),"",D1482*E1482)</f>
        <v/>
      </c>
      <c r="G1482" s="15" t="n"/>
    </row>
    <row r="1483">
      <c r="A1483" s="19" t="n"/>
      <c r="B1483" s="15" t="n"/>
      <c r="C1483">
        <f>IF(B1483="","",IFERROR(INDEX(Items!$B$5:$B$304,MATCH(B1483,Items!$A$5:$A$304,0)),"Unknown code"))</f>
        <v/>
      </c>
      <c r="D1483" s="15" t="n"/>
      <c r="E1483" s="16" t="n"/>
      <c r="F1483" s="18">
        <f>IF(OR(D1483="",E1483=""),"",D1483*E1483)</f>
        <v/>
      </c>
      <c r="G1483" s="15" t="n"/>
    </row>
    <row r="1484">
      <c r="A1484" s="19" t="n"/>
      <c r="B1484" s="15" t="n"/>
      <c r="C1484">
        <f>IF(B1484="","",IFERROR(INDEX(Items!$B$5:$B$304,MATCH(B1484,Items!$A$5:$A$304,0)),"Unknown code"))</f>
        <v/>
      </c>
      <c r="D1484" s="15" t="n"/>
      <c r="E1484" s="16" t="n"/>
      <c r="F1484" s="18">
        <f>IF(OR(D1484="",E1484=""),"",D1484*E1484)</f>
        <v/>
      </c>
      <c r="G1484" s="15" t="n"/>
    </row>
    <row r="1485">
      <c r="A1485" s="19" t="n"/>
      <c r="B1485" s="15" t="n"/>
      <c r="C1485">
        <f>IF(B1485="","",IFERROR(INDEX(Items!$B$5:$B$304,MATCH(B1485,Items!$A$5:$A$304,0)),"Unknown code"))</f>
        <v/>
      </c>
      <c r="D1485" s="15" t="n"/>
      <c r="E1485" s="16" t="n"/>
      <c r="F1485" s="18">
        <f>IF(OR(D1485="",E1485=""),"",D1485*E1485)</f>
        <v/>
      </c>
      <c r="G1485" s="15" t="n"/>
    </row>
    <row r="1486">
      <c r="A1486" s="19" t="n"/>
      <c r="B1486" s="15" t="n"/>
      <c r="C1486">
        <f>IF(B1486="","",IFERROR(INDEX(Items!$B$5:$B$304,MATCH(B1486,Items!$A$5:$A$304,0)),"Unknown code"))</f>
        <v/>
      </c>
      <c r="D1486" s="15" t="n"/>
      <c r="E1486" s="16" t="n"/>
      <c r="F1486" s="18">
        <f>IF(OR(D1486="",E1486=""),"",D1486*E1486)</f>
        <v/>
      </c>
      <c r="G1486" s="15" t="n"/>
    </row>
    <row r="1487">
      <c r="A1487" s="19" t="n"/>
      <c r="B1487" s="15" t="n"/>
      <c r="C1487">
        <f>IF(B1487="","",IFERROR(INDEX(Items!$B$5:$B$304,MATCH(B1487,Items!$A$5:$A$304,0)),"Unknown code"))</f>
        <v/>
      </c>
      <c r="D1487" s="15" t="n"/>
      <c r="E1487" s="16" t="n"/>
      <c r="F1487" s="18">
        <f>IF(OR(D1487="",E1487=""),"",D1487*E1487)</f>
        <v/>
      </c>
      <c r="G1487" s="15" t="n"/>
    </row>
    <row r="1488">
      <c r="A1488" s="19" t="n"/>
      <c r="B1488" s="15" t="n"/>
      <c r="C1488">
        <f>IF(B1488="","",IFERROR(INDEX(Items!$B$5:$B$304,MATCH(B1488,Items!$A$5:$A$304,0)),"Unknown code"))</f>
        <v/>
      </c>
      <c r="D1488" s="15" t="n"/>
      <c r="E1488" s="16" t="n"/>
      <c r="F1488" s="18">
        <f>IF(OR(D1488="",E1488=""),"",D1488*E1488)</f>
        <v/>
      </c>
      <c r="G1488" s="15" t="n"/>
    </row>
    <row r="1489">
      <c r="A1489" s="19" t="n"/>
      <c r="B1489" s="15" t="n"/>
      <c r="C1489">
        <f>IF(B1489="","",IFERROR(INDEX(Items!$B$5:$B$304,MATCH(B1489,Items!$A$5:$A$304,0)),"Unknown code"))</f>
        <v/>
      </c>
      <c r="D1489" s="15" t="n"/>
      <c r="E1489" s="16" t="n"/>
      <c r="F1489" s="18">
        <f>IF(OR(D1489="",E1489=""),"",D1489*E1489)</f>
        <v/>
      </c>
      <c r="G1489" s="15" t="n"/>
    </row>
    <row r="1490">
      <c r="A1490" s="19" t="n"/>
      <c r="B1490" s="15" t="n"/>
      <c r="C1490">
        <f>IF(B1490="","",IFERROR(INDEX(Items!$B$5:$B$304,MATCH(B1490,Items!$A$5:$A$304,0)),"Unknown code"))</f>
        <v/>
      </c>
      <c r="D1490" s="15" t="n"/>
      <c r="E1490" s="16" t="n"/>
      <c r="F1490" s="18">
        <f>IF(OR(D1490="",E1490=""),"",D1490*E1490)</f>
        <v/>
      </c>
      <c r="G1490" s="15" t="n"/>
    </row>
    <row r="1491">
      <c r="A1491" s="19" t="n"/>
      <c r="B1491" s="15" t="n"/>
      <c r="C1491">
        <f>IF(B1491="","",IFERROR(INDEX(Items!$B$5:$B$304,MATCH(B1491,Items!$A$5:$A$304,0)),"Unknown code"))</f>
        <v/>
      </c>
      <c r="D1491" s="15" t="n"/>
      <c r="E1491" s="16" t="n"/>
      <c r="F1491" s="18">
        <f>IF(OR(D1491="",E1491=""),"",D1491*E1491)</f>
        <v/>
      </c>
      <c r="G1491" s="15" t="n"/>
    </row>
    <row r="1492">
      <c r="A1492" s="19" t="n"/>
      <c r="B1492" s="15" t="n"/>
      <c r="C1492">
        <f>IF(B1492="","",IFERROR(INDEX(Items!$B$5:$B$304,MATCH(B1492,Items!$A$5:$A$304,0)),"Unknown code"))</f>
        <v/>
      </c>
      <c r="D1492" s="15" t="n"/>
      <c r="E1492" s="16" t="n"/>
      <c r="F1492" s="18">
        <f>IF(OR(D1492="",E1492=""),"",D1492*E1492)</f>
        <v/>
      </c>
      <c r="G1492" s="15" t="n"/>
    </row>
    <row r="1493">
      <c r="A1493" s="19" t="n"/>
      <c r="B1493" s="15" t="n"/>
      <c r="C1493">
        <f>IF(B1493="","",IFERROR(INDEX(Items!$B$5:$B$304,MATCH(B1493,Items!$A$5:$A$304,0)),"Unknown code"))</f>
        <v/>
      </c>
      <c r="D1493" s="15" t="n"/>
      <c r="E1493" s="16" t="n"/>
      <c r="F1493" s="18">
        <f>IF(OR(D1493="",E1493=""),"",D1493*E1493)</f>
        <v/>
      </c>
      <c r="G1493" s="15" t="n"/>
    </row>
    <row r="1494">
      <c r="A1494" s="19" t="n"/>
      <c r="B1494" s="15" t="n"/>
      <c r="C1494">
        <f>IF(B1494="","",IFERROR(INDEX(Items!$B$5:$B$304,MATCH(B1494,Items!$A$5:$A$304,0)),"Unknown code"))</f>
        <v/>
      </c>
      <c r="D1494" s="15" t="n"/>
      <c r="E1494" s="16" t="n"/>
      <c r="F1494" s="18">
        <f>IF(OR(D1494="",E1494=""),"",D1494*E1494)</f>
        <v/>
      </c>
      <c r="G1494" s="15" t="n"/>
    </row>
    <row r="1495">
      <c r="A1495" s="19" t="n"/>
      <c r="B1495" s="15" t="n"/>
      <c r="C1495">
        <f>IF(B1495="","",IFERROR(INDEX(Items!$B$5:$B$304,MATCH(B1495,Items!$A$5:$A$304,0)),"Unknown code"))</f>
        <v/>
      </c>
      <c r="D1495" s="15" t="n"/>
      <c r="E1495" s="16" t="n"/>
      <c r="F1495" s="18">
        <f>IF(OR(D1495="",E1495=""),"",D1495*E1495)</f>
        <v/>
      </c>
      <c r="G1495" s="15" t="n"/>
    </row>
    <row r="1496">
      <c r="A1496" s="19" t="n"/>
      <c r="B1496" s="15" t="n"/>
      <c r="C1496">
        <f>IF(B1496="","",IFERROR(INDEX(Items!$B$5:$B$304,MATCH(B1496,Items!$A$5:$A$304,0)),"Unknown code"))</f>
        <v/>
      </c>
      <c r="D1496" s="15" t="n"/>
      <c r="E1496" s="16" t="n"/>
      <c r="F1496" s="18">
        <f>IF(OR(D1496="",E1496=""),"",D1496*E1496)</f>
        <v/>
      </c>
      <c r="G1496" s="15" t="n"/>
    </row>
    <row r="1497">
      <c r="A1497" s="19" t="n"/>
      <c r="B1497" s="15" t="n"/>
      <c r="C1497">
        <f>IF(B1497="","",IFERROR(INDEX(Items!$B$5:$B$304,MATCH(B1497,Items!$A$5:$A$304,0)),"Unknown code"))</f>
        <v/>
      </c>
      <c r="D1497" s="15" t="n"/>
      <c r="E1497" s="16" t="n"/>
      <c r="F1497" s="18">
        <f>IF(OR(D1497="",E1497=""),"",D1497*E1497)</f>
        <v/>
      </c>
      <c r="G1497" s="15" t="n"/>
    </row>
    <row r="1498">
      <c r="A1498" s="19" t="n"/>
      <c r="B1498" s="15" t="n"/>
      <c r="C1498">
        <f>IF(B1498="","",IFERROR(INDEX(Items!$B$5:$B$304,MATCH(B1498,Items!$A$5:$A$304,0)),"Unknown code"))</f>
        <v/>
      </c>
      <c r="D1498" s="15" t="n"/>
      <c r="E1498" s="16" t="n"/>
      <c r="F1498" s="18">
        <f>IF(OR(D1498="",E1498=""),"",D1498*E1498)</f>
        <v/>
      </c>
      <c r="G1498" s="15" t="n"/>
    </row>
    <row r="1499">
      <c r="A1499" s="19" t="n"/>
      <c r="B1499" s="15" t="n"/>
      <c r="C1499">
        <f>IF(B1499="","",IFERROR(INDEX(Items!$B$5:$B$304,MATCH(B1499,Items!$A$5:$A$304,0)),"Unknown code"))</f>
        <v/>
      </c>
      <c r="D1499" s="15" t="n"/>
      <c r="E1499" s="16" t="n"/>
      <c r="F1499" s="18">
        <f>IF(OR(D1499="",E1499=""),"",D1499*E1499)</f>
        <v/>
      </c>
      <c r="G1499" s="15" t="n"/>
    </row>
    <row r="1500">
      <c r="A1500" s="19" t="n"/>
      <c r="B1500" s="15" t="n"/>
      <c r="C1500">
        <f>IF(B1500="","",IFERROR(INDEX(Items!$B$5:$B$304,MATCH(B1500,Items!$A$5:$A$304,0)),"Unknown code"))</f>
        <v/>
      </c>
      <c r="D1500" s="15" t="n"/>
      <c r="E1500" s="16" t="n"/>
      <c r="F1500" s="18">
        <f>IF(OR(D1500="",E1500=""),"",D1500*E1500)</f>
        <v/>
      </c>
      <c r="G1500" s="15" t="n"/>
    </row>
    <row r="1501">
      <c r="A1501" s="19" t="n"/>
      <c r="B1501" s="15" t="n"/>
      <c r="C1501">
        <f>IF(B1501="","",IFERROR(INDEX(Items!$B$5:$B$304,MATCH(B1501,Items!$A$5:$A$304,0)),"Unknown code"))</f>
        <v/>
      </c>
      <c r="D1501" s="15" t="n"/>
      <c r="E1501" s="16" t="n"/>
      <c r="F1501" s="18">
        <f>IF(OR(D1501="",E1501=""),"",D1501*E1501)</f>
        <v/>
      </c>
      <c r="G1501" s="15" t="n"/>
    </row>
    <row r="1502">
      <c r="A1502" s="19" t="n"/>
      <c r="B1502" s="15" t="n"/>
      <c r="C1502">
        <f>IF(B1502="","",IFERROR(INDEX(Items!$B$5:$B$304,MATCH(B1502,Items!$A$5:$A$304,0)),"Unknown code"))</f>
        <v/>
      </c>
      <c r="D1502" s="15" t="n"/>
      <c r="E1502" s="16" t="n"/>
      <c r="F1502" s="18">
        <f>IF(OR(D1502="",E1502=""),"",D1502*E1502)</f>
        <v/>
      </c>
      <c r="G1502" s="15" t="n"/>
    </row>
    <row r="1503">
      <c r="A1503" s="19" t="n"/>
      <c r="B1503" s="15" t="n"/>
      <c r="C1503">
        <f>IF(B1503="","",IFERROR(INDEX(Items!$B$5:$B$304,MATCH(B1503,Items!$A$5:$A$304,0)),"Unknown code"))</f>
        <v/>
      </c>
      <c r="D1503" s="15" t="n"/>
      <c r="E1503" s="16" t="n"/>
      <c r="F1503" s="18">
        <f>IF(OR(D1503="",E1503=""),"",D1503*E1503)</f>
        <v/>
      </c>
      <c r="G1503" s="15" t="n"/>
    </row>
    <row r="1504">
      <c r="A1504" s="19" t="n"/>
      <c r="B1504" s="15" t="n"/>
      <c r="C1504">
        <f>IF(B1504="","",IFERROR(INDEX(Items!$B$5:$B$304,MATCH(B1504,Items!$A$5:$A$304,0)),"Unknown code"))</f>
        <v/>
      </c>
      <c r="D1504" s="15" t="n"/>
      <c r="E1504" s="16" t="n"/>
      <c r="F1504" s="18">
        <f>IF(OR(D1504="",E1504=""),"",D1504*E1504)</f>
        <v/>
      </c>
      <c r="G1504" s="15" t="n"/>
    </row>
    <row r="1505">
      <c r="A1505" s="19" t="n"/>
      <c r="B1505" s="15" t="n"/>
      <c r="C1505">
        <f>IF(B1505="","",IFERROR(INDEX(Items!$B$5:$B$304,MATCH(B1505,Items!$A$5:$A$304,0)),"Unknown code"))</f>
        <v/>
      </c>
      <c r="D1505" s="15" t="n"/>
      <c r="E1505" s="16" t="n"/>
      <c r="F1505" s="18">
        <f>IF(OR(D1505="",E1505=""),"",D1505*E1505)</f>
        <v/>
      </c>
      <c r="G1505" s="15" t="n"/>
    </row>
    <row r="1506">
      <c r="A1506" s="19" t="n"/>
      <c r="B1506" s="15" t="n"/>
      <c r="C1506">
        <f>IF(B1506="","",IFERROR(INDEX(Items!$B$5:$B$304,MATCH(B1506,Items!$A$5:$A$304,0)),"Unknown code"))</f>
        <v/>
      </c>
      <c r="D1506" s="15" t="n"/>
      <c r="E1506" s="16" t="n"/>
      <c r="F1506" s="18">
        <f>IF(OR(D1506="",E1506=""),"",D1506*E1506)</f>
        <v/>
      </c>
      <c r="G1506" s="15" t="n"/>
    </row>
    <row r="1507">
      <c r="A1507" s="19" t="n"/>
      <c r="B1507" s="15" t="n"/>
      <c r="C1507">
        <f>IF(B1507="","",IFERROR(INDEX(Items!$B$5:$B$304,MATCH(B1507,Items!$A$5:$A$304,0)),"Unknown code"))</f>
        <v/>
      </c>
      <c r="D1507" s="15" t="n"/>
      <c r="E1507" s="16" t="n"/>
      <c r="F1507" s="18">
        <f>IF(OR(D1507="",E1507=""),"",D1507*E1507)</f>
        <v/>
      </c>
      <c r="G1507" s="15" t="n"/>
    </row>
    <row r="1508">
      <c r="A1508" s="19" t="n"/>
      <c r="B1508" s="15" t="n"/>
      <c r="C1508">
        <f>IF(B1508="","",IFERROR(INDEX(Items!$B$5:$B$304,MATCH(B1508,Items!$A$5:$A$304,0)),"Unknown code"))</f>
        <v/>
      </c>
      <c r="D1508" s="15" t="n"/>
      <c r="E1508" s="16" t="n"/>
      <c r="F1508" s="18">
        <f>IF(OR(D1508="",E1508=""),"",D1508*E1508)</f>
        <v/>
      </c>
      <c r="G1508" s="15" t="n"/>
    </row>
    <row r="1509">
      <c r="A1509" s="19" t="n"/>
      <c r="B1509" s="15" t="n"/>
      <c r="C1509">
        <f>IF(B1509="","",IFERROR(INDEX(Items!$B$5:$B$304,MATCH(B1509,Items!$A$5:$A$304,0)),"Unknown code"))</f>
        <v/>
      </c>
      <c r="D1509" s="15" t="n"/>
      <c r="E1509" s="16" t="n"/>
      <c r="F1509" s="18">
        <f>IF(OR(D1509="",E1509=""),"",D1509*E1509)</f>
        <v/>
      </c>
      <c r="G1509" s="15" t="n"/>
    </row>
    <row r="1510">
      <c r="A1510" s="19" t="n"/>
      <c r="B1510" s="15" t="n"/>
      <c r="C1510">
        <f>IF(B1510="","",IFERROR(INDEX(Items!$B$5:$B$304,MATCH(B1510,Items!$A$5:$A$304,0)),"Unknown code"))</f>
        <v/>
      </c>
      <c r="D1510" s="15" t="n"/>
      <c r="E1510" s="16" t="n"/>
      <c r="F1510" s="18">
        <f>IF(OR(D1510="",E1510=""),"",D1510*E1510)</f>
        <v/>
      </c>
      <c r="G1510" s="15" t="n"/>
    </row>
    <row r="1511">
      <c r="A1511" s="19" t="n"/>
      <c r="B1511" s="15" t="n"/>
      <c r="C1511">
        <f>IF(B1511="","",IFERROR(INDEX(Items!$B$5:$B$304,MATCH(B1511,Items!$A$5:$A$304,0)),"Unknown code"))</f>
        <v/>
      </c>
      <c r="D1511" s="15" t="n"/>
      <c r="E1511" s="16" t="n"/>
      <c r="F1511" s="18">
        <f>IF(OR(D1511="",E1511=""),"",D1511*E1511)</f>
        <v/>
      </c>
      <c r="G1511" s="15" t="n"/>
    </row>
    <row r="1512">
      <c r="A1512" s="19" t="n"/>
      <c r="B1512" s="15" t="n"/>
      <c r="C1512">
        <f>IF(B1512="","",IFERROR(INDEX(Items!$B$5:$B$304,MATCH(B1512,Items!$A$5:$A$304,0)),"Unknown code"))</f>
        <v/>
      </c>
      <c r="D1512" s="15" t="n"/>
      <c r="E1512" s="16" t="n"/>
      <c r="F1512" s="18">
        <f>IF(OR(D1512="",E1512=""),"",D1512*E1512)</f>
        <v/>
      </c>
      <c r="G1512" s="15" t="n"/>
    </row>
    <row r="1513">
      <c r="A1513" s="19" t="n"/>
      <c r="B1513" s="15" t="n"/>
      <c r="C1513">
        <f>IF(B1513="","",IFERROR(INDEX(Items!$B$5:$B$304,MATCH(B1513,Items!$A$5:$A$304,0)),"Unknown code"))</f>
        <v/>
      </c>
      <c r="D1513" s="15" t="n"/>
      <c r="E1513" s="16" t="n"/>
      <c r="F1513" s="18">
        <f>IF(OR(D1513="",E1513=""),"",D1513*E1513)</f>
        <v/>
      </c>
      <c r="G1513" s="15" t="n"/>
    </row>
    <row r="1514">
      <c r="A1514" s="19" t="n"/>
      <c r="B1514" s="15" t="n"/>
      <c r="C1514">
        <f>IF(B1514="","",IFERROR(INDEX(Items!$B$5:$B$304,MATCH(B1514,Items!$A$5:$A$304,0)),"Unknown code"))</f>
        <v/>
      </c>
      <c r="D1514" s="15" t="n"/>
      <c r="E1514" s="16" t="n"/>
      <c r="F1514" s="18">
        <f>IF(OR(D1514="",E1514=""),"",D1514*E1514)</f>
        <v/>
      </c>
      <c r="G1514" s="15" t="n"/>
    </row>
    <row r="1515">
      <c r="A1515" s="19" t="n"/>
      <c r="B1515" s="15" t="n"/>
      <c r="C1515">
        <f>IF(B1515="","",IFERROR(INDEX(Items!$B$5:$B$304,MATCH(B1515,Items!$A$5:$A$304,0)),"Unknown code"))</f>
        <v/>
      </c>
      <c r="D1515" s="15" t="n"/>
      <c r="E1515" s="16" t="n"/>
      <c r="F1515" s="18">
        <f>IF(OR(D1515="",E1515=""),"",D1515*E1515)</f>
        <v/>
      </c>
      <c r="G1515" s="15" t="n"/>
    </row>
    <row r="1516">
      <c r="A1516" s="19" t="n"/>
      <c r="B1516" s="15" t="n"/>
      <c r="C1516">
        <f>IF(B1516="","",IFERROR(INDEX(Items!$B$5:$B$304,MATCH(B1516,Items!$A$5:$A$304,0)),"Unknown code"))</f>
        <v/>
      </c>
      <c r="D1516" s="15" t="n"/>
      <c r="E1516" s="16" t="n"/>
      <c r="F1516" s="18">
        <f>IF(OR(D1516="",E1516=""),"",D1516*E1516)</f>
        <v/>
      </c>
      <c r="G1516" s="15" t="n"/>
    </row>
    <row r="1517">
      <c r="A1517" s="19" t="n"/>
      <c r="B1517" s="15" t="n"/>
      <c r="C1517">
        <f>IF(B1517="","",IFERROR(INDEX(Items!$B$5:$B$304,MATCH(B1517,Items!$A$5:$A$304,0)),"Unknown code"))</f>
        <v/>
      </c>
      <c r="D1517" s="15" t="n"/>
      <c r="E1517" s="16" t="n"/>
      <c r="F1517" s="18">
        <f>IF(OR(D1517="",E1517=""),"",D1517*E1517)</f>
        <v/>
      </c>
      <c r="G1517" s="15" t="n"/>
    </row>
    <row r="1518">
      <c r="A1518" s="19" t="n"/>
      <c r="B1518" s="15" t="n"/>
      <c r="C1518">
        <f>IF(B1518="","",IFERROR(INDEX(Items!$B$5:$B$304,MATCH(B1518,Items!$A$5:$A$304,0)),"Unknown code"))</f>
        <v/>
      </c>
      <c r="D1518" s="15" t="n"/>
      <c r="E1518" s="16" t="n"/>
      <c r="F1518" s="18">
        <f>IF(OR(D1518="",E1518=""),"",D1518*E1518)</f>
        <v/>
      </c>
      <c r="G1518" s="15" t="n"/>
    </row>
    <row r="1519">
      <c r="A1519" s="19" t="n"/>
      <c r="B1519" s="15" t="n"/>
      <c r="C1519">
        <f>IF(B1519="","",IFERROR(INDEX(Items!$B$5:$B$304,MATCH(B1519,Items!$A$5:$A$304,0)),"Unknown code"))</f>
        <v/>
      </c>
      <c r="D1519" s="15" t="n"/>
      <c r="E1519" s="16" t="n"/>
      <c r="F1519" s="18">
        <f>IF(OR(D1519="",E1519=""),"",D1519*E1519)</f>
        <v/>
      </c>
      <c r="G1519" s="15" t="n"/>
    </row>
    <row r="1520">
      <c r="A1520" s="19" t="n"/>
      <c r="B1520" s="15" t="n"/>
      <c r="C1520">
        <f>IF(B1520="","",IFERROR(INDEX(Items!$B$5:$B$304,MATCH(B1520,Items!$A$5:$A$304,0)),"Unknown code"))</f>
        <v/>
      </c>
      <c r="D1520" s="15" t="n"/>
      <c r="E1520" s="16" t="n"/>
      <c r="F1520" s="18">
        <f>IF(OR(D1520="",E1520=""),"",D1520*E1520)</f>
        <v/>
      </c>
      <c r="G1520" s="15" t="n"/>
    </row>
    <row r="1521">
      <c r="A1521" s="19" t="n"/>
      <c r="B1521" s="15" t="n"/>
      <c r="C1521">
        <f>IF(B1521="","",IFERROR(INDEX(Items!$B$5:$B$304,MATCH(B1521,Items!$A$5:$A$304,0)),"Unknown code"))</f>
        <v/>
      </c>
      <c r="D1521" s="15" t="n"/>
      <c r="E1521" s="16" t="n"/>
      <c r="F1521" s="18">
        <f>IF(OR(D1521="",E1521=""),"",D1521*E1521)</f>
        <v/>
      </c>
      <c r="G1521" s="15" t="n"/>
    </row>
    <row r="1522">
      <c r="A1522" s="19" t="n"/>
      <c r="B1522" s="15" t="n"/>
      <c r="C1522">
        <f>IF(B1522="","",IFERROR(INDEX(Items!$B$5:$B$304,MATCH(B1522,Items!$A$5:$A$304,0)),"Unknown code"))</f>
        <v/>
      </c>
      <c r="D1522" s="15" t="n"/>
      <c r="E1522" s="16" t="n"/>
      <c r="F1522" s="18">
        <f>IF(OR(D1522="",E1522=""),"",D1522*E1522)</f>
        <v/>
      </c>
      <c r="G1522" s="15" t="n"/>
    </row>
    <row r="1523">
      <c r="A1523" s="19" t="n"/>
      <c r="B1523" s="15" t="n"/>
      <c r="C1523">
        <f>IF(B1523="","",IFERROR(INDEX(Items!$B$5:$B$304,MATCH(B1523,Items!$A$5:$A$304,0)),"Unknown code"))</f>
        <v/>
      </c>
      <c r="D1523" s="15" t="n"/>
      <c r="E1523" s="16" t="n"/>
      <c r="F1523" s="18">
        <f>IF(OR(D1523="",E1523=""),"",D1523*E1523)</f>
        <v/>
      </c>
      <c r="G1523" s="15" t="n"/>
    </row>
    <row r="1524">
      <c r="A1524" s="19" t="n"/>
      <c r="B1524" s="15" t="n"/>
      <c r="C1524">
        <f>IF(B1524="","",IFERROR(INDEX(Items!$B$5:$B$304,MATCH(B1524,Items!$A$5:$A$304,0)),"Unknown code"))</f>
        <v/>
      </c>
      <c r="D1524" s="15" t="n"/>
      <c r="E1524" s="16" t="n"/>
      <c r="F1524" s="18">
        <f>IF(OR(D1524="",E1524=""),"",D1524*E1524)</f>
        <v/>
      </c>
      <c r="G1524" s="15" t="n"/>
    </row>
    <row r="1525">
      <c r="A1525" s="19" t="n"/>
      <c r="B1525" s="15" t="n"/>
      <c r="C1525">
        <f>IF(B1525="","",IFERROR(INDEX(Items!$B$5:$B$304,MATCH(B1525,Items!$A$5:$A$304,0)),"Unknown code"))</f>
        <v/>
      </c>
      <c r="D1525" s="15" t="n"/>
      <c r="E1525" s="16" t="n"/>
      <c r="F1525" s="18">
        <f>IF(OR(D1525="",E1525=""),"",D1525*E1525)</f>
        <v/>
      </c>
      <c r="G1525" s="15" t="n"/>
    </row>
    <row r="1526">
      <c r="A1526" s="19" t="n"/>
      <c r="B1526" s="15" t="n"/>
      <c r="C1526">
        <f>IF(B1526="","",IFERROR(INDEX(Items!$B$5:$B$304,MATCH(B1526,Items!$A$5:$A$304,0)),"Unknown code"))</f>
        <v/>
      </c>
      <c r="D1526" s="15" t="n"/>
      <c r="E1526" s="16" t="n"/>
      <c r="F1526" s="18">
        <f>IF(OR(D1526="",E1526=""),"",D1526*E1526)</f>
        <v/>
      </c>
      <c r="G1526" s="15" t="n"/>
    </row>
    <row r="1527">
      <c r="A1527" s="19" t="n"/>
      <c r="B1527" s="15" t="n"/>
      <c r="C1527">
        <f>IF(B1527="","",IFERROR(INDEX(Items!$B$5:$B$304,MATCH(B1527,Items!$A$5:$A$304,0)),"Unknown code"))</f>
        <v/>
      </c>
      <c r="D1527" s="15" t="n"/>
      <c r="E1527" s="16" t="n"/>
      <c r="F1527" s="18">
        <f>IF(OR(D1527="",E1527=""),"",D1527*E1527)</f>
        <v/>
      </c>
      <c r="G1527" s="15" t="n"/>
    </row>
    <row r="1528">
      <c r="A1528" s="19" t="n"/>
      <c r="B1528" s="15" t="n"/>
      <c r="C1528">
        <f>IF(B1528="","",IFERROR(INDEX(Items!$B$5:$B$304,MATCH(B1528,Items!$A$5:$A$304,0)),"Unknown code"))</f>
        <v/>
      </c>
      <c r="D1528" s="15" t="n"/>
      <c r="E1528" s="16" t="n"/>
      <c r="F1528" s="18">
        <f>IF(OR(D1528="",E1528=""),"",D1528*E1528)</f>
        <v/>
      </c>
      <c r="G1528" s="15" t="n"/>
    </row>
    <row r="1529">
      <c r="A1529" s="19" t="n"/>
      <c r="B1529" s="15" t="n"/>
      <c r="C1529">
        <f>IF(B1529="","",IFERROR(INDEX(Items!$B$5:$B$304,MATCH(B1529,Items!$A$5:$A$304,0)),"Unknown code"))</f>
        <v/>
      </c>
      <c r="D1529" s="15" t="n"/>
      <c r="E1529" s="16" t="n"/>
      <c r="F1529" s="18">
        <f>IF(OR(D1529="",E1529=""),"",D1529*E1529)</f>
        <v/>
      </c>
      <c r="G1529" s="15" t="n"/>
    </row>
    <row r="1530">
      <c r="A1530" s="19" t="n"/>
      <c r="B1530" s="15" t="n"/>
      <c r="C1530">
        <f>IF(B1530="","",IFERROR(INDEX(Items!$B$5:$B$304,MATCH(B1530,Items!$A$5:$A$304,0)),"Unknown code"))</f>
        <v/>
      </c>
      <c r="D1530" s="15" t="n"/>
      <c r="E1530" s="16" t="n"/>
      <c r="F1530" s="18">
        <f>IF(OR(D1530="",E1530=""),"",D1530*E1530)</f>
        <v/>
      </c>
      <c r="G1530" s="15" t="n"/>
    </row>
    <row r="1531">
      <c r="A1531" s="19" t="n"/>
      <c r="B1531" s="15" t="n"/>
      <c r="C1531">
        <f>IF(B1531="","",IFERROR(INDEX(Items!$B$5:$B$304,MATCH(B1531,Items!$A$5:$A$304,0)),"Unknown code"))</f>
        <v/>
      </c>
      <c r="D1531" s="15" t="n"/>
      <c r="E1531" s="16" t="n"/>
      <c r="F1531" s="18">
        <f>IF(OR(D1531="",E1531=""),"",D1531*E1531)</f>
        <v/>
      </c>
      <c r="G1531" s="15" t="n"/>
    </row>
    <row r="1532">
      <c r="A1532" s="19" t="n"/>
      <c r="B1532" s="15" t="n"/>
      <c r="C1532">
        <f>IF(B1532="","",IFERROR(INDEX(Items!$B$5:$B$304,MATCH(B1532,Items!$A$5:$A$304,0)),"Unknown code"))</f>
        <v/>
      </c>
      <c r="D1532" s="15" t="n"/>
      <c r="E1532" s="16" t="n"/>
      <c r="F1532" s="18">
        <f>IF(OR(D1532="",E1532=""),"",D1532*E1532)</f>
        <v/>
      </c>
      <c r="G1532" s="15" t="n"/>
    </row>
    <row r="1533">
      <c r="A1533" s="19" t="n"/>
      <c r="B1533" s="15" t="n"/>
      <c r="C1533">
        <f>IF(B1533="","",IFERROR(INDEX(Items!$B$5:$B$304,MATCH(B1533,Items!$A$5:$A$304,0)),"Unknown code"))</f>
        <v/>
      </c>
      <c r="D1533" s="15" t="n"/>
      <c r="E1533" s="16" t="n"/>
      <c r="F1533" s="18">
        <f>IF(OR(D1533="",E1533=""),"",D1533*E1533)</f>
        <v/>
      </c>
      <c r="G1533" s="15" t="n"/>
    </row>
    <row r="1534">
      <c r="A1534" s="19" t="n"/>
      <c r="B1534" s="15" t="n"/>
      <c r="C1534">
        <f>IF(B1534="","",IFERROR(INDEX(Items!$B$5:$B$304,MATCH(B1534,Items!$A$5:$A$304,0)),"Unknown code"))</f>
        <v/>
      </c>
      <c r="D1534" s="15" t="n"/>
      <c r="E1534" s="16" t="n"/>
      <c r="F1534" s="18">
        <f>IF(OR(D1534="",E1534=""),"",D1534*E1534)</f>
        <v/>
      </c>
      <c r="G1534" s="15" t="n"/>
    </row>
    <row r="1535">
      <c r="A1535" s="19" t="n"/>
      <c r="B1535" s="15" t="n"/>
      <c r="C1535">
        <f>IF(B1535="","",IFERROR(INDEX(Items!$B$5:$B$304,MATCH(B1535,Items!$A$5:$A$304,0)),"Unknown code"))</f>
        <v/>
      </c>
      <c r="D1535" s="15" t="n"/>
      <c r="E1535" s="16" t="n"/>
      <c r="F1535" s="18">
        <f>IF(OR(D1535="",E1535=""),"",D1535*E1535)</f>
        <v/>
      </c>
      <c r="G1535" s="15" t="n"/>
    </row>
    <row r="1536">
      <c r="A1536" s="19" t="n"/>
      <c r="B1536" s="15" t="n"/>
      <c r="C1536">
        <f>IF(B1536="","",IFERROR(INDEX(Items!$B$5:$B$304,MATCH(B1536,Items!$A$5:$A$304,0)),"Unknown code"))</f>
        <v/>
      </c>
      <c r="D1536" s="15" t="n"/>
      <c r="E1536" s="16" t="n"/>
      <c r="F1536" s="18">
        <f>IF(OR(D1536="",E1536=""),"",D1536*E1536)</f>
        <v/>
      </c>
      <c r="G1536" s="15" t="n"/>
    </row>
    <row r="1537">
      <c r="A1537" s="19" t="n"/>
      <c r="B1537" s="15" t="n"/>
      <c r="C1537">
        <f>IF(B1537="","",IFERROR(INDEX(Items!$B$5:$B$304,MATCH(B1537,Items!$A$5:$A$304,0)),"Unknown code"))</f>
        <v/>
      </c>
      <c r="D1537" s="15" t="n"/>
      <c r="E1537" s="16" t="n"/>
      <c r="F1537" s="18">
        <f>IF(OR(D1537="",E1537=""),"",D1537*E1537)</f>
        <v/>
      </c>
      <c r="G1537" s="15" t="n"/>
    </row>
    <row r="1538">
      <c r="A1538" s="19" t="n"/>
      <c r="B1538" s="15" t="n"/>
      <c r="C1538">
        <f>IF(B1538="","",IFERROR(INDEX(Items!$B$5:$B$304,MATCH(B1538,Items!$A$5:$A$304,0)),"Unknown code"))</f>
        <v/>
      </c>
      <c r="D1538" s="15" t="n"/>
      <c r="E1538" s="16" t="n"/>
      <c r="F1538" s="18">
        <f>IF(OR(D1538="",E1538=""),"",D1538*E1538)</f>
        <v/>
      </c>
      <c r="G1538" s="15" t="n"/>
    </row>
    <row r="1539">
      <c r="A1539" s="19" t="n"/>
      <c r="B1539" s="15" t="n"/>
      <c r="C1539">
        <f>IF(B1539="","",IFERROR(INDEX(Items!$B$5:$B$304,MATCH(B1539,Items!$A$5:$A$304,0)),"Unknown code"))</f>
        <v/>
      </c>
      <c r="D1539" s="15" t="n"/>
      <c r="E1539" s="16" t="n"/>
      <c r="F1539" s="18">
        <f>IF(OR(D1539="",E1539=""),"",D1539*E1539)</f>
        <v/>
      </c>
      <c r="G1539" s="15" t="n"/>
    </row>
    <row r="1540">
      <c r="A1540" s="19" t="n"/>
      <c r="B1540" s="15" t="n"/>
      <c r="C1540">
        <f>IF(B1540="","",IFERROR(INDEX(Items!$B$5:$B$304,MATCH(B1540,Items!$A$5:$A$304,0)),"Unknown code"))</f>
        <v/>
      </c>
      <c r="D1540" s="15" t="n"/>
      <c r="E1540" s="16" t="n"/>
      <c r="F1540" s="18">
        <f>IF(OR(D1540="",E1540=""),"",D1540*E1540)</f>
        <v/>
      </c>
      <c r="G1540" s="15" t="n"/>
    </row>
    <row r="1541">
      <c r="A1541" s="19" t="n"/>
      <c r="B1541" s="15" t="n"/>
      <c r="C1541">
        <f>IF(B1541="","",IFERROR(INDEX(Items!$B$5:$B$304,MATCH(B1541,Items!$A$5:$A$304,0)),"Unknown code"))</f>
        <v/>
      </c>
      <c r="D1541" s="15" t="n"/>
      <c r="E1541" s="16" t="n"/>
      <c r="F1541" s="18">
        <f>IF(OR(D1541="",E1541=""),"",D1541*E1541)</f>
        <v/>
      </c>
      <c r="G1541" s="15" t="n"/>
    </row>
    <row r="1542">
      <c r="A1542" s="19" t="n"/>
      <c r="B1542" s="15" t="n"/>
      <c r="C1542">
        <f>IF(B1542="","",IFERROR(INDEX(Items!$B$5:$B$304,MATCH(B1542,Items!$A$5:$A$304,0)),"Unknown code"))</f>
        <v/>
      </c>
      <c r="D1542" s="15" t="n"/>
      <c r="E1542" s="16" t="n"/>
      <c r="F1542" s="18">
        <f>IF(OR(D1542="",E1542=""),"",D1542*E1542)</f>
        <v/>
      </c>
      <c r="G1542" s="15" t="n"/>
    </row>
    <row r="1543">
      <c r="A1543" s="19" t="n"/>
      <c r="B1543" s="15" t="n"/>
      <c r="C1543">
        <f>IF(B1543="","",IFERROR(INDEX(Items!$B$5:$B$304,MATCH(B1543,Items!$A$5:$A$304,0)),"Unknown code"))</f>
        <v/>
      </c>
      <c r="D1543" s="15" t="n"/>
      <c r="E1543" s="16" t="n"/>
      <c r="F1543" s="18">
        <f>IF(OR(D1543="",E1543=""),"",D1543*E1543)</f>
        <v/>
      </c>
      <c r="G1543" s="15" t="n"/>
    </row>
    <row r="1544">
      <c r="A1544" s="19" t="n"/>
      <c r="B1544" s="15" t="n"/>
      <c r="C1544">
        <f>IF(B1544="","",IFERROR(INDEX(Items!$B$5:$B$304,MATCH(B1544,Items!$A$5:$A$304,0)),"Unknown code"))</f>
        <v/>
      </c>
      <c r="D1544" s="15" t="n"/>
      <c r="E1544" s="16" t="n"/>
      <c r="F1544" s="18">
        <f>IF(OR(D1544="",E1544=""),"",D1544*E1544)</f>
        <v/>
      </c>
      <c r="G1544" s="15" t="n"/>
    </row>
    <row r="1545">
      <c r="A1545" s="19" t="n"/>
      <c r="B1545" s="15" t="n"/>
      <c r="C1545">
        <f>IF(B1545="","",IFERROR(INDEX(Items!$B$5:$B$304,MATCH(B1545,Items!$A$5:$A$304,0)),"Unknown code"))</f>
        <v/>
      </c>
      <c r="D1545" s="15" t="n"/>
      <c r="E1545" s="16" t="n"/>
      <c r="F1545" s="18">
        <f>IF(OR(D1545="",E1545=""),"",D1545*E1545)</f>
        <v/>
      </c>
      <c r="G1545" s="15" t="n"/>
    </row>
    <row r="1546">
      <c r="A1546" s="19" t="n"/>
      <c r="B1546" s="15" t="n"/>
      <c r="C1546">
        <f>IF(B1546="","",IFERROR(INDEX(Items!$B$5:$B$304,MATCH(B1546,Items!$A$5:$A$304,0)),"Unknown code"))</f>
        <v/>
      </c>
      <c r="D1546" s="15" t="n"/>
      <c r="E1546" s="16" t="n"/>
      <c r="F1546" s="18">
        <f>IF(OR(D1546="",E1546=""),"",D1546*E1546)</f>
        <v/>
      </c>
      <c r="G1546" s="15" t="n"/>
    </row>
    <row r="1547">
      <c r="A1547" s="19" t="n"/>
      <c r="B1547" s="15" t="n"/>
      <c r="C1547">
        <f>IF(B1547="","",IFERROR(INDEX(Items!$B$5:$B$304,MATCH(B1547,Items!$A$5:$A$304,0)),"Unknown code"))</f>
        <v/>
      </c>
      <c r="D1547" s="15" t="n"/>
      <c r="E1547" s="16" t="n"/>
      <c r="F1547" s="18">
        <f>IF(OR(D1547="",E1547=""),"",D1547*E1547)</f>
        <v/>
      </c>
      <c r="G1547" s="15" t="n"/>
    </row>
    <row r="1548">
      <c r="A1548" s="19" t="n"/>
      <c r="B1548" s="15" t="n"/>
      <c r="C1548">
        <f>IF(B1548="","",IFERROR(INDEX(Items!$B$5:$B$304,MATCH(B1548,Items!$A$5:$A$304,0)),"Unknown code"))</f>
        <v/>
      </c>
      <c r="D1548" s="15" t="n"/>
      <c r="E1548" s="16" t="n"/>
      <c r="F1548" s="18">
        <f>IF(OR(D1548="",E1548=""),"",D1548*E1548)</f>
        <v/>
      </c>
      <c r="G1548" s="15" t="n"/>
    </row>
    <row r="1549">
      <c r="A1549" s="19" t="n"/>
      <c r="B1549" s="15" t="n"/>
      <c r="C1549">
        <f>IF(B1549="","",IFERROR(INDEX(Items!$B$5:$B$304,MATCH(B1549,Items!$A$5:$A$304,0)),"Unknown code"))</f>
        <v/>
      </c>
      <c r="D1549" s="15" t="n"/>
      <c r="E1549" s="16" t="n"/>
      <c r="F1549" s="18">
        <f>IF(OR(D1549="",E1549=""),"",D1549*E1549)</f>
        <v/>
      </c>
      <c r="G1549" s="15" t="n"/>
    </row>
    <row r="1550">
      <c r="A1550" s="19" t="n"/>
      <c r="B1550" s="15" t="n"/>
      <c r="C1550">
        <f>IF(B1550="","",IFERROR(INDEX(Items!$B$5:$B$304,MATCH(B1550,Items!$A$5:$A$304,0)),"Unknown code"))</f>
        <v/>
      </c>
      <c r="D1550" s="15" t="n"/>
      <c r="E1550" s="16" t="n"/>
      <c r="F1550" s="18">
        <f>IF(OR(D1550="",E1550=""),"",D1550*E1550)</f>
        <v/>
      </c>
      <c r="G1550" s="15" t="n"/>
    </row>
    <row r="1551">
      <c r="A1551" s="19" t="n"/>
      <c r="B1551" s="15" t="n"/>
      <c r="C1551">
        <f>IF(B1551="","",IFERROR(INDEX(Items!$B$5:$B$304,MATCH(B1551,Items!$A$5:$A$304,0)),"Unknown code"))</f>
        <v/>
      </c>
      <c r="D1551" s="15" t="n"/>
      <c r="E1551" s="16" t="n"/>
      <c r="F1551" s="18">
        <f>IF(OR(D1551="",E1551=""),"",D1551*E1551)</f>
        <v/>
      </c>
      <c r="G1551" s="15" t="n"/>
    </row>
    <row r="1552">
      <c r="A1552" s="19" t="n"/>
      <c r="B1552" s="15" t="n"/>
      <c r="C1552">
        <f>IF(B1552="","",IFERROR(INDEX(Items!$B$5:$B$304,MATCH(B1552,Items!$A$5:$A$304,0)),"Unknown code"))</f>
        <v/>
      </c>
      <c r="D1552" s="15" t="n"/>
      <c r="E1552" s="16" t="n"/>
      <c r="F1552" s="18">
        <f>IF(OR(D1552="",E1552=""),"",D1552*E1552)</f>
        <v/>
      </c>
      <c r="G1552" s="15" t="n"/>
    </row>
    <row r="1553">
      <c r="A1553" s="19" t="n"/>
      <c r="B1553" s="15" t="n"/>
      <c r="C1553">
        <f>IF(B1553="","",IFERROR(INDEX(Items!$B$5:$B$304,MATCH(B1553,Items!$A$5:$A$304,0)),"Unknown code"))</f>
        <v/>
      </c>
      <c r="D1553" s="15" t="n"/>
      <c r="E1553" s="16" t="n"/>
      <c r="F1553" s="18">
        <f>IF(OR(D1553="",E1553=""),"",D1553*E1553)</f>
        <v/>
      </c>
      <c r="G1553" s="15" t="n"/>
    </row>
    <row r="1554">
      <c r="A1554" s="19" t="n"/>
      <c r="B1554" s="15" t="n"/>
      <c r="C1554">
        <f>IF(B1554="","",IFERROR(INDEX(Items!$B$5:$B$304,MATCH(B1554,Items!$A$5:$A$304,0)),"Unknown code"))</f>
        <v/>
      </c>
      <c r="D1554" s="15" t="n"/>
      <c r="E1554" s="16" t="n"/>
      <c r="F1554" s="18">
        <f>IF(OR(D1554="",E1554=""),"",D1554*E1554)</f>
        <v/>
      </c>
      <c r="G1554" s="15" t="n"/>
    </row>
    <row r="1555">
      <c r="A1555" s="19" t="n"/>
      <c r="B1555" s="15" t="n"/>
      <c r="C1555">
        <f>IF(B1555="","",IFERROR(INDEX(Items!$B$5:$B$304,MATCH(B1555,Items!$A$5:$A$304,0)),"Unknown code"))</f>
        <v/>
      </c>
      <c r="D1555" s="15" t="n"/>
      <c r="E1555" s="16" t="n"/>
      <c r="F1555" s="18">
        <f>IF(OR(D1555="",E1555=""),"",D1555*E1555)</f>
        <v/>
      </c>
      <c r="G1555" s="15" t="n"/>
    </row>
    <row r="1556">
      <c r="A1556" s="19" t="n"/>
      <c r="B1556" s="15" t="n"/>
      <c r="C1556">
        <f>IF(B1556="","",IFERROR(INDEX(Items!$B$5:$B$304,MATCH(B1556,Items!$A$5:$A$304,0)),"Unknown code"))</f>
        <v/>
      </c>
      <c r="D1556" s="15" t="n"/>
      <c r="E1556" s="16" t="n"/>
      <c r="F1556" s="18">
        <f>IF(OR(D1556="",E1556=""),"",D1556*E1556)</f>
        <v/>
      </c>
      <c r="G1556" s="15" t="n"/>
    </row>
    <row r="1557">
      <c r="A1557" s="19" t="n"/>
      <c r="B1557" s="15" t="n"/>
      <c r="C1557">
        <f>IF(B1557="","",IFERROR(INDEX(Items!$B$5:$B$304,MATCH(B1557,Items!$A$5:$A$304,0)),"Unknown code"))</f>
        <v/>
      </c>
      <c r="D1557" s="15" t="n"/>
      <c r="E1557" s="16" t="n"/>
      <c r="F1557" s="18">
        <f>IF(OR(D1557="",E1557=""),"",D1557*E1557)</f>
        <v/>
      </c>
      <c r="G1557" s="15" t="n"/>
    </row>
    <row r="1558">
      <c r="A1558" s="19" t="n"/>
      <c r="B1558" s="15" t="n"/>
      <c r="C1558">
        <f>IF(B1558="","",IFERROR(INDEX(Items!$B$5:$B$304,MATCH(B1558,Items!$A$5:$A$304,0)),"Unknown code"))</f>
        <v/>
      </c>
      <c r="D1558" s="15" t="n"/>
      <c r="E1558" s="16" t="n"/>
      <c r="F1558" s="18">
        <f>IF(OR(D1558="",E1558=""),"",D1558*E1558)</f>
        <v/>
      </c>
      <c r="G1558" s="15" t="n"/>
    </row>
    <row r="1559">
      <c r="A1559" s="19" t="n"/>
      <c r="B1559" s="15" t="n"/>
      <c r="C1559">
        <f>IF(B1559="","",IFERROR(INDEX(Items!$B$5:$B$304,MATCH(B1559,Items!$A$5:$A$304,0)),"Unknown code"))</f>
        <v/>
      </c>
      <c r="D1559" s="15" t="n"/>
      <c r="E1559" s="16" t="n"/>
      <c r="F1559" s="18">
        <f>IF(OR(D1559="",E1559=""),"",D1559*E1559)</f>
        <v/>
      </c>
      <c r="G1559" s="15" t="n"/>
    </row>
    <row r="1560">
      <c r="A1560" s="19" t="n"/>
      <c r="B1560" s="15" t="n"/>
      <c r="C1560">
        <f>IF(B1560="","",IFERROR(INDEX(Items!$B$5:$B$304,MATCH(B1560,Items!$A$5:$A$304,0)),"Unknown code"))</f>
        <v/>
      </c>
      <c r="D1560" s="15" t="n"/>
      <c r="E1560" s="16" t="n"/>
      <c r="F1560" s="18">
        <f>IF(OR(D1560="",E1560=""),"",D1560*E1560)</f>
        <v/>
      </c>
      <c r="G1560" s="15" t="n"/>
    </row>
    <row r="1561">
      <c r="A1561" s="19" t="n"/>
      <c r="B1561" s="15" t="n"/>
      <c r="C1561">
        <f>IF(B1561="","",IFERROR(INDEX(Items!$B$5:$B$304,MATCH(B1561,Items!$A$5:$A$304,0)),"Unknown code"))</f>
        <v/>
      </c>
      <c r="D1561" s="15" t="n"/>
      <c r="E1561" s="16" t="n"/>
      <c r="F1561" s="18">
        <f>IF(OR(D1561="",E1561=""),"",D1561*E1561)</f>
        <v/>
      </c>
      <c r="G1561" s="15" t="n"/>
    </row>
    <row r="1562">
      <c r="A1562" s="19" t="n"/>
      <c r="B1562" s="15" t="n"/>
      <c r="C1562">
        <f>IF(B1562="","",IFERROR(INDEX(Items!$B$5:$B$304,MATCH(B1562,Items!$A$5:$A$304,0)),"Unknown code"))</f>
        <v/>
      </c>
      <c r="D1562" s="15" t="n"/>
      <c r="E1562" s="16" t="n"/>
      <c r="F1562" s="18">
        <f>IF(OR(D1562="",E1562=""),"",D1562*E1562)</f>
        <v/>
      </c>
      <c r="G1562" s="15" t="n"/>
    </row>
    <row r="1563">
      <c r="A1563" s="19" t="n"/>
      <c r="B1563" s="15" t="n"/>
      <c r="C1563">
        <f>IF(B1563="","",IFERROR(INDEX(Items!$B$5:$B$304,MATCH(B1563,Items!$A$5:$A$304,0)),"Unknown code"))</f>
        <v/>
      </c>
      <c r="D1563" s="15" t="n"/>
      <c r="E1563" s="16" t="n"/>
      <c r="F1563" s="18">
        <f>IF(OR(D1563="",E1563=""),"",D1563*E1563)</f>
        <v/>
      </c>
      <c r="G1563" s="15" t="n"/>
    </row>
    <row r="1564">
      <c r="A1564" s="19" t="n"/>
      <c r="B1564" s="15" t="n"/>
      <c r="C1564">
        <f>IF(B1564="","",IFERROR(INDEX(Items!$B$5:$B$304,MATCH(B1564,Items!$A$5:$A$304,0)),"Unknown code"))</f>
        <v/>
      </c>
      <c r="D1564" s="15" t="n"/>
      <c r="E1564" s="16" t="n"/>
      <c r="F1564" s="18">
        <f>IF(OR(D1564="",E1564=""),"",D1564*E1564)</f>
        <v/>
      </c>
      <c r="G1564" s="15" t="n"/>
    </row>
    <row r="1565">
      <c r="A1565" s="19" t="n"/>
      <c r="B1565" s="15" t="n"/>
      <c r="C1565">
        <f>IF(B1565="","",IFERROR(INDEX(Items!$B$5:$B$304,MATCH(B1565,Items!$A$5:$A$304,0)),"Unknown code"))</f>
        <v/>
      </c>
      <c r="D1565" s="15" t="n"/>
      <c r="E1565" s="16" t="n"/>
      <c r="F1565" s="18">
        <f>IF(OR(D1565="",E1565=""),"",D1565*E1565)</f>
        <v/>
      </c>
      <c r="G1565" s="15" t="n"/>
    </row>
    <row r="1566">
      <c r="A1566" s="19" t="n"/>
      <c r="B1566" s="15" t="n"/>
      <c r="C1566">
        <f>IF(B1566="","",IFERROR(INDEX(Items!$B$5:$B$304,MATCH(B1566,Items!$A$5:$A$304,0)),"Unknown code"))</f>
        <v/>
      </c>
      <c r="D1566" s="15" t="n"/>
      <c r="E1566" s="16" t="n"/>
      <c r="F1566" s="18">
        <f>IF(OR(D1566="",E1566=""),"",D1566*E1566)</f>
        <v/>
      </c>
      <c r="G1566" s="15" t="n"/>
    </row>
    <row r="1567">
      <c r="A1567" s="19" t="n"/>
      <c r="B1567" s="15" t="n"/>
      <c r="C1567">
        <f>IF(B1567="","",IFERROR(INDEX(Items!$B$5:$B$304,MATCH(B1567,Items!$A$5:$A$304,0)),"Unknown code"))</f>
        <v/>
      </c>
      <c r="D1567" s="15" t="n"/>
      <c r="E1567" s="16" t="n"/>
      <c r="F1567" s="18">
        <f>IF(OR(D1567="",E1567=""),"",D1567*E1567)</f>
        <v/>
      </c>
      <c r="G1567" s="15" t="n"/>
    </row>
    <row r="1568">
      <c r="A1568" s="19" t="n"/>
      <c r="B1568" s="15" t="n"/>
      <c r="C1568">
        <f>IF(B1568="","",IFERROR(INDEX(Items!$B$5:$B$304,MATCH(B1568,Items!$A$5:$A$304,0)),"Unknown code"))</f>
        <v/>
      </c>
      <c r="D1568" s="15" t="n"/>
      <c r="E1568" s="16" t="n"/>
      <c r="F1568" s="18">
        <f>IF(OR(D1568="",E1568=""),"",D1568*E1568)</f>
        <v/>
      </c>
      <c r="G1568" s="15" t="n"/>
    </row>
    <row r="1569">
      <c r="A1569" s="19" t="n"/>
      <c r="B1569" s="15" t="n"/>
      <c r="C1569">
        <f>IF(B1569="","",IFERROR(INDEX(Items!$B$5:$B$304,MATCH(B1569,Items!$A$5:$A$304,0)),"Unknown code"))</f>
        <v/>
      </c>
      <c r="D1569" s="15" t="n"/>
      <c r="E1569" s="16" t="n"/>
      <c r="F1569" s="18">
        <f>IF(OR(D1569="",E1569=""),"",D1569*E1569)</f>
        <v/>
      </c>
      <c r="G1569" s="15" t="n"/>
    </row>
    <row r="1570">
      <c r="A1570" s="19" t="n"/>
      <c r="B1570" s="15" t="n"/>
      <c r="C1570">
        <f>IF(B1570="","",IFERROR(INDEX(Items!$B$5:$B$304,MATCH(B1570,Items!$A$5:$A$304,0)),"Unknown code"))</f>
        <v/>
      </c>
      <c r="D1570" s="15" t="n"/>
      <c r="E1570" s="16" t="n"/>
      <c r="F1570" s="18">
        <f>IF(OR(D1570="",E1570=""),"",D1570*E1570)</f>
        <v/>
      </c>
      <c r="G1570" s="15" t="n"/>
    </row>
    <row r="1571">
      <c r="A1571" s="19" t="n"/>
      <c r="B1571" s="15" t="n"/>
      <c r="C1571">
        <f>IF(B1571="","",IFERROR(INDEX(Items!$B$5:$B$304,MATCH(B1571,Items!$A$5:$A$304,0)),"Unknown code"))</f>
        <v/>
      </c>
      <c r="D1571" s="15" t="n"/>
      <c r="E1571" s="16" t="n"/>
      <c r="F1571" s="18">
        <f>IF(OR(D1571="",E1571=""),"",D1571*E1571)</f>
        <v/>
      </c>
      <c r="G1571" s="15" t="n"/>
    </row>
    <row r="1572">
      <c r="A1572" s="19" t="n"/>
      <c r="B1572" s="15" t="n"/>
      <c r="C1572">
        <f>IF(B1572="","",IFERROR(INDEX(Items!$B$5:$B$304,MATCH(B1572,Items!$A$5:$A$304,0)),"Unknown code"))</f>
        <v/>
      </c>
      <c r="D1572" s="15" t="n"/>
      <c r="E1572" s="16" t="n"/>
      <c r="F1572" s="18">
        <f>IF(OR(D1572="",E1572=""),"",D1572*E1572)</f>
        <v/>
      </c>
      <c r="G1572" s="15" t="n"/>
    </row>
    <row r="1573">
      <c r="A1573" s="19" t="n"/>
      <c r="B1573" s="15" t="n"/>
      <c r="C1573">
        <f>IF(B1573="","",IFERROR(INDEX(Items!$B$5:$B$304,MATCH(B1573,Items!$A$5:$A$304,0)),"Unknown code"))</f>
        <v/>
      </c>
      <c r="D1573" s="15" t="n"/>
      <c r="E1573" s="16" t="n"/>
      <c r="F1573" s="18">
        <f>IF(OR(D1573="",E1573=""),"",D1573*E1573)</f>
        <v/>
      </c>
      <c r="G1573" s="15" t="n"/>
    </row>
    <row r="1574">
      <c r="A1574" s="19" t="n"/>
      <c r="B1574" s="15" t="n"/>
      <c r="C1574">
        <f>IF(B1574="","",IFERROR(INDEX(Items!$B$5:$B$304,MATCH(B1574,Items!$A$5:$A$304,0)),"Unknown code"))</f>
        <v/>
      </c>
      <c r="D1574" s="15" t="n"/>
      <c r="E1574" s="16" t="n"/>
      <c r="F1574" s="18">
        <f>IF(OR(D1574="",E1574=""),"",D1574*E1574)</f>
        <v/>
      </c>
      <c r="G1574" s="15" t="n"/>
    </row>
    <row r="1575">
      <c r="A1575" s="19" t="n"/>
      <c r="B1575" s="15" t="n"/>
      <c r="C1575">
        <f>IF(B1575="","",IFERROR(INDEX(Items!$B$5:$B$304,MATCH(B1575,Items!$A$5:$A$304,0)),"Unknown code"))</f>
        <v/>
      </c>
      <c r="D1575" s="15" t="n"/>
      <c r="E1575" s="16" t="n"/>
      <c r="F1575" s="18">
        <f>IF(OR(D1575="",E1575=""),"",D1575*E1575)</f>
        <v/>
      </c>
      <c r="G1575" s="15" t="n"/>
    </row>
    <row r="1576">
      <c r="A1576" s="19" t="n"/>
      <c r="B1576" s="15" t="n"/>
      <c r="C1576">
        <f>IF(B1576="","",IFERROR(INDEX(Items!$B$5:$B$304,MATCH(B1576,Items!$A$5:$A$304,0)),"Unknown code"))</f>
        <v/>
      </c>
      <c r="D1576" s="15" t="n"/>
      <c r="E1576" s="16" t="n"/>
      <c r="F1576" s="18">
        <f>IF(OR(D1576="",E1576=""),"",D1576*E1576)</f>
        <v/>
      </c>
      <c r="G1576" s="15" t="n"/>
    </row>
    <row r="1577">
      <c r="A1577" s="19" t="n"/>
      <c r="B1577" s="15" t="n"/>
      <c r="C1577">
        <f>IF(B1577="","",IFERROR(INDEX(Items!$B$5:$B$304,MATCH(B1577,Items!$A$5:$A$304,0)),"Unknown code"))</f>
        <v/>
      </c>
      <c r="D1577" s="15" t="n"/>
      <c r="E1577" s="16" t="n"/>
      <c r="F1577" s="18">
        <f>IF(OR(D1577="",E1577=""),"",D1577*E1577)</f>
        <v/>
      </c>
      <c r="G1577" s="15" t="n"/>
    </row>
    <row r="1578">
      <c r="A1578" s="19" t="n"/>
      <c r="B1578" s="15" t="n"/>
      <c r="C1578">
        <f>IF(B1578="","",IFERROR(INDEX(Items!$B$5:$B$304,MATCH(B1578,Items!$A$5:$A$304,0)),"Unknown code"))</f>
        <v/>
      </c>
      <c r="D1578" s="15" t="n"/>
      <c r="E1578" s="16" t="n"/>
      <c r="F1578" s="18">
        <f>IF(OR(D1578="",E1578=""),"",D1578*E1578)</f>
        <v/>
      </c>
      <c r="G1578" s="15" t="n"/>
    </row>
    <row r="1579">
      <c r="A1579" s="19" t="n"/>
      <c r="B1579" s="15" t="n"/>
      <c r="C1579">
        <f>IF(B1579="","",IFERROR(INDEX(Items!$B$5:$B$304,MATCH(B1579,Items!$A$5:$A$304,0)),"Unknown code"))</f>
        <v/>
      </c>
      <c r="D1579" s="15" t="n"/>
      <c r="E1579" s="16" t="n"/>
      <c r="F1579" s="18">
        <f>IF(OR(D1579="",E1579=""),"",D1579*E1579)</f>
        <v/>
      </c>
      <c r="G1579" s="15" t="n"/>
    </row>
    <row r="1580">
      <c r="A1580" s="19" t="n"/>
      <c r="B1580" s="15" t="n"/>
      <c r="C1580">
        <f>IF(B1580="","",IFERROR(INDEX(Items!$B$5:$B$304,MATCH(B1580,Items!$A$5:$A$304,0)),"Unknown code"))</f>
        <v/>
      </c>
      <c r="D1580" s="15" t="n"/>
      <c r="E1580" s="16" t="n"/>
      <c r="F1580" s="18">
        <f>IF(OR(D1580="",E1580=""),"",D1580*E1580)</f>
        <v/>
      </c>
      <c r="G1580" s="15" t="n"/>
    </row>
    <row r="1581">
      <c r="A1581" s="19" t="n"/>
      <c r="B1581" s="15" t="n"/>
      <c r="C1581">
        <f>IF(B1581="","",IFERROR(INDEX(Items!$B$5:$B$304,MATCH(B1581,Items!$A$5:$A$304,0)),"Unknown code"))</f>
        <v/>
      </c>
      <c r="D1581" s="15" t="n"/>
      <c r="E1581" s="16" t="n"/>
      <c r="F1581" s="18">
        <f>IF(OR(D1581="",E1581=""),"",D1581*E1581)</f>
        <v/>
      </c>
      <c r="G1581" s="15" t="n"/>
    </row>
    <row r="1582">
      <c r="A1582" s="19" t="n"/>
      <c r="B1582" s="15" t="n"/>
      <c r="C1582">
        <f>IF(B1582="","",IFERROR(INDEX(Items!$B$5:$B$304,MATCH(B1582,Items!$A$5:$A$304,0)),"Unknown code"))</f>
        <v/>
      </c>
      <c r="D1582" s="15" t="n"/>
      <c r="E1582" s="16" t="n"/>
      <c r="F1582" s="18">
        <f>IF(OR(D1582="",E1582=""),"",D1582*E1582)</f>
        <v/>
      </c>
      <c r="G1582" s="15" t="n"/>
    </row>
    <row r="1583">
      <c r="A1583" s="19" t="n"/>
      <c r="B1583" s="15" t="n"/>
      <c r="C1583">
        <f>IF(B1583="","",IFERROR(INDEX(Items!$B$5:$B$304,MATCH(B1583,Items!$A$5:$A$304,0)),"Unknown code"))</f>
        <v/>
      </c>
      <c r="D1583" s="15" t="n"/>
      <c r="E1583" s="16" t="n"/>
      <c r="F1583" s="18">
        <f>IF(OR(D1583="",E1583=""),"",D1583*E1583)</f>
        <v/>
      </c>
      <c r="G1583" s="15" t="n"/>
    </row>
    <row r="1584">
      <c r="A1584" s="19" t="n"/>
      <c r="B1584" s="15" t="n"/>
      <c r="C1584">
        <f>IF(B1584="","",IFERROR(INDEX(Items!$B$5:$B$304,MATCH(B1584,Items!$A$5:$A$304,0)),"Unknown code"))</f>
        <v/>
      </c>
      <c r="D1584" s="15" t="n"/>
      <c r="E1584" s="16" t="n"/>
      <c r="F1584" s="18">
        <f>IF(OR(D1584="",E1584=""),"",D1584*E1584)</f>
        <v/>
      </c>
      <c r="G1584" s="15" t="n"/>
    </row>
    <row r="1585">
      <c r="A1585" s="19" t="n"/>
      <c r="B1585" s="15" t="n"/>
      <c r="C1585">
        <f>IF(B1585="","",IFERROR(INDEX(Items!$B$5:$B$304,MATCH(B1585,Items!$A$5:$A$304,0)),"Unknown code"))</f>
        <v/>
      </c>
      <c r="D1585" s="15" t="n"/>
      <c r="E1585" s="16" t="n"/>
      <c r="F1585" s="18">
        <f>IF(OR(D1585="",E1585=""),"",D1585*E1585)</f>
        <v/>
      </c>
      <c r="G1585" s="15" t="n"/>
    </row>
    <row r="1586">
      <c r="A1586" s="19" t="n"/>
      <c r="B1586" s="15" t="n"/>
      <c r="C1586">
        <f>IF(B1586="","",IFERROR(INDEX(Items!$B$5:$B$304,MATCH(B1586,Items!$A$5:$A$304,0)),"Unknown code"))</f>
        <v/>
      </c>
      <c r="D1586" s="15" t="n"/>
      <c r="E1586" s="16" t="n"/>
      <c r="F1586" s="18">
        <f>IF(OR(D1586="",E1586=""),"",D1586*E1586)</f>
        <v/>
      </c>
      <c r="G1586" s="15" t="n"/>
    </row>
    <row r="1587">
      <c r="A1587" s="19" t="n"/>
      <c r="B1587" s="15" t="n"/>
      <c r="C1587">
        <f>IF(B1587="","",IFERROR(INDEX(Items!$B$5:$B$304,MATCH(B1587,Items!$A$5:$A$304,0)),"Unknown code"))</f>
        <v/>
      </c>
      <c r="D1587" s="15" t="n"/>
      <c r="E1587" s="16" t="n"/>
      <c r="F1587" s="18">
        <f>IF(OR(D1587="",E1587=""),"",D1587*E1587)</f>
        <v/>
      </c>
      <c r="G1587" s="15" t="n"/>
    </row>
    <row r="1588">
      <c r="A1588" s="19" t="n"/>
      <c r="B1588" s="15" t="n"/>
      <c r="C1588">
        <f>IF(B1588="","",IFERROR(INDEX(Items!$B$5:$B$304,MATCH(B1588,Items!$A$5:$A$304,0)),"Unknown code"))</f>
        <v/>
      </c>
      <c r="D1588" s="15" t="n"/>
      <c r="E1588" s="16" t="n"/>
      <c r="F1588" s="18">
        <f>IF(OR(D1588="",E1588=""),"",D1588*E1588)</f>
        <v/>
      </c>
      <c r="G1588" s="15" t="n"/>
    </row>
    <row r="1589">
      <c r="A1589" s="19" t="n"/>
      <c r="B1589" s="15" t="n"/>
      <c r="C1589">
        <f>IF(B1589="","",IFERROR(INDEX(Items!$B$5:$B$304,MATCH(B1589,Items!$A$5:$A$304,0)),"Unknown code"))</f>
        <v/>
      </c>
      <c r="D1589" s="15" t="n"/>
      <c r="E1589" s="16" t="n"/>
      <c r="F1589" s="18">
        <f>IF(OR(D1589="",E1589=""),"",D1589*E1589)</f>
        <v/>
      </c>
      <c r="G1589" s="15" t="n"/>
    </row>
    <row r="1590">
      <c r="A1590" s="19" t="n"/>
      <c r="B1590" s="15" t="n"/>
      <c r="C1590">
        <f>IF(B1590="","",IFERROR(INDEX(Items!$B$5:$B$304,MATCH(B1590,Items!$A$5:$A$304,0)),"Unknown code"))</f>
        <v/>
      </c>
      <c r="D1590" s="15" t="n"/>
      <c r="E1590" s="16" t="n"/>
      <c r="F1590" s="18">
        <f>IF(OR(D1590="",E1590=""),"",D1590*E1590)</f>
        <v/>
      </c>
      <c r="G1590" s="15" t="n"/>
    </row>
    <row r="1591">
      <c r="A1591" s="19" t="n"/>
      <c r="B1591" s="15" t="n"/>
      <c r="C1591">
        <f>IF(B1591="","",IFERROR(INDEX(Items!$B$5:$B$304,MATCH(B1591,Items!$A$5:$A$304,0)),"Unknown code"))</f>
        <v/>
      </c>
      <c r="D1591" s="15" t="n"/>
      <c r="E1591" s="16" t="n"/>
      <c r="F1591" s="18">
        <f>IF(OR(D1591="",E1591=""),"",D1591*E1591)</f>
        <v/>
      </c>
      <c r="G1591" s="15" t="n"/>
    </row>
    <row r="1592">
      <c r="A1592" s="19" t="n"/>
      <c r="B1592" s="15" t="n"/>
      <c r="C1592">
        <f>IF(B1592="","",IFERROR(INDEX(Items!$B$5:$B$304,MATCH(B1592,Items!$A$5:$A$304,0)),"Unknown code"))</f>
        <v/>
      </c>
      <c r="D1592" s="15" t="n"/>
      <c r="E1592" s="16" t="n"/>
      <c r="F1592" s="18">
        <f>IF(OR(D1592="",E1592=""),"",D1592*E1592)</f>
        <v/>
      </c>
      <c r="G1592" s="15" t="n"/>
    </row>
    <row r="1593">
      <c r="A1593" s="19" t="n"/>
      <c r="B1593" s="15" t="n"/>
      <c r="C1593">
        <f>IF(B1593="","",IFERROR(INDEX(Items!$B$5:$B$304,MATCH(B1593,Items!$A$5:$A$304,0)),"Unknown code"))</f>
        <v/>
      </c>
      <c r="D1593" s="15" t="n"/>
      <c r="E1593" s="16" t="n"/>
      <c r="F1593" s="18">
        <f>IF(OR(D1593="",E1593=""),"",D1593*E1593)</f>
        <v/>
      </c>
      <c r="G1593" s="15" t="n"/>
    </row>
    <row r="1594">
      <c r="A1594" s="19" t="n"/>
      <c r="B1594" s="15" t="n"/>
      <c r="C1594">
        <f>IF(B1594="","",IFERROR(INDEX(Items!$B$5:$B$304,MATCH(B1594,Items!$A$5:$A$304,0)),"Unknown code"))</f>
        <v/>
      </c>
      <c r="D1594" s="15" t="n"/>
      <c r="E1594" s="16" t="n"/>
      <c r="F1594" s="18">
        <f>IF(OR(D1594="",E1594=""),"",D1594*E1594)</f>
        <v/>
      </c>
      <c r="G1594" s="15" t="n"/>
    </row>
    <row r="1595">
      <c r="A1595" s="19" t="n"/>
      <c r="B1595" s="15" t="n"/>
      <c r="C1595">
        <f>IF(B1595="","",IFERROR(INDEX(Items!$B$5:$B$304,MATCH(B1595,Items!$A$5:$A$304,0)),"Unknown code"))</f>
        <v/>
      </c>
      <c r="D1595" s="15" t="n"/>
      <c r="E1595" s="16" t="n"/>
      <c r="F1595" s="18">
        <f>IF(OR(D1595="",E1595=""),"",D1595*E1595)</f>
        <v/>
      </c>
      <c r="G1595" s="15" t="n"/>
    </row>
    <row r="1596">
      <c r="A1596" s="19" t="n"/>
      <c r="B1596" s="15" t="n"/>
      <c r="C1596">
        <f>IF(B1596="","",IFERROR(INDEX(Items!$B$5:$B$304,MATCH(B1596,Items!$A$5:$A$304,0)),"Unknown code"))</f>
        <v/>
      </c>
      <c r="D1596" s="15" t="n"/>
      <c r="E1596" s="16" t="n"/>
      <c r="F1596" s="18">
        <f>IF(OR(D1596="",E1596=""),"",D1596*E1596)</f>
        <v/>
      </c>
      <c r="G1596" s="15" t="n"/>
    </row>
    <row r="1597">
      <c r="A1597" s="19" t="n"/>
      <c r="B1597" s="15" t="n"/>
      <c r="C1597">
        <f>IF(B1597="","",IFERROR(INDEX(Items!$B$5:$B$304,MATCH(B1597,Items!$A$5:$A$304,0)),"Unknown code"))</f>
        <v/>
      </c>
      <c r="D1597" s="15" t="n"/>
      <c r="E1597" s="16" t="n"/>
      <c r="F1597" s="18">
        <f>IF(OR(D1597="",E1597=""),"",D1597*E1597)</f>
        <v/>
      </c>
      <c r="G1597" s="15" t="n"/>
    </row>
    <row r="1598">
      <c r="A1598" s="19" t="n"/>
      <c r="B1598" s="15" t="n"/>
      <c r="C1598">
        <f>IF(B1598="","",IFERROR(INDEX(Items!$B$5:$B$304,MATCH(B1598,Items!$A$5:$A$304,0)),"Unknown code"))</f>
        <v/>
      </c>
      <c r="D1598" s="15" t="n"/>
      <c r="E1598" s="16" t="n"/>
      <c r="F1598" s="18">
        <f>IF(OR(D1598="",E1598=""),"",D1598*E1598)</f>
        <v/>
      </c>
      <c r="G1598" s="15" t="n"/>
    </row>
    <row r="1599">
      <c r="A1599" s="19" t="n"/>
      <c r="B1599" s="15" t="n"/>
      <c r="C1599">
        <f>IF(B1599="","",IFERROR(INDEX(Items!$B$5:$B$304,MATCH(B1599,Items!$A$5:$A$304,0)),"Unknown code"))</f>
        <v/>
      </c>
      <c r="D1599" s="15" t="n"/>
      <c r="E1599" s="16" t="n"/>
      <c r="F1599" s="18">
        <f>IF(OR(D1599="",E1599=""),"",D1599*E1599)</f>
        <v/>
      </c>
      <c r="G1599" s="15" t="n"/>
    </row>
    <row r="1600">
      <c r="A1600" s="19" t="n"/>
      <c r="B1600" s="15" t="n"/>
      <c r="C1600">
        <f>IF(B1600="","",IFERROR(INDEX(Items!$B$5:$B$304,MATCH(B1600,Items!$A$5:$A$304,0)),"Unknown code"))</f>
        <v/>
      </c>
      <c r="D1600" s="15" t="n"/>
      <c r="E1600" s="16" t="n"/>
      <c r="F1600" s="18">
        <f>IF(OR(D1600="",E1600=""),"",D1600*E1600)</f>
        <v/>
      </c>
      <c r="G1600" s="15" t="n"/>
    </row>
    <row r="1601">
      <c r="A1601" s="19" t="n"/>
      <c r="B1601" s="15" t="n"/>
      <c r="C1601">
        <f>IF(B1601="","",IFERROR(INDEX(Items!$B$5:$B$304,MATCH(B1601,Items!$A$5:$A$304,0)),"Unknown code"))</f>
        <v/>
      </c>
      <c r="D1601" s="15" t="n"/>
      <c r="E1601" s="16" t="n"/>
      <c r="F1601" s="18">
        <f>IF(OR(D1601="",E1601=""),"",D1601*E1601)</f>
        <v/>
      </c>
      <c r="G1601" s="15" t="n"/>
    </row>
    <row r="1602">
      <c r="A1602" s="19" t="n"/>
      <c r="B1602" s="15" t="n"/>
      <c r="C1602">
        <f>IF(B1602="","",IFERROR(INDEX(Items!$B$5:$B$304,MATCH(B1602,Items!$A$5:$A$304,0)),"Unknown code"))</f>
        <v/>
      </c>
      <c r="D1602" s="15" t="n"/>
      <c r="E1602" s="16" t="n"/>
      <c r="F1602" s="18">
        <f>IF(OR(D1602="",E1602=""),"",D1602*E1602)</f>
        <v/>
      </c>
      <c r="G1602" s="15" t="n"/>
    </row>
    <row r="1603">
      <c r="A1603" s="19" t="n"/>
      <c r="B1603" s="15" t="n"/>
      <c r="C1603">
        <f>IF(B1603="","",IFERROR(INDEX(Items!$B$5:$B$304,MATCH(B1603,Items!$A$5:$A$304,0)),"Unknown code"))</f>
        <v/>
      </c>
      <c r="D1603" s="15" t="n"/>
      <c r="E1603" s="16" t="n"/>
      <c r="F1603" s="18">
        <f>IF(OR(D1603="",E1603=""),"",D1603*E1603)</f>
        <v/>
      </c>
      <c r="G1603" s="15" t="n"/>
    </row>
    <row r="1604">
      <c r="A1604" s="19" t="n"/>
      <c r="B1604" s="15" t="n"/>
      <c r="C1604">
        <f>IF(B1604="","",IFERROR(INDEX(Items!$B$5:$B$304,MATCH(B1604,Items!$A$5:$A$304,0)),"Unknown code"))</f>
        <v/>
      </c>
      <c r="D1604" s="15" t="n"/>
      <c r="E1604" s="16" t="n"/>
      <c r="F1604" s="18">
        <f>IF(OR(D1604="",E1604=""),"",D1604*E1604)</f>
        <v/>
      </c>
      <c r="G1604" s="15" t="n"/>
    </row>
    <row r="1605">
      <c r="A1605" s="19" t="n"/>
      <c r="B1605" s="15" t="n"/>
      <c r="C1605">
        <f>IF(B1605="","",IFERROR(INDEX(Items!$B$5:$B$304,MATCH(B1605,Items!$A$5:$A$304,0)),"Unknown code"))</f>
        <v/>
      </c>
      <c r="D1605" s="15" t="n"/>
      <c r="E1605" s="16" t="n"/>
      <c r="F1605" s="18">
        <f>IF(OR(D1605="",E1605=""),"",D1605*E1605)</f>
        <v/>
      </c>
      <c r="G1605" s="15" t="n"/>
    </row>
    <row r="1606">
      <c r="A1606" s="19" t="n"/>
      <c r="B1606" s="15" t="n"/>
      <c r="C1606">
        <f>IF(B1606="","",IFERROR(INDEX(Items!$B$5:$B$304,MATCH(B1606,Items!$A$5:$A$304,0)),"Unknown code"))</f>
        <v/>
      </c>
      <c r="D1606" s="15" t="n"/>
      <c r="E1606" s="16" t="n"/>
      <c r="F1606" s="18">
        <f>IF(OR(D1606="",E1606=""),"",D1606*E1606)</f>
        <v/>
      </c>
      <c r="G1606" s="15" t="n"/>
    </row>
    <row r="1607">
      <c r="A1607" s="19" t="n"/>
      <c r="B1607" s="15" t="n"/>
      <c r="C1607">
        <f>IF(B1607="","",IFERROR(INDEX(Items!$B$5:$B$304,MATCH(B1607,Items!$A$5:$A$304,0)),"Unknown code"))</f>
        <v/>
      </c>
      <c r="D1607" s="15" t="n"/>
      <c r="E1607" s="16" t="n"/>
      <c r="F1607" s="18">
        <f>IF(OR(D1607="",E1607=""),"",D1607*E1607)</f>
        <v/>
      </c>
      <c r="G1607" s="15" t="n"/>
    </row>
    <row r="1608">
      <c r="A1608" s="19" t="n"/>
      <c r="B1608" s="15" t="n"/>
      <c r="C1608">
        <f>IF(B1608="","",IFERROR(INDEX(Items!$B$5:$B$304,MATCH(B1608,Items!$A$5:$A$304,0)),"Unknown code"))</f>
        <v/>
      </c>
      <c r="D1608" s="15" t="n"/>
      <c r="E1608" s="16" t="n"/>
      <c r="F1608" s="18">
        <f>IF(OR(D1608="",E1608=""),"",D1608*E1608)</f>
        <v/>
      </c>
      <c r="G1608" s="15" t="n"/>
    </row>
    <row r="1609">
      <c r="A1609" s="19" t="n"/>
      <c r="B1609" s="15" t="n"/>
      <c r="C1609">
        <f>IF(B1609="","",IFERROR(INDEX(Items!$B$5:$B$304,MATCH(B1609,Items!$A$5:$A$304,0)),"Unknown code"))</f>
        <v/>
      </c>
      <c r="D1609" s="15" t="n"/>
      <c r="E1609" s="16" t="n"/>
      <c r="F1609" s="18">
        <f>IF(OR(D1609="",E1609=""),"",D1609*E1609)</f>
        <v/>
      </c>
      <c r="G1609" s="15" t="n"/>
    </row>
    <row r="1610">
      <c r="A1610" s="19" t="n"/>
      <c r="B1610" s="15" t="n"/>
      <c r="C1610">
        <f>IF(B1610="","",IFERROR(INDEX(Items!$B$5:$B$304,MATCH(B1610,Items!$A$5:$A$304,0)),"Unknown code"))</f>
        <v/>
      </c>
      <c r="D1610" s="15" t="n"/>
      <c r="E1610" s="16" t="n"/>
      <c r="F1610" s="18">
        <f>IF(OR(D1610="",E1610=""),"",D1610*E1610)</f>
        <v/>
      </c>
      <c r="G1610" s="15" t="n"/>
    </row>
    <row r="1611">
      <c r="A1611" s="19" t="n"/>
      <c r="B1611" s="15" t="n"/>
      <c r="C1611">
        <f>IF(B1611="","",IFERROR(INDEX(Items!$B$5:$B$304,MATCH(B1611,Items!$A$5:$A$304,0)),"Unknown code"))</f>
        <v/>
      </c>
      <c r="D1611" s="15" t="n"/>
      <c r="E1611" s="16" t="n"/>
      <c r="F1611" s="18">
        <f>IF(OR(D1611="",E1611=""),"",D1611*E1611)</f>
        <v/>
      </c>
      <c r="G1611" s="15" t="n"/>
    </row>
    <row r="1612">
      <c r="A1612" s="19" t="n"/>
      <c r="B1612" s="15" t="n"/>
      <c r="C1612">
        <f>IF(B1612="","",IFERROR(INDEX(Items!$B$5:$B$304,MATCH(B1612,Items!$A$5:$A$304,0)),"Unknown code"))</f>
        <v/>
      </c>
      <c r="D1612" s="15" t="n"/>
      <c r="E1612" s="16" t="n"/>
      <c r="F1612" s="18">
        <f>IF(OR(D1612="",E1612=""),"",D1612*E1612)</f>
        <v/>
      </c>
      <c r="G1612" s="15" t="n"/>
    </row>
    <row r="1613">
      <c r="A1613" s="19" t="n"/>
      <c r="B1613" s="15" t="n"/>
      <c r="C1613">
        <f>IF(B1613="","",IFERROR(INDEX(Items!$B$5:$B$304,MATCH(B1613,Items!$A$5:$A$304,0)),"Unknown code"))</f>
        <v/>
      </c>
      <c r="D1613" s="15" t="n"/>
      <c r="E1613" s="16" t="n"/>
      <c r="F1613" s="18">
        <f>IF(OR(D1613="",E1613=""),"",D1613*E1613)</f>
        <v/>
      </c>
      <c r="G1613" s="15" t="n"/>
    </row>
    <row r="1614">
      <c r="A1614" s="19" t="n"/>
      <c r="B1614" s="15" t="n"/>
      <c r="C1614">
        <f>IF(B1614="","",IFERROR(INDEX(Items!$B$5:$B$304,MATCH(B1614,Items!$A$5:$A$304,0)),"Unknown code"))</f>
        <v/>
      </c>
      <c r="D1614" s="15" t="n"/>
      <c r="E1614" s="16" t="n"/>
      <c r="F1614" s="18">
        <f>IF(OR(D1614="",E1614=""),"",D1614*E1614)</f>
        <v/>
      </c>
      <c r="G1614" s="15" t="n"/>
    </row>
    <row r="1615">
      <c r="A1615" s="19" t="n"/>
      <c r="B1615" s="15" t="n"/>
      <c r="C1615">
        <f>IF(B1615="","",IFERROR(INDEX(Items!$B$5:$B$304,MATCH(B1615,Items!$A$5:$A$304,0)),"Unknown code"))</f>
        <v/>
      </c>
      <c r="D1615" s="15" t="n"/>
      <c r="E1615" s="16" t="n"/>
      <c r="F1615" s="18">
        <f>IF(OR(D1615="",E1615=""),"",D1615*E1615)</f>
        <v/>
      </c>
      <c r="G1615" s="15" t="n"/>
    </row>
    <row r="1616">
      <c r="A1616" s="19" t="n"/>
      <c r="B1616" s="15" t="n"/>
      <c r="C1616">
        <f>IF(B1616="","",IFERROR(INDEX(Items!$B$5:$B$304,MATCH(B1616,Items!$A$5:$A$304,0)),"Unknown code"))</f>
        <v/>
      </c>
      <c r="D1616" s="15" t="n"/>
      <c r="E1616" s="16" t="n"/>
      <c r="F1616" s="18">
        <f>IF(OR(D1616="",E1616=""),"",D1616*E1616)</f>
        <v/>
      </c>
      <c r="G1616" s="15" t="n"/>
    </row>
    <row r="1617">
      <c r="A1617" s="19" t="n"/>
      <c r="B1617" s="15" t="n"/>
      <c r="C1617">
        <f>IF(B1617="","",IFERROR(INDEX(Items!$B$5:$B$304,MATCH(B1617,Items!$A$5:$A$304,0)),"Unknown code"))</f>
        <v/>
      </c>
      <c r="D1617" s="15" t="n"/>
      <c r="E1617" s="16" t="n"/>
      <c r="F1617" s="18">
        <f>IF(OR(D1617="",E1617=""),"",D1617*E1617)</f>
        <v/>
      </c>
      <c r="G1617" s="15" t="n"/>
    </row>
    <row r="1618">
      <c r="A1618" s="19" t="n"/>
      <c r="B1618" s="15" t="n"/>
      <c r="C1618">
        <f>IF(B1618="","",IFERROR(INDEX(Items!$B$5:$B$304,MATCH(B1618,Items!$A$5:$A$304,0)),"Unknown code"))</f>
        <v/>
      </c>
      <c r="D1618" s="15" t="n"/>
      <c r="E1618" s="16" t="n"/>
      <c r="F1618" s="18">
        <f>IF(OR(D1618="",E1618=""),"",D1618*E1618)</f>
        <v/>
      </c>
      <c r="G1618" s="15" t="n"/>
    </row>
    <row r="1619">
      <c r="A1619" s="19" t="n"/>
      <c r="B1619" s="15" t="n"/>
      <c r="C1619">
        <f>IF(B1619="","",IFERROR(INDEX(Items!$B$5:$B$304,MATCH(B1619,Items!$A$5:$A$304,0)),"Unknown code"))</f>
        <v/>
      </c>
      <c r="D1619" s="15" t="n"/>
      <c r="E1619" s="16" t="n"/>
      <c r="F1619" s="18">
        <f>IF(OR(D1619="",E1619=""),"",D1619*E1619)</f>
        <v/>
      </c>
      <c r="G1619" s="15" t="n"/>
    </row>
    <row r="1620">
      <c r="A1620" s="19" t="n"/>
      <c r="B1620" s="15" t="n"/>
      <c r="C1620">
        <f>IF(B1620="","",IFERROR(INDEX(Items!$B$5:$B$304,MATCH(B1620,Items!$A$5:$A$304,0)),"Unknown code"))</f>
        <v/>
      </c>
      <c r="D1620" s="15" t="n"/>
      <c r="E1620" s="16" t="n"/>
      <c r="F1620" s="18">
        <f>IF(OR(D1620="",E1620=""),"",D1620*E1620)</f>
        <v/>
      </c>
      <c r="G1620" s="15" t="n"/>
    </row>
    <row r="1621">
      <c r="A1621" s="19" t="n"/>
      <c r="B1621" s="15" t="n"/>
      <c r="C1621">
        <f>IF(B1621="","",IFERROR(INDEX(Items!$B$5:$B$304,MATCH(B1621,Items!$A$5:$A$304,0)),"Unknown code"))</f>
        <v/>
      </c>
      <c r="D1621" s="15" t="n"/>
      <c r="E1621" s="16" t="n"/>
      <c r="F1621" s="18">
        <f>IF(OR(D1621="",E1621=""),"",D1621*E1621)</f>
        <v/>
      </c>
      <c r="G1621" s="15" t="n"/>
    </row>
    <row r="1622">
      <c r="A1622" s="19" t="n"/>
      <c r="B1622" s="15" t="n"/>
      <c r="C1622">
        <f>IF(B1622="","",IFERROR(INDEX(Items!$B$5:$B$304,MATCH(B1622,Items!$A$5:$A$304,0)),"Unknown code"))</f>
        <v/>
      </c>
      <c r="D1622" s="15" t="n"/>
      <c r="E1622" s="16" t="n"/>
      <c r="F1622" s="18">
        <f>IF(OR(D1622="",E1622=""),"",D1622*E1622)</f>
        <v/>
      </c>
      <c r="G1622" s="15" t="n"/>
    </row>
    <row r="1623">
      <c r="A1623" s="19" t="n"/>
      <c r="B1623" s="15" t="n"/>
      <c r="C1623">
        <f>IF(B1623="","",IFERROR(INDEX(Items!$B$5:$B$304,MATCH(B1623,Items!$A$5:$A$304,0)),"Unknown code"))</f>
        <v/>
      </c>
      <c r="D1623" s="15" t="n"/>
      <c r="E1623" s="16" t="n"/>
      <c r="F1623" s="18">
        <f>IF(OR(D1623="",E1623=""),"",D1623*E1623)</f>
        <v/>
      </c>
      <c r="G1623" s="15" t="n"/>
    </row>
    <row r="1624">
      <c r="A1624" s="19" t="n"/>
      <c r="B1624" s="15" t="n"/>
      <c r="C1624">
        <f>IF(B1624="","",IFERROR(INDEX(Items!$B$5:$B$304,MATCH(B1624,Items!$A$5:$A$304,0)),"Unknown code"))</f>
        <v/>
      </c>
      <c r="D1624" s="15" t="n"/>
      <c r="E1624" s="16" t="n"/>
      <c r="F1624" s="18">
        <f>IF(OR(D1624="",E1624=""),"",D1624*E1624)</f>
        <v/>
      </c>
      <c r="G1624" s="15" t="n"/>
    </row>
    <row r="1625">
      <c r="A1625" s="19" t="n"/>
      <c r="B1625" s="15" t="n"/>
      <c r="C1625">
        <f>IF(B1625="","",IFERROR(INDEX(Items!$B$5:$B$304,MATCH(B1625,Items!$A$5:$A$304,0)),"Unknown code"))</f>
        <v/>
      </c>
      <c r="D1625" s="15" t="n"/>
      <c r="E1625" s="16" t="n"/>
      <c r="F1625" s="18">
        <f>IF(OR(D1625="",E1625=""),"",D1625*E1625)</f>
        <v/>
      </c>
      <c r="G1625" s="15" t="n"/>
    </row>
    <row r="1626">
      <c r="A1626" s="19" t="n"/>
      <c r="B1626" s="15" t="n"/>
      <c r="C1626">
        <f>IF(B1626="","",IFERROR(INDEX(Items!$B$5:$B$304,MATCH(B1626,Items!$A$5:$A$304,0)),"Unknown code"))</f>
        <v/>
      </c>
      <c r="D1626" s="15" t="n"/>
      <c r="E1626" s="16" t="n"/>
      <c r="F1626" s="18">
        <f>IF(OR(D1626="",E1626=""),"",D1626*E1626)</f>
        <v/>
      </c>
      <c r="G1626" s="15" t="n"/>
    </row>
    <row r="1627">
      <c r="A1627" s="19" t="n"/>
      <c r="B1627" s="15" t="n"/>
      <c r="C1627">
        <f>IF(B1627="","",IFERROR(INDEX(Items!$B$5:$B$304,MATCH(B1627,Items!$A$5:$A$304,0)),"Unknown code"))</f>
        <v/>
      </c>
      <c r="D1627" s="15" t="n"/>
      <c r="E1627" s="16" t="n"/>
      <c r="F1627" s="18">
        <f>IF(OR(D1627="",E1627=""),"",D1627*E1627)</f>
        <v/>
      </c>
      <c r="G1627" s="15" t="n"/>
    </row>
    <row r="1628">
      <c r="A1628" s="19" t="n"/>
      <c r="B1628" s="15" t="n"/>
      <c r="C1628">
        <f>IF(B1628="","",IFERROR(INDEX(Items!$B$5:$B$304,MATCH(B1628,Items!$A$5:$A$304,0)),"Unknown code"))</f>
        <v/>
      </c>
      <c r="D1628" s="15" t="n"/>
      <c r="E1628" s="16" t="n"/>
      <c r="F1628" s="18">
        <f>IF(OR(D1628="",E1628=""),"",D1628*E1628)</f>
        <v/>
      </c>
      <c r="G1628" s="15" t="n"/>
    </row>
    <row r="1629">
      <c r="A1629" s="19" t="n"/>
      <c r="B1629" s="15" t="n"/>
      <c r="C1629">
        <f>IF(B1629="","",IFERROR(INDEX(Items!$B$5:$B$304,MATCH(B1629,Items!$A$5:$A$304,0)),"Unknown code"))</f>
        <v/>
      </c>
      <c r="D1629" s="15" t="n"/>
      <c r="E1629" s="16" t="n"/>
      <c r="F1629" s="18">
        <f>IF(OR(D1629="",E1629=""),"",D1629*E1629)</f>
        <v/>
      </c>
      <c r="G1629" s="15" t="n"/>
    </row>
    <row r="1630">
      <c r="A1630" s="19" t="n"/>
      <c r="B1630" s="15" t="n"/>
      <c r="C1630">
        <f>IF(B1630="","",IFERROR(INDEX(Items!$B$5:$B$304,MATCH(B1630,Items!$A$5:$A$304,0)),"Unknown code"))</f>
        <v/>
      </c>
      <c r="D1630" s="15" t="n"/>
      <c r="E1630" s="16" t="n"/>
      <c r="F1630" s="18">
        <f>IF(OR(D1630="",E1630=""),"",D1630*E1630)</f>
        <v/>
      </c>
      <c r="G1630" s="15" t="n"/>
    </row>
    <row r="1631">
      <c r="A1631" s="19" t="n"/>
      <c r="B1631" s="15" t="n"/>
      <c r="C1631">
        <f>IF(B1631="","",IFERROR(INDEX(Items!$B$5:$B$304,MATCH(B1631,Items!$A$5:$A$304,0)),"Unknown code"))</f>
        <v/>
      </c>
      <c r="D1631" s="15" t="n"/>
      <c r="E1631" s="16" t="n"/>
      <c r="F1631" s="18">
        <f>IF(OR(D1631="",E1631=""),"",D1631*E1631)</f>
        <v/>
      </c>
      <c r="G1631" s="15" t="n"/>
    </row>
    <row r="1632">
      <c r="A1632" s="19" t="n"/>
      <c r="B1632" s="15" t="n"/>
      <c r="C1632">
        <f>IF(B1632="","",IFERROR(INDEX(Items!$B$5:$B$304,MATCH(B1632,Items!$A$5:$A$304,0)),"Unknown code"))</f>
        <v/>
      </c>
      <c r="D1632" s="15" t="n"/>
      <c r="E1632" s="16" t="n"/>
      <c r="F1632" s="18">
        <f>IF(OR(D1632="",E1632=""),"",D1632*E1632)</f>
        <v/>
      </c>
      <c r="G1632" s="15" t="n"/>
    </row>
    <row r="1633">
      <c r="A1633" s="19" t="n"/>
      <c r="B1633" s="15" t="n"/>
      <c r="C1633">
        <f>IF(B1633="","",IFERROR(INDEX(Items!$B$5:$B$304,MATCH(B1633,Items!$A$5:$A$304,0)),"Unknown code"))</f>
        <v/>
      </c>
      <c r="D1633" s="15" t="n"/>
      <c r="E1633" s="16" t="n"/>
      <c r="F1633" s="18">
        <f>IF(OR(D1633="",E1633=""),"",D1633*E1633)</f>
        <v/>
      </c>
      <c r="G1633" s="15" t="n"/>
    </row>
    <row r="1634">
      <c r="A1634" s="19" t="n"/>
      <c r="B1634" s="15" t="n"/>
      <c r="C1634">
        <f>IF(B1634="","",IFERROR(INDEX(Items!$B$5:$B$304,MATCH(B1634,Items!$A$5:$A$304,0)),"Unknown code"))</f>
        <v/>
      </c>
      <c r="D1634" s="15" t="n"/>
      <c r="E1634" s="16" t="n"/>
      <c r="F1634" s="18">
        <f>IF(OR(D1634="",E1634=""),"",D1634*E1634)</f>
        <v/>
      </c>
      <c r="G1634" s="15" t="n"/>
    </row>
    <row r="1635">
      <c r="A1635" s="19" t="n"/>
      <c r="B1635" s="15" t="n"/>
      <c r="C1635">
        <f>IF(B1635="","",IFERROR(INDEX(Items!$B$5:$B$304,MATCH(B1635,Items!$A$5:$A$304,0)),"Unknown code"))</f>
        <v/>
      </c>
      <c r="D1635" s="15" t="n"/>
      <c r="E1635" s="16" t="n"/>
      <c r="F1635" s="18">
        <f>IF(OR(D1635="",E1635=""),"",D1635*E1635)</f>
        <v/>
      </c>
      <c r="G1635" s="15" t="n"/>
    </row>
    <row r="1636">
      <c r="A1636" s="19" t="n"/>
      <c r="B1636" s="15" t="n"/>
      <c r="C1636">
        <f>IF(B1636="","",IFERROR(INDEX(Items!$B$5:$B$304,MATCH(B1636,Items!$A$5:$A$304,0)),"Unknown code"))</f>
        <v/>
      </c>
      <c r="D1636" s="15" t="n"/>
      <c r="E1636" s="16" t="n"/>
      <c r="F1636" s="18">
        <f>IF(OR(D1636="",E1636=""),"",D1636*E1636)</f>
        <v/>
      </c>
      <c r="G1636" s="15" t="n"/>
    </row>
    <row r="1637">
      <c r="A1637" s="19" t="n"/>
      <c r="B1637" s="15" t="n"/>
      <c r="C1637">
        <f>IF(B1637="","",IFERROR(INDEX(Items!$B$5:$B$304,MATCH(B1637,Items!$A$5:$A$304,0)),"Unknown code"))</f>
        <v/>
      </c>
      <c r="D1637" s="15" t="n"/>
      <c r="E1637" s="16" t="n"/>
      <c r="F1637" s="18">
        <f>IF(OR(D1637="",E1637=""),"",D1637*E1637)</f>
        <v/>
      </c>
      <c r="G1637" s="15" t="n"/>
    </row>
    <row r="1638">
      <c r="A1638" s="19" t="n"/>
      <c r="B1638" s="15" t="n"/>
      <c r="C1638">
        <f>IF(B1638="","",IFERROR(INDEX(Items!$B$5:$B$304,MATCH(B1638,Items!$A$5:$A$304,0)),"Unknown code"))</f>
        <v/>
      </c>
      <c r="D1638" s="15" t="n"/>
      <c r="E1638" s="16" t="n"/>
      <c r="F1638" s="18">
        <f>IF(OR(D1638="",E1638=""),"",D1638*E1638)</f>
        <v/>
      </c>
      <c r="G1638" s="15" t="n"/>
    </row>
    <row r="1639">
      <c r="A1639" s="19" t="n"/>
      <c r="B1639" s="15" t="n"/>
      <c r="C1639">
        <f>IF(B1639="","",IFERROR(INDEX(Items!$B$5:$B$304,MATCH(B1639,Items!$A$5:$A$304,0)),"Unknown code"))</f>
        <v/>
      </c>
      <c r="D1639" s="15" t="n"/>
      <c r="E1639" s="16" t="n"/>
      <c r="F1639" s="18">
        <f>IF(OR(D1639="",E1639=""),"",D1639*E1639)</f>
        <v/>
      </c>
      <c r="G1639" s="15" t="n"/>
    </row>
    <row r="1640">
      <c r="A1640" s="19" t="n"/>
      <c r="B1640" s="15" t="n"/>
      <c r="C1640">
        <f>IF(B1640="","",IFERROR(INDEX(Items!$B$5:$B$304,MATCH(B1640,Items!$A$5:$A$304,0)),"Unknown code"))</f>
        <v/>
      </c>
      <c r="D1640" s="15" t="n"/>
      <c r="E1640" s="16" t="n"/>
      <c r="F1640" s="18">
        <f>IF(OR(D1640="",E1640=""),"",D1640*E1640)</f>
        <v/>
      </c>
      <c r="G1640" s="15" t="n"/>
    </row>
    <row r="1641">
      <c r="A1641" s="19" t="n"/>
      <c r="B1641" s="15" t="n"/>
      <c r="C1641">
        <f>IF(B1641="","",IFERROR(INDEX(Items!$B$5:$B$304,MATCH(B1641,Items!$A$5:$A$304,0)),"Unknown code"))</f>
        <v/>
      </c>
      <c r="D1641" s="15" t="n"/>
      <c r="E1641" s="16" t="n"/>
      <c r="F1641" s="18">
        <f>IF(OR(D1641="",E1641=""),"",D1641*E1641)</f>
        <v/>
      </c>
      <c r="G1641" s="15" t="n"/>
    </row>
    <row r="1642">
      <c r="A1642" s="19" t="n"/>
      <c r="B1642" s="15" t="n"/>
      <c r="C1642">
        <f>IF(B1642="","",IFERROR(INDEX(Items!$B$5:$B$304,MATCH(B1642,Items!$A$5:$A$304,0)),"Unknown code"))</f>
        <v/>
      </c>
      <c r="D1642" s="15" t="n"/>
      <c r="E1642" s="16" t="n"/>
      <c r="F1642" s="18">
        <f>IF(OR(D1642="",E1642=""),"",D1642*E1642)</f>
        <v/>
      </c>
      <c r="G1642" s="15" t="n"/>
    </row>
    <row r="1643">
      <c r="A1643" s="19" t="n"/>
      <c r="B1643" s="15" t="n"/>
      <c r="C1643">
        <f>IF(B1643="","",IFERROR(INDEX(Items!$B$5:$B$304,MATCH(B1643,Items!$A$5:$A$304,0)),"Unknown code"))</f>
        <v/>
      </c>
      <c r="D1643" s="15" t="n"/>
      <c r="E1643" s="16" t="n"/>
      <c r="F1643" s="18">
        <f>IF(OR(D1643="",E1643=""),"",D1643*E1643)</f>
        <v/>
      </c>
      <c r="G1643" s="15" t="n"/>
    </row>
    <row r="1644">
      <c r="A1644" s="19" t="n"/>
      <c r="B1644" s="15" t="n"/>
      <c r="C1644">
        <f>IF(B1644="","",IFERROR(INDEX(Items!$B$5:$B$304,MATCH(B1644,Items!$A$5:$A$304,0)),"Unknown code"))</f>
        <v/>
      </c>
      <c r="D1644" s="15" t="n"/>
      <c r="E1644" s="16" t="n"/>
      <c r="F1644" s="18">
        <f>IF(OR(D1644="",E1644=""),"",D1644*E1644)</f>
        <v/>
      </c>
      <c r="G1644" s="15" t="n"/>
    </row>
    <row r="1645">
      <c r="A1645" s="19" t="n"/>
      <c r="B1645" s="15" t="n"/>
      <c r="C1645">
        <f>IF(B1645="","",IFERROR(INDEX(Items!$B$5:$B$304,MATCH(B1645,Items!$A$5:$A$304,0)),"Unknown code"))</f>
        <v/>
      </c>
      <c r="D1645" s="15" t="n"/>
      <c r="E1645" s="16" t="n"/>
      <c r="F1645" s="18">
        <f>IF(OR(D1645="",E1645=""),"",D1645*E1645)</f>
        <v/>
      </c>
      <c r="G1645" s="15" t="n"/>
    </row>
    <row r="1646">
      <c r="A1646" s="19" t="n"/>
      <c r="B1646" s="15" t="n"/>
      <c r="C1646">
        <f>IF(B1646="","",IFERROR(INDEX(Items!$B$5:$B$304,MATCH(B1646,Items!$A$5:$A$304,0)),"Unknown code"))</f>
        <v/>
      </c>
      <c r="D1646" s="15" t="n"/>
      <c r="E1646" s="16" t="n"/>
      <c r="F1646" s="18">
        <f>IF(OR(D1646="",E1646=""),"",D1646*E1646)</f>
        <v/>
      </c>
      <c r="G1646" s="15" t="n"/>
    </row>
    <row r="1647">
      <c r="A1647" s="19" t="n"/>
      <c r="B1647" s="15" t="n"/>
      <c r="C1647">
        <f>IF(B1647="","",IFERROR(INDEX(Items!$B$5:$B$304,MATCH(B1647,Items!$A$5:$A$304,0)),"Unknown code"))</f>
        <v/>
      </c>
      <c r="D1647" s="15" t="n"/>
      <c r="E1647" s="16" t="n"/>
      <c r="F1647" s="18">
        <f>IF(OR(D1647="",E1647=""),"",D1647*E1647)</f>
        <v/>
      </c>
      <c r="G1647" s="15" t="n"/>
    </row>
    <row r="1648">
      <c r="A1648" s="19" t="n"/>
      <c r="B1648" s="15" t="n"/>
      <c r="C1648">
        <f>IF(B1648="","",IFERROR(INDEX(Items!$B$5:$B$304,MATCH(B1648,Items!$A$5:$A$304,0)),"Unknown code"))</f>
        <v/>
      </c>
      <c r="D1648" s="15" t="n"/>
      <c r="E1648" s="16" t="n"/>
      <c r="F1648" s="18">
        <f>IF(OR(D1648="",E1648=""),"",D1648*E1648)</f>
        <v/>
      </c>
      <c r="G1648" s="15" t="n"/>
    </row>
    <row r="1649">
      <c r="A1649" s="19" t="n"/>
      <c r="B1649" s="15" t="n"/>
      <c r="C1649">
        <f>IF(B1649="","",IFERROR(INDEX(Items!$B$5:$B$304,MATCH(B1649,Items!$A$5:$A$304,0)),"Unknown code"))</f>
        <v/>
      </c>
      <c r="D1649" s="15" t="n"/>
      <c r="E1649" s="16" t="n"/>
      <c r="F1649" s="18">
        <f>IF(OR(D1649="",E1649=""),"",D1649*E1649)</f>
        <v/>
      </c>
      <c r="G1649" s="15" t="n"/>
    </row>
    <row r="1650">
      <c r="A1650" s="19" t="n"/>
      <c r="B1650" s="15" t="n"/>
      <c r="C1650">
        <f>IF(B1650="","",IFERROR(INDEX(Items!$B$5:$B$304,MATCH(B1650,Items!$A$5:$A$304,0)),"Unknown code"))</f>
        <v/>
      </c>
      <c r="D1650" s="15" t="n"/>
      <c r="E1650" s="16" t="n"/>
      <c r="F1650" s="18">
        <f>IF(OR(D1650="",E1650=""),"",D1650*E1650)</f>
        <v/>
      </c>
      <c r="G1650" s="15" t="n"/>
    </row>
    <row r="1651">
      <c r="A1651" s="19" t="n"/>
      <c r="B1651" s="15" t="n"/>
      <c r="C1651">
        <f>IF(B1651="","",IFERROR(INDEX(Items!$B$5:$B$304,MATCH(B1651,Items!$A$5:$A$304,0)),"Unknown code"))</f>
        <v/>
      </c>
      <c r="D1651" s="15" t="n"/>
      <c r="E1651" s="16" t="n"/>
      <c r="F1651" s="18">
        <f>IF(OR(D1651="",E1651=""),"",D1651*E1651)</f>
        <v/>
      </c>
      <c r="G1651" s="15" t="n"/>
    </row>
    <row r="1652">
      <c r="A1652" s="19" t="n"/>
      <c r="B1652" s="15" t="n"/>
      <c r="C1652">
        <f>IF(B1652="","",IFERROR(INDEX(Items!$B$5:$B$304,MATCH(B1652,Items!$A$5:$A$304,0)),"Unknown code"))</f>
        <v/>
      </c>
      <c r="D1652" s="15" t="n"/>
      <c r="E1652" s="16" t="n"/>
      <c r="F1652" s="18">
        <f>IF(OR(D1652="",E1652=""),"",D1652*E1652)</f>
        <v/>
      </c>
      <c r="G1652" s="15" t="n"/>
    </row>
    <row r="1653">
      <c r="A1653" s="19" t="n"/>
      <c r="B1653" s="15" t="n"/>
      <c r="C1653">
        <f>IF(B1653="","",IFERROR(INDEX(Items!$B$5:$B$304,MATCH(B1653,Items!$A$5:$A$304,0)),"Unknown code"))</f>
        <v/>
      </c>
      <c r="D1653" s="15" t="n"/>
      <c r="E1653" s="16" t="n"/>
      <c r="F1653" s="18">
        <f>IF(OR(D1653="",E1653=""),"",D1653*E1653)</f>
        <v/>
      </c>
      <c r="G1653" s="15" t="n"/>
    </row>
    <row r="1654">
      <c r="A1654" s="19" t="n"/>
      <c r="B1654" s="15" t="n"/>
      <c r="C1654">
        <f>IF(B1654="","",IFERROR(INDEX(Items!$B$5:$B$304,MATCH(B1654,Items!$A$5:$A$304,0)),"Unknown code"))</f>
        <v/>
      </c>
      <c r="D1654" s="15" t="n"/>
      <c r="E1654" s="16" t="n"/>
      <c r="F1654" s="18">
        <f>IF(OR(D1654="",E1654=""),"",D1654*E1654)</f>
        <v/>
      </c>
      <c r="G1654" s="15" t="n"/>
    </row>
    <row r="1655">
      <c r="A1655" s="19" t="n"/>
      <c r="B1655" s="15" t="n"/>
      <c r="C1655">
        <f>IF(B1655="","",IFERROR(INDEX(Items!$B$5:$B$304,MATCH(B1655,Items!$A$5:$A$304,0)),"Unknown code"))</f>
        <v/>
      </c>
      <c r="D1655" s="15" t="n"/>
      <c r="E1655" s="16" t="n"/>
      <c r="F1655" s="18">
        <f>IF(OR(D1655="",E1655=""),"",D1655*E1655)</f>
        <v/>
      </c>
      <c r="G1655" s="15" t="n"/>
    </row>
    <row r="1656">
      <c r="A1656" s="19" t="n"/>
      <c r="B1656" s="15" t="n"/>
      <c r="C1656">
        <f>IF(B1656="","",IFERROR(INDEX(Items!$B$5:$B$304,MATCH(B1656,Items!$A$5:$A$304,0)),"Unknown code"))</f>
        <v/>
      </c>
      <c r="D1656" s="15" t="n"/>
      <c r="E1656" s="16" t="n"/>
      <c r="F1656" s="18">
        <f>IF(OR(D1656="",E1656=""),"",D1656*E1656)</f>
        <v/>
      </c>
      <c r="G1656" s="15" t="n"/>
    </row>
    <row r="1657">
      <c r="A1657" s="19" t="n"/>
      <c r="B1657" s="15" t="n"/>
      <c r="C1657">
        <f>IF(B1657="","",IFERROR(INDEX(Items!$B$5:$B$304,MATCH(B1657,Items!$A$5:$A$304,0)),"Unknown code"))</f>
        <v/>
      </c>
      <c r="D1657" s="15" t="n"/>
      <c r="E1657" s="16" t="n"/>
      <c r="F1657" s="18">
        <f>IF(OR(D1657="",E1657=""),"",D1657*E1657)</f>
        <v/>
      </c>
      <c r="G1657" s="15" t="n"/>
    </row>
    <row r="1658">
      <c r="A1658" s="19" t="n"/>
      <c r="B1658" s="15" t="n"/>
      <c r="C1658">
        <f>IF(B1658="","",IFERROR(INDEX(Items!$B$5:$B$304,MATCH(B1658,Items!$A$5:$A$304,0)),"Unknown code"))</f>
        <v/>
      </c>
      <c r="D1658" s="15" t="n"/>
      <c r="E1658" s="16" t="n"/>
      <c r="F1658" s="18">
        <f>IF(OR(D1658="",E1658=""),"",D1658*E1658)</f>
        <v/>
      </c>
      <c r="G1658" s="15" t="n"/>
    </row>
    <row r="1659">
      <c r="A1659" s="19" t="n"/>
      <c r="B1659" s="15" t="n"/>
      <c r="C1659">
        <f>IF(B1659="","",IFERROR(INDEX(Items!$B$5:$B$304,MATCH(B1659,Items!$A$5:$A$304,0)),"Unknown code"))</f>
        <v/>
      </c>
      <c r="D1659" s="15" t="n"/>
      <c r="E1659" s="16" t="n"/>
      <c r="F1659" s="18">
        <f>IF(OR(D1659="",E1659=""),"",D1659*E1659)</f>
        <v/>
      </c>
      <c r="G1659" s="15" t="n"/>
    </row>
    <row r="1660">
      <c r="A1660" s="19" t="n"/>
      <c r="B1660" s="15" t="n"/>
      <c r="C1660">
        <f>IF(B1660="","",IFERROR(INDEX(Items!$B$5:$B$304,MATCH(B1660,Items!$A$5:$A$304,0)),"Unknown code"))</f>
        <v/>
      </c>
      <c r="D1660" s="15" t="n"/>
      <c r="E1660" s="16" t="n"/>
      <c r="F1660" s="18">
        <f>IF(OR(D1660="",E1660=""),"",D1660*E1660)</f>
        <v/>
      </c>
      <c r="G1660" s="15" t="n"/>
    </row>
    <row r="1661">
      <c r="A1661" s="19" t="n"/>
      <c r="B1661" s="15" t="n"/>
      <c r="C1661">
        <f>IF(B1661="","",IFERROR(INDEX(Items!$B$5:$B$304,MATCH(B1661,Items!$A$5:$A$304,0)),"Unknown code"))</f>
        <v/>
      </c>
      <c r="D1661" s="15" t="n"/>
      <c r="E1661" s="16" t="n"/>
      <c r="F1661" s="18">
        <f>IF(OR(D1661="",E1661=""),"",D1661*E1661)</f>
        <v/>
      </c>
      <c r="G1661" s="15" t="n"/>
    </row>
    <row r="1662">
      <c r="A1662" s="19" t="n"/>
      <c r="B1662" s="15" t="n"/>
      <c r="C1662">
        <f>IF(B1662="","",IFERROR(INDEX(Items!$B$5:$B$304,MATCH(B1662,Items!$A$5:$A$304,0)),"Unknown code"))</f>
        <v/>
      </c>
      <c r="D1662" s="15" t="n"/>
      <c r="E1662" s="16" t="n"/>
      <c r="F1662" s="18">
        <f>IF(OR(D1662="",E1662=""),"",D1662*E1662)</f>
        <v/>
      </c>
      <c r="G1662" s="15" t="n"/>
    </row>
    <row r="1663">
      <c r="A1663" s="19" t="n"/>
      <c r="B1663" s="15" t="n"/>
      <c r="C1663">
        <f>IF(B1663="","",IFERROR(INDEX(Items!$B$5:$B$304,MATCH(B1663,Items!$A$5:$A$304,0)),"Unknown code"))</f>
        <v/>
      </c>
      <c r="D1663" s="15" t="n"/>
      <c r="E1663" s="16" t="n"/>
      <c r="F1663" s="18">
        <f>IF(OR(D1663="",E1663=""),"",D1663*E1663)</f>
        <v/>
      </c>
      <c r="G1663" s="15" t="n"/>
    </row>
    <row r="1664">
      <c r="A1664" s="19" t="n"/>
      <c r="B1664" s="15" t="n"/>
      <c r="C1664">
        <f>IF(B1664="","",IFERROR(INDEX(Items!$B$5:$B$304,MATCH(B1664,Items!$A$5:$A$304,0)),"Unknown code"))</f>
        <v/>
      </c>
      <c r="D1664" s="15" t="n"/>
      <c r="E1664" s="16" t="n"/>
      <c r="F1664" s="18">
        <f>IF(OR(D1664="",E1664=""),"",D1664*E1664)</f>
        <v/>
      </c>
      <c r="G1664" s="15" t="n"/>
    </row>
    <row r="1665">
      <c r="A1665" s="19" t="n"/>
      <c r="B1665" s="15" t="n"/>
      <c r="C1665">
        <f>IF(B1665="","",IFERROR(INDEX(Items!$B$5:$B$304,MATCH(B1665,Items!$A$5:$A$304,0)),"Unknown code"))</f>
        <v/>
      </c>
      <c r="D1665" s="15" t="n"/>
      <c r="E1665" s="16" t="n"/>
      <c r="F1665" s="18">
        <f>IF(OR(D1665="",E1665=""),"",D1665*E1665)</f>
        <v/>
      </c>
      <c r="G1665" s="15" t="n"/>
    </row>
    <row r="1666">
      <c r="A1666" s="19" t="n"/>
      <c r="B1666" s="15" t="n"/>
      <c r="C1666">
        <f>IF(B1666="","",IFERROR(INDEX(Items!$B$5:$B$304,MATCH(B1666,Items!$A$5:$A$304,0)),"Unknown code"))</f>
        <v/>
      </c>
      <c r="D1666" s="15" t="n"/>
      <c r="E1666" s="16" t="n"/>
      <c r="F1666" s="18">
        <f>IF(OR(D1666="",E1666=""),"",D1666*E1666)</f>
        <v/>
      </c>
      <c r="G1666" s="15" t="n"/>
    </row>
    <row r="1667">
      <c r="A1667" s="19" t="n"/>
      <c r="B1667" s="15" t="n"/>
      <c r="C1667">
        <f>IF(B1667="","",IFERROR(INDEX(Items!$B$5:$B$304,MATCH(B1667,Items!$A$5:$A$304,0)),"Unknown code"))</f>
        <v/>
      </c>
      <c r="D1667" s="15" t="n"/>
      <c r="E1667" s="16" t="n"/>
      <c r="F1667" s="18">
        <f>IF(OR(D1667="",E1667=""),"",D1667*E1667)</f>
        <v/>
      </c>
      <c r="G1667" s="15" t="n"/>
    </row>
    <row r="1668">
      <c r="A1668" s="19" t="n"/>
      <c r="B1668" s="15" t="n"/>
      <c r="C1668">
        <f>IF(B1668="","",IFERROR(INDEX(Items!$B$5:$B$304,MATCH(B1668,Items!$A$5:$A$304,0)),"Unknown code"))</f>
        <v/>
      </c>
      <c r="D1668" s="15" t="n"/>
      <c r="E1668" s="16" t="n"/>
      <c r="F1668" s="18">
        <f>IF(OR(D1668="",E1668=""),"",D1668*E1668)</f>
        <v/>
      </c>
      <c r="G1668" s="15" t="n"/>
    </row>
    <row r="1669">
      <c r="A1669" s="19" t="n"/>
      <c r="B1669" s="15" t="n"/>
      <c r="C1669">
        <f>IF(B1669="","",IFERROR(INDEX(Items!$B$5:$B$304,MATCH(B1669,Items!$A$5:$A$304,0)),"Unknown code"))</f>
        <v/>
      </c>
      <c r="D1669" s="15" t="n"/>
      <c r="E1669" s="16" t="n"/>
      <c r="F1669" s="18">
        <f>IF(OR(D1669="",E1669=""),"",D1669*E1669)</f>
        <v/>
      </c>
      <c r="G1669" s="15" t="n"/>
    </row>
    <row r="1670">
      <c r="A1670" s="19" t="n"/>
      <c r="B1670" s="15" t="n"/>
      <c r="C1670">
        <f>IF(B1670="","",IFERROR(INDEX(Items!$B$5:$B$304,MATCH(B1670,Items!$A$5:$A$304,0)),"Unknown code"))</f>
        <v/>
      </c>
      <c r="D1670" s="15" t="n"/>
      <c r="E1670" s="16" t="n"/>
      <c r="F1670" s="18">
        <f>IF(OR(D1670="",E1670=""),"",D1670*E1670)</f>
        <v/>
      </c>
      <c r="G1670" s="15" t="n"/>
    </row>
    <row r="1671">
      <c r="A1671" s="19" t="n"/>
      <c r="B1671" s="15" t="n"/>
      <c r="C1671">
        <f>IF(B1671="","",IFERROR(INDEX(Items!$B$5:$B$304,MATCH(B1671,Items!$A$5:$A$304,0)),"Unknown code"))</f>
        <v/>
      </c>
      <c r="D1671" s="15" t="n"/>
      <c r="E1671" s="16" t="n"/>
      <c r="F1671" s="18">
        <f>IF(OR(D1671="",E1671=""),"",D1671*E1671)</f>
        <v/>
      </c>
      <c r="G1671" s="15" t="n"/>
    </row>
    <row r="1672">
      <c r="A1672" s="19" t="n"/>
      <c r="B1672" s="15" t="n"/>
      <c r="C1672">
        <f>IF(B1672="","",IFERROR(INDEX(Items!$B$5:$B$304,MATCH(B1672,Items!$A$5:$A$304,0)),"Unknown code"))</f>
        <v/>
      </c>
      <c r="D1672" s="15" t="n"/>
      <c r="E1672" s="16" t="n"/>
      <c r="F1672" s="18">
        <f>IF(OR(D1672="",E1672=""),"",D1672*E1672)</f>
        <v/>
      </c>
      <c r="G1672" s="15" t="n"/>
    </row>
    <row r="1673">
      <c r="A1673" s="19" t="n"/>
      <c r="B1673" s="15" t="n"/>
      <c r="C1673">
        <f>IF(B1673="","",IFERROR(INDEX(Items!$B$5:$B$304,MATCH(B1673,Items!$A$5:$A$304,0)),"Unknown code"))</f>
        <v/>
      </c>
      <c r="D1673" s="15" t="n"/>
      <c r="E1673" s="16" t="n"/>
      <c r="F1673" s="18">
        <f>IF(OR(D1673="",E1673=""),"",D1673*E1673)</f>
        <v/>
      </c>
      <c r="G1673" s="15" t="n"/>
    </row>
    <row r="1674">
      <c r="A1674" s="19" t="n"/>
      <c r="B1674" s="15" t="n"/>
      <c r="C1674">
        <f>IF(B1674="","",IFERROR(INDEX(Items!$B$5:$B$304,MATCH(B1674,Items!$A$5:$A$304,0)),"Unknown code"))</f>
        <v/>
      </c>
      <c r="D1674" s="15" t="n"/>
      <c r="E1674" s="16" t="n"/>
      <c r="F1674" s="18">
        <f>IF(OR(D1674="",E1674=""),"",D1674*E1674)</f>
        <v/>
      </c>
      <c r="G1674" s="15" t="n"/>
    </row>
    <row r="1675">
      <c r="A1675" s="19" t="n"/>
      <c r="B1675" s="15" t="n"/>
      <c r="C1675">
        <f>IF(B1675="","",IFERROR(INDEX(Items!$B$5:$B$304,MATCH(B1675,Items!$A$5:$A$304,0)),"Unknown code"))</f>
        <v/>
      </c>
      <c r="D1675" s="15" t="n"/>
      <c r="E1675" s="16" t="n"/>
      <c r="F1675" s="18">
        <f>IF(OR(D1675="",E1675=""),"",D1675*E1675)</f>
        <v/>
      </c>
      <c r="G1675" s="15" t="n"/>
    </row>
    <row r="1676">
      <c r="A1676" s="19" t="n"/>
      <c r="B1676" s="15" t="n"/>
      <c r="C1676">
        <f>IF(B1676="","",IFERROR(INDEX(Items!$B$5:$B$304,MATCH(B1676,Items!$A$5:$A$304,0)),"Unknown code"))</f>
        <v/>
      </c>
      <c r="D1676" s="15" t="n"/>
      <c r="E1676" s="16" t="n"/>
      <c r="F1676" s="18">
        <f>IF(OR(D1676="",E1676=""),"",D1676*E1676)</f>
        <v/>
      </c>
      <c r="G1676" s="15" t="n"/>
    </row>
    <row r="1677">
      <c r="A1677" s="19" t="n"/>
      <c r="B1677" s="15" t="n"/>
      <c r="C1677">
        <f>IF(B1677="","",IFERROR(INDEX(Items!$B$5:$B$304,MATCH(B1677,Items!$A$5:$A$304,0)),"Unknown code"))</f>
        <v/>
      </c>
      <c r="D1677" s="15" t="n"/>
      <c r="E1677" s="16" t="n"/>
      <c r="F1677" s="18">
        <f>IF(OR(D1677="",E1677=""),"",D1677*E1677)</f>
        <v/>
      </c>
      <c r="G1677" s="15" t="n"/>
    </row>
    <row r="1678">
      <c r="A1678" s="19" t="n"/>
      <c r="B1678" s="15" t="n"/>
      <c r="C1678">
        <f>IF(B1678="","",IFERROR(INDEX(Items!$B$5:$B$304,MATCH(B1678,Items!$A$5:$A$304,0)),"Unknown code"))</f>
        <v/>
      </c>
      <c r="D1678" s="15" t="n"/>
      <c r="E1678" s="16" t="n"/>
      <c r="F1678" s="18">
        <f>IF(OR(D1678="",E1678=""),"",D1678*E1678)</f>
        <v/>
      </c>
      <c r="G1678" s="15" t="n"/>
    </row>
    <row r="1679">
      <c r="A1679" s="19" t="n"/>
      <c r="B1679" s="15" t="n"/>
      <c r="C1679">
        <f>IF(B1679="","",IFERROR(INDEX(Items!$B$5:$B$304,MATCH(B1679,Items!$A$5:$A$304,0)),"Unknown code"))</f>
        <v/>
      </c>
      <c r="D1679" s="15" t="n"/>
      <c r="E1679" s="16" t="n"/>
      <c r="F1679" s="18">
        <f>IF(OR(D1679="",E1679=""),"",D1679*E1679)</f>
        <v/>
      </c>
      <c r="G1679" s="15" t="n"/>
    </row>
    <row r="1680">
      <c r="A1680" s="19" t="n"/>
      <c r="B1680" s="15" t="n"/>
      <c r="C1680">
        <f>IF(B1680="","",IFERROR(INDEX(Items!$B$5:$B$304,MATCH(B1680,Items!$A$5:$A$304,0)),"Unknown code"))</f>
        <v/>
      </c>
      <c r="D1680" s="15" t="n"/>
      <c r="E1680" s="16" t="n"/>
      <c r="F1680" s="18">
        <f>IF(OR(D1680="",E1680=""),"",D1680*E1680)</f>
        <v/>
      </c>
      <c r="G1680" s="15" t="n"/>
    </row>
    <row r="1681">
      <c r="A1681" s="19" t="n"/>
      <c r="B1681" s="15" t="n"/>
      <c r="C1681">
        <f>IF(B1681="","",IFERROR(INDEX(Items!$B$5:$B$304,MATCH(B1681,Items!$A$5:$A$304,0)),"Unknown code"))</f>
        <v/>
      </c>
      <c r="D1681" s="15" t="n"/>
      <c r="E1681" s="16" t="n"/>
      <c r="F1681" s="18">
        <f>IF(OR(D1681="",E1681=""),"",D1681*E1681)</f>
        <v/>
      </c>
      <c r="G1681" s="15" t="n"/>
    </row>
    <row r="1682">
      <c r="A1682" s="19" t="n"/>
      <c r="B1682" s="15" t="n"/>
      <c r="C1682">
        <f>IF(B1682="","",IFERROR(INDEX(Items!$B$5:$B$304,MATCH(B1682,Items!$A$5:$A$304,0)),"Unknown code"))</f>
        <v/>
      </c>
      <c r="D1682" s="15" t="n"/>
      <c r="E1682" s="16" t="n"/>
      <c r="F1682" s="18">
        <f>IF(OR(D1682="",E1682=""),"",D1682*E1682)</f>
        <v/>
      </c>
      <c r="G1682" s="15" t="n"/>
    </row>
    <row r="1683">
      <c r="A1683" s="19" t="n"/>
      <c r="B1683" s="15" t="n"/>
      <c r="C1683">
        <f>IF(B1683="","",IFERROR(INDEX(Items!$B$5:$B$304,MATCH(B1683,Items!$A$5:$A$304,0)),"Unknown code"))</f>
        <v/>
      </c>
      <c r="D1683" s="15" t="n"/>
      <c r="E1683" s="16" t="n"/>
      <c r="F1683" s="18">
        <f>IF(OR(D1683="",E1683=""),"",D1683*E1683)</f>
        <v/>
      </c>
      <c r="G1683" s="15" t="n"/>
    </row>
    <row r="1684">
      <c r="A1684" s="19" t="n"/>
      <c r="B1684" s="15" t="n"/>
      <c r="C1684">
        <f>IF(B1684="","",IFERROR(INDEX(Items!$B$5:$B$304,MATCH(B1684,Items!$A$5:$A$304,0)),"Unknown code"))</f>
        <v/>
      </c>
      <c r="D1684" s="15" t="n"/>
      <c r="E1684" s="16" t="n"/>
      <c r="F1684" s="18">
        <f>IF(OR(D1684="",E1684=""),"",D1684*E1684)</f>
        <v/>
      </c>
      <c r="G1684" s="15" t="n"/>
    </row>
    <row r="1685">
      <c r="A1685" s="19" t="n"/>
      <c r="B1685" s="15" t="n"/>
      <c r="C1685">
        <f>IF(B1685="","",IFERROR(INDEX(Items!$B$5:$B$304,MATCH(B1685,Items!$A$5:$A$304,0)),"Unknown code"))</f>
        <v/>
      </c>
      <c r="D1685" s="15" t="n"/>
      <c r="E1685" s="16" t="n"/>
      <c r="F1685" s="18">
        <f>IF(OR(D1685="",E1685=""),"",D1685*E1685)</f>
        <v/>
      </c>
      <c r="G1685" s="15" t="n"/>
    </row>
    <row r="1686">
      <c r="A1686" s="19" t="n"/>
      <c r="B1686" s="15" t="n"/>
      <c r="C1686">
        <f>IF(B1686="","",IFERROR(INDEX(Items!$B$5:$B$304,MATCH(B1686,Items!$A$5:$A$304,0)),"Unknown code"))</f>
        <v/>
      </c>
      <c r="D1686" s="15" t="n"/>
      <c r="E1686" s="16" t="n"/>
      <c r="F1686" s="18">
        <f>IF(OR(D1686="",E1686=""),"",D1686*E1686)</f>
        <v/>
      </c>
      <c r="G1686" s="15" t="n"/>
    </row>
    <row r="1687">
      <c r="A1687" s="19" t="n"/>
      <c r="B1687" s="15" t="n"/>
      <c r="C1687">
        <f>IF(B1687="","",IFERROR(INDEX(Items!$B$5:$B$304,MATCH(B1687,Items!$A$5:$A$304,0)),"Unknown code"))</f>
        <v/>
      </c>
      <c r="D1687" s="15" t="n"/>
      <c r="E1687" s="16" t="n"/>
      <c r="F1687" s="18">
        <f>IF(OR(D1687="",E1687=""),"",D1687*E1687)</f>
        <v/>
      </c>
      <c r="G1687" s="15" t="n"/>
    </row>
    <row r="1688">
      <c r="A1688" s="19" t="n"/>
      <c r="B1688" s="15" t="n"/>
      <c r="C1688">
        <f>IF(B1688="","",IFERROR(INDEX(Items!$B$5:$B$304,MATCH(B1688,Items!$A$5:$A$304,0)),"Unknown code"))</f>
        <v/>
      </c>
      <c r="D1688" s="15" t="n"/>
      <c r="E1688" s="16" t="n"/>
      <c r="F1688" s="18">
        <f>IF(OR(D1688="",E1688=""),"",D1688*E1688)</f>
        <v/>
      </c>
      <c r="G1688" s="15" t="n"/>
    </row>
    <row r="1689">
      <c r="A1689" s="19" t="n"/>
      <c r="B1689" s="15" t="n"/>
      <c r="C1689">
        <f>IF(B1689="","",IFERROR(INDEX(Items!$B$5:$B$304,MATCH(B1689,Items!$A$5:$A$304,0)),"Unknown code"))</f>
        <v/>
      </c>
      <c r="D1689" s="15" t="n"/>
      <c r="E1689" s="16" t="n"/>
      <c r="F1689" s="18">
        <f>IF(OR(D1689="",E1689=""),"",D1689*E1689)</f>
        <v/>
      </c>
      <c r="G1689" s="15" t="n"/>
    </row>
    <row r="1690">
      <c r="A1690" s="19" t="n"/>
      <c r="B1690" s="15" t="n"/>
      <c r="C1690">
        <f>IF(B1690="","",IFERROR(INDEX(Items!$B$5:$B$304,MATCH(B1690,Items!$A$5:$A$304,0)),"Unknown code"))</f>
        <v/>
      </c>
      <c r="D1690" s="15" t="n"/>
      <c r="E1690" s="16" t="n"/>
      <c r="F1690" s="18">
        <f>IF(OR(D1690="",E1690=""),"",D1690*E1690)</f>
        <v/>
      </c>
      <c r="G1690" s="15" t="n"/>
    </row>
    <row r="1691">
      <c r="A1691" s="19" t="n"/>
      <c r="B1691" s="15" t="n"/>
      <c r="C1691">
        <f>IF(B1691="","",IFERROR(INDEX(Items!$B$5:$B$304,MATCH(B1691,Items!$A$5:$A$304,0)),"Unknown code"))</f>
        <v/>
      </c>
      <c r="D1691" s="15" t="n"/>
      <c r="E1691" s="16" t="n"/>
      <c r="F1691" s="18">
        <f>IF(OR(D1691="",E1691=""),"",D1691*E1691)</f>
        <v/>
      </c>
      <c r="G1691" s="15" t="n"/>
    </row>
    <row r="1692">
      <c r="A1692" s="19" t="n"/>
      <c r="B1692" s="15" t="n"/>
      <c r="C1692">
        <f>IF(B1692="","",IFERROR(INDEX(Items!$B$5:$B$304,MATCH(B1692,Items!$A$5:$A$304,0)),"Unknown code"))</f>
        <v/>
      </c>
      <c r="D1692" s="15" t="n"/>
      <c r="E1692" s="16" t="n"/>
      <c r="F1692" s="18">
        <f>IF(OR(D1692="",E1692=""),"",D1692*E1692)</f>
        <v/>
      </c>
      <c r="G1692" s="15" t="n"/>
    </row>
    <row r="1693">
      <c r="A1693" s="19" t="n"/>
      <c r="B1693" s="15" t="n"/>
      <c r="C1693">
        <f>IF(B1693="","",IFERROR(INDEX(Items!$B$5:$B$304,MATCH(B1693,Items!$A$5:$A$304,0)),"Unknown code"))</f>
        <v/>
      </c>
      <c r="D1693" s="15" t="n"/>
      <c r="E1693" s="16" t="n"/>
      <c r="F1693" s="18">
        <f>IF(OR(D1693="",E1693=""),"",D1693*E1693)</f>
        <v/>
      </c>
      <c r="G1693" s="15" t="n"/>
    </row>
    <row r="1694">
      <c r="A1694" s="19" t="n"/>
      <c r="B1694" s="15" t="n"/>
      <c r="C1694">
        <f>IF(B1694="","",IFERROR(INDEX(Items!$B$5:$B$304,MATCH(B1694,Items!$A$5:$A$304,0)),"Unknown code"))</f>
        <v/>
      </c>
      <c r="D1694" s="15" t="n"/>
      <c r="E1694" s="16" t="n"/>
      <c r="F1694" s="18">
        <f>IF(OR(D1694="",E1694=""),"",D1694*E1694)</f>
        <v/>
      </c>
      <c r="G1694" s="15" t="n"/>
    </row>
    <row r="1695">
      <c r="A1695" s="19" t="n"/>
      <c r="B1695" s="15" t="n"/>
      <c r="C1695">
        <f>IF(B1695="","",IFERROR(INDEX(Items!$B$5:$B$304,MATCH(B1695,Items!$A$5:$A$304,0)),"Unknown code"))</f>
        <v/>
      </c>
      <c r="D1695" s="15" t="n"/>
      <c r="E1695" s="16" t="n"/>
      <c r="F1695" s="18">
        <f>IF(OR(D1695="",E1695=""),"",D1695*E1695)</f>
        <v/>
      </c>
      <c r="G1695" s="15" t="n"/>
    </row>
    <row r="1696">
      <c r="A1696" s="19" t="n"/>
      <c r="B1696" s="15" t="n"/>
      <c r="C1696">
        <f>IF(B1696="","",IFERROR(INDEX(Items!$B$5:$B$304,MATCH(B1696,Items!$A$5:$A$304,0)),"Unknown code"))</f>
        <v/>
      </c>
      <c r="D1696" s="15" t="n"/>
      <c r="E1696" s="16" t="n"/>
      <c r="F1696" s="18">
        <f>IF(OR(D1696="",E1696=""),"",D1696*E1696)</f>
        <v/>
      </c>
      <c r="G1696" s="15" t="n"/>
    </row>
    <row r="1697">
      <c r="A1697" s="19" t="n"/>
      <c r="B1697" s="15" t="n"/>
      <c r="C1697">
        <f>IF(B1697="","",IFERROR(INDEX(Items!$B$5:$B$304,MATCH(B1697,Items!$A$5:$A$304,0)),"Unknown code"))</f>
        <v/>
      </c>
      <c r="D1697" s="15" t="n"/>
      <c r="E1697" s="16" t="n"/>
      <c r="F1697" s="18">
        <f>IF(OR(D1697="",E1697=""),"",D1697*E1697)</f>
        <v/>
      </c>
      <c r="G1697" s="15" t="n"/>
    </row>
    <row r="1698">
      <c r="A1698" s="19" t="n"/>
      <c r="B1698" s="15" t="n"/>
      <c r="C1698">
        <f>IF(B1698="","",IFERROR(INDEX(Items!$B$5:$B$304,MATCH(B1698,Items!$A$5:$A$304,0)),"Unknown code"))</f>
        <v/>
      </c>
      <c r="D1698" s="15" t="n"/>
      <c r="E1698" s="16" t="n"/>
      <c r="F1698" s="18">
        <f>IF(OR(D1698="",E1698=""),"",D1698*E1698)</f>
        <v/>
      </c>
      <c r="G1698" s="15" t="n"/>
    </row>
    <row r="1699">
      <c r="A1699" s="19" t="n"/>
      <c r="B1699" s="15" t="n"/>
      <c r="C1699">
        <f>IF(B1699="","",IFERROR(INDEX(Items!$B$5:$B$304,MATCH(B1699,Items!$A$5:$A$304,0)),"Unknown code"))</f>
        <v/>
      </c>
      <c r="D1699" s="15" t="n"/>
      <c r="E1699" s="16" t="n"/>
      <c r="F1699" s="18">
        <f>IF(OR(D1699="",E1699=""),"",D1699*E1699)</f>
        <v/>
      </c>
      <c r="G1699" s="15" t="n"/>
    </row>
    <row r="1700">
      <c r="A1700" s="19" t="n"/>
      <c r="B1700" s="15" t="n"/>
      <c r="C1700">
        <f>IF(B1700="","",IFERROR(INDEX(Items!$B$5:$B$304,MATCH(B1700,Items!$A$5:$A$304,0)),"Unknown code"))</f>
        <v/>
      </c>
      <c r="D1700" s="15" t="n"/>
      <c r="E1700" s="16" t="n"/>
      <c r="F1700" s="18">
        <f>IF(OR(D1700="",E1700=""),"",D1700*E1700)</f>
        <v/>
      </c>
      <c r="G1700" s="15" t="n"/>
    </row>
    <row r="1701">
      <c r="A1701" s="19" t="n"/>
      <c r="B1701" s="15" t="n"/>
      <c r="C1701">
        <f>IF(B1701="","",IFERROR(INDEX(Items!$B$5:$B$304,MATCH(B1701,Items!$A$5:$A$304,0)),"Unknown code"))</f>
        <v/>
      </c>
      <c r="D1701" s="15" t="n"/>
      <c r="E1701" s="16" t="n"/>
      <c r="F1701" s="18">
        <f>IF(OR(D1701="",E1701=""),"",D1701*E1701)</f>
        <v/>
      </c>
      <c r="G1701" s="15" t="n"/>
    </row>
    <row r="1702">
      <c r="A1702" s="19" t="n"/>
      <c r="B1702" s="15" t="n"/>
      <c r="C1702">
        <f>IF(B1702="","",IFERROR(INDEX(Items!$B$5:$B$304,MATCH(B1702,Items!$A$5:$A$304,0)),"Unknown code"))</f>
        <v/>
      </c>
      <c r="D1702" s="15" t="n"/>
      <c r="E1702" s="16" t="n"/>
      <c r="F1702" s="18">
        <f>IF(OR(D1702="",E1702=""),"",D1702*E1702)</f>
        <v/>
      </c>
      <c r="G1702" s="15" t="n"/>
    </row>
    <row r="1703">
      <c r="A1703" s="19" t="n"/>
      <c r="B1703" s="15" t="n"/>
      <c r="C1703">
        <f>IF(B1703="","",IFERROR(INDEX(Items!$B$5:$B$304,MATCH(B1703,Items!$A$5:$A$304,0)),"Unknown code"))</f>
        <v/>
      </c>
      <c r="D1703" s="15" t="n"/>
      <c r="E1703" s="16" t="n"/>
      <c r="F1703" s="18">
        <f>IF(OR(D1703="",E1703=""),"",D1703*E1703)</f>
        <v/>
      </c>
      <c r="G1703" s="15" t="n"/>
    </row>
    <row r="1704">
      <c r="A1704" s="19" t="n"/>
      <c r="B1704" s="15" t="n"/>
      <c r="C1704">
        <f>IF(B1704="","",IFERROR(INDEX(Items!$B$5:$B$304,MATCH(B1704,Items!$A$5:$A$304,0)),"Unknown code"))</f>
        <v/>
      </c>
      <c r="D1704" s="15" t="n"/>
      <c r="E1704" s="16" t="n"/>
      <c r="F1704" s="18">
        <f>IF(OR(D1704="",E1704=""),"",D1704*E1704)</f>
        <v/>
      </c>
      <c r="G1704" s="15" t="n"/>
    </row>
    <row r="1705">
      <c r="A1705" s="19" t="n"/>
      <c r="B1705" s="15" t="n"/>
      <c r="C1705">
        <f>IF(B1705="","",IFERROR(INDEX(Items!$B$5:$B$304,MATCH(B1705,Items!$A$5:$A$304,0)),"Unknown code"))</f>
        <v/>
      </c>
      <c r="D1705" s="15" t="n"/>
      <c r="E1705" s="16" t="n"/>
      <c r="F1705" s="18">
        <f>IF(OR(D1705="",E1705=""),"",D1705*E1705)</f>
        <v/>
      </c>
      <c r="G1705" s="15" t="n"/>
    </row>
    <row r="1706">
      <c r="A1706" s="19" t="n"/>
      <c r="B1706" s="15" t="n"/>
      <c r="C1706">
        <f>IF(B1706="","",IFERROR(INDEX(Items!$B$5:$B$304,MATCH(B1706,Items!$A$5:$A$304,0)),"Unknown code"))</f>
        <v/>
      </c>
      <c r="D1706" s="15" t="n"/>
      <c r="E1706" s="16" t="n"/>
      <c r="F1706" s="18">
        <f>IF(OR(D1706="",E1706=""),"",D1706*E1706)</f>
        <v/>
      </c>
      <c r="G1706" s="15" t="n"/>
    </row>
    <row r="1707">
      <c r="A1707" s="19" t="n"/>
      <c r="B1707" s="15" t="n"/>
      <c r="C1707">
        <f>IF(B1707="","",IFERROR(INDEX(Items!$B$5:$B$304,MATCH(B1707,Items!$A$5:$A$304,0)),"Unknown code"))</f>
        <v/>
      </c>
      <c r="D1707" s="15" t="n"/>
      <c r="E1707" s="16" t="n"/>
      <c r="F1707" s="18">
        <f>IF(OR(D1707="",E1707=""),"",D1707*E1707)</f>
        <v/>
      </c>
      <c r="G1707" s="15" t="n"/>
    </row>
    <row r="1708">
      <c r="A1708" s="19" t="n"/>
      <c r="B1708" s="15" t="n"/>
      <c r="C1708">
        <f>IF(B1708="","",IFERROR(INDEX(Items!$B$5:$B$304,MATCH(B1708,Items!$A$5:$A$304,0)),"Unknown code"))</f>
        <v/>
      </c>
      <c r="D1708" s="15" t="n"/>
      <c r="E1708" s="16" t="n"/>
      <c r="F1708" s="18">
        <f>IF(OR(D1708="",E1708=""),"",D1708*E1708)</f>
        <v/>
      </c>
      <c r="G1708" s="15" t="n"/>
    </row>
    <row r="1709">
      <c r="A1709" s="19" t="n"/>
      <c r="B1709" s="15" t="n"/>
      <c r="C1709">
        <f>IF(B1709="","",IFERROR(INDEX(Items!$B$5:$B$304,MATCH(B1709,Items!$A$5:$A$304,0)),"Unknown code"))</f>
        <v/>
      </c>
      <c r="D1709" s="15" t="n"/>
      <c r="E1709" s="16" t="n"/>
      <c r="F1709" s="18">
        <f>IF(OR(D1709="",E1709=""),"",D1709*E1709)</f>
        <v/>
      </c>
      <c r="G1709" s="15" t="n"/>
    </row>
    <row r="1710">
      <c r="A1710" s="19" t="n"/>
      <c r="B1710" s="15" t="n"/>
      <c r="C1710">
        <f>IF(B1710="","",IFERROR(INDEX(Items!$B$5:$B$304,MATCH(B1710,Items!$A$5:$A$304,0)),"Unknown code"))</f>
        <v/>
      </c>
      <c r="D1710" s="15" t="n"/>
      <c r="E1710" s="16" t="n"/>
      <c r="F1710" s="18">
        <f>IF(OR(D1710="",E1710=""),"",D1710*E1710)</f>
        <v/>
      </c>
      <c r="G1710" s="15" t="n"/>
    </row>
    <row r="1711">
      <c r="A1711" s="19" t="n"/>
      <c r="B1711" s="15" t="n"/>
      <c r="C1711">
        <f>IF(B1711="","",IFERROR(INDEX(Items!$B$5:$B$304,MATCH(B1711,Items!$A$5:$A$304,0)),"Unknown code"))</f>
        <v/>
      </c>
      <c r="D1711" s="15" t="n"/>
      <c r="E1711" s="16" t="n"/>
      <c r="F1711" s="18">
        <f>IF(OR(D1711="",E1711=""),"",D1711*E1711)</f>
        <v/>
      </c>
      <c r="G1711" s="15" t="n"/>
    </row>
    <row r="1712">
      <c r="A1712" s="19" t="n"/>
      <c r="B1712" s="15" t="n"/>
      <c r="C1712">
        <f>IF(B1712="","",IFERROR(INDEX(Items!$B$5:$B$304,MATCH(B1712,Items!$A$5:$A$304,0)),"Unknown code"))</f>
        <v/>
      </c>
      <c r="D1712" s="15" t="n"/>
      <c r="E1712" s="16" t="n"/>
      <c r="F1712" s="18">
        <f>IF(OR(D1712="",E1712=""),"",D1712*E1712)</f>
        <v/>
      </c>
      <c r="G1712" s="15" t="n"/>
    </row>
    <row r="1713">
      <c r="A1713" s="19" t="n"/>
      <c r="B1713" s="15" t="n"/>
      <c r="C1713">
        <f>IF(B1713="","",IFERROR(INDEX(Items!$B$5:$B$304,MATCH(B1713,Items!$A$5:$A$304,0)),"Unknown code"))</f>
        <v/>
      </c>
      <c r="D1713" s="15" t="n"/>
      <c r="E1713" s="16" t="n"/>
      <c r="F1713" s="18">
        <f>IF(OR(D1713="",E1713=""),"",D1713*E1713)</f>
        <v/>
      </c>
      <c r="G1713" s="15" t="n"/>
    </row>
    <row r="1714">
      <c r="A1714" s="19" t="n"/>
      <c r="B1714" s="15" t="n"/>
      <c r="C1714">
        <f>IF(B1714="","",IFERROR(INDEX(Items!$B$5:$B$304,MATCH(B1714,Items!$A$5:$A$304,0)),"Unknown code"))</f>
        <v/>
      </c>
      <c r="D1714" s="15" t="n"/>
      <c r="E1714" s="16" t="n"/>
      <c r="F1714" s="18">
        <f>IF(OR(D1714="",E1714=""),"",D1714*E1714)</f>
        <v/>
      </c>
      <c r="G1714" s="15" t="n"/>
    </row>
    <row r="1715">
      <c r="A1715" s="19" t="n"/>
      <c r="B1715" s="15" t="n"/>
      <c r="C1715">
        <f>IF(B1715="","",IFERROR(INDEX(Items!$B$5:$B$304,MATCH(B1715,Items!$A$5:$A$304,0)),"Unknown code"))</f>
        <v/>
      </c>
      <c r="D1715" s="15" t="n"/>
      <c r="E1715" s="16" t="n"/>
      <c r="F1715" s="18">
        <f>IF(OR(D1715="",E1715=""),"",D1715*E1715)</f>
        <v/>
      </c>
      <c r="G1715" s="15" t="n"/>
    </row>
    <row r="1716">
      <c r="A1716" s="19" t="n"/>
      <c r="B1716" s="15" t="n"/>
      <c r="C1716">
        <f>IF(B1716="","",IFERROR(INDEX(Items!$B$5:$B$304,MATCH(B1716,Items!$A$5:$A$304,0)),"Unknown code"))</f>
        <v/>
      </c>
      <c r="D1716" s="15" t="n"/>
      <c r="E1716" s="16" t="n"/>
      <c r="F1716" s="18">
        <f>IF(OR(D1716="",E1716=""),"",D1716*E1716)</f>
        <v/>
      </c>
      <c r="G1716" s="15" t="n"/>
    </row>
    <row r="1717">
      <c r="A1717" s="19" t="n"/>
      <c r="B1717" s="15" t="n"/>
      <c r="C1717">
        <f>IF(B1717="","",IFERROR(INDEX(Items!$B$5:$B$304,MATCH(B1717,Items!$A$5:$A$304,0)),"Unknown code"))</f>
        <v/>
      </c>
      <c r="D1717" s="15" t="n"/>
      <c r="E1717" s="16" t="n"/>
      <c r="F1717" s="18">
        <f>IF(OR(D1717="",E1717=""),"",D1717*E1717)</f>
        <v/>
      </c>
      <c r="G1717" s="15" t="n"/>
    </row>
    <row r="1718">
      <c r="A1718" s="19" t="n"/>
      <c r="B1718" s="15" t="n"/>
      <c r="C1718">
        <f>IF(B1718="","",IFERROR(INDEX(Items!$B$5:$B$304,MATCH(B1718,Items!$A$5:$A$304,0)),"Unknown code"))</f>
        <v/>
      </c>
      <c r="D1718" s="15" t="n"/>
      <c r="E1718" s="16" t="n"/>
      <c r="F1718" s="18">
        <f>IF(OR(D1718="",E1718=""),"",D1718*E1718)</f>
        <v/>
      </c>
      <c r="G1718" s="15" t="n"/>
    </row>
    <row r="1719">
      <c r="A1719" s="19" t="n"/>
      <c r="B1719" s="15" t="n"/>
      <c r="C1719">
        <f>IF(B1719="","",IFERROR(INDEX(Items!$B$5:$B$304,MATCH(B1719,Items!$A$5:$A$304,0)),"Unknown code"))</f>
        <v/>
      </c>
      <c r="D1719" s="15" t="n"/>
      <c r="E1719" s="16" t="n"/>
      <c r="F1719" s="18">
        <f>IF(OR(D1719="",E1719=""),"",D1719*E1719)</f>
        <v/>
      </c>
      <c r="G1719" s="15" t="n"/>
    </row>
    <row r="1720">
      <c r="A1720" s="19" t="n"/>
      <c r="B1720" s="15" t="n"/>
      <c r="C1720">
        <f>IF(B1720="","",IFERROR(INDEX(Items!$B$5:$B$304,MATCH(B1720,Items!$A$5:$A$304,0)),"Unknown code"))</f>
        <v/>
      </c>
      <c r="D1720" s="15" t="n"/>
      <c r="E1720" s="16" t="n"/>
      <c r="F1720" s="18">
        <f>IF(OR(D1720="",E1720=""),"",D1720*E1720)</f>
        <v/>
      </c>
      <c r="G1720" s="15" t="n"/>
    </row>
    <row r="1721">
      <c r="A1721" s="19" t="n"/>
      <c r="B1721" s="15" t="n"/>
      <c r="C1721">
        <f>IF(B1721="","",IFERROR(INDEX(Items!$B$5:$B$304,MATCH(B1721,Items!$A$5:$A$304,0)),"Unknown code"))</f>
        <v/>
      </c>
      <c r="D1721" s="15" t="n"/>
      <c r="E1721" s="16" t="n"/>
      <c r="F1721" s="18">
        <f>IF(OR(D1721="",E1721=""),"",D1721*E1721)</f>
        <v/>
      </c>
      <c r="G1721" s="15" t="n"/>
    </row>
    <row r="1722">
      <c r="A1722" s="19" t="n"/>
      <c r="B1722" s="15" t="n"/>
      <c r="C1722">
        <f>IF(B1722="","",IFERROR(INDEX(Items!$B$5:$B$304,MATCH(B1722,Items!$A$5:$A$304,0)),"Unknown code"))</f>
        <v/>
      </c>
      <c r="D1722" s="15" t="n"/>
      <c r="E1722" s="16" t="n"/>
      <c r="F1722" s="18">
        <f>IF(OR(D1722="",E1722=""),"",D1722*E1722)</f>
        <v/>
      </c>
      <c r="G1722" s="15" t="n"/>
    </row>
    <row r="1723">
      <c r="A1723" s="19" t="n"/>
      <c r="B1723" s="15" t="n"/>
      <c r="C1723">
        <f>IF(B1723="","",IFERROR(INDEX(Items!$B$5:$B$304,MATCH(B1723,Items!$A$5:$A$304,0)),"Unknown code"))</f>
        <v/>
      </c>
      <c r="D1723" s="15" t="n"/>
      <c r="E1723" s="16" t="n"/>
      <c r="F1723" s="18">
        <f>IF(OR(D1723="",E1723=""),"",D1723*E1723)</f>
        <v/>
      </c>
      <c r="G1723" s="15" t="n"/>
    </row>
    <row r="1724">
      <c r="A1724" s="19" t="n"/>
      <c r="B1724" s="15" t="n"/>
      <c r="C1724">
        <f>IF(B1724="","",IFERROR(INDEX(Items!$B$5:$B$304,MATCH(B1724,Items!$A$5:$A$304,0)),"Unknown code"))</f>
        <v/>
      </c>
      <c r="D1724" s="15" t="n"/>
      <c r="E1724" s="16" t="n"/>
      <c r="F1724" s="18">
        <f>IF(OR(D1724="",E1724=""),"",D1724*E1724)</f>
        <v/>
      </c>
      <c r="G1724" s="15" t="n"/>
    </row>
    <row r="1725">
      <c r="A1725" s="19" t="n"/>
      <c r="B1725" s="15" t="n"/>
      <c r="C1725">
        <f>IF(B1725="","",IFERROR(INDEX(Items!$B$5:$B$304,MATCH(B1725,Items!$A$5:$A$304,0)),"Unknown code"))</f>
        <v/>
      </c>
      <c r="D1725" s="15" t="n"/>
      <c r="E1725" s="16" t="n"/>
      <c r="F1725" s="18">
        <f>IF(OR(D1725="",E1725=""),"",D1725*E1725)</f>
        <v/>
      </c>
      <c r="G1725" s="15" t="n"/>
    </row>
    <row r="1726">
      <c r="A1726" s="19" t="n"/>
      <c r="B1726" s="15" t="n"/>
      <c r="C1726">
        <f>IF(B1726="","",IFERROR(INDEX(Items!$B$5:$B$304,MATCH(B1726,Items!$A$5:$A$304,0)),"Unknown code"))</f>
        <v/>
      </c>
      <c r="D1726" s="15" t="n"/>
      <c r="E1726" s="16" t="n"/>
      <c r="F1726" s="18">
        <f>IF(OR(D1726="",E1726=""),"",D1726*E1726)</f>
        <v/>
      </c>
      <c r="G1726" s="15" t="n"/>
    </row>
    <row r="1727">
      <c r="A1727" s="19" t="n"/>
      <c r="B1727" s="15" t="n"/>
      <c r="C1727">
        <f>IF(B1727="","",IFERROR(INDEX(Items!$B$5:$B$304,MATCH(B1727,Items!$A$5:$A$304,0)),"Unknown code"))</f>
        <v/>
      </c>
      <c r="D1727" s="15" t="n"/>
      <c r="E1727" s="16" t="n"/>
      <c r="F1727" s="18">
        <f>IF(OR(D1727="",E1727=""),"",D1727*E1727)</f>
        <v/>
      </c>
      <c r="G1727" s="15" t="n"/>
    </row>
    <row r="1728">
      <c r="A1728" s="19" t="n"/>
      <c r="B1728" s="15" t="n"/>
      <c r="C1728">
        <f>IF(B1728="","",IFERROR(INDEX(Items!$B$5:$B$304,MATCH(B1728,Items!$A$5:$A$304,0)),"Unknown code"))</f>
        <v/>
      </c>
      <c r="D1728" s="15" t="n"/>
      <c r="E1728" s="16" t="n"/>
      <c r="F1728" s="18">
        <f>IF(OR(D1728="",E1728=""),"",D1728*E1728)</f>
        <v/>
      </c>
      <c r="G1728" s="15" t="n"/>
    </row>
    <row r="1729">
      <c r="A1729" s="19" t="n"/>
      <c r="B1729" s="15" t="n"/>
      <c r="C1729">
        <f>IF(B1729="","",IFERROR(INDEX(Items!$B$5:$B$304,MATCH(B1729,Items!$A$5:$A$304,0)),"Unknown code"))</f>
        <v/>
      </c>
      <c r="D1729" s="15" t="n"/>
      <c r="E1729" s="16" t="n"/>
      <c r="F1729" s="18">
        <f>IF(OR(D1729="",E1729=""),"",D1729*E1729)</f>
        <v/>
      </c>
      <c r="G1729" s="15" t="n"/>
    </row>
    <row r="1730">
      <c r="A1730" s="19" t="n"/>
      <c r="B1730" s="15" t="n"/>
      <c r="C1730">
        <f>IF(B1730="","",IFERROR(INDEX(Items!$B$5:$B$304,MATCH(B1730,Items!$A$5:$A$304,0)),"Unknown code"))</f>
        <v/>
      </c>
      <c r="D1730" s="15" t="n"/>
      <c r="E1730" s="16" t="n"/>
      <c r="F1730" s="18">
        <f>IF(OR(D1730="",E1730=""),"",D1730*E1730)</f>
        <v/>
      </c>
      <c r="G1730" s="15" t="n"/>
    </row>
    <row r="1731">
      <c r="A1731" s="19" t="n"/>
      <c r="B1731" s="15" t="n"/>
      <c r="C1731">
        <f>IF(B1731="","",IFERROR(INDEX(Items!$B$5:$B$304,MATCH(B1731,Items!$A$5:$A$304,0)),"Unknown code"))</f>
        <v/>
      </c>
      <c r="D1731" s="15" t="n"/>
      <c r="E1731" s="16" t="n"/>
      <c r="F1731" s="18">
        <f>IF(OR(D1731="",E1731=""),"",D1731*E1731)</f>
        <v/>
      </c>
      <c r="G1731" s="15" t="n"/>
    </row>
    <row r="1732">
      <c r="A1732" s="19" t="n"/>
      <c r="B1732" s="15" t="n"/>
      <c r="C1732">
        <f>IF(B1732="","",IFERROR(INDEX(Items!$B$5:$B$304,MATCH(B1732,Items!$A$5:$A$304,0)),"Unknown code"))</f>
        <v/>
      </c>
      <c r="D1732" s="15" t="n"/>
      <c r="E1732" s="16" t="n"/>
      <c r="F1732" s="18">
        <f>IF(OR(D1732="",E1732=""),"",D1732*E1732)</f>
        <v/>
      </c>
      <c r="G1732" s="15" t="n"/>
    </row>
    <row r="1733">
      <c r="A1733" s="19" t="n"/>
      <c r="B1733" s="15" t="n"/>
      <c r="C1733">
        <f>IF(B1733="","",IFERROR(INDEX(Items!$B$5:$B$304,MATCH(B1733,Items!$A$5:$A$304,0)),"Unknown code"))</f>
        <v/>
      </c>
      <c r="D1733" s="15" t="n"/>
      <c r="E1733" s="16" t="n"/>
      <c r="F1733" s="18">
        <f>IF(OR(D1733="",E1733=""),"",D1733*E1733)</f>
        <v/>
      </c>
      <c r="G1733" s="15" t="n"/>
    </row>
    <row r="1734">
      <c r="A1734" s="19" t="n"/>
      <c r="B1734" s="15" t="n"/>
      <c r="C1734">
        <f>IF(B1734="","",IFERROR(INDEX(Items!$B$5:$B$304,MATCH(B1734,Items!$A$5:$A$304,0)),"Unknown code"))</f>
        <v/>
      </c>
      <c r="D1734" s="15" t="n"/>
      <c r="E1734" s="16" t="n"/>
      <c r="F1734" s="18">
        <f>IF(OR(D1734="",E1734=""),"",D1734*E1734)</f>
        <v/>
      </c>
      <c r="G1734" s="15" t="n"/>
    </row>
    <row r="1735">
      <c r="A1735" s="19" t="n"/>
      <c r="B1735" s="15" t="n"/>
      <c r="C1735">
        <f>IF(B1735="","",IFERROR(INDEX(Items!$B$5:$B$304,MATCH(B1735,Items!$A$5:$A$304,0)),"Unknown code"))</f>
        <v/>
      </c>
      <c r="D1735" s="15" t="n"/>
      <c r="E1735" s="16" t="n"/>
      <c r="F1735" s="18">
        <f>IF(OR(D1735="",E1735=""),"",D1735*E1735)</f>
        <v/>
      </c>
      <c r="G1735" s="15" t="n"/>
    </row>
    <row r="1736">
      <c r="A1736" s="19" t="n"/>
      <c r="B1736" s="15" t="n"/>
      <c r="C1736">
        <f>IF(B1736="","",IFERROR(INDEX(Items!$B$5:$B$304,MATCH(B1736,Items!$A$5:$A$304,0)),"Unknown code"))</f>
        <v/>
      </c>
      <c r="D1736" s="15" t="n"/>
      <c r="E1736" s="16" t="n"/>
      <c r="F1736" s="18">
        <f>IF(OR(D1736="",E1736=""),"",D1736*E1736)</f>
        <v/>
      </c>
      <c r="G1736" s="15" t="n"/>
    </row>
    <row r="1737">
      <c r="A1737" s="19" t="n"/>
      <c r="B1737" s="15" t="n"/>
      <c r="C1737">
        <f>IF(B1737="","",IFERROR(INDEX(Items!$B$5:$B$304,MATCH(B1737,Items!$A$5:$A$304,0)),"Unknown code"))</f>
        <v/>
      </c>
      <c r="D1737" s="15" t="n"/>
      <c r="E1737" s="16" t="n"/>
      <c r="F1737" s="18">
        <f>IF(OR(D1737="",E1737=""),"",D1737*E1737)</f>
        <v/>
      </c>
      <c r="G1737" s="15" t="n"/>
    </row>
    <row r="1738">
      <c r="A1738" s="19" t="n"/>
      <c r="B1738" s="15" t="n"/>
      <c r="C1738">
        <f>IF(B1738="","",IFERROR(INDEX(Items!$B$5:$B$304,MATCH(B1738,Items!$A$5:$A$304,0)),"Unknown code"))</f>
        <v/>
      </c>
      <c r="D1738" s="15" t="n"/>
      <c r="E1738" s="16" t="n"/>
      <c r="F1738" s="18">
        <f>IF(OR(D1738="",E1738=""),"",D1738*E1738)</f>
        <v/>
      </c>
      <c r="G1738" s="15" t="n"/>
    </row>
    <row r="1739">
      <c r="A1739" s="19" t="n"/>
      <c r="B1739" s="15" t="n"/>
      <c r="C1739">
        <f>IF(B1739="","",IFERROR(INDEX(Items!$B$5:$B$304,MATCH(B1739,Items!$A$5:$A$304,0)),"Unknown code"))</f>
        <v/>
      </c>
      <c r="D1739" s="15" t="n"/>
      <c r="E1739" s="16" t="n"/>
      <c r="F1739" s="18">
        <f>IF(OR(D1739="",E1739=""),"",D1739*E1739)</f>
        <v/>
      </c>
      <c r="G1739" s="15" t="n"/>
    </row>
    <row r="1740">
      <c r="A1740" s="19" t="n"/>
      <c r="B1740" s="15" t="n"/>
      <c r="C1740">
        <f>IF(B1740="","",IFERROR(INDEX(Items!$B$5:$B$304,MATCH(B1740,Items!$A$5:$A$304,0)),"Unknown code"))</f>
        <v/>
      </c>
      <c r="D1740" s="15" t="n"/>
      <c r="E1740" s="16" t="n"/>
      <c r="F1740" s="18">
        <f>IF(OR(D1740="",E1740=""),"",D1740*E1740)</f>
        <v/>
      </c>
      <c r="G1740" s="15" t="n"/>
    </row>
    <row r="1741">
      <c r="A1741" s="19" t="n"/>
      <c r="B1741" s="15" t="n"/>
      <c r="C1741">
        <f>IF(B1741="","",IFERROR(INDEX(Items!$B$5:$B$304,MATCH(B1741,Items!$A$5:$A$304,0)),"Unknown code"))</f>
        <v/>
      </c>
      <c r="D1741" s="15" t="n"/>
      <c r="E1741" s="16" t="n"/>
      <c r="F1741" s="18">
        <f>IF(OR(D1741="",E1741=""),"",D1741*E1741)</f>
        <v/>
      </c>
      <c r="G1741" s="15" t="n"/>
    </row>
    <row r="1742">
      <c r="A1742" s="19" t="n"/>
      <c r="B1742" s="15" t="n"/>
      <c r="C1742">
        <f>IF(B1742="","",IFERROR(INDEX(Items!$B$5:$B$304,MATCH(B1742,Items!$A$5:$A$304,0)),"Unknown code"))</f>
        <v/>
      </c>
      <c r="D1742" s="15" t="n"/>
      <c r="E1742" s="16" t="n"/>
      <c r="F1742" s="18">
        <f>IF(OR(D1742="",E1742=""),"",D1742*E1742)</f>
        <v/>
      </c>
      <c r="G1742" s="15" t="n"/>
    </row>
    <row r="1743">
      <c r="A1743" s="19" t="n"/>
      <c r="B1743" s="15" t="n"/>
      <c r="C1743">
        <f>IF(B1743="","",IFERROR(INDEX(Items!$B$5:$B$304,MATCH(B1743,Items!$A$5:$A$304,0)),"Unknown code"))</f>
        <v/>
      </c>
      <c r="D1743" s="15" t="n"/>
      <c r="E1743" s="16" t="n"/>
      <c r="F1743" s="18">
        <f>IF(OR(D1743="",E1743=""),"",D1743*E1743)</f>
        <v/>
      </c>
      <c r="G1743" s="15" t="n"/>
    </row>
    <row r="1744">
      <c r="A1744" s="19" t="n"/>
      <c r="B1744" s="15" t="n"/>
      <c r="C1744">
        <f>IF(B1744="","",IFERROR(INDEX(Items!$B$5:$B$304,MATCH(B1744,Items!$A$5:$A$304,0)),"Unknown code"))</f>
        <v/>
      </c>
      <c r="D1744" s="15" t="n"/>
      <c r="E1744" s="16" t="n"/>
      <c r="F1744" s="18">
        <f>IF(OR(D1744="",E1744=""),"",D1744*E1744)</f>
        <v/>
      </c>
      <c r="G1744" s="15" t="n"/>
    </row>
    <row r="1745">
      <c r="A1745" s="19" t="n"/>
      <c r="B1745" s="15" t="n"/>
      <c r="C1745">
        <f>IF(B1745="","",IFERROR(INDEX(Items!$B$5:$B$304,MATCH(B1745,Items!$A$5:$A$304,0)),"Unknown code"))</f>
        <v/>
      </c>
      <c r="D1745" s="15" t="n"/>
      <c r="E1745" s="16" t="n"/>
      <c r="F1745" s="18">
        <f>IF(OR(D1745="",E1745=""),"",D1745*E1745)</f>
        <v/>
      </c>
      <c r="G1745" s="15" t="n"/>
    </row>
    <row r="1746">
      <c r="A1746" s="19" t="n"/>
      <c r="B1746" s="15" t="n"/>
      <c r="C1746">
        <f>IF(B1746="","",IFERROR(INDEX(Items!$B$5:$B$304,MATCH(B1746,Items!$A$5:$A$304,0)),"Unknown code"))</f>
        <v/>
      </c>
      <c r="D1746" s="15" t="n"/>
      <c r="E1746" s="16" t="n"/>
      <c r="F1746" s="18">
        <f>IF(OR(D1746="",E1746=""),"",D1746*E1746)</f>
        <v/>
      </c>
      <c r="G1746" s="15" t="n"/>
    </row>
    <row r="1747">
      <c r="A1747" s="19" t="n"/>
      <c r="B1747" s="15" t="n"/>
      <c r="C1747">
        <f>IF(B1747="","",IFERROR(INDEX(Items!$B$5:$B$304,MATCH(B1747,Items!$A$5:$A$304,0)),"Unknown code"))</f>
        <v/>
      </c>
      <c r="D1747" s="15" t="n"/>
      <c r="E1747" s="16" t="n"/>
      <c r="F1747" s="18">
        <f>IF(OR(D1747="",E1747=""),"",D1747*E1747)</f>
        <v/>
      </c>
      <c r="G1747" s="15" t="n"/>
    </row>
    <row r="1748">
      <c r="A1748" s="19" t="n"/>
      <c r="B1748" s="15" t="n"/>
      <c r="C1748">
        <f>IF(B1748="","",IFERROR(INDEX(Items!$B$5:$B$304,MATCH(B1748,Items!$A$5:$A$304,0)),"Unknown code"))</f>
        <v/>
      </c>
      <c r="D1748" s="15" t="n"/>
      <c r="E1748" s="16" t="n"/>
      <c r="F1748" s="18">
        <f>IF(OR(D1748="",E1748=""),"",D1748*E1748)</f>
        <v/>
      </c>
      <c r="G1748" s="15" t="n"/>
    </row>
    <row r="1749">
      <c r="A1749" s="19" t="n"/>
      <c r="B1749" s="15" t="n"/>
      <c r="C1749">
        <f>IF(B1749="","",IFERROR(INDEX(Items!$B$5:$B$304,MATCH(B1749,Items!$A$5:$A$304,0)),"Unknown code"))</f>
        <v/>
      </c>
      <c r="D1749" s="15" t="n"/>
      <c r="E1749" s="16" t="n"/>
      <c r="F1749" s="18">
        <f>IF(OR(D1749="",E1749=""),"",D1749*E1749)</f>
        <v/>
      </c>
      <c r="G1749" s="15" t="n"/>
    </row>
    <row r="1750">
      <c r="A1750" s="19" t="n"/>
      <c r="B1750" s="15" t="n"/>
      <c r="C1750">
        <f>IF(B1750="","",IFERROR(INDEX(Items!$B$5:$B$304,MATCH(B1750,Items!$A$5:$A$304,0)),"Unknown code"))</f>
        <v/>
      </c>
      <c r="D1750" s="15" t="n"/>
      <c r="E1750" s="16" t="n"/>
      <c r="F1750" s="18">
        <f>IF(OR(D1750="",E1750=""),"",D1750*E1750)</f>
        <v/>
      </c>
      <c r="G1750" s="15" t="n"/>
    </row>
    <row r="1751">
      <c r="A1751" s="19" t="n"/>
      <c r="B1751" s="15" t="n"/>
      <c r="C1751">
        <f>IF(B1751="","",IFERROR(INDEX(Items!$B$5:$B$304,MATCH(B1751,Items!$A$5:$A$304,0)),"Unknown code"))</f>
        <v/>
      </c>
      <c r="D1751" s="15" t="n"/>
      <c r="E1751" s="16" t="n"/>
      <c r="F1751" s="18">
        <f>IF(OR(D1751="",E1751=""),"",D1751*E1751)</f>
        <v/>
      </c>
      <c r="G1751" s="15" t="n"/>
    </row>
    <row r="1752">
      <c r="A1752" s="19" t="n"/>
      <c r="B1752" s="15" t="n"/>
      <c r="C1752">
        <f>IF(B1752="","",IFERROR(INDEX(Items!$B$5:$B$304,MATCH(B1752,Items!$A$5:$A$304,0)),"Unknown code"))</f>
        <v/>
      </c>
      <c r="D1752" s="15" t="n"/>
      <c r="E1752" s="16" t="n"/>
      <c r="F1752" s="18">
        <f>IF(OR(D1752="",E1752=""),"",D1752*E1752)</f>
        <v/>
      </c>
      <c r="G1752" s="15" t="n"/>
    </row>
    <row r="1753">
      <c r="A1753" s="19" t="n"/>
      <c r="B1753" s="15" t="n"/>
      <c r="C1753">
        <f>IF(B1753="","",IFERROR(INDEX(Items!$B$5:$B$304,MATCH(B1753,Items!$A$5:$A$304,0)),"Unknown code"))</f>
        <v/>
      </c>
      <c r="D1753" s="15" t="n"/>
      <c r="E1753" s="16" t="n"/>
      <c r="F1753" s="18">
        <f>IF(OR(D1753="",E1753=""),"",D1753*E1753)</f>
        <v/>
      </c>
      <c r="G1753" s="15" t="n"/>
    </row>
    <row r="1754">
      <c r="A1754" s="19" t="n"/>
      <c r="B1754" s="15" t="n"/>
      <c r="C1754">
        <f>IF(B1754="","",IFERROR(INDEX(Items!$B$5:$B$304,MATCH(B1754,Items!$A$5:$A$304,0)),"Unknown code"))</f>
        <v/>
      </c>
      <c r="D1754" s="15" t="n"/>
      <c r="E1754" s="16" t="n"/>
      <c r="F1754" s="18">
        <f>IF(OR(D1754="",E1754=""),"",D1754*E1754)</f>
        <v/>
      </c>
      <c r="G1754" s="15" t="n"/>
    </row>
    <row r="1755">
      <c r="A1755" s="19" t="n"/>
      <c r="B1755" s="15" t="n"/>
      <c r="C1755">
        <f>IF(B1755="","",IFERROR(INDEX(Items!$B$5:$B$304,MATCH(B1755,Items!$A$5:$A$304,0)),"Unknown code"))</f>
        <v/>
      </c>
      <c r="D1755" s="15" t="n"/>
      <c r="E1755" s="16" t="n"/>
      <c r="F1755" s="18">
        <f>IF(OR(D1755="",E1755=""),"",D1755*E1755)</f>
        <v/>
      </c>
      <c r="G1755" s="15" t="n"/>
    </row>
    <row r="1756">
      <c r="A1756" s="19" t="n"/>
      <c r="B1756" s="15" t="n"/>
      <c r="C1756">
        <f>IF(B1756="","",IFERROR(INDEX(Items!$B$5:$B$304,MATCH(B1756,Items!$A$5:$A$304,0)),"Unknown code"))</f>
        <v/>
      </c>
      <c r="D1756" s="15" t="n"/>
      <c r="E1756" s="16" t="n"/>
      <c r="F1756" s="18">
        <f>IF(OR(D1756="",E1756=""),"",D1756*E1756)</f>
        <v/>
      </c>
      <c r="G1756" s="15" t="n"/>
    </row>
    <row r="1757">
      <c r="A1757" s="19" t="n"/>
      <c r="B1757" s="15" t="n"/>
      <c r="C1757">
        <f>IF(B1757="","",IFERROR(INDEX(Items!$B$5:$B$304,MATCH(B1757,Items!$A$5:$A$304,0)),"Unknown code"))</f>
        <v/>
      </c>
      <c r="D1757" s="15" t="n"/>
      <c r="E1757" s="16" t="n"/>
      <c r="F1757" s="18">
        <f>IF(OR(D1757="",E1757=""),"",D1757*E1757)</f>
        <v/>
      </c>
      <c r="G1757" s="15" t="n"/>
    </row>
    <row r="1758">
      <c r="A1758" s="19" t="n"/>
      <c r="B1758" s="15" t="n"/>
      <c r="C1758">
        <f>IF(B1758="","",IFERROR(INDEX(Items!$B$5:$B$304,MATCH(B1758,Items!$A$5:$A$304,0)),"Unknown code"))</f>
        <v/>
      </c>
      <c r="D1758" s="15" t="n"/>
      <c r="E1758" s="16" t="n"/>
      <c r="F1758" s="18">
        <f>IF(OR(D1758="",E1758=""),"",D1758*E1758)</f>
        <v/>
      </c>
      <c r="G1758" s="15" t="n"/>
    </row>
    <row r="1759">
      <c r="A1759" s="19" t="n"/>
      <c r="B1759" s="15" t="n"/>
      <c r="C1759">
        <f>IF(B1759="","",IFERROR(INDEX(Items!$B$5:$B$304,MATCH(B1759,Items!$A$5:$A$304,0)),"Unknown code"))</f>
        <v/>
      </c>
      <c r="D1759" s="15" t="n"/>
      <c r="E1759" s="16" t="n"/>
      <c r="F1759" s="18">
        <f>IF(OR(D1759="",E1759=""),"",D1759*E1759)</f>
        <v/>
      </c>
      <c r="G1759" s="15" t="n"/>
    </row>
    <row r="1760">
      <c r="A1760" s="19" t="n"/>
      <c r="B1760" s="15" t="n"/>
      <c r="C1760">
        <f>IF(B1760="","",IFERROR(INDEX(Items!$B$5:$B$304,MATCH(B1760,Items!$A$5:$A$304,0)),"Unknown code"))</f>
        <v/>
      </c>
      <c r="D1760" s="15" t="n"/>
      <c r="E1760" s="16" t="n"/>
      <c r="F1760" s="18">
        <f>IF(OR(D1760="",E1760=""),"",D1760*E1760)</f>
        <v/>
      </c>
      <c r="G1760" s="15" t="n"/>
    </row>
    <row r="1761">
      <c r="A1761" s="19" t="n"/>
      <c r="B1761" s="15" t="n"/>
      <c r="C1761">
        <f>IF(B1761="","",IFERROR(INDEX(Items!$B$5:$B$304,MATCH(B1761,Items!$A$5:$A$304,0)),"Unknown code"))</f>
        <v/>
      </c>
      <c r="D1761" s="15" t="n"/>
      <c r="E1761" s="16" t="n"/>
      <c r="F1761" s="18">
        <f>IF(OR(D1761="",E1761=""),"",D1761*E1761)</f>
        <v/>
      </c>
      <c r="G1761" s="15" t="n"/>
    </row>
    <row r="1762">
      <c r="A1762" s="19" t="n"/>
      <c r="B1762" s="15" t="n"/>
      <c r="C1762">
        <f>IF(B1762="","",IFERROR(INDEX(Items!$B$5:$B$304,MATCH(B1762,Items!$A$5:$A$304,0)),"Unknown code"))</f>
        <v/>
      </c>
      <c r="D1762" s="15" t="n"/>
      <c r="E1762" s="16" t="n"/>
      <c r="F1762" s="18">
        <f>IF(OR(D1762="",E1762=""),"",D1762*E1762)</f>
        <v/>
      </c>
      <c r="G1762" s="15" t="n"/>
    </row>
    <row r="1763">
      <c r="A1763" s="19" t="n"/>
      <c r="B1763" s="15" t="n"/>
      <c r="C1763">
        <f>IF(B1763="","",IFERROR(INDEX(Items!$B$5:$B$304,MATCH(B1763,Items!$A$5:$A$304,0)),"Unknown code"))</f>
        <v/>
      </c>
      <c r="D1763" s="15" t="n"/>
      <c r="E1763" s="16" t="n"/>
      <c r="F1763" s="18">
        <f>IF(OR(D1763="",E1763=""),"",D1763*E1763)</f>
        <v/>
      </c>
      <c r="G1763" s="15" t="n"/>
    </row>
    <row r="1764">
      <c r="A1764" s="19" t="n"/>
      <c r="B1764" s="15" t="n"/>
      <c r="C1764">
        <f>IF(B1764="","",IFERROR(INDEX(Items!$B$5:$B$304,MATCH(B1764,Items!$A$5:$A$304,0)),"Unknown code"))</f>
        <v/>
      </c>
      <c r="D1764" s="15" t="n"/>
      <c r="E1764" s="16" t="n"/>
      <c r="F1764" s="18">
        <f>IF(OR(D1764="",E1764=""),"",D1764*E1764)</f>
        <v/>
      </c>
      <c r="G1764" s="15" t="n"/>
    </row>
    <row r="1765">
      <c r="A1765" s="19" t="n"/>
      <c r="B1765" s="15" t="n"/>
      <c r="C1765">
        <f>IF(B1765="","",IFERROR(INDEX(Items!$B$5:$B$304,MATCH(B1765,Items!$A$5:$A$304,0)),"Unknown code"))</f>
        <v/>
      </c>
      <c r="D1765" s="15" t="n"/>
      <c r="E1765" s="16" t="n"/>
      <c r="F1765" s="18">
        <f>IF(OR(D1765="",E1765=""),"",D1765*E1765)</f>
        <v/>
      </c>
      <c r="G1765" s="15" t="n"/>
    </row>
    <row r="1766">
      <c r="A1766" s="19" t="n"/>
      <c r="B1766" s="15" t="n"/>
      <c r="C1766">
        <f>IF(B1766="","",IFERROR(INDEX(Items!$B$5:$B$304,MATCH(B1766,Items!$A$5:$A$304,0)),"Unknown code"))</f>
        <v/>
      </c>
      <c r="D1766" s="15" t="n"/>
      <c r="E1766" s="16" t="n"/>
      <c r="F1766" s="18">
        <f>IF(OR(D1766="",E1766=""),"",D1766*E1766)</f>
        <v/>
      </c>
      <c r="G1766" s="15" t="n"/>
    </row>
    <row r="1767">
      <c r="A1767" s="19" t="n"/>
      <c r="B1767" s="15" t="n"/>
      <c r="C1767">
        <f>IF(B1767="","",IFERROR(INDEX(Items!$B$5:$B$304,MATCH(B1767,Items!$A$5:$A$304,0)),"Unknown code"))</f>
        <v/>
      </c>
      <c r="D1767" s="15" t="n"/>
      <c r="E1767" s="16" t="n"/>
      <c r="F1767" s="18">
        <f>IF(OR(D1767="",E1767=""),"",D1767*E1767)</f>
        <v/>
      </c>
      <c r="G1767" s="15" t="n"/>
    </row>
    <row r="1768">
      <c r="A1768" s="19" t="n"/>
      <c r="B1768" s="15" t="n"/>
      <c r="C1768">
        <f>IF(B1768="","",IFERROR(INDEX(Items!$B$5:$B$304,MATCH(B1768,Items!$A$5:$A$304,0)),"Unknown code"))</f>
        <v/>
      </c>
      <c r="D1768" s="15" t="n"/>
      <c r="E1768" s="16" t="n"/>
      <c r="F1768" s="18">
        <f>IF(OR(D1768="",E1768=""),"",D1768*E1768)</f>
        <v/>
      </c>
      <c r="G1768" s="15" t="n"/>
    </row>
    <row r="1769">
      <c r="A1769" s="19" t="n"/>
      <c r="B1769" s="15" t="n"/>
      <c r="C1769">
        <f>IF(B1769="","",IFERROR(INDEX(Items!$B$5:$B$304,MATCH(B1769,Items!$A$5:$A$304,0)),"Unknown code"))</f>
        <v/>
      </c>
      <c r="D1769" s="15" t="n"/>
      <c r="E1769" s="16" t="n"/>
      <c r="F1769" s="18">
        <f>IF(OR(D1769="",E1769=""),"",D1769*E1769)</f>
        <v/>
      </c>
      <c r="G1769" s="15" t="n"/>
    </row>
    <row r="1770">
      <c r="A1770" s="19" t="n"/>
      <c r="B1770" s="15" t="n"/>
      <c r="C1770">
        <f>IF(B1770="","",IFERROR(INDEX(Items!$B$5:$B$304,MATCH(B1770,Items!$A$5:$A$304,0)),"Unknown code"))</f>
        <v/>
      </c>
      <c r="D1770" s="15" t="n"/>
      <c r="E1770" s="16" t="n"/>
      <c r="F1770" s="18">
        <f>IF(OR(D1770="",E1770=""),"",D1770*E1770)</f>
        <v/>
      </c>
      <c r="G1770" s="15" t="n"/>
    </row>
    <row r="1771">
      <c r="A1771" s="19" t="n"/>
      <c r="B1771" s="15" t="n"/>
      <c r="C1771">
        <f>IF(B1771="","",IFERROR(INDEX(Items!$B$5:$B$304,MATCH(B1771,Items!$A$5:$A$304,0)),"Unknown code"))</f>
        <v/>
      </c>
      <c r="D1771" s="15" t="n"/>
      <c r="E1771" s="16" t="n"/>
      <c r="F1771" s="18">
        <f>IF(OR(D1771="",E1771=""),"",D1771*E1771)</f>
        <v/>
      </c>
      <c r="G1771" s="15" t="n"/>
    </row>
    <row r="1772">
      <c r="A1772" s="19" t="n"/>
      <c r="B1772" s="15" t="n"/>
      <c r="C1772">
        <f>IF(B1772="","",IFERROR(INDEX(Items!$B$5:$B$304,MATCH(B1772,Items!$A$5:$A$304,0)),"Unknown code"))</f>
        <v/>
      </c>
      <c r="D1772" s="15" t="n"/>
      <c r="E1772" s="16" t="n"/>
      <c r="F1772" s="18">
        <f>IF(OR(D1772="",E1772=""),"",D1772*E1772)</f>
        <v/>
      </c>
      <c r="G1772" s="15" t="n"/>
    </row>
    <row r="1773">
      <c r="A1773" s="19" t="n"/>
      <c r="B1773" s="15" t="n"/>
      <c r="C1773">
        <f>IF(B1773="","",IFERROR(INDEX(Items!$B$5:$B$304,MATCH(B1773,Items!$A$5:$A$304,0)),"Unknown code"))</f>
        <v/>
      </c>
      <c r="D1773" s="15" t="n"/>
      <c r="E1773" s="16" t="n"/>
      <c r="F1773" s="18">
        <f>IF(OR(D1773="",E1773=""),"",D1773*E1773)</f>
        <v/>
      </c>
      <c r="G1773" s="15" t="n"/>
    </row>
    <row r="1774">
      <c r="A1774" s="19" t="n"/>
      <c r="B1774" s="15" t="n"/>
      <c r="C1774">
        <f>IF(B1774="","",IFERROR(INDEX(Items!$B$5:$B$304,MATCH(B1774,Items!$A$5:$A$304,0)),"Unknown code"))</f>
        <v/>
      </c>
      <c r="D1774" s="15" t="n"/>
      <c r="E1774" s="16" t="n"/>
      <c r="F1774" s="18">
        <f>IF(OR(D1774="",E1774=""),"",D1774*E1774)</f>
        <v/>
      </c>
      <c r="G1774" s="15" t="n"/>
    </row>
    <row r="1775">
      <c r="A1775" s="19" t="n"/>
      <c r="B1775" s="15" t="n"/>
      <c r="C1775">
        <f>IF(B1775="","",IFERROR(INDEX(Items!$B$5:$B$304,MATCH(B1775,Items!$A$5:$A$304,0)),"Unknown code"))</f>
        <v/>
      </c>
      <c r="D1775" s="15" t="n"/>
      <c r="E1775" s="16" t="n"/>
      <c r="F1775" s="18">
        <f>IF(OR(D1775="",E1775=""),"",D1775*E1775)</f>
        <v/>
      </c>
      <c r="G1775" s="15" t="n"/>
    </row>
    <row r="1776">
      <c r="A1776" s="19" t="n"/>
      <c r="B1776" s="15" t="n"/>
      <c r="C1776">
        <f>IF(B1776="","",IFERROR(INDEX(Items!$B$5:$B$304,MATCH(B1776,Items!$A$5:$A$304,0)),"Unknown code"))</f>
        <v/>
      </c>
      <c r="D1776" s="15" t="n"/>
      <c r="E1776" s="16" t="n"/>
      <c r="F1776" s="18">
        <f>IF(OR(D1776="",E1776=""),"",D1776*E1776)</f>
        <v/>
      </c>
      <c r="G1776" s="15" t="n"/>
    </row>
    <row r="1777">
      <c r="A1777" s="19" t="n"/>
      <c r="B1777" s="15" t="n"/>
      <c r="C1777">
        <f>IF(B1777="","",IFERROR(INDEX(Items!$B$5:$B$304,MATCH(B1777,Items!$A$5:$A$304,0)),"Unknown code"))</f>
        <v/>
      </c>
      <c r="D1777" s="15" t="n"/>
      <c r="E1777" s="16" t="n"/>
      <c r="F1777" s="18">
        <f>IF(OR(D1777="",E1777=""),"",D1777*E1777)</f>
        <v/>
      </c>
      <c r="G1777" s="15" t="n"/>
    </row>
    <row r="1778">
      <c r="A1778" s="19" t="n"/>
      <c r="B1778" s="15" t="n"/>
      <c r="C1778">
        <f>IF(B1778="","",IFERROR(INDEX(Items!$B$5:$B$304,MATCH(B1778,Items!$A$5:$A$304,0)),"Unknown code"))</f>
        <v/>
      </c>
      <c r="D1778" s="15" t="n"/>
      <c r="E1778" s="16" t="n"/>
      <c r="F1778" s="18">
        <f>IF(OR(D1778="",E1778=""),"",D1778*E1778)</f>
        <v/>
      </c>
      <c r="G1778" s="15" t="n"/>
    </row>
    <row r="1779">
      <c r="A1779" s="19" t="n"/>
      <c r="B1779" s="15" t="n"/>
      <c r="C1779">
        <f>IF(B1779="","",IFERROR(INDEX(Items!$B$5:$B$304,MATCH(B1779,Items!$A$5:$A$304,0)),"Unknown code"))</f>
        <v/>
      </c>
      <c r="D1779" s="15" t="n"/>
      <c r="E1779" s="16" t="n"/>
      <c r="F1779" s="18">
        <f>IF(OR(D1779="",E1779=""),"",D1779*E1779)</f>
        <v/>
      </c>
      <c r="G1779" s="15" t="n"/>
    </row>
    <row r="1780">
      <c r="A1780" s="19" t="n"/>
      <c r="B1780" s="15" t="n"/>
      <c r="C1780">
        <f>IF(B1780="","",IFERROR(INDEX(Items!$B$5:$B$304,MATCH(B1780,Items!$A$5:$A$304,0)),"Unknown code"))</f>
        <v/>
      </c>
      <c r="D1780" s="15" t="n"/>
      <c r="E1780" s="16" t="n"/>
      <c r="F1780" s="18">
        <f>IF(OR(D1780="",E1780=""),"",D1780*E1780)</f>
        <v/>
      </c>
      <c r="G1780" s="15" t="n"/>
    </row>
    <row r="1781">
      <c r="A1781" s="19" t="n"/>
      <c r="B1781" s="15" t="n"/>
      <c r="C1781">
        <f>IF(B1781="","",IFERROR(INDEX(Items!$B$5:$B$304,MATCH(B1781,Items!$A$5:$A$304,0)),"Unknown code"))</f>
        <v/>
      </c>
      <c r="D1781" s="15" t="n"/>
      <c r="E1781" s="16" t="n"/>
      <c r="F1781" s="18">
        <f>IF(OR(D1781="",E1781=""),"",D1781*E1781)</f>
        <v/>
      </c>
      <c r="G1781" s="15" t="n"/>
    </row>
    <row r="1782">
      <c r="A1782" s="19" t="n"/>
      <c r="B1782" s="15" t="n"/>
      <c r="C1782">
        <f>IF(B1782="","",IFERROR(INDEX(Items!$B$5:$B$304,MATCH(B1782,Items!$A$5:$A$304,0)),"Unknown code"))</f>
        <v/>
      </c>
      <c r="D1782" s="15" t="n"/>
      <c r="E1782" s="16" t="n"/>
      <c r="F1782" s="18">
        <f>IF(OR(D1782="",E1782=""),"",D1782*E1782)</f>
        <v/>
      </c>
      <c r="G1782" s="15" t="n"/>
    </row>
    <row r="1783">
      <c r="A1783" s="19" t="n"/>
      <c r="B1783" s="15" t="n"/>
      <c r="C1783">
        <f>IF(B1783="","",IFERROR(INDEX(Items!$B$5:$B$304,MATCH(B1783,Items!$A$5:$A$304,0)),"Unknown code"))</f>
        <v/>
      </c>
      <c r="D1783" s="15" t="n"/>
      <c r="E1783" s="16" t="n"/>
      <c r="F1783" s="18">
        <f>IF(OR(D1783="",E1783=""),"",D1783*E1783)</f>
        <v/>
      </c>
      <c r="G1783" s="15" t="n"/>
    </row>
    <row r="1784">
      <c r="A1784" s="19" t="n"/>
      <c r="B1784" s="15" t="n"/>
      <c r="C1784">
        <f>IF(B1784="","",IFERROR(INDEX(Items!$B$5:$B$304,MATCH(B1784,Items!$A$5:$A$304,0)),"Unknown code"))</f>
        <v/>
      </c>
      <c r="D1784" s="15" t="n"/>
      <c r="E1784" s="16" t="n"/>
      <c r="F1784" s="18">
        <f>IF(OR(D1784="",E1784=""),"",D1784*E1784)</f>
        <v/>
      </c>
      <c r="G1784" s="15" t="n"/>
    </row>
    <row r="1785">
      <c r="A1785" s="19" t="n"/>
      <c r="B1785" s="15" t="n"/>
      <c r="C1785">
        <f>IF(B1785="","",IFERROR(INDEX(Items!$B$5:$B$304,MATCH(B1785,Items!$A$5:$A$304,0)),"Unknown code"))</f>
        <v/>
      </c>
      <c r="D1785" s="15" t="n"/>
      <c r="E1785" s="16" t="n"/>
      <c r="F1785" s="18">
        <f>IF(OR(D1785="",E1785=""),"",D1785*E1785)</f>
        <v/>
      </c>
      <c r="G1785" s="15" t="n"/>
    </row>
    <row r="1786">
      <c r="A1786" s="19" t="n"/>
      <c r="B1786" s="15" t="n"/>
      <c r="C1786">
        <f>IF(B1786="","",IFERROR(INDEX(Items!$B$5:$B$304,MATCH(B1786,Items!$A$5:$A$304,0)),"Unknown code"))</f>
        <v/>
      </c>
      <c r="D1786" s="15" t="n"/>
      <c r="E1786" s="16" t="n"/>
      <c r="F1786" s="18">
        <f>IF(OR(D1786="",E1786=""),"",D1786*E1786)</f>
        <v/>
      </c>
      <c r="G1786" s="15" t="n"/>
    </row>
    <row r="1787">
      <c r="A1787" s="19" t="n"/>
      <c r="B1787" s="15" t="n"/>
      <c r="C1787">
        <f>IF(B1787="","",IFERROR(INDEX(Items!$B$5:$B$304,MATCH(B1787,Items!$A$5:$A$304,0)),"Unknown code"))</f>
        <v/>
      </c>
      <c r="D1787" s="15" t="n"/>
      <c r="E1787" s="16" t="n"/>
      <c r="F1787" s="18">
        <f>IF(OR(D1787="",E1787=""),"",D1787*E1787)</f>
        <v/>
      </c>
      <c r="G1787" s="15" t="n"/>
    </row>
    <row r="1788">
      <c r="A1788" s="19" t="n"/>
      <c r="B1788" s="15" t="n"/>
      <c r="C1788">
        <f>IF(B1788="","",IFERROR(INDEX(Items!$B$5:$B$304,MATCH(B1788,Items!$A$5:$A$304,0)),"Unknown code"))</f>
        <v/>
      </c>
      <c r="D1788" s="15" t="n"/>
      <c r="E1788" s="16" t="n"/>
      <c r="F1788" s="18">
        <f>IF(OR(D1788="",E1788=""),"",D1788*E1788)</f>
        <v/>
      </c>
      <c r="G1788" s="15" t="n"/>
    </row>
    <row r="1789">
      <c r="A1789" s="19" t="n"/>
      <c r="B1789" s="15" t="n"/>
      <c r="C1789">
        <f>IF(B1789="","",IFERROR(INDEX(Items!$B$5:$B$304,MATCH(B1789,Items!$A$5:$A$304,0)),"Unknown code"))</f>
        <v/>
      </c>
      <c r="D1789" s="15" t="n"/>
      <c r="E1789" s="16" t="n"/>
      <c r="F1789" s="18">
        <f>IF(OR(D1789="",E1789=""),"",D1789*E1789)</f>
        <v/>
      </c>
      <c r="G1789" s="15" t="n"/>
    </row>
    <row r="1790">
      <c r="A1790" s="19" t="n"/>
      <c r="B1790" s="15" t="n"/>
      <c r="C1790">
        <f>IF(B1790="","",IFERROR(INDEX(Items!$B$5:$B$304,MATCH(B1790,Items!$A$5:$A$304,0)),"Unknown code"))</f>
        <v/>
      </c>
      <c r="D1790" s="15" t="n"/>
      <c r="E1790" s="16" t="n"/>
      <c r="F1790" s="18">
        <f>IF(OR(D1790="",E1790=""),"",D1790*E1790)</f>
        <v/>
      </c>
      <c r="G1790" s="15" t="n"/>
    </row>
    <row r="1791">
      <c r="A1791" s="19" t="n"/>
      <c r="B1791" s="15" t="n"/>
      <c r="C1791">
        <f>IF(B1791="","",IFERROR(INDEX(Items!$B$5:$B$304,MATCH(B1791,Items!$A$5:$A$304,0)),"Unknown code"))</f>
        <v/>
      </c>
      <c r="D1791" s="15" t="n"/>
      <c r="E1791" s="16" t="n"/>
      <c r="F1791" s="18">
        <f>IF(OR(D1791="",E1791=""),"",D1791*E1791)</f>
        <v/>
      </c>
      <c r="G1791" s="15" t="n"/>
    </row>
    <row r="1792">
      <c r="A1792" s="19" t="n"/>
      <c r="B1792" s="15" t="n"/>
      <c r="C1792">
        <f>IF(B1792="","",IFERROR(INDEX(Items!$B$5:$B$304,MATCH(B1792,Items!$A$5:$A$304,0)),"Unknown code"))</f>
        <v/>
      </c>
      <c r="D1792" s="15" t="n"/>
      <c r="E1792" s="16" t="n"/>
      <c r="F1792" s="18">
        <f>IF(OR(D1792="",E1792=""),"",D1792*E1792)</f>
        <v/>
      </c>
      <c r="G1792" s="15" t="n"/>
    </row>
    <row r="1793">
      <c r="A1793" s="19" t="n"/>
      <c r="B1793" s="15" t="n"/>
      <c r="C1793">
        <f>IF(B1793="","",IFERROR(INDEX(Items!$B$5:$B$304,MATCH(B1793,Items!$A$5:$A$304,0)),"Unknown code"))</f>
        <v/>
      </c>
      <c r="D1793" s="15" t="n"/>
      <c r="E1793" s="16" t="n"/>
      <c r="F1793" s="18">
        <f>IF(OR(D1793="",E1793=""),"",D1793*E1793)</f>
        <v/>
      </c>
      <c r="G1793" s="15" t="n"/>
    </row>
    <row r="1794">
      <c r="A1794" s="19" t="n"/>
      <c r="B1794" s="15" t="n"/>
      <c r="C1794">
        <f>IF(B1794="","",IFERROR(INDEX(Items!$B$5:$B$304,MATCH(B1794,Items!$A$5:$A$304,0)),"Unknown code"))</f>
        <v/>
      </c>
      <c r="D1794" s="15" t="n"/>
      <c r="E1794" s="16" t="n"/>
      <c r="F1794" s="18">
        <f>IF(OR(D1794="",E1794=""),"",D1794*E1794)</f>
        <v/>
      </c>
      <c r="G1794" s="15" t="n"/>
    </row>
    <row r="1795">
      <c r="A1795" s="19" t="n"/>
      <c r="B1795" s="15" t="n"/>
      <c r="C1795">
        <f>IF(B1795="","",IFERROR(INDEX(Items!$B$5:$B$304,MATCH(B1795,Items!$A$5:$A$304,0)),"Unknown code"))</f>
        <v/>
      </c>
      <c r="D1795" s="15" t="n"/>
      <c r="E1795" s="16" t="n"/>
      <c r="F1795" s="18">
        <f>IF(OR(D1795="",E1795=""),"",D1795*E1795)</f>
        <v/>
      </c>
      <c r="G1795" s="15" t="n"/>
    </row>
    <row r="1796">
      <c r="A1796" s="19" t="n"/>
      <c r="B1796" s="15" t="n"/>
      <c r="C1796">
        <f>IF(B1796="","",IFERROR(INDEX(Items!$B$5:$B$304,MATCH(B1796,Items!$A$5:$A$304,0)),"Unknown code"))</f>
        <v/>
      </c>
      <c r="D1796" s="15" t="n"/>
      <c r="E1796" s="16" t="n"/>
      <c r="F1796" s="18">
        <f>IF(OR(D1796="",E1796=""),"",D1796*E1796)</f>
        <v/>
      </c>
      <c r="G1796" s="15" t="n"/>
    </row>
    <row r="1797">
      <c r="A1797" s="19" t="n"/>
      <c r="B1797" s="15" t="n"/>
      <c r="C1797">
        <f>IF(B1797="","",IFERROR(INDEX(Items!$B$5:$B$304,MATCH(B1797,Items!$A$5:$A$304,0)),"Unknown code"))</f>
        <v/>
      </c>
      <c r="D1797" s="15" t="n"/>
      <c r="E1797" s="16" t="n"/>
      <c r="F1797" s="18">
        <f>IF(OR(D1797="",E1797=""),"",D1797*E1797)</f>
        <v/>
      </c>
      <c r="G1797" s="15" t="n"/>
    </row>
    <row r="1798">
      <c r="A1798" s="19" t="n"/>
      <c r="B1798" s="15" t="n"/>
      <c r="C1798">
        <f>IF(B1798="","",IFERROR(INDEX(Items!$B$5:$B$304,MATCH(B1798,Items!$A$5:$A$304,0)),"Unknown code"))</f>
        <v/>
      </c>
      <c r="D1798" s="15" t="n"/>
      <c r="E1798" s="16" t="n"/>
      <c r="F1798" s="18">
        <f>IF(OR(D1798="",E1798=""),"",D1798*E1798)</f>
        <v/>
      </c>
      <c r="G1798" s="15" t="n"/>
    </row>
    <row r="1799">
      <c r="A1799" s="19" t="n"/>
      <c r="B1799" s="15" t="n"/>
      <c r="C1799">
        <f>IF(B1799="","",IFERROR(INDEX(Items!$B$5:$B$304,MATCH(B1799,Items!$A$5:$A$304,0)),"Unknown code"))</f>
        <v/>
      </c>
      <c r="D1799" s="15" t="n"/>
      <c r="E1799" s="16" t="n"/>
      <c r="F1799" s="18">
        <f>IF(OR(D1799="",E1799=""),"",D1799*E1799)</f>
        <v/>
      </c>
      <c r="G1799" s="15" t="n"/>
    </row>
    <row r="1800">
      <c r="A1800" s="19" t="n"/>
      <c r="B1800" s="15" t="n"/>
      <c r="C1800">
        <f>IF(B1800="","",IFERROR(INDEX(Items!$B$5:$B$304,MATCH(B1800,Items!$A$5:$A$304,0)),"Unknown code"))</f>
        <v/>
      </c>
      <c r="D1800" s="15" t="n"/>
      <c r="E1800" s="16" t="n"/>
      <c r="F1800" s="18">
        <f>IF(OR(D1800="",E1800=""),"",D1800*E1800)</f>
        <v/>
      </c>
      <c r="G1800" s="15" t="n"/>
    </row>
    <row r="1801">
      <c r="A1801" s="19" t="n"/>
      <c r="B1801" s="15" t="n"/>
      <c r="C1801">
        <f>IF(B1801="","",IFERROR(INDEX(Items!$B$5:$B$304,MATCH(B1801,Items!$A$5:$A$304,0)),"Unknown code"))</f>
        <v/>
      </c>
      <c r="D1801" s="15" t="n"/>
      <c r="E1801" s="16" t="n"/>
      <c r="F1801" s="18">
        <f>IF(OR(D1801="",E1801=""),"",D1801*E1801)</f>
        <v/>
      </c>
      <c r="G1801" s="15" t="n"/>
    </row>
    <row r="1802">
      <c r="A1802" s="19" t="n"/>
      <c r="B1802" s="15" t="n"/>
      <c r="C1802">
        <f>IF(B1802="","",IFERROR(INDEX(Items!$B$5:$B$304,MATCH(B1802,Items!$A$5:$A$304,0)),"Unknown code"))</f>
        <v/>
      </c>
      <c r="D1802" s="15" t="n"/>
      <c r="E1802" s="16" t="n"/>
      <c r="F1802" s="18">
        <f>IF(OR(D1802="",E1802=""),"",D1802*E1802)</f>
        <v/>
      </c>
      <c r="G1802" s="15" t="n"/>
    </row>
    <row r="1803">
      <c r="A1803" s="19" t="n"/>
      <c r="B1803" s="15" t="n"/>
      <c r="C1803">
        <f>IF(B1803="","",IFERROR(INDEX(Items!$B$5:$B$304,MATCH(B1803,Items!$A$5:$A$304,0)),"Unknown code"))</f>
        <v/>
      </c>
      <c r="D1803" s="15" t="n"/>
      <c r="E1803" s="16" t="n"/>
      <c r="F1803" s="18">
        <f>IF(OR(D1803="",E1803=""),"",D1803*E1803)</f>
        <v/>
      </c>
      <c r="G1803" s="15" t="n"/>
    </row>
    <row r="1804">
      <c r="A1804" s="19" t="n"/>
      <c r="B1804" s="15" t="n"/>
      <c r="C1804">
        <f>IF(B1804="","",IFERROR(INDEX(Items!$B$5:$B$304,MATCH(B1804,Items!$A$5:$A$304,0)),"Unknown code"))</f>
        <v/>
      </c>
      <c r="D1804" s="15" t="n"/>
      <c r="E1804" s="16" t="n"/>
      <c r="F1804" s="18">
        <f>IF(OR(D1804="",E1804=""),"",D1804*E1804)</f>
        <v/>
      </c>
      <c r="G1804" s="15" t="n"/>
    </row>
    <row r="1805">
      <c r="A1805" s="19" t="n"/>
      <c r="B1805" s="15" t="n"/>
      <c r="C1805">
        <f>IF(B1805="","",IFERROR(INDEX(Items!$B$5:$B$304,MATCH(B1805,Items!$A$5:$A$304,0)),"Unknown code"))</f>
        <v/>
      </c>
      <c r="D1805" s="15" t="n"/>
      <c r="E1805" s="16" t="n"/>
      <c r="F1805" s="18">
        <f>IF(OR(D1805="",E1805=""),"",D1805*E1805)</f>
        <v/>
      </c>
      <c r="G1805" s="15" t="n"/>
    </row>
    <row r="1806">
      <c r="A1806" s="19" t="n"/>
      <c r="B1806" s="15" t="n"/>
      <c r="C1806">
        <f>IF(B1806="","",IFERROR(INDEX(Items!$B$5:$B$304,MATCH(B1806,Items!$A$5:$A$304,0)),"Unknown code"))</f>
        <v/>
      </c>
      <c r="D1806" s="15" t="n"/>
      <c r="E1806" s="16" t="n"/>
      <c r="F1806" s="18">
        <f>IF(OR(D1806="",E1806=""),"",D1806*E1806)</f>
        <v/>
      </c>
      <c r="G1806" s="15" t="n"/>
    </row>
    <row r="1807">
      <c r="A1807" s="19" t="n"/>
      <c r="B1807" s="15" t="n"/>
      <c r="C1807">
        <f>IF(B1807="","",IFERROR(INDEX(Items!$B$5:$B$304,MATCH(B1807,Items!$A$5:$A$304,0)),"Unknown code"))</f>
        <v/>
      </c>
      <c r="D1807" s="15" t="n"/>
      <c r="E1807" s="16" t="n"/>
      <c r="F1807" s="18">
        <f>IF(OR(D1807="",E1807=""),"",D1807*E1807)</f>
        <v/>
      </c>
      <c r="G1807" s="15" t="n"/>
    </row>
    <row r="1808">
      <c r="A1808" s="19" t="n"/>
      <c r="B1808" s="15" t="n"/>
      <c r="C1808">
        <f>IF(B1808="","",IFERROR(INDEX(Items!$B$5:$B$304,MATCH(B1808,Items!$A$5:$A$304,0)),"Unknown code"))</f>
        <v/>
      </c>
      <c r="D1808" s="15" t="n"/>
      <c r="E1808" s="16" t="n"/>
      <c r="F1808" s="18">
        <f>IF(OR(D1808="",E1808=""),"",D1808*E1808)</f>
        <v/>
      </c>
      <c r="G1808" s="15" t="n"/>
    </row>
    <row r="1809">
      <c r="A1809" s="19" t="n"/>
      <c r="B1809" s="15" t="n"/>
      <c r="C1809">
        <f>IF(B1809="","",IFERROR(INDEX(Items!$B$5:$B$304,MATCH(B1809,Items!$A$5:$A$304,0)),"Unknown code"))</f>
        <v/>
      </c>
      <c r="D1809" s="15" t="n"/>
      <c r="E1809" s="16" t="n"/>
      <c r="F1809" s="18">
        <f>IF(OR(D1809="",E1809=""),"",D1809*E1809)</f>
        <v/>
      </c>
      <c r="G1809" s="15" t="n"/>
    </row>
    <row r="1810">
      <c r="A1810" s="19" t="n"/>
      <c r="B1810" s="15" t="n"/>
      <c r="C1810">
        <f>IF(B1810="","",IFERROR(INDEX(Items!$B$5:$B$304,MATCH(B1810,Items!$A$5:$A$304,0)),"Unknown code"))</f>
        <v/>
      </c>
      <c r="D1810" s="15" t="n"/>
      <c r="E1810" s="16" t="n"/>
      <c r="F1810" s="18">
        <f>IF(OR(D1810="",E1810=""),"",D1810*E1810)</f>
        <v/>
      </c>
      <c r="G1810" s="15" t="n"/>
    </row>
    <row r="1811">
      <c r="A1811" s="19" t="n"/>
      <c r="B1811" s="15" t="n"/>
      <c r="C1811">
        <f>IF(B1811="","",IFERROR(INDEX(Items!$B$5:$B$304,MATCH(B1811,Items!$A$5:$A$304,0)),"Unknown code"))</f>
        <v/>
      </c>
      <c r="D1811" s="15" t="n"/>
      <c r="E1811" s="16" t="n"/>
      <c r="F1811" s="18">
        <f>IF(OR(D1811="",E1811=""),"",D1811*E1811)</f>
        <v/>
      </c>
      <c r="G1811" s="15" t="n"/>
    </row>
    <row r="1812">
      <c r="A1812" s="19" t="n"/>
      <c r="B1812" s="15" t="n"/>
      <c r="C1812">
        <f>IF(B1812="","",IFERROR(INDEX(Items!$B$5:$B$304,MATCH(B1812,Items!$A$5:$A$304,0)),"Unknown code"))</f>
        <v/>
      </c>
      <c r="D1812" s="15" t="n"/>
      <c r="E1812" s="16" t="n"/>
      <c r="F1812" s="18">
        <f>IF(OR(D1812="",E1812=""),"",D1812*E1812)</f>
        <v/>
      </c>
      <c r="G1812" s="15" t="n"/>
    </row>
    <row r="1813">
      <c r="A1813" s="19" t="n"/>
      <c r="B1813" s="15" t="n"/>
      <c r="C1813">
        <f>IF(B1813="","",IFERROR(INDEX(Items!$B$5:$B$304,MATCH(B1813,Items!$A$5:$A$304,0)),"Unknown code"))</f>
        <v/>
      </c>
      <c r="D1813" s="15" t="n"/>
      <c r="E1813" s="16" t="n"/>
      <c r="F1813" s="18">
        <f>IF(OR(D1813="",E1813=""),"",D1813*E1813)</f>
        <v/>
      </c>
      <c r="G1813" s="15" t="n"/>
    </row>
    <row r="1814">
      <c r="A1814" s="19" t="n"/>
      <c r="B1814" s="15" t="n"/>
      <c r="C1814">
        <f>IF(B1814="","",IFERROR(INDEX(Items!$B$5:$B$304,MATCH(B1814,Items!$A$5:$A$304,0)),"Unknown code"))</f>
        <v/>
      </c>
      <c r="D1814" s="15" t="n"/>
      <c r="E1814" s="16" t="n"/>
      <c r="F1814" s="18">
        <f>IF(OR(D1814="",E1814=""),"",D1814*E1814)</f>
        <v/>
      </c>
      <c r="G1814" s="15" t="n"/>
    </row>
    <row r="1815">
      <c r="A1815" s="19" t="n"/>
      <c r="B1815" s="15" t="n"/>
      <c r="C1815">
        <f>IF(B1815="","",IFERROR(INDEX(Items!$B$5:$B$304,MATCH(B1815,Items!$A$5:$A$304,0)),"Unknown code"))</f>
        <v/>
      </c>
      <c r="D1815" s="15" t="n"/>
      <c r="E1815" s="16" t="n"/>
      <c r="F1815" s="18">
        <f>IF(OR(D1815="",E1815=""),"",D1815*E1815)</f>
        <v/>
      </c>
      <c r="G1815" s="15" t="n"/>
    </row>
    <row r="1816">
      <c r="A1816" s="19" t="n"/>
      <c r="B1816" s="15" t="n"/>
      <c r="C1816">
        <f>IF(B1816="","",IFERROR(INDEX(Items!$B$5:$B$304,MATCH(B1816,Items!$A$5:$A$304,0)),"Unknown code"))</f>
        <v/>
      </c>
      <c r="D1816" s="15" t="n"/>
      <c r="E1816" s="16" t="n"/>
      <c r="F1816" s="18">
        <f>IF(OR(D1816="",E1816=""),"",D1816*E1816)</f>
        <v/>
      </c>
      <c r="G1816" s="15" t="n"/>
    </row>
    <row r="1817">
      <c r="A1817" s="19" t="n"/>
      <c r="B1817" s="15" t="n"/>
      <c r="C1817">
        <f>IF(B1817="","",IFERROR(INDEX(Items!$B$5:$B$304,MATCH(B1817,Items!$A$5:$A$304,0)),"Unknown code"))</f>
        <v/>
      </c>
      <c r="D1817" s="15" t="n"/>
      <c r="E1817" s="16" t="n"/>
      <c r="F1817" s="18">
        <f>IF(OR(D1817="",E1817=""),"",D1817*E1817)</f>
        <v/>
      </c>
      <c r="G1817" s="15" t="n"/>
    </row>
    <row r="1818">
      <c r="A1818" s="19" t="n"/>
      <c r="B1818" s="15" t="n"/>
      <c r="C1818">
        <f>IF(B1818="","",IFERROR(INDEX(Items!$B$5:$B$304,MATCH(B1818,Items!$A$5:$A$304,0)),"Unknown code"))</f>
        <v/>
      </c>
      <c r="D1818" s="15" t="n"/>
      <c r="E1818" s="16" t="n"/>
      <c r="F1818" s="18">
        <f>IF(OR(D1818="",E1818=""),"",D1818*E1818)</f>
        <v/>
      </c>
      <c r="G1818" s="15" t="n"/>
    </row>
    <row r="1819">
      <c r="A1819" s="19" t="n"/>
      <c r="B1819" s="15" t="n"/>
      <c r="C1819">
        <f>IF(B1819="","",IFERROR(INDEX(Items!$B$5:$B$304,MATCH(B1819,Items!$A$5:$A$304,0)),"Unknown code"))</f>
        <v/>
      </c>
      <c r="D1819" s="15" t="n"/>
      <c r="E1819" s="16" t="n"/>
      <c r="F1819" s="18">
        <f>IF(OR(D1819="",E1819=""),"",D1819*E1819)</f>
        <v/>
      </c>
      <c r="G1819" s="15" t="n"/>
    </row>
    <row r="1820">
      <c r="A1820" s="19" t="n"/>
      <c r="B1820" s="15" t="n"/>
      <c r="C1820">
        <f>IF(B1820="","",IFERROR(INDEX(Items!$B$5:$B$304,MATCH(B1820,Items!$A$5:$A$304,0)),"Unknown code"))</f>
        <v/>
      </c>
      <c r="D1820" s="15" t="n"/>
      <c r="E1820" s="16" t="n"/>
      <c r="F1820" s="18">
        <f>IF(OR(D1820="",E1820=""),"",D1820*E1820)</f>
        <v/>
      </c>
      <c r="G1820" s="15" t="n"/>
    </row>
    <row r="1821">
      <c r="A1821" s="19" t="n"/>
      <c r="B1821" s="15" t="n"/>
      <c r="C1821">
        <f>IF(B1821="","",IFERROR(INDEX(Items!$B$5:$B$304,MATCH(B1821,Items!$A$5:$A$304,0)),"Unknown code"))</f>
        <v/>
      </c>
      <c r="D1821" s="15" t="n"/>
      <c r="E1821" s="16" t="n"/>
      <c r="F1821" s="18">
        <f>IF(OR(D1821="",E1821=""),"",D1821*E1821)</f>
        <v/>
      </c>
      <c r="G1821" s="15" t="n"/>
    </row>
    <row r="1822">
      <c r="A1822" s="19" t="n"/>
      <c r="B1822" s="15" t="n"/>
      <c r="C1822">
        <f>IF(B1822="","",IFERROR(INDEX(Items!$B$5:$B$304,MATCH(B1822,Items!$A$5:$A$304,0)),"Unknown code"))</f>
        <v/>
      </c>
      <c r="D1822" s="15" t="n"/>
      <c r="E1822" s="16" t="n"/>
      <c r="F1822" s="18">
        <f>IF(OR(D1822="",E1822=""),"",D1822*E1822)</f>
        <v/>
      </c>
      <c r="G1822" s="15" t="n"/>
    </row>
    <row r="1823">
      <c r="A1823" s="19" t="n"/>
      <c r="B1823" s="15" t="n"/>
      <c r="C1823">
        <f>IF(B1823="","",IFERROR(INDEX(Items!$B$5:$B$304,MATCH(B1823,Items!$A$5:$A$304,0)),"Unknown code"))</f>
        <v/>
      </c>
      <c r="D1823" s="15" t="n"/>
      <c r="E1823" s="16" t="n"/>
      <c r="F1823" s="18">
        <f>IF(OR(D1823="",E1823=""),"",D1823*E1823)</f>
        <v/>
      </c>
      <c r="G1823" s="15" t="n"/>
    </row>
    <row r="1824">
      <c r="A1824" s="19" t="n"/>
      <c r="B1824" s="15" t="n"/>
      <c r="C1824">
        <f>IF(B1824="","",IFERROR(INDEX(Items!$B$5:$B$304,MATCH(B1824,Items!$A$5:$A$304,0)),"Unknown code"))</f>
        <v/>
      </c>
      <c r="D1824" s="15" t="n"/>
      <c r="E1824" s="16" t="n"/>
      <c r="F1824" s="18">
        <f>IF(OR(D1824="",E1824=""),"",D1824*E1824)</f>
        <v/>
      </c>
      <c r="G1824" s="15" t="n"/>
    </row>
    <row r="1825">
      <c r="A1825" s="19" t="n"/>
      <c r="B1825" s="15" t="n"/>
      <c r="C1825">
        <f>IF(B1825="","",IFERROR(INDEX(Items!$B$5:$B$304,MATCH(B1825,Items!$A$5:$A$304,0)),"Unknown code"))</f>
        <v/>
      </c>
      <c r="D1825" s="15" t="n"/>
      <c r="E1825" s="16" t="n"/>
      <c r="F1825" s="18">
        <f>IF(OR(D1825="",E1825=""),"",D1825*E1825)</f>
        <v/>
      </c>
      <c r="G1825" s="15" t="n"/>
    </row>
    <row r="1826">
      <c r="A1826" s="19" t="n"/>
      <c r="B1826" s="15" t="n"/>
      <c r="C1826">
        <f>IF(B1826="","",IFERROR(INDEX(Items!$B$5:$B$304,MATCH(B1826,Items!$A$5:$A$304,0)),"Unknown code"))</f>
        <v/>
      </c>
      <c r="D1826" s="15" t="n"/>
      <c r="E1826" s="16" t="n"/>
      <c r="F1826" s="18">
        <f>IF(OR(D1826="",E1826=""),"",D1826*E1826)</f>
        <v/>
      </c>
      <c r="G1826" s="15" t="n"/>
    </row>
    <row r="1827">
      <c r="A1827" s="19" t="n"/>
      <c r="B1827" s="15" t="n"/>
      <c r="C1827">
        <f>IF(B1827="","",IFERROR(INDEX(Items!$B$5:$B$304,MATCH(B1827,Items!$A$5:$A$304,0)),"Unknown code"))</f>
        <v/>
      </c>
      <c r="D1827" s="15" t="n"/>
      <c r="E1827" s="16" t="n"/>
      <c r="F1827" s="18">
        <f>IF(OR(D1827="",E1827=""),"",D1827*E1827)</f>
        <v/>
      </c>
      <c r="G1827" s="15" t="n"/>
    </row>
    <row r="1828">
      <c r="A1828" s="19" t="n"/>
      <c r="B1828" s="15" t="n"/>
      <c r="C1828">
        <f>IF(B1828="","",IFERROR(INDEX(Items!$B$5:$B$304,MATCH(B1828,Items!$A$5:$A$304,0)),"Unknown code"))</f>
        <v/>
      </c>
      <c r="D1828" s="15" t="n"/>
      <c r="E1828" s="16" t="n"/>
      <c r="F1828" s="18">
        <f>IF(OR(D1828="",E1828=""),"",D1828*E1828)</f>
        <v/>
      </c>
      <c r="G1828" s="15" t="n"/>
    </row>
    <row r="1829">
      <c r="A1829" s="19" t="n"/>
      <c r="B1829" s="15" t="n"/>
      <c r="C1829">
        <f>IF(B1829="","",IFERROR(INDEX(Items!$B$5:$B$304,MATCH(B1829,Items!$A$5:$A$304,0)),"Unknown code"))</f>
        <v/>
      </c>
      <c r="D1829" s="15" t="n"/>
      <c r="E1829" s="16" t="n"/>
      <c r="F1829" s="18">
        <f>IF(OR(D1829="",E1829=""),"",D1829*E1829)</f>
        <v/>
      </c>
      <c r="G1829" s="15" t="n"/>
    </row>
    <row r="1830">
      <c r="A1830" s="19" t="n"/>
      <c r="B1830" s="15" t="n"/>
      <c r="C1830">
        <f>IF(B1830="","",IFERROR(INDEX(Items!$B$5:$B$304,MATCH(B1830,Items!$A$5:$A$304,0)),"Unknown code"))</f>
        <v/>
      </c>
      <c r="D1830" s="15" t="n"/>
      <c r="E1830" s="16" t="n"/>
      <c r="F1830" s="18">
        <f>IF(OR(D1830="",E1830=""),"",D1830*E1830)</f>
        <v/>
      </c>
      <c r="G1830" s="15" t="n"/>
    </row>
    <row r="1831">
      <c r="A1831" s="19" t="n"/>
      <c r="B1831" s="15" t="n"/>
      <c r="C1831">
        <f>IF(B1831="","",IFERROR(INDEX(Items!$B$5:$B$304,MATCH(B1831,Items!$A$5:$A$304,0)),"Unknown code"))</f>
        <v/>
      </c>
      <c r="D1831" s="15" t="n"/>
      <c r="E1831" s="16" t="n"/>
      <c r="F1831" s="18">
        <f>IF(OR(D1831="",E1831=""),"",D1831*E1831)</f>
        <v/>
      </c>
      <c r="G1831" s="15" t="n"/>
    </row>
    <row r="1832">
      <c r="A1832" s="19" t="n"/>
      <c r="B1832" s="15" t="n"/>
      <c r="C1832">
        <f>IF(B1832="","",IFERROR(INDEX(Items!$B$5:$B$304,MATCH(B1832,Items!$A$5:$A$304,0)),"Unknown code"))</f>
        <v/>
      </c>
      <c r="D1832" s="15" t="n"/>
      <c r="E1832" s="16" t="n"/>
      <c r="F1832" s="18">
        <f>IF(OR(D1832="",E1832=""),"",D1832*E1832)</f>
        <v/>
      </c>
      <c r="G1832" s="15" t="n"/>
    </row>
    <row r="1833">
      <c r="A1833" s="19" t="n"/>
      <c r="B1833" s="15" t="n"/>
      <c r="C1833">
        <f>IF(B1833="","",IFERROR(INDEX(Items!$B$5:$B$304,MATCH(B1833,Items!$A$5:$A$304,0)),"Unknown code"))</f>
        <v/>
      </c>
      <c r="D1833" s="15" t="n"/>
      <c r="E1833" s="16" t="n"/>
      <c r="F1833" s="18">
        <f>IF(OR(D1833="",E1833=""),"",D1833*E1833)</f>
        <v/>
      </c>
      <c r="G1833" s="15" t="n"/>
    </row>
    <row r="1834">
      <c r="A1834" s="19" t="n"/>
      <c r="B1834" s="15" t="n"/>
      <c r="C1834">
        <f>IF(B1834="","",IFERROR(INDEX(Items!$B$5:$B$304,MATCH(B1834,Items!$A$5:$A$304,0)),"Unknown code"))</f>
        <v/>
      </c>
      <c r="D1834" s="15" t="n"/>
      <c r="E1834" s="16" t="n"/>
      <c r="F1834" s="18">
        <f>IF(OR(D1834="",E1834=""),"",D1834*E1834)</f>
        <v/>
      </c>
      <c r="G1834" s="15" t="n"/>
    </row>
    <row r="1835">
      <c r="A1835" s="19" t="n"/>
      <c r="B1835" s="15" t="n"/>
      <c r="C1835">
        <f>IF(B1835="","",IFERROR(INDEX(Items!$B$5:$B$304,MATCH(B1835,Items!$A$5:$A$304,0)),"Unknown code"))</f>
        <v/>
      </c>
      <c r="D1835" s="15" t="n"/>
      <c r="E1835" s="16" t="n"/>
      <c r="F1835" s="18">
        <f>IF(OR(D1835="",E1835=""),"",D1835*E1835)</f>
        <v/>
      </c>
      <c r="G1835" s="15" t="n"/>
    </row>
    <row r="1836">
      <c r="A1836" s="19" t="n"/>
      <c r="B1836" s="15" t="n"/>
      <c r="C1836">
        <f>IF(B1836="","",IFERROR(INDEX(Items!$B$5:$B$304,MATCH(B1836,Items!$A$5:$A$304,0)),"Unknown code"))</f>
        <v/>
      </c>
      <c r="D1836" s="15" t="n"/>
      <c r="E1836" s="16" t="n"/>
      <c r="F1836" s="18">
        <f>IF(OR(D1836="",E1836=""),"",D1836*E1836)</f>
        <v/>
      </c>
      <c r="G1836" s="15" t="n"/>
    </row>
    <row r="1837">
      <c r="A1837" s="19" t="n"/>
      <c r="B1837" s="15" t="n"/>
      <c r="C1837">
        <f>IF(B1837="","",IFERROR(INDEX(Items!$B$5:$B$304,MATCH(B1837,Items!$A$5:$A$304,0)),"Unknown code"))</f>
        <v/>
      </c>
      <c r="D1837" s="15" t="n"/>
      <c r="E1837" s="16" t="n"/>
      <c r="F1837" s="18">
        <f>IF(OR(D1837="",E1837=""),"",D1837*E1837)</f>
        <v/>
      </c>
      <c r="G1837" s="15" t="n"/>
    </row>
    <row r="1838">
      <c r="A1838" s="19" t="n"/>
      <c r="B1838" s="15" t="n"/>
      <c r="C1838">
        <f>IF(B1838="","",IFERROR(INDEX(Items!$B$5:$B$304,MATCH(B1838,Items!$A$5:$A$304,0)),"Unknown code"))</f>
        <v/>
      </c>
      <c r="D1838" s="15" t="n"/>
      <c r="E1838" s="16" t="n"/>
      <c r="F1838" s="18">
        <f>IF(OR(D1838="",E1838=""),"",D1838*E1838)</f>
        <v/>
      </c>
      <c r="G1838" s="15" t="n"/>
    </row>
    <row r="1839">
      <c r="A1839" s="19" t="n"/>
      <c r="B1839" s="15" t="n"/>
      <c r="C1839">
        <f>IF(B1839="","",IFERROR(INDEX(Items!$B$5:$B$304,MATCH(B1839,Items!$A$5:$A$304,0)),"Unknown code"))</f>
        <v/>
      </c>
      <c r="D1839" s="15" t="n"/>
      <c r="E1839" s="16" t="n"/>
      <c r="F1839" s="18">
        <f>IF(OR(D1839="",E1839=""),"",D1839*E1839)</f>
        <v/>
      </c>
      <c r="G1839" s="15" t="n"/>
    </row>
    <row r="1840">
      <c r="A1840" s="19" t="n"/>
      <c r="B1840" s="15" t="n"/>
      <c r="C1840">
        <f>IF(B1840="","",IFERROR(INDEX(Items!$B$5:$B$304,MATCH(B1840,Items!$A$5:$A$304,0)),"Unknown code"))</f>
        <v/>
      </c>
      <c r="D1840" s="15" t="n"/>
      <c r="E1840" s="16" t="n"/>
      <c r="F1840" s="18">
        <f>IF(OR(D1840="",E1840=""),"",D1840*E1840)</f>
        <v/>
      </c>
      <c r="G1840" s="15" t="n"/>
    </row>
    <row r="1841">
      <c r="A1841" s="19" t="n"/>
      <c r="B1841" s="15" t="n"/>
      <c r="C1841">
        <f>IF(B1841="","",IFERROR(INDEX(Items!$B$5:$B$304,MATCH(B1841,Items!$A$5:$A$304,0)),"Unknown code"))</f>
        <v/>
      </c>
      <c r="D1841" s="15" t="n"/>
      <c r="E1841" s="16" t="n"/>
      <c r="F1841" s="18">
        <f>IF(OR(D1841="",E1841=""),"",D1841*E1841)</f>
        <v/>
      </c>
      <c r="G1841" s="15" t="n"/>
    </row>
    <row r="1842">
      <c r="A1842" s="19" t="n"/>
      <c r="B1842" s="15" t="n"/>
      <c r="C1842">
        <f>IF(B1842="","",IFERROR(INDEX(Items!$B$5:$B$304,MATCH(B1842,Items!$A$5:$A$304,0)),"Unknown code"))</f>
        <v/>
      </c>
      <c r="D1842" s="15" t="n"/>
      <c r="E1842" s="16" t="n"/>
      <c r="F1842" s="18">
        <f>IF(OR(D1842="",E1842=""),"",D1842*E1842)</f>
        <v/>
      </c>
      <c r="G1842" s="15" t="n"/>
    </row>
    <row r="1843">
      <c r="A1843" s="19" t="n"/>
      <c r="B1843" s="15" t="n"/>
      <c r="C1843">
        <f>IF(B1843="","",IFERROR(INDEX(Items!$B$5:$B$304,MATCH(B1843,Items!$A$5:$A$304,0)),"Unknown code"))</f>
        <v/>
      </c>
      <c r="D1843" s="15" t="n"/>
      <c r="E1843" s="16" t="n"/>
      <c r="F1843" s="18">
        <f>IF(OR(D1843="",E1843=""),"",D1843*E1843)</f>
        <v/>
      </c>
      <c r="G1843" s="15" t="n"/>
    </row>
    <row r="1844">
      <c r="A1844" s="19" t="n"/>
      <c r="B1844" s="15" t="n"/>
      <c r="C1844">
        <f>IF(B1844="","",IFERROR(INDEX(Items!$B$5:$B$304,MATCH(B1844,Items!$A$5:$A$304,0)),"Unknown code"))</f>
        <v/>
      </c>
      <c r="D1844" s="15" t="n"/>
      <c r="E1844" s="16" t="n"/>
      <c r="F1844" s="18">
        <f>IF(OR(D1844="",E1844=""),"",D1844*E1844)</f>
        <v/>
      </c>
      <c r="G1844" s="15" t="n"/>
    </row>
    <row r="1845">
      <c r="A1845" s="19" t="n"/>
      <c r="B1845" s="15" t="n"/>
      <c r="C1845">
        <f>IF(B1845="","",IFERROR(INDEX(Items!$B$5:$B$304,MATCH(B1845,Items!$A$5:$A$304,0)),"Unknown code"))</f>
        <v/>
      </c>
      <c r="D1845" s="15" t="n"/>
      <c r="E1845" s="16" t="n"/>
      <c r="F1845" s="18">
        <f>IF(OR(D1845="",E1845=""),"",D1845*E1845)</f>
        <v/>
      </c>
      <c r="G1845" s="15" t="n"/>
    </row>
    <row r="1846">
      <c r="A1846" s="19" t="n"/>
      <c r="B1846" s="15" t="n"/>
      <c r="C1846">
        <f>IF(B1846="","",IFERROR(INDEX(Items!$B$5:$B$304,MATCH(B1846,Items!$A$5:$A$304,0)),"Unknown code"))</f>
        <v/>
      </c>
      <c r="D1846" s="15" t="n"/>
      <c r="E1846" s="16" t="n"/>
      <c r="F1846" s="18">
        <f>IF(OR(D1846="",E1846=""),"",D1846*E1846)</f>
        <v/>
      </c>
      <c r="G1846" s="15" t="n"/>
    </row>
    <row r="1847">
      <c r="A1847" s="19" t="n"/>
      <c r="B1847" s="15" t="n"/>
      <c r="C1847">
        <f>IF(B1847="","",IFERROR(INDEX(Items!$B$5:$B$304,MATCH(B1847,Items!$A$5:$A$304,0)),"Unknown code"))</f>
        <v/>
      </c>
      <c r="D1847" s="15" t="n"/>
      <c r="E1847" s="16" t="n"/>
      <c r="F1847" s="18">
        <f>IF(OR(D1847="",E1847=""),"",D1847*E1847)</f>
        <v/>
      </c>
      <c r="G1847" s="15" t="n"/>
    </row>
    <row r="1848">
      <c r="A1848" s="19" t="n"/>
      <c r="B1848" s="15" t="n"/>
      <c r="C1848">
        <f>IF(B1848="","",IFERROR(INDEX(Items!$B$5:$B$304,MATCH(B1848,Items!$A$5:$A$304,0)),"Unknown code"))</f>
        <v/>
      </c>
      <c r="D1848" s="15" t="n"/>
      <c r="E1848" s="16" t="n"/>
      <c r="F1848" s="18">
        <f>IF(OR(D1848="",E1848=""),"",D1848*E1848)</f>
        <v/>
      </c>
      <c r="G1848" s="15" t="n"/>
    </row>
    <row r="1849">
      <c r="A1849" s="19" t="n"/>
      <c r="B1849" s="15" t="n"/>
      <c r="C1849">
        <f>IF(B1849="","",IFERROR(INDEX(Items!$B$5:$B$304,MATCH(B1849,Items!$A$5:$A$304,0)),"Unknown code"))</f>
        <v/>
      </c>
      <c r="D1849" s="15" t="n"/>
      <c r="E1849" s="16" t="n"/>
      <c r="F1849" s="18">
        <f>IF(OR(D1849="",E1849=""),"",D1849*E1849)</f>
        <v/>
      </c>
      <c r="G1849" s="15" t="n"/>
    </row>
    <row r="1850">
      <c r="A1850" s="19" t="n"/>
      <c r="B1850" s="15" t="n"/>
      <c r="C1850">
        <f>IF(B1850="","",IFERROR(INDEX(Items!$B$5:$B$304,MATCH(B1850,Items!$A$5:$A$304,0)),"Unknown code"))</f>
        <v/>
      </c>
      <c r="D1850" s="15" t="n"/>
      <c r="E1850" s="16" t="n"/>
      <c r="F1850" s="18">
        <f>IF(OR(D1850="",E1850=""),"",D1850*E1850)</f>
        <v/>
      </c>
      <c r="G1850" s="15" t="n"/>
    </row>
    <row r="1851">
      <c r="A1851" s="19" t="n"/>
      <c r="B1851" s="15" t="n"/>
      <c r="C1851">
        <f>IF(B1851="","",IFERROR(INDEX(Items!$B$5:$B$304,MATCH(B1851,Items!$A$5:$A$304,0)),"Unknown code"))</f>
        <v/>
      </c>
      <c r="D1851" s="15" t="n"/>
      <c r="E1851" s="16" t="n"/>
      <c r="F1851" s="18">
        <f>IF(OR(D1851="",E1851=""),"",D1851*E1851)</f>
        <v/>
      </c>
      <c r="G1851" s="15" t="n"/>
    </row>
    <row r="1852">
      <c r="A1852" s="19" t="n"/>
      <c r="B1852" s="15" t="n"/>
      <c r="C1852">
        <f>IF(B1852="","",IFERROR(INDEX(Items!$B$5:$B$304,MATCH(B1852,Items!$A$5:$A$304,0)),"Unknown code"))</f>
        <v/>
      </c>
      <c r="D1852" s="15" t="n"/>
      <c r="E1852" s="16" t="n"/>
      <c r="F1852" s="18">
        <f>IF(OR(D1852="",E1852=""),"",D1852*E1852)</f>
        <v/>
      </c>
      <c r="G1852" s="15" t="n"/>
    </row>
    <row r="1853">
      <c r="A1853" s="19" t="n"/>
      <c r="B1853" s="15" t="n"/>
      <c r="C1853">
        <f>IF(B1853="","",IFERROR(INDEX(Items!$B$5:$B$304,MATCH(B1853,Items!$A$5:$A$304,0)),"Unknown code"))</f>
        <v/>
      </c>
      <c r="D1853" s="15" t="n"/>
      <c r="E1853" s="16" t="n"/>
      <c r="F1853" s="18">
        <f>IF(OR(D1853="",E1853=""),"",D1853*E1853)</f>
        <v/>
      </c>
      <c r="G1853" s="15" t="n"/>
    </row>
    <row r="1854">
      <c r="A1854" s="19" t="n"/>
      <c r="B1854" s="15" t="n"/>
      <c r="C1854">
        <f>IF(B1854="","",IFERROR(INDEX(Items!$B$5:$B$304,MATCH(B1854,Items!$A$5:$A$304,0)),"Unknown code"))</f>
        <v/>
      </c>
      <c r="D1854" s="15" t="n"/>
      <c r="E1854" s="16" t="n"/>
      <c r="F1854" s="18">
        <f>IF(OR(D1854="",E1854=""),"",D1854*E1854)</f>
        <v/>
      </c>
      <c r="G1854" s="15" t="n"/>
    </row>
    <row r="1855">
      <c r="A1855" s="19" t="n"/>
      <c r="B1855" s="15" t="n"/>
      <c r="C1855">
        <f>IF(B1855="","",IFERROR(INDEX(Items!$B$5:$B$304,MATCH(B1855,Items!$A$5:$A$304,0)),"Unknown code"))</f>
        <v/>
      </c>
      <c r="D1855" s="15" t="n"/>
      <c r="E1855" s="16" t="n"/>
      <c r="F1855" s="18">
        <f>IF(OR(D1855="",E1855=""),"",D1855*E1855)</f>
        <v/>
      </c>
      <c r="G1855" s="15" t="n"/>
    </row>
    <row r="1856">
      <c r="A1856" s="19" t="n"/>
      <c r="B1856" s="15" t="n"/>
      <c r="C1856">
        <f>IF(B1856="","",IFERROR(INDEX(Items!$B$5:$B$304,MATCH(B1856,Items!$A$5:$A$304,0)),"Unknown code"))</f>
        <v/>
      </c>
      <c r="D1856" s="15" t="n"/>
      <c r="E1856" s="16" t="n"/>
      <c r="F1856" s="18">
        <f>IF(OR(D1856="",E1856=""),"",D1856*E1856)</f>
        <v/>
      </c>
      <c r="G1856" s="15" t="n"/>
    </row>
    <row r="1857">
      <c r="A1857" s="19" t="n"/>
      <c r="B1857" s="15" t="n"/>
      <c r="C1857">
        <f>IF(B1857="","",IFERROR(INDEX(Items!$B$5:$B$304,MATCH(B1857,Items!$A$5:$A$304,0)),"Unknown code"))</f>
        <v/>
      </c>
      <c r="D1857" s="15" t="n"/>
      <c r="E1857" s="16" t="n"/>
      <c r="F1857" s="18">
        <f>IF(OR(D1857="",E1857=""),"",D1857*E1857)</f>
        <v/>
      </c>
      <c r="G1857" s="15" t="n"/>
    </row>
    <row r="1858">
      <c r="A1858" s="19" t="n"/>
      <c r="B1858" s="15" t="n"/>
      <c r="C1858">
        <f>IF(B1858="","",IFERROR(INDEX(Items!$B$5:$B$304,MATCH(B1858,Items!$A$5:$A$304,0)),"Unknown code"))</f>
        <v/>
      </c>
      <c r="D1858" s="15" t="n"/>
      <c r="E1858" s="16" t="n"/>
      <c r="F1858" s="18">
        <f>IF(OR(D1858="",E1858=""),"",D1858*E1858)</f>
        <v/>
      </c>
      <c r="G1858" s="15" t="n"/>
    </row>
    <row r="1859">
      <c r="A1859" s="19" t="n"/>
      <c r="B1859" s="15" t="n"/>
      <c r="C1859">
        <f>IF(B1859="","",IFERROR(INDEX(Items!$B$5:$B$304,MATCH(B1859,Items!$A$5:$A$304,0)),"Unknown code"))</f>
        <v/>
      </c>
      <c r="D1859" s="15" t="n"/>
      <c r="E1859" s="16" t="n"/>
      <c r="F1859" s="18">
        <f>IF(OR(D1859="",E1859=""),"",D1859*E1859)</f>
        <v/>
      </c>
      <c r="G1859" s="15" t="n"/>
    </row>
    <row r="1860">
      <c r="A1860" s="19" t="n"/>
      <c r="B1860" s="15" t="n"/>
      <c r="C1860">
        <f>IF(B1860="","",IFERROR(INDEX(Items!$B$5:$B$304,MATCH(B1860,Items!$A$5:$A$304,0)),"Unknown code"))</f>
        <v/>
      </c>
      <c r="D1860" s="15" t="n"/>
      <c r="E1860" s="16" t="n"/>
      <c r="F1860" s="18">
        <f>IF(OR(D1860="",E1860=""),"",D1860*E1860)</f>
        <v/>
      </c>
      <c r="G1860" s="15" t="n"/>
    </row>
    <row r="1861">
      <c r="A1861" s="19" t="n"/>
      <c r="B1861" s="15" t="n"/>
      <c r="C1861">
        <f>IF(B1861="","",IFERROR(INDEX(Items!$B$5:$B$304,MATCH(B1861,Items!$A$5:$A$304,0)),"Unknown code"))</f>
        <v/>
      </c>
      <c r="D1861" s="15" t="n"/>
      <c r="E1861" s="16" t="n"/>
      <c r="F1861" s="18">
        <f>IF(OR(D1861="",E1861=""),"",D1861*E1861)</f>
        <v/>
      </c>
      <c r="G1861" s="15" t="n"/>
    </row>
    <row r="1862">
      <c r="A1862" s="19" t="n"/>
      <c r="B1862" s="15" t="n"/>
      <c r="C1862">
        <f>IF(B1862="","",IFERROR(INDEX(Items!$B$5:$B$304,MATCH(B1862,Items!$A$5:$A$304,0)),"Unknown code"))</f>
        <v/>
      </c>
      <c r="D1862" s="15" t="n"/>
      <c r="E1862" s="16" t="n"/>
      <c r="F1862" s="18">
        <f>IF(OR(D1862="",E1862=""),"",D1862*E1862)</f>
        <v/>
      </c>
      <c r="G1862" s="15" t="n"/>
    </row>
    <row r="1863">
      <c r="A1863" s="19" t="n"/>
      <c r="B1863" s="15" t="n"/>
      <c r="C1863">
        <f>IF(B1863="","",IFERROR(INDEX(Items!$B$5:$B$304,MATCH(B1863,Items!$A$5:$A$304,0)),"Unknown code"))</f>
        <v/>
      </c>
      <c r="D1863" s="15" t="n"/>
      <c r="E1863" s="16" t="n"/>
      <c r="F1863" s="18">
        <f>IF(OR(D1863="",E1863=""),"",D1863*E1863)</f>
        <v/>
      </c>
      <c r="G1863" s="15" t="n"/>
    </row>
    <row r="1864">
      <c r="A1864" s="19" t="n"/>
      <c r="B1864" s="15" t="n"/>
      <c r="C1864">
        <f>IF(B1864="","",IFERROR(INDEX(Items!$B$5:$B$304,MATCH(B1864,Items!$A$5:$A$304,0)),"Unknown code"))</f>
        <v/>
      </c>
      <c r="D1864" s="15" t="n"/>
      <c r="E1864" s="16" t="n"/>
      <c r="F1864" s="18">
        <f>IF(OR(D1864="",E1864=""),"",D1864*E1864)</f>
        <v/>
      </c>
      <c r="G1864" s="15" t="n"/>
    </row>
    <row r="1865">
      <c r="A1865" s="19" t="n"/>
      <c r="B1865" s="15" t="n"/>
      <c r="C1865">
        <f>IF(B1865="","",IFERROR(INDEX(Items!$B$5:$B$304,MATCH(B1865,Items!$A$5:$A$304,0)),"Unknown code"))</f>
        <v/>
      </c>
      <c r="D1865" s="15" t="n"/>
      <c r="E1865" s="16" t="n"/>
      <c r="F1865" s="18">
        <f>IF(OR(D1865="",E1865=""),"",D1865*E1865)</f>
        <v/>
      </c>
      <c r="G1865" s="15" t="n"/>
    </row>
    <row r="1866">
      <c r="A1866" s="19" t="n"/>
      <c r="B1866" s="15" t="n"/>
      <c r="C1866">
        <f>IF(B1866="","",IFERROR(INDEX(Items!$B$5:$B$304,MATCH(B1866,Items!$A$5:$A$304,0)),"Unknown code"))</f>
        <v/>
      </c>
      <c r="D1866" s="15" t="n"/>
      <c r="E1866" s="16" t="n"/>
      <c r="F1866" s="18">
        <f>IF(OR(D1866="",E1866=""),"",D1866*E1866)</f>
        <v/>
      </c>
      <c r="G1866" s="15" t="n"/>
    </row>
    <row r="1867">
      <c r="A1867" s="19" t="n"/>
      <c r="B1867" s="15" t="n"/>
      <c r="C1867">
        <f>IF(B1867="","",IFERROR(INDEX(Items!$B$5:$B$304,MATCH(B1867,Items!$A$5:$A$304,0)),"Unknown code"))</f>
        <v/>
      </c>
      <c r="D1867" s="15" t="n"/>
      <c r="E1867" s="16" t="n"/>
      <c r="F1867" s="18">
        <f>IF(OR(D1867="",E1867=""),"",D1867*E1867)</f>
        <v/>
      </c>
      <c r="G1867" s="15" t="n"/>
    </row>
    <row r="1868">
      <c r="A1868" s="19" t="n"/>
      <c r="B1868" s="15" t="n"/>
      <c r="C1868">
        <f>IF(B1868="","",IFERROR(INDEX(Items!$B$5:$B$304,MATCH(B1868,Items!$A$5:$A$304,0)),"Unknown code"))</f>
        <v/>
      </c>
      <c r="D1868" s="15" t="n"/>
      <c r="E1868" s="16" t="n"/>
      <c r="F1868" s="18">
        <f>IF(OR(D1868="",E1868=""),"",D1868*E1868)</f>
        <v/>
      </c>
      <c r="G1868" s="15" t="n"/>
    </row>
    <row r="1869">
      <c r="A1869" s="19" t="n"/>
      <c r="B1869" s="15" t="n"/>
      <c r="C1869">
        <f>IF(B1869="","",IFERROR(INDEX(Items!$B$5:$B$304,MATCH(B1869,Items!$A$5:$A$304,0)),"Unknown code"))</f>
        <v/>
      </c>
      <c r="D1869" s="15" t="n"/>
      <c r="E1869" s="16" t="n"/>
      <c r="F1869" s="18">
        <f>IF(OR(D1869="",E1869=""),"",D1869*E1869)</f>
        <v/>
      </c>
      <c r="G1869" s="15" t="n"/>
    </row>
    <row r="1870">
      <c r="A1870" s="19" t="n"/>
      <c r="B1870" s="15" t="n"/>
      <c r="C1870">
        <f>IF(B1870="","",IFERROR(INDEX(Items!$B$5:$B$304,MATCH(B1870,Items!$A$5:$A$304,0)),"Unknown code"))</f>
        <v/>
      </c>
      <c r="D1870" s="15" t="n"/>
      <c r="E1870" s="16" t="n"/>
      <c r="F1870" s="18">
        <f>IF(OR(D1870="",E1870=""),"",D1870*E1870)</f>
        <v/>
      </c>
      <c r="G1870" s="15" t="n"/>
    </row>
    <row r="1871">
      <c r="A1871" s="19" t="n"/>
      <c r="B1871" s="15" t="n"/>
      <c r="C1871">
        <f>IF(B1871="","",IFERROR(INDEX(Items!$B$5:$B$304,MATCH(B1871,Items!$A$5:$A$304,0)),"Unknown code"))</f>
        <v/>
      </c>
      <c r="D1871" s="15" t="n"/>
      <c r="E1871" s="16" t="n"/>
      <c r="F1871" s="18">
        <f>IF(OR(D1871="",E1871=""),"",D1871*E1871)</f>
        <v/>
      </c>
      <c r="G1871" s="15" t="n"/>
    </row>
    <row r="1872">
      <c r="A1872" s="19" t="n"/>
      <c r="B1872" s="15" t="n"/>
      <c r="C1872">
        <f>IF(B1872="","",IFERROR(INDEX(Items!$B$5:$B$304,MATCH(B1872,Items!$A$5:$A$304,0)),"Unknown code"))</f>
        <v/>
      </c>
      <c r="D1872" s="15" t="n"/>
      <c r="E1872" s="16" t="n"/>
      <c r="F1872" s="18">
        <f>IF(OR(D1872="",E1872=""),"",D1872*E1872)</f>
        <v/>
      </c>
      <c r="G1872" s="15" t="n"/>
    </row>
    <row r="1873">
      <c r="A1873" s="19" t="n"/>
      <c r="B1873" s="15" t="n"/>
      <c r="C1873">
        <f>IF(B1873="","",IFERROR(INDEX(Items!$B$5:$B$304,MATCH(B1873,Items!$A$5:$A$304,0)),"Unknown code"))</f>
        <v/>
      </c>
      <c r="D1873" s="15" t="n"/>
      <c r="E1873" s="16" t="n"/>
      <c r="F1873" s="18">
        <f>IF(OR(D1873="",E1873=""),"",D1873*E1873)</f>
        <v/>
      </c>
      <c r="G1873" s="15" t="n"/>
    </row>
    <row r="1874">
      <c r="A1874" s="19" t="n"/>
      <c r="B1874" s="15" t="n"/>
      <c r="C1874">
        <f>IF(B1874="","",IFERROR(INDEX(Items!$B$5:$B$304,MATCH(B1874,Items!$A$5:$A$304,0)),"Unknown code"))</f>
        <v/>
      </c>
      <c r="D1874" s="15" t="n"/>
      <c r="E1874" s="16" t="n"/>
      <c r="F1874" s="18">
        <f>IF(OR(D1874="",E1874=""),"",D1874*E1874)</f>
        <v/>
      </c>
      <c r="G1874" s="15" t="n"/>
    </row>
    <row r="1875">
      <c r="A1875" s="19" t="n"/>
      <c r="B1875" s="15" t="n"/>
      <c r="C1875">
        <f>IF(B1875="","",IFERROR(INDEX(Items!$B$5:$B$304,MATCH(B1875,Items!$A$5:$A$304,0)),"Unknown code"))</f>
        <v/>
      </c>
      <c r="D1875" s="15" t="n"/>
      <c r="E1875" s="16" t="n"/>
      <c r="F1875" s="18">
        <f>IF(OR(D1875="",E1875=""),"",D1875*E1875)</f>
        <v/>
      </c>
      <c r="G1875" s="15" t="n"/>
    </row>
    <row r="1876">
      <c r="A1876" s="19" t="n"/>
      <c r="B1876" s="15" t="n"/>
      <c r="C1876">
        <f>IF(B1876="","",IFERROR(INDEX(Items!$B$5:$B$304,MATCH(B1876,Items!$A$5:$A$304,0)),"Unknown code"))</f>
        <v/>
      </c>
      <c r="D1876" s="15" t="n"/>
      <c r="E1876" s="16" t="n"/>
      <c r="F1876" s="18">
        <f>IF(OR(D1876="",E1876=""),"",D1876*E1876)</f>
        <v/>
      </c>
      <c r="G1876" s="15" t="n"/>
    </row>
    <row r="1877">
      <c r="A1877" s="19" t="n"/>
      <c r="B1877" s="15" t="n"/>
      <c r="C1877">
        <f>IF(B1877="","",IFERROR(INDEX(Items!$B$5:$B$304,MATCH(B1877,Items!$A$5:$A$304,0)),"Unknown code"))</f>
        <v/>
      </c>
      <c r="D1877" s="15" t="n"/>
      <c r="E1877" s="16" t="n"/>
      <c r="F1877" s="18">
        <f>IF(OR(D1877="",E1877=""),"",D1877*E1877)</f>
        <v/>
      </c>
      <c r="G1877" s="15" t="n"/>
    </row>
    <row r="1878">
      <c r="A1878" s="19" t="n"/>
      <c r="B1878" s="15" t="n"/>
      <c r="C1878">
        <f>IF(B1878="","",IFERROR(INDEX(Items!$B$5:$B$304,MATCH(B1878,Items!$A$5:$A$304,0)),"Unknown code"))</f>
        <v/>
      </c>
      <c r="D1878" s="15" t="n"/>
      <c r="E1878" s="16" t="n"/>
      <c r="F1878" s="18">
        <f>IF(OR(D1878="",E1878=""),"",D1878*E1878)</f>
        <v/>
      </c>
      <c r="G1878" s="15" t="n"/>
    </row>
    <row r="1879">
      <c r="A1879" s="19" t="n"/>
      <c r="B1879" s="15" t="n"/>
      <c r="C1879">
        <f>IF(B1879="","",IFERROR(INDEX(Items!$B$5:$B$304,MATCH(B1879,Items!$A$5:$A$304,0)),"Unknown code"))</f>
        <v/>
      </c>
      <c r="D1879" s="15" t="n"/>
      <c r="E1879" s="16" t="n"/>
      <c r="F1879" s="18">
        <f>IF(OR(D1879="",E1879=""),"",D1879*E1879)</f>
        <v/>
      </c>
      <c r="G1879" s="15" t="n"/>
    </row>
    <row r="1880">
      <c r="A1880" s="19" t="n"/>
      <c r="B1880" s="15" t="n"/>
      <c r="C1880">
        <f>IF(B1880="","",IFERROR(INDEX(Items!$B$5:$B$304,MATCH(B1880,Items!$A$5:$A$304,0)),"Unknown code"))</f>
        <v/>
      </c>
      <c r="D1880" s="15" t="n"/>
      <c r="E1880" s="16" t="n"/>
      <c r="F1880" s="18">
        <f>IF(OR(D1880="",E1880=""),"",D1880*E1880)</f>
        <v/>
      </c>
      <c r="G1880" s="15" t="n"/>
    </row>
    <row r="1881">
      <c r="A1881" s="19" t="n"/>
      <c r="B1881" s="15" t="n"/>
      <c r="C1881">
        <f>IF(B1881="","",IFERROR(INDEX(Items!$B$5:$B$304,MATCH(B1881,Items!$A$5:$A$304,0)),"Unknown code"))</f>
        <v/>
      </c>
      <c r="D1881" s="15" t="n"/>
      <c r="E1881" s="16" t="n"/>
      <c r="F1881" s="18">
        <f>IF(OR(D1881="",E1881=""),"",D1881*E1881)</f>
        <v/>
      </c>
      <c r="G1881" s="15" t="n"/>
    </row>
    <row r="1882">
      <c r="A1882" s="19" t="n"/>
      <c r="B1882" s="15" t="n"/>
      <c r="C1882">
        <f>IF(B1882="","",IFERROR(INDEX(Items!$B$5:$B$304,MATCH(B1882,Items!$A$5:$A$304,0)),"Unknown code"))</f>
        <v/>
      </c>
      <c r="D1882" s="15" t="n"/>
      <c r="E1882" s="16" t="n"/>
      <c r="F1882" s="18">
        <f>IF(OR(D1882="",E1882=""),"",D1882*E1882)</f>
        <v/>
      </c>
      <c r="G1882" s="15" t="n"/>
    </row>
    <row r="1883">
      <c r="A1883" s="19" t="n"/>
      <c r="B1883" s="15" t="n"/>
      <c r="C1883">
        <f>IF(B1883="","",IFERROR(INDEX(Items!$B$5:$B$304,MATCH(B1883,Items!$A$5:$A$304,0)),"Unknown code"))</f>
        <v/>
      </c>
      <c r="D1883" s="15" t="n"/>
      <c r="E1883" s="16" t="n"/>
      <c r="F1883" s="18">
        <f>IF(OR(D1883="",E1883=""),"",D1883*E1883)</f>
        <v/>
      </c>
      <c r="G1883" s="15" t="n"/>
    </row>
    <row r="1884">
      <c r="A1884" s="19" t="n"/>
      <c r="B1884" s="15" t="n"/>
      <c r="C1884">
        <f>IF(B1884="","",IFERROR(INDEX(Items!$B$5:$B$304,MATCH(B1884,Items!$A$5:$A$304,0)),"Unknown code"))</f>
        <v/>
      </c>
      <c r="D1884" s="15" t="n"/>
      <c r="E1884" s="16" t="n"/>
      <c r="F1884" s="18">
        <f>IF(OR(D1884="",E1884=""),"",D1884*E1884)</f>
        <v/>
      </c>
      <c r="G1884" s="15" t="n"/>
    </row>
    <row r="1885">
      <c r="A1885" s="19" t="n"/>
      <c r="B1885" s="15" t="n"/>
      <c r="C1885">
        <f>IF(B1885="","",IFERROR(INDEX(Items!$B$5:$B$304,MATCH(B1885,Items!$A$5:$A$304,0)),"Unknown code"))</f>
        <v/>
      </c>
      <c r="D1885" s="15" t="n"/>
      <c r="E1885" s="16" t="n"/>
      <c r="F1885" s="18">
        <f>IF(OR(D1885="",E1885=""),"",D1885*E1885)</f>
        <v/>
      </c>
      <c r="G1885" s="15" t="n"/>
    </row>
    <row r="1886">
      <c r="A1886" s="19" t="n"/>
      <c r="B1886" s="15" t="n"/>
      <c r="C1886">
        <f>IF(B1886="","",IFERROR(INDEX(Items!$B$5:$B$304,MATCH(B1886,Items!$A$5:$A$304,0)),"Unknown code"))</f>
        <v/>
      </c>
      <c r="D1886" s="15" t="n"/>
      <c r="E1886" s="16" t="n"/>
      <c r="F1886" s="18">
        <f>IF(OR(D1886="",E1886=""),"",D1886*E1886)</f>
        <v/>
      </c>
      <c r="G1886" s="15" t="n"/>
    </row>
    <row r="1887">
      <c r="A1887" s="19" t="n"/>
      <c r="B1887" s="15" t="n"/>
      <c r="C1887">
        <f>IF(B1887="","",IFERROR(INDEX(Items!$B$5:$B$304,MATCH(B1887,Items!$A$5:$A$304,0)),"Unknown code"))</f>
        <v/>
      </c>
      <c r="D1887" s="15" t="n"/>
      <c r="E1887" s="16" t="n"/>
      <c r="F1887" s="18">
        <f>IF(OR(D1887="",E1887=""),"",D1887*E1887)</f>
        <v/>
      </c>
      <c r="G1887" s="15" t="n"/>
    </row>
    <row r="1888">
      <c r="A1888" s="19" t="n"/>
      <c r="B1888" s="15" t="n"/>
      <c r="C1888">
        <f>IF(B1888="","",IFERROR(INDEX(Items!$B$5:$B$304,MATCH(B1888,Items!$A$5:$A$304,0)),"Unknown code"))</f>
        <v/>
      </c>
      <c r="D1888" s="15" t="n"/>
      <c r="E1888" s="16" t="n"/>
      <c r="F1888" s="18">
        <f>IF(OR(D1888="",E1888=""),"",D1888*E1888)</f>
        <v/>
      </c>
      <c r="G1888" s="15" t="n"/>
    </row>
    <row r="1889">
      <c r="A1889" s="19" t="n"/>
      <c r="B1889" s="15" t="n"/>
      <c r="C1889">
        <f>IF(B1889="","",IFERROR(INDEX(Items!$B$5:$B$304,MATCH(B1889,Items!$A$5:$A$304,0)),"Unknown code"))</f>
        <v/>
      </c>
      <c r="D1889" s="15" t="n"/>
      <c r="E1889" s="16" t="n"/>
      <c r="F1889" s="18">
        <f>IF(OR(D1889="",E1889=""),"",D1889*E1889)</f>
        <v/>
      </c>
      <c r="G1889" s="15" t="n"/>
    </row>
    <row r="1890">
      <c r="A1890" s="19" t="n"/>
      <c r="B1890" s="15" t="n"/>
      <c r="C1890">
        <f>IF(B1890="","",IFERROR(INDEX(Items!$B$5:$B$304,MATCH(B1890,Items!$A$5:$A$304,0)),"Unknown code"))</f>
        <v/>
      </c>
      <c r="D1890" s="15" t="n"/>
      <c r="E1890" s="16" t="n"/>
      <c r="F1890" s="18">
        <f>IF(OR(D1890="",E1890=""),"",D1890*E1890)</f>
        <v/>
      </c>
      <c r="G1890" s="15" t="n"/>
    </row>
    <row r="1891">
      <c r="A1891" s="19" t="n"/>
      <c r="B1891" s="15" t="n"/>
      <c r="C1891">
        <f>IF(B1891="","",IFERROR(INDEX(Items!$B$5:$B$304,MATCH(B1891,Items!$A$5:$A$304,0)),"Unknown code"))</f>
        <v/>
      </c>
      <c r="D1891" s="15" t="n"/>
      <c r="E1891" s="16" t="n"/>
      <c r="F1891" s="18">
        <f>IF(OR(D1891="",E1891=""),"",D1891*E1891)</f>
        <v/>
      </c>
      <c r="G1891" s="15" t="n"/>
    </row>
    <row r="1892">
      <c r="A1892" s="19" t="n"/>
      <c r="B1892" s="15" t="n"/>
      <c r="C1892">
        <f>IF(B1892="","",IFERROR(INDEX(Items!$B$5:$B$304,MATCH(B1892,Items!$A$5:$A$304,0)),"Unknown code"))</f>
        <v/>
      </c>
      <c r="D1892" s="15" t="n"/>
      <c r="E1892" s="16" t="n"/>
      <c r="F1892" s="18">
        <f>IF(OR(D1892="",E1892=""),"",D1892*E1892)</f>
        <v/>
      </c>
      <c r="G1892" s="15" t="n"/>
    </row>
    <row r="1893">
      <c r="A1893" s="19" t="n"/>
      <c r="B1893" s="15" t="n"/>
      <c r="C1893">
        <f>IF(B1893="","",IFERROR(INDEX(Items!$B$5:$B$304,MATCH(B1893,Items!$A$5:$A$304,0)),"Unknown code"))</f>
        <v/>
      </c>
      <c r="D1893" s="15" t="n"/>
      <c r="E1893" s="16" t="n"/>
      <c r="F1893" s="18">
        <f>IF(OR(D1893="",E1893=""),"",D1893*E1893)</f>
        <v/>
      </c>
      <c r="G1893" s="15" t="n"/>
    </row>
    <row r="1894">
      <c r="A1894" s="19" t="n"/>
      <c r="B1894" s="15" t="n"/>
      <c r="C1894">
        <f>IF(B1894="","",IFERROR(INDEX(Items!$B$5:$B$304,MATCH(B1894,Items!$A$5:$A$304,0)),"Unknown code"))</f>
        <v/>
      </c>
      <c r="D1894" s="15" t="n"/>
      <c r="E1894" s="16" t="n"/>
      <c r="F1894" s="18">
        <f>IF(OR(D1894="",E1894=""),"",D1894*E1894)</f>
        <v/>
      </c>
      <c r="G1894" s="15" t="n"/>
    </row>
    <row r="1895">
      <c r="A1895" s="19" t="n"/>
      <c r="B1895" s="15" t="n"/>
      <c r="C1895">
        <f>IF(B1895="","",IFERROR(INDEX(Items!$B$5:$B$304,MATCH(B1895,Items!$A$5:$A$304,0)),"Unknown code"))</f>
        <v/>
      </c>
      <c r="D1895" s="15" t="n"/>
      <c r="E1895" s="16" t="n"/>
      <c r="F1895" s="18">
        <f>IF(OR(D1895="",E1895=""),"",D1895*E1895)</f>
        <v/>
      </c>
      <c r="G1895" s="15" t="n"/>
    </row>
    <row r="1896">
      <c r="A1896" s="19" t="n"/>
      <c r="B1896" s="15" t="n"/>
      <c r="C1896">
        <f>IF(B1896="","",IFERROR(INDEX(Items!$B$5:$B$304,MATCH(B1896,Items!$A$5:$A$304,0)),"Unknown code"))</f>
        <v/>
      </c>
      <c r="D1896" s="15" t="n"/>
      <c r="E1896" s="16" t="n"/>
      <c r="F1896" s="18">
        <f>IF(OR(D1896="",E1896=""),"",D1896*E1896)</f>
        <v/>
      </c>
      <c r="G1896" s="15" t="n"/>
    </row>
    <row r="1897">
      <c r="A1897" s="19" t="n"/>
      <c r="B1897" s="15" t="n"/>
      <c r="C1897">
        <f>IF(B1897="","",IFERROR(INDEX(Items!$B$5:$B$304,MATCH(B1897,Items!$A$5:$A$304,0)),"Unknown code"))</f>
        <v/>
      </c>
      <c r="D1897" s="15" t="n"/>
      <c r="E1897" s="16" t="n"/>
      <c r="F1897" s="18">
        <f>IF(OR(D1897="",E1897=""),"",D1897*E1897)</f>
        <v/>
      </c>
      <c r="G1897" s="15" t="n"/>
    </row>
    <row r="1898">
      <c r="A1898" s="19" t="n"/>
      <c r="B1898" s="15" t="n"/>
      <c r="C1898">
        <f>IF(B1898="","",IFERROR(INDEX(Items!$B$5:$B$304,MATCH(B1898,Items!$A$5:$A$304,0)),"Unknown code"))</f>
        <v/>
      </c>
      <c r="D1898" s="15" t="n"/>
      <c r="E1898" s="16" t="n"/>
      <c r="F1898" s="18">
        <f>IF(OR(D1898="",E1898=""),"",D1898*E1898)</f>
        <v/>
      </c>
      <c r="G1898" s="15" t="n"/>
    </row>
    <row r="1899">
      <c r="A1899" s="19" t="n"/>
      <c r="B1899" s="15" t="n"/>
      <c r="C1899">
        <f>IF(B1899="","",IFERROR(INDEX(Items!$B$5:$B$304,MATCH(B1899,Items!$A$5:$A$304,0)),"Unknown code"))</f>
        <v/>
      </c>
      <c r="D1899" s="15" t="n"/>
      <c r="E1899" s="16" t="n"/>
      <c r="F1899" s="18">
        <f>IF(OR(D1899="",E1899=""),"",D1899*E1899)</f>
        <v/>
      </c>
      <c r="G1899" s="15" t="n"/>
    </row>
    <row r="1900">
      <c r="A1900" s="19" t="n"/>
      <c r="B1900" s="15" t="n"/>
      <c r="C1900">
        <f>IF(B1900="","",IFERROR(INDEX(Items!$B$5:$B$304,MATCH(B1900,Items!$A$5:$A$304,0)),"Unknown code"))</f>
        <v/>
      </c>
      <c r="D1900" s="15" t="n"/>
      <c r="E1900" s="16" t="n"/>
      <c r="F1900" s="18">
        <f>IF(OR(D1900="",E1900=""),"",D1900*E1900)</f>
        <v/>
      </c>
      <c r="G1900" s="15" t="n"/>
    </row>
    <row r="1901">
      <c r="A1901" s="19" t="n"/>
      <c r="B1901" s="15" t="n"/>
      <c r="C1901">
        <f>IF(B1901="","",IFERROR(INDEX(Items!$B$5:$B$304,MATCH(B1901,Items!$A$5:$A$304,0)),"Unknown code"))</f>
        <v/>
      </c>
      <c r="D1901" s="15" t="n"/>
      <c r="E1901" s="16" t="n"/>
      <c r="F1901" s="18">
        <f>IF(OR(D1901="",E1901=""),"",D1901*E1901)</f>
        <v/>
      </c>
      <c r="G1901" s="15" t="n"/>
    </row>
    <row r="1902">
      <c r="A1902" s="19" t="n"/>
      <c r="B1902" s="15" t="n"/>
      <c r="C1902">
        <f>IF(B1902="","",IFERROR(INDEX(Items!$B$5:$B$304,MATCH(B1902,Items!$A$5:$A$304,0)),"Unknown code"))</f>
        <v/>
      </c>
      <c r="D1902" s="15" t="n"/>
      <c r="E1902" s="16" t="n"/>
      <c r="F1902" s="18">
        <f>IF(OR(D1902="",E1902=""),"",D1902*E1902)</f>
        <v/>
      </c>
      <c r="G1902" s="15" t="n"/>
    </row>
    <row r="1903">
      <c r="A1903" s="19" t="n"/>
      <c r="B1903" s="15" t="n"/>
      <c r="C1903">
        <f>IF(B1903="","",IFERROR(INDEX(Items!$B$5:$B$304,MATCH(B1903,Items!$A$5:$A$304,0)),"Unknown code"))</f>
        <v/>
      </c>
      <c r="D1903" s="15" t="n"/>
      <c r="E1903" s="16" t="n"/>
      <c r="F1903" s="18">
        <f>IF(OR(D1903="",E1903=""),"",D1903*E1903)</f>
        <v/>
      </c>
      <c r="G1903" s="15" t="n"/>
    </row>
    <row r="1904">
      <c r="A1904" s="19" t="n"/>
      <c r="B1904" s="15" t="n"/>
      <c r="C1904">
        <f>IF(B1904="","",IFERROR(INDEX(Items!$B$5:$B$304,MATCH(B1904,Items!$A$5:$A$304,0)),"Unknown code"))</f>
        <v/>
      </c>
      <c r="D1904" s="15" t="n"/>
      <c r="E1904" s="16" t="n"/>
      <c r="F1904" s="18">
        <f>IF(OR(D1904="",E1904=""),"",D1904*E1904)</f>
        <v/>
      </c>
      <c r="G1904" s="15" t="n"/>
    </row>
    <row r="1905">
      <c r="A1905" s="19" t="n"/>
      <c r="B1905" s="15" t="n"/>
      <c r="C1905">
        <f>IF(B1905="","",IFERROR(INDEX(Items!$B$5:$B$304,MATCH(B1905,Items!$A$5:$A$304,0)),"Unknown code"))</f>
        <v/>
      </c>
      <c r="D1905" s="15" t="n"/>
      <c r="E1905" s="16" t="n"/>
      <c r="F1905" s="18">
        <f>IF(OR(D1905="",E1905=""),"",D1905*E1905)</f>
        <v/>
      </c>
      <c r="G1905" s="15" t="n"/>
    </row>
    <row r="1906">
      <c r="A1906" s="19" t="n"/>
      <c r="B1906" s="15" t="n"/>
      <c r="C1906">
        <f>IF(B1906="","",IFERROR(INDEX(Items!$B$5:$B$304,MATCH(B1906,Items!$A$5:$A$304,0)),"Unknown code"))</f>
        <v/>
      </c>
      <c r="D1906" s="15" t="n"/>
      <c r="E1906" s="16" t="n"/>
      <c r="F1906" s="18">
        <f>IF(OR(D1906="",E1906=""),"",D1906*E1906)</f>
        <v/>
      </c>
      <c r="G1906" s="15" t="n"/>
    </row>
    <row r="1907">
      <c r="A1907" s="19" t="n"/>
      <c r="B1907" s="15" t="n"/>
      <c r="C1907">
        <f>IF(B1907="","",IFERROR(INDEX(Items!$B$5:$B$304,MATCH(B1907,Items!$A$5:$A$304,0)),"Unknown code"))</f>
        <v/>
      </c>
      <c r="D1907" s="15" t="n"/>
      <c r="E1907" s="16" t="n"/>
      <c r="F1907" s="18">
        <f>IF(OR(D1907="",E1907=""),"",D1907*E1907)</f>
        <v/>
      </c>
      <c r="G1907" s="15" t="n"/>
    </row>
    <row r="1908">
      <c r="A1908" s="19" t="n"/>
      <c r="B1908" s="15" t="n"/>
      <c r="C1908">
        <f>IF(B1908="","",IFERROR(INDEX(Items!$B$5:$B$304,MATCH(B1908,Items!$A$5:$A$304,0)),"Unknown code"))</f>
        <v/>
      </c>
      <c r="D1908" s="15" t="n"/>
      <c r="E1908" s="16" t="n"/>
      <c r="F1908" s="18">
        <f>IF(OR(D1908="",E1908=""),"",D1908*E1908)</f>
        <v/>
      </c>
      <c r="G1908" s="15" t="n"/>
    </row>
    <row r="1909">
      <c r="A1909" s="19" t="n"/>
      <c r="B1909" s="15" t="n"/>
      <c r="C1909">
        <f>IF(B1909="","",IFERROR(INDEX(Items!$B$5:$B$304,MATCH(B1909,Items!$A$5:$A$304,0)),"Unknown code"))</f>
        <v/>
      </c>
      <c r="D1909" s="15" t="n"/>
      <c r="E1909" s="16" t="n"/>
      <c r="F1909" s="18">
        <f>IF(OR(D1909="",E1909=""),"",D1909*E1909)</f>
        <v/>
      </c>
      <c r="G1909" s="15" t="n"/>
    </row>
    <row r="1910">
      <c r="A1910" s="19" t="n"/>
      <c r="B1910" s="15" t="n"/>
      <c r="C1910">
        <f>IF(B1910="","",IFERROR(INDEX(Items!$B$5:$B$304,MATCH(B1910,Items!$A$5:$A$304,0)),"Unknown code"))</f>
        <v/>
      </c>
      <c r="D1910" s="15" t="n"/>
      <c r="E1910" s="16" t="n"/>
      <c r="F1910" s="18">
        <f>IF(OR(D1910="",E1910=""),"",D1910*E1910)</f>
        <v/>
      </c>
      <c r="G1910" s="15" t="n"/>
    </row>
    <row r="1911">
      <c r="A1911" s="19" t="n"/>
      <c r="B1911" s="15" t="n"/>
      <c r="C1911">
        <f>IF(B1911="","",IFERROR(INDEX(Items!$B$5:$B$304,MATCH(B1911,Items!$A$5:$A$304,0)),"Unknown code"))</f>
        <v/>
      </c>
      <c r="D1911" s="15" t="n"/>
      <c r="E1911" s="16" t="n"/>
      <c r="F1911" s="18">
        <f>IF(OR(D1911="",E1911=""),"",D1911*E1911)</f>
        <v/>
      </c>
      <c r="G1911" s="15" t="n"/>
    </row>
    <row r="1912">
      <c r="A1912" s="19" t="n"/>
      <c r="B1912" s="15" t="n"/>
      <c r="C1912">
        <f>IF(B1912="","",IFERROR(INDEX(Items!$B$5:$B$304,MATCH(B1912,Items!$A$5:$A$304,0)),"Unknown code"))</f>
        <v/>
      </c>
      <c r="D1912" s="15" t="n"/>
      <c r="E1912" s="16" t="n"/>
      <c r="F1912" s="18">
        <f>IF(OR(D1912="",E1912=""),"",D1912*E1912)</f>
        <v/>
      </c>
      <c r="G1912" s="15" t="n"/>
    </row>
    <row r="1913">
      <c r="A1913" s="19" t="n"/>
      <c r="B1913" s="15" t="n"/>
      <c r="C1913">
        <f>IF(B1913="","",IFERROR(INDEX(Items!$B$5:$B$304,MATCH(B1913,Items!$A$5:$A$304,0)),"Unknown code"))</f>
        <v/>
      </c>
      <c r="D1913" s="15" t="n"/>
      <c r="E1913" s="16" t="n"/>
      <c r="F1913" s="18">
        <f>IF(OR(D1913="",E1913=""),"",D1913*E1913)</f>
        <v/>
      </c>
      <c r="G1913" s="15" t="n"/>
    </row>
    <row r="1914">
      <c r="A1914" s="19" t="n"/>
      <c r="B1914" s="15" t="n"/>
      <c r="C1914">
        <f>IF(B1914="","",IFERROR(INDEX(Items!$B$5:$B$304,MATCH(B1914,Items!$A$5:$A$304,0)),"Unknown code"))</f>
        <v/>
      </c>
      <c r="D1914" s="15" t="n"/>
      <c r="E1914" s="16" t="n"/>
      <c r="F1914" s="18">
        <f>IF(OR(D1914="",E1914=""),"",D1914*E1914)</f>
        <v/>
      </c>
      <c r="G1914" s="15" t="n"/>
    </row>
    <row r="1915">
      <c r="A1915" s="19" t="n"/>
      <c r="B1915" s="15" t="n"/>
      <c r="C1915">
        <f>IF(B1915="","",IFERROR(INDEX(Items!$B$5:$B$304,MATCH(B1915,Items!$A$5:$A$304,0)),"Unknown code"))</f>
        <v/>
      </c>
      <c r="D1915" s="15" t="n"/>
      <c r="E1915" s="16" t="n"/>
      <c r="F1915" s="18">
        <f>IF(OR(D1915="",E1915=""),"",D1915*E1915)</f>
        <v/>
      </c>
      <c r="G1915" s="15" t="n"/>
    </row>
    <row r="1916">
      <c r="A1916" s="19" t="n"/>
      <c r="B1916" s="15" t="n"/>
      <c r="C1916">
        <f>IF(B1916="","",IFERROR(INDEX(Items!$B$5:$B$304,MATCH(B1916,Items!$A$5:$A$304,0)),"Unknown code"))</f>
        <v/>
      </c>
      <c r="D1916" s="15" t="n"/>
      <c r="E1916" s="16" t="n"/>
      <c r="F1916" s="18">
        <f>IF(OR(D1916="",E1916=""),"",D1916*E1916)</f>
        <v/>
      </c>
      <c r="G1916" s="15" t="n"/>
    </row>
    <row r="1917">
      <c r="A1917" s="19" t="n"/>
      <c r="B1917" s="15" t="n"/>
      <c r="C1917">
        <f>IF(B1917="","",IFERROR(INDEX(Items!$B$5:$B$304,MATCH(B1917,Items!$A$5:$A$304,0)),"Unknown code"))</f>
        <v/>
      </c>
      <c r="D1917" s="15" t="n"/>
      <c r="E1917" s="16" t="n"/>
      <c r="F1917" s="18">
        <f>IF(OR(D1917="",E1917=""),"",D1917*E1917)</f>
        <v/>
      </c>
      <c r="G1917" s="15" t="n"/>
    </row>
    <row r="1918">
      <c r="A1918" s="19" t="n"/>
      <c r="B1918" s="15" t="n"/>
      <c r="C1918">
        <f>IF(B1918="","",IFERROR(INDEX(Items!$B$5:$B$304,MATCH(B1918,Items!$A$5:$A$304,0)),"Unknown code"))</f>
        <v/>
      </c>
      <c r="D1918" s="15" t="n"/>
      <c r="E1918" s="16" t="n"/>
      <c r="F1918" s="18">
        <f>IF(OR(D1918="",E1918=""),"",D1918*E1918)</f>
        <v/>
      </c>
      <c r="G1918" s="15" t="n"/>
    </row>
    <row r="1919">
      <c r="A1919" s="19" t="n"/>
      <c r="B1919" s="15" t="n"/>
      <c r="C1919">
        <f>IF(B1919="","",IFERROR(INDEX(Items!$B$5:$B$304,MATCH(B1919,Items!$A$5:$A$304,0)),"Unknown code"))</f>
        <v/>
      </c>
      <c r="D1919" s="15" t="n"/>
      <c r="E1919" s="16" t="n"/>
      <c r="F1919" s="18">
        <f>IF(OR(D1919="",E1919=""),"",D1919*E1919)</f>
        <v/>
      </c>
      <c r="G1919" s="15" t="n"/>
    </row>
    <row r="1920">
      <c r="A1920" s="19" t="n"/>
      <c r="B1920" s="15" t="n"/>
      <c r="C1920">
        <f>IF(B1920="","",IFERROR(INDEX(Items!$B$5:$B$304,MATCH(B1920,Items!$A$5:$A$304,0)),"Unknown code"))</f>
        <v/>
      </c>
      <c r="D1920" s="15" t="n"/>
      <c r="E1920" s="16" t="n"/>
      <c r="F1920" s="18">
        <f>IF(OR(D1920="",E1920=""),"",D1920*E1920)</f>
        <v/>
      </c>
      <c r="G1920" s="15" t="n"/>
    </row>
    <row r="1921">
      <c r="A1921" s="19" t="n"/>
      <c r="B1921" s="15" t="n"/>
      <c r="C1921">
        <f>IF(B1921="","",IFERROR(INDEX(Items!$B$5:$B$304,MATCH(B1921,Items!$A$5:$A$304,0)),"Unknown code"))</f>
        <v/>
      </c>
      <c r="D1921" s="15" t="n"/>
      <c r="E1921" s="16" t="n"/>
      <c r="F1921" s="18">
        <f>IF(OR(D1921="",E1921=""),"",D1921*E1921)</f>
        <v/>
      </c>
      <c r="G1921" s="15" t="n"/>
    </row>
    <row r="1922">
      <c r="A1922" s="19" t="n"/>
      <c r="B1922" s="15" t="n"/>
      <c r="C1922">
        <f>IF(B1922="","",IFERROR(INDEX(Items!$B$5:$B$304,MATCH(B1922,Items!$A$5:$A$304,0)),"Unknown code"))</f>
        <v/>
      </c>
      <c r="D1922" s="15" t="n"/>
      <c r="E1922" s="16" t="n"/>
      <c r="F1922" s="18">
        <f>IF(OR(D1922="",E1922=""),"",D1922*E1922)</f>
        <v/>
      </c>
      <c r="G1922" s="15" t="n"/>
    </row>
    <row r="1923">
      <c r="A1923" s="19" t="n"/>
      <c r="B1923" s="15" t="n"/>
      <c r="C1923">
        <f>IF(B1923="","",IFERROR(INDEX(Items!$B$5:$B$304,MATCH(B1923,Items!$A$5:$A$304,0)),"Unknown code"))</f>
        <v/>
      </c>
      <c r="D1923" s="15" t="n"/>
      <c r="E1923" s="16" t="n"/>
      <c r="F1923" s="18">
        <f>IF(OR(D1923="",E1923=""),"",D1923*E1923)</f>
        <v/>
      </c>
      <c r="G1923" s="15" t="n"/>
    </row>
    <row r="1924">
      <c r="A1924" s="19" t="n"/>
      <c r="B1924" s="15" t="n"/>
      <c r="C1924">
        <f>IF(B1924="","",IFERROR(INDEX(Items!$B$5:$B$304,MATCH(B1924,Items!$A$5:$A$304,0)),"Unknown code"))</f>
        <v/>
      </c>
      <c r="D1924" s="15" t="n"/>
      <c r="E1924" s="16" t="n"/>
      <c r="F1924" s="18">
        <f>IF(OR(D1924="",E1924=""),"",D1924*E1924)</f>
        <v/>
      </c>
      <c r="G1924" s="15" t="n"/>
    </row>
    <row r="1925">
      <c r="A1925" s="19" t="n"/>
      <c r="B1925" s="15" t="n"/>
      <c r="C1925">
        <f>IF(B1925="","",IFERROR(INDEX(Items!$B$5:$B$304,MATCH(B1925,Items!$A$5:$A$304,0)),"Unknown code"))</f>
        <v/>
      </c>
      <c r="D1925" s="15" t="n"/>
      <c r="E1925" s="16" t="n"/>
      <c r="F1925" s="18">
        <f>IF(OR(D1925="",E1925=""),"",D1925*E1925)</f>
        <v/>
      </c>
      <c r="G1925" s="15" t="n"/>
    </row>
    <row r="1926">
      <c r="A1926" s="19" t="n"/>
      <c r="B1926" s="15" t="n"/>
      <c r="C1926">
        <f>IF(B1926="","",IFERROR(INDEX(Items!$B$5:$B$304,MATCH(B1926,Items!$A$5:$A$304,0)),"Unknown code"))</f>
        <v/>
      </c>
      <c r="D1926" s="15" t="n"/>
      <c r="E1926" s="16" t="n"/>
      <c r="F1926" s="18">
        <f>IF(OR(D1926="",E1926=""),"",D1926*E1926)</f>
        <v/>
      </c>
      <c r="G1926" s="15" t="n"/>
    </row>
    <row r="1927">
      <c r="A1927" s="19" t="n"/>
      <c r="B1927" s="15" t="n"/>
      <c r="C1927">
        <f>IF(B1927="","",IFERROR(INDEX(Items!$B$5:$B$304,MATCH(B1927,Items!$A$5:$A$304,0)),"Unknown code"))</f>
        <v/>
      </c>
      <c r="D1927" s="15" t="n"/>
      <c r="E1927" s="16" t="n"/>
      <c r="F1927" s="18">
        <f>IF(OR(D1927="",E1927=""),"",D1927*E1927)</f>
        <v/>
      </c>
      <c r="G1927" s="15" t="n"/>
    </row>
    <row r="1928">
      <c r="A1928" s="19" t="n"/>
      <c r="B1928" s="15" t="n"/>
      <c r="C1928">
        <f>IF(B1928="","",IFERROR(INDEX(Items!$B$5:$B$304,MATCH(B1928,Items!$A$5:$A$304,0)),"Unknown code"))</f>
        <v/>
      </c>
      <c r="D1928" s="15" t="n"/>
      <c r="E1928" s="16" t="n"/>
      <c r="F1928" s="18">
        <f>IF(OR(D1928="",E1928=""),"",D1928*E1928)</f>
        <v/>
      </c>
      <c r="G1928" s="15" t="n"/>
    </row>
    <row r="1929">
      <c r="A1929" s="19" t="n"/>
      <c r="B1929" s="15" t="n"/>
      <c r="C1929">
        <f>IF(B1929="","",IFERROR(INDEX(Items!$B$5:$B$304,MATCH(B1929,Items!$A$5:$A$304,0)),"Unknown code"))</f>
        <v/>
      </c>
      <c r="D1929" s="15" t="n"/>
      <c r="E1929" s="16" t="n"/>
      <c r="F1929" s="18">
        <f>IF(OR(D1929="",E1929=""),"",D1929*E1929)</f>
        <v/>
      </c>
      <c r="G1929" s="15" t="n"/>
    </row>
    <row r="1930">
      <c r="A1930" s="19" t="n"/>
      <c r="B1930" s="15" t="n"/>
      <c r="C1930">
        <f>IF(B1930="","",IFERROR(INDEX(Items!$B$5:$B$304,MATCH(B1930,Items!$A$5:$A$304,0)),"Unknown code"))</f>
        <v/>
      </c>
      <c r="D1930" s="15" t="n"/>
      <c r="E1930" s="16" t="n"/>
      <c r="F1930" s="18">
        <f>IF(OR(D1930="",E1930=""),"",D1930*E1930)</f>
        <v/>
      </c>
      <c r="G1930" s="15" t="n"/>
    </row>
    <row r="1931">
      <c r="A1931" s="19" t="n"/>
      <c r="B1931" s="15" t="n"/>
      <c r="C1931">
        <f>IF(B1931="","",IFERROR(INDEX(Items!$B$5:$B$304,MATCH(B1931,Items!$A$5:$A$304,0)),"Unknown code"))</f>
        <v/>
      </c>
      <c r="D1931" s="15" t="n"/>
      <c r="E1931" s="16" t="n"/>
      <c r="F1931" s="18">
        <f>IF(OR(D1931="",E1931=""),"",D1931*E1931)</f>
        <v/>
      </c>
      <c r="G1931" s="15" t="n"/>
    </row>
    <row r="1932">
      <c r="A1932" s="19" t="n"/>
      <c r="B1932" s="15" t="n"/>
      <c r="C1932">
        <f>IF(B1932="","",IFERROR(INDEX(Items!$B$5:$B$304,MATCH(B1932,Items!$A$5:$A$304,0)),"Unknown code"))</f>
        <v/>
      </c>
      <c r="D1932" s="15" t="n"/>
      <c r="E1932" s="16" t="n"/>
      <c r="F1932" s="18">
        <f>IF(OR(D1932="",E1932=""),"",D1932*E1932)</f>
        <v/>
      </c>
      <c r="G1932" s="15" t="n"/>
    </row>
    <row r="1933">
      <c r="A1933" s="19" t="n"/>
      <c r="B1933" s="15" t="n"/>
      <c r="C1933">
        <f>IF(B1933="","",IFERROR(INDEX(Items!$B$5:$B$304,MATCH(B1933,Items!$A$5:$A$304,0)),"Unknown code"))</f>
        <v/>
      </c>
      <c r="D1933" s="15" t="n"/>
      <c r="E1933" s="16" t="n"/>
      <c r="F1933" s="18">
        <f>IF(OR(D1933="",E1933=""),"",D1933*E1933)</f>
        <v/>
      </c>
      <c r="G1933" s="15" t="n"/>
    </row>
    <row r="1934">
      <c r="A1934" s="19" t="n"/>
      <c r="B1934" s="15" t="n"/>
      <c r="C1934">
        <f>IF(B1934="","",IFERROR(INDEX(Items!$B$5:$B$304,MATCH(B1934,Items!$A$5:$A$304,0)),"Unknown code"))</f>
        <v/>
      </c>
      <c r="D1934" s="15" t="n"/>
      <c r="E1934" s="16" t="n"/>
      <c r="F1934" s="18">
        <f>IF(OR(D1934="",E1934=""),"",D1934*E1934)</f>
        <v/>
      </c>
      <c r="G1934" s="15" t="n"/>
    </row>
    <row r="1935">
      <c r="A1935" s="19" t="n"/>
      <c r="B1935" s="15" t="n"/>
      <c r="C1935">
        <f>IF(B1935="","",IFERROR(INDEX(Items!$B$5:$B$304,MATCH(B1935,Items!$A$5:$A$304,0)),"Unknown code"))</f>
        <v/>
      </c>
      <c r="D1935" s="15" t="n"/>
      <c r="E1935" s="16" t="n"/>
      <c r="F1935" s="18">
        <f>IF(OR(D1935="",E1935=""),"",D1935*E1935)</f>
        <v/>
      </c>
      <c r="G1935" s="15" t="n"/>
    </row>
    <row r="1936">
      <c r="A1936" s="19" t="n"/>
      <c r="B1936" s="15" t="n"/>
      <c r="C1936">
        <f>IF(B1936="","",IFERROR(INDEX(Items!$B$5:$B$304,MATCH(B1936,Items!$A$5:$A$304,0)),"Unknown code"))</f>
        <v/>
      </c>
      <c r="D1936" s="15" t="n"/>
      <c r="E1936" s="16" t="n"/>
      <c r="F1936" s="18">
        <f>IF(OR(D1936="",E1936=""),"",D1936*E1936)</f>
        <v/>
      </c>
      <c r="G1936" s="15" t="n"/>
    </row>
    <row r="1937">
      <c r="A1937" s="19" t="n"/>
      <c r="B1937" s="15" t="n"/>
      <c r="C1937">
        <f>IF(B1937="","",IFERROR(INDEX(Items!$B$5:$B$304,MATCH(B1937,Items!$A$5:$A$304,0)),"Unknown code"))</f>
        <v/>
      </c>
      <c r="D1937" s="15" t="n"/>
      <c r="E1937" s="16" t="n"/>
      <c r="F1937" s="18">
        <f>IF(OR(D1937="",E1937=""),"",D1937*E1937)</f>
        <v/>
      </c>
      <c r="G1937" s="15" t="n"/>
    </row>
    <row r="1938">
      <c r="A1938" s="19" t="n"/>
      <c r="B1938" s="15" t="n"/>
      <c r="C1938">
        <f>IF(B1938="","",IFERROR(INDEX(Items!$B$5:$B$304,MATCH(B1938,Items!$A$5:$A$304,0)),"Unknown code"))</f>
        <v/>
      </c>
      <c r="D1938" s="15" t="n"/>
      <c r="E1938" s="16" t="n"/>
      <c r="F1938" s="18">
        <f>IF(OR(D1938="",E1938=""),"",D1938*E1938)</f>
        <v/>
      </c>
      <c r="G1938" s="15" t="n"/>
    </row>
    <row r="1939">
      <c r="A1939" s="19" t="n"/>
      <c r="B1939" s="15" t="n"/>
      <c r="C1939">
        <f>IF(B1939="","",IFERROR(INDEX(Items!$B$5:$B$304,MATCH(B1939,Items!$A$5:$A$304,0)),"Unknown code"))</f>
        <v/>
      </c>
      <c r="D1939" s="15" t="n"/>
      <c r="E1939" s="16" t="n"/>
      <c r="F1939" s="18">
        <f>IF(OR(D1939="",E1939=""),"",D1939*E1939)</f>
        <v/>
      </c>
      <c r="G1939" s="15" t="n"/>
    </row>
    <row r="1940">
      <c r="A1940" s="19" t="n"/>
      <c r="B1940" s="15" t="n"/>
      <c r="C1940">
        <f>IF(B1940="","",IFERROR(INDEX(Items!$B$5:$B$304,MATCH(B1940,Items!$A$5:$A$304,0)),"Unknown code"))</f>
        <v/>
      </c>
      <c r="D1940" s="15" t="n"/>
      <c r="E1940" s="16" t="n"/>
      <c r="F1940" s="18">
        <f>IF(OR(D1940="",E1940=""),"",D1940*E1940)</f>
        <v/>
      </c>
      <c r="G1940" s="15" t="n"/>
    </row>
    <row r="1941">
      <c r="A1941" s="19" t="n"/>
      <c r="B1941" s="15" t="n"/>
      <c r="C1941">
        <f>IF(B1941="","",IFERROR(INDEX(Items!$B$5:$B$304,MATCH(B1941,Items!$A$5:$A$304,0)),"Unknown code"))</f>
        <v/>
      </c>
      <c r="D1941" s="15" t="n"/>
      <c r="E1941" s="16" t="n"/>
      <c r="F1941" s="18">
        <f>IF(OR(D1941="",E1941=""),"",D1941*E1941)</f>
        <v/>
      </c>
      <c r="G1941" s="15" t="n"/>
    </row>
    <row r="1942">
      <c r="A1942" s="19" t="n"/>
      <c r="B1942" s="15" t="n"/>
      <c r="C1942">
        <f>IF(B1942="","",IFERROR(INDEX(Items!$B$5:$B$304,MATCH(B1942,Items!$A$5:$A$304,0)),"Unknown code"))</f>
        <v/>
      </c>
      <c r="D1942" s="15" t="n"/>
      <c r="E1942" s="16" t="n"/>
      <c r="F1942" s="18">
        <f>IF(OR(D1942="",E1942=""),"",D1942*E1942)</f>
        <v/>
      </c>
      <c r="G1942" s="15" t="n"/>
    </row>
    <row r="1943">
      <c r="A1943" s="19" t="n"/>
      <c r="B1943" s="15" t="n"/>
      <c r="C1943">
        <f>IF(B1943="","",IFERROR(INDEX(Items!$B$5:$B$304,MATCH(B1943,Items!$A$5:$A$304,0)),"Unknown code"))</f>
        <v/>
      </c>
      <c r="D1943" s="15" t="n"/>
      <c r="E1943" s="16" t="n"/>
      <c r="F1943" s="18">
        <f>IF(OR(D1943="",E1943=""),"",D1943*E1943)</f>
        <v/>
      </c>
      <c r="G1943" s="15" t="n"/>
    </row>
    <row r="1944">
      <c r="A1944" s="19" t="n"/>
      <c r="B1944" s="15" t="n"/>
      <c r="C1944">
        <f>IF(B1944="","",IFERROR(INDEX(Items!$B$5:$B$304,MATCH(B1944,Items!$A$5:$A$304,0)),"Unknown code"))</f>
        <v/>
      </c>
      <c r="D1944" s="15" t="n"/>
      <c r="E1944" s="16" t="n"/>
      <c r="F1944" s="18">
        <f>IF(OR(D1944="",E1944=""),"",D1944*E1944)</f>
        <v/>
      </c>
      <c r="G1944" s="15" t="n"/>
    </row>
    <row r="1945">
      <c r="A1945" s="19" t="n"/>
      <c r="B1945" s="15" t="n"/>
      <c r="C1945">
        <f>IF(B1945="","",IFERROR(INDEX(Items!$B$5:$B$304,MATCH(B1945,Items!$A$5:$A$304,0)),"Unknown code"))</f>
        <v/>
      </c>
      <c r="D1945" s="15" t="n"/>
      <c r="E1945" s="16" t="n"/>
      <c r="F1945" s="18">
        <f>IF(OR(D1945="",E1945=""),"",D1945*E1945)</f>
        <v/>
      </c>
      <c r="G1945" s="15" t="n"/>
    </row>
    <row r="1946">
      <c r="A1946" s="19" t="n"/>
      <c r="B1946" s="15" t="n"/>
      <c r="C1946">
        <f>IF(B1946="","",IFERROR(INDEX(Items!$B$5:$B$304,MATCH(B1946,Items!$A$5:$A$304,0)),"Unknown code"))</f>
        <v/>
      </c>
      <c r="D1946" s="15" t="n"/>
      <c r="E1946" s="16" t="n"/>
      <c r="F1946" s="18">
        <f>IF(OR(D1946="",E1946=""),"",D1946*E1946)</f>
        <v/>
      </c>
      <c r="G1946" s="15" t="n"/>
    </row>
    <row r="1947">
      <c r="A1947" s="19" t="n"/>
      <c r="B1947" s="15" t="n"/>
      <c r="C1947">
        <f>IF(B1947="","",IFERROR(INDEX(Items!$B$5:$B$304,MATCH(B1947,Items!$A$5:$A$304,0)),"Unknown code"))</f>
        <v/>
      </c>
      <c r="D1947" s="15" t="n"/>
      <c r="E1947" s="16" t="n"/>
      <c r="F1947" s="18">
        <f>IF(OR(D1947="",E1947=""),"",D1947*E1947)</f>
        <v/>
      </c>
      <c r="G1947" s="15" t="n"/>
    </row>
    <row r="1948">
      <c r="A1948" s="19" t="n"/>
      <c r="B1948" s="15" t="n"/>
      <c r="C1948">
        <f>IF(B1948="","",IFERROR(INDEX(Items!$B$5:$B$304,MATCH(B1948,Items!$A$5:$A$304,0)),"Unknown code"))</f>
        <v/>
      </c>
      <c r="D1948" s="15" t="n"/>
      <c r="E1948" s="16" t="n"/>
      <c r="F1948" s="18">
        <f>IF(OR(D1948="",E1948=""),"",D1948*E1948)</f>
        <v/>
      </c>
      <c r="G1948" s="15" t="n"/>
    </row>
    <row r="1949">
      <c r="A1949" s="19" t="n"/>
      <c r="B1949" s="15" t="n"/>
      <c r="C1949">
        <f>IF(B1949="","",IFERROR(INDEX(Items!$B$5:$B$304,MATCH(B1949,Items!$A$5:$A$304,0)),"Unknown code"))</f>
        <v/>
      </c>
      <c r="D1949" s="15" t="n"/>
      <c r="E1949" s="16" t="n"/>
      <c r="F1949" s="18">
        <f>IF(OR(D1949="",E1949=""),"",D1949*E1949)</f>
        <v/>
      </c>
      <c r="G1949" s="15" t="n"/>
    </row>
    <row r="1950">
      <c r="A1950" s="19" t="n"/>
      <c r="B1950" s="15" t="n"/>
      <c r="C1950">
        <f>IF(B1950="","",IFERROR(INDEX(Items!$B$5:$B$304,MATCH(B1950,Items!$A$5:$A$304,0)),"Unknown code"))</f>
        <v/>
      </c>
      <c r="D1950" s="15" t="n"/>
      <c r="E1950" s="16" t="n"/>
      <c r="F1950" s="18">
        <f>IF(OR(D1950="",E1950=""),"",D1950*E1950)</f>
        <v/>
      </c>
      <c r="G1950" s="15" t="n"/>
    </row>
    <row r="1951">
      <c r="A1951" s="19" t="n"/>
      <c r="B1951" s="15" t="n"/>
      <c r="C1951">
        <f>IF(B1951="","",IFERROR(INDEX(Items!$B$5:$B$304,MATCH(B1951,Items!$A$5:$A$304,0)),"Unknown code"))</f>
        <v/>
      </c>
      <c r="D1951" s="15" t="n"/>
      <c r="E1951" s="16" t="n"/>
      <c r="F1951" s="18">
        <f>IF(OR(D1951="",E1951=""),"",D1951*E1951)</f>
        <v/>
      </c>
      <c r="G1951" s="15" t="n"/>
    </row>
    <row r="1952">
      <c r="A1952" s="19" t="n"/>
      <c r="B1952" s="15" t="n"/>
      <c r="C1952">
        <f>IF(B1952="","",IFERROR(INDEX(Items!$B$5:$B$304,MATCH(B1952,Items!$A$5:$A$304,0)),"Unknown code"))</f>
        <v/>
      </c>
      <c r="D1952" s="15" t="n"/>
      <c r="E1952" s="16" t="n"/>
      <c r="F1952" s="18">
        <f>IF(OR(D1952="",E1952=""),"",D1952*E1952)</f>
        <v/>
      </c>
      <c r="G1952" s="15" t="n"/>
    </row>
    <row r="1953">
      <c r="A1953" s="19" t="n"/>
      <c r="B1953" s="15" t="n"/>
      <c r="C1953">
        <f>IF(B1953="","",IFERROR(INDEX(Items!$B$5:$B$304,MATCH(B1953,Items!$A$5:$A$304,0)),"Unknown code"))</f>
        <v/>
      </c>
      <c r="D1953" s="15" t="n"/>
      <c r="E1953" s="16" t="n"/>
      <c r="F1953" s="18">
        <f>IF(OR(D1953="",E1953=""),"",D1953*E1953)</f>
        <v/>
      </c>
      <c r="G1953" s="15" t="n"/>
    </row>
    <row r="1954">
      <c r="A1954" s="19" t="n"/>
      <c r="B1954" s="15" t="n"/>
      <c r="C1954">
        <f>IF(B1954="","",IFERROR(INDEX(Items!$B$5:$B$304,MATCH(B1954,Items!$A$5:$A$304,0)),"Unknown code"))</f>
        <v/>
      </c>
      <c r="D1954" s="15" t="n"/>
      <c r="E1954" s="16" t="n"/>
      <c r="F1954" s="18">
        <f>IF(OR(D1954="",E1954=""),"",D1954*E1954)</f>
        <v/>
      </c>
      <c r="G1954" s="15" t="n"/>
    </row>
    <row r="1955">
      <c r="A1955" s="19" t="n"/>
      <c r="B1955" s="15" t="n"/>
      <c r="C1955">
        <f>IF(B1955="","",IFERROR(INDEX(Items!$B$5:$B$304,MATCH(B1955,Items!$A$5:$A$304,0)),"Unknown code"))</f>
        <v/>
      </c>
      <c r="D1955" s="15" t="n"/>
      <c r="E1955" s="16" t="n"/>
      <c r="F1955" s="18">
        <f>IF(OR(D1955="",E1955=""),"",D1955*E1955)</f>
        <v/>
      </c>
      <c r="G1955" s="15" t="n"/>
    </row>
    <row r="1956">
      <c r="A1956" s="19" t="n"/>
      <c r="B1956" s="15" t="n"/>
      <c r="C1956">
        <f>IF(B1956="","",IFERROR(INDEX(Items!$B$5:$B$304,MATCH(B1956,Items!$A$5:$A$304,0)),"Unknown code"))</f>
        <v/>
      </c>
      <c r="D1956" s="15" t="n"/>
      <c r="E1956" s="16" t="n"/>
      <c r="F1956" s="18">
        <f>IF(OR(D1956="",E1956=""),"",D1956*E1956)</f>
        <v/>
      </c>
      <c r="G1956" s="15" t="n"/>
    </row>
    <row r="1957">
      <c r="A1957" s="19" t="n"/>
      <c r="B1957" s="15" t="n"/>
      <c r="C1957">
        <f>IF(B1957="","",IFERROR(INDEX(Items!$B$5:$B$304,MATCH(B1957,Items!$A$5:$A$304,0)),"Unknown code"))</f>
        <v/>
      </c>
      <c r="D1957" s="15" t="n"/>
      <c r="E1957" s="16" t="n"/>
      <c r="F1957" s="18">
        <f>IF(OR(D1957="",E1957=""),"",D1957*E1957)</f>
        <v/>
      </c>
      <c r="G1957" s="15" t="n"/>
    </row>
    <row r="1958">
      <c r="A1958" s="19" t="n"/>
      <c r="B1958" s="15" t="n"/>
      <c r="C1958">
        <f>IF(B1958="","",IFERROR(INDEX(Items!$B$5:$B$304,MATCH(B1958,Items!$A$5:$A$304,0)),"Unknown code"))</f>
        <v/>
      </c>
      <c r="D1958" s="15" t="n"/>
      <c r="E1958" s="16" t="n"/>
      <c r="F1958" s="18">
        <f>IF(OR(D1958="",E1958=""),"",D1958*E1958)</f>
        <v/>
      </c>
      <c r="G1958" s="15" t="n"/>
    </row>
    <row r="1959">
      <c r="A1959" s="19" t="n"/>
      <c r="B1959" s="15" t="n"/>
      <c r="C1959">
        <f>IF(B1959="","",IFERROR(INDEX(Items!$B$5:$B$304,MATCH(B1959,Items!$A$5:$A$304,0)),"Unknown code"))</f>
        <v/>
      </c>
      <c r="D1959" s="15" t="n"/>
      <c r="E1959" s="16" t="n"/>
      <c r="F1959" s="18">
        <f>IF(OR(D1959="",E1959=""),"",D1959*E1959)</f>
        <v/>
      </c>
      <c r="G1959" s="15" t="n"/>
    </row>
    <row r="1960">
      <c r="A1960" s="19" t="n"/>
      <c r="B1960" s="15" t="n"/>
      <c r="C1960">
        <f>IF(B1960="","",IFERROR(INDEX(Items!$B$5:$B$304,MATCH(B1960,Items!$A$5:$A$304,0)),"Unknown code"))</f>
        <v/>
      </c>
      <c r="D1960" s="15" t="n"/>
      <c r="E1960" s="16" t="n"/>
      <c r="F1960" s="18">
        <f>IF(OR(D1960="",E1960=""),"",D1960*E1960)</f>
        <v/>
      </c>
      <c r="G1960" s="15" t="n"/>
    </row>
    <row r="1961">
      <c r="A1961" s="19" t="n"/>
      <c r="B1961" s="15" t="n"/>
      <c r="C1961">
        <f>IF(B1961="","",IFERROR(INDEX(Items!$B$5:$B$304,MATCH(B1961,Items!$A$5:$A$304,0)),"Unknown code"))</f>
        <v/>
      </c>
      <c r="D1961" s="15" t="n"/>
      <c r="E1961" s="16" t="n"/>
      <c r="F1961" s="18">
        <f>IF(OR(D1961="",E1961=""),"",D1961*E1961)</f>
        <v/>
      </c>
      <c r="G1961" s="15" t="n"/>
    </row>
    <row r="1962">
      <c r="A1962" s="19" t="n"/>
      <c r="B1962" s="15" t="n"/>
      <c r="C1962">
        <f>IF(B1962="","",IFERROR(INDEX(Items!$B$5:$B$304,MATCH(B1962,Items!$A$5:$A$304,0)),"Unknown code"))</f>
        <v/>
      </c>
      <c r="D1962" s="15" t="n"/>
      <c r="E1962" s="16" t="n"/>
      <c r="F1962" s="18">
        <f>IF(OR(D1962="",E1962=""),"",D1962*E1962)</f>
        <v/>
      </c>
      <c r="G1962" s="15" t="n"/>
    </row>
    <row r="1963">
      <c r="A1963" s="19" t="n"/>
      <c r="B1963" s="15" t="n"/>
      <c r="C1963">
        <f>IF(B1963="","",IFERROR(INDEX(Items!$B$5:$B$304,MATCH(B1963,Items!$A$5:$A$304,0)),"Unknown code"))</f>
        <v/>
      </c>
      <c r="D1963" s="15" t="n"/>
      <c r="E1963" s="16" t="n"/>
      <c r="F1963" s="18">
        <f>IF(OR(D1963="",E1963=""),"",D1963*E1963)</f>
        <v/>
      </c>
      <c r="G1963" s="15" t="n"/>
    </row>
    <row r="1964">
      <c r="A1964" s="19" t="n"/>
      <c r="B1964" s="15" t="n"/>
      <c r="C1964">
        <f>IF(B1964="","",IFERROR(INDEX(Items!$B$5:$B$304,MATCH(B1964,Items!$A$5:$A$304,0)),"Unknown code"))</f>
        <v/>
      </c>
      <c r="D1964" s="15" t="n"/>
      <c r="E1964" s="16" t="n"/>
      <c r="F1964" s="18">
        <f>IF(OR(D1964="",E1964=""),"",D1964*E1964)</f>
        <v/>
      </c>
      <c r="G1964" s="15" t="n"/>
    </row>
    <row r="1965">
      <c r="A1965" s="19" t="n"/>
      <c r="B1965" s="15" t="n"/>
      <c r="C1965">
        <f>IF(B1965="","",IFERROR(INDEX(Items!$B$5:$B$304,MATCH(B1965,Items!$A$5:$A$304,0)),"Unknown code"))</f>
        <v/>
      </c>
      <c r="D1965" s="15" t="n"/>
      <c r="E1965" s="16" t="n"/>
      <c r="F1965" s="18">
        <f>IF(OR(D1965="",E1965=""),"",D1965*E1965)</f>
        <v/>
      </c>
      <c r="G1965" s="15" t="n"/>
    </row>
    <row r="1966">
      <c r="A1966" s="19" t="n"/>
      <c r="B1966" s="15" t="n"/>
      <c r="C1966">
        <f>IF(B1966="","",IFERROR(INDEX(Items!$B$5:$B$304,MATCH(B1966,Items!$A$5:$A$304,0)),"Unknown code"))</f>
        <v/>
      </c>
      <c r="D1966" s="15" t="n"/>
      <c r="E1966" s="16" t="n"/>
      <c r="F1966" s="18">
        <f>IF(OR(D1966="",E1966=""),"",D1966*E1966)</f>
        <v/>
      </c>
      <c r="G1966" s="15" t="n"/>
    </row>
    <row r="1967">
      <c r="A1967" s="19" t="n"/>
      <c r="B1967" s="15" t="n"/>
      <c r="C1967">
        <f>IF(B1967="","",IFERROR(INDEX(Items!$B$5:$B$304,MATCH(B1967,Items!$A$5:$A$304,0)),"Unknown code"))</f>
        <v/>
      </c>
      <c r="D1967" s="15" t="n"/>
      <c r="E1967" s="16" t="n"/>
      <c r="F1967" s="18">
        <f>IF(OR(D1967="",E1967=""),"",D1967*E1967)</f>
        <v/>
      </c>
      <c r="G1967" s="15" t="n"/>
    </row>
    <row r="1968">
      <c r="A1968" s="19" t="n"/>
      <c r="B1968" s="15" t="n"/>
      <c r="C1968">
        <f>IF(B1968="","",IFERROR(INDEX(Items!$B$5:$B$304,MATCH(B1968,Items!$A$5:$A$304,0)),"Unknown code"))</f>
        <v/>
      </c>
      <c r="D1968" s="15" t="n"/>
      <c r="E1968" s="16" t="n"/>
      <c r="F1968" s="18">
        <f>IF(OR(D1968="",E1968=""),"",D1968*E1968)</f>
        <v/>
      </c>
      <c r="G1968" s="15" t="n"/>
    </row>
    <row r="1969">
      <c r="A1969" s="19" t="n"/>
      <c r="B1969" s="15" t="n"/>
      <c r="C1969">
        <f>IF(B1969="","",IFERROR(INDEX(Items!$B$5:$B$304,MATCH(B1969,Items!$A$5:$A$304,0)),"Unknown code"))</f>
        <v/>
      </c>
      <c r="D1969" s="15" t="n"/>
      <c r="E1969" s="16" t="n"/>
      <c r="F1969" s="18">
        <f>IF(OR(D1969="",E1969=""),"",D1969*E1969)</f>
        <v/>
      </c>
      <c r="G1969" s="15" t="n"/>
    </row>
    <row r="1970">
      <c r="A1970" s="19" t="n"/>
      <c r="B1970" s="15" t="n"/>
      <c r="C1970">
        <f>IF(B1970="","",IFERROR(INDEX(Items!$B$5:$B$304,MATCH(B1970,Items!$A$5:$A$304,0)),"Unknown code"))</f>
        <v/>
      </c>
      <c r="D1970" s="15" t="n"/>
      <c r="E1970" s="16" t="n"/>
      <c r="F1970" s="18">
        <f>IF(OR(D1970="",E1970=""),"",D1970*E1970)</f>
        <v/>
      </c>
      <c r="G1970" s="15" t="n"/>
    </row>
    <row r="1971">
      <c r="A1971" s="19" t="n"/>
      <c r="B1971" s="15" t="n"/>
      <c r="C1971">
        <f>IF(B1971="","",IFERROR(INDEX(Items!$B$5:$B$304,MATCH(B1971,Items!$A$5:$A$304,0)),"Unknown code"))</f>
        <v/>
      </c>
      <c r="D1971" s="15" t="n"/>
      <c r="E1971" s="16" t="n"/>
      <c r="F1971" s="18">
        <f>IF(OR(D1971="",E1971=""),"",D1971*E1971)</f>
        <v/>
      </c>
      <c r="G1971" s="15" t="n"/>
    </row>
    <row r="1972">
      <c r="A1972" s="19" t="n"/>
      <c r="B1972" s="15" t="n"/>
      <c r="C1972">
        <f>IF(B1972="","",IFERROR(INDEX(Items!$B$5:$B$304,MATCH(B1972,Items!$A$5:$A$304,0)),"Unknown code"))</f>
        <v/>
      </c>
      <c r="D1972" s="15" t="n"/>
      <c r="E1972" s="16" t="n"/>
      <c r="F1972" s="18">
        <f>IF(OR(D1972="",E1972=""),"",D1972*E1972)</f>
        <v/>
      </c>
      <c r="G1972" s="15" t="n"/>
    </row>
    <row r="1973">
      <c r="A1973" s="19" t="n"/>
      <c r="B1973" s="15" t="n"/>
      <c r="C1973">
        <f>IF(B1973="","",IFERROR(INDEX(Items!$B$5:$B$304,MATCH(B1973,Items!$A$5:$A$304,0)),"Unknown code"))</f>
        <v/>
      </c>
      <c r="D1973" s="15" t="n"/>
      <c r="E1973" s="16" t="n"/>
      <c r="F1973" s="18">
        <f>IF(OR(D1973="",E1973=""),"",D1973*E1973)</f>
        <v/>
      </c>
      <c r="G1973" s="15" t="n"/>
    </row>
    <row r="1974">
      <c r="A1974" s="19" t="n"/>
      <c r="B1974" s="15" t="n"/>
      <c r="C1974">
        <f>IF(B1974="","",IFERROR(INDEX(Items!$B$5:$B$304,MATCH(B1974,Items!$A$5:$A$304,0)),"Unknown code"))</f>
        <v/>
      </c>
      <c r="D1974" s="15" t="n"/>
      <c r="E1974" s="16" t="n"/>
      <c r="F1974" s="18">
        <f>IF(OR(D1974="",E1974=""),"",D1974*E1974)</f>
        <v/>
      </c>
      <c r="G1974" s="15" t="n"/>
    </row>
    <row r="1975">
      <c r="A1975" s="19" t="n"/>
      <c r="B1975" s="15" t="n"/>
      <c r="C1975">
        <f>IF(B1975="","",IFERROR(INDEX(Items!$B$5:$B$304,MATCH(B1975,Items!$A$5:$A$304,0)),"Unknown code"))</f>
        <v/>
      </c>
      <c r="D1975" s="15" t="n"/>
      <c r="E1975" s="16" t="n"/>
      <c r="F1975" s="18">
        <f>IF(OR(D1975="",E1975=""),"",D1975*E1975)</f>
        <v/>
      </c>
      <c r="G1975" s="15" t="n"/>
    </row>
    <row r="1976">
      <c r="A1976" s="19" t="n"/>
      <c r="B1976" s="15" t="n"/>
      <c r="C1976">
        <f>IF(B1976="","",IFERROR(INDEX(Items!$B$5:$B$304,MATCH(B1976,Items!$A$5:$A$304,0)),"Unknown code"))</f>
        <v/>
      </c>
      <c r="D1976" s="15" t="n"/>
      <c r="E1976" s="16" t="n"/>
      <c r="F1976" s="18">
        <f>IF(OR(D1976="",E1976=""),"",D1976*E1976)</f>
        <v/>
      </c>
      <c r="G1976" s="15" t="n"/>
    </row>
    <row r="1977">
      <c r="A1977" s="19" t="n"/>
      <c r="B1977" s="15" t="n"/>
      <c r="C1977">
        <f>IF(B1977="","",IFERROR(INDEX(Items!$B$5:$B$304,MATCH(B1977,Items!$A$5:$A$304,0)),"Unknown code"))</f>
        <v/>
      </c>
      <c r="D1977" s="15" t="n"/>
      <c r="E1977" s="16" t="n"/>
      <c r="F1977" s="18">
        <f>IF(OR(D1977="",E1977=""),"",D1977*E1977)</f>
        <v/>
      </c>
      <c r="G1977" s="15" t="n"/>
    </row>
    <row r="1978">
      <c r="A1978" s="19" t="n"/>
      <c r="B1978" s="15" t="n"/>
      <c r="C1978">
        <f>IF(B1978="","",IFERROR(INDEX(Items!$B$5:$B$304,MATCH(B1978,Items!$A$5:$A$304,0)),"Unknown code"))</f>
        <v/>
      </c>
      <c r="D1978" s="15" t="n"/>
      <c r="E1978" s="16" t="n"/>
      <c r="F1978" s="18">
        <f>IF(OR(D1978="",E1978=""),"",D1978*E1978)</f>
        <v/>
      </c>
      <c r="G1978" s="15" t="n"/>
    </row>
    <row r="1979">
      <c r="A1979" s="19" t="n"/>
      <c r="B1979" s="15" t="n"/>
      <c r="C1979">
        <f>IF(B1979="","",IFERROR(INDEX(Items!$B$5:$B$304,MATCH(B1979,Items!$A$5:$A$304,0)),"Unknown code"))</f>
        <v/>
      </c>
      <c r="D1979" s="15" t="n"/>
      <c r="E1979" s="16" t="n"/>
      <c r="F1979" s="18">
        <f>IF(OR(D1979="",E1979=""),"",D1979*E1979)</f>
        <v/>
      </c>
      <c r="G1979" s="15" t="n"/>
    </row>
    <row r="1980">
      <c r="A1980" s="19" t="n"/>
      <c r="B1980" s="15" t="n"/>
      <c r="C1980">
        <f>IF(B1980="","",IFERROR(INDEX(Items!$B$5:$B$304,MATCH(B1980,Items!$A$5:$A$304,0)),"Unknown code"))</f>
        <v/>
      </c>
      <c r="D1980" s="15" t="n"/>
      <c r="E1980" s="16" t="n"/>
      <c r="F1980" s="18">
        <f>IF(OR(D1980="",E1980=""),"",D1980*E1980)</f>
        <v/>
      </c>
      <c r="G1980" s="15" t="n"/>
    </row>
    <row r="1981">
      <c r="A1981" s="19" t="n"/>
      <c r="B1981" s="15" t="n"/>
      <c r="C1981">
        <f>IF(B1981="","",IFERROR(INDEX(Items!$B$5:$B$304,MATCH(B1981,Items!$A$5:$A$304,0)),"Unknown code"))</f>
        <v/>
      </c>
      <c r="D1981" s="15" t="n"/>
      <c r="E1981" s="16" t="n"/>
      <c r="F1981" s="18">
        <f>IF(OR(D1981="",E1981=""),"",D1981*E1981)</f>
        <v/>
      </c>
      <c r="G1981" s="15" t="n"/>
    </row>
    <row r="1982">
      <c r="A1982" s="19" t="n"/>
      <c r="B1982" s="15" t="n"/>
      <c r="C1982">
        <f>IF(B1982="","",IFERROR(INDEX(Items!$B$5:$B$304,MATCH(B1982,Items!$A$5:$A$304,0)),"Unknown code"))</f>
        <v/>
      </c>
      <c r="D1982" s="15" t="n"/>
      <c r="E1982" s="16" t="n"/>
      <c r="F1982" s="18">
        <f>IF(OR(D1982="",E1982=""),"",D1982*E1982)</f>
        <v/>
      </c>
      <c r="G1982" s="15" t="n"/>
    </row>
    <row r="1983">
      <c r="A1983" s="19" t="n"/>
      <c r="B1983" s="15" t="n"/>
      <c r="C1983">
        <f>IF(B1983="","",IFERROR(INDEX(Items!$B$5:$B$304,MATCH(B1983,Items!$A$5:$A$304,0)),"Unknown code"))</f>
        <v/>
      </c>
      <c r="D1983" s="15" t="n"/>
      <c r="E1983" s="16" t="n"/>
      <c r="F1983" s="18">
        <f>IF(OR(D1983="",E1983=""),"",D1983*E1983)</f>
        <v/>
      </c>
      <c r="G1983" s="15" t="n"/>
    </row>
    <row r="1984">
      <c r="A1984" s="19" t="n"/>
      <c r="B1984" s="15" t="n"/>
      <c r="C1984">
        <f>IF(B1984="","",IFERROR(INDEX(Items!$B$5:$B$304,MATCH(B1984,Items!$A$5:$A$304,0)),"Unknown code"))</f>
        <v/>
      </c>
      <c r="D1984" s="15" t="n"/>
      <c r="E1984" s="16" t="n"/>
      <c r="F1984" s="18">
        <f>IF(OR(D1984="",E1984=""),"",D1984*E1984)</f>
        <v/>
      </c>
      <c r="G1984" s="15" t="n"/>
    </row>
    <row r="1985">
      <c r="A1985" s="19" t="n"/>
      <c r="B1985" s="15" t="n"/>
      <c r="C1985">
        <f>IF(B1985="","",IFERROR(INDEX(Items!$B$5:$B$304,MATCH(B1985,Items!$A$5:$A$304,0)),"Unknown code"))</f>
        <v/>
      </c>
      <c r="D1985" s="15" t="n"/>
      <c r="E1985" s="16" t="n"/>
      <c r="F1985" s="18">
        <f>IF(OR(D1985="",E1985=""),"",D1985*E1985)</f>
        <v/>
      </c>
      <c r="G1985" s="15" t="n"/>
    </row>
    <row r="1986">
      <c r="A1986" s="19" t="n"/>
      <c r="B1986" s="15" t="n"/>
      <c r="C1986">
        <f>IF(B1986="","",IFERROR(INDEX(Items!$B$5:$B$304,MATCH(B1986,Items!$A$5:$A$304,0)),"Unknown code"))</f>
        <v/>
      </c>
      <c r="D1986" s="15" t="n"/>
      <c r="E1986" s="16" t="n"/>
      <c r="F1986" s="18">
        <f>IF(OR(D1986="",E1986=""),"",D1986*E1986)</f>
        <v/>
      </c>
      <c r="G1986" s="15" t="n"/>
    </row>
    <row r="1987">
      <c r="A1987" s="19" t="n"/>
      <c r="B1987" s="15" t="n"/>
      <c r="C1987">
        <f>IF(B1987="","",IFERROR(INDEX(Items!$B$5:$B$304,MATCH(B1987,Items!$A$5:$A$304,0)),"Unknown code"))</f>
        <v/>
      </c>
      <c r="D1987" s="15" t="n"/>
      <c r="E1987" s="16" t="n"/>
      <c r="F1987" s="18">
        <f>IF(OR(D1987="",E1987=""),"",D1987*E1987)</f>
        <v/>
      </c>
      <c r="G1987" s="15" t="n"/>
    </row>
    <row r="1988">
      <c r="A1988" s="19" t="n"/>
      <c r="B1988" s="15" t="n"/>
      <c r="C1988">
        <f>IF(B1988="","",IFERROR(INDEX(Items!$B$5:$B$304,MATCH(B1988,Items!$A$5:$A$304,0)),"Unknown code"))</f>
        <v/>
      </c>
      <c r="D1988" s="15" t="n"/>
      <c r="E1988" s="16" t="n"/>
      <c r="F1988" s="18">
        <f>IF(OR(D1988="",E1988=""),"",D1988*E1988)</f>
        <v/>
      </c>
      <c r="G1988" s="15" t="n"/>
    </row>
    <row r="1989">
      <c r="A1989" s="19" t="n"/>
      <c r="B1989" s="15" t="n"/>
      <c r="C1989">
        <f>IF(B1989="","",IFERROR(INDEX(Items!$B$5:$B$304,MATCH(B1989,Items!$A$5:$A$304,0)),"Unknown code"))</f>
        <v/>
      </c>
      <c r="D1989" s="15" t="n"/>
      <c r="E1989" s="16" t="n"/>
      <c r="F1989" s="18">
        <f>IF(OR(D1989="",E1989=""),"",D1989*E1989)</f>
        <v/>
      </c>
      <c r="G1989" s="15" t="n"/>
    </row>
    <row r="1990">
      <c r="A1990" s="19" t="n"/>
      <c r="B1990" s="15" t="n"/>
      <c r="C1990">
        <f>IF(B1990="","",IFERROR(INDEX(Items!$B$5:$B$304,MATCH(B1990,Items!$A$5:$A$304,0)),"Unknown code"))</f>
        <v/>
      </c>
      <c r="D1990" s="15" t="n"/>
      <c r="E1990" s="16" t="n"/>
      <c r="F1990" s="18">
        <f>IF(OR(D1990="",E1990=""),"",D1990*E1990)</f>
        <v/>
      </c>
      <c r="G1990" s="15" t="n"/>
    </row>
    <row r="1991">
      <c r="A1991" s="19" t="n"/>
      <c r="B1991" s="15" t="n"/>
      <c r="C1991">
        <f>IF(B1991="","",IFERROR(INDEX(Items!$B$5:$B$304,MATCH(B1991,Items!$A$5:$A$304,0)),"Unknown code"))</f>
        <v/>
      </c>
      <c r="D1991" s="15" t="n"/>
      <c r="E1991" s="16" t="n"/>
      <c r="F1991" s="18">
        <f>IF(OR(D1991="",E1991=""),"",D1991*E1991)</f>
        <v/>
      </c>
      <c r="G1991" s="15" t="n"/>
    </row>
    <row r="1992">
      <c r="A1992" s="19" t="n"/>
      <c r="B1992" s="15" t="n"/>
      <c r="C1992">
        <f>IF(B1992="","",IFERROR(INDEX(Items!$B$5:$B$304,MATCH(B1992,Items!$A$5:$A$304,0)),"Unknown code"))</f>
        <v/>
      </c>
      <c r="D1992" s="15" t="n"/>
      <c r="E1992" s="16" t="n"/>
      <c r="F1992" s="18">
        <f>IF(OR(D1992="",E1992=""),"",D1992*E1992)</f>
        <v/>
      </c>
      <c r="G1992" s="15" t="n"/>
    </row>
    <row r="1993">
      <c r="A1993" s="19" t="n"/>
      <c r="B1993" s="15" t="n"/>
      <c r="C1993">
        <f>IF(B1993="","",IFERROR(INDEX(Items!$B$5:$B$304,MATCH(B1993,Items!$A$5:$A$304,0)),"Unknown code"))</f>
        <v/>
      </c>
      <c r="D1993" s="15" t="n"/>
      <c r="E1993" s="16" t="n"/>
      <c r="F1993" s="18">
        <f>IF(OR(D1993="",E1993=""),"",D1993*E1993)</f>
        <v/>
      </c>
      <c r="G1993" s="15" t="n"/>
    </row>
    <row r="1994">
      <c r="A1994" s="19" t="n"/>
      <c r="B1994" s="15" t="n"/>
      <c r="C1994">
        <f>IF(B1994="","",IFERROR(INDEX(Items!$B$5:$B$304,MATCH(B1994,Items!$A$5:$A$304,0)),"Unknown code"))</f>
        <v/>
      </c>
      <c r="D1994" s="15" t="n"/>
      <c r="E1994" s="16" t="n"/>
      <c r="F1994" s="18">
        <f>IF(OR(D1994="",E1994=""),"",D1994*E1994)</f>
        <v/>
      </c>
      <c r="G1994" s="15" t="n"/>
    </row>
    <row r="1995">
      <c r="A1995" s="19" t="n"/>
      <c r="B1995" s="15" t="n"/>
      <c r="C1995">
        <f>IF(B1995="","",IFERROR(INDEX(Items!$B$5:$B$304,MATCH(B1995,Items!$A$5:$A$304,0)),"Unknown code"))</f>
        <v/>
      </c>
      <c r="D1995" s="15" t="n"/>
      <c r="E1995" s="16" t="n"/>
      <c r="F1995" s="18">
        <f>IF(OR(D1995="",E1995=""),"",D1995*E1995)</f>
        <v/>
      </c>
      <c r="G1995" s="15" t="n"/>
    </row>
    <row r="1996">
      <c r="A1996" s="19" t="n"/>
      <c r="B1996" s="15" t="n"/>
      <c r="C1996">
        <f>IF(B1996="","",IFERROR(INDEX(Items!$B$5:$B$304,MATCH(B1996,Items!$A$5:$A$304,0)),"Unknown code"))</f>
        <v/>
      </c>
      <c r="D1996" s="15" t="n"/>
      <c r="E1996" s="16" t="n"/>
      <c r="F1996" s="18">
        <f>IF(OR(D1996="",E1996=""),"",D1996*E1996)</f>
        <v/>
      </c>
      <c r="G1996" s="15" t="n"/>
    </row>
    <row r="1997">
      <c r="A1997" s="19" t="n"/>
      <c r="B1997" s="15" t="n"/>
      <c r="C1997">
        <f>IF(B1997="","",IFERROR(INDEX(Items!$B$5:$B$304,MATCH(B1997,Items!$A$5:$A$304,0)),"Unknown code"))</f>
        <v/>
      </c>
      <c r="D1997" s="15" t="n"/>
      <c r="E1997" s="16" t="n"/>
      <c r="F1997" s="18">
        <f>IF(OR(D1997="",E1997=""),"",D1997*E1997)</f>
        <v/>
      </c>
      <c r="G1997" s="15" t="n"/>
    </row>
    <row r="1998">
      <c r="A1998" s="19" t="n"/>
      <c r="B1998" s="15" t="n"/>
      <c r="C1998">
        <f>IF(B1998="","",IFERROR(INDEX(Items!$B$5:$B$304,MATCH(B1998,Items!$A$5:$A$304,0)),"Unknown code"))</f>
        <v/>
      </c>
      <c r="D1998" s="15" t="n"/>
      <c r="E1998" s="16" t="n"/>
      <c r="F1998" s="18">
        <f>IF(OR(D1998="",E1998=""),"",D1998*E1998)</f>
        <v/>
      </c>
      <c r="G1998" s="15" t="n"/>
    </row>
    <row r="1999">
      <c r="A1999" s="19" t="n"/>
      <c r="B1999" s="15" t="n"/>
      <c r="C1999">
        <f>IF(B1999="","",IFERROR(INDEX(Items!$B$5:$B$304,MATCH(B1999,Items!$A$5:$A$304,0)),"Unknown code"))</f>
        <v/>
      </c>
      <c r="D1999" s="15" t="n"/>
      <c r="E1999" s="16" t="n"/>
      <c r="F1999" s="18">
        <f>IF(OR(D1999="",E1999=""),"",D1999*E1999)</f>
        <v/>
      </c>
      <c r="G1999" s="15" t="n"/>
    </row>
    <row r="2000">
      <c r="A2000" s="19" t="n"/>
      <c r="B2000" s="15" t="n"/>
      <c r="C2000">
        <f>IF(B2000="","",IFERROR(INDEX(Items!$B$5:$B$304,MATCH(B2000,Items!$A$5:$A$304,0)),"Unknown code"))</f>
        <v/>
      </c>
      <c r="D2000" s="15" t="n"/>
      <c r="E2000" s="16" t="n"/>
      <c r="F2000" s="18">
        <f>IF(OR(D2000="",E2000=""),"",D2000*E2000)</f>
        <v/>
      </c>
      <c r="G2000" s="15" t="n"/>
    </row>
    <row r="2001">
      <c r="A2001" s="19" t="n"/>
      <c r="B2001" s="15" t="n"/>
      <c r="C2001">
        <f>IF(B2001="","",IFERROR(INDEX(Items!$B$5:$B$304,MATCH(B2001,Items!$A$5:$A$304,0)),"Unknown code"))</f>
        <v/>
      </c>
      <c r="D2001" s="15" t="n"/>
      <c r="E2001" s="16" t="n"/>
      <c r="F2001" s="18">
        <f>IF(OR(D2001="",E2001=""),"",D2001*E2001)</f>
        <v/>
      </c>
      <c r="G2001" s="15" t="n"/>
    </row>
    <row r="2002">
      <c r="A2002" s="19" t="n"/>
      <c r="B2002" s="15" t="n"/>
      <c r="C2002">
        <f>IF(B2002="","",IFERROR(INDEX(Items!$B$5:$B$304,MATCH(B2002,Items!$A$5:$A$304,0)),"Unknown code"))</f>
        <v/>
      </c>
      <c r="D2002" s="15" t="n"/>
      <c r="E2002" s="16" t="n"/>
      <c r="F2002" s="18">
        <f>IF(OR(D2002="",E2002=""),"",D2002*E2002)</f>
        <v/>
      </c>
      <c r="G2002" s="15" t="n"/>
    </row>
    <row r="2003">
      <c r="A2003" s="19" t="n"/>
      <c r="B2003" s="15" t="n"/>
      <c r="C2003">
        <f>IF(B2003="","",IFERROR(INDEX(Items!$B$5:$B$304,MATCH(B2003,Items!$A$5:$A$304,0)),"Unknown code"))</f>
        <v/>
      </c>
      <c r="D2003" s="15" t="n"/>
      <c r="E2003" s="16" t="n"/>
      <c r="F2003" s="18">
        <f>IF(OR(D2003="",E2003=""),"",D2003*E2003)</f>
        <v/>
      </c>
      <c r="G2003" s="15" t="n"/>
    </row>
    <row r="2004">
      <c r="A2004" s="19" t="n"/>
      <c r="B2004" s="15" t="n"/>
      <c r="C2004">
        <f>IF(B2004="","",IFERROR(INDEX(Items!$B$5:$B$304,MATCH(B2004,Items!$A$5:$A$304,0)),"Unknown code"))</f>
        <v/>
      </c>
      <c r="D2004" s="15" t="n"/>
      <c r="E2004" s="16" t="n"/>
      <c r="F2004" s="18">
        <f>IF(OR(D2004="",E2004=""),"",D2004*E2004)</f>
        <v/>
      </c>
      <c r="G2004" s="15" t="n"/>
    </row>
    <row r="2005">
      <c r="A2005" s="19" t="n"/>
      <c r="B2005" s="15" t="n"/>
      <c r="C2005">
        <f>IF(B2005="","",IFERROR(INDEX(Items!$B$5:$B$304,MATCH(B2005,Items!$A$5:$A$304,0)),"Unknown code"))</f>
        <v/>
      </c>
      <c r="D2005" s="15" t="n"/>
      <c r="E2005" s="16" t="n"/>
      <c r="F2005" s="18">
        <f>IF(OR(D2005="",E2005=""),"",D2005*E2005)</f>
        <v/>
      </c>
      <c r="G2005" s="15" t="n"/>
    </row>
    <row r="2006">
      <c r="A2006" s="19" t="n"/>
      <c r="B2006" s="15" t="n"/>
      <c r="C2006">
        <f>IF(B2006="","",IFERROR(INDEX(Items!$B$5:$B$304,MATCH(B2006,Items!$A$5:$A$304,0)),"Unknown code"))</f>
        <v/>
      </c>
      <c r="D2006" s="15" t="n"/>
      <c r="E2006" s="16" t="n"/>
      <c r="F2006" s="18">
        <f>IF(OR(D2006="",E2006=""),"",D2006*E2006)</f>
        <v/>
      </c>
      <c r="G2006" s="15" t="n"/>
    </row>
    <row r="2007">
      <c r="A2007" s="19" t="n"/>
      <c r="B2007" s="15" t="n"/>
      <c r="C2007">
        <f>IF(B2007="","",IFERROR(INDEX(Items!$B$5:$B$304,MATCH(B2007,Items!$A$5:$A$304,0)),"Unknown code"))</f>
        <v/>
      </c>
      <c r="D2007" s="15" t="n"/>
      <c r="E2007" s="16" t="n"/>
      <c r="F2007" s="18">
        <f>IF(OR(D2007="",E2007=""),"",D2007*E2007)</f>
        <v/>
      </c>
      <c r="G2007" s="15" t="n"/>
    </row>
    <row r="2008">
      <c r="A2008" s="19" t="n"/>
      <c r="B2008" s="15" t="n"/>
      <c r="C2008">
        <f>IF(B2008="","",IFERROR(INDEX(Items!$B$5:$B$304,MATCH(B2008,Items!$A$5:$A$304,0)),"Unknown code"))</f>
        <v/>
      </c>
      <c r="D2008" s="15" t="n"/>
      <c r="E2008" s="16" t="n"/>
      <c r="F2008" s="18">
        <f>IF(OR(D2008="",E2008=""),"",D2008*E2008)</f>
        <v/>
      </c>
      <c r="G2008" s="15" t="n"/>
    </row>
    <row r="2009">
      <c r="A2009" s="19" t="n"/>
      <c r="B2009" s="15" t="n"/>
      <c r="C2009">
        <f>IF(B2009="","",IFERROR(INDEX(Items!$B$5:$B$304,MATCH(B2009,Items!$A$5:$A$304,0)),"Unknown code"))</f>
        <v/>
      </c>
      <c r="D2009" s="15" t="n"/>
      <c r="E2009" s="16" t="n"/>
      <c r="F2009" s="18">
        <f>IF(OR(D2009="",E2009=""),"",D2009*E2009)</f>
        <v/>
      </c>
      <c r="G2009" s="15" t="n"/>
    </row>
    <row r="2010">
      <c r="A2010" s="19" t="n"/>
      <c r="B2010" s="15" t="n"/>
      <c r="C2010">
        <f>IF(B2010="","",IFERROR(INDEX(Items!$B$5:$B$304,MATCH(B2010,Items!$A$5:$A$304,0)),"Unknown code"))</f>
        <v/>
      </c>
      <c r="D2010" s="15" t="n"/>
      <c r="E2010" s="16" t="n"/>
      <c r="F2010" s="18">
        <f>IF(OR(D2010="",E2010=""),"",D2010*E2010)</f>
        <v/>
      </c>
      <c r="G2010" s="15" t="n"/>
    </row>
    <row r="2011">
      <c r="A2011" s="19" t="n"/>
      <c r="B2011" s="15" t="n"/>
      <c r="C2011">
        <f>IF(B2011="","",IFERROR(INDEX(Items!$B$5:$B$304,MATCH(B2011,Items!$A$5:$A$304,0)),"Unknown code"))</f>
        <v/>
      </c>
      <c r="D2011" s="15" t="n"/>
      <c r="E2011" s="16" t="n"/>
      <c r="F2011" s="18">
        <f>IF(OR(D2011="",E2011=""),"",D2011*E2011)</f>
        <v/>
      </c>
      <c r="G2011" s="15" t="n"/>
    </row>
    <row r="2012">
      <c r="A2012" s="19" t="n"/>
      <c r="B2012" s="15" t="n"/>
      <c r="C2012">
        <f>IF(B2012="","",IFERROR(INDEX(Items!$B$5:$B$304,MATCH(B2012,Items!$A$5:$A$304,0)),"Unknown code"))</f>
        <v/>
      </c>
      <c r="D2012" s="15" t="n"/>
      <c r="E2012" s="16" t="n"/>
      <c r="F2012" s="18">
        <f>IF(OR(D2012="",E2012=""),"",D2012*E2012)</f>
        <v/>
      </c>
      <c r="G2012" s="15" t="n"/>
    </row>
    <row r="2013">
      <c r="A2013" s="19" t="n"/>
      <c r="B2013" s="15" t="n"/>
      <c r="C2013">
        <f>IF(B2013="","",IFERROR(INDEX(Items!$B$5:$B$304,MATCH(B2013,Items!$A$5:$A$304,0)),"Unknown code"))</f>
        <v/>
      </c>
      <c r="D2013" s="15" t="n"/>
      <c r="E2013" s="16" t="n"/>
      <c r="F2013" s="18">
        <f>IF(OR(D2013="",E2013=""),"",D2013*E2013)</f>
        <v/>
      </c>
      <c r="G2013" s="15" t="n"/>
    </row>
    <row r="2014">
      <c r="A2014" s="19" t="n"/>
      <c r="B2014" s="15" t="n"/>
      <c r="C2014">
        <f>IF(B2014="","",IFERROR(INDEX(Items!$B$5:$B$304,MATCH(B2014,Items!$A$5:$A$304,0)),"Unknown code"))</f>
        <v/>
      </c>
      <c r="D2014" s="15" t="n"/>
      <c r="E2014" s="16" t="n"/>
      <c r="F2014" s="18">
        <f>IF(OR(D2014="",E2014=""),"",D2014*E2014)</f>
        <v/>
      </c>
      <c r="G2014" s="15" t="n"/>
    </row>
    <row r="2015">
      <c r="A2015" s="19" t="n"/>
      <c r="B2015" s="15" t="n"/>
      <c r="C2015">
        <f>IF(B2015="","",IFERROR(INDEX(Items!$B$5:$B$304,MATCH(B2015,Items!$A$5:$A$304,0)),"Unknown code"))</f>
        <v/>
      </c>
      <c r="D2015" s="15" t="n"/>
      <c r="E2015" s="16" t="n"/>
      <c r="F2015" s="18">
        <f>IF(OR(D2015="",E2015=""),"",D2015*E2015)</f>
        <v/>
      </c>
      <c r="G2015" s="15" t="n"/>
    </row>
    <row r="2016">
      <c r="A2016" s="19" t="n"/>
      <c r="B2016" s="15" t="n"/>
      <c r="C2016">
        <f>IF(B2016="","",IFERROR(INDEX(Items!$B$5:$B$304,MATCH(B2016,Items!$A$5:$A$304,0)),"Unknown code"))</f>
        <v/>
      </c>
      <c r="D2016" s="15" t="n"/>
      <c r="E2016" s="16" t="n"/>
      <c r="F2016" s="18">
        <f>IF(OR(D2016="",E2016=""),"",D2016*E2016)</f>
        <v/>
      </c>
      <c r="G2016" s="15" t="n"/>
    </row>
    <row r="2017">
      <c r="A2017" s="19" t="n"/>
      <c r="B2017" s="15" t="n"/>
      <c r="C2017">
        <f>IF(B2017="","",IFERROR(INDEX(Items!$B$5:$B$304,MATCH(B2017,Items!$A$5:$A$304,0)),"Unknown code"))</f>
        <v/>
      </c>
      <c r="D2017" s="15" t="n"/>
      <c r="E2017" s="16" t="n"/>
      <c r="F2017" s="18">
        <f>IF(OR(D2017="",E2017=""),"",D2017*E2017)</f>
        <v/>
      </c>
      <c r="G2017" s="15" t="n"/>
    </row>
    <row r="2018">
      <c r="A2018" s="19" t="n"/>
      <c r="B2018" s="15" t="n"/>
      <c r="C2018">
        <f>IF(B2018="","",IFERROR(INDEX(Items!$B$5:$B$304,MATCH(B2018,Items!$A$5:$A$304,0)),"Unknown code"))</f>
        <v/>
      </c>
      <c r="D2018" s="15" t="n"/>
      <c r="E2018" s="16" t="n"/>
      <c r="F2018" s="18">
        <f>IF(OR(D2018="",E2018=""),"",D2018*E2018)</f>
        <v/>
      </c>
      <c r="G2018" s="15" t="n"/>
    </row>
    <row r="2019">
      <c r="A2019" s="19" t="n"/>
      <c r="B2019" s="15" t="n"/>
      <c r="C2019">
        <f>IF(B2019="","",IFERROR(INDEX(Items!$B$5:$B$304,MATCH(B2019,Items!$A$5:$A$304,0)),"Unknown code"))</f>
        <v/>
      </c>
      <c r="D2019" s="15" t="n"/>
      <c r="E2019" s="16" t="n"/>
      <c r="F2019" s="18">
        <f>IF(OR(D2019="",E2019=""),"",D2019*E2019)</f>
        <v/>
      </c>
      <c r="G2019" s="15" t="n"/>
    </row>
    <row r="2020">
      <c r="A2020" s="19" t="n"/>
      <c r="B2020" s="15" t="n"/>
      <c r="C2020">
        <f>IF(B2020="","",IFERROR(INDEX(Items!$B$5:$B$304,MATCH(B2020,Items!$A$5:$A$304,0)),"Unknown code"))</f>
        <v/>
      </c>
      <c r="D2020" s="15" t="n"/>
      <c r="E2020" s="16" t="n"/>
      <c r="F2020" s="18">
        <f>IF(OR(D2020="",E2020=""),"",D2020*E2020)</f>
        <v/>
      </c>
      <c r="G2020" s="15" t="n"/>
    </row>
    <row r="2021">
      <c r="A2021" s="19" t="n"/>
      <c r="B2021" s="15" t="n"/>
      <c r="C2021">
        <f>IF(B2021="","",IFERROR(INDEX(Items!$B$5:$B$304,MATCH(B2021,Items!$A$5:$A$304,0)),"Unknown code"))</f>
        <v/>
      </c>
      <c r="D2021" s="15" t="n"/>
      <c r="E2021" s="16" t="n"/>
      <c r="F2021" s="18">
        <f>IF(OR(D2021="",E2021=""),"",D2021*E2021)</f>
        <v/>
      </c>
      <c r="G2021" s="15" t="n"/>
    </row>
    <row r="2022">
      <c r="A2022" s="19" t="n"/>
      <c r="B2022" s="15" t="n"/>
      <c r="C2022">
        <f>IF(B2022="","",IFERROR(INDEX(Items!$B$5:$B$304,MATCH(B2022,Items!$A$5:$A$304,0)),"Unknown code"))</f>
        <v/>
      </c>
      <c r="D2022" s="15" t="n"/>
      <c r="E2022" s="16" t="n"/>
      <c r="F2022" s="18">
        <f>IF(OR(D2022="",E2022=""),"",D2022*E2022)</f>
        <v/>
      </c>
      <c r="G2022" s="15" t="n"/>
    </row>
    <row r="2023">
      <c r="A2023" s="19" t="n"/>
      <c r="B2023" s="15" t="n"/>
      <c r="C2023">
        <f>IF(B2023="","",IFERROR(INDEX(Items!$B$5:$B$304,MATCH(B2023,Items!$A$5:$A$304,0)),"Unknown code"))</f>
        <v/>
      </c>
      <c r="D2023" s="15" t="n"/>
      <c r="E2023" s="16" t="n"/>
      <c r="F2023" s="18">
        <f>IF(OR(D2023="",E2023=""),"",D2023*E2023)</f>
        <v/>
      </c>
      <c r="G2023" s="15" t="n"/>
    </row>
    <row r="2024">
      <c r="A2024" s="19" t="n"/>
      <c r="B2024" s="15" t="n"/>
      <c r="C2024">
        <f>IF(B2024="","",IFERROR(INDEX(Items!$B$5:$B$304,MATCH(B2024,Items!$A$5:$A$304,0)),"Unknown code"))</f>
        <v/>
      </c>
      <c r="D2024" s="15" t="n"/>
      <c r="E2024" s="16" t="n"/>
      <c r="F2024" s="18">
        <f>IF(OR(D2024="",E2024=""),"",D2024*E2024)</f>
        <v/>
      </c>
      <c r="G2024" s="15" t="n"/>
    </row>
    <row r="2025">
      <c r="A2025" s="19" t="n"/>
      <c r="B2025" s="15" t="n"/>
      <c r="C2025">
        <f>IF(B2025="","",IFERROR(INDEX(Items!$B$5:$B$304,MATCH(B2025,Items!$A$5:$A$304,0)),"Unknown code"))</f>
        <v/>
      </c>
      <c r="D2025" s="15" t="n"/>
      <c r="E2025" s="16" t="n"/>
      <c r="F2025" s="18">
        <f>IF(OR(D2025="",E2025=""),"",D2025*E2025)</f>
        <v/>
      </c>
      <c r="G2025" s="15" t="n"/>
    </row>
    <row r="2026">
      <c r="A2026" s="19" t="n"/>
      <c r="B2026" s="15" t="n"/>
      <c r="C2026">
        <f>IF(B2026="","",IFERROR(INDEX(Items!$B$5:$B$304,MATCH(B2026,Items!$A$5:$A$304,0)),"Unknown code"))</f>
        <v/>
      </c>
      <c r="D2026" s="15" t="n"/>
      <c r="E2026" s="16" t="n"/>
      <c r="F2026" s="18">
        <f>IF(OR(D2026="",E2026=""),"",D2026*E2026)</f>
        <v/>
      </c>
      <c r="G2026" s="15" t="n"/>
    </row>
    <row r="2027">
      <c r="A2027" s="19" t="n"/>
      <c r="B2027" s="15" t="n"/>
      <c r="C2027">
        <f>IF(B2027="","",IFERROR(INDEX(Items!$B$5:$B$304,MATCH(B2027,Items!$A$5:$A$304,0)),"Unknown code"))</f>
        <v/>
      </c>
      <c r="D2027" s="15" t="n"/>
      <c r="E2027" s="16" t="n"/>
      <c r="F2027" s="18">
        <f>IF(OR(D2027="",E2027=""),"",D2027*E2027)</f>
        <v/>
      </c>
      <c r="G2027" s="15" t="n"/>
    </row>
    <row r="2028">
      <c r="A2028" s="19" t="n"/>
      <c r="B2028" s="15" t="n"/>
      <c r="C2028">
        <f>IF(B2028="","",IFERROR(INDEX(Items!$B$5:$B$304,MATCH(B2028,Items!$A$5:$A$304,0)),"Unknown code"))</f>
        <v/>
      </c>
      <c r="D2028" s="15" t="n"/>
      <c r="E2028" s="16" t="n"/>
      <c r="F2028" s="18">
        <f>IF(OR(D2028="",E2028=""),"",D2028*E2028)</f>
        <v/>
      </c>
      <c r="G2028" s="15" t="n"/>
    </row>
    <row r="2029">
      <c r="A2029" s="19" t="n"/>
      <c r="B2029" s="15" t="n"/>
      <c r="C2029">
        <f>IF(B2029="","",IFERROR(INDEX(Items!$B$5:$B$304,MATCH(B2029,Items!$A$5:$A$304,0)),"Unknown code"))</f>
        <v/>
      </c>
      <c r="D2029" s="15" t="n"/>
      <c r="E2029" s="16" t="n"/>
      <c r="F2029" s="18">
        <f>IF(OR(D2029="",E2029=""),"",D2029*E2029)</f>
        <v/>
      </c>
      <c r="G2029" s="15" t="n"/>
    </row>
    <row r="2030">
      <c r="A2030" s="19" t="n"/>
      <c r="B2030" s="15" t="n"/>
      <c r="C2030">
        <f>IF(B2030="","",IFERROR(INDEX(Items!$B$5:$B$304,MATCH(B2030,Items!$A$5:$A$304,0)),"Unknown code"))</f>
        <v/>
      </c>
      <c r="D2030" s="15" t="n"/>
      <c r="E2030" s="16" t="n"/>
      <c r="F2030" s="18">
        <f>IF(OR(D2030="",E2030=""),"",D2030*E2030)</f>
        <v/>
      </c>
      <c r="G2030" s="15" t="n"/>
    </row>
    <row r="2031">
      <c r="A2031" s="19" t="n"/>
      <c r="B2031" s="15" t="n"/>
      <c r="C2031">
        <f>IF(B2031="","",IFERROR(INDEX(Items!$B$5:$B$304,MATCH(B2031,Items!$A$5:$A$304,0)),"Unknown code"))</f>
        <v/>
      </c>
      <c r="D2031" s="15" t="n"/>
      <c r="E2031" s="16" t="n"/>
      <c r="F2031" s="18">
        <f>IF(OR(D2031="",E2031=""),"",D2031*E2031)</f>
        <v/>
      </c>
      <c r="G2031" s="15" t="n"/>
    </row>
    <row r="2032">
      <c r="A2032" s="19" t="n"/>
      <c r="B2032" s="15" t="n"/>
      <c r="C2032">
        <f>IF(B2032="","",IFERROR(INDEX(Items!$B$5:$B$304,MATCH(B2032,Items!$A$5:$A$304,0)),"Unknown code"))</f>
        <v/>
      </c>
      <c r="D2032" s="15" t="n"/>
      <c r="E2032" s="16" t="n"/>
      <c r="F2032" s="18">
        <f>IF(OR(D2032="",E2032=""),"",D2032*E2032)</f>
        <v/>
      </c>
      <c r="G2032" s="15" t="n"/>
    </row>
    <row r="2033">
      <c r="A2033" s="19" t="n"/>
      <c r="B2033" s="15" t="n"/>
      <c r="C2033">
        <f>IF(B2033="","",IFERROR(INDEX(Items!$B$5:$B$304,MATCH(B2033,Items!$A$5:$A$304,0)),"Unknown code"))</f>
        <v/>
      </c>
      <c r="D2033" s="15" t="n"/>
      <c r="E2033" s="16" t="n"/>
      <c r="F2033" s="18">
        <f>IF(OR(D2033="",E2033=""),"",D2033*E2033)</f>
        <v/>
      </c>
      <c r="G2033" s="15" t="n"/>
    </row>
    <row r="2034">
      <c r="A2034" s="19" t="n"/>
      <c r="B2034" s="15" t="n"/>
      <c r="C2034">
        <f>IF(B2034="","",IFERROR(INDEX(Items!$B$5:$B$304,MATCH(B2034,Items!$A$5:$A$304,0)),"Unknown code"))</f>
        <v/>
      </c>
      <c r="D2034" s="15" t="n"/>
      <c r="E2034" s="16" t="n"/>
      <c r="F2034" s="18">
        <f>IF(OR(D2034="",E2034=""),"",D2034*E2034)</f>
        <v/>
      </c>
      <c r="G2034" s="15" t="n"/>
    </row>
    <row r="2035">
      <c r="A2035" s="19" t="n"/>
      <c r="B2035" s="15" t="n"/>
      <c r="C2035">
        <f>IF(B2035="","",IFERROR(INDEX(Items!$B$5:$B$304,MATCH(B2035,Items!$A$5:$A$304,0)),"Unknown code"))</f>
        <v/>
      </c>
      <c r="D2035" s="15" t="n"/>
      <c r="E2035" s="16" t="n"/>
      <c r="F2035" s="18">
        <f>IF(OR(D2035="",E2035=""),"",D2035*E2035)</f>
        <v/>
      </c>
      <c r="G2035" s="15" t="n"/>
    </row>
    <row r="2036">
      <c r="A2036" s="19" t="n"/>
      <c r="B2036" s="15" t="n"/>
      <c r="C2036">
        <f>IF(B2036="","",IFERROR(INDEX(Items!$B$5:$B$304,MATCH(B2036,Items!$A$5:$A$304,0)),"Unknown code"))</f>
        <v/>
      </c>
      <c r="D2036" s="15" t="n"/>
      <c r="E2036" s="16" t="n"/>
      <c r="F2036" s="18">
        <f>IF(OR(D2036="",E2036=""),"",D2036*E2036)</f>
        <v/>
      </c>
      <c r="G2036" s="15" t="n"/>
    </row>
    <row r="2037">
      <c r="A2037" s="19" t="n"/>
      <c r="B2037" s="15" t="n"/>
      <c r="C2037">
        <f>IF(B2037="","",IFERROR(INDEX(Items!$B$5:$B$304,MATCH(B2037,Items!$A$5:$A$304,0)),"Unknown code"))</f>
        <v/>
      </c>
      <c r="D2037" s="15" t="n"/>
      <c r="E2037" s="16" t="n"/>
      <c r="F2037" s="18">
        <f>IF(OR(D2037="",E2037=""),"",D2037*E2037)</f>
        <v/>
      </c>
      <c r="G2037" s="15" t="n"/>
    </row>
    <row r="2038">
      <c r="A2038" s="19" t="n"/>
      <c r="B2038" s="15" t="n"/>
      <c r="C2038">
        <f>IF(B2038="","",IFERROR(INDEX(Items!$B$5:$B$304,MATCH(B2038,Items!$A$5:$A$304,0)),"Unknown code"))</f>
        <v/>
      </c>
      <c r="D2038" s="15" t="n"/>
      <c r="E2038" s="16" t="n"/>
      <c r="F2038" s="18">
        <f>IF(OR(D2038="",E2038=""),"",D2038*E2038)</f>
        <v/>
      </c>
      <c r="G2038" s="15" t="n"/>
    </row>
    <row r="2039">
      <c r="A2039" s="19" t="n"/>
      <c r="B2039" s="15" t="n"/>
      <c r="C2039">
        <f>IF(B2039="","",IFERROR(INDEX(Items!$B$5:$B$304,MATCH(B2039,Items!$A$5:$A$304,0)),"Unknown code"))</f>
        <v/>
      </c>
      <c r="D2039" s="15" t="n"/>
      <c r="E2039" s="16" t="n"/>
      <c r="F2039" s="18">
        <f>IF(OR(D2039="",E2039=""),"",D2039*E2039)</f>
        <v/>
      </c>
      <c r="G2039" s="15" t="n"/>
    </row>
    <row r="2040">
      <c r="A2040" s="19" t="n"/>
      <c r="B2040" s="15" t="n"/>
      <c r="C2040">
        <f>IF(B2040="","",IFERROR(INDEX(Items!$B$5:$B$304,MATCH(B2040,Items!$A$5:$A$304,0)),"Unknown code"))</f>
        <v/>
      </c>
      <c r="D2040" s="15" t="n"/>
      <c r="E2040" s="16" t="n"/>
      <c r="F2040" s="18">
        <f>IF(OR(D2040="",E2040=""),"",D2040*E2040)</f>
        <v/>
      </c>
      <c r="G2040" s="15" t="n"/>
    </row>
    <row r="2041">
      <c r="A2041" s="19" t="n"/>
      <c r="B2041" s="15" t="n"/>
      <c r="C2041">
        <f>IF(B2041="","",IFERROR(INDEX(Items!$B$5:$B$304,MATCH(B2041,Items!$A$5:$A$304,0)),"Unknown code"))</f>
        <v/>
      </c>
      <c r="D2041" s="15" t="n"/>
      <c r="E2041" s="16" t="n"/>
      <c r="F2041" s="18">
        <f>IF(OR(D2041="",E2041=""),"",D2041*E2041)</f>
        <v/>
      </c>
      <c r="G2041" s="15" t="n"/>
    </row>
    <row r="2042">
      <c r="A2042" s="19" t="n"/>
      <c r="B2042" s="15" t="n"/>
      <c r="C2042">
        <f>IF(B2042="","",IFERROR(INDEX(Items!$B$5:$B$304,MATCH(B2042,Items!$A$5:$A$304,0)),"Unknown code"))</f>
        <v/>
      </c>
      <c r="D2042" s="15" t="n"/>
      <c r="E2042" s="16" t="n"/>
      <c r="F2042" s="18">
        <f>IF(OR(D2042="",E2042=""),"",D2042*E2042)</f>
        <v/>
      </c>
      <c r="G2042" s="15" t="n"/>
    </row>
    <row r="2043">
      <c r="A2043" s="19" t="n"/>
      <c r="B2043" s="15" t="n"/>
      <c r="C2043">
        <f>IF(B2043="","",IFERROR(INDEX(Items!$B$5:$B$304,MATCH(B2043,Items!$A$5:$A$304,0)),"Unknown code"))</f>
        <v/>
      </c>
      <c r="D2043" s="15" t="n"/>
      <c r="E2043" s="16" t="n"/>
      <c r="F2043" s="18">
        <f>IF(OR(D2043="",E2043=""),"",D2043*E2043)</f>
        <v/>
      </c>
      <c r="G2043" s="15" t="n"/>
    </row>
    <row r="2044">
      <c r="A2044" s="19" t="n"/>
      <c r="B2044" s="15" t="n"/>
      <c r="C2044">
        <f>IF(B2044="","",IFERROR(INDEX(Items!$B$5:$B$304,MATCH(B2044,Items!$A$5:$A$304,0)),"Unknown code"))</f>
        <v/>
      </c>
      <c r="D2044" s="15" t="n"/>
      <c r="E2044" s="16" t="n"/>
      <c r="F2044" s="18">
        <f>IF(OR(D2044="",E2044=""),"",D2044*E2044)</f>
        <v/>
      </c>
      <c r="G2044" s="15" t="n"/>
    </row>
    <row r="2045">
      <c r="A2045" s="19" t="n"/>
      <c r="B2045" s="15" t="n"/>
      <c r="C2045">
        <f>IF(B2045="","",IFERROR(INDEX(Items!$B$5:$B$304,MATCH(B2045,Items!$A$5:$A$304,0)),"Unknown code"))</f>
        <v/>
      </c>
      <c r="D2045" s="15" t="n"/>
      <c r="E2045" s="16" t="n"/>
      <c r="F2045" s="18">
        <f>IF(OR(D2045="",E2045=""),"",D2045*E2045)</f>
        <v/>
      </c>
      <c r="G2045" s="15" t="n"/>
    </row>
    <row r="2046">
      <c r="A2046" s="19" t="n"/>
      <c r="B2046" s="15" t="n"/>
      <c r="C2046">
        <f>IF(B2046="","",IFERROR(INDEX(Items!$B$5:$B$304,MATCH(B2046,Items!$A$5:$A$304,0)),"Unknown code"))</f>
        <v/>
      </c>
      <c r="D2046" s="15" t="n"/>
      <c r="E2046" s="16" t="n"/>
      <c r="F2046" s="18">
        <f>IF(OR(D2046="",E2046=""),"",D2046*E2046)</f>
        <v/>
      </c>
      <c r="G2046" s="15" t="n"/>
    </row>
    <row r="2047">
      <c r="A2047" s="19" t="n"/>
      <c r="B2047" s="15" t="n"/>
      <c r="C2047">
        <f>IF(B2047="","",IFERROR(INDEX(Items!$B$5:$B$304,MATCH(B2047,Items!$A$5:$A$304,0)),"Unknown code"))</f>
        <v/>
      </c>
      <c r="D2047" s="15" t="n"/>
      <c r="E2047" s="16" t="n"/>
      <c r="F2047" s="18">
        <f>IF(OR(D2047="",E2047=""),"",D2047*E2047)</f>
        <v/>
      </c>
      <c r="G2047" s="15" t="n"/>
    </row>
    <row r="2048">
      <c r="A2048" s="19" t="n"/>
      <c r="B2048" s="15" t="n"/>
      <c r="C2048">
        <f>IF(B2048="","",IFERROR(INDEX(Items!$B$5:$B$304,MATCH(B2048,Items!$A$5:$A$304,0)),"Unknown code"))</f>
        <v/>
      </c>
      <c r="D2048" s="15" t="n"/>
      <c r="E2048" s="16" t="n"/>
      <c r="F2048" s="18">
        <f>IF(OR(D2048="",E2048=""),"",D2048*E2048)</f>
        <v/>
      </c>
      <c r="G2048" s="15" t="n"/>
    </row>
    <row r="2049">
      <c r="A2049" s="19" t="n"/>
      <c r="B2049" s="15" t="n"/>
      <c r="C2049">
        <f>IF(B2049="","",IFERROR(INDEX(Items!$B$5:$B$304,MATCH(B2049,Items!$A$5:$A$304,0)),"Unknown code"))</f>
        <v/>
      </c>
      <c r="D2049" s="15" t="n"/>
      <c r="E2049" s="16" t="n"/>
      <c r="F2049" s="18">
        <f>IF(OR(D2049="",E2049=""),"",D2049*E2049)</f>
        <v/>
      </c>
      <c r="G2049" s="15" t="n"/>
    </row>
    <row r="2050">
      <c r="A2050" s="19" t="n"/>
      <c r="B2050" s="15" t="n"/>
      <c r="C2050">
        <f>IF(B2050="","",IFERROR(INDEX(Items!$B$5:$B$304,MATCH(B2050,Items!$A$5:$A$304,0)),"Unknown code"))</f>
        <v/>
      </c>
      <c r="D2050" s="15" t="n"/>
      <c r="E2050" s="16" t="n"/>
      <c r="F2050" s="18">
        <f>IF(OR(D2050="",E2050=""),"",D2050*E2050)</f>
        <v/>
      </c>
      <c r="G2050" s="15" t="n"/>
    </row>
    <row r="2051">
      <c r="A2051" s="19" t="n"/>
      <c r="B2051" s="15" t="n"/>
      <c r="C2051">
        <f>IF(B2051="","",IFERROR(INDEX(Items!$B$5:$B$304,MATCH(B2051,Items!$A$5:$A$304,0)),"Unknown code"))</f>
        <v/>
      </c>
      <c r="D2051" s="15" t="n"/>
      <c r="E2051" s="16" t="n"/>
      <c r="F2051" s="18">
        <f>IF(OR(D2051="",E2051=""),"",D2051*E2051)</f>
        <v/>
      </c>
      <c r="G2051" s="15" t="n"/>
    </row>
    <row r="2052">
      <c r="A2052" s="19" t="n"/>
      <c r="B2052" s="15" t="n"/>
      <c r="C2052">
        <f>IF(B2052="","",IFERROR(INDEX(Items!$B$5:$B$304,MATCH(B2052,Items!$A$5:$A$304,0)),"Unknown code"))</f>
        <v/>
      </c>
      <c r="D2052" s="15" t="n"/>
      <c r="E2052" s="16" t="n"/>
      <c r="F2052" s="18">
        <f>IF(OR(D2052="",E2052=""),"",D2052*E2052)</f>
        <v/>
      </c>
      <c r="G2052" s="15" t="n"/>
    </row>
    <row r="2053">
      <c r="A2053" s="19" t="n"/>
      <c r="B2053" s="15" t="n"/>
      <c r="C2053">
        <f>IF(B2053="","",IFERROR(INDEX(Items!$B$5:$B$304,MATCH(B2053,Items!$A$5:$A$304,0)),"Unknown code"))</f>
        <v/>
      </c>
      <c r="D2053" s="15" t="n"/>
      <c r="E2053" s="16" t="n"/>
      <c r="F2053" s="18">
        <f>IF(OR(D2053="",E2053=""),"",D2053*E2053)</f>
        <v/>
      </c>
      <c r="G2053" s="15" t="n"/>
    </row>
    <row r="2054">
      <c r="A2054" s="19" t="n"/>
      <c r="B2054" s="15" t="n"/>
      <c r="C2054">
        <f>IF(B2054="","",IFERROR(INDEX(Items!$B$5:$B$304,MATCH(B2054,Items!$A$5:$A$304,0)),"Unknown code"))</f>
        <v/>
      </c>
      <c r="D2054" s="15" t="n"/>
      <c r="E2054" s="16" t="n"/>
      <c r="F2054" s="18">
        <f>IF(OR(D2054="",E2054=""),"",D2054*E2054)</f>
        <v/>
      </c>
      <c r="G2054" s="15" t="n"/>
    </row>
    <row r="2055">
      <c r="A2055" s="19" t="n"/>
      <c r="B2055" s="15" t="n"/>
      <c r="C2055">
        <f>IF(B2055="","",IFERROR(INDEX(Items!$B$5:$B$304,MATCH(B2055,Items!$A$5:$A$304,0)),"Unknown code"))</f>
        <v/>
      </c>
      <c r="D2055" s="15" t="n"/>
      <c r="E2055" s="16" t="n"/>
      <c r="F2055" s="18">
        <f>IF(OR(D2055="",E2055=""),"",D2055*E2055)</f>
        <v/>
      </c>
      <c r="G2055" s="15" t="n"/>
    </row>
    <row r="2056">
      <c r="A2056" s="19" t="n"/>
      <c r="B2056" s="15" t="n"/>
      <c r="C2056">
        <f>IF(B2056="","",IFERROR(INDEX(Items!$B$5:$B$304,MATCH(B2056,Items!$A$5:$A$304,0)),"Unknown code"))</f>
        <v/>
      </c>
      <c r="D2056" s="15" t="n"/>
      <c r="E2056" s="16" t="n"/>
      <c r="F2056" s="18">
        <f>IF(OR(D2056="",E2056=""),"",D2056*E2056)</f>
        <v/>
      </c>
      <c r="G2056" s="15" t="n"/>
    </row>
    <row r="2057">
      <c r="A2057" s="19" t="n"/>
      <c r="B2057" s="15" t="n"/>
      <c r="C2057">
        <f>IF(B2057="","",IFERROR(INDEX(Items!$B$5:$B$304,MATCH(B2057,Items!$A$5:$A$304,0)),"Unknown code"))</f>
        <v/>
      </c>
      <c r="D2057" s="15" t="n"/>
      <c r="E2057" s="16" t="n"/>
      <c r="F2057" s="18">
        <f>IF(OR(D2057="",E2057=""),"",D2057*E2057)</f>
        <v/>
      </c>
      <c r="G2057" s="15" t="n"/>
    </row>
    <row r="2058">
      <c r="A2058" s="19" t="n"/>
      <c r="B2058" s="15" t="n"/>
      <c r="C2058">
        <f>IF(B2058="","",IFERROR(INDEX(Items!$B$5:$B$304,MATCH(B2058,Items!$A$5:$A$304,0)),"Unknown code"))</f>
        <v/>
      </c>
      <c r="D2058" s="15" t="n"/>
      <c r="E2058" s="16" t="n"/>
      <c r="F2058" s="18">
        <f>IF(OR(D2058="",E2058=""),"",D2058*E2058)</f>
        <v/>
      </c>
      <c r="G2058" s="15" t="n"/>
    </row>
    <row r="2059">
      <c r="A2059" s="19" t="n"/>
      <c r="B2059" s="15" t="n"/>
      <c r="C2059">
        <f>IF(B2059="","",IFERROR(INDEX(Items!$B$5:$B$304,MATCH(B2059,Items!$A$5:$A$304,0)),"Unknown code"))</f>
        <v/>
      </c>
      <c r="D2059" s="15" t="n"/>
      <c r="E2059" s="16" t="n"/>
      <c r="F2059" s="18">
        <f>IF(OR(D2059="",E2059=""),"",D2059*E2059)</f>
        <v/>
      </c>
      <c r="G2059" s="15" t="n"/>
    </row>
    <row r="2060">
      <c r="A2060" s="19" t="n"/>
      <c r="B2060" s="15" t="n"/>
      <c r="C2060">
        <f>IF(B2060="","",IFERROR(INDEX(Items!$B$5:$B$304,MATCH(B2060,Items!$A$5:$A$304,0)),"Unknown code"))</f>
        <v/>
      </c>
      <c r="D2060" s="15" t="n"/>
      <c r="E2060" s="16" t="n"/>
      <c r="F2060" s="18">
        <f>IF(OR(D2060="",E2060=""),"",D2060*E2060)</f>
        <v/>
      </c>
      <c r="G2060" s="15" t="n"/>
    </row>
    <row r="2061">
      <c r="A2061" s="19" t="n"/>
      <c r="B2061" s="15" t="n"/>
      <c r="C2061">
        <f>IF(B2061="","",IFERROR(INDEX(Items!$B$5:$B$304,MATCH(B2061,Items!$A$5:$A$304,0)),"Unknown code"))</f>
        <v/>
      </c>
      <c r="D2061" s="15" t="n"/>
      <c r="E2061" s="16" t="n"/>
      <c r="F2061" s="18">
        <f>IF(OR(D2061="",E2061=""),"",D2061*E2061)</f>
        <v/>
      </c>
      <c r="G2061" s="15" t="n"/>
    </row>
    <row r="2062">
      <c r="A2062" s="19" t="n"/>
      <c r="B2062" s="15" t="n"/>
      <c r="C2062">
        <f>IF(B2062="","",IFERROR(INDEX(Items!$B$5:$B$304,MATCH(B2062,Items!$A$5:$A$304,0)),"Unknown code"))</f>
        <v/>
      </c>
      <c r="D2062" s="15" t="n"/>
      <c r="E2062" s="16" t="n"/>
      <c r="F2062" s="18">
        <f>IF(OR(D2062="",E2062=""),"",D2062*E2062)</f>
        <v/>
      </c>
      <c r="G2062" s="15" t="n"/>
    </row>
    <row r="2063">
      <c r="A2063" s="19" t="n"/>
      <c r="B2063" s="15" t="n"/>
      <c r="C2063">
        <f>IF(B2063="","",IFERROR(INDEX(Items!$B$5:$B$304,MATCH(B2063,Items!$A$5:$A$304,0)),"Unknown code"))</f>
        <v/>
      </c>
      <c r="D2063" s="15" t="n"/>
      <c r="E2063" s="16" t="n"/>
      <c r="F2063" s="18">
        <f>IF(OR(D2063="",E2063=""),"",D2063*E2063)</f>
        <v/>
      </c>
      <c r="G2063" s="15" t="n"/>
    </row>
    <row r="2064">
      <c r="A2064" s="19" t="n"/>
      <c r="B2064" s="15" t="n"/>
      <c r="C2064">
        <f>IF(B2064="","",IFERROR(INDEX(Items!$B$5:$B$304,MATCH(B2064,Items!$A$5:$A$304,0)),"Unknown code"))</f>
        <v/>
      </c>
      <c r="D2064" s="15" t="n"/>
      <c r="E2064" s="16" t="n"/>
      <c r="F2064" s="18">
        <f>IF(OR(D2064="",E2064=""),"",D2064*E2064)</f>
        <v/>
      </c>
      <c r="G2064" s="15" t="n"/>
    </row>
    <row r="2065">
      <c r="A2065" s="19" t="n"/>
      <c r="B2065" s="15" t="n"/>
      <c r="C2065">
        <f>IF(B2065="","",IFERROR(INDEX(Items!$B$5:$B$304,MATCH(B2065,Items!$A$5:$A$304,0)),"Unknown code"))</f>
        <v/>
      </c>
      <c r="D2065" s="15" t="n"/>
      <c r="E2065" s="16" t="n"/>
      <c r="F2065" s="18">
        <f>IF(OR(D2065="",E2065=""),"",D2065*E2065)</f>
        <v/>
      </c>
      <c r="G2065" s="15" t="n"/>
    </row>
    <row r="2066">
      <c r="A2066" s="19" t="n"/>
      <c r="B2066" s="15" t="n"/>
      <c r="C2066">
        <f>IF(B2066="","",IFERROR(INDEX(Items!$B$5:$B$304,MATCH(B2066,Items!$A$5:$A$304,0)),"Unknown code"))</f>
        <v/>
      </c>
      <c r="D2066" s="15" t="n"/>
      <c r="E2066" s="16" t="n"/>
      <c r="F2066" s="18">
        <f>IF(OR(D2066="",E2066=""),"",D2066*E2066)</f>
        <v/>
      </c>
      <c r="G2066" s="15" t="n"/>
    </row>
    <row r="2067">
      <c r="A2067" s="19" t="n"/>
      <c r="B2067" s="15" t="n"/>
      <c r="C2067">
        <f>IF(B2067="","",IFERROR(INDEX(Items!$B$5:$B$304,MATCH(B2067,Items!$A$5:$A$304,0)),"Unknown code"))</f>
        <v/>
      </c>
      <c r="D2067" s="15" t="n"/>
      <c r="E2067" s="16" t="n"/>
      <c r="F2067" s="18">
        <f>IF(OR(D2067="",E2067=""),"",D2067*E2067)</f>
        <v/>
      </c>
      <c r="G2067" s="15" t="n"/>
    </row>
    <row r="2068">
      <c r="A2068" s="19" t="n"/>
      <c r="B2068" s="15" t="n"/>
      <c r="C2068">
        <f>IF(B2068="","",IFERROR(INDEX(Items!$B$5:$B$304,MATCH(B2068,Items!$A$5:$A$304,0)),"Unknown code"))</f>
        <v/>
      </c>
      <c r="D2068" s="15" t="n"/>
      <c r="E2068" s="16" t="n"/>
      <c r="F2068" s="18">
        <f>IF(OR(D2068="",E2068=""),"",D2068*E2068)</f>
        <v/>
      </c>
      <c r="G2068" s="15" t="n"/>
    </row>
    <row r="2069">
      <c r="A2069" s="19" t="n"/>
      <c r="B2069" s="15" t="n"/>
      <c r="C2069">
        <f>IF(B2069="","",IFERROR(INDEX(Items!$B$5:$B$304,MATCH(B2069,Items!$A$5:$A$304,0)),"Unknown code"))</f>
        <v/>
      </c>
      <c r="D2069" s="15" t="n"/>
      <c r="E2069" s="16" t="n"/>
      <c r="F2069" s="18">
        <f>IF(OR(D2069="",E2069=""),"",D2069*E2069)</f>
        <v/>
      </c>
      <c r="G2069" s="15" t="n"/>
    </row>
    <row r="2070">
      <c r="A2070" s="19" t="n"/>
      <c r="B2070" s="15" t="n"/>
      <c r="C2070">
        <f>IF(B2070="","",IFERROR(INDEX(Items!$B$5:$B$304,MATCH(B2070,Items!$A$5:$A$304,0)),"Unknown code"))</f>
        <v/>
      </c>
      <c r="D2070" s="15" t="n"/>
      <c r="E2070" s="16" t="n"/>
      <c r="F2070" s="18">
        <f>IF(OR(D2070="",E2070=""),"",D2070*E2070)</f>
        <v/>
      </c>
      <c r="G2070" s="15" t="n"/>
    </row>
    <row r="2071">
      <c r="A2071" s="19" t="n"/>
      <c r="B2071" s="15" t="n"/>
      <c r="C2071">
        <f>IF(B2071="","",IFERROR(INDEX(Items!$B$5:$B$304,MATCH(B2071,Items!$A$5:$A$304,0)),"Unknown code"))</f>
        <v/>
      </c>
      <c r="D2071" s="15" t="n"/>
      <c r="E2071" s="16" t="n"/>
      <c r="F2071" s="18">
        <f>IF(OR(D2071="",E2071=""),"",D2071*E2071)</f>
        <v/>
      </c>
      <c r="G2071" s="15" t="n"/>
    </row>
    <row r="2072">
      <c r="A2072" s="19" t="n"/>
      <c r="B2072" s="15" t="n"/>
      <c r="C2072">
        <f>IF(B2072="","",IFERROR(INDEX(Items!$B$5:$B$304,MATCH(B2072,Items!$A$5:$A$304,0)),"Unknown code"))</f>
        <v/>
      </c>
      <c r="D2072" s="15" t="n"/>
      <c r="E2072" s="16" t="n"/>
      <c r="F2072" s="18">
        <f>IF(OR(D2072="",E2072=""),"",D2072*E2072)</f>
        <v/>
      </c>
      <c r="G2072" s="15" t="n"/>
    </row>
    <row r="2073">
      <c r="A2073" s="19" t="n"/>
      <c r="B2073" s="15" t="n"/>
      <c r="C2073">
        <f>IF(B2073="","",IFERROR(INDEX(Items!$B$5:$B$304,MATCH(B2073,Items!$A$5:$A$304,0)),"Unknown code"))</f>
        <v/>
      </c>
      <c r="D2073" s="15" t="n"/>
      <c r="E2073" s="16" t="n"/>
      <c r="F2073" s="18">
        <f>IF(OR(D2073="",E2073=""),"",D2073*E2073)</f>
        <v/>
      </c>
      <c r="G2073" s="15" t="n"/>
    </row>
    <row r="2074">
      <c r="A2074" s="19" t="n"/>
      <c r="B2074" s="15" t="n"/>
      <c r="C2074">
        <f>IF(B2074="","",IFERROR(INDEX(Items!$B$5:$B$304,MATCH(B2074,Items!$A$5:$A$304,0)),"Unknown code"))</f>
        <v/>
      </c>
      <c r="D2074" s="15" t="n"/>
      <c r="E2074" s="16" t="n"/>
      <c r="F2074" s="18">
        <f>IF(OR(D2074="",E2074=""),"",D2074*E2074)</f>
        <v/>
      </c>
      <c r="G2074" s="15" t="n"/>
    </row>
    <row r="2075">
      <c r="A2075" s="19" t="n"/>
      <c r="B2075" s="15" t="n"/>
      <c r="C2075">
        <f>IF(B2075="","",IFERROR(INDEX(Items!$B$5:$B$304,MATCH(B2075,Items!$A$5:$A$304,0)),"Unknown code"))</f>
        <v/>
      </c>
      <c r="D2075" s="15" t="n"/>
      <c r="E2075" s="16" t="n"/>
      <c r="F2075" s="18">
        <f>IF(OR(D2075="",E2075=""),"",D2075*E2075)</f>
        <v/>
      </c>
      <c r="G2075" s="15" t="n"/>
    </row>
    <row r="2076">
      <c r="A2076" s="19" t="n"/>
      <c r="B2076" s="15" t="n"/>
      <c r="C2076">
        <f>IF(B2076="","",IFERROR(INDEX(Items!$B$5:$B$304,MATCH(B2076,Items!$A$5:$A$304,0)),"Unknown code"))</f>
        <v/>
      </c>
      <c r="D2076" s="15" t="n"/>
      <c r="E2076" s="16" t="n"/>
      <c r="F2076" s="18">
        <f>IF(OR(D2076="",E2076=""),"",D2076*E2076)</f>
        <v/>
      </c>
      <c r="G2076" s="15" t="n"/>
    </row>
    <row r="2077">
      <c r="A2077" s="19" t="n"/>
      <c r="B2077" s="15" t="n"/>
      <c r="C2077">
        <f>IF(B2077="","",IFERROR(INDEX(Items!$B$5:$B$304,MATCH(B2077,Items!$A$5:$A$304,0)),"Unknown code"))</f>
        <v/>
      </c>
      <c r="D2077" s="15" t="n"/>
      <c r="E2077" s="16" t="n"/>
      <c r="F2077" s="18">
        <f>IF(OR(D2077="",E2077=""),"",D2077*E2077)</f>
        <v/>
      </c>
      <c r="G2077" s="15" t="n"/>
    </row>
    <row r="2078">
      <c r="A2078" s="19" t="n"/>
      <c r="B2078" s="15" t="n"/>
      <c r="C2078">
        <f>IF(B2078="","",IFERROR(INDEX(Items!$B$5:$B$304,MATCH(B2078,Items!$A$5:$A$304,0)),"Unknown code"))</f>
        <v/>
      </c>
      <c r="D2078" s="15" t="n"/>
      <c r="E2078" s="16" t="n"/>
      <c r="F2078" s="18">
        <f>IF(OR(D2078="",E2078=""),"",D2078*E2078)</f>
        <v/>
      </c>
      <c r="G2078" s="15" t="n"/>
    </row>
    <row r="2079">
      <c r="A2079" s="19" t="n"/>
      <c r="B2079" s="15" t="n"/>
      <c r="C2079">
        <f>IF(B2079="","",IFERROR(INDEX(Items!$B$5:$B$304,MATCH(B2079,Items!$A$5:$A$304,0)),"Unknown code"))</f>
        <v/>
      </c>
      <c r="D2079" s="15" t="n"/>
      <c r="E2079" s="16" t="n"/>
      <c r="F2079" s="18">
        <f>IF(OR(D2079="",E2079=""),"",D2079*E2079)</f>
        <v/>
      </c>
      <c r="G2079" s="15" t="n"/>
    </row>
    <row r="2080">
      <c r="A2080" s="19" t="n"/>
      <c r="B2080" s="15" t="n"/>
      <c r="C2080">
        <f>IF(B2080="","",IFERROR(INDEX(Items!$B$5:$B$304,MATCH(B2080,Items!$A$5:$A$304,0)),"Unknown code"))</f>
        <v/>
      </c>
      <c r="D2080" s="15" t="n"/>
      <c r="E2080" s="16" t="n"/>
      <c r="F2080" s="18">
        <f>IF(OR(D2080="",E2080=""),"",D2080*E2080)</f>
        <v/>
      </c>
      <c r="G2080" s="15" t="n"/>
    </row>
    <row r="2081">
      <c r="A2081" s="19" t="n"/>
      <c r="B2081" s="15" t="n"/>
      <c r="C2081">
        <f>IF(B2081="","",IFERROR(INDEX(Items!$B$5:$B$304,MATCH(B2081,Items!$A$5:$A$304,0)),"Unknown code"))</f>
        <v/>
      </c>
      <c r="D2081" s="15" t="n"/>
      <c r="E2081" s="16" t="n"/>
      <c r="F2081" s="18">
        <f>IF(OR(D2081="",E2081=""),"",D2081*E2081)</f>
        <v/>
      </c>
      <c r="G2081" s="15" t="n"/>
    </row>
    <row r="2082">
      <c r="A2082" s="19" t="n"/>
      <c r="B2082" s="15" t="n"/>
      <c r="C2082">
        <f>IF(B2082="","",IFERROR(INDEX(Items!$B$5:$B$304,MATCH(B2082,Items!$A$5:$A$304,0)),"Unknown code"))</f>
        <v/>
      </c>
      <c r="D2082" s="15" t="n"/>
      <c r="E2082" s="16" t="n"/>
      <c r="F2082" s="18">
        <f>IF(OR(D2082="",E2082=""),"",D2082*E2082)</f>
        <v/>
      </c>
      <c r="G2082" s="15" t="n"/>
    </row>
    <row r="2083">
      <c r="A2083" s="19" t="n"/>
      <c r="B2083" s="15" t="n"/>
      <c r="C2083">
        <f>IF(B2083="","",IFERROR(INDEX(Items!$B$5:$B$304,MATCH(B2083,Items!$A$5:$A$304,0)),"Unknown code"))</f>
        <v/>
      </c>
      <c r="D2083" s="15" t="n"/>
      <c r="E2083" s="16" t="n"/>
      <c r="F2083" s="18">
        <f>IF(OR(D2083="",E2083=""),"",D2083*E2083)</f>
        <v/>
      </c>
      <c r="G2083" s="15" t="n"/>
    </row>
    <row r="2084">
      <c r="A2084" s="19" t="n"/>
      <c r="B2084" s="15" t="n"/>
      <c r="C2084">
        <f>IF(B2084="","",IFERROR(INDEX(Items!$B$5:$B$304,MATCH(B2084,Items!$A$5:$A$304,0)),"Unknown code"))</f>
        <v/>
      </c>
      <c r="D2084" s="15" t="n"/>
      <c r="E2084" s="16" t="n"/>
      <c r="F2084" s="18">
        <f>IF(OR(D2084="",E2084=""),"",D2084*E2084)</f>
        <v/>
      </c>
      <c r="G2084" s="15" t="n"/>
    </row>
    <row r="2085">
      <c r="A2085" s="19" t="n"/>
      <c r="B2085" s="15" t="n"/>
      <c r="C2085">
        <f>IF(B2085="","",IFERROR(INDEX(Items!$B$5:$B$304,MATCH(B2085,Items!$A$5:$A$304,0)),"Unknown code"))</f>
        <v/>
      </c>
      <c r="D2085" s="15" t="n"/>
      <c r="E2085" s="16" t="n"/>
      <c r="F2085" s="18">
        <f>IF(OR(D2085="",E2085=""),"",D2085*E2085)</f>
        <v/>
      </c>
      <c r="G2085" s="15" t="n"/>
    </row>
    <row r="2086">
      <c r="A2086" s="19" t="n"/>
      <c r="B2086" s="15" t="n"/>
      <c r="C2086">
        <f>IF(B2086="","",IFERROR(INDEX(Items!$B$5:$B$304,MATCH(B2086,Items!$A$5:$A$304,0)),"Unknown code"))</f>
        <v/>
      </c>
      <c r="D2086" s="15" t="n"/>
      <c r="E2086" s="16" t="n"/>
      <c r="F2086" s="18">
        <f>IF(OR(D2086="",E2086=""),"",D2086*E2086)</f>
        <v/>
      </c>
      <c r="G2086" s="15" t="n"/>
    </row>
    <row r="2087">
      <c r="A2087" s="19" t="n"/>
      <c r="B2087" s="15" t="n"/>
      <c r="C2087">
        <f>IF(B2087="","",IFERROR(INDEX(Items!$B$5:$B$304,MATCH(B2087,Items!$A$5:$A$304,0)),"Unknown code"))</f>
        <v/>
      </c>
      <c r="D2087" s="15" t="n"/>
      <c r="E2087" s="16" t="n"/>
      <c r="F2087" s="18">
        <f>IF(OR(D2087="",E2087=""),"",D2087*E2087)</f>
        <v/>
      </c>
      <c r="G2087" s="15" t="n"/>
    </row>
    <row r="2088">
      <c r="A2088" s="19" t="n"/>
      <c r="B2088" s="15" t="n"/>
      <c r="C2088">
        <f>IF(B2088="","",IFERROR(INDEX(Items!$B$5:$B$304,MATCH(B2088,Items!$A$5:$A$304,0)),"Unknown code"))</f>
        <v/>
      </c>
      <c r="D2088" s="15" t="n"/>
      <c r="E2088" s="16" t="n"/>
      <c r="F2088" s="18">
        <f>IF(OR(D2088="",E2088=""),"",D2088*E2088)</f>
        <v/>
      </c>
      <c r="G2088" s="15" t="n"/>
    </row>
    <row r="2089">
      <c r="A2089" s="19" t="n"/>
      <c r="B2089" s="15" t="n"/>
      <c r="C2089">
        <f>IF(B2089="","",IFERROR(INDEX(Items!$B$5:$B$304,MATCH(B2089,Items!$A$5:$A$304,0)),"Unknown code"))</f>
        <v/>
      </c>
      <c r="D2089" s="15" t="n"/>
      <c r="E2089" s="16" t="n"/>
      <c r="F2089" s="18">
        <f>IF(OR(D2089="",E2089=""),"",D2089*E2089)</f>
        <v/>
      </c>
      <c r="G2089" s="15" t="n"/>
    </row>
    <row r="2090">
      <c r="A2090" s="19" t="n"/>
      <c r="B2090" s="15" t="n"/>
      <c r="C2090">
        <f>IF(B2090="","",IFERROR(INDEX(Items!$B$5:$B$304,MATCH(B2090,Items!$A$5:$A$304,0)),"Unknown code"))</f>
        <v/>
      </c>
      <c r="D2090" s="15" t="n"/>
      <c r="E2090" s="16" t="n"/>
      <c r="F2090" s="18">
        <f>IF(OR(D2090="",E2090=""),"",D2090*E2090)</f>
        <v/>
      </c>
      <c r="G2090" s="15" t="n"/>
    </row>
    <row r="2091">
      <c r="A2091" s="19" t="n"/>
      <c r="B2091" s="15" t="n"/>
      <c r="C2091">
        <f>IF(B2091="","",IFERROR(INDEX(Items!$B$5:$B$304,MATCH(B2091,Items!$A$5:$A$304,0)),"Unknown code"))</f>
        <v/>
      </c>
      <c r="D2091" s="15" t="n"/>
      <c r="E2091" s="16" t="n"/>
      <c r="F2091" s="18">
        <f>IF(OR(D2091="",E2091=""),"",D2091*E2091)</f>
        <v/>
      </c>
      <c r="G2091" s="15" t="n"/>
    </row>
    <row r="2092">
      <c r="A2092" s="19" t="n"/>
      <c r="B2092" s="15" t="n"/>
      <c r="C2092">
        <f>IF(B2092="","",IFERROR(INDEX(Items!$B$5:$B$304,MATCH(B2092,Items!$A$5:$A$304,0)),"Unknown code"))</f>
        <v/>
      </c>
      <c r="D2092" s="15" t="n"/>
      <c r="E2092" s="16" t="n"/>
      <c r="F2092" s="18">
        <f>IF(OR(D2092="",E2092=""),"",D2092*E2092)</f>
        <v/>
      </c>
      <c r="G2092" s="15" t="n"/>
    </row>
    <row r="2093">
      <c r="A2093" s="19" t="n"/>
      <c r="B2093" s="15" t="n"/>
      <c r="C2093">
        <f>IF(B2093="","",IFERROR(INDEX(Items!$B$5:$B$304,MATCH(B2093,Items!$A$5:$A$304,0)),"Unknown code"))</f>
        <v/>
      </c>
      <c r="D2093" s="15" t="n"/>
      <c r="E2093" s="16" t="n"/>
      <c r="F2093" s="18">
        <f>IF(OR(D2093="",E2093=""),"",D2093*E2093)</f>
        <v/>
      </c>
      <c r="G2093" s="15" t="n"/>
    </row>
    <row r="2094">
      <c r="A2094" s="19" t="n"/>
      <c r="B2094" s="15" t="n"/>
      <c r="C2094">
        <f>IF(B2094="","",IFERROR(INDEX(Items!$B$5:$B$304,MATCH(B2094,Items!$A$5:$A$304,0)),"Unknown code"))</f>
        <v/>
      </c>
      <c r="D2094" s="15" t="n"/>
      <c r="E2094" s="16" t="n"/>
      <c r="F2094" s="18">
        <f>IF(OR(D2094="",E2094=""),"",D2094*E2094)</f>
        <v/>
      </c>
      <c r="G2094" s="15" t="n"/>
    </row>
    <row r="2095">
      <c r="A2095" s="19" t="n"/>
      <c r="B2095" s="15" t="n"/>
      <c r="C2095">
        <f>IF(B2095="","",IFERROR(INDEX(Items!$B$5:$B$304,MATCH(B2095,Items!$A$5:$A$304,0)),"Unknown code"))</f>
        <v/>
      </c>
      <c r="D2095" s="15" t="n"/>
      <c r="E2095" s="16" t="n"/>
      <c r="F2095" s="18">
        <f>IF(OR(D2095="",E2095=""),"",D2095*E2095)</f>
        <v/>
      </c>
      <c r="G2095" s="15" t="n"/>
    </row>
    <row r="2096">
      <c r="A2096" s="19" t="n"/>
      <c r="B2096" s="15" t="n"/>
      <c r="C2096">
        <f>IF(B2096="","",IFERROR(INDEX(Items!$B$5:$B$304,MATCH(B2096,Items!$A$5:$A$304,0)),"Unknown code"))</f>
        <v/>
      </c>
      <c r="D2096" s="15" t="n"/>
      <c r="E2096" s="16" t="n"/>
      <c r="F2096" s="18">
        <f>IF(OR(D2096="",E2096=""),"",D2096*E2096)</f>
        <v/>
      </c>
      <c r="G2096" s="15" t="n"/>
    </row>
    <row r="2097">
      <c r="A2097" s="19" t="n"/>
      <c r="B2097" s="15" t="n"/>
      <c r="C2097">
        <f>IF(B2097="","",IFERROR(INDEX(Items!$B$5:$B$304,MATCH(B2097,Items!$A$5:$A$304,0)),"Unknown code"))</f>
        <v/>
      </c>
      <c r="D2097" s="15" t="n"/>
      <c r="E2097" s="16" t="n"/>
      <c r="F2097" s="18">
        <f>IF(OR(D2097="",E2097=""),"",D2097*E2097)</f>
        <v/>
      </c>
      <c r="G2097" s="15" t="n"/>
    </row>
    <row r="2098">
      <c r="A2098" s="19" t="n"/>
      <c r="B2098" s="15" t="n"/>
      <c r="C2098">
        <f>IF(B2098="","",IFERROR(INDEX(Items!$B$5:$B$304,MATCH(B2098,Items!$A$5:$A$304,0)),"Unknown code"))</f>
        <v/>
      </c>
      <c r="D2098" s="15" t="n"/>
      <c r="E2098" s="16" t="n"/>
      <c r="F2098" s="18">
        <f>IF(OR(D2098="",E2098=""),"",D2098*E2098)</f>
        <v/>
      </c>
      <c r="G2098" s="15" t="n"/>
    </row>
    <row r="2099">
      <c r="A2099" s="19" t="n"/>
      <c r="B2099" s="15" t="n"/>
      <c r="C2099">
        <f>IF(B2099="","",IFERROR(INDEX(Items!$B$5:$B$304,MATCH(B2099,Items!$A$5:$A$304,0)),"Unknown code"))</f>
        <v/>
      </c>
      <c r="D2099" s="15" t="n"/>
      <c r="E2099" s="16" t="n"/>
      <c r="F2099" s="18">
        <f>IF(OR(D2099="",E2099=""),"",D2099*E2099)</f>
        <v/>
      </c>
      <c r="G2099" s="15" t="n"/>
    </row>
    <row r="2100">
      <c r="A2100" s="19" t="n"/>
      <c r="B2100" s="15" t="n"/>
      <c r="C2100">
        <f>IF(B2100="","",IFERROR(INDEX(Items!$B$5:$B$304,MATCH(B2100,Items!$A$5:$A$304,0)),"Unknown code"))</f>
        <v/>
      </c>
      <c r="D2100" s="15" t="n"/>
      <c r="E2100" s="16" t="n"/>
      <c r="F2100" s="18">
        <f>IF(OR(D2100="",E2100=""),"",D2100*E2100)</f>
        <v/>
      </c>
      <c r="G2100" s="15" t="n"/>
    </row>
    <row r="2101">
      <c r="A2101" s="19" t="n"/>
      <c r="B2101" s="15" t="n"/>
      <c r="C2101">
        <f>IF(B2101="","",IFERROR(INDEX(Items!$B$5:$B$304,MATCH(B2101,Items!$A$5:$A$304,0)),"Unknown code"))</f>
        <v/>
      </c>
      <c r="D2101" s="15" t="n"/>
      <c r="E2101" s="16" t="n"/>
      <c r="F2101" s="18">
        <f>IF(OR(D2101="",E2101=""),"",D2101*E2101)</f>
        <v/>
      </c>
      <c r="G2101" s="15" t="n"/>
    </row>
    <row r="2102">
      <c r="A2102" s="19" t="n"/>
      <c r="B2102" s="15" t="n"/>
      <c r="C2102">
        <f>IF(B2102="","",IFERROR(INDEX(Items!$B$5:$B$304,MATCH(B2102,Items!$A$5:$A$304,0)),"Unknown code"))</f>
        <v/>
      </c>
      <c r="D2102" s="15" t="n"/>
      <c r="E2102" s="16" t="n"/>
      <c r="F2102" s="18">
        <f>IF(OR(D2102="",E2102=""),"",D2102*E2102)</f>
        <v/>
      </c>
      <c r="G2102" s="15" t="n"/>
    </row>
    <row r="2103">
      <c r="A2103" s="19" t="n"/>
      <c r="B2103" s="15" t="n"/>
      <c r="C2103">
        <f>IF(B2103="","",IFERROR(INDEX(Items!$B$5:$B$304,MATCH(B2103,Items!$A$5:$A$304,0)),"Unknown code"))</f>
        <v/>
      </c>
      <c r="D2103" s="15" t="n"/>
      <c r="E2103" s="16" t="n"/>
      <c r="F2103" s="18">
        <f>IF(OR(D2103="",E2103=""),"",D2103*E2103)</f>
        <v/>
      </c>
      <c r="G2103" s="15" t="n"/>
    </row>
    <row r="2104">
      <c r="A2104" s="19" t="n"/>
      <c r="B2104" s="15" t="n"/>
      <c r="C2104">
        <f>IF(B2104="","",IFERROR(INDEX(Items!$B$5:$B$304,MATCH(B2104,Items!$A$5:$A$304,0)),"Unknown code"))</f>
        <v/>
      </c>
      <c r="D2104" s="15" t="n"/>
      <c r="E2104" s="16" t="n"/>
      <c r="F2104" s="18">
        <f>IF(OR(D2104="",E2104=""),"",D2104*E2104)</f>
        <v/>
      </c>
      <c r="G2104" s="15" t="n"/>
    </row>
    <row r="2105">
      <c r="A2105" s="19" t="n"/>
      <c r="B2105" s="15" t="n"/>
      <c r="C2105">
        <f>IF(B2105="","",IFERROR(INDEX(Items!$B$5:$B$304,MATCH(B2105,Items!$A$5:$A$304,0)),"Unknown code"))</f>
        <v/>
      </c>
      <c r="D2105" s="15" t="n"/>
      <c r="E2105" s="16" t="n"/>
      <c r="F2105" s="18">
        <f>IF(OR(D2105="",E2105=""),"",D2105*E2105)</f>
        <v/>
      </c>
      <c r="G2105" s="15" t="n"/>
    </row>
    <row r="2106">
      <c r="A2106" s="19" t="n"/>
      <c r="B2106" s="15" t="n"/>
      <c r="C2106">
        <f>IF(B2106="","",IFERROR(INDEX(Items!$B$5:$B$304,MATCH(B2106,Items!$A$5:$A$304,0)),"Unknown code"))</f>
        <v/>
      </c>
      <c r="D2106" s="15" t="n"/>
      <c r="E2106" s="16" t="n"/>
      <c r="F2106" s="18">
        <f>IF(OR(D2106="",E2106=""),"",D2106*E2106)</f>
        <v/>
      </c>
      <c r="G2106" s="15" t="n"/>
    </row>
    <row r="2107">
      <c r="A2107" s="19" t="n"/>
      <c r="B2107" s="15" t="n"/>
      <c r="C2107">
        <f>IF(B2107="","",IFERROR(INDEX(Items!$B$5:$B$304,MATCH(B2107,Items!$A$5:$A$304,0)),"Unknown code"))</f>
        <v/>
      </c>
      <c r="D2107" s="15" t="n"/>
      <c r="E2107" s="16" t="n"/>
      <c r="F2107" s="18">
        <f>IF(OR(D2107="",E2107=""),"",D2107*E2107)</f>
        <v/>
      </c>
      <c r="G2107" s="15" t="n"/>
    </row>
    <row r="2108">
      <c r="A2108" s="19" t="n"/>
      <c r="B2108" s="15" t="n"/>
      <c r="C2108">
        <f>IF(B2108="","",IFERROR(INDEX(Items!$B$5:$B$304,MATCH(B2108,Items!$A$5:$A$304,0)),"Unknown code"))</f>
        <v/>
      </c>
      <c r="D2108" s="15" t="n"/>
      <c r="E2108" s="16" t="n"/>
      <c r="F2108" s="18">
        <f>IF(OR(D2108="",E2108=""),"",D2108*E2108)</f>
        <v/>
      </c>
      <c r="G2108" s="15" t="n"/>
    </row>
    <row r="2109">
      <c r="A2109" s="19" t="n"/>
      <c r="B2109" s="15" t="n"/>
      <c r="C2109">
        <f>IF(B2109="","",IFERROR(INDEX(Items!$B$5:$B$304,MATCH(B2109,Items!$A$5:$A$304,0)),"Unknown code"))</f>
        <v/>
      </c>
      <c r="D2109" s="15" t="n"/>
      <c r="E2109" s="16" t="n"/>
      <c r="F2109" s="18">
        <f>IF(OR(D2109="",E2109=""),"",D2109*E2109)</f>
        <v/>
      </c>
      <c r="G2109" s="15" t="n"/>
    </row>
    <row r="2110">
      <c r="A2110" s="19" t="n"/>
      <c r="B2110" s="15" t="n"/>
      <c r="C2110">
        <f>IF(B2110="","",IFERROR(INDEX(Items!$B$5:$B$304,MATCH(B2110,Items!$A$5:$A$304,0)),"Unknown code"))</f>
        <v/>
      </c>
      <c r="D2110" s="15" t="n"/>
      <c r="E2110" s="16" t="n"/>
      <c r="F2110" s="18">
        <f>IF(OR(D2110="",E2110=""),"",D2110*E2110)</f>
        <v/>
      </c>
      <c r="G2110" s="15" t="n"/>
    </row>
    <row r="2111">
      <c r="A2111" s="19" t="n"/>
      <c r="B2111" s="15" t="n"/>
      <c r="C2111">
        <f>IF(B2111="","",IFERROR(INDEX(Items!$B$5:$B$304,MATCH(B2111,Items!$A$5:$A$304,0)),"Unknown code"))</f>
        <v/>
      </c>
      <c r="D2111" s="15" t="n"/>
      <c r="E2111" s="16" t="n"/>
      <c r="F2111" s="18">
        <f>IF(OR(D2111="",E2111=""),"",D2111*E2111)</f>
        <v/>
      </c>
      <c r="G2111" s="15" t="n"/>
    </row>
    <row r="2112">
      <c r="A2112" s="19" t="n"/>
      <c r="B2112" s="15" t="n"/>
      <c r="C2112">
        <f>IF(B2112="","",IFERROR(INDEX(Items!$B$5:$B$304,MATCH(B2112,Items!$A$5:$A$304,0)),"Unknown code"))</f>
        <v/>
      </c>
      <c r="D2112" s="15" t="n"/>
      <c r="E2112" s="16" t="n"/>
      <c r="F2112" s="18">
        <f>IF(OR(D2112="",E2112=""),"",D2112*E2112)</f>
        <v/>
      </c>
      <c r="G2112" s="15" t="n"/>
    </row>
    <row r="2113">
      <c r="A2113" s="19" t="n"/>
      <c r="B2113" s="15" t="n"/>
      <c r="C2113">
        <f>IF(B2113="","",IFERROR(INDEX(Items!$B$5:$B$304,MATCH(B2113,Items!$A$5:$A$304,0)),"Unknown code"))</f>
        <v/>
      </c>
      <c r="D2113" s="15" t="n"/>
      <c r="E2113" s="16" t="n"/>
      <c r="F2113" s="18">
        <f>IF(OR(D2113="",E2113=""),"",D2113*E2113)</f>
        <v/>
      </c>
      <c r="G2113" s="15" t="n"/>
    </row>
    <row r="2114">
      <c r="A2114" s="19" t="n"/>
      <c r="B2114" s="15" t="n"/>
      <c r="C2114">
        <f>IF(B2114="","",IFERROR(INDEX(Items!$B$5:$B$304,MATCH(B2114,Items!$A$5:$A$304,0)),"Unknown code"))</f>
        <v/>
      </c>
      <c r="D2114" s="15" t="n"/>
      <c r="E2114" s="16" t="n"/>
      <c r="F2114" s="18">
        <f>IF(OR(D2114="",E2114=""),"",D2114*E2114)</f>
        <v/>
      </c>
      <c r="G2114" s="15" t="n"/>
    </row>
    <row r="2115">
      <c r="A2115" s="19" t="n"/>
      <c r="B2115" s="15" t="n"/>
      <c r="C2115">
        <f>IF(B2115="","",IFERROR(INDEX(Items!$B$5:$B$304,MATCH(B2115,Items!$A$5:$A$304,0)),"Unknown code"))</f>
        <v/>
      </c>
      <c r="D2115" s="15" t="n"/>
      <c r="E2115" s="16" t="n"/>
      <c r="F2115" s="18">
        <f>IF(OR(D2115="",E2115=""),"",D2115*E2115)</f>
        <v/>
      </c>
      <c r="G2115" s="15" t="n"/>
    </row>
    <row r="2116">
      <c r="A2116" s="19" t="n"/>
      <c r="B2116" s="15" t="n"/>
      <c r="C2116">
        <f>IF(B2116="","",IFERROR(INDEX(Items!$B$5:$B$304,MATCH(B2116,Items!$A$5:$A$304,0)),"Unknown code"))</f>
        <v/>
      </c>
      <c r="D2116" s="15" t="n"/>
      <c r="E2116" s="16" t="n"/>
      <c r="F2116" s="18">
        <f>IF(OR(D2116="",E2116=""),"",D2116*E2116)</f>
        <v/>
      </c>
      <c r="G2116" s="15" t="n"/>
    </row>
    <row r="2117">
      <c r="A2117" s="19" t="n"/>
      <c r="B2117" s="15" t="n"/>
      <c r="C2117">
        <f>IF(B2117="","",IFERROR(INDEX(Items!$B$5:$B$304,MATCH(B2117,Items!$A$5:$A$304,0)),"Unknown code"))</f>
        <v/>
      </c>
      <c r="D2117" s="15" t="n"/>
      <c r="E2117" s="16" t="n"/>
      <c r="F2117" s="18">
        <f>IF(OR(D2117="",E2117=""),"",D2117*E2117)</f>
        <v/>
      </c>
      <c r="G2117" s="15" t="n"/>
    </row>
    <row r="2118">
      <c r="A2118" s="19" t="n"/>
      <c r="B2118" s="15" t="n"/>
      <c r="C2118">
        <f>IF(B2118="","",IFERROR(INDEX(Items!$B$5:$B$304,MATCH(B2118,Items!$A$5:$A$304,0)),"Unknown code"))</f>
        <v/>
      </c>
      <c r="D2118" s="15" t="n"/>
      <c r="E2118" s="16" t="n"/>
      <c r="F2118" s="18">
        <f>IF(OR(D2118="",E2118=""),"",D2118*E2118)</f>
        <v/>
      </c>
      <c r="G2118" s="15" t="n"/>
    </row>
    <row r="2119">
      <c r="A2119" s="19" t="n"/>
      <c r="B2119" s="15" t="n"/>
      <c r="C2119">
        <f>IF(B2119="","",IFERROR(INDEX(Items!$B$5:$B$304,MATCH(B2119,Items!$A$5:$A$304,0)),"Unknown code"))</f>
        <v/>
      </c>
      <c r="D2119" s="15" t="n"/>
      <c r="E2119" s="16" t="n"/>
      <c r="F2119" s="18">
        <f>IF(OR(D2119="",E2119=""),"",D2119*E2119)</f>
        <v/>
      </c>
      <c r="G2119" s="15" t="n"/>
    </row>
    <row r="2120">
      <c r="A2120" s="19" t="n"/>
      <c r="B2120" s="15" t="n"/>
      <c r="C2120">
        <f>IF(B2120="","",IFERROR(INDEX(Items!$B$5:$B$304,MATCH(B2120,Items!$A$5:$A$304,0)),"Unknown code"))</f>
        <v/>
      </c>
      <c r="D2120" s="15" t="n"/>
      <c r="E2120" s="16" t="n"/>
      <c r="F2120" s="18">
        <f>IF(OR(D2120="",E2120=""),"",D2120*E2120)</f>
        <v/>
      </c>
      <c r="G2120" s="15" t="n"/>
    </row>
    <row r="2121">
      <c r="A2121" s="19" t="n"/>
      <c r="B2121" s="15" t="n"/>
      <c r="C2121">
        <f>IF(B2121="","",IFERROR(INDEX(Items!$B$5:$B$304,MATCH(B2121,Items!$A$5:$A$304,0)),"Unknown code"))</f>
        <v/>
      </c>
      <c r="D2121" s="15" t="n"/>
      <c r="E2121" s="16" t="n"/>
      <c r="F2121" s="18">
        <f>IF(OR(D2121="",E2121=""),"",D2121*E2121)</f>
        <v/>
      </c>
      <c r="G2121" s="15" t="n"/>
    </row>
    <row r="2122">
      <c r="A2122" s="19" t="n"/>
      <c r="B2122" s="15" t="n"/>
      <c r="C2122">
        <f>IF(B2122="","",IFERROR(INDEX(Items!$B$5:$B$304,MATCH(B2122,Items!$A$5:$A$304,0)),"Unknown code"))</f>
        <v/>
      </c>
      <c r="D2122" s="15" t="n"/>
      <c r="E2122" s="16" t="n"/>
      <c r="F2122" s="18">
        <f>IF(OR(D2122="",E2122=""),"",D2122*E2122)</f>
        <v/>
      </c>
      <c r="G2122" s="15" t="n"/>
    </row>
    <row r="2123">
      <c r="A2123" s="19" t="n"/>
      <c r="B2123" s="15" t="n"/>
      <c r="C2123">
        <f>IF(B2123="","",IFERROR(INDEX(Items!$B$5:$B$304,MATCH(B2123,Items!$A$5:$A$304,0)),"Unknown code"))</f>
        <v/>
      </c>
      <c r="D2123" s="15" t="n"/>
      <c r="E2123" s="16" t="n"/>
      <c r="F2123" s="18">
        <f>IF(OR(D2123="",E2123=""),"",D2123*E2123)</f>
        <v/>
      </c>
      <c r="G2123" s="15" t="n"/>
    </row>
    <row r="2124">
      <c r="A2124" s="19" t="n"/>
      <c r="B2124" s="15" t="n"/>
      <c r="C2124">
        <f>IF(B2124="","",IFERROR(INDEX(Items!$B$5:$B$304,MATCH(B2124,Items!$A$5:$A$304,0)),"Unknown code"))</f>
        <v/>
      </c>
      <c r="D2124" s="15" t="n"/>
      <c r="E2124" s="16" t="n"/>
      <c r="F2124" s="18">
        <f>IF(OR(D2124="",E2124=""),"",D2124*E2124)</f>
        <v/>
      </c>
      <c r="G2124" s="15" t="n"/>
    </row>
    <row r="2125">
      <c r="A2125" s="19" t="n"/>
      <c r="B2125" s="15" t="n"/>
      <c r="C2125">
        <f>IF(B2125="","",IFERROR(INDEX(Items!$B$5:$B$304,MATCH(B2125,Items!$A$5:$A$304,0)),"Unknown code"))</f>
        <v/>
      </c>
      <c r="D2125" s="15" t="n"/>
      <c r="E2125" s="16" t="n"/>
      <c r="F2125" s="18">
        <f>IF(OR(D2125="",E2125=""),"",D2125*E2125)</f>
        <v/>
      </c>
      <c r="G2125" s="15" t="n"/>
    </row>
    <row r="2126">
      <c r="A2126" s="19" t="n"/>
      <c r="B2126" s="15" t="n"/>
      <c r="C2126">
        <f>IF(B2126="","",IFERROR(INDEX(Items!$B$5:$B$304,MATCH(B2126,Items!$A$5:$A$304,0)),"Unknown code"))</f>
        <v/>
      </c>
      <c r="D2126" s="15" t="n"/>
      <c r="E2126" s="16" t="n"/>
      <c r="F2126" s="18">
        <f>IF(OR(D2126="",E2126=""),"",D2126*E2126)</f>
        <v/>
      </c>
      <c r="G2126" s="15" t="n"/>
    </row>
    <row r="2127">
      <c r="A2127" s="19" t="n"/>
      <c r="B2127" s="15" t="n"/>
      <c r="C2127">
        <f>IF(B2127="","",IFERROR(INDEX(Items!$B$5:$B$304,MATCH(B2127,Items!$A$5:$A$304,0)),"Unknown code"))</f>
        <v/>
      </c>
      <c r="D2127" s="15" t="n"/>
      <c r="E2127" s="16" t="n"/>
      <c r="F2127" s="18">
        <f>IF(OR(D2127="",E2127=""),"",D2127*E2127)</f>
        <v/>
      </c>
      <c r="G2127" s="15" t="n"/>
    </row>
    <row r="2128">
      <c r="A2128" s="19" t="n"/>
      <c r="B2128" s="15" t="n"/>
      <c r="C2128">
        <f>IF(B2128="","",IFERROR(INDEX(Items!$B$5:$B$304,MATCH(B2128,Items!$A$5:$A$304,0)),"Unknown code"))</f>
        <v/>
      </c>
      <c r="D2128" s="15" t="n"/>
      <c r="E2128" s="16" t="n"/>
      <c r="F2128" s="18">
        <f>IF(OR(D2128="",E2128=""),"",D2128*E2128)</f>
        <v/>
      </c>
      <c r="G2128" s="15" t="n"/>
    </row>
    <row r="2129">
      <c r="A2129" s="19" t="n"/>
      <c r="B2129" s="15" t="n"/>
      <c r="C2129">
        <f>IF(B2129="","",IFERROR(INDEX(Items!$B$5:$B$304,MATCH(B2129,Items!$A$5:$A$304,0)),"Unknown code"))</f>
        <v/>
      </c>
      <c r="D2129" s="15" t="n"/>
      <c r="E2129" s="16" t="n"/>
      <c r="F2129" s="18">
        <f>IF(OR(D2129="",E2129=""),"",D2129*E2129)</f>
        <v/>
      </c>
      <c r="G2129" s="15" t="n"/>
    </row>
    <row r="2130">
      <c r="A2130" s="19" t="n"/>
      <c r="B2130" s="15" t="n"/>
      <c r="C2130">
        <f>IF(B2130="","",IFERROR(INDEX(Items!$B$5:$B$304,MATCH(B2130,Items!$A$5:$A$304,0)),"Unknown code"))</f>
        <v/>
      </c>
      <c r="D2130" s="15" t="n"/>
      <c r="E2130" s="16" t="n"/>
      <c r="F2130" s="18">
        <f>IF(OR(D2130="",E2130=""),"",D2130*E2130)</f>
        <v/>
      </c>
      <c r="G2130" s="15" t="n"/>
    </row>
    <row r="2131">
      <c r="A2131" s="19" t="n"/>
      <c r="B2131" s="15" t="n"/>
      <c r="C2131">
        <f>IF(B2131="","",IFERROR(INDEX(Items!$B$5:$B$304,MATCH(B2131,Items!$A$5:$A$304,0)),"Unknown code"))</f>
        <v/>
      </c>
      <c r="D2131" s="15" t="n"/>
      <c r="E2131" s="16" t="n"/>
      <c r="F2131" s="18">
        <f>IF(OR(D2131="",E2131=""),"",D2131*E2131)</f>
        <v/>
      </c>
      <c r="G2131" s="15" t="n"/>
    </row>
    <row r="2132">
      <c r="A2132" s="19" t="n"/>
      <c r="B2132" s="15" t="n"/>
      <c r="C2132">
        <f>IF(B2132="","",IFERROR(INDEX(Items!$B$5:$B$304,MATCH(B2132,Items!$A$5:$A$304,0)),"Unknown code"))</f>
        <v/>
      </c>
      <c r="D2132" s="15" t="n"/>
      <c r="E2132" s="16" t="n"/>
      <c r="F2132" s="18">
        <f>IF(OR(D2132="",E2132=""),"",D2132*E2132)</f>
        <v/>
      </c>
      <c r="G2132" s="15" t="n"/>
    </row>
    <row r="2133">
      <c r="A2133" s="19" t="n"/>
      <c r="B2133" s="15" t="n"/>
      <c r="C2133">
        <f>IF(B2133="","",IFERROR(INDEX(Items!$B$5:$B$304,MATCH(B2133,Items!$A$5:$A$304,0)),"Unknown code"))</f>
        <v/>
      </c>
      <c r="D2133" s="15" t="n"/>
      <c r="E2133" s="16" t="n"/>
      <c r="F2133" s="18">
        <f>IF(OR(D2133="",E2133=""),"",D2133*E2133)</f>
        <v/>
      </c>
      <c r="G2133" s="15" t="n"/>
    </row>
    <row r="2134">
      <c r="A2134" s="19" t="n"/>
      <c r="B2134" s="15" t="n"/>
      <c r="C2134">
        <f>IF(B2134="","",IFERROR(INDEX(Items!$B$5:$B$304,MATCH(B2134,Items!$A$5:$A$304,0)),"Unknown code"))</f>
        <v/>
      </c>
      <c r="D2134" s="15" t="n"/>
      <c r="E2134" s="16" t="n"/>
      <c r="F2134" s="18">
        <f>IF(OR(D2134="",E2134=""),"",D2134*E2134)</f>
        <v/>
      </c>
      <c r="G2134" s="15" t="n"/>
    </row>
    <row r="2135">
      <c r="A2135" s="19" t="n"/>
      <c r="B2135" s="15" t="n"/>
      <c r="C2135">
        <f>IF(B2135="","",IFERROR(INDEX(Items!$B$5:$B$304,MATCH(B2135,Items!$A$5:$A$304,0)),"Unknown code"))</f>
        <v/>
      </c>
      <c r="D2135" s="15" t="n"/>
      <c r="E2135" s="16" t="n"/>
      <c r="F2135" s="18">
        <f>IF(OR(D2135="",E2135=""),"",D2135*E2135)</f>
        <v/>
      </c>
      <c r="G2135" s="15" t="n"/>
    </row>
    <row r="2136">
      <c r="A2136" s="19" t="n"/>
      <c r="B2136" s="15" t="n"/>
      <c r="C2136">
        <f>IF(B2136="","",IFERROR(INDEX(Items!$B$5:$B$304,MATCH(B2136,Items!$A$5:$A$304,0)),"Unknown code"))</f>
        <v/>
      </c>
      <c r="D2136" s="15" t="n"/>
      <c r="E2136" s="16" t="n"/>
      <c r="F2136" s="18">
        <f>IF(OR(D2136="",E2136=""),"",D2136*E2136)</f>
        <v/>
      </c>
      <c r="G2136" s="15" t="n"/>
    </row>
    <row r="2137">
      <c r="A2137" s="19" t="n"/>
      <c r="B2137" s="15" t="n"/>
      <c r="C2137">
        <f>IF(B2137="","",IFERROR(INDEX(Items!$B$5:$B$304,MATCH(B2137,Items!$A$5:$A$304,0)),"Unknown code"))</f>
        <v/>
      </c>
      <c r="D2137" s="15" t="n"/>
      <c r="E2137" s="16" t="n"/>
      <c r="F2137" s="18">
        <f>IF(OR(D2137="",E2137=""),"",D2137*E2137)</f>
        <v/>
      </c>
      <c r="G2137" s="15" t="n"/>
    </row>
    <row r="2138">
      <c r="A2138" s="19" t="n"/>
      <c r="B2138" s="15" t="n"/>
      <c r="C2138">
        <f>IF(B2138="","",IFERROR(INDEX(Items!$B$5:$B$304,MATCH(B2138,Items!$A$5:$A$304,0)),"Unknown code"))</f>
        <v/>
      </c>
      <c r="D2138" s="15" t="n"/>
      <c r="E2138" s="16" t="n"/>
      <c r="F2138" s="18">
        <f>IF(OR(D2138="",E2138=""),"",D2138*E2138)</f>
        <v/>
      </c>
      <c r="G2138" s="15" t="n"/>
    </row>
    <row r="2139">
      <c r="A2139" s="19" t="n"/>
      <c r="B2139" s="15" t="n"/>
      <c r="C2139">
        <f>IF(B2139="","",IFERROR(INDEX(Items!$B$5:$B$304,MATCH(B2139,Items!$A$5:$A$304,0)),"Unknown code"))</f>
        <v/>
      </c>
      <c r="D2139" s="15" t="n"/>
      <c r="E2139" s="16" t="n"/>
      <c r="F2139" s="18">
        <f>IF(OR(D2139="",E2139=""),"",D2139*E2139)</f>
        <v/>
      </c>
      <c r="G2139" s="15" t="n"/>
    </row>
    <row r="2140">
      <c r="A2140" s="19" t="n"/>
      <c r="B2140" s="15" t="n"/>
      <c r="C2140">
        <f>IF(B2140="","",IFERROR(INDEX(Items!$B$5:$B$304,MATCH(B2140,Items!$A$5:$A$304,0)),"Unknown code"))</f>
        <v/>
      </c>
      <c r="D2140" s="15" t="n"/>
      <c r="E2140" s="16" t="n"/>
      <c r="F2140" s="18">
        <f>IF(OR(D2140="",E2140=""),"",D2140*E2140)</f>
        <v/>
      </c>
      <c r="G2140" s="15" t="n"/>
    </row>
    <row r="2141">
      <c r="A2141" s="19" t="n"/>
      <c r="B2141" s="15" t="n"/>
      <c r="C2141">
        <f>IF(B2141="","",IFERROR(INDEX(Items!$B$5:$B$304,MATCH(B2141,Items!$A$5:$A$304,0)),"Unknown code"))</f>
        <v/>
      </c>
      <c r="D2141" s="15" t="n"/>
      <c r="E2141" s="16" t="n"/>
      <c r="F2141" s="18">
        <f>IF(OR(D2141="",E2141=""),"",D2141*E2141)</f>
        <v/>
      </c>
      <c r="G2141" s="15" t="n"/>
    </row>
    <row r="2142">
      <c r="A2142" s="19" t="n"/>
      <c r="B2142" s="15" t="n"/>
      <c r="C2142">
        <f>IF(B2142="","",IFERROR(INDEX(Items!$B$5:$B$304,MATCH(B2142,Items!$A$5:$A$304,0)),"Unknown code"))</f>
        <v/>
      </c>
      <c r="D2142" s="15" t="n"/>
      <c r="E2142" s="16" t="n"/>
      <c r="F2142" s="18">
        <f>IF(OR(D2142="",E2142=""),"",D2142*E2142)</f>
        <v/>
      </c>
      <c r="G2142" s="15" t="n"/>
    </row>
    <row r="2143">
      <c r="A2143" s="19" t="n"/>
      <c r="B2143" s="15" t="n"/>
      <c r="C2143">
        <f>IF(B2143="","",IFERROR(INDEX(Items!$B$5:$B$304,MATCH(B2143,Items!$A$5:$A$304,0)),"Unknown code"))</f>
        <v/>
      </c>
      <c r="D2143" s="15" t="n"/>
      <c r="E2143" s="16" t="n"/>
      <c r="F2143" s="18">
        <f>IF(OR(D2143="",E2143=""),"",D2143*E2143)</f>
        <v/>
      </c>
      <c r="G2143" s="15" t="n"/>
    </row>
    <row r="2144">
      <c r="A2144" s="19" t="n"/>
      <c r="B2144" s="15" t="n"/>
      <c r="C2144">
        <f>IF(B2144="","",IFERROR(INDEX(Items!$B$5:$B$304,MATCH(B2144,Items!$A$5:$A$304,0)),"Unknown code"))</f>
        <v/>
      </c>
      <c r="D2144" s="15" t="n"/>
      <c r="E2144" s="16" t="n"/>
      <c r="F2144" s="18">
        <f>IF(OR(D2144="",E2144=""),"",D2144*E2144)</f>
        <v/>
      </c>
      <c r="G2144" s="15" t="n"/>
    </row>
    <row r="2145">
      <c r="A2145" s="19" t="n"/>
      <c r="B2145" s="15" t="n"/>
      <c r="C2145">
        <f>IF(B2145="","",IFERROR(INDEX(Items!$B$5:$B$304,MATCH(B2145,Items!$A$5:$A$304,0)),"Unknown code"))</f>
        <v/>
      </c>
      <c r="D2145" s="15" t="n"/>
      <c r="E2145" s="16" t="n"/>
      <c r="F2145" s="18">
        <f>IF(OR(D2145="",E2145=""),"",D2145*E2145)</f>
        <v/>
      </c>
      <c r="G2145" s="15" t="n"/>
    </row>
    <row r="2146">
      <c r="A2146" s="19" t="n"/>
      <c r="B2146" s="15" t="n"/>
      <c r="C2146">
        <f>IF(B2146="","",IFERROR(INDEX(Items!$B$5:$B$304,MATCH(B2146,Items!$A$5:$A$304,0)),"Unknown code"))</f>
        <v/>
      </c>
      <c r="D2146" s="15" t="n"/>
      <c r="E2146" s="16" t="n"/>
      <c r="F2146" s="18">
        <f>IF(OR(D2146="",E2146=""),"",D2146*E2146)</f>
        <v/>
      </c>
      <c r="G2146" s="15" t="n"/>
    </row>
    <row r="2147">
      <c r="A2147" s="19" t="n"/>
      <c r="B2147" s="15" t="n"/>
      <c r="C2147">
        <f>IF(B2147="","",IFERROR(INDEX(Items!$B$5:$B$304,MATCH(B2147,Items!$A$5:$A$304,0)),"Unknown code"))</f>
        <v/>
      </c>
      <c r="D2147" s="15" t="n"/>
      <c r="E2147" s="16" t="n"/>
      <c r="F2147" s="18">
        <f>IF(OR(D2147="",E2147=""),"",D2147*E2147)</f>
        <v/>
      </c>
      <c r="G2147" s="15" t="n"/>
    </row>
    <row r="2148">
      <c r="A2148" s="19" t="n"/>
      <c r="B2148" s="15" t="n"/>
      <c r="C2148">
        <f>IF(B2148="","",IFERROR(INDEX(Items!$B$5:$B$304,MATCH(B2148,Items!$A$5:$A$304,0)),"Unknown code"))</f>
        <v/>
      </c>
      <c r="D2148" s="15" t="n"/>
      <c r="E2148" s="16" t="n"/>
      <c r="F2148" s="18">
        <f>IF(OR(D2148="",E2148=""),"",D2148*E2148)</f>
        <v/>
      </c>
      <c r="G2148" s="15" t="n"/>
    </row>
    <row r="2149">
      <c r="A2149" s="19" t="n"/>
      <c r="B2149" s="15" t="n"/>
      <c r="C2149">
        <f>IF(B2149="","",IFERROR(INDEX(Items!$B$5:$B$304,MATCH(B2149,Items!$A$5:$A$304,0)),"Unknown code"))</f>
        <v/>
      </c>
      <c r="D2149" s="15" t="n"/>
      <c r="E2149" s="16" t="n"/>
      <c r="F2149" s="18">
        <f>IF(OR(D2149="",E2149=""),"",D2149*E2149)</f>
        <v/>
      </c>
      <c r="G2149" s="15" t="n"/>
    </row>
    <row r="2150">
      <c r="A2150" s="19" t="n"/>
      <c r="B2150" s="15" t="n"/>
      <c r="C2150">
        <f>IF(B2150="","",IFERROR(INDEX(Items!$B$5:$B$304,MATCH(B2150,Items!$A$5:$A$304,0)),"Unknown code"))</f>
        <v/>
      </c>
      <c r="D2150" s="15" t="n"/>
      <c r="E2150" s="16" t="n"/>
      <c r="F2150" s="18">
        <f>IF(OR(D2150="",E2150=""),"",D2150*E2150)</f>
        <v/>
      </c>
      <c r="G2150" s="15" t="n"/>
    </row>
    <row r="2151">
      <c r="A2151" s="19" t="n"/>
      <c r="B2151" s="15" t="n"/>
      <c r="C2151">
        <f>IF(B2151="","",IFERROR(INDEX(Items!$B$5:$B$304,MATCH(B2151,Items!$A$5:$A$304,0)),"Unknown code"))</f>
        <v/>
      </c>
      <c r="D2151" s="15" t="n"/>
      <c r="E2151" s="16" t="n"/>
      <c r="F2151" s="18">
        <f>IF(OR(D2151="",E2151=""),"",D2151*E2151)</f>
        <v/>
      </c>
      <c r="G2151" s="15" t="n"/>
    </row>
    <row r="2152">
      <c r="A2152" s="19" t="n"/>
      <c r="B2152" s="15" t="n"/>
      <c r="C2152">
        <f>IF(B2152="","",IFERROR(INDEX(Items!$B$5:$B$304,MATCH(B2152,Items!$A$5:$A$304,0)),"Unknown code"))</f>
        <v/>
      </c>
      <c r="D2152" s="15" t="n"/>
      <c r="E2152" s="16" t="n"/>
      <c r="F2152" s="18">
        <f>IF(OR(D2152="",E2152=""),"",D2152*E2152)</f>
        <v/>
      </c>
      <c r="G2152" s="15" t="n"/>
    </row>
    <row r="2153">
      <c r="A2153" s="19" t="n"/>
      <c r="B2153" s="15" t="n"/>
      <c r="C2153">
        <f>IF(B2153="","",IFERROR(INDEX(Items!$B$5:$B$304,MATCH(B2153,Items!$A$5:$A$304,0)),"Unknown code"))</f>
        <v/>
      </c>
      <c r="D2153" s="15" t="n"/>
      <c r="E2153" s="16" t="n"/>
      <c r="F2153" s="18">
        <f>IF(OR(D2153="",E2153=""),"",D2153*E2153)</f>
        <v/>
      </c>
      <c r="G2153" s="15" t="n"/>
    </row>
    <row r="2154">
      <c r="A2154" s="19" t="n"/>
      <c r="B2154" s="15" t="n"/>
      <c r="C2154">
        <f>IF(B2154="","",IFERROR(INDEX(Items!$B$5:$B$304,MATCH(B2154,Items!$A$5:$A$304,0)),"Unknown code"))</f>
        <v/>
      </c>
      <c r="D2154" s="15" t="n"/>
      <c r="E2154" s="16" t="n"/>
      <c r="F2154" s="18">
        <f>IF(OR(D2154="",E2154=""),"",D2154*E2154)</f>
        <v/>
      </c>
      <c r="G2154" s="15" t="n"/>
    </row>
    <row r="2155">
      <c r="A2155" s="19" t="n"/>
      <c r="B2155" s="15" t="n"/>
      <c r="C2155">
        <f>IF(B2155="","",IFERROR(INDEX(Items!$B$5:$B$304,MATCH(B2155,Items!$A$5:$A$304,0)),"Unknown code"))</f>
        <v/>
      </c>
      <c r="D2155" s="15" t="n"/>
      <c r="E2155" s="16" t="n"/>
      <c r="F2155" s="18">
        <f>IF(OR(D2155="",E2155=""),"",D2155*E2155)</f>
        <v/>
      </c>
      <c r="G2155" s="15" t="n"/>
    </row>
    <row r="2156">
      <c r="A2156" s="19" t="n"/>
      <c r="B2156" s="15" t="n"/>
      <c r="C2156">
        <f>IF(B2156="","",IFERROR(INDEX(Items!$B$5:$B$304,MATCH(B2156,Items!$A$5:$A$304,0)),"Unknown code"))</f>
        <v/>
      </c>
      <c r="D2156" s="15" t="n"/>
      <c r="E2156" s="16" t="n"/>
      <c r="F2156" s="18">
        <f>IF(OR(D2156="",E2156=""),"",D2156*E2156)</f>
        <v/>
      </c>
      <c r="G2156" s="15" t="n"/>
    </row>
    <row r="2157">
      <c r="A2157" s="19" t="n"/>
      <c r="B2157" s="15" t="n"/>
      <c r="C2157">
        <f>IF(B2157="","",IFERROR(INDEX(Items!$B$5:$B$304,MATCH(B2157,Items!$A$5:$A$304,0)),"Unknown code"))</f>
        <v/>
      </c>
      <c r="D2157" s="15" t="n"/>
      <c r="E2157" s="16" t="n"/>
      <c r="F2157" s="18">
        <f>IF(OR(D2157="",E2157=""),"",D2157*E2157)</f>
        <v/>
      </c>
      <c r="G2157" s="15" t="n"/>
    </row>
    <row r="2158">
      <c r="A2158" s="19" t="n"/>
      <c r="B2158" s="15" t="n"/>
      <c r="C2158">
        <f>IF(B2158="","",IFERROR(INDEX(Items!$B$5:$B$304,MATCH(B2158,Items!$A$5:$A$304,0)),"Unknown code"))</f>
        <v/>
      </c>
      <c r="D2158" s="15" t="n"/>
      <c r="E2158" s="16" t="n"/>
      <c r="F2158" s="18">
        <f>IF(OR(D2158="",E2158=""),"",D2158*E2158)</f>
        <v/>
      </c>
      <c r="G2158" s="15" t="n"/>
    </row>
    <row r="2159">
      <c r="A2159" s="19" t="n"/>
      <c r="B2159" s="15" t="n"/>
      <c r="C2159">
        <f>IF(B2159="","",IFERROR(INDEX(Items!$B$5:$B$304,MATCH(B2159,Items!$A$5:$A$304,0)),"Unknown code"))</f>
        <v/>
      </c>
      <c r="D2159" s="15" t="n"/>
      <c r="E2159" s="16" t="n"/>
      <c r="F2159" s="18">
        <f>IF(OR(D2159="",E2159=""),"",D2159*E2159)</f>
        <v/>
      </c>
      <c r="G2159" s="15" t="n"/>
    </row>
    <row r="2160">
      <c r="A2160" s="19" t="n"/>
      <c r="B2160" s="15" t="n"/>
      <c r="C2160">
        <f>IF(B2160="","",IFERROR(INDEX(Items!$B$5:$B$304,MATCH(B2160,Items!$A$5:$A$304,0)),"Unknown code"))</f>
        <v/>
      </c>
      <c r="D2160" s="15" t="n"/>
      <c r="E2160" s="16" t="n"/>
      <c r="F2160" s="18">
        <f>IF(OR(D2160="",E2160=""),"",D2160*E2160)</f>
        <v/>
      </c>
      <c r="G2160" s="15" t="n"/>
    </row>
    <row r="2161">
      <c r="A2161" s="19" t="n"/>
      <c r="B2161" s="15" t="n"/>
      <c r="C2161">
        <f>IF(B2161="","",IFERROR(INDEX(Items!$B$5:$B$304,MATCH(B2161,Items!$A$5:$A$304,0)),"Unknown code"))</f>
        <v/>
      </c>
      <c r="D2161" s="15" t="n"/>
      <c r="E2161" s="16" t="n"/>
      <c r="F2161" s="18">
        <f>IF(OR(D2161="",E2161=""),"",D2161*E2161)</f>
        <v/>
      </c>
      <c r="G2161" s="15" t="n"/>
    </row>
    <row r="2162">
      <c r="A2162" s="19" t="n"/>
      <c r="B2162" s="15" t="n"/>
      <c r="C2162">
        <f>IF(B2162="","",IFERROR(INDEX(Items!$B$5:$B$304,MATCH(B2162,Items!$A$5:$A$304,0)),"Unknown code"))</f>
        <v/>
      </c>
      <c r="D2162" s="15" t="n"/>
      <c r="E2162" s="16" t="n"/>
      <c r="F2162" s="18">
        <f>IF(OR(D2162="",E2162=""),"",D2162*E2162)</f>
        <v/>
      </c>
      <c r="G2162" s="15" t="n"/>
    </row>
    <row r="2163">
      <c r="A2163" s="19" t="n"/>
      <c r="B2163" s="15" t="n"/>
      <c r="C2163">
        <f>IF(B2163="","",IFERROR(INDEX(Items!$B$5:$B$304,MATCH(B2163,Items!$A$5:$A$304,0)),"Unknown code"))</f>
        <v/>
      </c>
      <c r="D2163" s="15" t="n"/>
      <c r="E2163" s="16" t="n"/>
      <c r="F2163" s="18">
        <f>IF(OR(D2163="",E2163=""),"",D2163*E2163)</f>
        <v/>
      </c>
      <c r="G2163" s="15" t="n"/>
    </row>
    <row r="2164">
      <c r="A2164" s="19" t="n"/>
      <c r="B2164" s="15" t="n"/>
      <c r="C2164">
        <f>IF(B2164="","",IFERROR(INDEX(Items!$B$5:$B$304,MATCH(B2164,Items!$A$5:$A$304,0)),"Unknown code"))</f>
        <v/>
      </c>
      <c r="D2164" s="15" t="n"/>
      <c r="E2164" s="16" t="n"/>
      <c r="F2164" s="18">
        <f>IF(OR(D2164="",E2164=""),"",D2164*E2164)</f>
        <v/>
      </c>
      <c r="G2164" s="15" t="n"/>
    </row>
    <row r="2165">
      <c r="A2165" s="19" t="n"/>
      <c r="B2165" s="15" t="n"/>
      <c r="C2165">
        <f>IF(B2165="","",IFERROR(INDEX(Items!$B$5:$B$304,MATCH(B2165,Items!$A$5:$A$304,0)),"Unknown code"))</f>
        <v/>
      </c>
      <c r="D2165" s="15" t="n"/>
      <c r="E2165" s="16" t="n"/>
      <c r="F2165" s="18">
        <f>IF(OR(D2165="",E2165=""),"",D2165*E2165)</f>
        <v/>
      </c>
      <c r="G2165" s="15" t="n"/>
    </row>
    <row r="2166">
      <c r="A2166" s="19" t="n"/>
      <c r="B2166" s="15" t="n"/>
      <c r="C2166">
        <f>IF(B2166="","",IFERROR(INDEX(Items!$B$5:$B$304,MATCH(B2166,Items!$A$5:$A$304,0)),"Unknown code"))</f>
        <v/>
      </c>
      <c r="D2166" s="15" t="n"/>
      <c r="E2166" s="16" t="n"/>
      <c r="F2166" s="18">
        <f>IF(OR(D2166="",E2166=""),"",D2166*E2166)</f>
        <v/>
      </c>
      <c r="G2166" s="15" t="n"/>
    </row>
    <row r="2167">
      <c r="A2167" s="19" t="n"/>
      <c r="B2167" s="15" t="n"/>
      <c r="C2167">
        <f>IF(B2167="","",IFERROR(INDEX(Items!$B$5:$B$304,MATCH(B2167,Items!$A$5:$A$304,0)),"Unknown code"))</f>
        <v/>
      </c>
      <c r="D2167" s="15" t="n"/>
      <c r="E2167" s="16" t="n"/>
      <c r="F2167" s="18">
        <f>IF(OR(D2167="",E2167=""),"",D2167*E2167)</f>
        <v/>
      </c>
      <c r="G2167" s="15" t="n"/>
    </row>
    <row r="2168">
      <c r="A2168" s="19" t="n"/>
      <c r="B2168" s="15" t="n"/>
      <c r="C2168">
        <f>IF(B2168="","",IFERROR(INDEX(Items!$B$5:$B$304,MATCH(B2168,Items!$A$5:$A$304,0)),"Unknown code"))</f>
        <v/>
      </c>
      <c r="D2168" s="15" t="n"/>
      <c r="E2168" s="16" t="n"/>
      <c r="F2168" s="18">
        <f>IF(OR(D2168="",E2168=""),"",D2168*E2168)</f>
        <v/>
      </c>
      <c r="G2168" s="15" t="n"/>
    </row>
    <row r="2169">
      <c r="A2169" s="19" t="n"/>
      <c r="B2169" s="15" t="n"/>
      <c r="C2169">
        <f>IF(B2169="","",IFERROR(INDEX(Items!$B$5:$B$304,MATCH(B2169,Items!$A$5:$A$304,0)),"Unknown code"))</f>
        <v/>
      </c>
      <c r="D2169" s="15" t="n"/>
      <c r="E2169" s="16" t="n"/>
      <c r="F2169" s="18">
        <f>IF(OR(D2169="",E2169=""),"",D2169*E2169)</f>
        <v/>
      </c>
      <c r="G2169" s="15" t="n"/>
    </row>
    <row r="2170">
      <c r="A2170" s="19" t="n"/>
      <c r="B2170" s="15" t="n"/>
      <c r="C2170">
        <f>IF(B2170="","",IFERROR(INDEX(Items!$B$5:$B$304,MATCH(B2170,Items!$A$5:$A$304,0)),"Unknown code"))</f>
        <v/>
      </c>
      <c r="D2170" s="15" t="n"/>
      <c r="E2170" s="16" t="n"/>
      <c r="F2170" s="18">
        <f>IF(OR(D2170="",E2170=""),"",D2170*E2170)</f>
        <v/>
      </c>
      <c r="G2170" s="15" t="n"/>
    </row>
    <row r="2171">
      <c r="A2171" s="19" t="n"/>
      <c r="B2171" s="15" t="n"/>
      <c r="C2171">
        <f>IF(B2171="","",IFERROR(INDEX(Items!$B$5:$B$304,MATCH(B2171,Items!$A$5:$A$304,0)),"Unknown code"))</f>
        <v/>
      </c>
      <c r="D2171" s="15" t="n"/>
      <c r="E2171" s="16" t="n"/>
      <c r="F2171" s="18">
        <f>IF(OR(D2171="",E2171=""),"",D2171*E2171)</f>
        <v/>
      </c>
      <c r="G2171" s="15" t="n"/>
    </row>
    <row r="2172">
      <c r="A2172" s="19" t="n"/>
      <c r="B2172" s="15" t="n"/>
      <c r="C2172">
        <f>IF(B2172="","",IFERROR(INDEX(Items!$B$5:$B$304,MATCH(B2172,Items!$A$5:$A$304,0)),"Unknown code"))</f>
        <v/>
      </c>
      <c r="D2172" s="15" t="n"/>
      <c r="E2172" s="16" t="n"/>
      <c r="F2172" s="18">
        <f>IF(OR(D2172="",E2172=""),"",D2172*E2172)</f>
        <v/>
      </c>
      <c r="G2172" s="15" t="n"/>
    </row>
    <row r="2173">
      <c r="A2173" s="19" t="n"/>
      <c r="B2173" s="15" t="n"/>
      <c r="C2173">
        <f>IF(B2173="","",IFERROR(INDEX(Items!$B$5:$B$304,MATCH(B2173,Items!$A$5:$A$304,0)),"Unknown code"))</f>
        <v/>
      </c>
      <c r="D2173" s="15" t="n"/>
      <c r="E2173" s="16" t="n"/>
      <c r="F2173" s="18">
        <f>IF(OR(D2173="",E2173=""),"",D2173*E2173)</f>
        <v/>
      </c>
      <c r="G2173" s="15" t="n"/>
    </row>
    <row r="2174">
      <c r="A2174" s="19" t="n"/>
      <c r="B2174" s="15" t="n"/>
      <c r="C2174">
        <f>IF(B2174="","",IFERROR(INDEX(Items!$B$5:$B$304,MATCH(B2174,Items!$A$5:$A$304,0)),"Unknown code"))</f>
        <v/>
      </c>
      <c r="D2174" s="15" t="n"/>
      <c r="E2174" s="16" t="n"/>
      <c r="F2174" s="18">
        <f>IF(OR(D2174="",E2174=""),"",D2174*E2174)</f>
        <v/>
      </c>
      <c r="G2174" s="15" t="n"/>
    </row>
    <row r="2175">
      <c r="A2175" s="19" t="n"/>
      <c r="B2175" s="15" t="n"/>
      <c r="C2175">
        <f>IF(B2175="","",IFERROR(INDEX(Items!$B$5:$B$304,MATCH(B2175,Items!$A$5:$A$304,0)),"Unknown code"))</f>
        <v/>
      </c>
      <c r="D2175" s="15" t="n"/>
      <c r="E2175" s="16" t="n"/>
      <c r="F2175" s="18">
        <f>IF(OR(D2175="",E2175=""),"",D2175*E2175)</f>
        <v/>
      </c>
      <c r="G2175" s="15" t="n"/>
    </row>
    <row r="2176">
      <c r="A2176" s="19" t="n"/>
      <c r="B2176" s="15" t="n"/>
      <c r="C2176">
        <f>IF(B2176="","",IFERROR(INDEX(Items!$B$5:$B$304,MATCH(B2176,Items!$A$5:$A$304,0)),"Unknown code"))</f>
        <v/>
      </c>
      <c r="D2176" s="15" t="n"/>
      <c r="E2176" s="16" t="n"/>
      <c r="F2176" s="18">
        <f>IF(OR(D2176="",E2176=""),"",D2176*E2176)</f>
        <v/>
      </c>
      <c r="G2176" s="15" t="n"/>
    </row>
    <row r="2177">
      <c r="A2177" s="19" t="n"/>
      <c r="B2177" s="15" t="n"/>
      <c r="C2177">
        <f>IF(B2177="","",IFERROR(INDEX(Items!$B$5:$B$304,MATCH(B2177,Items!$A$5:$A$304,0)),"Unknown code"))</f>
        <v/>
      </c>
      <c r="D2177" s="15" t="n"/>
      <c r="E2177" s="16" t="n"/>
      <c r="F2177" s="18">
        <f>IF(OR(D2177="",E2177=""),"",D2177*E2177)</f>
        <v/>
      </c>
      <c r="G2177" s="15" t="n"/>
    </row>
    <row r="2178">
      <c r="A2178" s="19" t="n"/>
      <c r="B2178" s="15" t="n"/>
      <c r="C2178">
        <f>IF(B2178="","",IFERROR(INDEX(Items!$B$5:$B$304,MATCH(B2178,Items!$A$5:$A$304,0)),"Unknown code"))</f>
        <v/>
      </c>
      <c r="D2178" s="15" t="n"/>
      <c r="E2178" s="16" t="n"/>
      <c r="F2178" s="18">
        <f>IF(OR(D2178="",E2178=""),"",D2178*E2178)</f>
        <v/>
      </c>
      <c r="G2178" s="15" t="n"/>
    </row>
    <row r="2179">
      <c r="A2179" s="19" t="n"/>
      <c r="B2179" s="15" t="n"/>
      <c r="C2179">
        <f>IF(B2179="","",IFERROR(INDEX(Items!$B$5:$B$304,MATCH(B2179,Items!$A$5:$A$304,0)),"Unknown code"))</f>
        <v/>
      </c>
      <c r="D2179" s="15" t="n"/>
      <c r="E2179" s="16" t="n"/>
      <c r="F2179" s="18">
        <f>IF(OR(D2179="",E2179=""),"",D2179*E2179)</f>
        <v/>
      </c>
      <c r="G2179" s="15" t="n"/>
    </row>
    <row r="2180">
      <c r="A2180" s="19" t="n"/>
      <c r="B2180" s="15" t="n"/>
      <c r="C2180">
        <f>IF(B2180="","",IFERROR(INDEX(Items!$B$5:$B$304,MATCH(B2180,Items!$A$5:$A$304,0)),"Unknown code"))</f>
        <v/>
      </c>
      <c r="D2180" s="15" t="n"/>
      <c r="E2180" s="16" t="n"/>
      <c r="F2180" s="18">
        <f>IF(OR(D2180="",E2180=""),"",D2180*E2180)</f>
        <v/>
      </c>
      <c r="G2180" s="15" t="n"/>
    </row>
    <row r="2181">
      <c r="A2181" s="19" t="n"/>
      <c r="B2181" s="15" t="n"/>
      <c r="C2181">
        <f>IF(B2181="","",IFERROR(INDEX(Items!$B$5:$B$304,MATCH(B2181,Items!$A$5:$A$304,0)),"Unknown code"))</f>
        <v/>
      </c>
      <c r="D2181" s="15" t="n"/>
      <c r="E2181" s="16" t="n"/>
      <c r="F2181" s="18">
        <f>IF(OR(D2181="",E2181=""),"",D2181*E2181)</f>
        <v/>
      </c>
      <c r="G2181" s="15" t="n"/>
    </row>
    <row r="2182">
      <c r="A2182" s="19" t="n"/>
      <c r="B2182" s="15" t="n"/>
      <c r="C2182">
        <f>IF(B2182="","",IFERROR(INDEX(Items!$B$5:$B$304,MATCH(B2182,Items!$A$5:$A$304,0)),"Unknown code"))</f>
        <v/>
      </c>
      <c r="D2182" s="15" t="n"/>
      <c r="E2182" s="16" t="n"/>
      <c r="F2182" s="18">
        <f>IF(OR(D2182="",E2182=""),"",D2182*E2182)</f>
        <v/>
      </c>
      <c r="G2182" s="15" t="n"/>
    </row>
    <row r="2183">
      <c r="A2183" s="19" t="n"/>
      <c r="B2183" s="15" t="n"/>
      <c r="C2183">
        <f>IF(B2183="","",IFERROR(INDEX(Items!$B$5:$B$304,MATCH(B2183,Items!$A$5:$A$304,0)),"Unknown code"))</f>
        <v/>
      </c>
      <c r="D2183" s="15" t="n"/>
      <c r="E2183" s="16" t="n"/>
      <c r="F2183" s="18">
        <f>IF(OR(D2183="",E2183=""),"",D2183*E2183)</f>
        <v/>
      </c>
      <c r="G2183" s="15" t="n"/>
    </row>
    <row r="2184">
      <c r="A2184" s="19" t="n"/>
      <c r="B2184" s="15" t="n"/>
      <c r="C2184">
        <f>IF(B2184="","",IFERROR(INDEX(Items!$B$5:$B$304,MATCH(B2184,Items!$A$5:$A$304,0)),"Unknown code"))</f>
        <v/>
      </c>
      <c r="D2184" s="15" t="n"/>
      <c r="E2184" s="16" t="n"/>
      <c r="F2184" s="18">
        <f>IF(OR(D2184="",E2184=""),"",D2184*E2184)</f>
        <v/>
      </c>
      <c r="G2184" s="15" t="n"/>
    </row>
    <row r="2185">
      <c r="A2185" s="19" t="n"/>
      <c r="B2185" s="15" t="n"/>
      <c r="C2185">
        <f>IF(B2185="","",IFERROR(INDEX(Items!$B$5:$B$304,MATCH(B2185,Items!$A$5:$A$304,0)),"Unknown code"))</f>
        <v/>
      </c>
      <c r="D2185" s="15" t="n"/>
      <c r="E2185" s="16" t="n"/>
      <c r="F2185" s="18">
        <f>IF(OR(D2185="",E2185=""),"",D2185*E2185)</f>
        <v/>
      </c>
      <c r="G2185" s="15" t="n"/>
    </row>
    <row r="2186">
      <c r="A2186" s="19" t="n"/>
      <c r="B2186" s="15" t="n"/>
      <c r="C2186">
        <f>IF(B2186="","",IFERROR(INDEX(Items!$B$5:$B$304,MATCH(B2186,Items!$A$5:$A$304,0)),"Unknown code"))</f>
        <v/>
      </c>
      <c r="D2186" s="15" t="n"/>
      <c r="E2186" s="16" t="n"/>
      <c r="F2186" s="18">
        <f>IF(OR(D2186="",E2186=""),"",D2186*E2186)</f>
        <v/>
      </c>
      <c r="G2186" s="15" t="n"/>
    </row>
    <row r="2187">
      <c r="A2187" s="19" t="n"/>
      <c r="B2187" s="15" t="n"/>
      <c r="C2187">
        <f>IF(B2187="","",IFERROR(INDEX(Items!$B$5:$B$304,MATCH(B2187,Items!$A$5:$A$304,0)),"Unknown code"))</f>
        <v/>
      </c>
      <c r="D2187" s="15" t="n"/>
      <c r="E2187" s="16" t="n"/>
      <c r="F2187" s="18">
        <f>IF(OR(D2187="",E2187=""),"",D2187*E2187)</f>
        <v/>
      </c>
      <c r="G2187" s="15" t="n"/>
    </row>
    <row r="2188">
      <c r="A2188" s="19" t="n"/>
      <c r="B2188" s="15" t="n"/>
      <c r="C2188">
        <f>IF(B2188="","",IFERROR(INDEX(Items!$B$5:$B$304,MATCH(B2188,Items!$A$5:$A$304,0)),"Unknown code"))</f>
        <v/>
      </c>
      <c r="D2188" s="15" t="n"/>
      <c r="E2188" s="16" t="n"/>
      <c r="F2188" s="18">
        <f>IF(OR(D2188="",E2188=""),"",D2188*E2188)</f>
        <v/>
      </c>
      <c r="G2188" s="15" t="n"/>
    </row>
    <row r="2189">
      <c r="A2189" s="19" t="n"/>
      <c r="B2189" s="15" t="n"/>
      <c r="C2189">
        <f>IF(B2189="","",IFERROR(INDEX(Items!$B$5:$B$304,MATCH(B2189,Items!$A$5:$A$304,0)),"Unknown code"))</f>
        <v/>
      </c>
      <c r="D2189" s="15" t="n"/>
      <c r="E2189" s="16" t="n"/>
      <c r="F2189" s="18">
        <f>IF(OR(D2189="",E2189=""),"",D2189*E2189)</f>
        <v/>
      </c>
      <c r="G2189" s="15" t="n"/>
    </row>
    <row r="2190">
      <c r="A2190" s="19" t="n"/>
      <c r="B2190" s="15" t="n"/>
      <c r="C2190">
        <f>IF(B2190="","",IFERROR(INDEX(Items!$B$5:$B$304,MATCH(B2190,Items!$A$5:$A$304,0)),"Unknown code"))</f>
        <v/>
      </c>
      <c r="D2190" s="15" t="n"/>
      <c r="E2190" s="16" t="n"/>
      <c r="F2190" s="18">
        <f>IF(OR(D2190="",E2190=""),"",D2190*E2190)</f>
        <v/>
      </c>
      <c r="G2190" s="15" t="n"/>
    </row>
    <row r="2191">
      <c r="A2191" s="19" t="n"/>
      <c r="B2191" s="15" t="n"/>
      <c r="C2191">
        <f>IF(B2191="","",IFERROR(INDEX(Items!$B$5:$B$304,MATCH(B2191,Items!$A$5:$A$304,0)),"Unknown code"))</f>
        <v/>
      </c>
      <c r="D2191" s="15" t="n"/>
      <c r="E2191" s="16" t="n"/>
      <c r="F2191" s="18">
        <f>IF(OR(D2191="",E2191=""),"",D2191*E2191)</f>
        <v/>
      </c>
      <c r="G2191" s="15" t="n"/>
    </row>
    <row r="2192">
      <c r="A2192" s="19" t="n"/>
      <c r="B2192" s="15" t="n"/>
      <c r="C2192">
        <f>IF(B2192="","",IFERROR(INDEX(Items!$B$5:$B$304,MATCH(B2192,Items!$A$5:$A$304,0)),"Unknown code"))</f>
        <v/>
      </c>
      <c r="D2192" s="15" t="n"/>
      <c r="E2192" s="16" t="n"/>
      <c r="F2192" s="18">
        <f>IF(OR(D2192="",E2192=""),"",D2192*E2192)</f>
        <v/>
      </c>
      <c r="G2192" s="15" t="n"/>
    </row>
    <row r="2193">
      <c r="A2193" s="19" t="n"/>
      <c r="B2193" s="15" t="n"/>
      <c r="C2193">
        <f>IF(B2193="","",IFERROR(INDEX(Items!$B$5:$B$304,MATCH(B2193,Items!$A$5:$A$304,0)),"Unknown code"))</f>
        <v/>
      </c>
      <c r="D2193" s="15" t="n"/>
      <c r="E2193" s="16" t="n"/>
      <c r="F2193" s="18">
        <f>IF(OR(D2193="",E2193=""),"",D2193*E2193)</f>
        <v/>
      </c>
      <c r="G2193" s="15" t="n"/>
    </row>
    <row r="2194">
      <c r="A2194" s="19" t="n"/>
      <c r="B2194" s="15" t="n"/>
      <c r="C2194">
        <f>IF(B2194="","",IFERROR(INDEX(Items!$B$5:$B$304,MATCH(B2194,Items!$A$5:$A$304,0)),"Unknown code"))</f>
        <v/>
      </c>
      <c r="D2194" s="15" t="n"/>
      <c r="E2194" s="16" t="n"/>
      <c r="F2194" s="18">
        <f>IF(OR(D2194="",E2194=""),"",D2194*E2194)</f>
        <v/>
      </c>
      <c r="G2194" s="15" t="n"/>
    </row>
    <row r="2195">
      <c r="A2195" s="19" t="n"/>
      <c r="B2195" s="15" t="n"/>
      <c r="C2195">
        <f>IF(B2195="","",IFERROR(INDEX(Items!$B$5:$B$304,MATCH(B2195,Items!$A$5:$A$304,0)),"Unknown code"))</f>
        <v/>
      </c>
      <c r="D2195" s="15" t="n"/>
      <c r="E2195" s="16" t="n"/>
      <c r="F2195" s="18">
        <f>IF(OR(D2195="",E2195=""),"",D2195*E2195)</f>
        <v/>
      </c>
      <c r="G2195" s="15" t="n"/>
    </row>
    <row r="2196">
      <c r="A2196" s="19" t="n"/>
      <c r="B2196" s="15" t="n"/>
      <c r="C2196">
        <f>IF(B2196="","",IFERROR(INDEX(Items!$B$5:$B$304,MATCH(B2196,Items!$A$5:$A$304,0)),"Unknown code"))</f>
        <v/>
      </c>
      <c r="D2196" s="15" t="n"/>
      <c r="E2196" s="16" t="n"/>
      <c r="F2196" s="18">
        <f>IF(OR(D2196="",E2196=""),"",D2196*E2196)</f>
        <v/>
      </c>
      <c r="G2196" s="15" t="n"/>
    </row>
    <row r="2197">
      <c r="A2197" s="19" t="n"/>
      <c r="B2197" s="15" t="n"/>
      <c r="C2197">
        <f>IF(B2197="","",IFERROR(INDEX(Items!$B$5:$B$304,MATCH(B2197,Items!$A$5:$A$304,0)),"Unknown code"))</f>
        <v/>
      </c>
      <c r="D2197" s="15" t="n"/>
      <c r="E2197" s="16" t="n"/>
      <c r="F2197" s="18">
        <f>IF(OR(D2197="",E2197=""),"",D2197*E2197)</f>
        <v/>
      </c>
      <c r="G2197" s="15" t="n"/>
    </row>
    <row r="2198">
      <c r="A2198" s="19" t="n"/>
      <c r="B2198" s="15" t="n"/>
      <c r="C2198">
        <f>IF(B2198="","",IFERROR(INDEX(Items!$B$5:$B$304,MATCH(B2198,Items!$A$5:$A$304,0)),"Unknown code"))</f>
        <v/>
      </c>
      <c r="D2198" s="15" t="n"/>
      <c r="E2198" s="16" t="n"/>
      <c r="F2198" s="18">
        <f>IF(OR(D2198="",E2198=""),"",D2198*E2198)</f>
        <v/>
      </c>
      <c r="G2198" s="15" t="n"/>
    </row>
    <row r="2199">
      <c r="A2199" s="19" t="n"/>
      <c r="B2199" s="15" t="n"/>
      <c r="C2199">
        <f>IF(B2199="","",IFERROR(INDEX(Items!$B$5:$B$304,MATCH(B2199,Items!$A$5:$A$304,0)),"Unknown code"))</f>
        <v/>
      </c>
      <c r="D2199" s="15" t="n"/>
      <c r="E2199" s="16" t="n"/>
      <c r="F2199" s="18">
        <f>IF(OR(D2199="",E2199=""),"",D2199*E2199)</f>
        <v/>
      </c>
      <c r="G2199" s="15" t="n"/>
    </row>
    <row r="2200">
      <c r="A2200" s="19" t="n"/>
      <c r="B2200" s="15" t="n"/>
      <c r="C2200">
        <f>IF(B2200="","",IFERROR(INDEX(Items!$B$5:$B$304,MATCH(B2200,Items!$A$5:$A$304,0)),"Unknown code"))</f>
        <v/>
      </c>
      <c r="D2200" s="15" t="n"/>
      <c r="E2200" s="16" t="n"/>
      <c r="F2200" s="18">
        <f>IF(OR(D2200="",E2200=""),"",D2200*E2200)</f>
        <v/>
      </c>
      <c r="G2200" s="15" t="n"/>
    </row>
    <row r="2201">
      <c r="A2201" s="19" t="n"/>
      <c r="B2201" s="15" t="n"/>
      <c r="C2201">
        <f>IF(B2201="","",IFERROR(INDEX(Items!$B$5:$B$304,MATCH(B2201,Items!$A$5:$A$304,0)),"Unknown code"))</f>
        <v/>
      </c>
      <c r="D2201" s="15" t="n"/>
      <c r="E2201" s="16" t="n"/>
      <c r="F2201" s="18">
        <f>IF(OR(D2201="",E2201=""),"",D2201*E2201)</f>
        <v/>
      </c>
      <c r="G2201" s="15" t="n"/>
    </row>
    <row r="2202">
      <c r="A2202" s="19" t="n"/>
      <c r="B2202" s="15" t="n"/>
      <c r="C2202">
        <f>IF(B2202="","",IFERROR(INDEX(Items!$B$5:$B$304,MATCH(B2202,Items!$A$5:$A$304,0)),"Unknown code"))</f>
        <v/>
      </c>
      <c r="D2202" s="15" t="n"/>
      <c r="E2202" s="16" t="n"/>
      <c r="F2202" s="18">
        <f>IF(OR(D2202="",E2202=""),"",D2202*E2202)</f>
        <v/>
      </c>
      <c r="G2202" s="15" t="n"/>
    </row>
    <row r="2203">
      <c r="A2203" s="19" t="n"/>
      <c r="B2203" s="15" t="n"/>
      <c r="C2203">
        <f>IF(B2203="","",IFERROR(INDEX(Items!$B$5:$B$304,MATCH(B2203,Items!$A$5:$A$304,0)),"Unknown code"))</f>
        <v/>
      </c>
      <c r="D2203" s="15" t="n"/>
      <c r="E2203" s="16" t="n"/>
      <c r="F2203" s="18">
        <f>IF(OR(D2203="",E2203=""),"",D2203*E2203)</f>
        <v/>
      </c>
      <c r="G2203" s="15" t="n"/>
    </row>
    <row r="2204">
      <c r="A2204" s="19" t="n"/>
      <c r="B2204" s="15" t="n"/>
      <c r="C2204">
        <f>IF(B2204="","",IFERROR(INDEX(Items!$B$5:$B$304,MATCH(B2204,Items!$A$5:$A$304,0)),"Unknown code"))</f>
        <v/>
      </c>
      <c r="D2204" s="15" t="n"/>
      <c r="E2204" s="16" t="n"/>
      <c r="F2204" s="18">
        <f>IF(OR(D2204="",E2204=""),"",D2204*E2204)</f>
        <v/>
      </c>
      <c r="G2204" s="15" t="n"/>
    </row>
    <row r="2205">
      <c r="A2205" s="19" t="n"/>
      <c r="B2205" s="15" t="n"/>
      <c r="C2205">
        <f>IF(B2205="","",IFERROR(INDEX(Items!$B$5:$B$304,MATCH(B2205,Items!$A$5:$A$304,0)),"Unknown code"))</f>
        <v/>
      </c>
      <c r="D2205" s="15" t="n"/>
      <c r="E2205" s="16" t="n"/>
      <c r="F2205" s="18">
        <f>IF(OR(D2205="",E2205=""),"",D2205*E2205)</f>
        <v/>
      </c>
      <c r="G2205" s="15" t="n"/>
    </row>
    <row r="2206">
      <c r="A2206" s="19" t="n"/>
      <c r="B2206" s="15" t="n"/>
      <c r="C2206">
        <f>IF(B2206="","",IFERROR(INDEX(Items!$B$5:$B$304,MATCH(B2206,Items!$A$5:$A$304,0)),"Unknown code"))</f>
        <v/>
      </c>
      <c r="D2206" s="15" t="n"/>
      <c r="E2206" s="16" t="n"/>
      <c r="F2206" s="18">
        <f>IF(OR(D2206="",E2206=""),"",D2206*E2206)</f>
        <v/>
      </c>
      <c r="G2206" s="15" t="n"/>
    </row>
    <row r="2207">
      <c r="A2207" s="19" t="n"/>
      <c r="B2207" s="15" t="n"/>
      <c r="C2207">
        <f>IF(B2207="","",IFERROR(INDEX(Items!$B$5:$B$304,MATCH(B2207,Items!$A$5:$A$304,0)),"Unknown code"))</f>
        <v/>
      </c>
      <c r="D2207" s="15" t="n"/>
      <c r="E2207" s="16" t="n"/>
      <c r="F2207" s="18">
        <f>IF(OR(D2207="",E2207=""),"",D2207*E2207)</f>
        <v/>
      </c>
      <c r="G2207" s="15" t="n"/>
    </row>
    <row r="2208">
      <c r="A2208" s="19" t="n"/>
      <c r="B2208" s="15" t="n"/>
      <c r="C2208">
        <f>IF(B2208="","",IFERROR(INDEX(Items!$B$5:$B$304,MATCH(B2208,Items!$A$5:$A$304,0)),"Unknown code"))</f>
        <v/>
      </c>
      <c r="D2208" s="15" t="n"/>
      <c r="E2208" s="16" t="n"/>
      <c r="F2208" s="18">
        <f>IF(OR(D2208="",E2208=""),"",D2208*E2208)</f>
        <v/>
      </c>
      <c r="G2208" s="15" t="n"/>
    </row>
    <row r="2209">
      <c r="A2209" s="19" t="n"/>
      <c r="B2209" s="15" t="n"/>
      <c r="C2209">
        <f>IF(B2209="","",IFERROR(INDEX(Items!$B$5:$B$304,MATCH(B2209,Items!$A$5:$A$304,0)),"Unknown code"))</f>
        <v/>
      </c>
      <c r="D2209" s="15" t="n"/>
      <c r="E2209" s="16" t="n"/>
      <c r="F2209" s="18">
        <f>IF(OR(D2209="",E2209=""),"",D2209*E2209)</f>
        <v/>
      </c>
      <c r="G2209" s="15" t="n"/>
    </row>
    <row r="2210">
      <c r="A2210" s="19" t="n"/>
      <c r="B2210" s="15" t="n"/>
      <c r="C2210">
        <f>IF(B2210="","",IFERROR(INDEX(Items!$B$5:$B$304,MATCH(B2210,Items!$A$5:$A$304,0)),"Unknown code"))</f>
        <v/>
      </c>
      <c r="D2210" s="15" t="n"/>
      <c r="E2210" s="16" t="n"/>
      <c r="F2210" s="18">
        <f>IF(OR(D2210="",E2210=""),"",D2210*E2210)</f>
        <v/>
      </c>
      <c r="G2210" s="15" t="n"/>
    </row>
    <row r="2211">
      <c r="A2211" s="19" t="n"/>
      <c r="B2211" s="15" t="n"/>
      <c r="C2211">
        <f>IF(B2211="","",IFERROR(INDEX(Items!$B$5:$B$304,MATCH(B2211,Items!$A$5:$A$304,0)),"Unknown code"))</f>
        <v/>
      </c>
      <c r="D2211" s="15" t="n"/>
      <c r="E2211" s="16" t="n"/>
      <c r="F2211" s="18">
        <f>IF(OR(D2211="",E2211=""),"",D2211*E2211)</f>
        <v/>
      </c>
      <c r="G2211" s="15" t="n"/>
    </row>
    <row r="2212">
      <c r="A2212" s="19" t="n"/>
      <c r="B2212" s="15" t="n"/>
      <c r="C2212">
        <f>IF(B2212="","",IFERROR(INDEX(Items!$B$5:$B$304,MATCH(B2212,Items!$A$5:$A$304,0)),"Unknown code"))</f>
        <v/>
      </c>
      <c r="D2212" s="15" t="n"/>
      <c r="E2212" s="16" t="n"/>
      <c r="F2212" s="18">
        <f>IF(OR(D2212="",E2212=""),"",D2212*E2212)</f>
        <v/>
      </c>
      <c r="G2212" s="15" t="n"/>
    </row>
    <row r="2213">
      <c r="A2213" s="19" t="n"/>
      <c r="B2213" s="15" t="n"/>
      <c r="C2213">
        <f>IF(B2213="","",IFERROR(INDEX(Items!$B$5:$B$304,MATCH(B2213,Items!$A$5:$A$304,0)),"Unknown code"))</f>
        <v/>
      </c>
      <c r="D2213" s="15" t="n"/>
      <c r="E2213" s="16" t="n"/>
      <c r="F2213" s="18">
        <f>IF(OR(D2213="",E2213=""),"",D2213*E2213)</f>
        <v/>
      </c>
      <c r="G2213" s="15" t="n"/>
    </row>
    <row r="2214">
      <c r="A2214" s="19" t="n"/>
      <c r="B2214" s="15" t="n"/>
      <c r="C2214">
        <f>IF(B2214="","",IFERROR(INDEX(Items!$B$5:$B$304,MATCH(B2214,Items!$A$5:$A$304,0)),"Unknown code"))</f>
        <v/>
      </c>
      <c r="D2214" s="15" t="n"/>
      <c r="E2214" s="16" t="n"/>
      <c r="F2214" s="18">
        <f>IF(OR(D2214="",E2214=""),"",D2214*E2214)</f>
        <v/>
      </c>
      <c r="G2214" s="15" t="n"/>
    </row>
    <row r="2215">
      <c r="A2215" s="19" t="n"/>
      <c r="B2215" s="15" t="n"/>
      <c r="C2215">
        <f>IF(B2215="","",IFERROR(INDEX(Items!$B$5:$B$304,MATCH(B2215,Items!$A$5:$A$304,0)),"Unknown code"))</f>
        <v/>
      </c>
      <c r="D2215" s="15" t="n"/>
      <c r="E2215" s="16" t="n"/>
      <c r="F2215" s="18">
        <f>IF(OR(D2215="",E2215=""),"",D2215*E2215)</f>
        <v/>
      </c>
      <c r="G2215" s="15" t="n"/>
    </row>
    <row r="2216">
      <c r="A2216" s="19" t="n"/>
      <c r="B2216" s="15" t="n"/>
      <c r="C2216">
        <f>IF(B2216="","",IFERROR(INDEX(Items!$B$5:$B$304,MATCH(B2216,Items!$A$5:$A$304,0)),"Unknown code"))</f>
        <v/>
      </c>
      <c r="D2216" s="15" t="n"/>
      <c r="E2216" s="16" t="n"/>
      <c r="F2216" s="18">
        <f>IF(OR(D2216="",E2216=""),"",D2216*E2216)</f>
        <v/>
      </c>
      <c r="G2216" s="15" t="n"/>
    </row>
    <row r="2217">
      <c r="A2217" s="19" t="n"/>
      <c r="B2217" s="15" t="n"/>
      <c r="C2217">
        <f>IF(B2217="","",IFERROR(INDEX(Items!$B$5:$B$304,MATCH(B2217,Items!$A$5:$A$304,0)),"Unknown code"))</f>
        <v/>
      </c>
      <c r="D2217" s="15" t="n"/>
      <c r="E2217" s="16" t="n"/>
      <c r="F2217" s="18">
        <f>IF(OR(D2217="",E2217=""),"",D2217*E2217)</f>
        <v/>
      </c>
      <c r="G2217" s="15" t="n"/>
    </row>
    <row r="2218">
      <c r="A2218" s="19" t="n"/>
      <c r="B2218" s="15" t="n"/>
      <c r="C2218">
        <f>IF(B2218="","",IFERROR(INDEX(Items!$B$5:$B$304,MATCH(B2218,Items!$A$5:$A$304,0)),"Unknown code"))</f>
        <v/>
      </c>
      <c r="D2218" s="15" t="n"/>
      <c r="E2218" s="16" t="n"/>
      <c r="F2218" s="18">
        <f>IF(OR(D2218="",E2218=""),"",D2218*E2218)</f>
        <v/>
      </c>
      <c r="G2218" s="15" t="n"/>
    </row>
    <row r="2219">
      <c r="A2219" s="19" t="n"/>
      <c r="B2219" s="15" t="n"/>
      <c r="C2219">
        <f>IF(B2219="","",IFERROR(INDEX(Items!$B$5:$B$304,MATCH(B2219,Items!$A$5:$A$304,0)),"Unknown code"))</f>
        <v/>
      </c>
      <c r="D2219" s="15" t="n"/>
      <c r="E2219" s="16" t="n"/>
      <c r="F2219" s="18">
        <f>IF(OR(D2219="",E2219=""),"",D2219*E2219)</f>
        <v/>
      </c>
      <c r="G2219" s="15" t="n"/>
    </row>
    <row r="2220">
      <c r="A2220" s="19" t="n"/>
      <c r="B2220" s="15" t="n"/>
      <c r="C2220">
        <f>IF(B2220="","",IFERROR(INDEX(Items!$B$5:$B$304,MATCH(B2220,Items!$A$5:$A$304,0)),"Unknown code"))</f>
        <v/>
      </c>
      <c r="D2220" s="15" t="n"/>
      <c r="E2220" s="16" t="n"/>
      <c r="F2220" s="18">
        <f>IF(OR(D2220="",E2220=""),"",D2220*E2220)</f>
        <v/>
      </c>
      <c r="G2220" s="15" t="n"/>
    </row>
    <row r="2221">
      <c r="A2221" s="19" t="n"/>
      <c r="B2221" s="15" t="n"/>
      <c r="C2221">
        <f>IF(B2221="","",IFERROR(INDEX(Items!$B$5:$B$304,MATCH(B2221,Items!$A$5:$A$304,0)),"Unknown code"))</f>
        <v/>
      </c>
      <c r="D2221" s="15" t="n"/>
      <c r="E2221" s="16" t="n"/>
      <c r="F2221" s="18">
        <f>IF(OR(D2221="",E2221=""),"",D2221*E2221)</f>
        <v/>
      </c>
      <c r="G2221" s="15" t="n"/>
    </row>
    <row r="2222">
      <c r="A2222" s="19" t="n"/>
      <c r="B2222" s="15" t="n"/>
      <c r="C2222">
        <f>IF(B2222="","",IFERROR(INDEX(Items!$B$5:$B$304,MATCH(B2222,Items!$A$5:$A$304,0)),"Unknown code"))</f>
        <v/>
      </c>
      <c r="D2222" s="15" t="n"/>
      <c r="E2222" s="16" t="n"/>
      <c r="F2222" s="18">
        <f>IF(OR(D2222="",E2222=""),"",D2222*E2222)</f>
        <v/>
      </c>
      <c r="G2222" s="15" t="n"/>
    </row>
    <row r="2223">
      <c r="A2223" s="19" t="n"/>
      <c r="B2223" s="15" t="n"/>
      <c r="C2223">
        <f>IF(B2223="","",IFERROR(INDEX(Items!$B$5:$B$304,MATCH(B2223,Items!$A$5:$A$304,0)),"Unknown code"))</f>
        <v/>
      </c>
      <c r="D2223" s="15" t="n"/>
      <c r="E2223" s="16" t="n"/>
      <c r="F2223" s="18">
        <f>IF(OR(D2223="",E2223=""),"",D2223*E2223)</f>
        <v/>
      </c>
      <c r="G2223" s="15" t="n"/>
    </row>
    <row r="2224">
      <c r="A2224" s="19" t="n"/>
      <c r="B2224" s="15" t="n"/>
      <c r="C2224">
        <f>IF(B2224="","",IFERROR(INDEX(Items!$B$5:$B$304,MATCH(B2224,Items!$A$5:$A$304,0)),"Unknown code"))</f>
        <v/>
      </c>
      <c r="D2224" s="15" t="n"/>
      <c r="E2224" s="16" t="n"/>
      <c r="F2224" s="18">
        <f>IF(OR(D2224="",E2224=""),"",D2224*E2224)</f>
        <v/>
      </c>
      <c r="G2224" s="15" t="n"/>
    </row>
    <row r="2225">
      <c r="A2225" s="19" t="n"/>
      <c r="B2225" s="15" t="n"/>
      <c r="C2225">
        <f>IF(B2225="","",IFERROR(INDEX(Items!$B$5:$B$304,MATCH(B2225,Items!$A$5:$A$304,0)),"Unknown code"))</f>
        <v/>
      </c>
      <c r="D2225" s="15" t="n"/>
      <c r="E2225" s="16" t="n"/>
      <c r="F2225" s="18">
        <f>IF(OR(D2225="",E2225=""),"",D2225*E2225)</f>
        <v/>
      </c>
      <c r="G2225" s="15" t="n"/>
    </row>
    <row r="2226">
      <c r="A2226" s="19" t="n"/>
      <c r="B2226" s="15" t="n"/>
      <c r="C2226">
        <f>IF(B2226="","",IFERROR(INDEX(Items!$B$5:$B$304,MATCH(B2226,Items!$A$5:$A$304,0)),"Unknown code"))</f>
        <v/>
      </c>
      <c r="D2226" s="15" t="n"/>
      <c r="E2226" s="16" t="n"/>
      <c r="F2226" s="18">
        <f>IF(OR(D2226="",E2226=""),"",D2226*E2226)</f>
        <v/>
      </c>
      <c r="G2226" s="15" t="n"/>
    </row>
    <row r="2227">
      <c r="A2227" s="19" t="n"/>
      <c r="B2227" s="15" t="n"/>
      <c r="C2227">
        <f>IF(B2227="","",IFERROR(INDEX(Items!$B$5:$B$304,MATCH(B2227,Items!$A$5:$A$304,0)),"Unknown code"))</f>
        <v/>
      </c>
      <c r="D2227" s="15" t="n"/>
      <c r="E2227" s="16" t="n"/>
      <c r="F2227" s="18">
        <f>IF(OR(D2227="",E2227=""),"",D2227*E2227)</f>
        <v/>
      </c>
      <c r="G2227" s="15" t="n"/>
    </row>
    <row r="2228">
      <c r="A2228" s="19" t="n"/>
      <c r="B2228" s="15" t="n"/>
      <c r="C2228">
        <f>IF(B2228="","",IFERROR(INDEX(Items!$B$5:$B$304,MATCH(B2228,Items!$A$5:$A$304,0)),"Unknown code"))</f>
        <v/>
      </c>
      <c r="D2228" s="15" t="n"/>
      <c r="E2228" s="16" t="n"/>
      <c r="F2228" s="18">
        <f>IF(OR(D2228="",E2228=""),"",D2228*E2228)</f>
        <v/>
      </c>
      <c r="G2228" s="15" t="n"/>
    </row>
    <row r="2229">
      <c r="A2229" s="19" t="n"/>
      <c r="B2229" s="15" t="n"/>
      <c r="C2229">
        <f>IF(B2229="","",IFERROR(INDEX(Items!$B$5:$B$304,MATCH(B2229,Items!$A$5:$A$304,0)),"Unknown code"))</f>
        <v/>
      </c>
      <c r="D2229" s="15" t="n"/>
      <c r="E2229" s="16" t="n"/>
      <c r="F2229" s="18">
        <f>IF(OR(D2229="",E2229=""),"",D2229*E2229)</f>
        <v/>
      </c>
      <c r="G2229" s="15" t="n"/>
    </row>
    <row r="2230">
      <c r="A2230" s="19" t="n"/>
      <c r="B2230" s="15" t="n"/>
      <c r="C2230">
        <f>IF(B2230="","",IFERROR(INDEX(Items!$B$5:$B$304,MATCH(B2230,Items!$A$5:$A$304,0)),"Unknown code"))</f>
        <v/>
      </c>
      <c r="D2230" s="15" t="n"/>
      <c r="E2230" s="16" t="n"/>
      <c r="F2230" s="18">
        <f>IF(OR(D2230="",E2230=""),"",D2230*E2230)</f>
        <v/>
      </c>
      <c r="G2230" s="15" t="n"/>
    </row>
    <row r="2231">
      <c r="A2231" s="19" t="n"/>
      <c r="B2231" s="15" t="n"/>
      <c r="C2231">
        <f>IF(B2231="","",IFERROR(INDEX(Items!$B$5:$B$304,MATCH(B2231,Items!$A$5:$A$304,0)),"Unknown code"))</f>
        <v/>
      </c>
      <c r="D2231" s="15" t="n"/>
      <c r="E2231" s="16" t="n"/>
      <c r="F2231" s="18">
        <f>IF(OR(D2231="",E2231=""),"",D2231*E2231)</f>
        <v/>
      </c>
      <c r="G2231" s="15" t="n"/>
    </row>
    <row r="2232">
      <c r="A2232" s="19" t="n"/>
      <c r="B2232" s="15" t="n"/>
      <c r="C2232">
        <f>IF(B2232="","",IFERROR(INDEX(Items!$B$5:$B$304,MATCH(B2232,Items!$A$5:$A$304,0)),"Unknown code"))</f>
        <v/>
      </c>
      <c r="D2232" s="15" t="n"/>
      <c r="E2232" s="16" t="n"/>
      <c r="F2232" s="18">
        <f>IF(OR(D2232="",E2232=""),"",D2232*E2232)</f>
        <v/>
      </c>
      <c r="G2232" s="15" t="n"/>
    </row>
    <row r="2233">
      <c r="A2233" s="19" t="n"/>
      <c r="B2233" s="15" t="n"/>
      <c r="C2233">
        <f>IF(B2233="","",IFERROR(INDEX(Items!$B$5:$B$304,MATCH(B2233,Items!$A$5:$A$304,0)),"Unknown code"))</f>
        <v/>
      </c>
      <c r="D2233" s="15" t="n"/>
      <c r="E2233" s="16" t="n"/>
      <c r="F2233" s="18">
        <f>IF(OR(D2233="",E2233=""),"",D2233*E2233)</f>
        <v/>
      </c>
      <c r="G2233" s="15" t="n"/>
    </row>
    <row r="2234">
      <c r="A2234" s="19" t="n"/>
      <c r="B2234" s="15" t="n"/>
      <c r="C2234">
        <f>IF(B2234="","",IFERROR(INDEX(Items!$B$5:$B$304,MATCH(B2234,Items!$A$5:$A$304,0)),"Unknown code"))</f>
        <v/>
      </c>
      <c r="D2234" s="15" t="n"/>
      <c r="E2234" s="16" t="n"/>
      <c r="F2234" s="18">
        <f>IF(OR(D2234="",E2234=""),"",D2234*E2234)</f>
        <v/>
      </c>
      <c r="G2234" s="15" t="n"/>
    </row>
    <row r="2235">
      <c r="A2235" s="19" t="n"/>
      <c r="B2235" s="15" t="n"/>
      <c r="C2235">
        <f>IF(B2235="","",IFERROR(INDEX(Items!$B$5:$B$304,MATCH(B2235,Items!$A$5:$A$304,0)),"Unknown code"))</f>
        <v/>
      </c>
      <c r="D2235" s="15" t="n"/>
      <c r="E2235" s="16" t="n"/>
      <c r="F2235" s="18">
        <f>IF(OR(D2235="",E2235=""),"",D2235*E2235)</f>
        <v/>
      </c>
      <c r="G2235" s="15" t="n"/>
    </row>
    <row r="2236">
      <c r="A2236" s="19" t="n"/>
      <c r="B2236" s="15" t="n"/>
      <c r="C2236">
        <f>IF(B2236="","",IFERROR(INDEX(Items!$B$5:$B$304,MATCH(B2236,Items!$A$5:$A$304,0)),"Unknown code"))</f>
        <v/>
      </c>
      <c r="D2236" s="15" t="n"/>
      <c r="E2236" s="16" t="n"/>
      <c r="F2236" s="18">
        <f>IF(OR(D2236="",E2236=""),"",D2236*E2236)</f>
        <v/>
      </c>
      <c r="G2236" s="15" t="n"/>
    </row>
    <row r="2237">
      <c r="A2237" s="19" t="n"/>
      <c r="B2237" s="15" t="n"/>
      <c r="C2237">
        <f>IF(B2237="","",IFERROR(INDEX(Items!$B$5:$B$304,MATCH(B2237,Items!$A$5:$A$304,0)),"Unknown code"))</f>
        <v/>
      </c>
      <c r="D2237" s="15" t="n"/>
      <c r="E2237" s="16" t="n"/>
      <c r="F2237" s="18">
        <f>IF(OR(D2237="",E2237=""),"",D2237*E2237)</f>
        <v/>
      </c>
      <c r="G2237" s="15" t="n"/>
    </row>
    <row r="2238">
      <c r="A2238" s="19" t="n"/>
      <c r="B2238" s="15" t="n"/>
      <c r="C2238">
        <f>IF(B2238="","",IFERROR(INDEX(Items!$B$5:$B$304,MATCH(B2238,Items!$A$5:$A$304,0)),"Unknown code"))</f>
        <v/>
      </c>
      <c r="D2238" s="15" t="n"/>
      <c r="E2238" s="16" t="n"/>
      <c r="F2238" s="18">
        <f>IF(OR(D2238="",E2238=""),"",D2238*E2238)</f>
        <v/>
      </c>
      <c r="G2238" s="15" t="n"/>
    </row>
    <row r="2239">
      <c r="A2239" s="19" t="n"/>
      <c r="B2239" s="15" t="n"/>
      <c r="C2239">
        <f>IF(B2239="","",IFERROR(INDEX(Items!$B$5:$B$304,MATCH(B2239,Items!$A$5:$A$304,0)),"Unknown code"))</f>
        <v/>
      </c>
      <c r="D2239" s="15" t="n"/>
      <c r="E2239" s="16" t="n"/>
      <c r="F2239" s="18">
        <f>IF(OR(D2239="",E2239=""),"",D2239*E2239)</f>
        <v/>
      </c>
      <c r="G2239" s="15" t="n"/>
    </row>
    <row r="2240">
      <c r="A2240" s="19" t="n"/>
      <c r="B2240" s="15" t="n"/>
      <c r="C2240">
        <f>IF(B2240="","",IFERROR(INDEX(Items!$B$5:$B$304,MATCH(B2240,Items!$A$5:$A$304,0)),"Unknown code"))</f>
        <v/>
      </c>
      <c r="D2240" s="15" t="n"/>
      <c r="E2240" s="16" t="n"/>
      <c r="F2240" s="18">
        <f>IF(OR(D2240="",E2240=""),"",D2240*E2240)</f>
        <v/>
      </c>
      <c r="G2240" s="15" t="n"/>
    </row>
    <row r="2241">
      <c r="A2241" s="19" t="n"/>
      <c r="B2241" s="15" t="n"/>
      <c r="C2241">
        <f>IF(B2241="","",IFERROR(INDEX(Items!$B$5:$B$304,MATCH(B2241,Items!$A$5:$A$304,0)),"Unknown code"))</f>
        <v/>
      </c>
      <c r="D2241" s="15" t="n"/>
      <c r="E2241" s="16" t="n"/>
      <c r="F2241" s="18">
        <f>IF(OR(D2241="",E2241=""),"",D2241*E2241)</f>
        <v/>
      </c>
      <c r="G2241" s="15" t="n"/>
    </row>
    <row r="2242">
      <c r="A2242" s="19" t="n"/>
      <c r="B2242" s="15" t="n"/>
      <c r="C2242">
        <f>IF(B2242="","",IFERROR(INDEX(Items!$B$5:$B$304,MATCH(B2242,Items!$A$5:$A$304,0)),"Unknown code"))</f>
        <v/>
      </c>
      <c r="D2242" s="15" t="n"/>
      <c r="E2242" s="16" t="n"/>
      <c r="F2242" s="18">
        <f>IF(OR(D2242="",E2242=""),"",D2242*E2242)</f>
        <v/>
      </c>
      <c r="G2242" s="15" t="n"/>
    </row>
    <row r="2243">
      <c r="A2243" s="19" t="n"/>
      <c r="B2243" s="15" t="n"/>
      <c r="C2243">
        <f>IF(B2243="","",IFERROR(INDEX(Items!$B$5:$B$304,MATCH(B2243,Items!$A$5:$A$304,0)),"Unknown code"))</f>
        <v/>
      </c>
      <c r="D2243" s="15" t="n"/>
      <c r="E2243" s="16" t="n"/>
      <c r="F2243" s="18">
        <f>IF(OR(D2243="",E2243=""),"",D2243*E2243)</f>
        <v/>
      </c>
      <c r="G2243" s="15" t="n"/>
    </row>
    <row r="2244">
      <c r="A2244" s="19" t="n"/>
      <c r="B2244" s="15" t="n"/>
      <c r="C2244">
        <f>IF(B2244="","",IFERROR(INDEX(Items!$B$5:$B$304,MATCH(B2244,Items!$A$5:$A$304,0)),"Unknown code"))</f>
        <v/>
      </c>
      <c r="D2244" s="15" t="n"/>
      <c r="E2244" s="16" t="n"/>
      <c r="F2244" s="18">
        <f>IF(OR(D2244="",E2244=""),"",D2244*E2244)</f>
        <v/>
      </c>
      <c r="G2244" s="15" t="n"/>
    </row>
    <row r="2245">
      <c r="A2245" s="19" t="n"/>
      <c r="B2245" s="15" t="n"/>
      <c r="C2245">
        <f>IF(B2245="","",IFERROR(INDEX(Items!$B$5:$B$304,MATCH(B2245,Items!$A$5:$A$304,0)),"Unknown code"))</f>
        <v/>
      </c>
      <c r="D2245" s="15" t="n"/>
      <c r="E2245" s="16" t="n"/>
      <c r="F2245" s="18">
        <f>IF(OR(D2245="",E2245=""),"",D2245*E2245)</f>
        <v/>
      </c>
      <c r="G2245" s="15" t="n"/>
    </row>
    <row r="2246">
      <c r="A2246" s="19" t="n"/>
      <c r="B2246" s="15" t="n"/>
      <c r="C2246">
        <f>IF(B2246="","",IFERROR(INDEX(Items!$B$5:$B$304,MATCH(B2246,Items!$A$5:$A$304,0)),"Unknown code"))</f>
        <v/>
      </c>
      <c r="D2246" s="15" t="n"/>
      <c r="E2246" s="16" t="n"/>
      <c r="F2246" s="18">
        <f>IF(OR(D2246="",E2246=""),"",D2246*E2246)</f>
        <v/>
      </c>
      <c r="G2246" s="15" t="n"/>
    </row>
    <row r="2247">
      <c r="A2247" s="19" t="n"/>
      <c r="B2247" s="15" t="n"/>
      <c r="C2247">
        <f>IF(B2247="","",IFERROR(INDEX(Items!$B$5:$B$304,MATCH(B2247,Items!$A$5:$A$304,0)),"Unknown code"))</f>
        <v/>
      </c>
      <c r="D2247" s="15" t="n"/>
      <c r="E2247" s="16" t="n"/>
      <c r="F2247" s="18">
        <f>IF(OR(D2247="",E2247=""),"",D2247*E2247)</f>
        <v/>
      </c>
      <c r="G2247" s="15" t="n"/>
    </row>
    <row r="2248">
      <c r="A2248" s="19" t="n"/>
      <c r="B2248" s="15" t="n"/>
      <c r="C2248">
        <f>IF(B2248="","",IFERROR(INDEX(Items!$B$5:$B$304,MATCH(B2248,Items!$A$5:$A$304,0)),"Unknown code"))</f>
        <v/>
      </c>
      <c r="D2248" s="15" t="n"/>
      <c r="E2248" s="16" t="n"/>
      <c r="F2248" s="18">
        <f>IF(OR(D2248="",E2248=""),"",D2248*E2248)</f>
        <v/>
      </c>
      <c r="G2248" s="15" t="n"/>
    </row>
    <row r="2249">
      <c r="A2249" s="19" t="n"/>
      <c r="B2249" s="15" t="n"/>
      <c r="C2249">
        <f>IF(B2249="","",IFERROR(INDEX(Items!$B$5:$B$304,MATCH(B2249,Items!$A$5:$A$304,0)),"Unknown code"))</f>
        <v/>
      </c>
      <c r="D2249" s="15" t="n"/>
      <c r="E2249" s="16" t="n"/>
      <c r="F2249" s="18">
        <f>IF(OR(D2249="",E2249=""),"",D2249*E2249)</f>
        <v/>
      </c>
      <c r="G2249" s="15" t="n"/>
    </row>
    <row r="2250">
      <c r="A2250" s="19" t="n"/>
      <c r="B2250" s="15" t="n"/>
      <c r="C2250">
        <f>IF(B2250="","",IFERROR(INDEX(Items!$B$5:$B$304,MATCH(B2250,Items!$A$5:$A$304,0)),"Unknown code"))</f>
        <v/>
      </c>
      <c r="D2250" s="15" t="n"/>
      <c r="E2250" s="16" t="n"/>
      <c r="F2250" s="18">
        <f>IF(OR(D2250="",E2250=""),"",D2250*E2250)</f>
        <v/>
      </c>
      <c r="G2250" s="15" t="n"/>
    </row>
    <row r="2251">
      <c r="A2251" s="19" t="n"/>
      <c r="B2251" s="15" t="n"/>
      <c r="C2251">
        <f>IF(B2251="","",IFERROR(INDEX(Items!$B$5:$B$304,MATCH(B2251,Items!$A$5:$A$304,0)),"Unknown code"))</f>
        <v/>
      </c>
      <c r="D2251" s="15" t="n"/>
      <c r="E2251" s="16" t="n"/>
      <c r="F2251" s="18">
        <f>IF(OR(D2251="",E2251=""),"",D2251*E2251)</f>
        <v/>
      </c>
      <c r="G2251" s="15" t="n"/>
    </row>
    <row r="2252">
      <c r="A2252" s="19" t="n"/>
      <c r="B2252" s="15" t="n"/>
      <c r="C2252">
        <f>IF(B2252="","",IFERROR(INDEX(Items!$B$5:$B$304,MATCH(B2252,Items!$A$5:$A$304,0)),"Unknown code"))</f>
        <v/>
      </c>
      <c r="D2252" s="15" t="n"/>
      <c r="E2252" s="16" t="n"/>
      <c r="F2252" s="18">
        <f>IF(OR(D2252="",E2252=""),"",D2252*E2252)</f>
        <v/>
      </c>
      <c r="G2252" s="15" t="n"/>
    </row>
    <row r="2253">
      <c r="A2253" s="19" t="n"/>
      <c r="B2253" s="15" t="n"/>
      <c r="C2253">
        <f>IF(B2253="","",IFERROR(INDEX(Items!$B$5:$B$304,MATCH(B2253,Items!$A$5:$A$304,0)),"Unknown code"))</f>
        <v/>
      </c>
      <c r="D2253" s="15" t="n"/>
      <c r="E2253" s="16" t="n"/>
      <c r="F2253" s="18">
        <f>IF(OR(D2253="",E2253=""),"",D2253*E2253)</f>
        <v/>
      </c>
      <c r="G2253" s="15" t="n"/>
    </row>
    <row r="2254">
      <c r="A2254" s="19" t="n"/>
      <c r="B2254" s="15" t="n"/>
      <c r="C2254">
        <f>IF(B2254="","",IFERROR(INDEX(Items!$B$5:$B$304,MATCH(B2254,Items!$A$5:$A$304,0)),"Unknown code"))</f>
        <v/>
      </c>
      <c r="D2254" s="15" t="n"/>
      <c r="E2254" s="16" t="n"/>
      <c r="F2254" s="18">
        <f>IF(OR(D2254="",E2254=""),"",D2254*E2254)</f>
        <v/>
      </c>
      <c r="G2254" s="15" t="n"/>
    </row>
    <row r="2255">
      <c r="A2255" s="19" t="n"/>
      <c r="B2255" s="15" t="n"/>
      <c r="C2255">
        <f>IF(B2255="","",IFERROR(INDEX(Items!$B$5:$B$304,MATCH(B2255,Items!$A$5:$A$304,0)),"Unknown code"))</f>
        <v/>
      </c>
      <c r="D2255" s="15" t="n"/>
      <c r="E2255" s="16" t="n"/>
      <c r="F2255" s="18">
        <f>IF(OR(D2255="",E2255=""),"",D2255*E2255)</f>
        <v/>
      </c>
      <c r="G2255" s="15" t="n"/>
    </row>
    <row r="2256">
      <c r="A2256" s="19" t="n"/>
      <c r="B2256" s="15" t="n"/>
      <c r="C2256">
        <f>IF(B2256="","",IFERROR(INDEX(Items!$B$5:$B$304,MATCH(B2256,Items!$A$5:$A$304,0)),"Unknown code"))</f>
        <v/>
      </c>
      <c r="D2256" s="15" t="n"/>
      <c r="E2256" s="16" t="n"/>
      <c r="F2256" s="18">
        <f>IF(OR(D2256="",E2256=""),"",D2256*E2256)</f>
        <v/>
      </c>
      <c r="G2256" s="15" t="n"/>
    </row>
    <row r="2257">
      <c r="A2257" s="19" t="n"/>
      <c r="B2257" s="15" t="n"/>
      <c r="C2257">
        <f>IF(B2257="","",IFERROR(INDEX(Items!$B$5:$B$304,MATCH(B2257,Items!$A$5:$A$304,0)),"Unknown code"))</f>
        <v/>
      </c>
      <c r="D2257" s="15" t="n"/>
      <c r="E2257" s="16" t="n"/>
      <c r="F2257" s="18">
        <f>IF(OR(D2257="",E2257=""),"",D2257*E2257)</f>
        <v/>
      </c>
      <c r="G2257" s="15" t="n"/>
    </row>
    <row r="2258">
      <c r="A2258" s="19" t="n"/>
      <c r="B2258" s="15" t="n"/>
      <c r="C2258">
        <f>IF(B2258="","",IFERROR(INDEX(Items!$B$5:$B$304,MATCH(B2258,Items!$A$5:$A$304,0)),"Unknown code"))</f>
        <v/>
      </c>
      <c r="D2258" s="15" t="n"/>
      <c r="E2258" s="16" t="n"/>
      <c r="F2258" s="18">
        <f>IF(OR(D2258="",E2258=""),"",D2258*E2258)</f>
        <v/>
      </c>
      <c r="G2258" s="15" t="n"/>
    </row>
    <row r="2259">
      <c r="A2259" s="19" t="n"/>
      <c r="B2259" s="15" t="n"/>
      <c r="C2259">
        <f>IF(B2259="","",IFERROR(INDEX(Items!$B$5:$B$304,MATCH(B2259,Items!$A$5:$A$304,0)),"Unknown code"))</f>
        <v/>
      </c>
      <c r="D2259" s="15" t="n"/>
      <c r="E2259" s="16" t="n"/>
      <c r="F2259" s="18">
        <f>IF(OR(D2259="",E2259=""),"",D2259*E2259)</f>
        <v/>
      </c>
      <c r="G2259" s="15" t="n"/>
    </row>
    <row r="2260">
      <c r="A2260" s="19" t="n"/>
      <c r="B2260" s="15" t="n"/>
      <c r="C2260">
        <f>IF(B2260="","",IFERROR(INDEX(Items!$B$5:$B$304,MATCH(B2260,Items!$A$5:$A$304,0)),"Unknown code"))</f>
        <v/>
      </c>
      <c r="D2260" s="15" t="n"/>
      <c r="E2260" s="16" t="n"/>
      <c r="F2260" s="18">
        <f>IF(OR(D2260="",E2260=""),"",D2260*E2260)</f>
        <v/>
      </c>
      <c r="G2260" s="15" t="n"/>
    </row>
    <row r="2261">
      <c r="A2261" s="19" t="n"/>
      <c r="B2261" s="15" t="n"/>
      <c r="C2261">
        <f>IF(B2261="","",IFERROR(INDEX(Items!$B$5:$B$304,MATCH(B2261,Items!$A$5:$A$304,0)),"Unknown code"))</f>
        <v/>
      </c>
      <c r="D2261" s="15" t="n"/>
      <c r="E2261" s="16" t="n"/>
      <c r="F2261" s="18">
        <f>IF(OR(D2261="",E2261=""),"",D2261*E2261)</f>
        <v/>
      </c>
      <c r="G2261" s="15" t="n"/>
    </row>
    <row r="2262">
      <c r="A2262" s="19" t="n"/>
      <c r="B2262" s="15" t="n"/>
      <c r="C2262">
        <f>IF(B2262="","",IFERROR(INDEX(Items!$B$5:$B$304,MATCH(B2262,Items!$A$5:$A$304,0)),"Unknown code"))</f>
        <v/>
      </c>
      <c r="D2262" s="15" t="n"/>
      <c r="E2262" s="16" t="n"/>
      <c r="F2262" s="18">
        <f>IF(OR(D2262="",E2262=""),"",D2262*E2262)</f>
        <v/>
      </c>
      <c r="G2262" s="15" t="n"/>
    </row>
    <row r="2263">
      <c r="A2263" s="19" t="n"/>
      <c r="B2263" s="15" t="n"/>
      <c r="C2263">
        <f>IF(B2263="","",IFERROR(INDEX(Items!$B$5:$B$304,MATCH(B2263,Items!$A$5:$A$304,0)),"Unknown code"))</f>
        <v/>
      </c>
      <c r="D2263" s="15" t="n"/>
      <c r="E2263" s="16" t="n"/>
      <c r="F2263" s="18">
        <f>IF(OR(D2263="",E2263=""),"",D2263*E2263)</f>
        <v/>
      </c>
      <c r="G2263" s="15" t="n"/>
    </row>
    <row r="2264">
      <c r="A2264" s="19" t="n"/>
      <c r="B2264" s="15" t="n"/>
      <c r="C2264">
        <f>IF(B2264="","",IFERROR(INDEX(Items!$B$5:$B$304,MATCH(B2264,Items!$A$5:$A$304,0)),"Unknown code"))</f>
        <v/>
      </c>
      <c r="D2264" s="15" t="n"/>
      <c r="E2264" s="16" t="n"/>
      <c r="F2264" s="18">
        <f>IF(OR(D2264="",E2264=""),"",D2264*E2264)</f>
        <v/>
      </c>
      <c r="G2264" s="15" t="n"/>
    </row>
    <row r="2265">
      <c r="A2265" s="19" t="n"/>
      <c r="B2265" s="15" t="n"/>
      <c r="C2265">
        <f>IF(B2265="","",IFERROR(INDEX(Items!$B$5:$B$304,MATCH(B2265,Items!$A$5:$A$304,0)),"Unknown code"))</f>
        <v/>
      </c>
      <c r="D2265" s="15" t="n"/>
      <c r="E2265" s="16" t="n"/>
      <c r="F2265" s="18">
        <f>IF(OR(D2265="",E2265=""),"",D2265*E2265)</f>
        <v/>
      </c>
      <c r="G2265" s="15" t="n"/>
    </row>
    <row r="2266">
      <c r="A2266" s="19" t="n"/>
      <c r="B2266" s="15" t="n"/>
      <c r="C2266">
        <f>IF(B2266="","",IFERROR(INDEX(Items!$B$5:$B$304,MATCH(B2266,Items!$A$5:$A$304,0)),"Unknown code"))</f>
        <v/>
      </c>
      <c r="D2266" s="15" t="n"/>
      <c r="E2266" s="16" t="n"/>
      <c r="F2266" s="18">
        <f>IF(OR(D2266="",E2266=""),"",D2266*E2266)</f>
        <v/>
      </c>
      <c r="G2266" s="15" t="n"/>
    </row>
    <row r="2267">
      <c r="A2267" s="19" t="n"/>
      <c r="B2267" s="15" t="n"/>
      <c r="C2267">
        <f>IF(B2267="","",IFERROR(INDEX(Items!$B$5:$B$304,MATCH(B2267,Items!$A$5:$A$304,0)),"Unknown code"))</f>
        <v/>
      </c>
      <c r="D2267" s="15" t="n"/>
      <c r="E2267" s="16" t="n"/>
      <c r="F2267" s="18">
        <f>IF(OR(D2267="",E2267=""),"",D2267*E2267)</f>
        <v/>
      </c>
      <c r="G2267" s="15" t="n"/>
    </row>
    <row r="2268">
      <c r="A2268" s="19" t="n"/>
      <c r="B2268" s="15" t="n"/>
      <c r="C2268">
        <f>IF(B2268="","",IFERROR(INDEX(Items!$B$5:$B$304,MATCH(B2268,Items!$A$5:$A$304,0)),"Unknown code"))</f>
        <v/>
      </c>
      <c r="D2268" s="15" t="n"/>
      <c r="E2268" s="16" t="n"/>
      <c r="F2268" s="18">
        <f>IF(OR(D2268="",E2268=""),"",D2268*E2268)</f>
        <v/>
      </c>
      <c r="G2268" s="15" t="n"/>
    </row>
    <row r="2269">
      <c r="A2269" s="19" t="n"/>
      <c r="B2269" s="15" t="n"/>
      <c r="C2269">
        <f>IF(B2269="","",IFERROR(INDEX(Items!$B$5:$B$304,MATCH(B2269,Items!$A$5:$A$304,0)),"Unknown code"))</f>
        <v/>
      </c>
      <c r="D2269" s="15" t="n"/>
      <c r="E2269" s="16" t="n"/>
      <c r="F2269" s="18">
        <f>IF(OR(D2269="",E2269=""),"",D2269*E2269)</f>
        <v/>
      </c>
      <c r="G2269" s="15" t="n"/>
    </row>
    <row r="2270">
      <c r="A2270" s="19" t="n"/>
      <c r="B2270" s="15" t="n"/>
      <c r="C2270">
        <f>IF(B2270="","",IFERROR(INDEX(Items!$B$5:$B$304,MATCH(B2270,Items!$A$5:$A$304,0)),"Unknown code"))</f>
        <v/>
      </c>
      <c r="D2270" s="15" t="n"/>
      <c r="E2270" s="16" t="n"/>
      <c r="F2270" s="18">
        <f>IF(OR(D2270="",E2270=""),"",D2270*E2270)</f>
        <v/>
      </c>
      <c r="G2270" s="15" t="n"/>
    </row>
    <row r="2271">
      <c r="A2271" s="19" t="n"/>
      <c r="B2271" s="15" t="n"/>
      <c r="C2271">
        <f>IF(B2271="","",IFERROR(INDEX(Items!$B$5:$B$304,MATCH(B2271,Items!$A$5:$A$304,0)),"Unknown code"))</f>
        <v/>
      </c>
      <c r="D2271" s="15" t="n"/>
      <c r="E2271" s="16" t="n"/>
      <c r="F2271" s="18">
        <f>IF(OR(D2271="",E2271=""),"",D2271*E2271)</f>
        <v/>
      </c>
      <c r="G2271" s="15" t="n"/>
    </row>
    <row r="2272">
      <c r="A2272" s="19" t="n"/>
      <c r="B2272" s="15" t="n"/>
      <c r="C2272">
        <f>IF(B2272="","",IFERROR(INDEX(Items!$B$5:$B$304,MATCH(B2272,Items!$A$5:$A$304,0)),"Unknown code"))</f>
        <v/>
      </c>
      <c r="D2272" s="15" t="n"/>
      <c r="E2272" s="16" t="n"/>
      <c r="F2272" s="18">
        <f>IF(OR(D2272="",E2272=""),"",D2272*E2272)</f>
        <v/>
      </c>
      <c r="G2272" s="15" t="n"/>
    </row>
    <row r="2273">
      <c r="A2273" s="19" t="n"/>
      <c r="B2273" s="15" t="n"/>
      <c r="C2273">
        <f>IF(B2273="","",IFERROR(INDEX(Items!$B$5:$B$304,MATCH(B2273,Items!$A$5:$A$304,0)),"Unknown code"))</f>
        <v/>
      </c>
      <c r="D2273" s="15" t="n"/>
      <c r="E2273" s="16" t="n"/>
      <c r="F2273" s="18">
        <f>IF(OR(D2273="",E2273=""),"",D2273*E2273)</f>
        <v/>
      </c>
      <c r="G2273" s="15" t="n"/>
    </row>
    <row r="2274">
      <c r="A2274" s="19" t="n"/>
      <c r="B2274" s="15" t="n"/>
      <c r="C2274">
        <f>IF(B2274="","",IFERROR(INDEX(Items!$B$5:$B$304,MATCH(B2274,Items!$A$5:$A$304,0)),"Unknown code"))</f>
        <v/>
      </c>
      <c r="D2274" s="15" t="n"/>
      <c r="E2274" s="16" t="n"/>
      <c r="F2274" s="18">
        <f>IF(OR(D2274="",E2274=""),"",D2274*E2274)</f>
        <v/>
      </c>
      <c r="G2274" s="15" t="n"/>
    </row>
    <row r="2275">
      <c r="A2275" s="19" t="n"/>
      <c r="B2275" s="15" t="n"/>
      <c r="C2275">
        <f>IF(B2275="","",IFERROR(INDEX(Items!$B$5:$B$304,MATCH(B2275,Items!$A$5:$A$304,0)),"Unknown code"))</f>
        <v/>
      </c>
      <c r="D2275" s="15" t="n"/>
      <c r="E2275" s="16" t="n"/>
      <c r="F2275" s="18">
        <f>IF(OR(D2275="",E2275=""),"",D2275*E2275)</f>
        <v/>
      </c>
      <c r="G2275" s="15" t="n"/>
    </row>
    <row r="2276">
      <c r="A2276" s="19" t="n"/>
      <c r="B2276" s="15" t="n"/>
      <c r="C2276">
        <f>IF(B2276="","",IFERROR(INDEX(Items!$B$5:$B$304,MATCH(B2276,Items!$A$5:$A$304,0)),"Unknown code"))</f>
        <v/>
      </c>
      <c r="D2276" s="15" t="n"/>
      <c r="E2276" s="16" t="n"/>
      <c r="F2276" s="18">
        <f>IF(OR(D2276="",E2276=""),"",D2276*E2276)</f>
        <v/>
      </c>
      <c r="G2276" s="15" t="n"/>
    </row>
    <row r="2277">
      <c r="A2277" s="19" t="n"/>
      <c r="B2277" s="15" t="n"/>
      <c r="C2277">
        <f>IF(B2277="","",IFERROR(INDEX(Items!$B$5:$B$304,MATCH(B2277,Items!$A$5:$A$304,0)),"Unknown code"))</f>
        <v/>
      </c>
      <c r="D2277" s="15" t="n"/>
      <c r="E2277" s="16" t="n"/>
      <c r="F2277" s="18">
        <f>IF(OR(D2277="",E2277=""),"",D2277*E2277)</f>
        <v/>
      </c>
      <c r="G2277" s="15" t="n"/>
    </row>
    <row r="2278">
      <c r="A2278" s="19" t="n"/>
      <c r="B2278" s="15" t="n"/>
      <c r="C2278">
        <f>IF(B2278="","",IFERROR(INDEX(Items!$B$5:$B$304,MATCH(B2278,Items!$A$5:$A$304,0)),"Unknown code"))</f>
        <v/>
      </c>
      <c r="D2278" s="15" t="n"/>
      <c r="E2278" s="16" t="n"/>
      <c r="F2278" s="18">
        <f>IF(OR(D2278="",E2278=""),"",D2278*E2278)</f>
        <v/>
      </c>
      <c r="G2278" s="15" t="n"/>
    </row>
    <row r="2279">
      <c r="A2279" s="19" t="n"/>
      <c r="B2279" s="15" t="n"/>
      <c r="C2279">
        <f>IF(B2279="","",IFERROR(INDEX(Items!$B$5:$B$304,MATCH(B2279,Items!$A$5:$A$304,0)),"Unknown code"))</f>
        <v/>
      </c>
      <c r="D2279" s="15" t="n"/>
      <c r="E2279" s="16" t="n"/>
      <c r="F2279" s="18">
        <f>IF(OR(D2279="",E2279=""),"",D2279*E2279)</f>
        <v/>
      </c>
      <c r="G2279" s="15" t="n"/>
    </row>
    <row r="2280">
      <c r="A2280" s="19" t="n"/>
      <c r="B2280" s="15" t="n"/>
      <c r="C2280">
        <f>IF(B2280="","",IFERROR(INDEX(Items!$B$5:$B$304,MATCH(B2280,Items!$A$5:$A$304,0)),"Unknown code"))</f>
        <v/>
      </c>
      <c r="D2280" s="15" t="n"/>
      <c r="E2280" s="16" t="n"/>
      <c r="F2280" s="18">
        <f>IF(OR(D2280="",E2280=""),"",D2280*E2280)</f>
        <v/>
      </c>
      <c r="G2280" s="15" t="n"/>
    </row>
    <row r="2281">
      <c r="A2281" s="19" t="n"/>
      <c r="B2281" s="15" t="n"/>
      <c r="C2281">
        <f>IF(B2281="","",IFERROR(INDEX(Items!$B$5:$B$304,MATCH(B2281,Items!$A$5:$A$304,0)),"Unknown code"))</f>
        <v/>
      </c>
      <c r="D2281" s="15" t="n"/>
      <c r="E2281" s="16" t="n"/>
      <c r="F2281" s="18">
        <f>IF(OR(D2281="",E2281=""),"",D2281*E2281)</f>
        <v/>
      </c>
      <c r="G2281" s="15" t="n"/>
    </row>
    <row r="2282">
      <c r="A2282" s="19" t="n"/>
      <c r="B2282" s="15" t="n"/>
      <c r="C2282">
        <f>IF(B2282="","",IFERROR(INDEX(Items!$B$5:$B$304,MATCH(B2282,Items!$A$5:$A$304,0)),"Unknown code"))</f>
        <v/>
      </c>
      <c r="D2282" s="15" t="n"/>
      <c r="E2282" s="16" t="n"/>
      <c r="F2282" s="18">
        <f>IF(OR(D2282="",E2282=""),"",D2282*E2282)</f>
        <v/>
      </c>
      <c r="G2282" s="15" t="n"/>
    </row>
    <row r="2283">
      <c r="A2283" s="19" t="n"/>
      <c r="B2283" s="15" t="n"/>
      <c r="C2283">
        <f>IF(B2283="","",IFERROR(INDEX(Items!$B$5:$B$304,MATCH(B2283,Items!$A$5:$A$304,0)),"Unknown code"))</f>
        <v/>
      </c>
      <c r="D2283" s="15" t="n"/>
      <c r="E2283" s="16" t="n"/>
      <c r="F2283" s="18">
        <f>IF(OR(D2283="",E2283=""),"",D2283*E2283)</f>
        <v/>
      </c>
      <c r="G2283" s="15" t="n"/>
    </row>
    <row r="2284">
      <c r="A2284" s="19" t="n"/>
      <c r="B2284" s="15" t="n"/>
      <c r="C2284">
        <f>IF(B2284="","",IFERROR(INDEX(Items!$B$5:$B$304,MATCH(B2284,Items!$A$5:$A$304,0)),"Unknown code"))</f>
        <v/>
      </c>
      <c r="D2284" s="15" t="n"/>
      <c r="E2284" s="16" t="n"/>
      <c r="F2284" s="18">
        <f>IF(OR(D2284="",E2284=""),"",D2284*E2284)</f>
        <v/>
      </c>
      <c r="G2284" s="15" t="n"/>
    </row>
    <row r="2285">
      <c r="A2285" s="19" t="n"/>
      <c r="B2285" s="15" t="n"/>
      <c r="C2285">
        <f>IF(B2285="","",IFERROR(INDEX(Items!$B$5:$B$304,MATCH(B2285,Items!$A$5:$A$304,0)),"Unknown code"))</f>
        <v/>
      </c>
      <c r="D2285" s="15" t="n"/>
      <c r="E2285" s="16" t="n"/>
      <c r="F2285" s="18">
        <f>IF(OR(D2285="",E2285=""),"",D2285*E2285)</f>
        <v/>
      </c>
      <c r="G2285" s="15" t="n"/>
    </row>
    <row r="2286">
      <c r="A2286" s="19" t="n"/>
      <c r="B2286" s="15" t="n"/>
      <c r="C2286">
        <f>IF(B2286="","",IFERROR(INDEX(Items!$B$5:$B$304,MATCH(B2286,Items!$A$5:$A$304,0)),"Unknown code"))</f>
        <v/>
      </c>
      <c r="D2286" s="15" t="n"/>
      <c r="E2286" s="16" t="n"/>
      <c r="F2286" s="18">
        <f>IF(OR(D2286="",E2286=""),"",D2286*E2286)</f>
        <v/>
      </c>
      <c r="G2286" s="15" t="n"/>
    </row>
    <row r="2287">
      <c r="A2287" s="19" t="n"/>
      <c r="B2287" s="15" t="n"/>
      <c r="C2287">
        <f>IF(B2287="","",IFERROR(INDEX(Items!$B$5:$B$304,MATCH(B2287,Items!$A$5:$A$304,0)),"Unknown code"))</f>
        <v/>
      </c>
      <c r="D2287" s="15" t="n"/>
      <c r="E2287" s="16" t="n"/>
      <c r="F2287" s="18">
        <f>IF(OR(D2287="",E2287=""),"",D2287*E2287)</f>
        <v/>
      </c>
      <c r="G2287" s="15" t="n"/>
    </row>
    <row r="2288">
      <c r="A2288" s="19" t="n"/>
      <c r="B2288" s="15" t="n"/>
      <c r="C2288">
        <f>IF(B2288="","",IFERROR(INDEX(Items!$B$5:$B$304,MATCH(B2288,Items!$A$5:$A$304,0)),"Unknown code"))</f>
        <v/>
      </c>
      <c r="D2288" s="15" t="n"/>
      <c r="E2288" s="16" t="n"/>
      <c r="F2288" s="18">
        <f>IF(OR(D2288="",E2288=""),"",D2288*E2288)</f>
        <v/>
      </c>
      <c r="G2288" s="15" t="n"/>
    </row>
    <row r="2289">
      <c r="A2289" s="19" t="n"/>
      <c r="B2289" s="15" t="n"/>
      <c r="C2289">
        <f>IF(B2289="","",IFERROR(INDEX(Items!$B$5:$B$304,MATCH(B2289,Items!$A$5:$A$304,0)),"Unknown code"))</f>
        <v/>
      </c>
      <c r="D2289" s="15" t="n"/>
      <c r="E2289" s="16" t="n"/>
      <c r="F2289" s="18">
        <f>IF(OR(D2289="",E2289=""),"",D2289*E2289)</f>
        <v/>
      </c>
      <c r="G2289" s="15" t="n"/>
    </row>
    <row r="2290">
      <c r="A2290" s="19" t="n"/>
      <c r="B2290" s="15" t="n"/>
      <c r="C2290">
        <f>IF(B2290="","",IFERROR(INDEX(Items!$B$5:$B$304,MATCH(B2290,Items!$A$5:$A$304,0)),"Unknown code"))</f>
        <v/>
      </c>
      <c r="D2290" s="15" t="n"/>
      <c r="E2290" s="16" t="n"/>
      <c r="F2290" s="18">
        <f>IF(OR(D2290="",E2290=""),"",D2290*E2290)</f>
        <v/>
      </c>
      <c r="G2290" s="15" t="n"/>
    </row>
    <row r="2291">
      <c r="A2291" s="19" t="n"/>
      <c r="B2291" s="15" t="n"/>
      <c r="C2291">
        <f>IF(B2291="","",IFERROR(INDEX(Items!$B$5:$B$304,MATCH(B2291,Items!$A$5:$A$304,0)),"Unknown code"))</f>
        <v/>
      </c>
      <c r="D2291" s="15" t="n"/>
      <c r="E2291" s="16" t="n"/>
      <c r="F2291" s="18">
        <f>IF(OR(D2291="",E2291=""),"",D2291*E2291)</f>
        <v/>
      </c>
      <c r="G2291" s="15" t="n"/>
    </row>
    <row r="2292">
      <c r="A2292" s="19" t="n"/>
      <c r="B2292" s="15" t="n"/>
      <c r="C2292">
        <f>IF(B2292="","",IFERROR(INDEX(Items!$B$5:$B$304,MATCH(B2292,Items!$A$5:$A$304,0)),"Unknown code"))</f>
        <v/>
      </c>
      <c r="D2292" s="15" t="n"/>
      <c r="E2292" s="16" t="n"/>
      <c r="F2292" s="18">
        <f>IF(OR(D2292="",E2292=""),"",D2292*E2292)</f>
        <v/>
      </c>
      <c r="G2292" s="15" t="n"/>
    </row>
    <row r="2293">
      <c r="A2293" s="19" t="n"/>
      <c r="B2293" s="15" t="n"/>
      <c r="C2293">
        <f>IF(B2293="","",IFERROR(INDEX(Items!$B$5:$B$304,MATCH(B2293,Items!$A$5:$A$304,0)),"Unknown code"))</f>
        <v/>
      </c>
      <c r="D2293" s="15" t="n"/>
      <c r="E2293" s="16" t="n"/>
      <c r="F2293" s="18">
        <f>IF(OR(D2293="",E2293=""),"",D2293*E2293)</f>
        <v/>
      </c>
      <c r="G2293" s="15" t="n"/>
    </row>
    <row r="2294">
      <c r="A2294" s="19" t="n"/>
      <c r="B2294" s="15" t="n"/>
      <c r="C2294">
        <f>IF(B2294="","",IFERROR(INDEX(Items!$B$5:$B$304,MATCH(B2294,Items!$A$5:$A$304,0)),"Unknown code"))</f>
        <v/>
      </c>
      <c r="D2294" s="15" t="n"/>
      <c r="E2294" s="16" t="n"/>
      <c r="F2294" s="18">
        <f>IF(OR(D2294="",E2294=""),"",D2294*E2294)</f>
        <v/>
      </c>
      <c r="G2294" s="15" t="n"/>
    </row>
    <row r="2295">
      <c r="A2295" s="19" t="n"/>
      <c r="B2295" s="15" t="n"/>
      <c r="C2295">
        <f>IF(B2295="","",IFERROR(INDEX(Items!$B$5:$B$304,MATCH(B2295,Items!$A$5:$A$304,0)),"Unknown code"))</f>
        <v/>
      </c>
      <c r="D2295" s="15" t="n"/>
      <c r="E2295" s="16" t="n"/>
      <c r="F2295" s="18">
        <f>IF(OR(D2295="",E2295=""),"",D2295*E2295)</f>
        <v/>
      </c>
      <c r="G2295" s="15" t="n"/>
    </row>
    <row r="2296">
      <c r="A2296" s="19" t="n"/>
      <c r="B2296" s="15" t="n"/>
      <c r="C2296">
        <f>IF(B2296="","",IFERROR(INDEX(Items!$B$5:$B$304,MATCH(B2296,Items!$A$5:$A$304,0)),"Unknown code"))</f>
        <v/>
      </c>
      <c r="D2296" s="15" t="n"/>
      <c r="E2296" s="16" t="n"/>
      <c r="F2296" s="18">
        <f>IF(OR(D2296="",E2296=""),"",D2296*E2296)</f>
        <v/>
      </c>
      <c r="G2296" s="15" t="n"/>
    </row>
    <row r="2297">
      <c r="A2297" s="19" t="n"/>
      <c r="B2297" s="15" t="n"/>
      <c r="C2297">
        <f>IF(B2297="","",IFERROR(INDEX(Items!$B$5:$B$304,MATCH(B2297,Items!$A$5:$A$304,0)),"Unknown code"))</f>
        <v/>
      </c>
      <c r="D2297" s="15" t="n"/>
      <c r="E2297" s="16" t="n"/>
      <c r="F2297" s="18">
        <f>IF(OR(D2297="",E2297=""),"",D2297*E2297)</f>
        <v/>
      </c>
      <c r="G2297" s="15" t="n"/>
    </row>
    <row r="2298">
      <c r="A2298" s="19" t="n"/>
      <c r="B2298" s="15" t="n"/>
      <c r="C2298">
        <f>IF(B2298="","",IFERROR(INDEX(Items!$B$5:$B$304,MATCH(B2298,Items!$A$5:$A$304,0)),"Unknown code"))</f>
        <v/>
      </c>
      <c r="D2298" s="15" t="n"/>
      <c r="E2298" s="16" t="n"/>
      <c r="F2298" s="18">
        <f>IF(OR(D2298="",E2298=""),"",D2298*E2298)</f>
        <v/>
      </c>
      <c r="G2298" s="15" t="n"/>
    </row>
    <row r="2299">
      <c r="A2299" s="19" t="n"/>
      <c r="B2299" s="15" t="n"/>
      <c r="C2299">
        <f>IF(B2299="","",IFERROR(INDEX(Items!$B$5:$B$304,MATCH(B2299,Items!$A$5:$A$304,0)),"Unknown code"))</f>
        <v/>
      </c>
      <c r="D2299" s="15" t="n"/>
      <c r="E2299" s="16" t="n"/>
      <c r="F2299" s="18">
        <f>IF(OR(D2299="",E2299=""),"",D2299*E2299)</f>
        <v/>
      </c>
      <c r="G2299" s="15" t="n"/>
    </row>
    <row r="2300">
      <c r="A2300" s="19" t="n"/>
      <c r="B2300" s="15" t="n"/>
      <c r="C2300">
        <f>IF(B2300="","",IFERROR(INDEX(Items!$B$5:$B$304,MATCH(B2300,Items!$A$5:$A$304,0)),"Unknown code"))</f>
        <v/>
      </c>
      <c r="D2300" s="15" t="n"/>
      <c r="E2300" s="16" t="n"/>
      <c r="F2300" s="18">
        <f>IF(OR(D2300="",E2300=""),"",D2300*E2300)</f>
        <v/>
      </c>
      <c r="G2300" s="15" t="n"/>
    </row>
    <row r="2301">
      <c r="A2301" s="19" t="n"/>
      <c r="B2301" s="15" t="n"/>
      <c r="C2301">
        <f>IF(B2301="","",IFERROR(INDEX(Items!$B$5:$B$304,MATCH(B2301,Items!$A$5:$A$304,0)),"Unknown code"))</f>
        <v/>
      </c>
      <c r="D2301" s="15" t="n"/>
      <c r="E2301" s="16" t="n"/>
      <c r="F2301" s="18">
        <f>IF(OR(D2301="",E2301=""),"",D2301*E2301)</f>
        <v/>
      </c>
      <c r="G2301" s="15" t="n"/>
    </row>
    <row r="2302">
      <c r="A2302" s="19" t="n"/>
      <c r="B2302" s="15" t="n"/>
      <c r="C2302">
        <f>IF(B2302="","",IFERROR(INDEX(Items!$B$5:$B$304,MATCH(B2302,Items!$A$5:$A$304,0)),"Unknown code"))</f>
        <v/>
      </c>
      <c r="D2302" s="15" t="n"/>
      <c r="E2302" s="16" t="n"/>
      <c r="F2302" s="18">
        <f>IF(OR(D2302="",E2302=""),"",D2302*E2302)</f>
        <v/>
      </c>
      <c r="G2302" s="15" t="n"/>
    </row>
    <row r="2303">
      <c r="A2303" s="19" t="n"/>
      <c r="B2303" s="15" t="n"/>
      <c r="C2303">
        <f>IF(B2303="","",IFERROR(INDEX(Items!$B$5:$B$304,MATCH(B2303,Items!$A$5:$A$304,0)),"Unknown code"))</f>
        <v/>
      </c>
      <c r="D2303" s="15" t="n"/>
      <c r="E2303" s="16" t="n"/>
      <c r="F2303" s="18">
        <f>IF(OR(D2303="",E2303=""),"",D2303*E2303)</f>
        <v/>
      </c>
      <c r="G2303" s="15" t="n"/>
    </row>
    <row r="2304">
      <c r="A2304" s="19" t="n"/>
      <c r="B2304" s="15" t="n"/>
      <c r="C2304">
        <f>IF(B2304="","",IFERROR(INDEX(Items!$B$5:$B$304,MATCH(B2304,Items!$A$5:$A$304,0)),"Unknown code"))</f>
        <v/>
      </c>
      <c r="D2304" s="15" t="n"/>
      <c r="E2304" s="16" t="n"/>
      <c r="F2304" s="18">
        <f>IF(OR(D2304="",E2304=""),"",D2304*E2304)</f>
        <v/>
      </c>
      <c r="G2304" s="15" t="n"/>
    </row>
    <row r="2305">
      <c r="A2305" s="19" t="n"/>
      <c r="B2305" s="15" t="n"/>
      <c r="C2305">
        <f>IF(B2305="","",IFERROR(INDEX(Items!$B$5:$B$304,MATCH(B2305,Items!$A$5:$A$304,0)),"Unknown code"))</f>
        <v/>
      </c>
      <c r="D2305" s="15" t="n"/>
      <c r="E2305" s="16" t="n"/>
      <c r="F2305" s="18">
        <f>IF(OR(D2305="",E2305=""),"",D2305*E2305)</f>
        <v/>
      </c>
      <c r="G2305" s="15" t="n"/>
    </row>
    <row r="2306">
      <c r="A2306" s="19" t="n"/>
      <c r="B2306" s="15" t="n"/>
      <c r="C2306">
        <f>IF(B2306="","",IFERROR(INDEX(Items!$B$5:$B$304,MATCH(B2306,Items!$A$5:$A$304,0)),"Unknown code"))</f>
        <v/>
      </c>
      <c r="D2306" s="15" t="n"/>
      <c r="E2306" s="16" t="n"/>
      <c r="F2306" s="18">
        <f>IF(OR(D2306="",E2306=""),"",D2306*E2306)</f>
        <v/>
      </c>
      <c r="G2306" s="15" t="n"/>
    </row>
    <row r="2307">
      <c r="A2307" s="19" t="n"/>
      <c r="B2307" s="15" t="n"/>
      <c r="C2307">
        <f>IF(B2307="","",IFERROR(INDEX(Items!$B$5:$B$304,MATCH(B2307,Items!$A$5:$A$304,0)),"Unknown code"))</f>
        <v/>
      </c>
      <c r="D2307" s="15" t="n"/>
      <c r="E2307" s="16" t="n"/>
      <c r="F2307" s="18">
        <f>IF(OR(D2307="",E2307=""),"",D2307*E2307)</f>
        <v/>
      </c>
      <c r="G2307" s="15" t="n"/>
    </row>
    <row r="2308">
      <c r="A2308" s="19" t="n"/>
      <c r="B2308" s="15" t="n"/>
      <c r="C2308">
        <f>IF(B2308="","",IFERROR(INDEX(Items!$B$5:$B$304,MATCH(B2308,Items!$A$5:$A$304,0)),"Unknown code"))</f>
        <v/>
      </c>
      <c r="D2308" s="15" t="n"/>
      <c r="E2308" s="16" t="n"/>
      <c r="F2308" s="18">
        <f>IF(OR(D2308="",E2308=""),"",D2308*E2308)</f>
        <v/>
      </c>
      <c r="G2308" s="15" t="n"/>
    </row>
    <row r="2309">
      <c r="A2309" s="19" t="n"/>
      <c r="B2309" s="15" t="n"/>
      <c r="C2309">
        <f>IF(B2309="","",IFERROR(INDEX(Items!$B$5:$B$304,MATCH(B2309,Items!$A$5:$A$304,0)),"Unknown code"))</f>
        <v/>
      </c>
      <c r="D2309" s="15" t="n"/>
      <c r="E2309" s="16" t="n"/>
      <c r="F2309" s="18">
        <f>IF(OR(D2309="",E2309=""),"",D2309*E2309)</f>
        <v/>
      </c>
      <c r="G2309" s="15" t="n"/>
    </row>
    <row r="2310">
      <c r="A2310" s="19" t="n"/>
      <c r="B2310" s="15" t="n"/>
      <c r="C2310">
        <f>IF(B2310="","",IFERROR(INDEX(Items!$B$5:$B$304,MATCH(B2310,Items!$A$5:$A$304,0)),"Unknown code"))</f>
        <v/>
      </c>
      <c r="D2310" s="15" t="n"/>
      <c r="E2310" s="16" t="n"/>
      <c r="F2310" s="18">
        <f>IF(OR(D2310="",E2310=""),"",D2310*E2310)</f>
        <v/>
      </c>
      <c r="G2310" s="15" t="n"/>
    </row>
    <row r="2311">
      <c r="A2311" s="19" t="n"/>
      <c r="B2311" s="15" t="n"/>
      <c r="C2311">
        <f>IF(B2311="","",IFERROR(INDEX(Items!$B$5:$B$304,MATCH(B2311,Items!$A$5:$A$304,0)),"Unknown code"))</f>
        <v/>
      </c>
      <c r="D2311" s="15" t="n"/>
      <c r="E2311" s="16" t="n"/>
      <c r="F2311" s="18">
        <f>IF(OR(D2311="",E2311=""),"",D2311*E2311)</f>
        <v/>
      </c>
      <c r="G2311" s="15" t="n"/>
    </row>
    <row r="2312">
      <c r="A2312" s="19" t="n"/>
      <c r="B2312" s="15" t="n"/>
      <c r="C2312">
        <f>IF(B2312="","",IFERROR(INDEX(Items!$B$5:$B$304,MATCH(B2312,Items!$A$5:$A$304,0)),"Unknown code"))</f>
        <v/>
      </c>
      <c r="D2312" s="15" t="n"/>
      <c r="E2312" s="16" t="n"/>
      <c r="F2312" s="18">
        <f>IF(OR(D2312="",E2312=""),"",D2312*E2312)</f>
        <v/>
      </c>
      <c r="G2312" s="15" t="n"/>
    </row>
    <row r="2313">
      <c r="A2313" s="19" t="n"/>
      <c r="B2313" s="15" t="n"/>
      <c r="C2313">
        <f>IF(B2313="","",IFERROR(INDEX(Items!$B$5:$B$304,MATCH(B2313,Items!$A$5:$A$304,0)),"Unknown code"))</f>
        <v/>
      </c>
      <c r="D2313" s="15" t="n"/>
      <c r="E2313" s="16" t="n"/>
      <c r="F2313" s="18">
        <f>IF(OR(D2313="",E2313=""),"",D2313*E2313)</f>
        <v/>
      </c>
      <c r="G2313" s="15" t="n"/>
    </row>
    <row r="2314">
      <c r="A2314" s="19" t="n"/>
      <c r="B2314" s="15" t="n"/>
      <c r="C2314">
        <f>IF(B2314="","",IFERROR(INDEX(Items!$B$5:$B$304,MATCH(B2314,Items!$A$5:$A$304,0)),"Unknown code"))</f>
        <v/>
      </c>
      <c r="D2314" s="15" t="n"/>
      <c r="E2314" s="16" t="n"/>
      <c r="F2314" s="18">
        <f>IF(OR(D2314="",E2314=""),"",D2314*E2314)</f>
        <v/>
      </c>
      <c r="G2314" s="15" t="n"/>
    </row>
    <row r="2315">
      <c r="A2315" s="19" t="n"/>
      <c r="B2315" s="15" t="n"/>
      <c r="C2315">
        <f>IF(B2315="","",IFERROR(INDEX(Items!$B$5:$B$304,MATCH(B2315,Items!$A$5:$A$304,0)),"Unknown code"))</f>
        <v/>
      </c>
      <c r="D2315" s="15" t="n"/>
      <c r="E2315" s="16" t="n"/>
      <c r="F2315" s="18">
        <f>IF(OR(D2315="",E2315=""),"",D2315*E2315)</f>
        <v/>
      </c>
      <c r="G2315" s="15" t="n"/>
    </row>
    <row r="2316">
      <c r="A2316" s="19" t="n"/>
      <c r="B2316" s="15" t="n"/>
      <c r="C2316">
        <f>IF(B2316="","",IFERROR(INDEX(Items!$B$5:$B$304,MATCH(B2316,Items!$A$5:$A$304,0)),"Unknown code"))</f>
        <v/>
      </c>
      <c r="D2316" s="15" t="n"/>
      <c r="E2316" s="16" t="n"/>
      <c r="F2316" s="18">
        <f>IF(OR(D2316="",E2316=""),"",D2316*E2316)</f>
        <v/>
      </c>
      <c r="G2316" s="15" t="n"/>
    </row>
    <row r="2317">
      <c r="A2317" s="19" t="n"/>
      <c r="B2317" s="15" t="n"/>
      <c r="C2317">
        <f>IF(B2317="","",IFERROR(INDEX(Items!$B$5:$B$304,MATCH(B2317,Items!$A$5:$A$304,0)),"Unknown code"))</f>
        <v/>
      </c>
      <c r="D2317" s="15" t="n"/>
      <c r="E2317" s="16" t="n"/>
      <c r="F2317" s="18">
        <f>IF(OR(D2317="",E2317=""),"",D2317*E2317)</f>
        <v/>
      </c>
      <c r="G2317" s="15" t="n"/>
    </row>
    <row r="2318">
      <c r="A2318" s="19" t="n"/>
      <c r="B2318" s="15" t="n"/>
      <c r="C2318">
        <f>IF(B2318="","",IFERROR(INDEX(Items!$B$5:$B$304,MATCH(B2318,Items!$A$5:$A$304,0)),"Unknown code"))</f>
        <v/>
      </c>
      <c r="D2318" s="15" t="n"/>
      <c r="E2318" s="16" t="n"/>
      <c r="F2318" s="18">
        <f>IF(OR(D2318="",E2318=""),"",D2318*E2318)</f>
        <v/>
      </c>
      <c r="G2318" s="15" t="n"/>
    </row>
    <row r="2319">
      <c r="A2319" s="19" t="n"/>
      <c r="B2319" s="15" t="n"/>
      <c r="C2319">
        <f>IF(B2319="","",IFERROR(INDEX(Items!$B$5:$B$304,MATCH(B2319,Items!$A$5:$A$304,0)),"Unknown code"))</f>
        <v/>
      </c>
      <c r="D2319" s="15" t="n"/>
      <c r="E2319" s="16" t="n"/>
      <c r="F2319" s="18">
        <f>IF(OR(D2319="",E2319=""),"",D2319*E2319)</f>
        <v/>
      </c>
      <c r="G2319" s="15" t="n"/>
    </row>
    <row r="2320">
      <c r="A2320" s="19" t="n"/>
      <c r="B2320" s="15" t="n"/>
      <c r="C2320">
        <f>IF(B2320="","",IFERROR(INDEX(Items!$B$5:$B$304,MATCH(B2320,Items!$A$5:$A$304,0)),"Unknown code"))</f>
        <v/>
      </c>
      <c r="D2320" s="15" t="n"/>
      <c r="E2320" s="16" t="n"/>
      <c r="F2320" s="18">
        <f>IF(OR(D2320="",E2320=""),"",D2320*E2320)</f>
        <v/>
      </c>
      <c r="G2320" s="15" t="n"/>
    </row>
    <row r="2321">
      <c r="A2321" s="19" t="n"/>
      <c r="B2321" s="15" t="n"/>
      <c r="C2321">
        <f>IF(B2321="","",IFERROR(INDEX(Items!$B$5:$B$304,MATCH(B2321,Items!$A$5:$A$304,0)),"Unknown code"))</f>
        <v/>
      </c>
      <c r="D2321" s="15" t="n"/>
      <c r="E2321" s="16" t="n"/>
      <c r="F2321" s="18">
        <f>IF(OR(D2321="",E2321=""),"",D2321*E2321)</f>
        <v/>
      </c>
      <c r="G2321" s="15" t="n"/>
    </row>
    <row r="2322">
      <c r="A2322" s="19" t="n"/>
      <c r="B2322" s="15" t="n"/>
      <c r="C2322">
        <f>IF(B2322="","",IFERROR(INDEX(Items!$B$5:$B$304,MATCH(B2322,Items!$A$5:$A$304,0)),"Unknown code"))</f>
        <v/>
      </c>
      <c r="D2322" s="15" t="n"/>
      <c r="E2322" s="16" t="n"/>
      <c r="F2322" s="18">
        <f>IF(OR(D2322="",E2322=""),"",D2322*E2322)</f>
        <v/>
      </c>
      <c r="G2322" s="15" t="n"/>
    </row>
    <row r="2323">
      <c r="A2323" s="19" t="n"/>
      <c r="B2323" s="15" t="n"/>
      <c r="C2323">
        <f>IF(B2323="","",IFERROR(INDEX(Items!$B$5:$B$304,MATCH(B2323,Items!$A$5:$A$304,0)),"Unknown code"))</f>
        <v/>
      </c>
      <c r="D2323" s="15" t="n"/>
      <c r="E2323" s="16" t="n"/>
      <c r="F2323" s="18">
        <f>IF(OR(D2323="",E2323=""),"",D2323*E2323)</f>
        <v/>
      </c>
      <c r="G2323" s="15" t="n"/>
    </row>
    <row r="2324">
      <c r="A2324" s="19" t="n"/>
      <c r="B2324" s="15" t="n"/>
      <c r="C2324">
        <f>IF(B2324="","",IFERROR(INDEX(Items!$B$5:$B$304,MATCH(B2324,Items!$A$5:$A$304,0)),"Unknown code"))</f>
        <v/>
      </c>
      <c r="D2324" s="15" t="n"/>
      <c r="E2324" s="16" t="n"/>
      <c r="F2324" s="18">
        <f>IF(OR(D2324="",E2324=""),"",D2324*E2324)</f>
        <v/>
      </c>
      <c r="G2324" s="15" t="n"/>
    </row>
    <row r="2325">
      <c r="A2325" s="19" t="n"/>
      <c r="B2325" s="15" t="n"/>
      <c r="C2325">
        <f>IF(B2325="","",IFERROR(INDEX(Items!$B$5:$B$304,MATCH(B2325,Items!$A$5:$A$304,0)),"Unknown code"))</f>
        <v/>
      </c>
      <c r="D2325" s="15" t="n"/>
      <c r="E2325" s="16" t="n"/>
      <c r="F2325" s="18">
        <f>IF(OR(D2325="",E2325=""),"",D2325*E2325)</f>
        <v/>
      </c>
      <c r="G2325" s="15" t="n"/>
    </row>
    <row r="2326">
      <c r="A2326" s="19" t="n"/>
      <c r="B2326" s="15" t="n"/>
      <c r="C2326">
        <f>IF(B2326="","",IFERROR(INDEX(Items!$B$5:$B$304,MATCH(B2326,Items!$A$5:$A$304,0)),"Unknown code"))</f>
        <v/>
      </c>
      <c r="D2326" s="15" t="n"/>
      <c r="E2326" s="16" t="n"/>
      <c r="F2326" s="18">
        <f>IF(OR(D2326="",E2326=""),"",D2326*E2326)</f>
        <v/>
      </c>
      <c r="G2326" s="15" t="n"/>
    </row>
    <row r="2327">
      <c r="A2327" s="19" t="n"/>
      <c r="B2327" s="15" t="n"/>
      <c r="C2327">
        <f>IF(B2327="","",IFERROR(INDEX(Items!$B$5:$B$304,MATCH(B2327,Items!$A$5:$A$304,0)),"Unknown code"))</f>
        <v/>
      </c>
      <c r="D2327" s="15" t="n"/>
      <c r="E2327" s="16" t="n"/>
      <c r="F2327" s="18">
        <f>IF(OR(D2327="",E2327=""),"",D2327*E2327)</f>
        <v/>
      </c>
      <c r="G2327" s="15" t="n"/>
    </row>
    <row r="2328">
      <c r="A2328" s="19" t="n"/>
      <c r="B2328" s="15" t="n"/>
      <c r="C2328">
        <f>IF(B2328="","",IFERROR(INDEX(Items!$B$5:$B$304,MATCH(B2328,Items!$A$5:$A$304,0)),"Unknown code"))</f>
        <v/>
      </c>
      <c r="D2328" s="15" t="n"/>
      <c r="E2328" s="16" t="n"/>
      <c r="F2328" s="18">
        <f>IF(OR(D2328="",E2328=""),"",D2328*E2328)</f>
        <v/>
      </c>
      <c r="G2328" s="15" t="n"/>
    </row>
    <row r="2329">
      <c r="A2329" s="19" t="n"/>
      <c r="B2329" s="15" t="n"/>
      <c r="C2329">
        <f>IF(B2329="","",IFERROR(INDEX(Items!$B$5:$B$304,MATCH(B2329,Items!$A$5:$A$304,0)),"Unknown code"))</f>
        <v/>
      </c>
      <c r="D2329" s="15" t="n"/>
      <c r="E2329" s="16" t="n"/>
      <c r="F2329" s="18">
        <f>IF(OR(D2329="",E2329=""),"",D2329*E2329)</f>
        <v/>
      </c>
      <c r="G2329" s="15" t="n"/>
    </row>
    <row r="2330">
      <c r="A2330" s="19" t="n"/>
      <c r="B2330" s="15" t="n"/>
      <c r="C2330">
        <f>IF(B2330="","",IFERROR(INDEX(Items!$B$5:$B$304,MATCH(B2330,Items!$A$5:$A$304,0)),"Unknown code"))</f>
        <v/>
      </c>
      <c r="D2330" s="15" t="n"/>
      <c r="E2330" s="16" t="n"/>
      <c r="F2330" s="18">
        <f>IF(OR(D2330="",E2330=""),"",D2330*E2330)</f>
        <v/>
      </c>
      <c r="G2330" s="15" t="n"/>
    </row>
    <row r="2331">
      <c r="A2331" s="19" t="n"/>
      <c r="B2331" s="15" t="n"/>
      <c r="C2331">
        <f>IF(B2331="","",IFERROR(INDEX(Items!$B$5:$B$304,MATCH(B2331,Items!$A$5:$A$304,0)),"Unknown code"))</f>
        <v/>
      </c>
      <c r="D2331" s="15" t="n"/>
      <c r="E2331" s="16" t="n"/>
      <c r="F2331" s="18">
        <f>IF(OR(D2331="",E2331=""),"",D2331*E2331)</f>
        <v/>
      </c>
      <c r="G2331" s="15" t="n"/>
    </row>
    <row r="2332">
      <c r="A2332" s="19" t="n"/>
      <c r="B2332" s="15" t="n"/>
      <c r="C2332">
        <f>IF(B2332="","",IFERROR(INDEX(Items!$B$5:$B$304,MATCH(B2332,Items!$A$5:$A$304,0)),"Unknown code"))</f>
        <v/>
      </c>
      <c r="D2332" s="15" t="n"/>
      <c r="E2332" s="16" t="n"/>
      <c r="F2332" s="18">
        <f>IF(OR(D2332="",E2332=""),"",D2332*E2332)</f>
        <v/>
      </c>
      <c r="G2332" s="15" t="n"/>
    </row>
    <row r="2333">
      <c r="A2333" s="19" t="n"/>
      <c r="B2333" s="15" t="n"/>
      <c r="C2333">
        <f>IF(B2333="","",IFERROR(INDEX(Items!$B$5:$B$304,MATCH(B2333,Items!$A$5:$A$304,0)),"Unknown code"))</f>
        <v/>
      </c>
      <c r="D2333" s="15" t="n"/>
      <c r="E2333" s="16" t="n"/>
      <c r="F2333" s="18">
        <f>IF(OR(D2333="",E2333=""),"",D2333*E2333)</f>
        <v/>
      </c>
      <c r="G2333" s="15" t="n"/>
    </row>
    <row r="2334">
      <c r="A2334" s="19" t="n"/>
      <c r="B2334" s="15" t="n"/>
      <c r="C2334">
        <f>IF(B2334="","",IFERROR(INDEX(Items!$B$5:$B$304,MATCH(B2334,Items!$A$5:$A$304,0)),"Unknown code"))</f>
        <v/>
      </c>
      <c r="D2334" s="15" t="n"/>
      <c r="E2334" s="16" t="n"/>
      <c r="F2334" s="18">
        <f>IF(OR(D2334="",E2334=""),"",D2334*E2334)</f>
        <v/>
      </c>
      <c r="G2334" s="15" t="n"/>
    </row>
    <row r="2335">
      <c r="A2335" s="19" t="n"/>
      <c r="B2335" s="15" t="n"/>
      <c r="C2335">
        <f>IF(B2335="","",IFERROR(INDEX(Items!$B$5:$B$304,MATCH(B2335,Items!$A$5:$A$304,0)),"Unknown code"))</f>
        <v/>
      </c>
      <c r="D2335" s="15" t="n"/>
      <c r="E2335" s="16" t="n"/>
      <c r="F2335" s="18">
        <f>IF(OR(D2335="",E2335=""),"",D2335*E2335)</f>
        <v/>
      </c>
      <c r="G2335" s="15" t="n"/>
    </row>
    <row r="2336">
      <c r="A2336" s="19" t="n"/>
      <c r="B2336" s="15" t="n"/>
      <c r="C2336">
        <f>IF(B2336="","",IFERROR(INDEX(Items!$B$5:$B$304,MATCH(B2336,Items!$A$5:$A$304,0)),"Unknown code"))</f>
        <v/>
      </c>
      <c r="D2336" s="15" t="n"/>
      <c r="E2336" s="16" t="n"/>
      <c r="F2336" s="18">
        <f>IF(OR(D2336="",E2336=""),"",D2336*E2336)</f>
        <v/>
      </c>
      <c r="G2336" s="15" t="n"/>
    </row>
    <row r="2337">
      <c r="A2337" s="19" t="n"/>
      <c r="B2337" s="15" t="n"/>
      <c r="C2337">
        <f>IF(B2337="","",IFERROR(INDEX(Items!$B$5:$B$304,MATCH(B2337,Items!$A$5:$A$304,0)),"Unknown code"))</f>
        <v/>
      </c>
      <c r="D2337" s="15" t="n"/>
      <c r="E2337" s="16" t="n"/>
      <c r="F2337" s="18">
        <f>IF(OR(D2337="",E2337=""),"",D2337*E2337)</f>
        <v/>
      </c>
      <c r="G2337" s="15" t="n"/>
    </row>
    <row r="2338">
      <c r="A2338" s="19" t="n"/>
      <c r="B2338" s="15" t="n"/>
      <c r="C2338">
        <f>IF(B2338="","",IFERROR(INDEX(Items!$B$5:$B$304,MATCH(B2338,Items!$A$5:$A$304,0)),"Unknown code"))</f>
        <v/>
      </c>
      <c r="D2338" s="15" t="n"/>
      <c r="E2338" s="16" t="n"/>
      <c r="F2338" s="18">
        <f>IF(OR(D2338="",E2338=""),"",D2338*E2338)</f>
        <v/>
      </c>
      <c r="G2338" s="15" t="n"/>
    </row>
    <row r="2339">
      <c r="A2339" s="19" t="n"/>
      <c r="B2339" s="15" t="n"/>
      <c r="C2339">
        <f>IF(B2339="","",IFERROR(INDEX(Items!$B$5:$B$304,MATCH(B2339,Items!$A$5:$A$304,0)),"Unknown code"))</f>
        <v/>
      </c>
      <c r="D2339" s="15" t="n"/>
      <c r="E2339" s="16" t="n"/>
      <c r="F2339" s="18">
        <f>IF(OR(D2339="",E2339=""),"",D2339*E2339)</f>
        <v/>
      </c>
      <c r="G2339" s="15" t="n"/>
    </row>
    <row r="2340">
      <c r="A2340" s="19" t="n"/>
      <c r="B2340" s="15" t="n"/>
      <c r="C2340">
        <f>IF(B2340="","",IFERROR(INDEX(Items!$B$5:$B$304,MATCH(B2340,Items!$A$5:$A$304,0)),"Unknown code"))</f>
        <v/>
      </c>
      <c r="D2340" s="15" t="n"/>
      <c r="E2340" s="16" t="n"/>
      <c r="F2340" s="18">
        <f>IF(OR(D2340="",E2340=""),"",D2340*E2340)</f>
        <v/>
      </c>
      <c r="G2340" s="15" t="n"/>
    </row>
    <row r="2341">
      <c r="A2341" s="19" t="n"/>
      <c r="B2341" s="15" t="n"/>
      <c r="C2341">
        <f>IF(B2341="","",IFERROR(INDEX(Items!$B$5:$B$304,MATCH(B2341,Items!$A$5:$A$304,0)),"Unknown code"))</f>
        <v/>
      </c>
      <c r="D2341" s="15" t="n"/>
      <c r="E2341" s="16" t="n"/>
      <c r="F2341" s="18">
        <f>IF(OR(D2341="",E2341=""),"",D2341*E2341)</f>
        <v/>
      </c>
      <c r="G2341" s="15" t="n"/>
    </row>
    <row r="2342">
      <c r="A2342" s="19" t="n"/>
      <c r="B2342" s="15" t="n"/>
      <c r="C2342">
        <f>IF(B2342="","",IFERROR(INDEX(Items!$B$5:$B$304,MATCH(B2342,Items!$A$5:$A$304,0)),"Unknown code"))</f>
        <v/>
      </c>
      <c r="D2342" s="15" t="n"/>
      <c r="E2342" s="16" t="n"/>
      <c r="F2342" s="18">
        <f>IF(OR(D2342="",E2342=""),"",D2342*E2342)</f>
        <v/>
      </c>
      <c r="G2342" s="15" t="n"/>
    </row>
    <row r="2343">
      <c r="A2343" s="19" t="n"/>
      <c r="B2343" s="15" t="n"/>
      <c r="C2343">
        <f>IF(B2343="","",IFERROR(INDEX(Items!$B$5:$B$304,MATCH(B2343,Items!$A$5:$A$304,0)),"Unknown code"))</f>
        <v/>
      </c>
      <c r="D2343" s="15" t="n"/>
      <c r="E2343" s="16" t="n"/>
      <c r="F2343" s="18">
        <f>IF(OR(D2343="",E2343=""),"",D2343*E2343)</f>
        <v/>
      </c>
      <c r="G2343" s="15" t="n"/>
    </row>
    <row r="2344">
      <c r="A2344" s="19" t="n"/>
      <c r="B2344" s="15" t="n"/>
      <c r="C2344">
        <f>IF(B2344="","",IFERROR(INDEX(Items!$B$5:$B$304,MATCH(B2344,Items!$A$5:$A$304,0)),"Unknown code"))</f>
        <v/>
      </c>
      <c r="D2344" s="15" t="n"/>
      <c r="E2344" s="16" t="n"/>
      <c r="F2344" s="18">
        <f>IF(OR(D2344="",E2344=""),"",D2344*E2344)</f>
        <v/>
      </c>
      <c r="G2344" s="15" t="n"/>
    </row>
    <row r="2345">
      <c r="A2345" s="19" t="n"/>
      <c r="B2345" s="15" t="n"/>
      <c r="C2345">
        <f>IF(B2345="","",IFERROR(INDEX(Items!$B$5:$B$304,MATCH(B2345,Items!$A$5:$A$304,0)),"Unknown code"))</f>
        <v/>
      </c>
      <c r="D2345" s="15" t="n"/>
      <c r="E2345" s="16" t="n"/>
      <c r="F2345" s="18">
        <f>IF(OR(D2345="",E2345=""),"",D2345*E2345)</f>
        <v/>
      </c>
      <c r="G2345" s="15" t="n"/>
    </row>
    <row r="2346">
      <c r="A2346" s="19" t="n"/>
      <c r="B2346" s="15" t="n"/>
      <c r="C2346">
        <f>IF(B2346="","",IFERROR(INDEX(Items!$B$5:$B$304,MATCH(B2346,Items!$A$5:$A$304,0)),"Unknown code"))</f>
        <v/>
      </c>
      <c r="D2346" s="15" t="n"/>
      <c r="E2346" s="16" t="n"/>
      <c r="F2346" s="18">
        <f>IF(OR(D2346="",E2346=""),"",D2346*E2346)</f>
        <v/>
      </c>
      <c r="G2346" s="15" t="n"/>
    </row>
    <row r="2347">
      <c r="A2347" s="19" t="n"/>
      <c r="B2347" s="15" t="n"/>
      <c r="C2347">
        <f>IF(B2347="","",IFERROR(INDEX(Items!$B$5:$B$304,MATCH(B2347,Items!$A$5:$A$304,0)),"Unknown code"))</f>
        <v/>
      </c>
      <c r="D2347" s="15" t="n"/>
      <c r="E2347" s="16" t="n"/>
      <c r="F2347" s="18">
        <f>IF(OR(D2347="",E2347=""),"",D2347*E2347)</f>
        <v/>
      </c>
      <c r="G2347" s="15" t="n"/>
    </row>
    <row r="2348">
      <c r="A2348" s="19" t="n"/>
      <c r="B2348" s="15" t="n"/>
      <c r="C2348">
        <f>IF(B2348="","",IFERROR(INDEX(Items!$B$5:$B$304,MATCH(B2348,Items!$A$5:$A$304,0)),"Unknown code"))</f>
        <v/>
      </c>
      <c r="D2348" s="15" t="n"/>
      <c r="E2348" s="16" t="n"/>
      <c r="F2348" s="18">
        <f>IF(OR(D2348="",E2348=""),"",D2348*E2348)</f>
        <v/>
      </c>
      <c r="G2348" s="15" t="n"/>
    </row>
    <row r="2349">
      <c r="A2349" s="19" t="n"/>
      <c r="B2349" s="15" t="n"/>
      <c r="C2349">
        <f>IF(B2349="","",IFERROR(INDEX(Items!$B$5:$B$304,MATCH(B2349,Items!$A$5:$A$304,0)),"Unknown code"))</f>
        <v/>
      </c>
      <c r="D2349" s="15" t="n"/>
      <c r="E2349" s="16" t="n"/>
      <c r="F2349" s="18">
        <f>IF(OR(D2349="",E2349=""),"",D2349*E2349)</f>
        <v/>
      </c>
      <c r="G2349" s="15" t="n"/>
    </row>
    <row r="2350">
      <c r="A2350" s="19" t="n"/>
      <c r="B2350" s="15" t="n"/>
      <c r="C2350">
        <f>IF(B2350="","",IFERROR(INDEX(Items!$B$5:$B$304,MATCH(B2350,Items!$A$5:$A$304,0)),"Unknown code"))</f>
        <v/>
      </c>
      <c r="D2350" s="15" t="n"/>
      <c r="E2350" s="16" t="n"/>
      <c r="F2350" s="18">
        <f>IF(OR(D2350="",E2350=""),"",D2350*E2350)</f>
        <v/>
      </c>
      <c r="G2350" s="15" t="n"/>
    </row>
    <row r="2351">
      <c r="A2351" s="19" t="n"/>
      <c r="B2351" s="15" t="n"/>
      <c r="C2351">
        <f>IF(B2351="","",IFERROR(INDEX(Items!$B$5:$B$304,MATCH(B2351,Items!$A$5:$A$304,0)),"Unknown code"))</f>
        <v/>
      </c>
      <c r="D2351" s="15" t="n"/>
      <c r="E2351" s="16" t="n"/>
      <c r="F2351" s="18">
        <f>IF(OR(D2351="",E2351=""),"",D2351*E2351)</f>
        <v/>
      </c>
      <c r="G2351" s="15" t="n"/>
    </row>
    <row r="2352">
      <c r="A2352" s="19" t="n"/>
      <c r="B2352" s="15" t="n"/>
      <c r="C2352">
        <f>IF(B2352="","",IFERROR(INDEX(Items!$B$5:$B$304,MATCH(B2352,Items!$A$5:$A$304,0)),"Unknown code"))</f>
        <v/>
      </c>
      <c r="D2352" s="15" t="n"/>
      <c r="E2352" s="16" t="n"/>
      <c r="F2352" s="18">
        <f>IF(OR(D2352="",E2352=""),"",D2352*E2352)</f>
        <v/>
      </c>
      <c r="G2352" s="15" t="n"/>
    </row>
    <row r="2353">
      <c r="A2353" s="19" t="n"/>
      <c r="B2353" s="15" t="n"/>
      <c r="C2353">
        <f>IF(B2353="","",IFERROR(INDEX(Items!$B$5:$B$304,MATCH(B2353,Items!$A$5:$A$304,0)),"Unknown code"))</f>
        <v/>
      </c>
      <c r="D2353" s="15" t="n"/>
      <c r="E2353" s="16" t="n"/>
      <c r="F2353" s="18">
        <f>IF(OR(D2353="",E2353=""),"",D2353*E2353)</f>
        <v/>
      </c>
      <c r="G2353" s="15" t="n"/>
    </row>
    <row r="2354">
      <c r="A2354" s="19" t="n"/>
      <c r="B2354" s="15" t="n"/>
      <c r="C2354">
        <f>IF(B2354="","",IFERROR(INDEX(Items!$B$5:$B$304,MATCH(B2354,Items!$A$5:$A$304,0)),"Unknown code"))</f>
        <v/>
      </c>
      <c r="D2354" s="15" t="n"/>
      <c r="E2354" s="16" t="n"/>
      <c r="F2354" s="18">
        <f>IF(OR(D2354="",E2354=""),"",D2354*E2354)</f>
        <v/>
      </c>
      <c r="G2354" s="15" t="n"/>
    </row>
    <row r="2355">
      <c r="A2355" s="19" t="n"/>
      <c r="B2355" s="15" t="n"/>
      <c r="C2355">
        <f>IF(B2355="","",IFERROR(INDEX(Items!$B$5:$B$304,MATCH(B2355,Items!$A$5:$A$304,0)),"Unknown code"))</f>
        <v/>
      </c>
      <c r="D2355" s="15" t="n"/>
      <c r="E2355" s="16" t="n"/>
      <c r="F2355" s="18">
        <f>IF(OR(D2355="",E2355=""),"",D2355*E2355)</f>
        <v/>
      </c>
      <c r="G2355" s="15" t="n"/>
    </row>
    <row r="2356">
      <c r="A2356" s="19" t="n"/>
      <c r="B2356" s="15" t="n"/>
      <c r="C2356">
        <f>IF(B2356="","",IFERROR(INDEX(Items!$B$5:$B$304,MATCH(B2356,Items!$A$5:$A$304,0)),"Unknown code"))</f>
        <v/>
      </c>
      <c r="D2356" s="15" t="n"/>
      <c r="E2356" s="16" t="n"/>
      <c r="F2356" s="18">
        <f>IF(OR(D2356="",E2356=""),"",D2356*E2356)</f>
        <v/>
      </c>
      <c r="G2356" s="15" t="n"/>
    </row>
    <row r="2357">
      <c r="A2357" s="19" t="n"/>
      <c r="B2357" s="15" t="n"/>
      <c r="C2357">
        <f>IF(B2357="","",IFERROR(INDEX(Items!$B$5:$B$304,MATCH(B2357,Items!$A$5:$A$304,0)),"Unknown code"))</f>
        <v/>
      </c>
      <c r="D2357" s="15" t="n"/>
      <c r="E2357" s="16" t="n"/>
      <c r="F2357" s="18">
        <f>IF(OR(D2357="",E2357=""),"",D2357*E2357)</f>
        <v/>
      </c>
      <c r="G2357" s="15" t="n"/>
    </row>
    <row r="2358">
      <c r="A2358" s="19" t="n"/>
      <c r="B2358" s="15" t="n"/>
      <c r="C2358">
        <f>IF(B2358="","",IFERROR(INDEX(Items!$B$5:$B$304,MATCH(B2358,Items!$A$5:$A$304,0)),"Unknown code"))</f>
        <v/>
      </c>
      <c r="D2358" s="15" t="n"/>
      <c r="E2358" s="16" t="n"/>
      <c r="F2358" s="18">
        <f>IF(OR(D2358="",E2358=""),"",D2358*E2358)</f>
        <v/>
      </c>
      <c r="G2358" s="15" t="n"/>
    </row>
    <row r="2359">
      <c r="A2359" s="19" t="n"/>
      <c r="B2359" s="15" t="n"/>
      <c r="C2359">
        <f>IF(B2359="","",IFERROR(INDEX(Items!$B$5:$B$304,MATCH(B2359,Items!$A$5:$A$304,0)),"Unknown code"))</f>
        <v/>
      </c>
      <c r="D2359" s="15" t="n"/>
      <c r="E2359" s="16" t="n"/>
      <c r="F2359" s="18">
        <f>IF(OR(D2359="",E2359=""),"",D2359*E2359)</f>
        <v/>
      </c>
      <c r="G2359" s="15" t="n"/>
    </row>
    <row r="2360">
      <c r="A2360" s="19" t="n"/>
      <c r="B2360" s="15" t="n"/>
      <c r="C2360">
        <f>IF(B2360="","",IFERROR(INDEX(Items!$B$5:$B$304,MATCH(B2360,Items!$A$5:$A$304,0)),"Unknown code"))</f>
        <v/>
      </c>
      <c r="D2360" s="15" t="n"/>
      <c r="E2360" s="16" t="n"/>
      <c r="F2360" s="18">
        <f>IF(OR(D2360="",E2360=""),"",D2360*E2360)</f>
        <v/>
      </c>
      <c r="G2360" s="15" t="n"/>
    </row>
    <row r="2361">
      <c r="A2361" s="19" t="n"/>
      <c r="B2361" s="15" t="n"/>
      <c r="C2361">
        <f>IF(B2361="","",IFERROR(INDEX(Items!$B$5:$B$304,MATCH(B2361,Items!$A$5:$A$304,0)),"Unknown code"))</f>
        <v/>
      </c>
      <c r="D2361" s="15" t="n"/>
      <c r="E2361" s="16" t="n"/>
      <c r="F2361" s="18">
        <f>IF(OR(D2361="",E2361=""),"",D2361*E2361)</f>
        <v/>
      </c>
      <c r="G2361" s="15" t="n"/>
    </row>
    <row r="2362">
      <c r="A2362" s="19" t="n"/>
      <c r="B2362" s="15" t="n"/>
      <c r="C2362">
        <f>IF(B2362="","",IFERROR(INDEX(Items!$B$5:$B$304,MATCH(B2362,Items!$A$5:$A$304,0)),"Unknown code"))</f>
        <v/>
      </c>
      <c r="D2362" s="15" t="n"/>
      <c r="E2362" s="16" t="n"/>
      <c r="F2362" s="18">
        <f>IF(OR(D2362="",E2362=""),"",D2362*E2362)</f>
        <v/>
      </c>
      <c r="G2362" s="15" t="n"/>
    </row>
    <row r="2363">
      <c r="A2363" s="19" t="n"/>
      <c r="B2363" s="15" t="n"/>
      <c r="C2363">
        <f>IF(B2363="","",IFERROR(INDEX(Items!$B$5:$B$304,MATCH(B2363,Items!$A$5:$A$304,0)),"Unknown code"))</f>
        <v/>
      </c>
      <c r="D2363" s="15" t="n"/>
      <c r="E2363" s="16" t="n"/>
      <c r="F2363" s="18">
        <f>IF(OR(D2363="",E2363=""),"",D2363*E2363)</f>
        <v/>
      </c>
      <c r="G2363" s="15" t="n"/>
    </row>
    <row r="2364">
      <c r="A2364" s="19" t="n"/>
      <c r="B2364" s="15" t="n"/>
      <c r="C2364">
        <f>IF(B2364="","",IFERROR(INDEX(Items!$B$5:$B$304,MATCH(B2364,Items!$A$5:$A$304,0)),"Unknown code"))</f>
        <v/>
      </c>
      <c r="D2364" s="15" t="n"/>
      <c r="E2364" s="16" t="n"/>
      <c r="F2364" s="18">
        <f>IF(OR(D2364="",E2364=""),"",D2364*E2364)</f>
        <v/>
      </c>
      <c r="G2364" s="15" t="n"/>
    </row>
    <row r="2365">
      <c r="A2365" s="19" t="n"/>
      <c r="B2365" s="15" t="n"/>
      <c r="C2365">
        <f>IF(B2365="","",IFERROR(INDEX(Items!$B$5:$B$304,MATCH(B2365,Items!$A$5:$A$304,0)),"Unknown code"))</f>
        <v/>
      </c>
      <c r="D2365" s="15" t="n"/>
      <c r="E2365" s="16" t="n"/>
      <c r="F2365" s="18">
        <f>IF(OR(D2365="",E2365=""),"",D2365*E2365)</f>
        <v/>
      </c>
      <c r="G2365" s="15" t="n"/>
    </row>
    <row r="2366">
      <c r="A2366" s="19" t="n"/>
      <c r="B2366" s="15" t="n"/>
      <c r="C2366">
        <f>IF(B2366="","",IFERROR(INDEX(Items!$B$5:$B$304,MATCH(B2366,Items!$A$5:$A$304,0)),"Unknown code"))</f>
        <v/>
      </c>
      <c r="D2366" s="15" t="n"/>
      <c r="E2366" s="16" t="n"/>
      <c r="F2366" s="18">
        <f>IF(OR(D2366="",E2366=""),"",D2366*E2366)</f>
        <v/>
      </c>
      <c r="G2366" s="15" t="n"/>
    </row>
    <row r="2367">
      <c r="A2367" s="19" t="n"/>
      <c r="B2367" s="15" t="n"/>
      <c r="C2367">
        <f>IF(B2367="","",IFERROR(INDEX(Items!$B$5:$B$304,MATCH(B2367,Items!$A$5:$A$304,0)),"Unknown code"))</f>
        <v/>
      </c>
      <c r="D2367" s="15" t="n"/>
      <c r="E2367" s="16" t="n"/>
      <c r="F2367" s="18">
        <f>IF(OR(D2367="",E2367=""),"",D2367*E2367)</f>
        <v/>
      </c>
      <c r="G2367" s="15" t="n"/>
    </row>
    <row r="2368">
      <c r="A2368" s="19" t="n"/>
      <c r="B2368" s="15" t="n"/>
      <c r="C2368">
        <f>IF(B2368="","",IFERROR(INDEX(Items!$B$5:$B$304,MATCH(B2368,Items!$A$5:$A$304,0)),"Unknown code"))</f>
        <v/>
      </c>
      <c r="D2368" s="15" t="n"/>
      <c r="E2368" s="16" t="n"/>
      <c r="F2368" s="18">
        <f>IF(OR(D2368="",E2368=""),"",D2368*E2368)</f>
        <v/>
      </c>
      <c r="G2368" s="15" t="n"/>
    </row>
    <row r="2369">
      <c r="A2369" s="19" t="n"/>
      <c r="B2369" s="15" t="n"/>
      <c r="C2369">
        <f>IF(B2369="","",IFERROR(INDEX(Items!$B$5:$B$304,MATCH(B2369,Items!$A$5:$A$304,0)),"Unknown code"))</f>
        <v/>
      </c>
      <c r="D2369" s="15" t="n"/>
      <c r="E2369" s="16" t="n"/>
      <c r="F2369" s="18">
        <f>IF(OR(D2369="",E2369=""),"",D2369*E2369)</f>
        <v/>
      </c>
      <c r="G2369" s="15" t="n"/>
    </row>
    <row r="2370">
      <c r="A2370" s="19" t="n"/>
      <c r="B2370" s="15" t="n"/>
      <c r="C2370">
        <f>IF(B2370="","",IFERROR(INDEX(Items!$B$5:$B$304,MATCH(B2370,Items!$A$5:$A$304,0)),"Unknown code"))</f>
        <v/>
      </c>
      <c r="D2370" s="15" t="n"/>
      <c r="E2370" s="16" t="n"/>
      <c r="F2370" s="18">
        <f>IF(OR(D2370="",E2370=""),"",D2370*E2370)</f>
        <v/>
      </c>
      <c r="G2370" s="15" t="n"/>
    </row>
    <row r="2371">
      <c r="A2371" s="19" t="n"/>
      <c r="B2371" s="15" t="n"/>
      <c r="C2371">
        <f>IF(B2371="","",IFERROR(INDEX(Items!$B$5:$B$304,MATCH(B2371,Items!$A$5:$A$304,0)),"Unknown code"))</f>
        <v/>
      </c>
      <c r="D2371" s="15" t="n"/>
      <c r="E2371" s="16" t="n"/>
      <c r="F2371" s="18">
        <f>IF(OR(D2371="",E2371=""),"",D2371*E2371)</f>
        <v/>
      </c>
      <c r="G2371" s="15" t="n"/>
    </row>
    <row r="2372">
      <c r="A2372" s="19" t="n"/>
      <c r="B2372" s="15" t="n"/>
      <c r="C2372">
        <f>IF(B2372="","",IFERROR(INDEX(Items!$B$5:$B$304,MATCH(B2372,Items!$A$5:$A$304,0)),"Unknown code"))</f>
        <v/>
      </c>
      <c r="D2372" s="15" t="n"/>
      <c r="E2372" s="16" t="n"/>
      <c r="F2372" s="18">
        <f>IF(OR(D2372="",E2372=""),"",D2372*E2372)</f>
        <v/>
      </c>
      <c r="G2372" s="15" t="n"/>
    </row>
    <row r="2373">
      <c r="A2373" s="19" t="n"/>
      <c r="B2373" s="15" t="n"/>
      <c r="C2373">
        <f>IF(B2373="","",IFERROR(INDEX(Items!$B$5:$B$304,MATCH(B2373,Items!$A$5:$A$304,0)),"Unknown code"))</f>
        <v/>
      </c>
      <c r="D2373" s="15" t="n"/>
      <c r="E2373" s="16" t="n"/>
      <c r="F2373" s="18">
        <f>IF(OR(D2373="",E2373=""),"",D2373*E2373)</f>
        <v/>
      </c>
      <c r="G2373" s="15" t="n"/>
    </row>
    <row r="2374">
      <c r="A2374" s="19" t="n"/>
      <c r="B2374" s="15" t="n"/>
      <c r="C2374">
        <f>IF(B2374="","",IFERROR(INDEX(Items!$B$5:$B$304,MATCH(B2374,Items!$A$5:$A$304,0)),"Unknown code"))</f>
        <v/>
      </c>
      <c r="D2374" s="15" t="n"/>
      <c r="E2374" s="16" t="n"/>
      <c r="F2374" s="18">
        <f>IF(OR(D2374="",E2374=""),"",D2374*E2374)</f>
        <v/>
      </c>
      <c r="G2374" s="15" t="n"/>
    </row>
    <row r="2375">
      <c r="A2375" s="19" t="n"/>
      <c r="B2375" s="15" t="n"/>
      <c r="C2375">
        <f>IF(B2375="","",IFERROR(INDEX(Items!$B$5:$B$304,MATCH(B2375,Items!$A$5:$A$304,0)),"Unknown code"))</f>
        <v/>
      </c>
      <c r="D2375" s="15" t="n"/>
      <c r="E2375" s="16" t="n"/>
      <c r="F2375" s="18">
        <f>IF(OR(D2375="",E2375=""),"",D2375*E2375)</f>
        <v/>
      </c>
      <c r="G2375" s="15" t="n"/>
    </row>
    <row r="2376">
      <c r="A2376" s="19" t="n"/>
      <c r="B2376" s="15" t="n"/>
      <c r="C2376">
        <f>IF(B2376="","",IFERROR(INDEX(Items!$B$5:$B$304,MATCH(B2376,Items!$A$5:$A$304,0)),"Unknown code"))</f>
        <v/>
      </c>
      <c r="D2376" s="15" t="n"/>
      <c r="E2376" s="16" t="n"/>
      <c r="F2376" s="18">
        <f>IF(OR(D2376="",E2376=""),"",D2376*E2376)</f>
        <v/>
      </c>
      <c r="G2376" s="15" t="n"/>
    </row>
    <row r="2377">
      <c r="A2377" s="19" t="n"/>
      <c r="B2377" s="15" t="n"/>
      <c r="C2377">
        <f>IF(B2377="","",IFERROR(INDEX(Items!$B$5:$B$304,MATCH(B2377,Items!$A$5:$A$304,0)),"Unknown code"))</f>
        <v/>
      </c>
      <c r="D2377" s="15" t="n"/>
      <c r="E2377" s="16" t="n"/>
      <c r="F2377" s="18">
        <f>IF(OR(D2377="",E2377=""),"",D2377*E2377)</f>
        <v/>
      </c>
      <c r="G2377" s="15" t="n"/>
    </row>
    <row r="2378">
      <c r="A2378" s="19" t="n"/>
      <c r="B2378" s="15" t="n"/>
      <c r="C2378">
        <f>IF(B2378="","",IFERROR(INDEX(Items!$B$5:$B$304,MATCH(B2378,Items!$A$5:$A$304,0)),"Unknown code"))</f>
        <v/>
      </c>
      <c r="D2378" s="15" t="n"/>
      <c r="E2378" s="16" t="n"/>
      <c r="F2378" s="18">
        <f>IF(OR(D2378="",E2378=""),"",D2378*E2378)</f>
        <v/>
      </c>
      <c r="G2378" s="15" t="n"/>
    </row>
    <row r="2379">
      <c r="A2379" s="19" t="n"/>
      <c r="B2379" s="15" t="n"/>
      <c r="C2379">
        <f>IF(B2379="","",IFERROR(INDEX(Items!$B$5:$B$304,MATCH(B2379,Items!$A$5:$A$304,0)),"Unknown code"))</f>
        <v/>
      </c>
      <c r="D2379" s="15" t="n"/>
      <c r="E2379" s="16" t="n"/>
      <c r="F2379" s="18">
        <f>IF(OR(D2379="",E2379=""),"",D2379*E2379)</f>
        <v/>
      </c>
      <c r="G2379" s="15" t="n"/>
    </row>
    <row r="2380">
      <c r="A2380" s="19" t="n"/>
      <c r="B2380" s="15" t="n"/>
      <c r="C2380">
        <f>IF(B2380="","",IFERROR(INDEX(Items!$B$5:$B$304,MATCH(B2380,Items!$A$5:$A$304,0)),"Unknown code"))</f>
        <v/>
      </c>
      <c r="D2380" s="15" t="n"/>
      <c r="E2380" s="16" t="n"/>
      <c r="F2380" s="18">
        <f>IF(OR(D2380="",E2380=""),"",D2380*E2380)</f>
        <v/>
      </c>
      <c r="G2380" s="15" t="n"/>
    </row>
    <row r="2381">
      <c r="A2381" s="19" t="n"/>
      <c r="B2381" s="15" t="n"/>
      <c r="C2381">
        <f>IF(B2381="","",IFERROR(INDEX(Items!$B$5:$B$304,MATCH(B2381,Items!$A$5:$A$304,0)),"Unknown code"))</f>
        <v/>
      </c>
      <c r="D2381" s="15" t="n"/>
      <c r="E2381" s="16" t="n"/>
      <c r="F2381" s="18">
        <f>IF(OR(D2381="",E2381=""),"",D2381*E2381)</f>
        <v/>
      </c>
      <c r="G2381" s="15" t="n"/>
    </row>
    <row r="2382">
      <c r="A2382" s="19" t="n"/>
      <c r="B2382" s="15" t="n"/>
      <c r="C2382">
        <f>IF(B2382="","",IFERROR(INDEX(Items!$B$5:$B$304,MATCH(B2382,Items!$A$5:$A$304,0)),"Unknown code"))</f>
        <v/>
      </c>
      <c r="D2382" s="15" t="n"/>
      <c r="E2382" s="16" t="n"/>
      <c r="F2382" s="18">
        <f>IF(OR(D2382="",E2382=""),"",D2382*E2382)</f>
        <v/>
      </c>
      <c r="G2382" s="15" t="n"/>
    </row>
    <row r="2383">
      <c r="A2383" s="19" t="n"/>
      <c r="B2383" s="15" t="n"/>
      <c r="C2383">
        <f>IF(B2383="","",IFERROR(INDEX(Items!$B$5:$B$304,MATCH(B2383,Items!$A$5:$A$304,0)),"Unknown code"))</f>
        <v/>
      </c>
      <c r="D2383" s="15" t="n"/>
      <c r="E2383" s="16" t="n"/>
      <c r="F2383" s="18">
        <f>IF(OR(D2383="",E2383=""),"",D2383*E2383)</f>
        <v/>
      </c>
      <c r="G2383" s="15" t="n"/>
    </row>
    <row r="2384">
      <c r="A2384" s="19" t="n"/>
      <c r="B2384" s="15" t="n"/>
      <c r="C2384">
        <f>IF(B2384="","",IFERROR(INDEX(Items!$B$5:$B$304,MATCH(B2384,Items!$A$5:$A$304,0)),"Unknown code"))</f>
        <v/>
      </c>
      <c r="D2384" s="15" t="n"/>
      <c r="E2384" s="16" t="n"/>
      <c r="F2384" s="18">
        <f>IF(OR(D2384="",E2384=""),"",D2384*E2384)</f>
        <v/>
      </c>
      <c r="G2384" s="15" t="n"/>
    </row>
    <row r="2385">
      <c r="A2385" s="19" t="n"/>
      <c r="B2385" s="15" t="n"/>
      <c r="C2385">
        <f>IF(B2385="","",IFERROR(INDEX(Items!$B$5:$B$304,MATCH(B2385,Items!$A$5:$A$304,0)),"Unknown code"))</f>
        <v/>
      </c>
      <c r="D2385" s="15" t="n"/>
      <c r="E2385" s="16" t="n"/>
      <c r="F2385" s="18">
        <f>IF(OR(D2385="",E2385=""),"",D2385*E2385)</f>
        <v/>
      </c>
      <c r="G2385" s="15" t="n"/>
    </row>
    <row r="2386">
      <c r="A2386" s="19" t="n"/>
      <c r="B2386" s="15" t="n"/>
      <c r="C2386">
        <f>IF(B2386="","",IFERROR(INDEX(Items!$B$5:$B$304,MATCH(B2386,Items!$A$5:$A$304,0)),"Unknown code"))</f>
        <v/>
      </c>
      <c r="D2386" s="15" t="n"/>
      <c r="E2386" s="16" t="n"/>
      <c r="F2386" s="18">
        <f>IF(OR(D2386="",E2386=""),"",D2386*E2386)</f>
        <v/>
      </c>
      <c r="G2386" s="15" t="n"/>
    </row>
    <row r="2387">
      <c r="A2387" s="19" t="n"/>
      <c r="B2387" s="15" t="n"/>
      <c r="C2387">
        <f>IF(B2387="","",IFERROR(INDEX(Items!$B$5:$B$304,MATCH(B2387,Items!$A$5:$A$304,0)),"Unknown code"))</f>
        <v/>
      </c>
      <c r="D2387" s="15" t="n"/>
      <c r="E2387" s="16" t="n"/>
      <c r="F2387" s="18">
        <f>IF(OR(D2387="",E2387=""),"",D2387*E2387)</f>
        <v/>
      </c>
      <c r="G2387" s="15" t="n"/>
    </row>
    <row r="2388">
      <c r="A2388" s="19" t="n"/>
      <c r="B2388" s="15" t="n"/>
      <c r="C2388">
        <f>IF(B2388="","",IFERROR(INDEX(Items!$B$5:$B$304,MATCH(B2388,Items!$A$5:$A$304,0)),"Unknown code"))</f>
        <v/>
      </c>
      <c r="D2388" s="15" t="n"/>
      <c r="E2388" s="16" t="n"/>
      <c r="F2388" s="18">
        <f>IF(OR(D2388="",E2388=""),"",D2388*E2388)</f>
        <v/>
      </c>
      <c r="G2388" s="15" t="n"/>
    </row>
    <row r="2389">
      <c r="A2389" s="19" t="n"/>
      <c r="B2389" s="15" t="n"/>
      <c r="C2389">
        <f>IF(B2389="","",IFERROR(INDEX(Items!$B$5:$B$304,MATCH(B2389,Items!$A$5:$A$304,0)),"Unknown code"))</f>
        <v/>
      </c>
      <c r="D2389" s="15" t="n"/>
      <c r="E2389" s="16" t="n"/>
      <c r="F2389" s="18">
        <f>IF(OR(D2389="",E2389=""),"",D2389*E2389)</f>
        <v/>
      </c>
      <c r="G2389" s="15" t="n"/>
    </row>
    <row r="2390">
      <c r="A2390" s="19" t="n"/>
      <c r="B2390" s="15" t="n"/>
      <c r="C2390">
        <f>IF(B2390="","",IFERROR(INDEX(Items!$B$5:$B$304,MATCH(B2390,Items!$A$5:$A$304,0)),"Unknown code"))</f>
        <v/>
      </c>
      <c r="D2390" s="15" t="n"/>
      <c r="E2390" s="16" t="n"/>
      <c r="F2390" s="18">
        <f>IF(OR(D2390="",E2390=""),"",D2390*E2390)</f>
        <v/>
      </c>
      <c r="G2390" s="15" t="n"/>
    </row>
    <row r="2391">
      <c r="A2391" s="19" t="n"/>
      <c r="B2391" s="15" t="n"/>
      <c r="C2391">
        <f>IF(B2391="","",IFERROR(INDEX(Items!$B$5:$B$304,MATCH(B2391,Items!$A$5:$A$304,0)),"Unknown code"))</f>
        <v/>
      </c>
      <c r="D2391" s="15" t="n"/>
      <c r="E2391" s="16" t="n"/>
      <c r="F2391" s="18">
        <f>IF(OR(D2391="",E2391=""),"",D2391*E2391)</f>
        <v/>
      </c>
      <c r="G2391" s="15" t="n"/>
    </row>
    <row r="2392">
      <c r="A2392" s="19" t="n"/>
      <c r="B2392" s="15" t="n"/>
      <c r="C2392">
        <f>IF(B2392="","",IFERROR(INDEX(Items!$B$5:$B$304,MATCH(B2392,Items!$A$5:$A$304,0)),"Unknown code"))</f>
        <v/>
      </c>
      <c r="D2392" s="15" t="n"/>
      <c r="E2392" s="16" t="n"/>
      <c r="F2392" s="18">
        <f>IF(OR(D2392="",E2392=""),"",D2392*E2392)</f>
        <v/>
      </c>
      <c r="G2392" s="15" t="n"/>
    </row>
    <row r="2393">
      <c r="A2393" s="19" t="n"/>
      <c r="B2393" s="15" t="n"/>
      <c r="C2393">
        <f>IF(B2393="","",IFERROR(INDEX(Items!$B$5:$B$304,MATCH(B2393,Items!$A$5:$A$304,0)),"Unknown code"))</f>
        <v/>
      </c>
      <c r="D2393" s="15" t="n"/>
      <c r="E2393" s="16" t="n"/>
      <c r="F2393" s="18">
        <f>IF(OR(D2393="",E2393=""),"",D2393*E2393)</f>
        <v/>
      </c>
      <c r="G2393" s="15" t="n"/>
    </row>
    <row r="2394">
      <c r="A2394" s="19" t="n"/>
      <c r="B2394" s="15" t="n"/>
      <c r="C2394">
        <f>IF(B2394="","",IFERROR(INDEX(Items!$B$5:$B$304,MATCH(B2394,Items!$A$5:$A$304,0)),"Unknown code"))</f>
        <v/>
      </c>
      <c r="D2394" s="15" t="n"/>
      <c r="E2394" s="16" t="n"/>
      <c r="F2394" s="18">
        <f>IF(OR(D2394="",E2394=""),"",D2394*E2394)</f>
        <v/>
      </c>
      <c r="G2394" s="15" t="n"/>
    </row>
    <row r="2395">
      <c r="A2395" s="19" t="n"/>
      <c r="B2395" s="15" t="n"/>
      <c r="C2395">
        <f>IF(B2395="","",IFERROR(INDEX(Items!$B$5:$B$304,MATCH(B2395,Items!$A$5:$A$304,0)),"Unknown code"))</f>
        <v/>
      </c>
      <c r="D2395" s="15" t="n"/>
      <c r="E2395" s="16" t="n"/>
      <c r="F2395" s="18">
        <f>IF(OR(D2395="",E2395=""),"",D2395*E2395)</f>
        <v/>
      </c>
      <c r="G2395" s="15" t="n"/>
    </row>
    <row r="2396">
      <c r="A2396" s="19" t="n"/>
      <c r="B2396" s="15" t="n"/>
      <c r="C2396">
        <f>IF(B2396="","",IFERROR(INDEX(Items!$B$5:$B$304,MATCH(B2396,Items!$A$5:$A$304,0)),"Unknown code"))</f>
        <v/>
      </c>
      <c r="D2396" s="15" t="n"/>
      <c r="E2396" s="16" t="n"/>
      <c r="F2396" s="18">
        <f>IF(OR(D2396="",E2396=""),"",D2396*E2396)</f>
        <v/>
      </c>
      <c r="G2396" s="15" t="n"/>
    </row>
    <row r="2397">
      <c r="A2397" s="19" t="n"/>
      <c r="B2397" s="15" t="n"/>
      <c r="C2397">
        <f>IF(B2397="","",IFERROR(INDEX(Items!$B$5:$B$304,MATCH(B2397,Items!$A$5:$A$304,0)),"Unknown code"))</f>
        <v/>
      </c>
      <c r="D2397" s="15" t="n"/>
      <c r="E2397" s="16" t="n"/>
      <c r="F2397" s="18">
        <f>IF(OR(D2397="",E2397=""),"",D2397*E2397)</f>
        <v/>
      </c>
      <c r="G2397" s="15" t="n"/>
    </row>
    <row r="2398">
      <c r="A2398" s="19" t="n"/>
      <c r="B2398" s="15" t="n"/>
      <c r="C2398">
        <f>IF(B2398="","",IFERROR(INDEX(Items!$B$5:$B$304,MATCH(B2398,Items!$A$5:$A$304,0)),"Unknown code"))</f>
        <v/>
      </c>
      <c r="D2398" s="15" t="n"/>
      <c r="E2398" s="16" t="n"/>
      <c r="F2398" s="18">
        <f>IF(OR(D2398="",E2398=""),"",D2398*E2398)</f>
        <v/>
      </c>
      <c r="G2398" s="15" t="n"/>
    </row>
    <row r="2399">
      <c r="A2399" s="19" t="n"/>
      <c r="B2399" s="15" t="n"/>
      <c r="C2399">
        <f>IF(B2399="","",IFERROR(INDEX(Items!$B$5:$B$304,MATCH(B2399,Items!$A$5:$A$304,0)),"Unknown code"))</f>
        <v/>
      </c>
      <c r="D2399" s="15" t="n"/>
      <c r="E2399" s="16" t="n"/>
      <c r="F2399" s="18">
        <f>IF(OR(D2399="",E2399=""),"",D2399*E2399)</f>
        <v/>
      </c>
      <c r="G2399" s="15" t="n"/>
    </row>
    <row r="2400">
      <c r="A2400" s="19" t="n"/>
      <c r="B2400" s="15" t="n"/>
      <c r="C2400">
        <f>IF(B2400="","",IFERROR(INDEX(Items!$B$5:$B$304,MATCH(B2400,Items!$A$5:$A$304,0)),"Unknown code"))</f>
        <v/>
      </c>
      <c r="D2400" s="15" t="n"/>
      <c r="E2400" s="16" t="n"/>
      <c r="F2400" s="18">
        <f>IF(OR(D2400="",E2400=""),"",D2400*E2400)</f>
        <v/>
      </c>
      <c r="G2400" s="15" t="n"/>
    </row>
    <row r="2401">
      <c r="A2401" s="19" t="n"/>
      <c r="B2401" s="15" t="n"/>
      <c r="C2401">
        <f>IF(B2401="","",IFERROR(INDEX(Items!$B$5:$B$304,MATCH(B2401,Items!$A$5:$A$304,0)),"Unknown code"))</f>
        <v/>
      </c>
      <c r="D2401" s="15" t="n"/>
      <c r="E2401" s="16" t="n"/>
      <c r="F2401" s="18">
        <f>IF(OR(D2401="",E2401=""),"",D2401*E2401)</f>
        <v/>
      </c>
      <c r="G2401" s="15" t="n"/>
    </row>
    <row r="2402">
      <c r="A2402" s="19" t="n"/>
      <c r="B2402" s="15" t="n"/>
      <c r="C2402">
        <f>IF(B2402="","",IFERROR(INDEX(Items!$B$5:$B$304,MATCH(B2402,Items!$A$5:$A$304,0)),"Unknown code"))</f>
        <v/>
      </c>
      <c r="D2402" s="15" t="n"/>
      <c r="E2402" s="16" t="n"/>
      <c r="F2402" s="18">
        <f>IF(OR(D2402="",E2402=""),"",D2402*E2402)</f>
        <v/>
      </c>
      <c r="G2402" s="15" t="n"/>
    </row>
    <row r="2403">
      <c r="A2403" s="19" t="n"/>
      <c r="B2403" s="15" t="n"/>
      <c r="C2403">
        <f>IF(B2403="","",IFERROR(INDEX(Items!$B$5:$B$304,MATCH(B2403,Items!$A$5:$A$304,0)),"Unknown code"))</f>
        <v/>
      </c>
      <c r="D2403" s="15" t="n"/>
      <c r="E2403" s="16" t="n"/>
      <c r="F2403" s="18">
        <f>IF(OR(D2403="",E2403=""),"",D2403*E2403)</f>
        <v/>
      </c>
      <c r="G2403" s="15" t="n"/>
    </row>
    <row r="2404">
      <c r="A2404" s="19" t="n"/>
      <c r="B2404" s="15" t="n"/>
      <c r="C2404">
        <f>IF(B2404="","",IFERROR(INDEX(Items!$B$5:$B$304,MATCH(B2404,Items!$A$5:$A$304,0)),"Unknown code"))</f>
        <v/>
      </c>
      <c r="D2404" s="15" t="n"/>
      <c r="E2404" s="16" t="n"/>
      <c r="F2404" s="18">
        <f>IF(OR(D2404="",E2404=""),"",D2404*E2404)</f>
        <v/>
      </c>
      <c r="G2404" s="15" t="n"/>
    </row>
    <row r="2405">
      <c r="A2405" s="19" t="n"/>
      <c r="B2405" s="15" t="n"/>
      <c r="C2405">
        <f>IF(B2405="","",IFERROR(INDEX(Items!$B$5:$B$304,MATCH(B2405,Items!$A$5:$A$304,0)),"Unknown code"))</f>
        <v/>
      </c>
      <c r="D2405" s="15" t="n"/>
      <c r="E2405" s="16" t="n"/>
      <c r="F2405" s="18">
        <f>IF(OR(D2405="",E2405=""),"",D2405*E2405)</f>
        <v/>
      </c>
      <c r="G2405" s="15" t="n"/>
    </row>
    <row r="2406">
      <c r="A2406" s="19" t="n"/>
      <c r="B2406" s="15" t="n"/>
      <c r="C2406">
        <f>IF(B2406="","",IFERROR(INDEX(Items!$B$5:$B$304,MATCH(B2406,Items!$A$5:$A$304,0)),"Unknown code"))</f>
        <v/>
      </c>
      <c r="D2406" s="15" t="n"/>
      <c r="E2406" s="16" t="n"/>
      <c r="F2406" s="18">
        <f>IF(OR(D2406="",E2406=""),"",D2406*E2406)</f>
        <v/>
      </c>
      <c r="G2406" s="15" t="n"/>
    </row>
    <row r="2407">
      <c r="A2407" s="19" t="n"/>
      <c r="B2407" s="15" t="n"/>
      <c r="C2407">
        <f>IF(B2407="","",IFERROR(INDEX(Items!$B$5:$B$304,MATCH(B2407,Items!$A$5:$A$304,0)),"Unknown code"))</f>
        <v/>
      </c>
      <c r="D2407" s="15" t="n"/>
      <c r="E2407" s="16" t="n"/>
      <c r="F2407" s="18">
        <f>IF(OR(D2407="",E2407=""),"",D2407*E2407)</f>
        <v/>
      </c>
      <c r="G2407" s="15" t="n"/>
    </row>
    <row r="2408">
      <c r="A2408" s="19" t="n"/>
      <c r="B2408" s="15" t="n"/>
      <c r="C2408">
        <f>IF(B2408="","",IFERROR(INDEX(Items!$B$5:$B$304,MATCH(B2408,Items!$A$5:$A$304,0)),"Unknown code"))</f>
        <v/>
      </c>
      <c r="D2408" s="15" t="n"/>
      <c r="E2408" s="16" t="n"/>
      <c r="F2408" s="18">
        <f>IF(OR(D2408="",E2408=""),"",D2408*E2408)</f>
        <v/>
      </c>
      <c r="G2408" s="15" t="n"/>
    </row>
    <row r="2409">
      <c r="A2409" s="19" t="n"/>
      <c r="B2409" s="15" t="n"/>
      <c r="C2409">
        <f>IF(B2409="","",IFERROR(INDEX(Items!$B$5:$B$304,MATCH(B2409,Items!$A$5:$A$304,0)),"Unknown code"))</f>
        <v/>
      </c>
      <c r="D2409" s="15" t="n"/>
      <c r="E2409" s="16" t="n"/>
      <c r="F2409" s="18">
        <f>IF(OR(D2409="",E2409=""),"",D2409*E2409)</f>
        <v/>
      </c>
      <c r="G2409" s="15" t="n"/>
    </row>
    <row r="2410">
      <c r="A2410" s="19" t="n"/>
      <c r="B2410" s="15" t="n"/>
      <c r="C2410">
        <f>IF(B2410="","",IFERROR(INDEX(Items!$B$5:$B$304,MATCH(B2410,Items!$A$5:$A$304,0)),"Unknown code"))</f>
        <v/>
      </c>
      <c r="D2410" s="15" t="n"/>
      <c r="E2410" s="16" t="n"/>
      <c r="F2410" s="18">
        <f>IF(OR(D2410="",E2410=""),"",D2410*E2410)</f>
        <v/>
      </c>
      <c r="G2410" s="15" t="n"/>
    </row>
    <row r="2411">
      <c r="A2411" s="19" t="n"/>
      <c r="B2411" s="15" t="n"/>
      <c r="C2411">
        <f>IF(B2411="","",IFERROR(INDEX(Items!$B$5:$B$304,MATCH(B2411,Items!$A$5:$A$304,0)),"Unknown code"))</f>
        <v/>
      </c>
      <c r="D2411" s="15" t="n"/>
      <c r="E2411" s="16" t="n"/>
      <c r="F2411" s="18">
        <f>IF(OR(D2411="",E2411=""),"",D2411*E2411)</f>
        <v/>
      </c>
      <c r="G2411" s="15" t="n"/>
    </row>
    <row r="2412">
      <c r="A2412" s="19" t="n"/>
      <c r="B2412" s="15" t="n"/>
      <c r="C2412">
        <f>IF(B2412="","",IFERROR(INDEX(Items!$B$5:$B$304,MATCH(B2412,Items!$A$5:$A$304,0)),"Unknown code"))</f>
        <v/>
      </c>
      <c r="D2412" s="15" t="n"/>
      <c r="E2412" s="16" t="n"/>
      <c r="F2412" s="18">
        <f>IF(OR(D2412="",E2412=""),"",D2412*E2412)</f>
        <v/>
      </c>
      <c r="G2412" s="15" t="n"/>
    </row>
    <row r="2413">
      <c r="A2413" s="19" t="n"/>
      <c r="B2413" s="15" t="n"/>
      <c r="C2413">
        <f>IF(B2413="","",IFERROR(INDEX(Items!$B$5:$B$304,MATCH(B2413,Items!$A$5:$A$304,0)),"Unknown code"))</f>
        <v/>
      </c>
      <c r="D2413" s="15" t="n"/>
      <c r="E2413" s="16" t="n"/>
      <c r="F2413" s="18">
        <f>IF(OR(D2413="",E2413=""),"",D2413*E2413)</f>
        <v/>
      </c>
      <c r="G2413" s="15" t="n"/>
    </row>
    <row r="2414">
      <c r="A2414" s="19" t="n"/>
      <c r="B2414" s="15" t="n"/>
      <c r="C2414">
        <f>IF(B2414="","",IFERROR(INDEX(Items!$B$5:$B$304,MATCH(B2414,Items!$A$5:$A$304,0)),"Unknown code"))</f>
        <v/>
      </c>
      <c r="D2414" s="15" t="n"/>
      <c r="E2414" s="16" t="n"/>
      <c r="F2414" s="18">
        <f>IF(OR(D2414="",E2414=""),"",D2414*E2414)</f>
        <v/>
      </c>
      <c r="G2414" s="15" t="n"/>
    </row>
    <row r="2415">
      <c r="A2415" s="19" t="n"/>
      <c r="B2415" s="15" t="n"/>
      <c r="C2415">
        <f>IF(B2415="","",IFERROR(INDEX(Items!$B$5:$B$304,MATCH(B2415,Items!$A$5:$A$304,0)),"Unknown code"))</f>
        <v/>
      </c>
      <c r="D2415" s="15" t="n"/>
      <c r="E2415" s="16" t="n"/>
      <c r="F2415" s="18">
        <f>IF(OR(D2415="",E2415=""),"",D2415*E2415)</f>
        <v/>
      </c>
      <c r="G2415" s="15" t="n"/>
    </row>
    <row r="2416">
      <c r="A2416" s="19" t="n"/>
      <c r="B2416" s="15" t="n"/>
      <c r="C2416">
        <f>IF(B2416="","",IFERROR(INDEX(Items!$B$5:$B$304,MATCH(B2416,Items!$A$5:$A$304,0)),"Unknown code"))</f>
        <v/>
      </c>
      <c r="D2416" s="15" t="n"/>
      <c r="E2416" s="16" t="n"/>
      <c r="F2416" s="18">
        <f>IF(OR(D2416="",E2416=""),"",D2416*E2416)</f>
        <v/>
      </c>
      <c r="G2416" s="15" t="n"/>
    </row>
    <row r="2417">
      <c r="A2417" s="19" t="n"/>
      <c r="B2417" s="15" t="n"/>
      <c r="C2417">
        <f>IF(B2417="","",IFERROR(INDEX(Items!$B$5:$B$304,MATCH(B2417,Items!$A$5:$A$304,0)),"Unknown code"))</f>
        <v/>
      </c>
      <c r="D2417" s="15" t="n"/>
      <c r="E2417" s="16" t="n"/>
      <c r="F2417" s="18">
        <f>IF(OR(D2417="",E2417=""),"",D2417*E2417)</f>
        <v/>
      </c>
      <c r="G2417" s="15" t="n"/>
    </row>
    <row r="2418">
      <c r="A2418" s="19" t="n"/>
      <c r="B2418" s="15" t="n"/>
      <c r="C2418">
        <f>IF(B2418="","",IFERROR(INDEX(Items!$B$5:$B$304,MATCH(B2418,Items!$A$5:$A$304,0)),"Unknown code"))</f>
        <v/>
      </c>
      <c r="D2418" s="15" t="n"/>
      <c r="E2418" s="16" t="n"/>
      <c r="F2418" s="18">
        <f>IF(OR(D2418="",E2418=""),"",D2418*E2418)</f>
        <v/>
      </c>
      <c r="G2418" s="15" t="n"/>
    </row>
    <row r="2419">
      <c r="A2419" s="19" t="n"/>
      <c r="B2419" s="15" t="n"/>
      <c r="C2419">
        <f>IF(B2419="","",IFERROR(INDEX(Items!$B$5:$B$304,MATCH(B2419,Items!$A$5:$A$304,0)),"Unknown code"))</f>
        <v/>
      </c>
      <c r="D2419" s="15" t="n"/>
      <c r="E2419" s="16" t="n"/>
      <c r="F2419" s="18">
        <f>IF(OR(D2419="",E2419=""),"",D2419*E2419)</f>
        <v/>
      </c>
      <c r="G2419" s="15" t="n"/>
    </row>
    <row r="2420">
      <c r="A2420" s="19" t="n"/>
      <c r="B2420" s="15" t="n"/>
      <c r="C2420">
        <f>IF(B2420="","",IFERROR(INDEX(Items!$B$5:$B$304,MATCH(B2420,Items!$A$5:$A$304,0)),"Unknown code"))</f>
        <v/>
      </c>
      <c r="D2420" s="15" t="n"/>
      <c r="E2420" s="16" t="n"/>
      <c r="F2420" s="18">
        <f>IF(OR(D2420="",E2420=""),"",D2420*E2420)</f>
        <v/>
      </c>
      <c r="G2420" s="15" t="n"/>
    </row>
    <row r="2421">
      <c r="A2421" s="19" t="n"/>
      <c r="B2421" s="15" t="n"/>
      <c r="C2421">
        <f>IF(B2421="","",IFERROR(INDEX(Items!$B$5:$B$304,MATCH(B2421,Items!$A$5:$A$304,0)),"Unknown code"))</f>
        <v/>
      </c>
      <c r="D2421" s="15" t="n"/>
      <c r="E2421" s="16" t="n"/>
      <c r="F2421" s="18">
        <f>IF(OR(D2421="",E2421=""),"",D2421*E2421)</f>
        <v/>
      </c>
      <c r="G2421" s="15" t="n"/>
    </row>
    <row r="2422">
      <c r="A2422" s="19" t="n"/>
      <c r="B2422" s="15" t="n"/>
      <c r="C2422">
        <f>IF(B2422="","",IFERROR(INDEX(Items!$B$5:$B$304,MATCH(B2422,Items!$A$5:$A$304,0)),"Unknown code"))</f>
        <v/>
      </c>
      <c r="D2422" s="15" t="n"/>
      <c r="E2422" s="16" t="n"/>
      <c r="F2422" s="18">
        <f>IF(OR(D2422="",E2422=""),"",D2422*E2422)</f>
        <v/>
      </c>
      <c r="G2422" s="15" t="n"/>
    </row>
    <row r="2423">
      <c r="A2423" s="19" t="n"/>
      <c r="B2423" s="15" t="n"/>
      <c r="C2423">
        <f>IF(B2423="","",IFERROR(INDEX(Items!$B$5:$B$304,MATCH(B2423,Items!$A$5:$A$304,0)),"Unknown code"))</f>
        <v/>
      </c>
      <c r="D2423" s="15" t="n"/>
      <c r="E2423" s="16" t="n"/>
      <c r="F2423" s="18">
        <f>IF(OR(D2423="",E2423=""),"",D2423*E2423)</f>
        <v/>
      </c>
      <c r="G2423" s="15" t="n"/>
    </row>
    <row r="2424">
      <c r="A2424" s="19" t="n"/>
      <c r="B2424" s="15" t="n"/>
      <c r="C2424">
        <f>IF(B2424="","",IFERROR(INDEX(Items!$B$5:$B$304,MATCH(B2424,Items!$A$5:$A$304,0)),"Unknown code"))</f>
        <v/>
      </c>
      <c r="D2424" s="15" t="n"/>
      <c r="E2424" s="16" t="n"/>
      <c r="F2424" s="18">
        <f>IF(OR(D2424="",E2424=""),"",D2424*E2424)</f>
        <v/>
      </c>
      <c r="G2424" s="15" t="n"/>
    </row>
    <row r="2425">
      <c r="A2425" s="19" t="n"/>
      <c r="B2425" s="15" t="n"/>
      <c r="C2425">
        <f>IF(B2425="","",IFERROR(INDEX(Items!$B$5:$B$304,MATCH(B2425,Items!$A$5:$A$304,0)),"Unknown code"))</f>
        <v/>
      </c>
      <c r="D2425" s="15" t="n"/>
      <c r="E2425" s="16" t="n"/>
      <c r="F2425" s="18">
        <f>IF(OR(D2425="",E2425=""),"",D2425*E2425)</f>
        <v/>
      </c>
      <c r="G2425" s="15" t="n"/>
    </row>
    <row r="2426">
      <c r="A2426" s="19" t="n"/>
      <c r="B2426" s="15" t="n"/>
      <c r="C2426">
        <f>IF(B2426="","",IFERROR(INDEX(Items!$B$5:$B$304,MATCH(B2426,Items!$A$5:$A$304,0)),"Unknown code"))</f>
        <v/>
      </c>
      <c r="D2426" s="15" t="n"/>
      <c r="E2426" s="16" t="n"/>
      <c r="F2426" s="18">
        <f>IF(OR(D2426="",E2426=""),"",D2426*E2426)</f>
        <v/>
      </c>
      <c r="G2426" s="15" t="n"/>
    </row>
    <row r="2427">
      <c r="A2427" s="19" t="n"/>
      <c r="B2427" s="15" t="n"/>
      <c r="C2427">
        <f>IF(B2427="","",IFERROR(INDEX(Items!$B$5:$B$304,MATCH(B2427,Items!$A$5:$A$304,0)),"Unknown code"))</f>
        <v/>
      </c>
      <c r="D2427" s="15" t="n"/>
      <c r="E2427" s="16" t="n"/>
      <c r="F2427" s="18">
        <f>IF(OR(D2427="",E2427=""),"",D2427*E2427)</f>
        <v/>
      </c>
      <c r="G2427" s="15" t="n"/>
    </row>
    <row r="2428">
      <c r="A2428" s="19" t="n"/>
      <c r="B2428" s="15" t="n"/>
      <c r="C2428">
        <f>IF(B2428="","",IFERROR(INDEX(Items!$B$5:$B$304,MATCH(B2428,Items!$A$5:$A$304,0)),"Unknown code"))</f>
        <v/>
      </c>
      <c r="D2428" s="15" t="n"/>
      <c r="E2428" s="16" t="n"/>
      <c r="F2428" s="18">
        <f>IF(OR(D2428="",E2428=""),"",D2428*E2428)</f>
        <v/>
      </c>
      <c r="G2428" s="15" t="n"/>
    </row>
    <row r="2429">
      <c r="A2429" s="19" t="n"/>
      <c r="B2429" s="15" t="n"/>
      <c r="C2429">
        <f>IF(B2429="","",IFERROR(INDEX(Items!$B$5:$B$304,MATCH(B2429,Items!$A$5:$A$304,0)),"Unknown code"))</f>
        <v/>
      </c>
      <c r="D2429" s="15" t="n"/>
      <c r="E2429" s="16" t="n"/>
      <c r="F2429" s="18">
        <f>IF(OR(D2429="",E2429=""),"",D2429*E2429)</f>
        <v/>
      </c>
      <c r="G2429" s="15" t="n"/>
    </row>
    <row r="2430">
      <c r="A2430" s="19" t="n"/>
      <c r="B2430" s="15" t="n"/>
      <c r="C2430">
        <f>IF(B2430="","",IFERROR(INDEX(Items!$B$5:$B$304,MATCH(B2430,Items!$A$5:$A$304,0)),"Unknown code"))</f>
        <v/>
      </c>
      <c r="D2430" s="15" t="n"/>
      <c r="E2430" s="16" t="n"/>
      <c r="F2430" s="18">
        <f>IF(OR(D2430="",E2430=""),"",D2430*E2430)</f>
        <v/>
      </c>
      <c r="G2430" s="15" t="n"/>
    </row>
    <row r="2431">
      <c r="A2431" s="19" t="n"/>
      <c r="B2431" s="15" t="n"/>
      <c r="C2431">
        <f>IF(B2431="","",IFERROR(INDEX(Items!$B$5:$B$304,MATCH(B2431,Items!$A$5:$A$304,0)),"Unknown code"))</f>
        <v/>
      </c>
      <c r="D2431" s="15" t="n"/>
      <c r="E2431" s="16" t="n"/>
      <c r="F2431" s="18">
        <f>IF(OR(D2431="",E2431=""),"",D2431*E2431)</f>
        <v/>
      </c>
      <c r="G2431" s="15" t="n"/>
    </row>
    <row r="2432">
      <c r="A2432" s="19" t="n"/>
      <c r="B2432" s="15" t="n"/>
      <c r="C2432">
        <f>IF(B2432="","",IFERROR(INDEX(Items!$B$5:$B$304,MATCH(B2432,Items!$A$5:$A$304,0)),"Unknown code"))</f>
        <v/>
      </c>
      <c r="D2432" s="15" t="n"/>
      <c r="E2432" s="16" t="n"/>
      <c r="F2432" s="18">
        <f>IF(OR(D2432="",E2432=""),"",D2432*E2432)</f>
        <v/>
      </c>
      <c r="G2432" s="15" t="n"/>
    </row>
    <row r="2433">
      <c r="A2433" s="19" t="n"/>
      <c r="B2433" s="15" t="n"/>
      <c r="C2433">
        <f>IF(B2433="","",IFERROR(INDEX(Items!$B$5:$B$304,MATCH(B2433,Items!$A$5:$A$304,0)),"Unknown code"))</f>
        <v/>
      </c>
      <c r="D2433" s="15" t="n"/>
      <c r="E2433" s="16" t="n"/>
      <c r="F2433" s="18">
        <f>IF(OR(D2433="",E2433=""),"",D2433*E2433)</f>
        <v/>
      </c>
      <c r="G2433" s="15" t="n"/>
    </row>
    <row r="2434">
      <c r="A2434" s="19" t="n"/>
      <c r="B2434" s="15" t="n"/>
      <c r="C2434">
        <f>IF(B2434="","",IFERROR(INDEX(Items!$B$5:$B$304,MATCH(B2434,Items!$A$5:$A$304,0)),"Unknown code"))</f>
        <v/>
      </c>
      <c r="D2434" s="15" t="n"/>
      <c r="E2434" s="16" t="n"/>
      <c r="F2434" s="18">
        <f>IF(OR(D2434="",E2434=""),"",D2434*E2434)</f>
        <v/>
      </c>
      <c r="G2434" s="15" t="n"/>
    </row>
    <row r="2435">
      <c r="A2435" s="19" t="n"/>
      <c r="B2435" s="15" t="n"/>
      <c r="C2435">
        <f>IF(B2435="","",IFERROR(INDEX(Items!$B$5:$B$304,MATCH(B2435,Items!$A$5:$A$304,0)),"Unknown code"))</f>
        <v/>
      </c>
      <c r="D2435" s="15" t="n"/>
      <c r="E2435" s="16" t="n"/>
      <c r="F2435" s="18">
        <f>IF(OR(D2435="",E2435=""),"",D2435*E2435)</f>
        <v/>
      </c>
      <c r="G2435" s="15" t="n"/>
    </row>
    <row r="2436">
      <c r="A2436" s="19" t="n"/>
      <c r="B2436" s="15" t="n"/>
      <c r="C2436">
        <f>IF(B2436="","",IFERROR(INDEX(Items!$B$5:$B$304,MATCH(B2436,Items!$A$5:$A$304,0)),"Unknown code"))</f>
        <v/>
      </c>
      <c r="D2436" s="15" t="n"/>
      <c r="E2436" s="16" t="n"/>
      <c r="F2436" s="18">
        <f>IF(OR(D2436="",E2436=""),"",D2436*E2436)</f>
        <v/>
      </c>
      <c r="G2436" s="15" t="n"/>
    </row>
    <row r="2437">
      <c r="A2437" s="19" t="n"/>
      <c r="B2437" s="15" t="n"/>
      <c r="C2437">
        <f>IF(B2437="","",IFERROR(INDEX(Items!$B$5:$B$304,MATCH(B2437,Items!$A$5:$A$304,0)),"Unknown code"))</f>
        <v/>
      </c>
      <c r="D2437" s="15" t="n"/>
      <c r="E2437" s="16" t="n"/>
      <c r="F2437" s="18">
        <f>IF(OR(D2437="",E2437=""),"",D2437*E2437)</f>
        <v/>
      </c>
      <c r="G2437" s="15" t="n"/>
    </row>
    <row r="2438">
      <c r="A2438" s="19" t="n"/>
      <c r="B2438" s="15" t="n"/>
      <c r="C2438">
        <f>IF(B2438="","",IFERROR(INDEX(Items!$B$5:$B$304,MATCH(B2438,Items!$A$5:$A$304,0)),"Unknown code"))</f>
        <v/>
      </c>
      <c r="D2438" s="15" t="n"/>
      <c r="E2438" s="16" t="n"/>
      <c r="F2438" s="18">
        <f>IF(OR(D2438="",E2438=""),"",D2438*E2438)</f>
        <v/>
      </c>
      <c r="G2438" s="15" t="n"/>
    </row>
    <row r="2439">
      <c r="A2439" s="19" t="n"/>
      <c r="B2439" s="15" t="n"/>
      <c r="C2439">
        <f>IF(B2439="","",IFERROR(INDEX(Items!$B$5:$B$304,MATCH(B2439,Items!$A$5:$A$304,0)),"Unknown code"))</f>
        <v/>
      </c>
      <c r="D2439" s="15" t="n"/>
      <c r="E2439" s="16" t="n"/>
      <c r="F2439" s="18">
        <f>IF(OR(D2439="",E2439=""),"",D2439*E2439)</f>
        <v/>
      </c>
      <c r="G2439" s="15" t="n"/>
    </row>
    <row r="2440">
      <c r="A2440" s="19" t="n"/>
      <c r="B2440" s="15" t="n"/>
      <c r="C2440">
        <f>IF(B2440="","",IFERROR(INDEX(Items!$B$5:$B$304,MATCH(B2440,Items!$A$5:$A$304,0)),"Unknown code"))</f>
        <v/>
      </c>
      <c r="D2440" s="15" t="n"/>
      <c r="E2440" s="16" t="n"/>
      <c r="F2440" s="18">
        <f>IF(OR(D2440="",E2440=""),"",D2440*E2440)</f>
        <v/>
      </c>
      <c r="G2440" s="15" t="n"/>
    </row>
    <row r="2441">
      <c r="A2441" s="19" t="n"/>
      <c r="B2441" s="15" t="n"/>
      <c r="C2441">
        <f>IF(B2441="","",IFERROR(INDEX(Items!$B$5:$B$304,MATCH(B2441,Items!$A$5:$A$304,0)),"Unknown code"))</f>
        <v/>
      </c>
      <c r="D2441" s="15" t="n"/>
      <c r="E2441" s="16" t="n"/>
      <c r="F2441" s="18">
        <f>IF(OR(D2441="",E2441=""),"",D2441*E2441)</f>
        <v/>
      </c>
      <c r="G2441" s="15" t="n"/>
    </row>
    <row r="2442">
      <c r="A2442" s="19" t="n"/>
      <c r="B2442" s="15" t="n"/>
      <c r="C2442">
        <f>IF(B2442="","",IFERROR(INDEX(Items!$B$5:$B$304,MATCH(B2442,Items!$A$5:$A$304,0)),"Unknown code"))</f>
        <v/>
      </c>
      <c r="D2442" s="15" t="n"/>
      <c r="E2442" s="16" t="n"/>
      <c r="F2442" s="18">
        <f>IF(OR(D2442="",E2442=""),"",D2442*E2442)</f>
        <v/>
      </c>
      <c r="G2442" s="15" t="n"/>
    </row>
    <row r="2443">
      <c r="A2443" s="19" t="n"/>
      <c r="B2443" s="15" t="n"/>
      <c r="C2443">
        <f>IF(B2443="","",IFERROR(INDEX(Items!$B$5:$B$304,MATCH(B2443,Items!$A$5:$A$304,0)),"Unknown code"))</f>
        <v/>
      </c>
      <c r="D2443" s="15" t="n"/>
      <c r="E2443" s="16" t="n"/>
      <c r="F2443" s="18">
        <f>IF(OR(D2443="",E2443=""),"",D2443*E2443)</f>
        <v/>
      </c>
      <c r="G2443" s="15" t="n"/>
    </row>
    <row r="2444">
      <c r="A2444" s="19" t="n"/>
      <c r="B2444" s="15" t="n"/>
      <c r="C2444">
        <f>IF(B2444="","",IFERROR(INDEX(Items!$B$5:$B$304,MATCH(B2444,Items!$A$5:$A$304,0)),"Unknown code"))</f>
        <v/>
      </c>
      <c r="D2444" s="15" t="n"/>
      <c r="E2444" s="16" t="n"/>
      <c r="F2444" s="18">
        <f>IF(OR(D2444="",E2444=""),"",D2444*E2444)</f>
        <v/>
      </c>
      <c r="G2444" s="15" t="n"/>
    </row>
    <row r="2445">
      <c r="A2445" s="19" t="n"/>
      <c r="B2445" s="15" t="n"/>
      <c r="C2445">
        <f>IF(B2445="","",IFERROR(INDEX(Items!$B$5:$B$304,MATCH(B2445,Items!$A$5:$A$304,0)),"Unknown code"))</f>
        <v/>
      </c>
      <c r="D2445" s="15" t="n"/>
      <c r="E2445" s="16" t="n"/>
      <c r="F2445" s="18">
        <f>IF(OR(D2445="",E2445=""),"",D2445*E2445)</f>
        <v/>
      </c>
      <c r="G2445" s="15" t="n"/>
    </row>
    <row r="2446">
      <c r="A2446" s="19" t="n"/>
      <c r="B2446" s="15" t="n"/>
      <c r="C2446">
        <f>IF(B2446="","",IFERROR(INDEX(Items!$B$5:$B$304,MATCH(B2446,Items!$A$5:$A$304,0)),"Unknown code"))</f>
        <v/>
      </c>
      <c r="D2446" s="15" t="n"/>
      <c r="E2446" s="16" t="n"/>
      <c r="F2446" s="18">
        <f>IF(OR(D2446="",E2446=""),"",D2446*E2446)</f>
        <v/>
      </c>
      <c r="G2446" s="15" t="n"/>
    </row>
    <row r="2447">
      <c r="A2447" s="19" t="n"/>
      <c r="B2447" s="15" t="n"/>
      <c r="C2447">
        <f>IF(B2447="","",IFERROR(INDEX(Items!$B$5:$B$304,MATCH(B2447,Items!$A$5:$A$304,0)),"Unknown code"))</f>
        <v/>
      </c>
      <c r="D2447" s="15" t="n"/>
      <c r="E2447" s="16" t="n"/>
      <c r="F2447" s="18">
        <f>IF(OR(D2447="",E2447=""),"",D2447*E2447)</f>
        <v/>
      </c>
      <c r="G2447" s="15" t="n"/>
    </row>
    <row r="2448">
      <c r="A2448" s="19" t="n"/>
      <c r="B2448" s="15" t="n"/>
      <c r="C2448">
        <f>IF(B2448="","",IFERROR(INDEX(Items!$B$5:$B$304,MATCH(B2448,Items!$A$5:$A$304,0)),"Unknown code"))</f>
        <v/>
      </c>
      <c r="D2448" s="15" t="n"/>
      <c r="E2448" s="16" t="n"/>
      <c r="F2448" s="18">
        <f>IF(OR(D2448="",E2448=""),"",D2448*E2448)</f>
        <v/>
      </c>
      <c r="G2448" s="15" t="n"/>
    </row>
    <row r="2449">
      <c r="A2449" s="19" t="n"/>
      <c r="B2449" s="15" t="n"/>
      <c r="C2449">
        <f>IF(B2449="","",IFERROR(INDEX(Items!$B$5:$B$304,MATCH(B2449,Items!$A$5:$A$304,0)),"Unknown code"))</f>
        <v/>
      </c>
      <c r="D2449" s="15" t="n"/>
      <c r="E2449" s="16" t="n"/>
      <c r="F2449" s="18">
        <f>IF(OR(D2449="",E2449=""),"",D2449*E2449)</f>
        <v/>
      </c>
      <c r="G2449" s="15" t="n"/>
    </row>
    <row r="2450">
      <c r="A2450" s="19" t="n"/>
      <c r="B2450" s="15" t="n"/>
      <c r="C2450">
        <f>IF(B2450="","",IFERROR(INDEX(Items!$B$5:$B$304,MATCH(B2450,Items!$A$5:$A$304,0)),"Unknown code"))</f>
        <v/>
      </c>
      <c r="D2450" s="15" t="n"/>
      <c r="E2450" s="16" t="n"/>
      <c r="F2450" s="18">
        <f>IF(OR(D2450="",E2450=""),"",D2450*E2450)</f>
        <v/>
      </c>
      <c r="G2450" s="15" t="n"/>
    </row>
    <row r="2451">
      <c r="A2451" s="19" t="n"/>
      <c r="B2451" s="15" t="n"/>
      <c r="C2451">
        <f>IF(B2451="","",IFERROR(INDEX(Items!$B$5:$B$304,MATCH(B2451,Items!$A$5:$A$304,0)),"Unknown code"))</f>
        <v/>
      </c>
      <c r="D2451" s="15" t="n"/>
      <c r="E2451" s="16" t="n"/>
      <c r="F2451" s="18">
        <f>IF(OR(D2451="",E2451=""),"",D2451*E2451)</f>
        <v/>
      </c>
      <c r="G2451" s="15" t="n"/>
    </row>
    <row r="2452">
      <c r="A2452" s="19" t="n"/>
      <c r="B2452" s="15" t="n"/>
      <c r="C2452">
        <f>IF(B2452="","",IFERROR(INDEX(Items!$B$5:$B$304,MATCH(B2452,Items!$A$5:$A$304,0)),"Unknown code"))</f>
        <v/>
      </c>
      <c r="D2452" s="15" t="n"/>
      <c r="E2452" s="16" t="n"/>
      <c r="F2452" s="18">
        <f>IF(OR(D2452="",E2452=""),"",D2452*E2452)</f>
        <v/>
      </c>
      <c r="G2452" s="15" t="n"/>
    </row>
    <row r="2453">
      <c r="A2453" s="19" t="n"/>
      <c r="B2453" s="15" t="n"/>
      <c r="C2453">
        <f>IF(B2453="","",IFERROR(INDEX(Items!$B$5:$B$304,MATCH(B2453,Items!$A$5:$A$304,0)),"Unknown code"))</f>
        <v/>
      </c>
      <c r="D2453" s="15" t="n"/>
      <c r="E2453" s="16" t="n"/>
      <c r="F2453" s="18">
        <f>IF(OR(D2453="",E2453=""),"",D2453*E2453)</f>
        <v/>
      </c>
      <c r="G2453" s="15" t="n"/>
    </row>
    <row r="2454">
      <c r="A2454" s="19" t="n"/>
      <c r="B2454" s="15" t="n"/>
      <c r="C2454">
        <f>IF(B2454="","",IFERROR(INDEX(Items!$B$5:$B$304,MATCH(B2454,Items!$A$5:$A$304,0)),"Unknown code"))</f>
        <v/>
      </c>
      <c r="D2454" s="15" t="n"/>
      <c r="E2454" s="16" t="n"/>
      <c r="F2454" s="18">
        <f>IF(OR(D2454="",E2454=""),"",D2454*E2454)</f>
        <v/>
      </c>
      <c r="G2454" s="15" t="n"/>
    </row>
    <row r="2455">
      <c r="A2455" s="19" t="n"/>
      <c r="B2455" s="15" t="n"/>
      <c r="C2455">
        <f>IF(B2455="","",IFERROR(INDEX(Items!$B$5:$B$304,MATCH(B2455,Items!$A$5:$A$304,0)),"Unknown code"))</f>
        <v/>
      </c>
      <c r="D2455" s="15" t="n"/>
      <c r="E2455" s="16" t="n"/>
      <c r="F2455" s="18">
        <f>IF(OR(D2455="",E2455=""),"",D2455*E2455)</f>
        <v/>
      </c>
      <c r="G2455" s="15" t="n"/>
    </row>
    <row r="2456">
      <c r="A2456" s="19" t="n"/>
      <c r="B2456" s="15" t="n"/>
      <c r="C2456">
        <f>IF(B2456="","",IFERROR(INDEX(Items!$B$5:$B$304,MATCH(B2456,Items!$A$5:$A$304,0)),"Unknown code"))</f>
        <v/>
      </c>
      <c r="D2456" s="15" t="n"/>
      <c r="E2456" s="16" t="n"/>
      <c r="F2456" s="18">
        <f>IF(OR(D2456="",E2456=""),"",D2456*E2456)</f>
        <v/>
      </c>
      <c r="G2456" s="15" t="n"/>
    </row>
    <row r="2457">
      <c r="A2457" s="19" t="n"/>
      <c r="B2457" s="15" t="n"/>
      <c r="C2457">
        <f>IF(B2457="","",IFERROR(INDEX(Items!$B$5:$B$304,MATCH(B2457,Items!$A$5:$A$304,0)),"Unknown code"))</f>
        <v/>
      </c>
      <c r="D2457" s="15" t="n"/>
      <c r="E2457" s="16" t="n"/>
      <c r="F2457" s="18">
        <f>IF(OR(D2457="",E2457=""),"",D2457*E2457)</f>
        <v/>
      </c>
      <c r="G2457" s="15" t="n"/>
    </row>
    <row r="2458">
      <c r="A2458" s="19" t="n"/>
      <c r="B2458" s="15" t="n"/>
      <c r="C2458">
        <f>IF(B2458="","",IFERROR(INDEX(Items!$B$5:$B$304,MATCH(B2458,Items!$A$5:$A$304,0)),"Unknown code"))</f>
        <v/>
      </c>
      <c r="D2458" s="15" t="n"/>
      <c r="E2458" s="16" t="n"/>
      <c r="F2458" s="18">
        <f>IF(OR(D2458="",E2458=""),"",D2458*E2458)</f>
        <v/>
      </c>
      <c r="G2458" s="15" t="n"/>
    </row>
    <row r="2459">
      <c r="A2459" s="19" t="n"/>
      <c r="B2459" s="15" t="n"/>
      <c r="C2459">
        <f>IF(B2459="","",IFERROR(INDEX(Items!$B$5:$B$304,MATCH(B2459,Items!$A$5:$A$304,0)),"Unknown code"))</f>
        <v/>
      </c>
      <c r="D2459" s="15" t="n"/>
      <c r="E2459" s="16" t="n"/>
      <c r="F2459" s="18">
        <f>IF(OR(D2459="",E2459=""),"",D2459*E2459)</f>
        <v/>
      </c>
      <c r="G2459" s="15" t="n"/>
    </row>
    <row r="2460">
      <c r="A2460" s="19" t="n"/>
      <c r="B2460" s="15" t="n"/>
      <c r="C2460">
        <f>IF(B2460="","",IFERROR(INDEX(Items!$B$5:$B$304,MATCH(B2460,Items!$A$5:$A$304,0)),"Unknown code"))</f>
        <v/>
      </c>
      <c r="D2460" s="15" t="n"/>
      <c r="E2460" s="16" t="n"/>
      <c r="F2460" s="18">
        <f>IF(OR(D2460="",E2460=""),"",D2460*E2460)</f>
        <v/>
      </c>
      <c r="G2460" s="15" t="n"/>
    </row>
    <row r="2461">
      <c r="A2461" s="19" t="n"/>
      <c r="B2461" s="15" t="n"/>
      <c r="C2461">
        <f>IF(B2461="","",IFERROR(INDEX(Items!$B$5:$B$304,MATCH(B2461,Items!$A$5:$A$304,0)),"Unknown code"))</f>
        <v/>
      </c>
      <c r="D2461" s="15" t="n"/>
      <c r="E2461" s="16" t="n"/>
      <c r="F2461" s="18">
        <f>IF(OR(D2461="",E2461=""),"",D2461*E2461)</f>
        <v/>
      </c>
      <c r="G2461" s="15" t="n"/>
    </row>
    <row r="2462">
      <c r="A2462" s="19" t="n"/>
      <c r="B2462" s="15" t="n"/>
      <c r="C2462">
        <f>IF(B2462="","",IFERROR(INDEX(Items!$B$5:$B$304,MATCH(B2462,Items!$A$5:$A$304,0)),"Unknown code"))</f>
        <v/>
      </c>
      <c r="D2462" s="15" t="n"/>
      <c r="E2462" s="16" t="n"/>
      <c r="F2462" s="18">
        <f>IF(OR(D2462="",E2462=""),"",D2462*E2462)</f>
        <v/>
      </c>
      <c r="G2462" s="15" t="n"/>
    </row>
    <row r="2463">
      <c r="A2463" s="19" t="n"/>
      <c r="B2463" s="15" t="n"/>
      <c r="C2463">
        <f>IF(B2463="","",IFERROR(INDEX(Items!$B$5:$B$304,MATCH(B2463,Items!$A$5:$A$304,0)),"Unknown code"))</f>
        <v/>
      </c>
      <c r="D2463" s="15" t="n"/>
      <c r="E2463" s="16" t="n"/>
      <c r="F2463" s="18">
        <f>IF(OR(D2463="",E2463=""),"",D2463*E2463)</f>
        <v/>
      </c>
      <c r="G2463" s="15" t="n"/>
    </row>
    <row r="2464">
      <c r="A2464" s="19" t="n"/>
      <c r="B2464" s="15" t="n"/>
      <c r="C2464">
        <f>IF(B2464="","",IFERROR(INDEX(Items!$B$5:$B$304,MATCH(B2464,Items!$A$5:$A$304,0)),"Unknown code"))</f>
        <v/>
      </c>
      <c r="D2464" s="15" t="n"/>
      <c r="E2464" s="16" t="n"/>
      <c r="F2464" s="18">
        <f>IF(OR(D2464="",E2464=""),"",D2464*E2464)</f>
        <v/>
      </c>
      <c r="G2464" s="15" t="n"/>
    </row>
    <row r="2465">
      <c r="A2465" s="19" t="n"/>
      <c r="B2465" s="15" t="n"/>
      <c r="C2465">
        <f>IF(B2465="","",IFERROR(INDEX(Items!$B$5:$B$304,MATCH(B2465,Items!$A$5:$A$304,0)),"Unknown code"))</f>
        <v/>
      </c>
      <c r="D2465" s="15" t="n"/>
      <c r="E2465" s="16" t="n"/>
      <c r="F2465" s="18">
        <f>IF(OR(D2465="",E2465=""),"",D2465*E2465)</f>
        <v/>
      </c>
      <c r="G2465" s="15" t="n"/>
    </row>
    <row r="2466">
      <c r="A2466" s="19" t="n"/>
      <c r="B2466" s="15" t="n"/>
      <c r="C2466">
        <f>IF(B2466="","",IFERROR(INDEX(Items!$B$5:$B$304,MATCH(B2466,Items!$A$5:$A$304,0)),"Unknown code"))</f>
        <v/>
      </c>
      <c r="D2466" s="15" t="n"/>
      <c r="E2466" s="16" t="n"/>
      <c r="F2466" s="18">
        <f>IF(OR(D2466="",E2466=""),"",D2466*E2466)</f>
        <v/>
      </c>
      <c r="G2466" s="15" t="n"/>
    </row>
    <row r="2467">
      <c r="A2467" s="19" t="n"/>
      <c r="B2467" s="15" t="n"/>
      <c r="C2467">
        <f>IF(B2467="","",IFERROR(INDEX(Items!$B$5:$B$304,MATCH(B2467,Items!$A$5:$A$304,0)),"Unknown code"))</f>
        <v/>
      </c>
      <c r="D2467" s="15" t="n"/>
      <c r="E2467" s="16" t="n"/>
      <c r="F2467" s="18">
        <f>IF(OR(D2467="",E2467=""),"",D2467*E2467)</f>
        <v/>
      </c>
      <c r="G2467" s="15" t="n"/>
    </row>
    <row r="2468">
      <c r="A2468" s="19" t="n"/>
      <c r="B2468" s="15" t="n"/>
      <c r="C2468">
        <f>IF(B2468="","",IFERROR(INDEX(Items!$B$5:$B$304,MATCH(B2468,Items!$A$5:$A$304,0)),"Unknown code"))</f>
        <v/>
      </c>
      <c r="D2468" s="15" t="n"/>
      <c r="E2468" s="16" t="n"/>
      <c r="F2468" s="18">
        <f>IF(OR(D2468="",E2468=""),"",D2468*E2468)</f>
        <v/>
      </c>
      <c r="G2468" s="15" t="n"/>
    </row>
    <row r="2469">
      <c r="A2469" s="19" t="n"/>
      <c r="B2469" s="15" t="n"/>
      <c r="C2469">
        <f>IF(B2469="","",IFERROR(INDEX(Items!$B$5:$B$304,MATCH(B2469,Items!$A$5:$A$304,0)),"Unknown code"))</f>
        <v/>
      </c>
      <c r="D2469" s="15" t="n"/>
      <c r="E2469" s="16" t="n"/>
      <c r="F2469" s="18">
        <f>IF(OR(D2469="",E2469=""),"",D2469*E2469)</f>
        <v/>
      </c>
      <c r="G2469" s="15" t="n"/>
    </row>
    <row r="2470">
      <c r="A2470" s="19" t="n"/>
      <c r="B2470" s="15" t="n"/>
      <c r="C2470">
        <f>IF(B2470="","",IFERROR(INDEX(Items!$B$5:$B$304,MATCH(B2470,Items!$A$5:$A$304,0)),"Unknown code"))</f>
        <v/>
      </c>
      <c r="D2470" s="15" t="n"/>
      <c r="E2470" s="16" t="n"/>
      <c r="F2470" s="18">
        <f>IF(OR(D2470="",E2470=""),"",D2470*E2470)</f>
        <v/>
      </c>
      <c r="G2470" s="15" t="n"/>
    </row>
    <row r="2471">
      <c r="A2471" s="19" t="n"/>
      <c r="B2471" s="15" t="n"/>
      <c r="C2471">
        <f>IF(B2471="","",IFERROR(INDEX(Items!$B$5:$B$304,MATCH(B2471,Items!$A$5:$A$304,0)),"Unknown code"))</f>
        <v/>
      </c>
      <c r="D2471" s="15" t="n"/>
      <c r="E2471" s="16" t="n"/>
      <c r="F2471" s="18">
        <f>IF(OR(D2471="",E2471=""),"",D2471*E2471)</f>
        <v/>
      </c>
      <c r="G2471" s="15" t="n"/>
    </row>
    <row r="2472">
      <c r="A2472" s="19" t="n"/>
      <c r="B2472" s="15" t="n"/>
      <c r="C2472">
        <f>IF(B2472="","",IFERROR(INDEX(Items!$B$5:$B$304,MATCH(B2472,Items!$A$5:$A$304,0)),"Unknown code"))</f>
        <v/>
      </c>
      <c r="D2472" s="15" t="n"/>
      <c r="E2472" s="16" t="n"/>
      <c r="F2472" s="18">
        <f>IF(OR(D2472="",E2472=""),"",D2472*E2472)</f>
        <v/>
      </c>
      <c r="G2472" s="15" t="n"/>
    </row>
    <row r="2473">
      <c r="A2473" s="19" t="n"/>
      <c r="B2473" s="15" t="n"/>
      <c r="C2473">
        <f>IF(B2473="","",IFERROR(INDEX(Items!$B$5:$B$304,MATCH(B2473,Items!$A$5:$A$304,0)),"Unknown code"))</f>
        <v/>
      </c>
      <c r="D2473" s="15" t="n"/>
      <c r="E2473" s="16" t="n"/>
      <c r="F2473" s="18">
        <f>IF(OR(D2473="",E2473=""),"",D2473*E2473)</f>
        <v/>
      </c>
      <c r="G2473" s="15" t="n"/>
    </row>
    <row r="2474">
      <c r="A2474" s="19" t="n"/>
      <c r="B2474" s="15" t="n"/>
      <c r="C2474">
        <f>IF(B2474="","",IFERROR(INDEX(Items!$B$5:$B$304,MATCH(B2474,Items!$A$5:$A$304,0)),"Unknown code"))</f>
        <v/>
      </c>
      <c r="D2474" s="15" t="n"/>
      <c r="E2474" s="16" t="n"/>
      <c r="F2474" s="18">
        <f>IF(OR(D2474="",E2474=""),"",D2474*E2474)</f>
        <v/>
      </c>
      <c r="G2474" s="15" t="n"/>
    </row>
    <row r="2475">
      <c r="A2475" s="19" t="n"/>
      <c r="B2475" s="15" t="n"/>
      <c r="C2475">
        <f>IF(B2475="","",IFERROR(INDEX(Items!$B$5:$B$304,MATCH(B2475,Items!$A$5:$A$304,0)),"Unknown code"))</f>
        <v/>
      </c>
      <c r="D2475" s="15" t="n"/>
      <c r="E2475" s="16" t="n"/>
      <c r="F2475" s="18">
        <f>IF(OR(D2475="",E2475=""),"",D2475*E2475)</f>
        <v/>
      </c>
      <c r="G2475" s="15" t="n"/>
    </row>
    <row r="2476">
      <c r="A2476" s="19" t="n"/>
      <c r="B2476" s="15" t="n"/>
      <c r="C2476">
        <f>IF(B2476="","",IFERROR(INDEX(Items!$B$5:$B$304,MATCH(B2476,Items!$A$5:$A$304,0)),"Unknown code"))</f>
        <v/>
      </c>
      <c r="D2476" s="15" t="n"/>
      <c r="E2476" s="16" t="n"/>
      <c r="F2476" s="18">
        <f>IF(OR(D2476="",E2476=""),"",D2476*E2476)</f>
        <v/>
      </c>
      <c r="G2476" s="15" t="n"/>
    </row>
    <row r="2477">
      <c r="A2477" s="19" t="n"/>
      <c r="B2477" s="15" t="n"/>
      <c r="C2477">
        <f>IF(B2477="","",IFERROR(INDEX(Items!$B$5:$B$304,MATCH(B2477,Items!$A$5:$A$304,0)),"Unknown code"))</f>
        <v/>
      </c>
      <c r="D2477" s="15" t="n"/>
      <c r="E2477" s="16" t="n"/>
      <c r="F2477" s="18">
        <f>IF(OR(D2477="",E2477=""),"",D2477*E2477)</f>
        <v/>
      </c>
      <c r="G2477" s="15" t="n"/>
    </row>
    <row r="2478">
      <c r="A2478" s="19" t="n"/>
      <c r="B2478" s="15" t="n"/>
      <c r="C2478">
        <f>IF(B2478="","",IFERROR(INDEX(Items!$B$5:$B$304,MATCH(B2478,Items!$A$5:$A$304,0)),"Unknown code"))</f>
        <v/>
      </c>
      <c r="D2478" s="15" t="n"/>
      <c r="E2478" s="16" t="n"/>
      <c r="F2478" s="18">
        <f>IF(OR(D2478="",E2478=""),"",D2478*E2478)</f>
        <v/>
      </c>
      <c r="G2478" s="15" t="n"/>
    </row>
    <row r="2479">
      <c r="A2479" s="19" t="n"/>
      <c r="B2479" s="15" t="n"/>
      <c r="C2479">
        <f>IF(B2479="","",IFERROR(INDEX(Items!$B$5:$B$304,MATCH(B2479,Items!$A$5:$A$304,0)),"Unknown code"))</f>
        <v/>
      </c>
      <c r="D2479" s="15" t="n"/>
      <c r="E2479" s="16" t="n"/>
      <c r="F2479" s="18">
        <f>IF(OR(D2479="",E2479=""),"",D2479*E2479)</f>
        <v/>
      </c>
      <c r="G2479" s="15" t="n"/>
    </row>
    <row r="2480">
      <c r="A2480" s="19" t="n"/>
      <c r="B2480" s="15" t="n"/>
      <c r="C2480">
        <f>IF(B2480="","",IFERROR(INDEX(Items!$B$5:$B$304,MATCH(B2480,Items!$A$5:$A$304,0)),"Unknown code"))</f>
        <v/>
      </c>
      <c r="D2480" s="15" t="n"/>
      <c r="E2480" s="16" t="n"/>
      <c r="F2480" s="18">
        <f>IF(OR(D2480="",E2480=""),"",D2480*E2480)</f>
        <v/>
      </c>
      <c r="G2480" s="15" t="n"/>
    </row>
    <row r="2481">
      <c r="A2481" s="19" t="n"/>
      <c r="B2481" s="15" t="n"/>
      <c r="C2481">
        <f>IF(B2481="","",IFERROR(INDEX(Items!$B$5:$B$304,MATCH(B2481,Items!$A$5:$A$304,0)),"Unknown code"))</f>
        <v/>
      </c>
      <c r="D2481" s="15" t="n"/>
      <c r="E2481" s="16" t="n"/>
      <c r="F2481" s="18">
        <f>IF(OR(D2481="",E2481=""),"",D2481*E2481)</f>
        <v/>
      </c>
      <c r="G2481" s="15" t="n"/>
    </row>
    <row r="2482">
      <c r="A2482" s="19" t="n"/>
      <c r="B2482" s="15" t="n"/>
      <c r="C2482">
        <f>IF(B2482="","",IFERROR(INDEX(Items!$B$5:$B$304,MATCH(B2482,Items!$A$5:$A$304,0)),"Unknown code"))</f>
        <v/>
      </c>
      <c r="D2482" s="15" t="n"/>
      <c r="E2482" s="16" t="n"/>
      <c r="F2482" s="18">
        <f>IF(OR(D2482="",E2482=""),"",D2482*E2482)</f>
        <v/>
      </c>
      <c r="G2482" s="15" t="n"/>
    </row>
    <row r="2483">
      <c r="A2483" s="19" t="n"/>
      <c r="B2483" s="15" t="n"/>
      <c r="C2483">
        <f>IF(B2483="","",IFERROR(INDEX(Items!$B$5:$B$304,MATCH(B2483,Items!$A$5:$A$304,0)),"Unknown code"))</f>
        <v/>
      </c>
      <c r="D2483" s="15" t="n"/>
      <c r="E2483" s="16" t="n"/>
      <c r="F2483" s="18">
        <f>IF(OR(D2483="",E2483=""),"",D2483*E2483)</f>
        <v/>
      </c>
      <c r="G2483" s="15" t="n"/>
    </row>
    <row r="2484">
      <c r="A2484" s="19" t="n"/>
      <c r="B2484" s="15" t="n"/>
      <c r="C2484">
        <f>IF(B2484="","",IFERROR(INDEX(Items!$B$5:$B$304,MATCH(B2484,Items!$A$5:$A$304,0)),"Unknown code"))</f>
        <v/>
      </c>
      <c r="D2484" s="15" t="n"/>
      <c r="E2484" s="16" t="n"/>
      <c r="F2484" s="18">
        <f>IF(OR(D2484="",E2484=""),"",D2484*E2484)</f>
        <v/>
      </c>
      <c r="G2484" s="15" t="n"/>
    </row>
    <row r="2485">
      <c r="A2485" s="19" t="n"/>
      <c r="B2485" s="15" t="n"/>
      <c r="C2485">
        <f>IF(B2485="","",IFERROR(INDEX(Items!$B$5:$B$304,MATCH(B2485,Items!$A$5:$A$304,0)),"Unknown code"))</f>
        <v/>
      </c>
      <c r="D2485" s="15" t="n"/>
      <c r="E2485" s="16" t="n"/>
      <c r="F2485" s="18">
        <f>IF(OR(D2485="",E2485=""),"",D2485*E2485)</f>
        <v/>
      </c>
      <c r="G2485" s="15" t="n"/>
    </row>
    <row r="2486">
      <c r="A2486" s="19" t="n"/>
      <c r="B2486" s="15" t="n"/>
      <c r="C2486">
        <f>IF(B2486="","",IFERROR(INDEX(Items!$B$5:$B$304,MATCH(B2486,Items!$A$5:$A$304,0)),"Unknown code"))</f>
        <v/>
      </c>
      <c r="D2486" s="15" t="n"/>
      <c r="E2486" s="16" t="n"/>
      <c r="F2486" s="18">
        <f>IF(OR(D2486="",E2486=""),"",D2486*E2486)</f>
        <v/>
      </c>
      <c r="G2486" s="15" t="n"/>
    </row>
    <row r="2487">
      <c r="A2487" s="19" t="n"/>
      <c r="B2487" s="15" t="n"/>
      <c r="C2487">
        <f>IF(B2487="","",IFERROR(INDEX(Items!$B$5:$B$304,MATCH(B2487,Items!$A$5:$A$304,0)),"Unknown code"))</f>
        <v/>
      </c>
      <c r="D2487" s="15" t="n"/>
      <c r="E2487" s="16" t="n"/>
      <c r="F2487" s="18">
        <f>IF(OR(D2487="",E2487=""),"",D2487*E2487)</f>
        <v/>
      </c>
      <c r="G2487" s="15" t="n"/>
    </row>
    <row r="2488">
      <c r="A2488" s="19" t="n"/>
      <c r="B2488" s="15" t="n"/>
      <c r="C2488">
        <f>IF(B2488="","",IFERROR(INDEX(Items!$B$5:$B$304,MATCH(B2488,Items!$A$5:$A$304,0)),"Unknown code"))</f>
        <v/>
      </c>
      <c r="D2488" s="15" t="n"/>
      <c r="E2488" s="16" t="n"/>
      <c r="F2488" s="18">
        <f>IF(OR(D2488="",E2488=""),"",D2488*E2488)</f>
        <v/>
      </c>
      <c r="G2488" s="15" t="n"/>
    </row>
    <row r="2489">
      <c r="A2489" s="19" t="n"/>
      <c r="B2489" s="15" t="n"/>
      <c r="C2489">
        <f>IF(B2489="","",IFERROR(INDEX(Items!$B$5:$B$304,MATCH(B2489,Items!$A$5:$A$304,0)),"Unknown code"))</f>
        <v/>
      </c>
      <c r="D2489" s="15" t="n"/>
      <c r="E2489" s="16" t="n"/>
      <c r="F2489" s="18">
        <f>IF(OR(D2489="",E2489=""),"",D2489*E2489)</f>
        <v/>
      </c>
      <c r="G2489" s="15" t="n"/>
    </row>
    <row r="2490">
      <c r="A2490" s="19" t="n"/>
      <c r="B2490" s="15" t="n"/>
      <c r="C2490">
        <f>IF(B2490="","",IFERROR(INDEX(Items!$B$5:$B$304,MATCH(B2490,Items!$A$5:$A$304,0)),"Unknown code"))</f>
        <v/>
      </c>
      <c r="D2490" s="15" t="n"/>
      <c r="E2490" s="16" t="n"/>
      <c r="F2490" s="18">
        <f>IF(OR(D2490="",E2490=""),"",D2490*E2490)</f>
        <v/>
      </c>
      <c r="G2490" s="15" t="n"/>
    </row>
    <row r="2491">
      <c r="A2491" s="19" t="n"/>
      <c r="B2491" s="15" t="n"/>
      <c r="C2491">
        <f>IF(B2491="","",IFERROR(INDEX(Items!$B$5:$B$304,MATCH(B2491,Items!$A$5:$A$304,0)),"Unknown code"))</f>
        <v/>
      </c>
      <c r="D2491" s="15" t="n"/>
      <c r="E2491" s="16" t="n"/>
      <c r="F2491" s="18">
        <f>IF(OR(D2491="",E2491=""),"",D2491*E2491)</f>
        <v/>
      </c>
      <c r="G2491" s="15" t="n"/>
    </row>
    <row r="2492">
      <c r="A2492" s="19" t="n"/>
      <c r="B2492" s="15" t="n"/>
      <c r="C2492">
        <f>IF(B2492="","",IFERROR(INDEX(Items!$B$5:$B$304,MATCH(B2492,Items!$A$5:$A$304,0)),"Unknown code"))</f>
        <v/>
      </c>
      <c r="D2492" s="15" t="n"/>
      <c r="E2492" s="16" t="n"/>
      <c r="F2492" s="18">
        <f>IF(OR(D2492="",E2492=""),"",D2492*E2492)</f>
        <v/>
      </c>
      <c r="G2492" s="15" t="n"/>
    </row>
    <row r="2493">
      <c r="A2493" s="19" t="n"/>
      <c r="B2493" s="15" t="n"/>
      <c r="C2493">
        <f>IF(B2493="","",IFERROR(INDEX(Items!$B$5:$B$304,MATCH(B2493,Items!$A$5:$A$304,0)),"Unknown code"))</f>
        <v/>
      </c>
      <c r="D2493" s="15" t="n"/>
      <c r="E2493" s="16" t="n"/>
      <c r="F2493" s="18">
        <f>IF(OR(D2493="",E2493=""),"",D2493*E2493)</f>
        <v/>
      </c>
      <c r="G2493" s="15" t="n"/>
    </row>
    <row r="2494">
      <c r="A2494" s="19" t="n"/>
      <c r="B2494" s="15" t="n"/>
      <c r="C2494">
        <f>IF(B2494="","",IFERROR(INDEX(Items!$B$5:$B$304,MATCH(B2494,Items!$A$5:$A$304,0)),"Unknown code"))</f>
        <v/>
      </c>
      <c r="D2494" s="15" t="n"/>
      <c r="E2494" s="16" t="n"/>
      <c r="F2494" s="18">
        <f>IF(OR(D2494="",E2494=""),"",D2494*E2494)</f>
        <v/>
      </c>
      <c r="G2494" s="15" t="n"/>
    </row>
    <row r="2495">
      <c r="A2495" s="19" t="n"/>
      <c r="B2495" s="15" t="n"/>
      <c r="C2495">
        <f>IF(B2495="","",IFERROR(INDEX(Items!$B$5:$B$304,MATCH(B2495,Items!$A$5:$A$304,0)),"Unknown code"))</f>
        <v/>
      </c>
      <c r="D2495" s="15" t="n"/>
      <c r="E2495" s="16" t="n"/>
      <c r="F2495" s="18">
        <f>IF(OR(D2495="",E2495=""),"",D2495*E2495)</f>
        <v/>
      </c>
      <c r="G2495" s="15" t="n"/>
    </row>
    <row r="2496">
      <c r="A2496" s="19" t="n"/>
      <c r="B2496" s="15" t="n"/>
      <c r="C2496">
        <f>IF(B2496="","",IFERROR(INDEX(Items!$B$5:$B$304,MATCH(B2496,Items!$A$5:$A$304,0)),"Unknown code"))</f>
        <v/>
      </c>
      <c r="D2496" s="15" t="n"/>
      <c r="E2496" s="16" t="n"/>
      <c r="F2496" s="18">
        <f>IF(OR(D2496="",E2496=""),"",D2496*E2496)</f>
        <v/>
      </c>
      <c r="G2496" s="15" t="n"/>
    </row>
    <row r="2497">
      <c r="A2497" s="19" t="n"/>
      <c r="B2497" s="15" t="n"/>
      <c r="C2497">
        <f>IF(B2497="","",IFERROR(INDEX(Items!$B$5:$B$304,MATCH(B2497,Items!$A$5:$A$304,0)),"Unknown code"))</f>
        <v/>
      </c>
      <c r="D2497" s="15" t="n"/>
      <c r="E2497" s="16" t="n"/>
      <c r="F2497" s="18">
        <f>IF(OR(D2497="",E2497=""),"",D2497*E2497)</f>
        <v/>
      </c>
      <c r="G2497" s="15" t="n"/>
    </row>
    <row r="2498">
      <c r="A2498" s="19" t="n"/>
      <c r="B2498" s="15" t="n"/>
      <c r="C2498">
        <f>IF(B2498="","",IFERROR(INDEX(Items!$B$5:$B$304,MATCH(B2498,Items!$A$5:$A$304,0)),"Unknown code"))</f>
        <v/>
      </c>
      <c r="D2498" s="15" t="n"/>
      <c r="E2498" s="16" t="n"/>
      <c r="F2498" s="18">
        <f>IF(OR(D2498="",E2498=""),"",D2498*E2498)</f>
        <v/>
      </c>
      <c r="G2498" s="15" t="n"/>
    </row>
    <row r="2499">
      <c r="A2499" s="19" t="n"/>
      <c r="B2499" s="15" t="n"/>
      <c r="C2499">
        <f>IF(B2499="","",IFERROR(INDEX(Items!$B$5:$B$304,MATCH(B2499,Items!$A$5:$A$304,0)),"Unknown code"))</f>
        <v/>
      </c>
      <c r="D2499" s="15" t="n"/>
      <c r="E2499" s="16" t="n"/>
      <c r="F2499" s="18">
        <f>IF(OR(D2499="",E2499=""),"",D2499*E2499)</f>
        <v/>
      </c>
      <c r="G2499" s="15" t="n"/>
    </row>
    <row r="2500">
      <c r="A2500" s="19" t="n"/>
      <c r="B2500" s="15" t="n"/>
      <c r="C2500">
        <f>IF(B2500="","",IFERROR(INDEX(Items!$B$5:$B$304,MATCH(B2500,Items!$A$5:$A$304,0)),"Unknown code"))</f>
        <v/>
      </c>
      <c r="D2500" s="15" t="n"/>
      <c r="E2500" s="16" t="n"/>
      <c r="F2500" s="18">
        <f>IF(OR(D2500="",E2500=""),"",D2500*E2500)</f>
        <v/>
      </c>
      <c r="G2500" s="15" t="n"/>
    </row>
    <row r="2501">
      <c r="A2501" s="19" t="n"/>
      <c r="B2501" s="15" t="n"/>
      <c r="C2501">
        <f>IF(B2501="","",IFERROR(INDEX(Items!$B$5:$B$304,MATCH(B2501,Items!$A$5:$A$304,0)),"Unknown code"))</f>
        <v/>
      </c>
      <c r="D2501" s="15" t="n"/>
      <c r="E2501" s="16" t="n"/>
      <c r="F2501" s="18">
        <f>IF(OR(D2501="",E2501=""),"",D2501*E2501)</f>
        <v/>
      </c>
      <c r="G2501" s="15" t="n"/>
    </row>
    <row r="2502">
      <c r="A2502" s="19" t="n"/>
      <c r="B2502" s="15" t="n"/>
      <c r="C2502">
        <f>IF(B2502="","",IFERROR(INDEX(Items!$B$5:$B$304,MATCH(B2502,Items!$A$5:$A$304,0)),"Unknown code"))</f>
        <v/>
      </c>
      <c r="D2502" s="15" t="n"/>
      <c r="E2502" s="16" t="n"/>
      <c r="F2502" s="18">
        <f>IF(OR(D2502="",E2502=""),"",D2502*E2502)</f>
        <v/>
      </c>
      <c r="G2502" s="15" t="n"/>
    </row>
    <row r="2503">
      <c r="A2503" s="19" t="n"/>
      <c r="B2503" s="15" t="n"/>
      <c r="C2503">
        <f>IF(B2503="","",IFERROR(INDEX(Items!$B$5:$B$304,MATCH(B2503,Items!$A$5:$A$304,0)),"Unknown code"))</f>
        <v/>
      </c>
      <c r="D2503" s="15" t="n"/>
      <c r="E2503" s="16" t="n"/>
      <c r="F2503" s="18">
        <f>IF(OR(D2503="",E2503=""),"",D2503*E2503)</f>
        <v/>
      </c>
      <c r="G2503" s="15" t="n"/>
    </row>
    <row r="2504">
      <c r="A2504" s="19" t="n"/>
      <c r="B2504" s="15" t="n"/>
      <c r="C2504">
        <f>IF(B2504="","",IFERROR(INDEX(Items!$B$5:$B$304,MATCH(B2504,Items!$A$5:$A$304,0)),"Unknown code"))</f>
        <v/>
      </c>
      <c r="D2504" s="15" t="n"/>
      <c r="E2504" s="16" t="n"/>
      <c r="F2504" s="18">
        <f>IF(OR(D2504="",E2504=""),"",D2504*E2504)</f>
        <v/>
      </c>
      <c r="G2504" s="15" t="n"/>
    </row>
    <row r="2505">
      <c r="A2505" s="19" t="n"/>
      <c r="B2505" s="15" t="n"/>
      <c r="C2505">
        <f>IF(B2505="","",IFERROR(INDEX(Items!$B$5:$B$304,MATCH(B2505,Items!$A$5:$A$304,0)),"Unknown code"))</f>
        <v/>
      </c>
      <c r="D2505" s="15" t="n"/>
      <c r="E2505" s="16" t="n"/>
      <c r="F2505" s="18">
        <f>IF(OR(D2505="",E2505=""),"",D2505*E2505)</f>
        <v/>
      </c>
      <c r="G2505" s="15" t="n"/>
    </row>
    <row r="2506">
      <c r="A2506" s="19" t="n"/>
      <c r="B2506" s="15" t="n"/>
      <c r="C2506">
        <f>IF(B2506="","",IFERROR(INDEX(Items!$B$5:$B$304,MATCH(B2506,Items!$A$5:$A$304,0)),"Unknown code"))</f>
        <v/>
      </c>
      <c r="D2506" s="15" t="n"/>
      <c r="E2506" s="16" t="n"/>
      <c r="F2506" s="18">
        <f>IF(OR(D2506="",E2506=""),"",D2506*E2506)</f>
        <v/>
      </c>
      <c r="G2506" s="15" t="n"/>
    </row>
    <row r="2507">
      <c r="A2507" s="19" t="n"/>
      <c r="B2507" s="15" t="n"/>
      <c r="C2507">
        <f>IF(B2507="","",IFERROR(INDEX(Items!$B$5:$B$304,MATCH(B2507,Items!$A$5:$A$304,0)),"Unknown code"))</f>
        <v/>
      </c>
      <c r="D2507" s="15" t="n"/>
      <c r="E2507" s="16" t="n"/>
      <c r="F2507" s="18">
        <f>IF(OR(D2507="",E2507=""),"",D2507*E2507)</f>
        <v/>
      </c>
      <c r="G2507" s="15" t="n"/>
    </row>
    <row r="2508">
      <c r="A2508" s="19" t="n"/>
      <c r="B2508" s="15" t="n"/>
      <c r="C2508">
        <f>IF(B2508="","",IFERROR(INDEX(Items!$B$5:$B$304,MATCH(B2508,Items!$A$5:$A$304,0)),"Unknown code"))</f>
        <v/>
      </c>
      <c r="D2508" s="15" t="n"/>
      <c r="E2508" s="16" t="n"/>
      <c r="F2508" s="18">
        <f>IF(OR(D2508="",E2508=""),"",D2508*E2508)</f>
        <v/>
      </c>
      <c r="G2508" s="15" t="n"/>
    </row>
    <row r="2509">
      <c r="A2509" s="19" t="n"/>
      <c r="B2509" s="15" t="n"/>
      <c r="C2509">
        <f>IF(B2509="","",IFERROR(INDEX(Items!$B$5:$B$304,MATCH(B2509,Items!$A$5:$A$304,0)),"Unknown code"))</f>
        <v/>
      </c>
      <c r="D2509" s="15" t="n"/>
      <c r="E2509" s="16" t="n"/>
      <c r="F2509" s="18">
        <f>IF(OR(D2509="",E2509=""),"",D2509*E2509)</f>
        <v/>
      </c>
      <c r="G2509" s="15" t="n"/>
    </row>
    <row r="2510">
      <c r="A2510" s="19" t="n"/>
      <c r="B2510" s="15" t="n"/>
      <c r="C2510">
        <f>IF(B2510="","",IFERROR(INDEX(Items!$B$5:$B$304,MATCH(B2510,Items!$A$5:$A$304,0)),"Unknown code"))</f>
        <v/>
      </c>
      <c r="D2510" s="15" t="n"/>
      <c r="E2510" s="16" t="n"/>
      <c r="F2510" s="18">
        <f>IF(OR(D2510="",E2510=""),"",D2510*E2510)</f>
        <v/>
      </c>
      <c r="G2510" s="15" t="n"/>
    </row>
    <row r="2511">
      <c r="A2511" s="19" t="n"/>
      <c r="B2511" s="15" t="n"/>
      <c r="C2511">
        <f>IF(B2511="","",IFERROR(INDEX(Items!$B$5:$B$304,MATCH(B2511,Items!$A$5:$A$304,0)),"Unknown code"))</f>
        <v/>
      </c>
      <c r="D2511" s="15" t="n"/>
      <c r="E2511" s="16" t="n"/>
      <c r="F2511" s="18">
        <f>IF(OR(D2511="",E2511=""),"",D2511*E2511)</f>
        <v/>
      </c>
      <c r="G2511" s="15" t="n"/>
    </row>
    <row r="2512">
      <c r="A2512" s="19" t="n"/>
      <c r="B2512" s="15" t="n"/>
      <c r="C2512">
        <f>IF(B2512="","",IFERROR(INDEX(Items!$B$5:$B$304,MATCH(B2512,Items!$A$5:$A$304,0)),"Unknown code"))</f>
        <v/>
      </c>
      <c r="D2512" s="15" t="n"/>
      <c r="E2512" s="16" t="n"/>
      <c r="F2512" s="18">
        <f>IF(OR(D2512="",E2512=""),"",D2512*E2512)</f>
        <v/>
      </c>
      <c r="G2512" s="15" t="n"/>
    </row>
    <row r="2513">
      <c r="A2513" s="19" t="n"/>
      <c r="B2513" s="15" t="n"/>
      <c r="C2513">
        <f>IF(B2513="","",IFERROR(INDEX(Items!$B$5:$B$304,MATCH(B2513,Items!$A$5:$A$304,0)),"Unknown code"))</f>
        <v/>
      </c>
      <c r="D2513" s="15" t="n"/>
      <c r="E2513" s="16" t="n"/>
      <c r="F2513" s="18">
        <f>IF(OR(D2513="",E2513=""),"",D2513*E2513)</f>
        <v/>
      </c>
      <c r="G2513" s="15" t="n"/>
    </row>
    <row r="2514">
      <c r="A2514" s="19" t="n"/>
      <c r="B2514" s="15" t="n"/>
      <c r="C2514">
        <f>IF(B2514="","",IFERROR(INDEX(Items!$B$5:$B$304,MATCH(B2514,Items!$A$5:$A$304,0)),"Unknown code"))</f>
        <v/>
      </c>
      <c r="D2514" s="15" t="n"/>
      <c r="E2514" s="16" t="n"/>
      <c r="F2514" s="18">
        <f>IF(OR(D2514="",E2514=""),"",D2514*E2514)</f>
        <v/>
      </c>
      <c r="G2514" s="15" t="n"/>
    </row>
    <row r="2515">
      <c r="A2515" s="19" t="n"/>
      <c r="B2515" s="15" t="n"/>
      <c r="C2515">
        <f>IF(B2515="","",IFERROR(INDEX(Items!$B$5:$B$304,MATCH(B2515,Items!$A$5:$A$304,0)),"Unknown code"))</f>
        <v/>
      </c>
      <c r="D2515" s="15" t="n"/>
      <c r="E2515" s="16" t="n"/>
      <c r="F2515" s="18">
        <f>IF(OR(D2515="",E2515=""),"",D2515*E2515)</f>
        <v/>
      </c>
      <c r="G2515" s="15" t="n"/>
    </row>
    <row r="2516">
      <c r="A2516" s="19" t="n"/>
      <c r="B2516" s="15" t="n"/>
      <c r="C2516">
        <f>IF(B2516="","",IFERROR(INDEX(Items!$B$5:$B$304,MATCH(B2516,Items!$A$5:$A$304,0)),"Unknown code"))</f>
        <v/>
      </c>
      <c r="D2516" s="15" t="n"/>
      <c r="E2516" s="16" t="n"/>
      <c r="F2516" s="18">
        <f>IF(OR(D2516="",E2516=""),"",D2516*E2516)</f>
        <v/>
      </c>
      <c r="G2516" s="15" t="n"/>
    </row>
    <row r="2517">
      <c r="A2517" s="19" t="n"/>
      <c r="B2517" s="15" t="n"/>
      <c r="C2517">
        <f>IF(B2517="","",IFERROR(INDEX(Items!$B$5:$B$304,MATCH(B2517,Items!$A$5:$A$304,0)),"Unknown code"))</f>
        <v/>
      </c>
      <c r="D2517" s="15" t="n"/>
      <c r="E2517" s="16" t="n"/>
      <c r="F2517" s="18">
        <f>IF(OR(D2517="",E2517=""),"",D2517*E2517)</f>
        <v/>
      </c>
      <c r="G2517" s="15" t="n"/>
    </row>
    <row r="2518">
      <c r="A2518" s="19" t="n"/>
      <c r="B2518" s="15" t="n"/>
      <c r="C2518">
        <f>IF(B2518="","",IFERROR(INDEX(Items!$B$5:$B$304,MATCH(B2518,Items!$A$5:$A$304,0)),"Unknown code"))</f>
        <v/>
      </c>
      <c r="D2518" s="15" t="n"/>
      <c r="E2518" s="16" t="n"/>
      <c r="F2518" s="18">
        <f>IF(OR(D2518="",E2518=""),"",D2518*E2518)</f>
        <v/>
      </c>
      <c r="G2518" s="15" t="n"/>
    </row>
    <row r="2519">
      <c r="A2519" s="19" t="n"/>
      <c r="B2519" s="15" t="n"/>
      <c r="C2519">
        <f>IF(B2519="","",IFERROR(INDEX(Items!$B$5:$B$304,MATCH(B2519,Items!$A$5:$A$304,0)),"Unknown code"))</f>
        <v/>
      </c>
      <c r="D2519" s="15" t="n"/>
      <c r="E2519" s="16" t="n"/>
      <c r="F2519" s="18">
        <f>IF(OR(D2519="",E2519=""),"",D2519*E2519)</f>
        <v/>
      </c>
      <c r="G2519" s="15" t="n"/>
    </row>
    <row r="2520">
      <c r="A2520" s="19" t="n"/>
      <c r="B2520" s="15" t="n"/>
      <c r="C2520">
        <f>IF(B2520="","",IFERROR(INDEX(Items!$B$5:$B$304,MATCH(B2520,Items!$A$5:$A$304,0)),"Unknown code"))</f>
        <v/>
      </c>
      <c r="D2520" s="15" t="n"/>
      <c r="E2520" s="16" t="n"/>
      <c r="F2520" s="18">
        <f>IF(OR(D2520="",E2520=""),"",D2520*E2520)</f>
        <v/>
      </c>
      <c r="G2520" s="15" t="n"/>
    </row>
    <row r="2521">
      <c r="A2521" s="19" t="n"/>
      <c r="B2521" s="15" t="n"/>
      <c r="C2521">
        <f>IF(B2521="","",IFERROR(INDEX(Items!$B$5:$B$304,MATCH(B2521,Items!$A$5:$A$304,0)),"Unknown code"))</f>
        <v/>
      </c>
      <c r="D2521" s="15" t="n"/>
      <c r="E2521" s="16" t="n"/>
      <c r="F2521" s="18">
        <f>IF(OR(D2521="",E2521=""),"",D2521*E2521)</f>
        <v/>
      </c>
      <c r="G2521" s="15" t="n"/>
    </row>
    <row r="2522">
      <c r="A2522" s="19" t="n"/>
      <c r="B2522" s="15" t="n"/>
      <c r="C2522">
        <f>IF(B2522="","",IFERROR(INDEX(Items!$B$5:$B$304,MATCH(B2522,Items!$A$5:$A$304,0)),"Unknown code"))</f>
        <v/>
      </c>
      <c r="D2522" s="15" t="n"/>
      <c r="E2522" s="16" t="n"/>
      <c r="F2522" s="18">
        <f>IF(OR(D2522="",E2522=""),"",D2522*E2522)</f>
        <v/>
      </c>
      <c r="G2522" s="15" t="n"/>
    </row>
    <row r="2523">
      <c r="A2523" s="19" t="n"/>
      <c r="B2523" s="15" t="n"/>
      <c r="C2523">
        <f>IF(B2523="","",IFERROR(INDEX(Items!$B$5:$B$304,MATCH(B2523,Items!$A$5:$A$304,0)),"Unknown code"))</f>
        <v/>
      </c>
      <c r="D2523" s="15" t="n"/>
      <c r="E2523" s="16" t="n"/>
      <c r="F2523" s="18">
        <f>IF(OR(D2523="",E2523=""),"",D2523*E2523)</f>
        <v/>
      </c>
      <c r="G2523" s="15" t="n"/>
    </row>
    <row r="2524">
      <c r="A2524" s="19" t="n"/>
      <c r="B2524" s="15" t="n"/>
      <c r="C2524">
        <f>IF(B2524="","",IFERROR(INDEX(Items!$B$5:$B$304,MATCH(B2524,Items!$A$5:$A$304,0)),"Unknown code"))</f>
        <v/>
      </c>
      <c r="D2524" s="15" t="n"/>
      <c r="E2524" s="16" t="n"/>
      <c r="F2524" s="18">
        <f>IF(OR(D2524="",E2524=""),"",D2524*E2524)</f>
        <v/>
      </c>
      <c r="G2524" s="15" t="n"/>
    </row>
    <row r="2525">
      <c r="A2525" s="19" t="n"/>
      <c r="B2525" s="15" t="n"/>
      <c r="C2525">
        <f>IF(B2525="","",IFERROR(INDEX(Items!$B$5:$B$304,MATCH(B2525,Items!$A$5:$A$304,0)),"Unknown code"))</f>
        <v/>
      </c>
      <c r="D2525" s="15" t="n"/>
      <c r="E2525" s="16" t="n"/>
      <c r="F2525" s="18">
        <f>IF(OR(D2525="",E2525=""),"",D2525*E2525)</f>
        <v/>
      </c>
      <c r="G2525" s="15" t="n"/>
    </row>
    <row r="2526">
      <c r="A2526" s="19" t="n"/>
      <c r="B2526" s="15" t="n"/>
      <c r="C2526">
        <f>IF(B2526="","",IFERROR(INDEX(Items!$B$5:$B$304,MATCH(B2526,Items!$A$5:$A$304,0)),"Unknown code"))</f>
        <v/>
      </c>
      <c r="D2526" s="15" t="n"/>
      <c r="E2526" s="16" t="n"/>
      <c r="F2526" s="18">
        <f>IF(OR(D2526="",E2526=""),"",D2526*E2526)</f>
        <v/>
      </c>
      <c r="G2526" s="15" t="n"/>
    </row>
    <row r="2527">
      <c r="A2527" s="19" t="n"/>
      <c r="B2527" s="15" t="n"/>
      <c r="C2527">
        <f>IF(B2527="","",IFERROR(INDEX(Items!$B$5:$B$304,MATCH(B2527,Items!$A$5:$A$304,0)),"Unknown code"))</f>
        <v/>
      </c>
      <c r="D2527" s="15" t="n"/>
      <c r="E2527" s="16" t="n"/>
      <c r="F2527" s="18">
        <f>IF(OR(D2527="",E2527=""),"",D2527*E2527)</f>
        <v/>
      </c>
      <c r="G2527" s="15" t="n"/>
    </row>
    <row r="2528">
      <c r="A2528" s="19" t="n"/>
      <c r="B2528" s="15" t="n"/>
      <c r="C2528">
        <f>IF(B2528="","",IFERROR(INDEX(Items!$B$5:$B$304,MATCH(B2528,Items!$A$5:$A$304,0)),"Unknown code"))</f>
        <v/>
      </c>
      <c r="D2528" s="15" t="n"/>
      <c r="E2528" s="16" t="n"/>
      <c r="F2528" s="18">
        <f>IF(OR(D2528="",E2528=""),"",D2528*E2528)</f>
        <v/>
      </c>
      <c r="G2528" s="15" t="n"/>
    </row>
    <row r="2529">
      <c r="A2529" s="19" t="n"/>
      <c r="B2529" s="15" t="n"/>
      <c r="C2529">
        <f>IF(B2529="","",IFERROR(INDEX(Items!$B$5:$B$304,MATCH(B2529,Items!$A$5:$A$304,0)),"Unknown code"))</f>
        <v/>
      </c>
      <c r="D2529" s="15" t="n"/>
      <c r="E2529" s="16" t="n"/>
      <c r="F2529" s="18">
        <f>IF(OR(D2529="",E2529=""),"",D2529*E2529)</f>
        <v/>
      </c>
      <c r="G2529" s="15" t="n"/>
    </row>
    <row r="2530">
      <c r="A2530" s="19" t="n"/>
      <c r="B2530" s="15" t="n"/>
      <c r="C2530">
        <f>IF(B2530="","",IFERROR(INDEX(Items!$B$5:$B$304,MATCH(B2530,Items!$A$5:$A$304,0)),"Unknown code"))</f>
        <v/>
      </c>
      <c r="D2530" s="15" t="n"/>
      <c r="E2530" s="16" t="n"/>
      <c r="F2530" s="18">
        <f>IF(OR(D2530="",E2530=""),"",D2530*E2530)</f>
        <v/>
      </c>
      <c r="G2530" s="15" t="n"/>
    </row>
    <row r="2531">
      <c r="A2531" s="19" t="n"/>
      <c r="B2531" s="15" t="n"/>
      <c r="C2531">
        <f>IF(B2531="","",IFERROR(INDEX(Items!$B$5:$B$304,MATCH(B2531,Items!$A$5:$A$304,0)),"Unknown code"))</f>
        <v/>
      </c>
      <c r="D2531" s="15" t="n"/>
      <c r="E2531" s="16" t="n"/>
      <c r="F2531" s="18">
        <f>IF(OR(D2531="",E2531=""),"",D2531*E2531)</f>
        <v/>
      </c>
      <c r="G2531" s="15" t="n"/>
    </row>
    <row r="2532">
      <c r="A2532" s="19" t="n"/>
      <c r="B2532" s="15" t="n"/>
      <c r="C2532">
        <f>IF(B2532="","",IFERROR(INDEX(Items!$B$5:$B$304,MATCH(B2532,Items!$A$5:$A$304,0)),"Unknown code"))</f>
        <v/>
      </c>
      <c r="D2532" s="15" t="n"/>
      <c r="E2532" s="16" t="n"/>
      <c r="F2532" s="18">
        <f>IF(OR(D2532="",E2532=""),"",D2532*E2532)</f>
        <v/>
      </c>
      <c r="G2532" s="15" t="n"/>
    </row>
    <row r="2533">
      <c r="A2533" s="19" t="n"/>
      <c r="B2533" s="15" t="n"/>
      <c r="C2533">
        <f>IF(B2533="","",IFERROR(INDEX(Items!$B$5:$B$304,MATCH(B2533,Items!$A$5:$A$304,0)),"Unknown code"))</f>
        <v/>
      </c>
      <c r="D2533" s="15" t="n"/>
      <c r="E2533" s="16" t="n"/>
      <c r="F2533" s="18">
        <f>IF(OR(D2533="",E2533=""),"",D2533*E2533)</f>
        <v/>
      </c>
      <c r="G2533" s="15" t="n"/>
    </row>
    <row r="2534">
      <c r="A2534" s="19" t="n"/>
      <c r="B2534" s="15" t="n"/>
      <c r="C2534">
        <f>IF(B2534="","",IFERROR(INDEX(Items!$B$5:$B$304,MATCH(B2534,Items!$A$5:$A$304,0)),"Unknown code"))</f>
        <v/>
      </c>
      <c r="D2534" s="15" t="n"/>
      <c r="E2534" s="16" t="n"/>
      <c r="F2534" s="18">
        <f>IF(OR(D2534="",E2534=""),"",D2534*E2534)</f>
        <v/>
      </c>
      <c r="G2534" s="15" t="n"/>
    </row>
    <row r="2535">
      <c r="A2535" s="19" t="n"/>
      <c r="B2535" s="15" t="n"/>
      <c r="C2535">
        <f>IF(B2535="","",IFERROR(INDEX(Items!$B$5:$B$304,MATCH(B2535,Items!$A$5:$A$304,0)),"Unknown code"))</f>
        <v/>
      </c>
      <c r="D2535" s="15" t="n"/>
      <c r="E2535" s="16" t="n"/>
      <c r="F2535" s="18">
        <f>IF(OR(D2535="",E2535=""),"",D2535*E2535)</f>
        <v/>
      </c>
      <c r="G2535" s="15" t="n"/>
    </row>
    <row r="2536">
      <c r="A2536" s="19" t="n"/>
      <c r="B2536" s="15" t="n"/>
      <c r="C2536">
        <f>IF(B2536="","",IFERROR(INDEX(Items!$B$5:$B$304,MATCH(B2536,Items!$A$5:$A$304,0)),"Unknown code"))</f>
        <v/>
      </c>
      <c r="D2536" s="15" t="n"/>
      <c r="E2536" s="16" t="n"/>
      <c r="F2536" s="18">
        <f>IF(OR(D2536="",E2536=""),"",D2536*E2536)</f>
        <v/>
      </c>
      <c r="G2536" s="15" t="n"/>
    </row>
    <row r="2537">
      <c r="A2537" s="19" t="n"/>
      <c r="B2537" s="15" t="n"/>
      <c r="C2537">
        <f>IF(B2537="","",IFERROR(INDEX(Items!$B$5:$B$304,MATCH(B2537,Items!$A$5:$A$304,0)),"Unknown code"))</f>
        <v/>
      </c>
      <c r="D2537" s="15" t="n"/>
      <c r="E2537" s="16" t="n"/>
      <c r="F2537" s="18">
        <f>IF(OR(D2537="",E2537=""),"",D2537*E2537)</f>
        <v/>
      </c>
      <c r="G2537" s="15" t="n"/>
    </row>
    <row r="2538">
      <c r="A2538" s="19" t="n"/>
      <c r="B2538" s="15" t="n"/>
      <c r="C2538">
        <f>IF(B2538="","",IFERROR(INDEX(Items!$B$5:$B$304,MATCH(B2538,Items!$A$5:$A$304,0)),"Unknown code"))</f>
        <v/>
      </c>
      <c r="D2538" s="15" t="n"/>
      <c r="E2538" s="16" t="n"/>
      <c r="F2538" s="18">
        <f>IF(OR(D2538="",E2538=""),"",D2538*E2538)</f>
        <v/>
      </c>
      <c r="G2538" s="15" t="n"/>
    </row>
    <row r="2539">
      <c r="A2539" s="19" t="n"/>
      <c r="B2539" s="15" t="n"/>
      <c r="C2539">
        <f>IF(B2539="","",IFERROR(INDEX(Items!$B$5:$B$304,MATCH(B2539,Items!$A$5:$A$304,0)),"Unknown code"))</f>
        <v/>
      </c>
      <c r="D2539" s="15" t="n"/>
      <c r="E2539" s="16" t="n"/>
      <c r="F2539" s="18">
        <f>IF(OR(D2539="",E2539=""),"",D2539*E2539)</f>
        <v/>
      </c>
      <c r="G2539" s="15" t="n"/>
    </row>
    <row r="2540">
      <c r="A2540" s="19" t="n"/>
      <c r="B2540" s="15" t="n"/>
      <c r="C2540">
        <f>IF(B2540="","",IFERROR(INDEX(Items!$B$5:$B$304,MATCH(B2540,Items!$A$5:$A$304,0)),"Unknown code"))</f>
        <v/>
      </c>
      <c r="D2540" s="15" t="n"/>
      <c r="E2540" s="16" t="n"/>
      <c r="F2540" s="18">
        <f>IF(OR(D2540="",E2540=""),"",D2540*E2540)</f>
        <v/>
      </c>
      <c r="G2540" s="15" t="n"/>
    </row>
    <row r="2541">
      <c r="A2541" s="19" t="n"/>
      <c r="B2541" s="15" t="n"/>
      <c r="C2541">
        <f>IF(B2541="","",IFERROR(INDEX(Items!$B$5:$B$304,MATCH(B2541,Items!$A$5:$A$304,0)),"Unknown code"))</f>
        <v/>
      </c>
      <c r="D2541" s="15" t="n"/>
      <c r="E2541" s="16" t="n"/>
      <c r="F2541" s="18">
        <f>IF(OR(D2541="",E2541=""),"",D2541*E2541)</f>
        <v/>
      </c>
      <c r="G2541" s="15" t="n"/>
    </row>
    <row r="2542">
      <c r="A2542" s="19" t="n"/>
      <c r="B2542" s="15" t="n"/>
      <c r="C2542">
        <f>IF(B2542="","",IFERROR(INDEX(Items!$B$5:$B$304,MATCH(B2542,Items!$A$5:$A$304,0)),"Unknown code"))</f>
        <v/>
      </c>
      <c r="D2542" s="15" t="n"/>
      <c r="E2542" s="16" t="n"/>
      <c r="F2542" s="18">
        <f>IF(OR(D2542="",E2542=""),"",D2542*E2542)</f>
        <v/>
      </c>
      <c r="G2542" s="15" t="n"/>
    </row>
    <row r="2543">
      <c r="A2543" s="19" t="n"/>
      <c r="B2543" s="15" t="n"/>
      <c r="C2543">
        <f>IF(B2543="","",IFERROR(INDEX(Items!$B$5:$B$304,MATCH(B2543,Items!$A$5:$A$304,0)),"Unknown code"))</f>
        <v/>
      </c>
      <c r="D2543" s="15" t="n"/>
      <c r="E2543" s="16" t="n"/>
      <c r="F2543" s="18">
        <f>IF(OR(D2543="",E2543=""),"",D2543*E2543)</f>
        <v/>
      </c>
      <c r="G2543" s="15" t="n"/>
    </row>
    <row r="2544">
      <c r="A2544" s="19" t="n"/>
      <c r="B2544" s="15" t="n"/>
      <c r="C2544">
        <f>IF(B2544="","",IFERROR(INDEX(Items!$B$5:$B$304,MATCH(B2544,Items!$A$5:$A$304,0)),"Unknown code"))</f>
        <v/>
      </c>
      <c r="D2544" s="15" t="n"/>
      <c r="E2544" s="16" t="n"/>
      <c r="F2544" s="18">
        <f>IF(OR(D2544="",E2544=""),"",D2544*E2544)</f>
        <v/>
      </c>
      <c r="G2544" s="15" t="n"/>
    </row>
    <row r="2545">
      <c r="A2545" s="19" t="n"/>
      <c r="B2545" s="15" t="n"/>
      <c r="C2545">
        <f>IF(B2545="","",IFERROR(INDEX(Items!$B$5:$B$304,MATCH(B2545,Items!$A$5:$A$304,0)),"Unknown code"))</f>
        <v/>
      </c>
      <c r="D2545" s="15" t="n"/>
      <c r="E2545" s="16" t="n"/>
      <c r="F2545" s="18">
        <f>IF(OR(D2545="",E2545=""),"",D2545*E2545)</f>
        <v/>
      </c>
      <c r="G2545" s="15" t="n"/>
    </row>
    <row r="2546">
      <c r="A2546" s="19" t="n"/>
      <c r="B2546" s="15" t="n"/>
      <c r="C2546">
        <f>IF(B2546="","",IFERROR(INDEX(Items!$B$5:$B$304,MATCH(B2546,Items!$A$5:$A$304,0)),"Unknown code"))</f>
        <v/>
      </c>
      <c r="D2546" s="15" t="n"/>
      <c r="E2546" s="16" t="n"/>
      <c r="F2546" s="18">
        <f>IF(OR(D2546="",E2546=""),"",D2546*E2546)</f>
        <v/>
      </c>
      <c r="G2546" s="15" t="n"/>
    </row>
    <row r="2547">
      <c r="A2547" s="19" t="n"/>
      <c r="B2547" s="15" t="n"/>
      <c r="C2547">
        <f>IF(B2547="","",IFERROR(INDEX(Items!$B$5:$B$304,MATCH(B2547,Items!$A$5:$A$304,0)),"Unknown code"))</f>
        <v/>
      </c>
      <c r="D2547" s="15" t="n"/>
      <c r="E2547" s="16" t="n"/>
      <c r="F2547" s="18">
        <f>IF(OR(D2547="",E2547=""),"",D2547*E2547)</f>
        <v/>
      </c>
      <c r="G2547" s="15" t="n"/>
    </row>
    <row r="2548">
      <c r="A2548" s="19" t="n"/>
      <c r="B2548" s="15" t="n"/>
      <c r="C2548">
        <f>IF(B2548="","",IFERROR(INDEX(Items!$B$5:$B$304,MATCH(B2548,Items!$A$5:$A$304,0)),"Unknown code"))</f>
        <v/>
      </c>
      <c r="D2548" s="15" t="n"/>
      <c r="E2548" s="16" t="n"/>
      <c r="F2548" s="18">
        <f>IF(OR(D2548="",E2548=""),"",D2548*E2548)</f>
        <v/>
      </c>
      <c r="G2548" s="15" t="n"/>
    </row>
    <row r="2549">
      <c r="A2549" s="19" t="n"/>
      <c r="B2549" s="15" t="n"/>
      <c r="C2549">
        <f>IF(B2549="","",IFERROR(INDEX(Items!$B$5:$B$304,MATCH(B2549,Items!$A$5:$A$304,0)),"Unknown code"))</f>
        <v/>
      </c>
      <c r="D2549" s="15" t="n"/>
      <c r="E2549" s="16" t="n"/>
      <c r="F2549" s="18">
        <f>IF(OR(D2549="",E2549=""),"",D2549*E2549)</f>
        <v/>
      </c>
      <c r="G2549" s="15" t="n"/>
    </row>
    <row r="2550">
      <c r="A2550" s="19" t="n"/>
      <c r="B2550" s="15" t="n"/>
      <c r="C2550">
        <f>IF(B2550="","",IFERROR(INDEX(Items!$B$5:$B$304,MATCH(B2550,Items!$A$5:$A$304,0)),"Unknown code"))</f>
        <v/>
      </c>
      <c r="D2550" s="15" t="n"/>
      <c r="E2550" s="16" t="n"/>
      <c r="F2550" s="18">
        <f>IF(OR(D2550="",E2550=""),"",D2550*E2550)</f>
        <v/>
      </c>
      <c r="G2550" s="15" t="n"/>
    </row>
    <row r="2551">
      <c r="A2551" s="19" t="n"/>
      <c r="B2551" s="15" t="n"/>
      <c r="C2551">
        <f>IF(B2551="","",IFERROR(INDEX(Items!$B$5:$B$304,MATCH(B2551,Items!$A$5:$A$304,0)),"Unknown code"))</f>
        <v/>
      </c>
      <c r="D2551" s="15" t="n"/>
      <c r="E2551" s="16" t="n"/>
      <c r="F2551" s="18">
        <f>IF(OR(D2551="",E2551=""),"",D2551*E2551)</f>
        <v/>
      </c>
      <c r="G2551" s="15" t="n"/>
    </row>
    <row r="2552">
      <c r="A2552" s="19" t="n"/>
      <c r="B2552" s="15" t="n"/>
      <c r="C2552">
        <f>IF(B2552="","",IFERROR(INDEX(Items!$B$5:$B$304,MATCH(B2552,Items!$A$5:$A$304,0)),"Unknown code"))</f>
        <v/>
      </c>
      <c r="D2552" s="15" t="n"/>
      <c r="E2552" s="16" t="n"/>
      <c r="F2552" s="18">
        <f>IF(OR(D2552="",E2552=""),"",D2552*E2552)</f>
        <v/>
      </c>
      <c r="G2552" s="15" t="n"/>
    </row>
    <row r="2553">
      <c r="A2553" s="19" t="n"/>
      <c r="B2553" s="15" t="n"/>
      <c r="C2553">
        <f>IF(B2553="","",IFERROR(INDEX(Items!$B$5:$B$304,MATCH(B2553,Items!$A$5:$A$304,0)),"Unknown code"))</f>
        <v/>
      </c>
      <c r="D2553" s="15" t="n"/>
      <c r="E2553" s="16" t="n"/>
      <c r="F2553" s="18">
        <f>IF(OR(D2553="",E2553=""),"",D2553*E2553)</f>
        <v/>
      </c>
      <c r="G2553" s="15" t="n"/>
    </row>
    <row r="2554">
      <c r="A2554" s="19" t="n"/>
      <c r="B2554" s="15" t="n"/>
      <c r="C2554">
        <f>IF(B2554="","",IFERROR(INDEX(Items!$B$5:$B$304,MATCH(B2554,Items!$A$5:$A$304,0)),"Unknown code"))</f>
        <v/>
      </c>
      <c r="D2554" s="15" t="n"/>
      <c r="E2554" s="16" t="n"/>
      <c r="F2554" s="18">
        <f>IF(OR(D2554="",E2554=""),"",D2554*E2554)</f>
        <v/>
      </c>
      <c r="G2554" s="15" t="n"/>
    </row>
    <row r="2555">
      <c r="A2555" s="19" t="n"/>
      <c r="B2555" s="15" t="n"/>
      <c r="C2555">
        <f>IF(B2555="","",IFERROR(INDEX(Items!$B$5:$B$304,MATCH(B2555,Items!$A$5:$A$304,0)),"Unknown code"))</f>
        <v/>
      </c>
      <c r="D2555" s="15" t="n"/>
      <c r="E2555" s="16" t="n"/>
      <c r="F2555" s="18">
        <f>IF(OR(D2555="",E2555=""),"",D2555*E2555)</f>
        <v/>
      </c>
      <c r="G2555" s="15" t="n"/>
    </row>
    <row r="2556">
      <c r="A2556" s="19" t="n"/>
      <c r="B2556" s="15" t="n"/>
      <c r="C2556">
        <f>IF(B2556="","",IFERROR(INDEX(Items!$B$5:$B$304,MATCH(B2556,Items!$A$5:$A$304,0)),"Unknown code"))</f>
        <v/>
      </c>
      <c r="D2556" s="15" t="n"/>
      <c r="E2556" s="16" t="n"/>
      <c r="F2556" s="18">
        <f>IF(OR(D2556="",E2556=""),"",D2556*E2556)</f>
        <v/>
      </c>
      <c r="G2556" s="15" t="n"/>
    </row>
    <row r="2557">
      <c r="A2557" s="19" t="n"/>
      <c r="B2557" s="15" t="n"/>
      <c r="C2557">
        <f>IF(B2557="","",IFERROR(INDEX(Items!$B$5:$B$304,MATCH(B2557,Items!$A$5:$A$304,0)),"Unknown code"))</f>
        <v/>
      </c>
      <c r="D2557" s="15" t="n"/>
      <c r="E2557" s="16" t="n"/>
      <c r="F2557" s="18">
        <f>IF(OR(D2557="",E2557=""),"",D2557*E2557)</f>
        <v/>
      </c>
      <c r="G2557" s="15" t="n"/>
    </row>
    <row r="2558">
      <c r="A2558" s="19" t="n"/>
      <c r="B2558" s="15" t="n"/>
      <c r="C2558">
        <f>IF(B2558="","",IFERROR(INDEX(Items!$B$5:$B$304,MATCH(B2558,Items!$A$5:$A$304,0)),"Unknown code"))</f>
        <v/>
      </c>
      <c r="D2558" s="15" t="n"/>
      <c r="E2558" s="16" t="n"/>
      <c r="F2558" s="18">
        <f>IF(OR(D2558="",E2558=""),"",D2558*E2558)</f>
        <v/>
      </c>
      <c r="G2558" s="15" t="n"/>
    </row>
    <row r="2559">
      <c r="A2559" s="19" t="n"/>
      <c r="B2559" s="15" t="n"/>
      <c r="C2559">
        <f>IF(B2559="","",IFERROR(INDEX(Items!$B$5:$B$304,MATCH(B2559,Items!$A$5:$A$304,0)),"Unknown code"))</f>
        <v/>
      </c>
      <c r="D2559" s="15" t="n"/>
      <c r="E2559" s="16" t="n"/>
      <c r="F2559" s="18">
        <f>IF(OR(D2559="",E2559=""),"",D2559*E2559)</f>
        <v/>
      </c>
      <c r="G2559" s="15" t="n"/>
    </row>
    <row r="2560">
      <c r="A2560" s="19" t="n"/>
      <c r="B2560" s="15" t="n"/>
      <c r="C2560">
        <f>IF(B2560="","",IFERROR(INDEX(Items!$B$5:$B$304,MATCH(B2560,Items!$A$5:$A$304,0)),"Unknown code"))</f>
        <v/>
      </c>
      <c r="D2560" s="15" t="n"/>
      <c r="E2560" s="16" t="n"/>
      <c r="F2560" s="18">
        <f>IF(OR(D2560="",E2560=""),"",D2560*E2560)</f>
        <v/>
      </c>
      <c r="G2560" s="15" t="n"/>
    </row>
    <row r="2561">
      <c r="A2561" s="19" t="n"/>
      <c r="B2561" s="15" t="n"/>
      <c r="C2561">
        <f>IF(B2561="","",IFERROR(INDEX(Items!$B$5:$B$304,MATCH(B2561,Items!$A$5:$A$304,0)),"Unknown code"))</f>
        <v/>
      </c>
      <c r="D2561" s="15" t="n"/>
      <c r="E2561" s="16" t="n"/>
      <c r="F2561" s="18">
        <f>IF(OR(D2561="",E2561=""),"",D2561*E2561)</f>
        <v/>
      </c>
      <c r="G2561" s="15" t="n"/>
    </row>
    <row r="2562">
      <c r="A2562" s="19" t="n"/>
      <c r="B2562" s="15" t="n"/>
      <c r="C2562">
        <f>IF(B2562="","",IFERROR(INDEX(Items!$B$5:$B$304,MATCH(B2562,Items!$A$5:$A$304,0)),"Unknown code"))</f>
        <v/>
      </c>
      <c r="D2562" s="15" t="n"/>
      <c r="E2562" s="16" t="n"/>
      <c r="F2562" s="18">
        <f>IF(OR(D2562="",E2562=""),"",D2562*E2562)</f>
        <v/>
      </c>
      <c r="G2562" s="15" t="n"/>
    </row>
    <row r="2563">
      <c r="A2563" s="19" t="n"/>
      <c r="B2563" s="15" t="n"/>
      <c r="C2563">
        <f>IF(B2563="","",IFERROR(INDEX(Items!$B$5:$B$304,MATCH(B2563,Items!$A$5:$A$304,0)),"Unknown code"))</f>
        <v/>
      </c>
      <c r="D2563" s="15" t="n"/>
      <c r="E2563" s="16" t="n"/>
      <c r="F2563" s="18">
        <f>IF(OR(D2563="",E2563=""),"",D2563*E2563)</f>
        <v/>
      </c>
      <c r="G2563" s="15" t="n"/>
    </row>
    <row r="2564">
      <c r="A2564" s="19" t="n"/>
      <c r="B2564" s="15" t="n"/>
      <c r="C2564">
        <f>IF(B2564="","",IFERROR(INDEX(Items!$B$5:$B$304,MATCH(B2564,Items!$A$5:$A$304,0)),"Unknown code"))</f>
        <v/>
      </c>
      <c r="D2564" s="15" t="n"/>
      <c r="E2564" s="16" t="n"/>
      <c r="F2564" s="18">
        <f>IF(OR(D2564="",E2564=""),"",D2564*E2564)</f>
        <v/>
      </c>
      <c r="G2564" s="15" t="n"/>
    </row>
    <row r="2565">
      <c r="A2565" s="19" t="n"/>
      <c r="B2565" s="15" t="n"/>
      <c r="C2565">
        <f>IF(B2565="","",IFERROR(INDEX(Items!$B$5:$B$304,MATCH(B2565,Items!$A$5:$A$304,0)),"Unknown code"))</f>
        <v/>
      </c>
      <c r="D2565" s="15" t="n"/>
      <c r="E2565" s="16" t="n"/>
      <c r="F2565" s="18">
        <f>IF(OR(D2565="",E2565=""),"",D2565*E2565)</f>
        <v/>
      </c>
      <c r="G2565" s="15" t="n"/>
    </row>
    <row r="2566">
      <c r="A2566" s="19" t="n"/>
      <c r="B2566" s="15" t="n"/>
      <c r="C2566">
        <f>IF(B2566="","",IFERROR(INDEX(Items!$B$5:$B$304,MATCH(B2566,Items!$A$5:$A$304,0)),"Unknown code"))</f>
        <v/>
      </c>
      <c r="D2566" s="15" t="n"/>
      <c r="E2566" s="16" t="n"/>
      <c r="F2566" s="18">
        <f>IF(OR(D2566="",E2566=""),"",D2566*E2566)</f>
        <v/>
      </c>
      <c r="G2566" s="15" t="n"/>
    </row>
    <row r="2567">
      <c r="A2567" s="19" t="n"/>
      <c r="B2567" s="15" t="n"/>
      <c r="C2567">
        <f>IF(B2567="","",IFERROR(INDEX(Items!$B$5:$B$304,MATCH(B2567,Items!$A$5:$A$304,0)),"Unknown code"))</f>
        <v/>
      </c>
      <c r="D2567" s="15" t="n"/>
      <c r="E2567" s="16" t="n"/>
      <c r="F2567" s="18">
        <f>IF(OR(D2567="",E2567=""),"",D2567*E2567)</f>
        <v/>
      </c>
      <c r="G2567" s="15" t="n"/>
    </row>
    <row r="2568">
      <c r="A2568" s="19" t="n"/>
      <c r="B2568" s="15" t="n"/>
      <c r="C2568">
        <f>IF(B2568="","",IFERROR(INDEX(Items!$B$5:$B$304,MATCH(B2568,Items!$A$5:$A$304,0)),"Unknown code"))</f>
        <v/>
      </c>
      <c r="D2568" s="15" t="n"/>
      <c r="E2568" s="16" t="n"/>
      <c r="F2568" s="18">
        <f>IF(OR(D2568="",E2568=""),"",D2568*E2568)</f>
        <v/>
      </c>
      <c r="G2568" s="15" t="n"/>
    </row>
    <row r="2569">
      <c r="A2569" s="19" t="n"/>
      <c r="B2569" s="15" t="n"/>
      <c r="C2569">
        <f>IF(B2569="","",IFERROR(INDEX(Items!$B$5:$B$304,MATCH(B2569,Items!$A$5:$A$304,0)),"Unknown code"))</f>
        <v/>
      </c>
      <c r="D2569" s="15" t="n"/>
      <c r="E2569" s="16" t="n"/>
      <c r="F2569" s="18">
        <f>IF(OR(D2569="",E2569=""),"",D2569*E2569)</f>
        <v/>
      </c>
      <c r="G2569" s="15" t="n"/>
    </row>
    <row r="2570">
      <c r="A2570" s="19" t="n"/>
      <c r="B2570" s="15" t="n"/>
      <c r="C2570">
        <f>IF(B2570="","",IFERROR(INDEX(Items!$B$5:$B$304,MATCH(B2570,Items!$A$5:$A$304,0)),"Unknown code"))</f>
        <v/>
      </c>
      <c r="D2570" s="15" t="n"/>
      <c r="E2570" s="16" t="n"/>
      <c r="F2570" s="18">
        <f>IF(OR(D2570="",E2570=""),"",D2570*E2570)</f>
        <v/>
      </c>
      <c r="G2570" s="15" t="n"/>
    </row>
    <row r="2571">
      <c r="A2571" s="19" t="n"/>
      <c r="B2571" s="15" t="n"/>
      <c r="C2571">
        <f>IF(B2571="","",IFERROR(INDEX(Items!$B$5:$B$304,MATCH(B2571,Items!$A$5:$A$304,0)),"Unknown code"))</f>
        <v/>
      </c>
      <c r="D2571" s="15" t="n"/>
      <c r="E2571" s="16" t="n"/>
      <c r="F2571" s="18">
        <f>IF(OR(D2571="",E2571=""),"",D2571*E2571)</f>
        <v/>
      </c>
      <c r="G2571" s="15" t="n"/>
    </row>
    <row r="2572">
      <c r="A2572" s="19" t="n"/>
      <c r="B2572" s="15" t="n"/>
      <c r="C2572">
        <f>IF(B2572="","",IFERROR(INDEX(Items!$B$5:$B$304,MATCH(B2572,Items!$A$5:$A$304,0)),"Unknown code"))</f>
        <v/>
      </c>
      <c r="D2572" s="15" t="n"/>
      <c r="E2572" s="16" t="n"/>
      <c r="F2572" s="18">
        <f>IF(OR(D2572="",E2572=""),"",D2572*E2572)</f>
        <v/>
      </c>
      <c r="G2572" s="15" t="n"/>
    </row>
    <row r="2573">
      <c r="A2573" s="19" t="n"/>
      <c r="B2573" s="15" t="n"/>
      <c r="C2573">
        <f>IF(B2573="","",IFERROR(INDEX(Items!$B$5:$B$304,MATCH(B2573,Items!$A$5:$A$304,0)),"Unknown code"))</f>
        <v/>
      </c>
      <c r="D2573" s="15" t="n"/>
      <c r="E2573" s="16" t="n"/>
      <c r="F2573" s="18">
        <f>IF(OR(D2573="",E2573=""),"",D2573*E2573)</f>
        <v/>
      </c>
      <c r="G2573" s="15" t="n"/>
    </row>
    <row r="2574">
      <c r="A2574" s="19" t="n"/>
      <c r="B2574" s="15" t="n"/>
      <c r="C2574">
        <f>IF(B2574="","",IFERROR(INDEX(Items!$B$5:$B$304,MATCH(B2574,Items!$A$5:$A$304,0)),"Unknown code"))</f>
        <v/>
      </c>
      <c r="D2574" s="15" t="n"/>
      <c r="E2574" s="16" t="n"/>
      <c r="F2574" s="18">
        <f>IF(OR(D2574="",E2574=""),"",D2574*E2574)</f>
        <v/>
      </c>
      <c r="G2574" s="15" t="n"/>
    </row>
    <row r="2575">
      <c r="A2575" s="19" t="n"/>
      <c r="B2575" s="15" t="n"/>
      <c r="C2575">
        <f>IF(B2575="","",IFERROR(INDEX(Items!$B$5:$B$304,MATCH(B2575,Items!$A$5:$A$304,0)),"Unknown code"))</f>
        <v/>
      </c>
      <c r="D2575" s="15" t="n"/>
      <c r="E2575" s="16" t="n"/>
      <c r="F2575" s="18">
        <f>IF(OR(D2575="",E2575=""),"",D2575*E2575)</f>
        <v/>
      </c>
      <c r="G2575" s="15" t="n"/>
    </row>
    <row r="2576">
      <c r="A2576" s="19" t="n"/>
      <c r="B2576" s="15" t="n"/>
      <c r="C2576">
        <f>IF(B2576="","",IFERROR(INDEX(Items!$B$5:$B$304,MATCH(B2576,Items!$A$5:$A$304,0)),"Unknown code"))</f>
        <v/>
      </c>
      <c r="D2576" s="15" t="n"/>
      <c r="E2576" s="16" t="n"/>
      <c r="F2576" s="18">
        <f>IF(OR(D2576="",E2576=""),"",D2576*E2576)</f>
        <v/>
      </c>
      <c r="G2576" s="15" t="n"/>
    </row>
    <row r="2577">
      <c r="A2577" s="19" t="n"/>
      <c r="B2577" s="15" t="n"/>
      <c r="C2577">
        <f>IF(B2577="","",IFERROR(INDEX(Items!$B$5:$B$304,MATCH(B2577,Items!$A$5:$A$304,0)),"Unknown code"))</f>
        <v/>
      </c>
      <c r="D2577" s="15" t="n"/>
      <c r="E2577" s="16" t="n"/>
      <c r="F2577" s="18">
        <f>IF(OR(D2577="",E2577=""),"",D2577*E2577)</f>
        <v/>
      </c>
      <c r="G2577" s="15" t="n"/>
    </row>
    <row r="2578">
      <c r="A2578" s="19" t="n"/>
      <c r="B2578" s="15" t="n"/>
      <c r="C2578">
        <f>IF(B2578="","",IFERROR(INDEX(Items!$B$5:$B$304,MATCH(B2578,Items!$A$5:$A$304,0)),"Unknown code"))</f>
        <v/>
      </c>
      <c r="D2578" s="15" t="n"/>
      <c r="E2578" s="16" t="n"/>
      <c r="F2578" s="18">
        <f>IF(OR(D2578="",E2578=""),"",D2578*E2578)</f>
        <v/>
      </c>
      <c r="G2578" s="15" t="n"/>
    </row>
    <row r="2579">
      <c r="A2579" s="19" t="n"/>
      <c r="B2579" s="15" t="n"/>
      <c r="C2579">
        <f>IF(B2579="","",IFERROR(INDEX(Items!$B$5:$B$304,MATCH(B2579,Items!$A$5:$A$304,0)),"Unknown code"))</f>
        <v/>
      </c>
      <c r="D2579" s="15" t="n"/>
      <c r="E2579" s="16" t="n"/>
      <c r="F2579" s="18">
        <f>IF(OR(D2579="",E2579=""),"",D2579*E2579)</f>
        <v/>
      </c>
      <c r="G2579" s="15" t="n"/>
    </row>
    <row r="2580">
      <c r="A2580" s="19" t="n"/>
      <c r="B2580" s="15" t="n"/>
      <c r="C2580">
        <f>IF(B2580="","",IFERROR(INDEX(Items!$B$5:$B$304,MATCH(B2580,Items!$A$5:$A$304,0)),"Unknown code"))</f>
        <v/>
      </c>
      <c r="D2580" s="15" t="n"/>
      <c r="E2580" s="16" t="n"/>
      <c r="F2580" s="18">
        <f>IF(OR(D2580="",E2580=""),"",D2580*E2580)</f>
        <v/>
      </c>
      <c r="G2580" s="15" t="n"/>
    </row>
    <row r="2581">
      <c r="A2581" s="19" t="n"/>
      <c r="B2581" s="15" t="n"/>
      <c r="C2581">
        <f>IF(B2581="","",IFERROR(INDEX(Items!$B$5:$B$304,MATCH(B2581,Items!$A$5:$A$304,0)),"Unknown code"))</f>
        <v/>
      </c>
      <c r="D2581" s="15" t="n"/>
      <c r="E2581" s="16" t="n"/>
      <c r="F2581" s="18">
        <f>IF(OR(D2581="",E2581=""),"",D2581*E2581)</f>
        <v/>
      </c>
      <c r="G2581" s="15" t="n"/>
    </row>
    <row r="2582">
      <c r="A2582" s="19" t="n"/>
      <c r="B2582" s="15" t="n"/>
      <c r="C2582">
        <f>IF(B2582="","",IFERROR(INDEX(Items!$B$5:$B$304,MATCH(B2582,Items!$A$5:$A$304,0)),"Unknown code"))</f>
        <v/>
      </c>
      <c r="D2582" s="15" t="n"/>
      <c r="E2582" s="16" t="n"/>
      <c r="F2582" s="18">
        <f>IF(OR(D2582="",E2582=""),"",D2582*E2582)</f>
        <v/>
      </c>
      <c r="G2582" s="15" t="n"/>
    </row>
    <row r="2583">
      <c r="A2583" s="19" t="n"/>
      <c r="B2583" s="15" t="n"/>
      <c r="C2583">
        <f>IF(B2583="","",IFERROR(INDEX(Items!$B$5:$B$304,MATCH(B2583,Items!$A$5:$A$304,0)),"Unknown code"))</f>
        <v/>
      </c>
      <c r="D2583" s="15" t="n"/>
      <c r="E2583" s="16" t="n"/>
      <c r="F2583" s="18">
        <f>IF(OR(D2583="",E2583=""),"",D2583*E2583)</f>
        <v/>
      </c>
      <c r="G2583" s="15" t="n"/>
    </row>
    <row r="2584">
      <c r="A2584" s="19" t="n"/>
      <c r="B2584" s="15" t="n"/>
      <c r="C2584">
        <f>IF(B2584="","",IFERROR(INDEX(Items!$B$5:$B$304,MATCH(B2584,Items!$A$5:$A$304,0)),"Unknown code"))</f>
        <v/>
      </c>
      <c r="D2584" s="15" t="n"/>
      <c r="E2584" s="16" t="n"/>
      <c r="F2584" s="18">
        <f>IF(OR(D2584="",E2584=""),"",D2584*E2584)</f>
        <v/>
      </c>
      <c r="G2584" s="15" t="n"/>
    </row>
    <row r="2585">
      <c r="A2585" s="19" t="n"/>
      <c r="B2585" s="15" t="n"/>
      <c r="C2585">
        <f>IF(B2585="","",IFERROR(INDEX(Items!$B$5:$B$304,MATCH(B2585,Items!$A$5:$A$304,0)),"Unknown code"))</f>
        <v/>
      </c>
      <c r="D2585" s="15" t="n"/>
      <c r="E2585" s="16" t="n"/>
      <c r="F2585" s="18">
        <f>IF(OR(D2585="",E2585=""),"",D2585*E2585)</f>
        <v/>
      </c>
      <c r="G2585" s="15" t="n"/>
    </row>
    <row r="2586">
      <c r="A2586" s="19" t="n"/>
      <c r="B2586" s="15" t="n"/>
      <c r="C2586">
        <f>IF(B2586="","",IFERROR(INDEX(Items!$B$5:$B$304,MATCH(B2586,Items!$A$5:$A$304,0)),"Unknown code"))</f>
        <v/>
      </c>
      <c r="D2586" s="15" t="n"/>
      <c r="E2586" s="16" t="n"/>
      <c r="F2586" s="18">
        <f>IF(OR(D2586="",E2586=""),"",D2586*E2586)</f>
        <v/>
      </c>
      <c r="G2586" s="15" t="n"/>
    </row>
    <row r="2587">
      <c r="A2587" s="19" t="n"/>
      <c r="B2587" s="15" t="n"/>
      <c r="C2587">
        <f>IF(B2587="","",IFERROR(INDEX(Items!$B$5:$B$304,MATCH(B2587,Items!$A$5:$A$304,0)),"Unknown code"))</f>
        <v/>
      </c>
      <c r="D2587" s="15" t="n"/>
      <c r="E2587" s="16" t="n"/>
      <c r="F2587" s="18">
        <f>IF(OR(D2587="",E2587=""),"",D2587*E2587)</f>
        <v/>
      </c>
      <c r="G2587" s="15" t="n"/>
    </row>
    <row r="2588">
      <c r="A2588" s="19" t="n"/>
      <c r="B2588" s="15" t="n"/>
      <c r="C2588">
        <f>IF(B2588="","",IFERROR(INDEX(Items!$B$5:$B$304,MATCH(B2588,Items!$A$5:$A$304,0)),"Unknown code"))</f>
        <v/>
      </c>
      <c r="D2588" s="15" t="n"/>
      <c r="E2588" s="16" t="n"/>
      <c r="F2588" s="18">
        <f>IF(OR(D2588="",E2588=""),"",D2588*E2588)</f>
        <v/>
      </c>
      <c r="G2588" s="15" t="n"/>
    </row>
    <row r="2589">
      <c r="A2589" s="19" t="n"/>
      <c r="B2589" s="15" t="n"/>
      <c r="C2589">
        <f>IF(B2589="","",IFERROR(INDEX(Items!$B$5:$B$304,MATCH(B2589,Items!$A$5:$A$304,0)),"Unknown code"))</f>
        <v/>
      </c>
      <c r="D2589" s="15" t="n"/>
      <c r="E2589" s="16" t="n"/>
      <c r="F2589" s="18">
        <f>IF(OR(D2589="",E2589=""),"",D2589*E2589)</f>
        <v/>
      </c>
      <c r="G2589" s="15" t="n"/>
    </row>
    <row r="2590">
      <c r="A2590" s="19" t="n"/>
      <c r="B2590" s="15" t="n"/>
      <c r="C2590">
        <f>IF(B2590="","",IFERROR(INDEX(Items!$B$5:$B$304,MATCH(B2590,Items!$A$5:$A$304,0)),"Unknown code"))</f>
        <v/>
      </c>
      <c r="D2590" s="15" t="n"/>
      <c r="E2590" s="16" t="n"/>
      <c r="F2590" s="18">
        <f>IF(OR(D2590="",E2590=""),"",D2590*E2590)</f>
        <v/>
      </c>
      <c r="G2590" s="15" t="n"/>
    </row>
    <row r="2591">
      <c r="A2591" s="19" t="n"/>
      <c r="B2591" s="15" t="n"/>
      <c r="C2591">
        <f>IF(B2591="","",IFERROR(INDEX(Items!$B$5:$B$304,MATCH(B2591,Items!$A$5:$A$304,0)),"Unknown code"))</f>
        <v/>
      </c>
      <c r="D2591" s="15" t="n"/>
      <c r="E2591" s="16" t="n"/>
      <c r="F2591" s="18">
        <f>IF(OR(D2591="",E2591=""),"",D2591*E2591)</f>
        <v/>
      </c>
      <c r="G2591" s="15" t="n"/>
    </row>
    <row r="2592">
      <c r="A2592" s="19" t="n"/>
      <c r="B2592" s="15" t="n"/>
      <c r="C2592">
        <f>IF(B2592="","",IFERROR(INDEX(Items!$B$5:$B$304,MATCH(B2592,Items!$A$5:$A$304,0)),"Unknown code"))</f>
        <v/>
      </c>
      <c r="D2592" s="15" t="n"/>
      <c r="E2592" s="16" t="n"/>
      <c r="F2592" s="18">
        <f>IF(OR(D2592="",E2592=""),"",D2592*E2592)</f>
        <v/>
      </c>
      <c r="G2592" s="15" t="n"/>
    </row>
    <row r="2593">
      <c r="A2593" s="19" t="n"/>
      <c r="B2593" s="15" t="n"/>
      <c r="C2593">
        <f>IF(B2593="","",IFERROR(INDEX(Items!$B$5:$B$304,MATCH(B2593,Items!$A$5:$A$304,0)),"Unknown code"))</f>
        <v/>
      </c>
      <c r="D2593" s="15" t="n"/>
      <c r="E2593" s="16" t="n"/>
      <c r="F2593" s="18">
        <f>IF(OR(D2593="",E2593=""),"",D2593*E2593)</f>
        <v/>
      </c>
      <c r="G2593" s="15" t="n"/>
    </row>
    <row r="2594">
      <c r="A2594" s="19" t="n"/>
      <c r="B2594" s="15" t="n"/>
      <c r="C2594">
        <f>IF(B2594="","",IFERROR(INDEX(Items!$B$5:$B$304,MATCH(B2594,Items!$A$5:$A$304,0)),"Unknown code"))</f>
        <v/>
      </c>
      <c r="D2594" s="15" t="n"/>
      <c r="E2594" s="16" t="n"/>
      <c r="F2594" s="18">
        <f>IF(OR(D2594="",E2594=""),"",D2594*E2594)</f>
        <v/>
      </c>
      <c r="G2594" s="15" t="n"/>
    </row>
    <row r="2595">
      <c r="A2595" s="19" t="n"/>
      <c r="B2595" s="15" t="n"/>
      <c r="C2595">
        <f>IF(B2595="","",IFERROR(INDEX(Items!$B$5:$B$304,MATCH(B2595,Items!$A$5:$A$304,0)),"Unknown code"))</f>
        <v/>
      </c>
      <c r="D2595" s="15" t="n"/>
      <c r="E2595" s="16" t="n"/>
      <c r="F2595" s="18">
        <f>IF(OR(D2595="",E2595=""),"",D2595*E2595)</f>
        <v/>
      </c>
      <c r="G2595" s="15" t="n"/>
    </row>
    <row r="2596">
      <c r="A2596" s="19" t="n"/>
      <c r="B2596" s="15" t="n"/>
      <c r="C2596">
        <f>IF(B2596="","",IFERROR(INDEX(Items!$B$5:$B$304,MATCH(B2596,Items!$A$5:$A$304,0)),"Unknown code"))</f>
        <v/>
      </c>
      <c r="D2596" s="15" t="n"/>
      <c r="E2596" s="16" t="n"/>
      <c r="F2596" s="18">
        <f>IF(OR(D2596="",E2596=""),"",D2596*E2596)</f>
        <v/>
      </c>
      <c r="G2596" s="15" t="n"/>
    </row>
    <row r="2597">
      <c r="A2597" s="19" t="n"/>
      <c r="B2597" s="15" t="n"/>
      <c r="C2597">
        <f>IF(B2597="","",IFERROR(INDEX(Items!$B$5:$B$304,MATCH(B2597,Items!$A$5:$A$304,0)),"Unknown code"))</f>
        <v/>
      </c>
      <c r="D2597" s="15" t="n"/>
      <c r="E2597" s="16" t="n"/>
      <c r="F2597" s="18">
        <f>IF(OR(D2597="",E2597=""),"",D2597*E2597)</f>
        <v/>
      </c>
      <c r="G2597" s="15" t="n"/>
    </row>
    <row r="2598">
      <c r="A2598" s="19" t="n"/>
      <c r="B2598" s="15" t="n"/>
      <c r="C2598">
        <f>IF(B2598="","",IFERROR(INDEX(Items!$B$5:$B$304,MATCH(B2598,Items!$A$5:$A$304,0)),"Unknown code"))</f>
        <v/>
      </c>
      <c r="D2598" s="15" t="n"/>
      <c r="E2598" s="16" t="n"/>
      <c r="F2598" s="18">
        <f>IF(OR(D2598="",E2598=""),"",D2598*E2598)</f>
        <v/>
      </c>
      <c r="G2598" s="15" t="n"/>
    </row>
    <row r="2599">
      <c r="A2599" s="19" t="n"/>
      <c r="B2599" s="15" t="n"/>
      <c r="C2599">
        <f>IF(B2599="","",IFERROR(INDEX(Items!$B$5:$B$304,MATCH(B2599,Items!$A$5:$A$304,0)),"Unknown code"))</f>
        <v/>
      </c>
      <c r="D2599" s="15" t="n"/>
      <c r="E2599" s="16" t="n"/>
      <c r="F2599" s="18">
        <f>IF(OR(D2599="",E2599=""),"",D2599*E2599)</f>
        <v/>
      </c>
      <c r="G2599" s="15" t="n"/>
    </row>
    <row r="2600">
      <c r="A2600" s="19" t="n"/>
      <c r="B2600" s="15" t="n"/>
      <c r="C2600">
        <f>IF(B2600="","",IFERROR(INDEX(Items!$B$5:$B$304,MATCH(B2600,Items!$A$5:$A$304,0)),"Unknown code"))</f>
        <v/>
      </c>
      <c r="D2600" s="15" t="n"/>
      <c r="E2600" s="16" t="n"/>
      <c r="F2600" s="18">
        <f>IF(OR(D2600="",E2600=""),"",D2600*E2600)</f>
        <v/>
      </c>
      <c r="G2600" s="15" t="n"/>
    </row>
    <row r="2601">
      <c r="A2601" s="19" t="n"/>
      <c r="B2601" s="15" t="n"/>
      <c r="C2601">
        <f>IF(B2601="","",IFERROR(INDEX(Items!$B$5:$B$304,MATCH(B2601,Items!$A$5:$A$304,0)),"Unknown code"))</f>
        <v/>
      </c>
      <c r="D2601" s="15" t="n"/>
      <c r="E2601" s="16" t="n"/>
      <c r="F2601" s="18">
        <f>IF(OR(D2601="",E2601=""),"",D2601*E2601)</f>
        <v/>
      </c>
      <c r="G2601" s="15" t="n"/>
    </row>
    <row r="2602">
      <c r="A2602" s="19" t="n"/>
      <c r="B2602" s="15" t="n"/>
      <c r="C2602">
        <f>IF(B2602="","",IFERROR(INDEX(Items!$B$5:$B$304,MATCH(B2602,Items!$A$5:$A$304,0)),"Unknown code"))</f>
        <v/>
      </c>
      <c r="D2602" s="15" t="n"/>
      <c r="E2602" s="16" t="n"/>
      <c r="F2602" s="18">
        <f>IF(OR(D2602="",E2602=""),"",D2602*E2602)</f>
        <v/>
      </c>
      <c r="G2602" s="15" t="n"/>
    </row>
    <row r="2603">
      <c r="A2603" s="19" t="n"/>
      <c r="B2603" s="15" t="n"/>
      <c r="C2603">
        <f>IF(B2603="","",IFERROR(INDEX(Items!$B$5:$B$304,MATCH(B2603,Items!$A$5:$A$304,0)),"Unknown code"))</f>
        <v/>
      </c>
      <c r="D2603" s="15" t="n"/>
      <c r="E2603" s="16" t="n"/>
      <c r="F2603" s="18">
        <f>IF(OR(D2603="",E2603=""),"",D2603*E2603)</f>
        <v/>
      </c>
      <c r="G2603" s="15" t="n"/>
    </row>
    <row r="2604">
      <c r="A2604" s="19" t="n"/>
      <c r="B2604" s="15" t="n"/>
      <c r="C2604">
        <f>IF(B2604="","",IFERROR(INDEX(Items!$B$5:$B$304,MATCH(B2604,Items!$A$5:$A$304,0)),"Unknown code"))</f>
        <v/>
      </c>
      <c r="D2604" s="15" t="n"/>
      <c r="E2604" s="16" t="n"/>
      <c r="F2604" s="18">
        <f>IF(OR(D2604="",E2604=""),"",D2604*E2604)</f>
        <v/>
      </c>
      <c r="G2604" s="15" t="n"/>
    </row>
    <row r="2605">
      <c r="A2605" s="19" t="n"/>
      <c r="B2605" s="15" t="n"/>
      <c r="C2605">
        <f>IF(B2605="","",IFERROR(INDEX(Items!$B$5:$B$304,MATCH(B2605,Items!$A$5:$A$304,0)),"Unknown code"))</f>
        <v/>
      </c>
      <c r="D2605" s="15" t="n"/>
      <c r="E2605" s="16" t="n"/>
      <c r="F2605" s="18">
        <f>IF(OR(D2605="",E2605=""),"",D2605*E2605)</f>
        <v/>
      </c>
      <c r="G2605" s="15" t="n"/>
    </row>
    <row r="2606">
      <c r="A2606" s="19" t="n"/>
      <c r="B2606" s="15" t="n"/>
      <c r="C2606">
        <f>IF(B2606="","",IFERROR(INDEX(Items!$B$5:$B$304,MATCH(B2606,Items!$A$5:$A$304,0)),"Unknown code"))</f>
        <v/>
      </c>
      <c r="D2606" s="15" t="n"/>
      <c r="E2606" s="16" t="n"/>
      <c r="F2606" s="18">
        <f>IF(OR(D2606="",E2606=""),"",D2606*E2606)</f>
        <v/>
      </c>
      <c r="G2606" s="15" t="n"/>
    </row>
    <row r="2607">
      <c r="A2607" s="19" t="n"/>
      <c r="B2607" s="15" t="n"/>
      <c r="C2607">
        <f>IF(B2607="","",IFERROR(INDEX(Items!$B$5:$B$304,MATCH(B2607,Items!$A$5:$A$304,0)),"Unknown code"))</f>
        <v/>
      </c>
      <c r="D2607" s="15" t="n"/>
      <c r="E2607" s="16" t="n"/>
      <c r="F2607" s="18">
        <f>IF(OR(D2607="",E2607=""),"",D2607*E2607)</f>
        <v/>
      </c>
      <c r="G2607" s="15" t="n"/>
    </row>
    <row r="2608">
      <c r="A2608" s="19" t="n"/>
      <c r="B2608" s="15" t="n"/>
      <c r="C2608">
        <f>IF(B2608="","",IFERROR(INDEX(Items!$B$5:$B$304,MATCH(B2608,Items!$A$5:$A$304,0)),"Unknown code"))</f>
        <v/>
      </c>
      <c r="D2608" s="15" t="n"/>
      <c r="E2608" s="16" t="n"/>
      <c r="F2608" s="18">
        <f>IF(OR(D2608="",E2608=""),"",D2608*E2608)</f>
        <v/>
      </c>
      <c r="G2608" s="15" t="n"/>
    </row>
    <row r="2609">
      <c r="A2609" s="19" t="n"/>
      <c r="B2609" s="15" t="n"/>
      <c r="C2609">
        <f>IF(B2609="","",IFERROR(INDEX(Items!$B$5:$B$304,MATCH(B2609,Items!$A$5:$A$304,0)),"Unknown code"))</f>
        <v/>
      </c>
      <c r="D2609" s="15" t="n"/>
      <c r="E2609" s="16" t="n"/>
      <c r="F2609" s="18">
        <f>IF(OR(D2609="",E2609=""),"",D2609*E2609)</f>
        <v/>
      </c>
      <c r="G2609" s="15" t="n"/>
    </row>
    <row r="2610">
      <c r="A2610" s="19" t="n"/>
      <c r="B2610" s="15" t="n"/>
      <c r="C2610">
        <f>IF(B2610="","",IFERROR(INDEX(Items!$B$5:$B$304,MATCH(B2610,Items!$A$5:$A$304,0)),"Unknown code"))</f>
        <v/>
      </c>
      <c r="D2610" s="15" t="n"/>
      <c r="E2610" s="16" t="n"/>
      <c r="F2610" s="18">
        <f>IF(OR(D2610="",E2610=""),"",D2610*E2610)</f>
        <v/>
      </c>
      <c r="G2610" s="15" t="n"/>
    </row>
    <row r="2611">
      <c r="A2611" s="19" t="n"/>
      <c r="B2611" s="15" t="n"/>
      <c r="C2611">
        <f>IF(B2611="","",IFERROR(INDEX(Items!$B$5:$B$304,MATCH(B2611,Items!$A$5:$A$304,0)),"Unknown code"))</f>
        <v/>
      </c>
      <c r="D2611" s="15" t="n"/>
      <c r="E2611" s="16" t="n"/>
      <c r="F2611" s="18">
        <f>IF(OR(D2611="",E2611=""),"",D2611*E2611)</f>
        <v/>
      </c>
      <c r="G2611" s="15" t="n"/>
    </row>
    <row r="2612">
      <c r="A2612" s="19" t="n"/>
      <c r="B2612" s="15" t="n"/>
      <c r="C2612">
        <f>IF(B2612="","",IFERROR(INDEX(Items!$B$5:$B$304,MATCH(B2612,Items!$A$5:$A$304,0)),"Unknown code"))</f>
        <v/>
      </c>
      <c r="D2612" s="15" t="n"/>
      <c r="E2612" s="16" t="n"/>
      <c r="F2612" s="18">
        <f>IF(OR(D2612="",E2612=""),"",D2612*E2612)</f>
        <v/>
      </c>
      <c r="G2612" s="15" t="n"/>
    </row>
    <row r="2613">
      <c r="A2613" s="19" t="n"/>
      <c r="B2613" s="15" t="n"/>
      <c r="C2613">
        <f>IF(B2613="","",IFERROR(INDEX(Items!$B$5:$B$304,MATCH(B2613,Items!$A$5:$A$304,0)),"Unknown code"))</f>
        <v/>
      </c>
      <c r="D2613" s="15" t="n"/>
      <c r="E2613" s="16" t="n"/>
      <c r="F2613" s="18">
        <f>IF(OR(D2613="",E2613=""),"",D2613*E2613)</f>
        <v/>
      </c>
      <c r="G2613" s="15" t="n"/>
    </row>
    <row r="2614">
      <c r="A2614" s="19" t="n"/>
      <c r="B2614" s="15" t="n"/>
      <c r="C2614">
        <f>IF(B2614="","",IFERROR(INDEX(Items!$B$5:$B$304,MATCH(B2614,Items!$A$5:$A$304,0)),"Unknown code"))</f>
        <v/>
      </c>
      <c r="D2614" s="15" t="n"/>
      <c r="E2614" s="16" t="n"/>
      <c r="F2614" s="18">
        <f>IF(OR(D2614="",E2614=""),"",D2614*E2614)</f>
        <v/>
      </c>
      <c r="G2614" s="15" t="n"/>
    </row>
    <row r="2615">
      <c r="A2615" s="19" t="n"/>
      <c r="B2615" s="15" t="n"/>
      <c r="C2615">
        <f>IF(B2615="","",IFERROR(INDEX(Items!$B$5:$B$304,MATCH(B2615,Items!$A$5:$A$304,0)),"Unknown code"))</f>
        <v/>
      </c>
      <c r="D2615" s="15" t="n"/>
      <c r="E2615" s="16" t="n"/>
      <c r="F2615" s="18">
        <f>IF(OR(D2615="",E2615=""),"",D2615*E2615)</f>
        <v/>
      </c>
      <c r="G2615" s="15" t="n"/>
    </row>
    <row r="2616">
      <c r="A2616" s="19" t="n"/>
      <c r="B2616" s="15" t="n"/>
      <c r="C2616">
        <f>IF(B2616="","",IFERROR(INDEX(Items!$B$5:$B$304,MATCH(B2616,Items!$A$5:$A$304,0)),"Unknown code"))</f>
        <v/>
      </c>
      <c r="D2616" s="15" t="n"/>
      <c r="E2616" s="16" t="n"/>
      <c r="F2616" s="18">
        <f>IF(OR(D2616="",E2616=""),"",D2616*E2616)</f>
        <v/>
      </c>
      <c r="G2616" s="15" t="n"/>
    </row>
    <row r="2617">
      <c r="A2617" s="19" t="n"/>
      <c r="B2617" s="15" t="n"/>
      <c r="C2617">
        <f>IF(B2617="","",IFERROR(INDEX(Items!$B$5:$B$304,MATCH(B2617,Items!$A$5:$A$304,0)),"Unknown code"))</f>
        <v/>
      </c>
      <c r="D2617" s="15" t="n"/>
      <c r="E2617" s="16" t="n"/>
      <c r="F2617" s="18">
        <f>IF(OR(D2617="",E2617=""),"",D2617*E2617)</f>
        <v/>
      </c>
      <c r="G2617" s="15" t="n"/>
    </row>
    <row r="2618">
      <c r="A2618" s="19" t="n"/>
      <c r="B2618" s="15" t="n"/>
      <c r="C2618">
        <f>IF(B2618="","",IFERROR(INDEX(Items!$B$5:$B$304,MATCH(B2618,Items!$A$5:$A$304,0)),"Unknown code"))</f>
        <v/>
      </c>
      <c r="D2618" s="15" t="n"/>
      <c r="E2618" s="16" t="n"/>
      <c r="F2618" s="18">
        <f>IF(OR(D2618="",E2618=""),"",D2618*E2618)</f>
        <v/>
      </c>
      <c r="G2618" s="15" t="n"/>
    </row>
    <row r="2619">
      <c r="A2619" s="19" t="n"/>
      <c r="B2619" s="15" t="n"/>
      <c r="C2619">
        <f>IF(B2619="","",IFERROR(INDEX(Items!$B$5:$B$304,MATCH(B2619,Items!$A$5:$A$304,0)),"Unknown code"))</f>
        <v/>
      </c>
      <c r="D2619" s="15" t="n"/>
      <c r="E2619" s="16" t="n"/>
      <c r="F2619" s="18">
        <f>IF(OR(D2619="",E2619=""),"",D2619*E2619)</f>
        <v/>
      </c>
      <c r="G2619" s="15" t="n"/>
    </row>
    <row r="2620">
      <c r="A2620" s="19" t="n"/>
      <c r="B2620" s="15" t="n"/>
      <c r="C2620">
        <f>IF(B2620="","",IFERROR(INDEX(Items!$B$5:$B$304,MATCH(B2620,Items!$A$5:$A$304,0)),"Unknown code"))</f>
        <v/>
      </c>
      <c r="D2620" s="15" t="n"/>
      <c r="E2620" s="16" t="n"/>
      <c r="F2620" s="18">
        <f>IF(OR(D2620="",E2620=""),"",D2620*E2620)</f>
        <v/>
      </c>
      <c r="G2620" s="15" t="n"/>
    </row>
    <row r="2621">
      <c r="A2621" s="19" t="n"/>
      <c r="B2621" s="15" t="n"/>
      <c r="C2621">
        <f>IF(B2621="","",IFERROR(INDEX(Items!$B$5:$B$304,MATCH(B2621,Items!$A$5:$A$304,0)),"Unknown code"))</f>
        <v/>
      </c>
      <c r="D2621" s="15" t="n"/>
      <c r="E2621" s="16" t="n"/>
      <c r="F2621" s="18">
        <f>IF(OR(D2621="",E2621=""),"",D2621*E2621)</f>
        <v/>
      </c>
      <c r="G2621" s="15" t="n"/>
    </row>
    <row r="2622">
      <c r="A2622" s="19" t="n"/>
      <c r="B2622" s="15" t="n"/>
      <c r="C2622">
        <f>IF(B2622="","",IFERROR(INDEX(Items!$B$5:$B$304,MATCH(B2622,Items!$A$5:$A$304,0)),"Unknown code"))</f>
        <v/>
      </c>
      <c r="D2622" s="15" t="n"/>
      <c r="E2622" s="16" t="n"/>
      <c r="F2622" s="18">
        <f>IF(OR(D2622="",E2622=""),"",D2622*E2622)</f>
        <v/>
      </c>
      <c r="G2622" s="15" t="n"/>
    </row>
    <row r="2623">
      <c r="A2623" s="19" t="n"/>
      <c r="B2623" s="15" t="n"/>
      <c r="C2623">
        <f>IF(B2623="","",IFERROR(INDEX(Items!$B$5:$B$304,MATCH(B2623,Items!$A$5:$A$304,0)),"Unknown code"))</f>
        <v/>
      </c>
      <c r="D2623" s="15" t="n"/>
      <c r="E2623" s="16" t="n"/>
      <c r="F2623" s="18">
        <f>IF(OR(D2623="",E2623=""),"",D2623*E2623)</f>
        <v/>
      </c>
      <c r="G2623" s="15" t="n"/>
    </row>
    <row r="2624">
      <c r="A2624" s="19" t="n"/>
      <c r="B2624" s="15" t="n"/>
      <c r="C2624">
        <f>IF(B2624="","",IFERROR(INDEX(Items!$B$5:$B$304,MATCH(B2624,Items!$A$5:$A$304,0)),"Unknown code"))</f>
        <v/>
      </c>
      <c r="D2624" s="15" t="n"/>
      <c r="E2624" s="16" t="n"/>
      <c r="F2624" s="18">
        <f>IF(OR(D2624="",E2624=""),"",D2624*E2624)</f>
        <v/>
      </c>
      <c r="G2624" s="15" t="n"/>
    </row>
    <row r="2625">
      <c r="A2625" s="19" t="n"/>
      <c r="B2625" s="15" t="n"/>
      <c r="C2625">
        <f>IF(B2625="","",IFERROR(INDEX(Items!$B$5:$B$304,MATCH(B2625,Items!$A$5:$A$304,0)),"Unknown code"))</f>
        <v/>
      </c>
      <c r="D2625" s="15" t="n"/>
      <c r="E2625" s="16" t="n"/>
      <c r="F2625" s="18">
        <f>IF(OR(D2625="",E2625=""),"",D2625*E2625)</f>
        <v/>
      </c>
      <c r="G2625" s="15" t="n"/>
    </row>
    <row r="2626">
      <c r="A2626" s="19" t="n"/>
      <c r="B2626" s="15" t="n"/>
      <c r="C2626">
        <f>IF(B2626="","",IFERROR(INDEX(Items!$B$5:$B$304,MATCH(B2626,Items!$A$5:$A$304,0)),"Unknown code"))</f>
        <v/>
      </c>
      <c r="D2626" s="15" t="n"/>
      <c r="E2626" s="16" t="n"/>
      <c r="F2626" s="18">
        <f>IF(OR(D2626="",E2626=""),"",D2626*E2626)</f>
        <v/>
      </c>
      <c r="G2626" s="15" t="n"/>
    </row>
    <row r="2627">
      <c r="A2627" s="19" t="n"/>
      <c r="B2627" s="15" t="n"/>
      <c r="C2627">
        <f>IF(B2627="","",IFERROR(INDEX(Items!$B$5:$B$304,MATCH(B2627,Items!$A$5:$A$304,0)),"Unknown code"))</f>
        <v/>
      </c>
      <c r="D2627" s="15" t="n"/>
      <c r="E2627" s="16" t="n"/>
      <c r="F2627" s="18">
        <f>IF(OR(D2627="",E2627=""),"",D2627*E2627)</f>
        <v/>
      </c>
      <c r="G2627" s="15" t="n"/>
    </row>
    <row r="2628">
      <c r="A2628" s="19" t="n"/>
      <c r="B2628" s="15" t="n"/>
      <c r="C2628">
        <f>IF(B2628="","",IFERROR(INDEX(Items!$B$5:$B$304,MATCH(B2628,Items!$A$5:$A$304,0)),"Unknown code"))</f>
        <v/>
      </c>
      <c r="D2628" s="15" t="n"/>
      <c r="E2628" s="16" t="n"/>
      <c r="F2628" s="18">
        <f>IF(OR(D2628="",E2628=""),"",D2628*E2628)</f>
        <v/>
      </c>
      <c r="G2628" s="15" t="n"/>
    </row>
    <row r="2629">
      <c r="A2629" s="19" t="n"/>
      <c r="B2629" s="15" t="n"/>
      <c r="C2629">
        <f>IF(B2629="","",IFERROR(INDEX(Items!$B$5:$B$304,MATCH(B2629,Items!$A$5:$A$304,0)),"Unknown code"))</f>
        <v/>
      </c>
      <c r="D2629" s="15" t="n"/>
      <c r="E2629" s="16" t="n"/>
      <c r="F2629" s="18">
        <f>IF(OR(D2629="",E2629=""),"",D2629*E2629)</f>
        <v/>
      </c>
      <c r="G2629" s="15" t="n"/>
    </row>
    <row r="2630">
      <c r="A2630" s="19" t="n"/>
      <c r="B2630" s="15" t="n"/>
      <c r="C2630">
        <f>IF(B2630="","",IFERROR(INDEX(Items!$B$5:$B$304,MATCH(B2630,Items!$A$5:$A$304,0)),"Unknown code"))</f>
        <v/>
      </c>
      <c r="D2630" s="15" t="n"/>
      <c r="E2630" s="16" t="n"/>
      <c r="F2630" s="18">
        <f>IF(OR(D2630="",E2630=""),"",D2630*E2630)</f>
        <v/>
      </c>
      <c r="G2630" s="15" t="n"/>
    </row>
    <row r="2631">
      <c r="A2631" s="19" t="n"/>
      <c r="B2631" s="15" t="n"/>
      <c r="C2631">
        <f>IF(B2631="","",IFERROR(INDEX(Items!$B$5:$B$304,MATCH(B2631,Items!$A$5:$A$304,0)),"Unknown code"))</f>
        <v/>
      </c>
      <c r="D2631" s="15" t="n"/>
      <c r="E2631" s="16" t="n"/>
      <c r="F2631" s="18">
        <f>IF(OR(D2631="",E2631=""),"",D2631*E2631)</f>
        <v/>
      </c>
      <c r="G2631" s="15" t="n"/>
    </row>
    <row r="2632">
      <c r="A2632" s="19" t="n"/>
      <c r="B2632" s="15" t="n"/>
      <c r="C2632">
        <f>IF(B2632="","",IFERROR(INDEX(Items!$B$5:$B$304,MATCH(B2632,Items!$A$5:$A$304,0)),"Unknown code"))</f>
        <v/>
      </c>
      <c r="D2632" s="15" t="n"/>
      <c r="E2632" s="16" t="n"/>
      <c r="F2632" s="18">
        <f>IF(OR(D2632="",E2632=""),"",D2632*E2632)</f>
        <v/>
      </c>
      <c r="G2632" s="15" t="n"/>
    </row>
    <row r="2633">
      <c r="A2633" s="19" t="n"/>
      <c r="B2633" s="15" t="n"/>
      <c r="C2633">
        <f>IF(B2633="","",IFERROR(INDEX(Items!$B$5:$B$304,MATCH(B2633,Items!$A$5:$A$304,0)),"Unknown code"))</f>
        <v/>
      </c>
      <c r="D2633" s="15" t="n"/>
      <c r="E2633" s="16" t="n"/>
      <c r="F2633" s="18">
        <f>IF(OR(D2633="",E2633=""),"",D2633*E2633)</f>
        <v/>
      </c>
      <c r="G2633" s="15" t="n"/>
    </row>
    <row r="2634">
      <c r="A2634" s="19" t="n"/>
      <c r="B2634" s="15" t="n"/>
      <c r="C2634">
        <f>IF(B2634="","",IFERROR(INDEX(Items!$B$5:$B$304,MATCH(B2634,Items!$A$5:$A$304,0)),"Unknown code"))</f>
        <v/>
      </c>
      <c r="D2634" s="15" t="n"/>
      <c r="E2634" s="16" t="n"/>
      <c r="F2634" s="18">
        <f>IF(OR(D2634="",E2634=""),"",D2634*E2634)</f>
        <v/>
      </c>
      <c r="G2634" s="15" t="n"/>
    </row>
    <row r="2635">
      <c r="A2635" s="19" t="n"/>
      <c r="B2635" s="15" t="n"/>
      <c r="C2635">
        <f>IF(B2635="","",IFERROR(INDEX(Items!$B$5:$B$304,MATCH(B2635,Items!$A$5:$A$304,0)),"Unknown code"))</f>
        <v/>
      </c>
      <c r="D2635" s="15" t="n"/>
      <c r="E2635" s="16" t="n"/>
      <c r="F2635" s="18">
        <f>IF(OR(D2635="",E2635=""),"",D2635*E2635)</f>
        <v/>
      </c>
      <c r="G2635" s="15" t="n"/>
    </row>
    <row r="2636">
      <c r="A2636" s="19" t="n"/>
      <c r="B2636" s="15" t="n"/>
      <c r="C2636">
        <f>IF(B2636="","",IFERROR(INDEX(Items!$B$5:$B$304,MATCH(B2636,Items!$A$5:$A$304,0)),"Unknown code"))</f>
        <v/>
      </c>
      <c r="D2636" s="15" t="n"/>
      <c r="E2636" s="16" t="n"/>
      <c r="F2636" s="18">
        <f>IF(OR(D2636="",E2636=""),"",D2636*E2636)</f>
        <v/>
      </c>
      <c r="G2636" s="15" t="n"/>
    </row>
    <row r="2637">
      <c r="A2637" s="19" t="n"/>
      <c r="B2637" s="15" t="n"/>
      <c r="C2637">
        <f>IF(B2637="","",IFERROR(INDEX(Items!$B$5:$B$304,MATCH(B2637,Items!$A$5:$A$304,0)),"Unknown code"))</f>
        <v/>
      </c>
      <c r="D2637" s="15" t="n"/>
      <c r="E2637" s="16" t="n"/>
      <c r="F2637" s="18">
        <f>IF(OR(D2637="",E2637=""),"",D2637*E2637)</f>
        <v/>
      </c>
      <c r="G2637" s="15" t="n"/>
    </row>
    <row r="2638">
      <c r="A2638" s="19" t="n"/>
      <c r="B2638" s="15" t="n"/>
      <c r="C2638">
        <f>IF(B2638="","",IFERROR(INDEX(Items!$B$5:$B$304,MATCH(B2638,Items!$A$5:$A$304,0)),"Unknown code"))</f>
        <v/>
      </c>
      <c r="D2638" s="15" t="n"/>
      <c r="E2638" s="16" t="n"/>
      <c r="F2638" s="18">
        <f>IF(OR(D2638="",E2638=""),"",D2638*E2638)</f>
        <v/>
      </c>
      <c r="G2638" s="15" t="n"/>
    </row>
    <row r="2639">
      <c r="A2639" s="19" t="n"/>
      <c r="B2639" s="15" t="n"/>
      <c r="C2639">
        <f>IF(B2639="","",IFERROR(INDEX(Items!$B$5:$B$304,MATCH(B2639,Items!$A$5:$A$304,0)),"Unknown code"))</f>
        <v/>
      </c>
      <c r="D2639" s="15" t="n"/>
      <c r="E2639" s="16" t="n"/>
      <c r="F2639" s="18">
        <f>IF(OR(D2639="",E2639=""),"",D2639*E2639)</f>
        <v/>
      </c>
      <c r="G2639" s="15" t="n"/>
    </row>
    <row r="2640">
      <c r="A2640" s="19" t="n"/>
      <c r="B2640" s="15" t="n"/>
      <c r="C2640">
        <f>IF(B2640="","",IFERROR(INDEX(Items!$B$5:$B$304,MATCH(B2640,Items!$A$5:$A$304,0)),"Unknown code"))</f>
        <v/>
      </c>
      <c r="D2640" s="15" t="n"/>
      <c r="E2640" s="16" t="n"/>
      <c r="F2640" s="18">
        <f>IF(OR(D2640="",E2640=""),"",D2640*E2640)</f>
        <v/>
      </c>
      <c r="G2640" s="15" t="n"/>
    </row>
    <row r="2641">
      <c r="A2641" s="19" t="n"/>
      <c r="B2641" s="15" t="n"/>
      <c r="C2641">
        <f>IF(B2641="","",IFERROR(INDEX(Items!$B$5:$B$304,MATCH(B2641,Items!$A$5:$A$304,0)),"Unknown code"))</f>
        <v/>
      </c>
      <c r="D2641" s="15" t="n"/>
      <c r="E2641" s="16" t="n"/>
      <c r="F2641" s="18">
        <f>IF(OR(D2641="",E2641=""),"",D2641*E2641)</f>
        <v/>
      </c>
      <c r="G2641" s="15" t="n"/>
    </row>
    <row r="2642">
      <c r="A2642" s="19" t="n"/>
      <c r="B2642" s="15" t="n"/>
      <c r="C2642">
        <f>IF(B2642="","",IFERROR(INDEX(Items!$B$5:$B$304,MATCH(B2642,Items!$A$5:$A$304,0)),"Unknown code"))</f>
        <v/>
      </c>
      <c r="D2642" s="15" t="n"/>
      <c r="E2642" s="16" t="n"/>
      <c r="F2642" s="18">
        <f>IF(OR(D2642="",E2642=""),"",D2642*E2642)</f>
        <v/>
      </c>
      <c r="G2642" s="15" t="n"/>
    </row>
    <row r="2643">
      <c r="A2643" s="19" t="n"/>
      <c r="B2643" s="15" t="n"/>
      <c r="C2643">
        <f>IF(B2643="","",IFERROR(INDEX(Items!$B$5:$B$304,MATCH(B2643,Items!$A$5:$A$304,0)),"Unknown code"))</f>
        <v/>
      </c>
      <c r="D2643" s="15" t="n"/>
      <c r="E2643" s="16" t="n"/>
      <c r="F2643" s="18">
        <f>IF(OR(D2643="",E2643=""),"",D2643*E2643)</f>
        <v/>
      </c>
      <c r="G2643" s="15" t="n"/>
    </row>
    <row r="2644">
      <c r="A2644" s="19" t="n"/>
      <c r="B2644" s="15" t="n"/>
      <c r="C2644">
        <f>IF(B2644="","",IFERROR(INDEX(Items!$B$5:$B$304,MATCH(B2644,Items!$A$5:$A$304,0)),"Unknown code"))</f>
        <v/>
      </c>
      <c r="D2644" s="15" t="n"/>
      <c r="E2644" s="16" t="n"/>
      <c r="F2644" s="18">
        <f>IF(OR(D2644="",E2644=""),"",D2644*E2644)</f>
        <v/>
      </c>
      <c r="G2644" s="15" t="n"/>
    </row>
    <row r="2645">
      <c r="A2645" s="19" t="n"/>
      <c r="B2645" s="15" t="n"/>
      <c r="C2645">
        <f>IF(B2645="","",IFERROR(INDEX(Items!$B$5:$B$304,MATCH(B2645,Items!$A$5:$A$304,0)),"Unknown code"))</f>
        <v/>
      </c>
      <c r="D2645" s="15" t="n"/>
      <c r="E2645" s="16" t="n"/>
      <c r="F2645" s="18">
        <f>IF(OR(D2645="",E2645=""),"",D2645*E2645)</f>
        <v/>
      </c>
      <c r="G2645" s="15" t="n"/>
    </row>
    <row r="2646">
      <c r="A2646" s="19" t="n"/>
      <c r="B2646" s="15" t="n"/>
      <c r="C2646">
        <f>IF(B2646="","",IFERROR(INDEX(Items!$B$5:$B$304,MATCH(B2646,Items!$A$5:$A$304,0)),"Unknown code"))</f>
        <v/>
      </c>
      <c r="D2646" s="15" t="n"/>
      <c r="E2646" s="16" t="n"/>
      <c r="F2646" s="18">
        <f>IF(OR(D2646="",E2646=""),"",D2646*E2646)</f>
        <v/>
      </c>
      <c r="G2646" s="15" t="n"/>
    </row>
    <row r="2647">
      <c r="A2647" s="19" t="n"/>
      <c r="B2647" s="15" t="n"/>
      <c r="C2647">
        <f>IF(B2647="","",IFERROR(INDEX(Items!$B$5:$B$304,MATCH(B2647,Items!$A$5:$A$304,0)),"Unknown code"))</f>
        <v/>
      </c>
      <c r="D2647" s="15" t="n"/>
      <c r="E2647" s="16" t="n"/>
      <c r="F2647" s="18">
        <f>IF(OR(D2647="",E2647=""),"",D2647*E2647)</f>
        <v/>
      </c>
      <c r="G2647" s="15" t="n"/>
    </row>
    <row r="2648">
      <c r="A2648" s="19" t="n"/>
      <c r="B2648" s="15" t="n"/>
      <c r="C2648">
        <f>IF(B2648="","",IFERROR(INDEX(Items!$B$5:$B$304,MATCH(B2648,Items!$A$5:$A$304,0)),"Unknown code"))</f>
        <v/>
      </c>
      <c r="D2648" s="15" t="n"/>
      <c r="E2648" s="16" t="n"/>
      <c r="F2648" s="18">
        <f>IF(OR(D2648="",E2648=""),"",D2648*E2648)</f>
        <v/>
      </c>
      <c r="G2648" s="15" t="n"/>
    </row>
    <row r="2649">
      <c r="A2649" s="19" t="n"/>
      <c r="B2649" s="15" t="n"/>
      <c r="C2649">
        <f>IF(B2649="","",IFERROR(INDEX(Items!$B$5:$B$304,MATCH(B2649,Items!$A$5:$A$304,0)),"Unknown code"))</f>
        <v/>
      </c>
      <c r="D2649" s="15" t="n"/>
      <c r="E2649" s="16" t="n"/>
      <c r="F2649" s="18">
        <f>IF(OR(D2649="",E2649=""),"",D2649*E2649)</f>
        <v/>
      </c>
      <c r="G2649" s="15" t="n"/>
    </row>
    <row r="2650">
      <c r="A2650" s="19" t="n"/>
      <c r="B2650" s="15" t="n"/>
      <c r="C2650">
        <f>IF(B2650="","",IFERROR(INDEX(Items!$B$5:$B$304,MATCH(B2650,Items!$A$5:$A$304,0)),"Unknown code"))</f>
        <v/>
      </c>
      <c r="D2650" s="15" t="n"/>
      <c r="E2650" s="16" t="n"/>
      <c r="F2650" s="18">
        <f>IF(OR(D2650="",E2650=""),"",D2650*E2650)</f>
        <v/>
      </c>
      <c r="G2650" s="15" t="n"/>
    </row>
    <row r="2651">
      <c r="A2651" s="19" t="n"/>
      <c r="B2651" s="15" t="n"/>
      <c r="C2651">
        <f>IF(B2651="","",IFERROR(INDEX(Items!$B$5:$B$304,MATCH(B2651,Items!$A$5:$A$304,0)),"Unknown code"))</f>
        <v/>
      </c>
      <c r="D2651" s="15" t="n"/>
      <c r="E2651" s="16" t="n"/>
      <c r="F2651" s="18">
        <f>IF(OR(D2651="",E2651=""),"",D2651*E2651)</f>
        <v/>
      </c>
      <c r="G2651" s="15" t="n"/>
    </row>
    <row r="2652">
      <c r="A2652" s="19" t="n"/>
      <c r="B2652" s="15" t="n"/>
      <c r="C2652">
        <f>IF(B2652="","",IFERROR(INDEX(Items!$B$5:$B$304,MATCH(B2652,Items!$A$5:$A$304,0)),"Unknown code"))</f>
        <v/>
      </c>
      <c r="D2652" s="15" t="n"/>
      <c r="E2652" s="16" t="n"/>
      <c r="F2652" s="18">
        <f>IF(OR(D2652="",E2652=""),"",D2652*E2652)</f>
        <v/>
      </c>
      <c r="G2652" s="15" t="n"/>
    </row>
    <row r="2653">
      <c r="A2653" s="19" t="n"/>
      <c r="B2653" s="15" t="n"/>
      <c r="C2653">
        <f>IF(B2653="","",IFERROR(INDEX(Items!$B$5:$B$304,MATCH(B2653,Items!$A$5:$A$304,0)),"Unknown code"))</f>
        <v/>
      </c>
      <c r="D2653" s="15" t="n"/>
      <c r="E2653" s="16" t="n"/>
      <c r="F2653" s="18">
        <f>IF(OR(D2653="",E2653=""),"",D2653*E2653)</f>
        <v/>
      </c>
      <c r="G2653" s="15" t="n"/>
    </row>
    <row r="2654">
      <c r="A2654" s="19" t="n"/>
      <c r="B2654" s="15" t="n"/>
      <c r="C2654">
        <f>IF(B2654="","",IFERROR(INDEX(Items!$B$5:$B$304,MATCH(B2654,Items!$A$5:$A$304,0)),"Unknown code"))</f>
        <v/>
      </c>
      <c r="D2654" s="15" t="n"/>
      <c r="E2654" s="16" t="n"/>
      <c r="F2654" s="18">
        <f>IF(OR(D2654="",E2654=""),"",D2654*E2654)</f>
        <v/>
      </c>
      <c r="G2654" s="15" t="n"/>
    </row>
    <row r="2655">
      <c r="A2655" s="19" t="n"/>
      <c r="B2655" s="15" t="n"/>
      <c r="C2655">
        <f>IF(B2655="","",IFERROR(INDEX(Items!$B$5:$B$304,MATCH(B2655,Items!$A$5:$A$304,0)),"Unknown code"))</f>
        <v/>
      </c>
      <c r="D2655" s="15" t="n"/>
      <c r="E2655" s="16" t="n"/>
      <c r="F2655" s="18">
        <f>IF(OR(D2655="",E2655=""),"",D2655*E2655)</f>
        <v/>
      </c>
      <c r="G2655" s="15" t="n"/>
    </row>
    <row r="2656">
      <c r="A2656" s="19" t="n"/>
      <c r="B2656" s="15" t="n"/>
      <c r="C2656">
        <f>IF(B2656="","",IFERROR(INDEX(Items!$B$5:$B$304,MATCH(B2656,Items!$A$5:$A$304,0)),"Unknown code"))</f>
        <v/>
      </c>
      <c r="D2656" s="15" t="n"/>
      <c r="E2656" s="16" t="n"/>
      <c r="F2656" s="18">
        <f>IF(OR(D2656="",E2656=""),"",D2656*E2656)</f>
        <v/>
      </c>
      <c r="G2656" s="15" t="n"/>
    </row>
    <row r="2657">
      <c r="A2657" s="19" t="n"/>
      <c r="B2657" s="15" t="n"/>
      <c r="C2657">
        <f>IF(B2657="","",IFERROR(INDEX(Items!$B$5:$B$304,MATCH(B2657,Items!$A$5:$A$304,0)),"Unknown code"))</f>
        <v/>
      </c>
      <c r="D2657" s="15" t="n"/>
      <c r="E2657" s="16" t="n"/>
      <c r="F2657" s="18">
        <f>IF(OR(D2657="",E2657=""),"",D2657*E2657)</f>
        <v/>
      </c>
      <c r="G2657" s="15" t="n"/>
    </row>
    <row r="2658">
      <c r="A2658" s="19" t="n"/>
      <c r="B2658" s="15" t="n"/>
      <c r="C2658">
        <f>IF(B2658="","",IFERROR(INDEX(Items!$B$5:$B$304,MATCH(B2658,Items!$A$5:$A$304,0)),"Unknown code"))</f>
        <v/>
      </c>
      <c r="D2658" s="15" t="n"/>
      <c r="E2658" s="16" t="n"/>
      <c r="F2658" s="18">
        <f>IF(OR(D2658="",E2658=""),"",D2658*E2658)</f>
        <v/>
      </c>
      <c r="G2658" s="15" t="n"/>
    </row>
    <row r="2659">
      <c r="A2659" s="19" t="n"/>
      <c r="B2659" s="15" t="n"/>
      <c r="C2659">
        <f>IF(B2659="","",IFERROR(INDEX(Items!$B$5:$B$304,MATCH(B2659,Items!$A$5:$A$304,0)),"Unknown code"))</f>
        <v/>
      </c>
      <c r="D2659" s="15" t="n"/>
      <c r="E2659" s="16" t="n"/>
      <c r="F2659" s="18">
        <f>IF(OR(D2659="",E2659=""),"",D2659*E2659)</f>
        <v/>
      </c>
      <c r="G2659" s="15" t="n"/>
    </row>
    <row r="2660">
      <c r="A2660" s="19" t="n"/>
      <c r="B2660" s="15" t="n"/>
      <c r="C2660">
        <f>IF(B2660="","",IFERROR(INDEX(Items!$B$5:$B$304,MATCH(B2660,Items!$A$5:$A$304,0)),"Unknown code"))</f>
        <v/>
      </c>
      <c r="D2660" s="15" t="n"/>
      <c r="E2660" s="16" t="n"/>
      <c r="F2660" s="18">
        <f>IF(OR(D2660="",E2660=""),"",D2660*E2660)</f>
        <v/>
      </c>
      <c r="G2660" s="15" t="n"/>
    </row>
    <row r="2661">
      <c r="A2661" s="19" t="n"/>
      <c r="B2661" s="15" t="n"/>
      <c r="C2661">
        <f>IF(B2661="","",IFERROR(INDEX(Items!$B$5:$B$304,MATCH(B2661,Items!$A$5:$A$304,0)),"Unknown code"))</f>
        <v/>
      </c>
      <c r="D2661" s="15" t="n"/>
      <c r="E2661" s="16" t="n"/>
      <c r="F2661" s="18">
        <f>IF(OR(D2661="",E2661=""),"",D2661*E2661)</f>
        <v/>
      </c>
      <c r="G2661" s="15" t="n"/>
    </row>
    <row r="2662">
      <c r="A2662" s="19" t="n"/>
      <c r="B2662" s="15" t="n"/>
      <c r="C2662">
        <f>IF(B2662="","",IFERROR(INDEX(Items!$B$5:$B$304,MATCH(B2662,Items!$A$5:$A$304,0)),"Unknown code"))</f>
        <v/>
      </c>
      <c r="D2662" s="15" t="n"/>
      <c r="E2662" s="16" t="n"/>
      <c r="F2662" s="18">
        <f>IF(OR(D2662="",E2662=""),"",D2662*E2662)</f>
        <v/>
      </c>
      <c r="G2662" s="15" t="n"/>
    </row>
    <row r="2663">
      <c r="A2663" s="19" t="n"/>
      <c r="B2663" s="15" t="n"/>
      <c r="C2663">
        <f>IF(B2663="","",IFERROR(INDEX(Items!$B$5:$B$304,MATCH(B2663,Items!$A$5:$A$304,0)),"Unknown code"))</f>
        <v/>
      </c>
      <c r="D2663" s="15" t="n"/>
      <c r="E2663" s="16" t="n"/>
      <c r="F2663" s="18">
        <f>IF(OR(D2663="",E2663=""),"",D2663*E2663)</f>
        <v/>
      </c>
      <c r="G2663" s="15" t="n"/>
    </row>
    <row r="2664">
      <c r="A2664" s="19" t="n"/>
      <c r="B2664" s="15" t="n"/>
      <c r="C2664">
        <f>IF(B2664="","",IFERROR(INDEX(Items!$B$5:$B$304,MATCH(B2664,Items!$A$5:$A$304,0)),"Unknown code"))</f>
        <v/>
      </c>
      <c r="D2664" s="15" t="n"/>
      <c r="E2664" s="16" t="n"/>
      <c r="F2664" s="18">
        <f>IF(OR(D2664="",E2664=""),"",D2664*E2664)</f>
        <v/>
      </c>
      <c r="G2664" s="15" t="n"/>
    </row>
    <row r="2665">
      <c r="A2665" s="19" t="n"/>
      <c r="B2665" s="15" t="n"/>
      <c r="C2665">
        <f>IF(B2665="","",IFERROR(INDEX(Items!$B$5:$B$304,MATCH(B2665,Items!$A$5:$A$304,0)),"Unknown code"))</f>
        <v/>
      </c>
      <c r="D2665" s="15" t="n"/>
      <c r="E2665" s="16" t="n"/>
      <c r="F2665" s="18">
        <f>IF(OR(D2665="",E2665=""),"",D2665*E2665)</f>
        <v/>
      </c>
      <c r="G2665" s="15" t="n"/>
    </row>
    <row r="2666">
      <c r="A2666" s="19" t="n"/>
      <c r="B2666" s="15" t="n"/>
      <c r="C2666">
        <f>IF(B2666="","",IFERROR(INDEX(Items!$B$5:$B$304,MATCH(B2666,Items!$A$5:$A$304,0)),"Unknown code"))</f>
        <v/>
      </c>
      <c r="D2666" s="15" t="n"/>
      <c r="E2666" s="16" t="n"/>
      <c r="F2666" s="18">
        <f>IF(OR(D2666="",E2666=""),"",D2666*E2666)</f>
        <v/>
      </c>
      <c r="G2666" s="15" t="n"/>
    </row>
    <row r="2667">
      <c r="A2667" s="19" t="n"/>
      <c r="B2667" s="15" t="n"/>
      <c r="C2667">
        <f>IF(B2667="","",IFERROR(INDEX(Items!$B$5:$B$304,MATCH(B2667,Items!$A$5:$A$304,0)),"Unknown code"))</f>
        <v/>
      </c>
      <c r="D2667" s="15" t="n"/>
      <c r="E2667" s="16" t="n"/>
      <c r="F2667" s="18">
        <f>IF(OR(D2667="",E2667=""),"",D2667*E2667)</f>
        <v/>
      </c>
      <c r="G2667" s="15" t="n"/>
    </row>
    <row r="2668">
      <c r="A2668" s="19" t="n"/>
      <c r="B2668" s="15" t="n"/>
      <c r="C2668">
        <f>IF(B2668="","",IFERROR(INDEX(Items!$B$5:$B$304,MATCH(B2668,Items!$A$5:$A$304,0)),"Unknown code"))</f>
        <v/>
      </c>
      <c r="D2668" s="15" t="n"/>
      <c r="E2668" s="16" t="n"/>
      <c r="F2668" s="18">
        <f>IF(OR(D2668="",E2668=""),"",D2668*E2668)</f>
        <v/>
      </c>
      <c r="G2668" s="15" t="n"/>
    </row>
    <row r="2669">
      <c r="A2669" s="19" t="n"/>
      <c r="B2669" s="15" t="n"/>
      <c r="C2669">
        <f>IF(B2669="","",IFERROR(INDEX(Items!$B$5:$B$304,MATCH(B2669,Items!$A$5:$A$304,0)),"Unknown code"))</f>
        <v/>
      </c>
      <c r="D2669" s="15" t="n"/>
      <c r="E2669" s="16" t="n"/>
      <c r="F2669" s="18">
        <f>IF(OR(D2669="",E2669=""),"",D2669*E2669)</f>
        <v/>
      </c>
      <c r="G2669" s="15" t="n"/>
    </row>
    <row r="2670">
      <c r="A2670" s="19" t="n"/>
      <c r="B2670" s="15" t="n"/>
      <c r="C2670">
        <f>IF(B2670="","",IFERROR(INDEX(Items!$B$5:$B$304,MATCH(B2670,Items!$A$5:$A$304,0)),"Unknown code"))</f>
        <v/>
      </c>
      <c r="D2670" s="15" t="n"/>
      <c r="E2670" s="16" t="n"/>
      <c r="F2670" s="18">
        <f>IF(OR(D2670="",E2670=""),"",D2670*E2670)</f>
        <v/>
      </c>
      <c r="G2670" s="15" t="n"/>
    </row>
    <row r="2671">
      <c r="A2671" s="19" t="n"/>
      <c r="B2671" s="15" t="n"/>
      <c r="C2671">
        <f>IF(B2671="","",IFERROR(INDEX(Items!$B$5:$B$304,MATCH(B2671,Items!$A$5:$A$304,0)),"Unknown code"))</f>
        <v/>
      </c>
      <c r="D2671" s="15" t="n"/>
      <c r="E2671" s="16" t="n"/>
      <c r="F2671" s="18">
        <f>IF(OR(D2671="",E2671=""),"",D2671*E2671)</f>
        <v/>
      </c>
      <c r="G2671" s="15" t="n"/>
    </row>
    <row r="2672">
      <c r="A2672" s="19" t="n"/>
      <c r="B2672" s="15" t="n"/>
      <c r="C2672">
        <f>IF(B2672="","",IFERROR(INDEX(Items!$B$5:$B$304,MATCH(B2672,Items!$A$5:$A$304,0)),"Unknown code"))</f>
        <v/>
      </c>
      <c r="D2672" s="15" t="n"/>
      <c r="E2672" s="16" t="n"/>
      <c r="F2672" s="18">
        <f>IF(OR(D2672="",E2672=""),"",D2672*E2672)</f>
        <v/>
      </c>
      <c r="G2672" s="15" t="n"/>
    </row>
    <row r="2673">
      <c r="A2673" s="19" t="n"/>
      <c r="B2673" s="15" t="n"/>
      <c r="C2673">
        <f>IF(B2673="","",IFERROR(INDEX(Items!$B$5:$B$304,MATCH(B2673,Items!$A$5:$A$304,0)),"Unknown code"))</f>
        <v/>
      </c>
      <c r="D2673" s="15" t="n"/>
      <c r="E2673" s="16" t="n"/>
      <c r="F2673" s="18">
        <f>IF(OR(D2673="",E2673=""),"",D2673*E2673)</f>
        <v/>
      </c>
      <c r="G2673" s="15" t="n"/>
    </row>
    <row r="2674">
      <c r="A2674" s="19" t="n"/>
      <c r="B2674" s="15" t="n"/>
      <c r="C2674">
        <f>IF(B2674="","",IFERROR(INDEX(Items!$B$5:$B$304,MATCH(B2674,Items!$A$5:$A$304,0)),"Unknown code"))</f>
        <v/>
      </c>
      <c r="D2674" s="15" t="n"/>
      <c r="E2674" s="16" t="n"/>
      <c r="F2674" s="18">
        <f>IF(OR(D2674="",E2674=""),"",D2674*E2674)</f>
        <v/>
      </c>
      <c r="G2674" s="15" t="n"/>
    </row>
    <row r="2675">
      <c r="A2675" s="19" t="n"/>
      <c r="B2675" s="15" t="n"/>
      <c r="C2675">
        <f>IF(B2675="","",IFERROR(INDEX(Items!$B$5:$B$304,MATCH(B2675,Items!$A$5:$A$304,0)),"Unknown code"))</f>
        <v/>
      </c>
      <c r="D2675" s="15" t="n"/>
      <c r="E2675" s="16" t="n"/>
      <c r="F2675" s="18">
        <f>IF(OR(D2675="",E2675=""),"",D2675*E2675)</f>
        <v/>
      </c>
      <c r="G2675" s="15" t="n"/>
    </row>
    <row r="2676">
      <c r="A2676" s="19" t="n"/>
      <c r="B2676" s="15" t="n"/>
      <c r="C2676">
        <f>IF(B2676="","",IFERROR(INDEX(Items!$B$5:$B$304,MATCH(B2676,Items!$A$5:$A$304,0)),"Unknown code"))</f>
        <v/>
      </c>
      <c r="D2676" s="15" t="n"/>
      <c r="E2676" s="16" t="n"/>
      <c r="F2676" s="18">
        <f>IF(OR(D2676="",E2676=""),"",D2676*E2676)</f>
        <v/>
      </c>
      <c r="G2676" s="15" t="n"/>
    </row>
    <row r="2677">
      <c r="A2677" s="19" t="n"/>
      <c r="B2677" s="15" t="n"/>
      <c r="C2677">
        <f>IF(B2677="","",IFERROR(INDEX(Items!$B$5:$B$304,MATCH(B2677,Items!$A$5:$A$304,0)),"Unknown code"))</f>
        <v/>
      </c>
      <c r="D2677" s="15" t="n"/>
      <c r="E2677" s="16" t="n"/>
      <c r="F2677" s="18">
        <f>IF(OR(D2677="",E2677=""),"",D2677*E2677)</f>
        <v/>
      </c>
      <c r="G2677" s="15" t="n"/>
    </row>
    <row r="2678">
      <c r="A2678" s="19" t="n"/>
      <c r="B2678" s="15" t="n"/>
      <c r="C2678">
        <f>IF(B2678="","",IFERROR(INDEX(Items!$B$5:$B$304,MATCH(B2678,Items!$A$5:$A$304,0)),"Unknown code"))</f>
        <v/>
      </c>
      <c r="D2678" s="15" t="n"/>
      <c r="E2678" s="16" t="n"/>
      <c r="F2678" s="18">
        <f>IF(OR(D2678="",E2678=""),"",D2678*E2678)</f>
        <v/>
      </c>
      <c r="G2678" s="15" t="n"/>
    </row>
    <row r="2679">
      <c r="A2679" s="19" t="n"/>
      <c r="B2679" s="15" t="n"/>
      <c r="C2679">
        <f>IF(B2679="","",IFERROR(INDEX(Items!$B$5:$B$304,MATCH(B2679,Items!$A$5:$A$304,0)),"Unknown code"))</f>
        <v/>
      </c>
      <c r="D2679" s="15" t="n"/>
      <c r="E2679" s="16" t="n"/>
      <c r="F2679" s="18">
        <f>IF(OR(D2679="",E2679=""),"",D2679*E2679)</f>
        <v/>
      </c>
      <c r="G2679" s="15" t="n"/>
    </row>
    <row r="2680">
      <c r="A2680" s="19" t="n"/>
      <c r="B2680" s="15" t="n"/>
      <c r="C2680">
        <f>IF(B2680="","",IFERROR(INDEX(Items!$B$5:$B$304,MATCH(B2680,Items!$A$5:$A$304,0)),"Unknown code"))</f>
        <v/>
      </c>
      <c r="D2680" s="15" t="n"/>
      <c r="E2680" s="16" t="n"/>
      <c r="F2680" s="18">
        <f>IF(OR(D2680="",E2680=""),"",D2680*E2680)</f>
        <v/>
      </c>
      <c r="G2680" s="15" t="n"/>
    </row>
    <row r="2681">
      <c r="A2681" s="19" t="n"/>
      <c r="B2681" s="15" t="n"/>
      <c r="C2681">
        <f>IF(B2681="","",IFERROR(INDEX(Items!$B$5:$B$304,MATCH(B2681,Items!$A$5:$A$304,0)),"Unknown code"))</f>
        <v/>
      </c>
      <c r="D2681" s="15" t="n"/>
      <c r="E2681" s="16" t="n"/>
      <c r="F2681" s="18">
        <f>IF(OR(D2681="",E2681=""),"",D2681*E2681)</f>
        <v/>
      </c>
      <c r="G2681" s="15" t="n"/>
    </row>
    <row r="2682">
      <c r="A2682" s="19" t="n"/>
      <c r="B2682" s="15" t="n"/>
      <c r="C2682">
        <f>IF(B2682="","",IFERROR(INDEX(Items!$B$5:$B$304,MATCH(B2682,Items!$A$5:$A$304,0)),"Unknown code"))</f>
        <v/>
      </c>
      <c r="D2682" s="15" t="n"/>
      <c r="E2682" s="16" t="n"/>
      <c r="F2682" s="18">
        <f>IF(OR(D2682="",E2682=""),"",D2682*E2682)</f>
        <v/>
      </c>
      <c r="G2682" s="15" t="n"/>
    </row>
    <row r="2683">
      <c r="A2683" s="19" t="n"/>
      <c r="B2683" s="15" t="n"/>
      <c r="C2683">
        <f>IF(B2683="","",IFERROR(INDEX(Items!$B$5:$B$304,MATCH(B2683,Items!$A$5:$A$304,0)),"Unknown code"))</f>
        <v/>
      </c>
      <c r="D2683" s="15" t="n"/>
      <c r="E2683" s="16" t="n"/>
      <c r="F2683" s="18">
        <f>IF(OR(D2683="",E2683=""),"",D2683*E2683)</f>
        <v/>
      </c>
      <c r="G2683" s="15" t="n"/>
    </row>
    <row r="2684">
      <c r="A2684" s="19" t="n"/>
      <c r="B2684" s="15" t="n"/>
      <c r="C2684">
        <f>IF(B2684="","",IFERROR(INDEX(Items!$B$5:$B$304,MATCH(B2684,Items!$A$5:$A$304,0)),"Unknown code"))</f>
        <v/>
      </c>
      <c r="D2684" s="15" t="n"/>
      <c r="E2684" s="16" t="n"/>
      <c r="F2684" s="18">
        <f>IF(OR(D2684="",E2684=""),"",D2684*E2684)</f>
        <v/>
      </c>
      <c r="G2684" s="15" t="n"/>
    </row>
    <row r="2685">
      <c r="A2685" s="19" t="n"/>
      <c r="B2685" s="15" t="n"/>
      <c r="C2685">
        <f>IF(B2685="","",IFERROR(INDEX(Items!$B$5:$B$304,MATCH(B2685,Items!$A$5:$A$304,0)),"Unknown code"))</f>
        <v/>
      </c>
      <c r="D2685" s="15" t="n"/>
      <c r="E2685" s="16" t="n"/>
      <c r="F2685" s="18">
        <f>IF(OR(D2685="",E2685=""),"",D2685*E2685)</f>
        <v/>
      </c>
      <c r="G2685" s="15" t="n"/>
    </row>
    <row r="2686">
      <c r="A2686" s="19" t="n"/>
      <c r="B2686" s="15" t="n"/>
      <c r="C2686">
        <f>IF(B2686="","",IFERROR(INDEX(Items!$B$5:$B$304,MATCH(B2686,Items!$A$5:$A$304,0)),"Unknown code"))</f>
        <v/>
      </c>
      <c r="D2686" s="15" t="n"/>
      <c r="E2686" s="16" t="n"/>
      <c r="F2686" s="18">
        <f>IF(OR(D2686="",E2686=""),"",D2686*E2686)</f>
        <v/>
      </c>
      <c r="G2686" s="15" t="n"/>
    </row>
    <row r="2687">
      <c r="A2687" s="19" t="n"/>
      <c r="B2687" s="15" t="n"/>
      <c r="C2687">
        <f>IF(B2687="","",IFERROR(INDEX(Items!$B$5:$B$304,MATCH(B2687,Items!$A$5:$A$304,0)),"Unknown code"))</f>
        <v/>
      </c>
      <c r="D2687" s="15" t="n"/>
      <c r="E2687" s="16" t="n"/>
      <c r="F2687" s="18">
        <f>IF(OR(D2687="",E2687=""),"",D2687*E2687)</f>
        <v/>
      </c>
      <c r="G2687" s="15" t="n"/>
    </row>
    <row r="2688">
      <c r="A2688" s="19" t="n"/>
      <c r="B2688" s="15" t="n"/>
      <c r="C2688">
        <f>IF(B2688="","",IFERROR(INDEX(Items!$B$5:$B$304,MATCH(B2688,Items!$A$5:$A$304,0)),"Unknown code"))</f>
        <v/>
      </c>
      <c r="D2688" s="15" t="n"/>
      <c r="E2688" s="16" t="n"/>
      <c r="F2688" s="18">
        <f>IF(OR(D2688="",E2688=""),"",D2688*E2688)</f>
        <v/>
      </c>
      <c r="G2688" s="15" t="n"/>
    </row>
    <row r="2689">
      <c r="A2689" s="19" t="n"/>
      <c r="B2689" s="15" t="n"/>
      <c r="C2689">
        <f>IF(B2689="","",IFERROR(INDEX(Items!$B$5:$B$304,MATCH(B2689,Items!$A$5:$A$304,0)),"Unknown code"))</f>
        <v/>
      </c>
      <c r="D2689" s="15" t="n"/>
      <c r="E2689" s="16" t="n"/>
      <c r="F2689" s="18">
        <f>IF(OR(D2689="",E2689=""),"",D2689*E2689)</f>
        <v/>
      </c>
      <c r="G2689" s="15" t="n"/>
    </row>
    <row r="2690">
      <c r="A2690" s="19" t="n"/>
      <c r="B2690" s="15" t="n"/>
      <c r="C2690">
        <f>IF(B2690="","",IFERROR(INDEX(Items!$B$5:$B$304,MATCH(B2690,Items!$A$5:$A$304,0)),"Unknown code"))</f>
        <v/>
      </c>
      <c r="D2690" s="15" t="n"/>
      <c r="E2690" s="16" t="n"/>
      <c r="F2690" s="18">
        <f>IF(OR(D2690="",E2690=""),"",D2690*E2690)</f>
        <v/>
      </c>
      <c r="G2690" s="15" t="n"/>
    </row>
    <row r="2691">
      <c r="A2691" s="19" t="n"/>
      <c r="B2691" s="15" t="n"/>
      <c r="C2691">
        <f>IF(B2691="","",IFERROR(INDEX(Items!$B$5:$B$304,MATCH(B2691,Items!$A$5:$A$304,0)),"Unknown code"))</f>
        <v/>
      </c>
      <c r="D2691" s="15" t="n"/>
      <c r="E2691" s="16" t="n"/>
      <c r="F2691" s="18">
        <f>IF(OR(D2691="",E2691=""),"",D2691*E2691)</f>
        <v/>
      </c>
      <c r="G2691" s="15" t="n"/>
    </row>
    <row r="2692">
      <c r="A2692" s="19" t="n"/>
      <c r="B2692" s="15" t="n"/>
      <c r="C2692">
        <f>IF(B2692="","",IFERROR(INDEX(Items!$B$5:$B$304,MATCH(B2692,Items!$A$5:$A$304,0)),"Unknown code"))</f>
        <v/>
      </c>
      <c r="D2692" s="15" t="n"/>
      <c r="E2692" s="16" t="n"/>
      <c r="F2692" s="18">
        <f>IF(OR(D2692="",E2692=""),"",D2692*E2692)</f>
        <v/>
      </c>
      <c r="G2692" s="15" t="n"/>
    </row>
    <row r="2693">
      <c r="A2693" s="19" t="n"/>
      <c r="B2693" s="15" t="n"/>
      <c r="C2693">
        <f>IF(B2693="","",IFERROR(INDEX(Items!$B$5:$B$304,MATCH(B2693,Items!$A$5:$A$304,0)),"Unknown code"))</f>
        <v/>
      </c>
      <c r="D2693" s="15" t="n"/>
      <c r="E2693" s="16" t="n"/>
      <c r="F2693" s="18">
        <f>IF(OR(D2693="",E2693=""),"",D2693*E2693)</f>
        <v/>
      </c>
      <c r="G2693" s="15" t="n"/>
    </row>
    <row r="2694">
      <c r="A2694" s="19" t="n"/>
      <c r="B2694" s="15" t="n"/>
      <c r="C2694">
        <f>IF(B2694="","",IFERROR(INDEX(Items!$B$5:$B$304,MATCH(B2694,Items!$A$5:$A$304,0)),"Unknown code"))</f>
        <v/>
      </c>
      <c r="D2694" s="15" t="n"/>
      <c r="E2694" s="16" t="n"/>
      <c r="F2694" s="18">
        <f>IF(OR(D2694="",E2694=""),"",D2694*E2694)</f>
        <v/>
      </c>
      <c r="G2694" s="15" t="n"/>
    </row>
    <row r="2695">
      <c r="A2695" s="19" t="n"/>
      <c r="B2695" s="15" t="n"/>
      <c r="C2695">
        <f>IF(B2695="","",IFERROR(INDEX(Items!$B$5:$B$304,MATCH(B2695,Items!$A$5:$A$304,0)),"Unknown code"))</f>
        <v/>
      </c>
      <c r="D2695" s="15" t="n"/>
      <c r="E2695" s="16" t="n"/>
      <c r="F2695" s="18">
        <f>IF(OR(D2695="",E2695=""),"",D2695*E2695)</f>
        <v/>
      </c>
      <c r="G2695" s="15" t="n"/>
    </row>
    <row r="2696">
      <c r="A2696" s="19" t="n"/>
      <c r="B2696" s="15" t="n"/>
      <c r="C2696">
        <f>IF(B2696="","",IFERROR(INDEX(Items!$B$5:$B$304,MATCH(B2696,Items!$A$5:$A$304,0)),"Unknown code"))</f>
        <v/>
      </c>
      <c r="D2696" s="15" t="n"/>
      <c r="E2696" s="16" t="n"/>
      <c r="F2696" s="18">
        <f>IF(OR(D2696="",E2696=""),"",D2696*E2696)</f>
        <v/>
      </c>
      <c r="G2696" s="15" t="n"/>
    </row>
    <row r="2697">
      <c r="A2697" s="19" t="n"/>
      <c r="B2697" s="15" t="n"/>
      <c r="C2697">
        <f>IF(B2697="","",IFERROR(INDEX(Items!$B$5:$B$304,MATCH(B2697,Items!$A$5:$A$304,0)),"Unknown code"))</f>
        <v/>
      </c>
      <c r="D2697" s="15" t="n"/>
      <c r="E2697" s="16" t="n"/>
      <c r="F2697" s="18">
        <f>IF(OR(D2697="",E2697=""),"",D2697*E2697)</f>
        <v/>
      </c>
      <c r="G2697" s="15" t="n"/>
    </row>
    <row r="2698">
      <c r="A2698" s="19" t="n"/>
      <c r="B2698" s="15" t="n"/>
      <c r="C2698">
        <f>IF(B2698="","",IFERROR(INDEX(Items!$B$5:$B$304,MATCH(B2698,Items!$A$5:$A$304,0)),"Unknown code"))</f>
        <v/>
      </c>
      <c r="D2698" s="15" t="n"/>
      <c r="E2698" s="16" t="n"/>
      <c r="F2698" s="18">
        <f>IF(OR(D2698="",E2698=""),"",D2698*E2698)</f>
        <v/>
      </c>
      <c r="G2698" s="15" t="n"/>
    </row>
    <row r="2699">
      <c r="A2699" s="19" t="n"/>
      <c r="B2699" s="15" t="n"/>
      <c r="C2699">
        <f>IF(B2699="","",IFERROR(INDEX(Items!$B$5:$B$304,MATCH(B2699,Items!$A$5:$A$304,0)),"Unknown code"))</f>
        <v/>
      </c>
      <c r="D2699" s="15" t="n"/>
      <c r="E2699" s="16" t="n"/>
      <c r="F2699" s="18">
        <f>IF(OR(D2699="",E2699=""),"",D2699*E2699)</f>
        <v/>
      </c>
      <c r="G2699" s="15" t="n"/>
    </row>
    <row r="2700">
      <c r="A2700" s="19" t="n"/>
      <c r="B2700" s="15" t="n"/>
      <c r="C2700">
        <f>IF(B2700="","",IFERROR(INDEX(Items!$B$5:$B$304,MATCH(B2700,Items!$A$5:$A$304,0)),"Unknown code"))</f>
        <v/>
      </c>
      <c r="D2700" s="15" t="n"/>
      <c r="E2700" s="16" t="n"/>
      <c r="F2700" s="18">
        <f>IF(OR(D2700="",E2700=""),"",D2700*E2700)</f>
        <v/>
      </c>
      <c r="G2700" s="15" t="n"/>
    </row>
    <row r="2701">
      <c r="A2701" s="19" t="n"/>
      <c r="B2701" s="15" t="n"/>
      <c r="C2701">
        <f>IF(B2701="","",IFERROR(INDEX(Items!$B$5:$B$304,MATCH(B2701,Items!$A$5:$A$304,0)),"Unknown code"))</f>
        <v/>
      </c>
      <c r="D2701" s="15" t="n"/>
      <c r="E2701" s="16" t="n"/>
      <c r="F2701" s="18">
        <f>IF(OR(D2701="",E2701=""),"",D2701*E2701)</f>
        <v/>
      </c>
      <c r="G2701" s="15" t="n"/>
    </row>
    <row r="2702">
      <c r="A2702" s="19" t="n"/>
      <c r="B2702" s="15" t="n"/>
      <c r="C2702">
        <f>IF(B2702="","",IFERROR(INDEX(Items!$B$5:$B$304,MATCH(B2702,Items!$A$5:$A$304,0)),"Unknown code"))</f>
        <v/>
      </c>
      <c r="D2702" s="15" t="n"/>
      <c r="E2702" s="16" t="n"/>
      <c r="F2702" s="18">
        <f>IF(OR(D2702="",E2702=""),"",D2702*E2702)</f>
        <v/>
      </c>
      <c r="G2702" s="15" t="n"/>
    </row>
    <row r="2703">
      <c r="A2703" s="19" t="n"/>
      <c r="B2703" s="15" t="n"/>
      <c r="C2703">
        <f>IF(B2703="","",IFERROR(INDEX(Items!$B$5:$B$304,MATCH(B2703,Items!$A$5:$A$304,0)),"Unknown code"))</f>
        <v/>
      </c>
      <c r="D2703" s="15" t="n"/>
      <c r="E2703" s="16" t="n"/>
      <c r="F2703" s="18">
        <f>IF(OR(D2703="",E2703=""),"",D2703*E2703)</f>
        <v/>
      </c>
      <c r="G2703" s="15" t="n"/>
    </row>
    <row r="2704">
      <c r="A2704" s="19" t="n"/>
      <c r="B2704" s="15" t="n"/>
      <c r="C2704">
        <f>IF(B2704="","",IFERROR(INDEX(Items!$B$5:$B$304,MATCH(B2704,Items!$A$5:$A$304,0)),"Unknown code"))</f>
        <v/>
      </c>
      <c r="D2704" s="15" t="n"/>
      <c r="E2704" s="16" t="n"/>
      <c r="F2704" s="18">
        <f>IF(OR(D2704="",E2704=""),"",D2704*E2704)</f>
        <v/>
      </c>
      <c r="G2704" s="15" t="n"/>
    </row>
    <row r="2705">
      <c r="A2705" s="19" t="n"/>
      <c r="B2705" s="15" t="n"/>
      <c r="C2705">
        <f>IF(B2705="","",IFERROR(INDEX(Items!$B$5:$B$304,MATCH(B2705,Items!$A$5:$A$304,0)),"Unknown code"))</f>
        <v/>
      </c>
      <c r="D2705" s="15" t="n"/>
      <c r="E2705" s="16" t="n"/>
      <c r="F2705" s="18">
        <f>IF(OR(D2705="",E2705=""),"",D2705*E2705)</f>
        <v/>
      </c>
      <c r="G2705" s="15" t="n"/>
    </row>
    <row r="2706">
      <c r="A2706" s="19" t="n"/>
      <c r="B2706" s="15" t="n"/>
      <c r="C2706">
        <f>IF(B2706="","",IFERROR(INDEX(Items!$B$5:$B$304,MATCH(B2706,Items!$A$5:$A$304,0)),"Unknown code"))</f>
        <v/>
      </c>
      <c r="D2706" s="15" t="n"/>
      <c r="E2706" s="16" t="n"/>
      <c r="F2706" s="18">
        <f>IF(OR(D2706="",E2706=""),"",D2706*E2706)</f>
        <v/>
      </c>
      <c r="G2706" s="15" t="n"/>
    </row>
    <row r="2707">
      <c r="A2707" s="19" t="n"/>
      <c r="B2707" s="15" t="n"/>
      <c r="C2707">
        <f>IF(B2707="","",IFERROR(INDEX(Items!$B$5:$B$304,MATCH(B2707,Items!$A$5:$A$304,0)),"Unknown code"))</f>
        <v/>
      </c>
      <c r="D2707" s="15" t="n"/>
      <c r="E2707" s="16" t="n"/>
      <c r="F2707" s="18">
        <f>IF(OR(D2707="",E2707=""),"",D2707*E2707)</f>
        <v/>
      </c>
      <c r="G2707" s="15" t="n"/>
    </row>
    <row r="2708">
      <c r="A2708" s="19" t="n"/>
      <c r="B2708" s="15" t="n"/>
      <c r="C2708">
        <f>IF(B2708="","",IFERROR(INDEX(Items!$B$5:$B$304,MATCH(B2708,Items!$A$5:$A$304,0)),"Unknown code"))</f>
        <v/>
      </c>
      <c r="D2708" s="15" t="n"/>
      <c r="E2708" s="16" t="n"/>
      <c r="F2708" s="18">
        <f>IF(OR(D2708="",E2708=""),"",D2708*E2708)</f>
        <v/>
      </c>
      <c r="G2708" s="15" t="n"/>
    </row>
    <row r="2709">
      <c r="A2709" s="19" t="n"/>
      <c r="B2709" s="15" t="n"/>
      <c r="C2709">
        <f>IF(B2709="","",IFERROR(INDEX(Items!$B$5:$B$304,MATCH(B2709,Items!$A$5:$A$304,0)),"Unknown code"))</f>
        <v/>
      </c>
      <c r="D2709" s="15" t="n"/>
      <c r="E2709" s="16" t="n"/>
      <c r="F2709" s="18">
        <f>IF(OR(D2709="",E2709=""),"",D2709*E2709)</f>
        <v/>
      </c>
      <c r="G2709" s="15" t="n"/>
    </row>
    <row r="2710">
      <c r="A2710" s="19" t="n"/>
      <c r="B2710" s="15" t="n"/>
      <c r="C2710">
        <f>IF(B2710="","",IFERROR(INDEX(Items!$B$5:$B$304,MATCH(B2710,Items!$A$5:$A$304,0)),"Unknown code"))</f>
        <v/>
      </c>
      <c r="D2710" s="15" t="n"/>
      <c r="E2710" s="16" t="n"/>
      <c r="F2710" s="18">
        <f>IF(OR(D2710="",E2710=""),"",D2710*E2710)</f>
        <v/>
      </c>
      <c r="G2710" s="15" t="n"/>
    </row>
    <row r="2711">
      <c r="A2711" s="19" t="n"/>
      <c r="B2711" s="15" t="n"/>
      <c r="C2711">
        <f>IF(B2711="","",IFERROR(INDEX(Items!$B$5:$B$304,MATCH(B2711,Items!$A$5:$A$304,0)),"Unknown code"))</f>
        <v/>
      </c>
      <c r="D2711" s="15" t="n"/>
      <c r="E2711" s="16" t="n"/>
      <c r="F2711" s="18">
        <f>IF(OR(D2711="",E2711=""),"",D2711*E2711)</f>
        <v/>
      </c>
      <c r="G2711" s="15" t="n"/>
    </row>
    <row r="2712">
      <c r="A2712" s="19" t="n"/>
      <c r="B2712" s="15" t="n"/>
      <c r="C2712">
        <f>IF(B2712="","",IFERROR(INDEX(Items!$B$5:$B$304,MATCH(B2712,Items!$A$5:$A$304,0)),"Unknown code"))</f>
        <v/>
      </c>
      <c r="D2712" s="15" t="n"/>
      <c r="E2712" s="16" t="n"/>
      <c r="F2712" s="18">
        <f>IF(OR(D2712="",E2712=""),"",D2712*E2712)</f>
        <v/>
      </c>
      <c r="G2712" s="15" t="n"/>
    </row>
    <row r="2713">
      <c r="A2713" s="19" t="n"/>
      <c r="B2713" s="15" t="n"/>
      <c r="C2713">
        <f>IF(B2713="","",IFERROR(INDEX(Items!$B$5:$B$304,MATCH(B2713,Items!$A$5:$A$304,0)),"Unknown code"))</f>
        <v/>
      </c>
      <c r="D2713" s="15" t="n"/>
      <c r="E2713" s="16" t="n"/>
      <c r="F2713" s="18">
        <f>IF(OR(D2713="",E2713=""),"",D2713*E2713)</f>
        <v/>
      </c>
      <c r="G2713" s="15" t="n"/>
    </row>
    <row r="2714">
      <c r="A2714" s="19" t="n"/>
      <c r="B2714" s="15" t="n"/>
      <c r="C2714">
        <f>IF(B2714="","",IFERROR(INDEX(Items!$B$5:$B$304,MATCH(B2714,Items!$A$5:$A$304,0)),"Unknown code"))</f>
        <v/>
      </c>
      <c r="D2714" s="15" t="n"/>
      <c r="E2714" s="16" t="n"/>
      <c r="F2714" s="18">
        <f>IF(OR(D2714="",E2714=""),"",D2714*E2714)</f>
        <v/>
      </c>
      <c r="G2714" s="15" t="n"/>
    </row>
    <row r="2715">
      <c r="A2715" s="19" t="n"/>
      <c r="B2715" s="15" t="n"/>
      <c r="C2715">
        <f>IF(B2715="","",IFERROR(INDEX(Items!$B$5:$B$304,MATCH(B2715,Items!$A$5:$A$304,0)),"Unknown code"))</f>
        <v/>
      </c>
      <c r="D2715" s="15" t="n"/>
      <c r="E2715" s="16" t="n"/>
      <c r="F2715" s="18">
        <f>IF(OR(D2715="",E2715=""),"",D2715*E2715)</f>
        <v/>
      </c>
      <c r="G2715" s="15" t="n"/>
    </row>
    <row r="2716">
      <c r="A2716" s="19" t="n"/>
      <c r="B2716" s="15" t="n"/>
      <c r="C2716">
        <f>IF(B2716="","",IFERROR(INDEX(Items!$B$5:$B$304,MATCH(B2716,Items!$A$5:$A$304,0)),"Unknown code"))</f>
        <v/>
      </c>
      <c r="D2716" s="15" t="n"/>
      <c r="E2716" s="16" t="n"/>
      <c r="F2716" s="18">
        <f>IF(OR(D2716="",E2716=""),"",D2716*E2716)</f>
        <v/>
      </c>
      <c r="G2716" s="15" t="n"/>
    </row>
    <row r="2717">
      <c r="A2717" s="19" t="n"/>
      <c r="B2717" s="15" t="n"/>
      <c r="C2717">
        <f>IF(B2717="","",IFERROR(INDEX(Items!$B$5:$B$304,MATCH(B2717,Items!$A$5:$A$304,0)),"Unknown code"))</f>
        <v/>
      </c>
      <c r="D2717" s="15" t="n"/>
      <c r="E2717" s="16" t="n"/>
      <c r="F2717" s="18">
        <f>IF(OR(D2717="",E2717=""),"",D2717*E2717)</f>
        <v/>
      </c>
      <c r="G2717" s="15" t="n"/>
    </row>
    <row r="2718">
      <c r="A2718" s="19" t="n"/>
      <c r="B2718" s="15" t="n"/>
      <c r="C2718">
        <f>IF(B2718="","",IFERROR(INDEX(Items!$B$5:$B$304,MATCH(B2718,Items!$A$5:$A$304,0)),"Unknown code"))</f>
        <v/>
      </c>
      <c r="D2718" s="15" t="n"/>
      <c r="E2718" s="16" t="n"/>
      <c r="F2718" s="18">
        <f>IF(OR(D2718="",E2718=""),"",D2718*E2718)</f>
        <v/>
      </c>
      <c r="G2718" s="15" t="n"/>
    </row>
    <row r="2719">
      <c r="A2719" s="19" t="n"/>
      <c r="B2719" s="15" t="n"/>
      <c r="C2719">
        <f>IF(B2719="","",IFERROR(INDEX(Items!$B$5:$B$304,MATCH(B2719,Items!$A$5:$A$304,0)),"Unknown code"))</f>
        <v/>
      </c>
      <c r="D2719" s="15" t="n"/>
      <c r="E2719" s="16" t="n"/>
      <c r="F2719" s="18">
        <f>IF(OR(D2719="",E2719=""),"",D2719*E2719)</f>
        <v/>
      </c>
      <c r="G2719" s="15" t="n"/>
    </row>
    <row r="2720">
      <c r="A2720" s="19" t="n"/>
      <c r="B2720" s="15" t="n"/>
      <c r="C2720">
        <f>IF(B2720="","",IFERROR(INDEX(Items!$B$5:$B$304,MATCH(B2720,Items!$A$5:$A$304,0)),"Unknown code"))</f>
        <v/>
      </c>
      <c r="D2720" s="15" t="n"/>
      <c r="E2720" s="16" t="n"/>
      <c r="F2720" s="18">
        <f>IF(OR(D2720="",E2720=""),"",D2720*E2720)</f>
        <v/>
      </c>
      <c r="G2720" s="15" t="n"/>
    </row>
    <row r="2721">
      <c r="A2721" s="19" t="n"/>
      <c r="B2721" s="15" t="n"/>
      <c r="C2721">
        <f>IF(B2721="","",IFERROR(INDEX(Items!$B$5:$B$304,MATCH(B2721,Items!$A$5:$A$304,0)),"Unknown code"))</f>
        <v/>
      </c>
      <c r="D2721" s="15" t="n"/>
      <c r="E2721" s="16" t="n"/>
      <c r="F2721" s="18">
        <f>IF(OR(D2721="",E2721=""),"",D2721*E2721)</f>
        <v/>
      </c>
      <c r="G2721" s="15" t="n"/>
    </row>
    <row r="2722">
      <c r="A2722" s="19" t="n"/>
      <c r="B2722" s="15" t="n"/>
      <c r="C2722">
        <f>IF(B2722="","",IFERROR(INDEX(Items!$B$5:$B$304,MATCH(B2722,Items!$A$5:$A$304,0)),"Unknown code"))</f>
        <v/>
      </c>
      <c r="D2722" s="15" t="n"/>
      <c r="E2722" s="16" t="n"/>
      <c r="F2722" s="18">
        <f>IF(OR(D2722="",E2722=""),"",D2722*E2722)</f>
        <v/>
      </c>
      <c r="G2722" s="15" t="n"/>
    </row>
    <row r="2723">
      <c r="A2723" s="19" t="n"/>
      <c r="B2723" s="15" t="n"/>
      <c r="C2723">
        <f>IF(B2723="","",IFERROR(INDEX(Items!$B$5:$B$304,MATCH(B2723,Items!$A$5:$A$304,0)),"Unknown code"))</f>
        <v/>
      </c>
      <c r="D2723" s="15" t="n"/>
      <c r="E2723" s="16" t="n"/>
      <c r="F2723" s="18">
        <f>IF(OR(D2723="",E2723=""),"",D2723*E2723)</f>
        <v/>
      </c>
      <c r="G2723" s="15" t="n"/>
    </row>
    <row r="2724">
      <c r="A2724" s="19" t="n"/>
      <c r="B2724" s="15" t="n"/>
      <c r="C2724">
        <f>IF(B2724="","",IFERROR(INDEX(Items!$B$5:$B$304,MATCH(B2724,Items!$A$5:$A$304,0)),"Unknown code"))</f>
        <v/>
      </c>
      <c r="D2724" s="15" t="n"/>
      <c r="E2724" s="16" t="n"/>
      <c r="F2724" s="18">
        <f>IF(OR(D2724="",E2724=""),"",D2724*E2724)</f>
        <v/>
      </c>
      <c r="G2724" s="15" t="n"/>
    </row>
    <row r="2725">
      <c r="A2725" s="19" t="n"/>
      <c r="B2725" s="15" t="n"/>
      <c r="C2725">
        <f>IF(B2725="","",IFERROR(INDEX(Items!$B$5:$B$304,MATCH(B2725,Items!$A$5:$A$304,0)),"Unknown code"))</f>
        <v/>
      </c>
      <c r="D2725" s="15" t="n"/>
      <c r="E2725" s="16" t="n"/>
      <c r="F2725" s="18">
        <f>IF(OR(D2725="",E2725=""),"",D2725*E2725)</f>
        <v/>
      </c>
      <c r="G2725" s="15" t="n"/>
    </row>
    <row r="2726">
      <c r="A2726" s="19" t="n"/>
      <c r="B2726" s="15" t="n"/>
      <c r="C2726">
        <f>IF(B2726="","",IFERROR(INDEX(Items!$B$5:$B$304,MATCH(B2726,Items!$A$5:$A$304,0)),"Unknown code"))</f>
        <v/>
      </c>
      <c r="D2726" s="15" t="n"/>
      <c r="E2726" s="16" t="n"/>
      <c r="F2726" s="18">
        <f>IF(OR(D2726="",E2726=""),"",D2726*E2726)</f>
        <v/>
      </c>
      <c r="G2726" s="15" t="n"/>
    </row>
    <row r="2727">
      <c r="A2727" s="19" t="n"/>
      <c r="B2727" s="15" t="n"/>
      <c r="C2727">
        <f>IF(B2727="","",IFERROR(INDEX(Items!$B$5:$B$304,MATCH(B2727,Items!$A$5:$A$304,0)),"Unknown code"))</f>
        <v/>
      </c>
      <c r="D2727" s="15" t="n"/>
      <c r="E2727" s="16" t="n"/>
      <c r="F2727" s="18">
        <f>IF(OR(D2727="",E2727=""),"",D2727*E2727)</f>
        <v/>
      </c>
      <c r="G2727" s="15" t="n"/>
    </row>
    <row r="2728">
      <c r="A2728" s="19" t="n"/>
      <c r="B2728" s="15" t="n"/>
      <c r="C2728">
        <f>IF(B2728="","",IFERROR(INDEX(Items!$B$5:$B$304,MATCH(B2728,Items!$A$5:$A$304,0)),"Unknown code"))</f>
        <v/>
      </c>
      <c r="D2728" s="15" t="n"/>
      <c r="E2728" s="16" t="n"/>
      <c r="F2728" s="18">
        <f>IF(OR(D2728="",E2728=""),"",D2728*E2728)</f>
        <v/>
      </c>
      <c r="G2728" s="15" t="n"/>
    </row>
    <row r="2729">
      <c r="A2729" s="19" t="n"/>
      <c r="B2729" s="15" t="n"/>
      <c r="C2729">
        <f>IF(B2729="","",IFERROR(INDEX(Items!$B$5:$B$304,MATCH(B2729,Items!$A$5:$A$304,0)),"Unknown code"))</f>
        <v/>
      </c>
      <c r="D2729" s="15" t="n"/>
      <c r="E2729" s="16" t="n"/>
      <c r="F2729" s="18">
        <f>IF(OR(D2729="",E2729=""),"",D2729*E2729)</f>
        <v/>
      </c>
      <c r="G2729" s="15" t="n"/>
    </row>
    <row r="2730">
      <c r="A2730" s="19" t="n"/>
      <c r="B2730" s="15" t="n"/>
      <c r="C2730">
        <f>IF(B2730="","",IFERROR(INDEX(Items!$B$5:$B$304,MATCH(B2730,Items!$A$5:$A$304,0)),"Unknown code"))</f>
        <v/>
      </c>
      <c r="D2730" s="15" t="n"/>
      <c r="E2730" s="16" t="n"/>
      <c r="F2730" s="18">
        <f>IF(OR(D2730="",E2730=""),"",D2730*E2730)</f>
        <v/>
      </c>
      <c r="G2730" s="15" t="n"/>
    </row>
    <row r="2731">
      <c r="A2731" s="19" t="n"/>
      <c r="B2731" s="15" t="n"/>
      <c r="C2731">
        <f>IF(B2731="","",IFERROR(INDEX(Items!$B$5:$B$304,MATCH(B2731,Items!$A$5:$A$304,0)),"Unknown code"))</f>
        <v/>
      </c>
      <c r="D2731" s="15" t="n"/>
      <c r="E2731" s="16" t="n"/>
      <c r="F2731" s="18">
        <f>IF(OR(D2731="",E2731=""),"",D2731*E2731)</f>
        <v/>
      </c>
      <c r="G2731" s="15" t="n"/>
    </row>
    <row r="2732">
      <c r="A2732" s="19" t="n"/>
      <c r="B2732" s="15" t="n"/>
      <c r="C2732">
        <f>IF(B2732="","",IFERROR(INDEX(Items!$B$5:$B$304,MATCH(B2732,Items!$A$5:$A$304,0)),"Unknown code"))</f>
        <v/>
      </c>
      <c r="D2732" s="15" t="n"/>
      <c r="E2732" s="16" t="n"/>
      <c r="F2732" s="18">
        <f>IF(OR(D2732="",E2732=""),"",D2732*E2732)</f>
        <v/>
      </c>
      <c r="G2732" s="15" t="n"/>
    </row>
    <row r="2733">
      <c r="A2733" s="19" t="n"/>
      <c r="B2733" s="15" t="n"/>
      <c r="C2733">
        <f>IF(B2733="","",IFERROR(INDEX(Items!$B$5:$B$304,MATCH(B2733,Items!$A$5:$A$304,0)),"Unknown code"))</f>
        <v/>
      </c>
      <c r="D2733" s="15" t="n"/>
      <c r="E2733" s="16" t="n"/>
      <c r="F2733" s="18">
        <f>IF(OR(D2733="",E2733=""),"",D2733*E2733)</f>
        <v/>
      </c>
      <c r="G2733" s="15" t="n"/>
    </row>
    <row r="2734">
      <c r="A2734" s="19" t="n"/>
      <c r="B2734" s="15" t="n"/>
      <c r="C2734">
        <f>IF(B2734="","",IFERROR(INDEX(Items!$B$5:$B$304,MATCH(B2734,Items!$A$5:$A$304,0)),"Unknown code"))</f>
        <v/>
      </c>
      <c r="D2734" s="15" t="n"/>
      <c r="E2734" s="16" t="n"/>
      <c r="F2734" s="18">
        <f>IF(OR(D2734="",E2734=""),"",D2734*E2734)</f>
        <v/>
      </c>
      <c r="G2734" s="15" t="n"/>
    </row>
    <row r="2735">
      <c r="A2735" s="19" t="n"/>
      <c r="B2735" s="15" t="n"/>
      <c r="C2735">
        <f>IF(B2735="","",IFERROR(INDEX(Items!$B$5:$B$304,MATCH(B2735,Items!$A$5:$A$304,0)),"Unknown code"))</f>
        <v/>
      </c>
      <c r="D2735" s="15" t="n"/>
      <c r="E2735" s="16" t="n"/>
      <c r="F2735" s="18">
        <f>IF(OR(D2735="",E2735=""),"",D2735*E2735)</f>
        <v/>
      </c>
      <c r="G2735" s="15" t="n"/>
    </row>
    <row r="2736">
      <c r="A2736" s="19" t="n"/>
      <c r="B2736" s="15" t="n"/>
      <c r="C2736">
        <f>IF(B2736="","",IFERROR(INDEX(Items!$B$5:$B$304,MATCH(B2736,Items!$A$5:$A$304,0)),"Unknown code"))</f>
        <v/>
      </c>
      <c r="D2736" s="15" t="n"/>
      <c r="E2736" s="16" t="n"/>
      <c r="F2736" s="18">
        <f>IF(OR(D2736="",E2736=""),"",D2736*E2736)</f>
        <v/>
      </c>
      <c r="G2736" s="15" t="n"/>
    </row>
    <row r="2737">
      <c r="A2737" s="19" t="n"/>
      <c r="B2737" s="15" t="n"/>
      <c r="C2737">
        <f>IF(B2737="","",IFERROR(INDEX(Items!$B$5:$B$304,MATCH(B2737,Items!$A$5:$A$304,0)),"Unknown code"))</f>
        <v/>
      </c>
      <c r="D2737" s="15" t="n"/>
      <c r="E2737" s="16" t="n"/>
      <c r="F2737" s="18">
        <f>IF(OR(D2737="",E2737=""),"",D2737*E2737)</f>
        <v/>
      </c>
      <c r="G2737" s="15" t="n"/>
    </row>
    <row r="2738">
      <c r="A2738" s="19" t="n"/>
      <c r="B2738" s="15" t="n"/>
      <c r="C2738">
        <f>IF(B2738="","",IFERROR(INDEX(Items!$B$5:$B$304,MATCH(B2738,Items!$A$5:$A$304,0)),"Unknown code"))</f>
        <v/>
      </c>
      <c r="D2738" s="15" t="n"/>
      <c r="E2738" s="16" t="n"/>
      <c r="F2738" s="18">
        <f>IF(OR(D2738="",E2738=""),"",D2738*E2738)</f>
        <v/>
      </c>
      <c r="G2738" s="15" t="n"/>
    </row>
    <row r="2739">
      <c r="A2739" s="19" t="n"/>
      <c r="B2739" s="15" t="n"/>
      <c r="C2739">
        <f>IF(B2739="","",IFERROR(INDEX(Items!$B$5:$B$304,MATCH(B2739,Items!$A$5:$A$304,0)),"Unknown code"))</f>
        <v/>
      </c>
      <c r="D2739" s="15" t="n"/>
      <c r="E2739" s="16" t="n"/>
      <c r="F2739" s="18">
        <f>IF(OR(D2739="",E2739=""),"",D2739*E2739)</f>
        <v/>
      </c>
      <c r="G2739" s="15" t="n"/>
    </row>
    <row r="2740">
      <c r="A2740" s="19" t="n"/>
      <c r="B2740" s="15" t="n"/>
      <c r="C2740">
        <f>IF(B2740="","",IFERROR(INDEX(Items!$B$5:$B$304,MATCH(B2740,Items!$A$5:$A$304,0)),"Unknown code"))</f>
        <v/>
      </c>
      <c r="D2740" s="15" t="n"/>
      <c r="E2740" s="16" t="n"/>
      <c r="F2740" s="18">
        <f>IF(OR(D2740="",E2740=""),"",D2740*E2740)</f>
        <v/>
      </c>
      <c r="G2740" s="15" t="n"/>
    </row>
    <row r="2741">
      <c r="A2741" s="19" t="n"/>
      <c r="B2741" s="15" t="n"/>
      <c r="C2741">
        <f>IF(B2741="","",IFERROR(INDEX(Items!$B$5:$B$304,MATCH(B2741,Items!$A$5:$A$304,0)),"Unknown code"))</f>
        <v/>
      </c>
      <c r="D2741" s="15" t="n"/>
      <c r="E2741" s="16" t="n"/>
      <c r="F2741" s="18">
        <f>IF(OR(D2741="",E2741=""),"",D2741*E2741)</f>
        <v/>
      </c>
      <c r="G2741" s="15" t="n"/>
    </row>
    <row r="2742">
      <c r="A2742" s="19" t="n"/>
      <c r="B2742" s="15" t="n"/>
      <c r="C2742">
        <f>IF(B2742="","",IFERROR(INDEX(Items!$B$5:$B$304,MATCH(B2742,Items!$A$5:$A$304,0)),"Unknown code"))</f>
        <v/>
      </c>
      <c r="D2742" s="15" t="n"/>
      <c r="E2742" s="16" t="n"/>
      <c r="F2742" s="18">
        <f>IF(OR(D2742="",E2742=""),"",D2742*E2742)</f>
        <v/>
      </c>
      <c r="G2742" s="15" t="n"/>
    </row>
    <row r="2743">
      <c r="A2743" s="19" t="n"/>
      <c r="B2743" s="15" t="n"/>
      <c r="C2743">
        <f>IF(B2743="","",IFERROR(INDEX(Items!$B$5:$B$304,MATCH(B2743,Items!$A$5:$A$304,0)),"Unknown code"))</f>
        <v/>
      </c>
      <c r="D2743" s="15" t="n"/>
      <c r="E2743" s="16" t="n"/>
      <c r="F2743" s="18">
        <f>IF(OR(D2743="",E2743=""),"",D2743*E2743)</f>
        <v/>
      </c>
      <c r="G2743" s="15" t="n"/>
    </row>
    <row r="2744">
      <c r="A2744" s="19" t="n"/>
      <c r="B2744" s="15" t="n"/>
      <c r="C2744">
        <f>IF(B2744="","",IFERROR(INDEX(Items!$B$5:$B$304,MATCH(B2744,Items!$A$5:$A$304,0)),"Unknown code"))</f>
        <v/>
      </c>
      <c r="D2744" s="15" t="n"/>
      <c r="E2744" s="16" t="n"/>
      <c r="F2744" s="18">
        <f>IF(OR(D2744="",E2744=""),"",D2744*E2744)</f>
        <v/>
      </c>
      <c r="G2744" s="15" t="n"/>
    </row>
    <row r="2745">
      <c r="A2745" s="19" t="n"/>
      <c r="B2745" s="15" t="n"/>
      <c r="C2745">
        <f>IF(B2745="","",IFERROR(INDEX(Items!$B$5:$B$304,MATCH(B2745,Items!$A$5:$A$304,0)),"Unknown code"))</f>
        <v/>
      </c>
      <c r="D2745" s="15" t="n"/>
      <c r="E2745" s="16" t="n"/>
      <c r="F2745" s="18">
        <f>IF(OR(D2745="",E2745=""),"",D2745*E2745)</f>
        <v/>
      </c>
      <c r="G2745" s="15" t="n"/>
    </row>
    <row r="2746">
      <c r="A2746" s="19" t="n"/>
      <c r="B2746" s="15" t="n"/>
      <c r="C2746">
        <f>IF(B2746="","",IFERROR(INDEX(Items!$B$5:$B$304,MATCH(B2746,Items!$A$5:$A$304,0)),"Unknown code"))</f>
        <v/>
      </c>
      <c r="D2746" s="15" t="n"/>
      <c r="E2746" s="16" t="n"/>
      <c r="F2746" s="18">
        <f>IF(OR(D2746="",E2746=""),"",D2746*E2746)</f>
        <v/>
      </c>
      <c r="G2746" s="15" t="n"/>
    </row>
    <row r="2747">
      <c r="A2747" s="19" t="n"/>
      <c r="B2747" s="15" t="n"/>
      <c r="C2747">
        <f>IF(B2747="","",IFERROR(INDEX(Items!$B$5:$B$304,MATCH(B2747,Items!$A$5:$A$304,0)),"Unknown code"))</f>
        <v/>
      </c>
      <c r="D2747" s="15" t="n"/>
      <c r="E2747" s="16" t="n"/>
      <c r="F2747" s="18">
        <f>IF(OR(D2747="",E2747=""),"",D2747*E2747)</f>
        <v/>
      </c>
      <c r="G2747" s="15" t="n"/>
    </row>
    <row r="2748">
      <c r="A2748" s="19" t="n"/>
      <c r="B2748" s="15" t="n"/>
      <c r="C2748">
        <f>IF(B2748="","",IFERROR(INDEX(Items!$B$5:$B$304,MATCH(B2748,Items!$A$5:$A$304,0)),"Unknown code"))</f>
        <v/>
      </c>
      <c r="D2748" s="15" t="n"/>
      <c r="E2748" s="16" t="n"/>
      <c r="F2748" s="18">
        <f>IF(OR(D2748="",E2748=""),"",D2748*E2748)</f>
        <v/>
      </c>
      <c r="G2748" s="15" t="n"/>
    </row>
    <row r="2749">
      <c r="A2749" s="19" t="n"/>
      <c r="B2749" s="15" t="n"/>
      <c r="C2749">
        <f>IF(B2749="","",IFERROR(INDEX(Items!$B$5:$B$304,MATCH(B2749,Items!$A$5:$A$304,0)),"Unknown code"))</f>
        <v/>
      </c>
      <c r="D2749" s="15" t="n"/>
      <c r="E2749" s="16" t="n"/>
      <c r="F2749" s="18">
        <f>IF(OR(D2749="",E2749=""),"",D2749*E2749)</f>
        <v/>
      </c>
      <c r="G2749" s="15" t="n"/>
    </row>
    <row r="2750">
      <c r="A2750" s="19" t="n"/>
      <c r="B2750" s="15" t="n"/>
      <c r="C2750">
        <f>IF(B2750="","",IFERROR(INDEX(Items!$B$5:$B$304,MATCH(B2750,Items!$A$5:$A$304,0)),"Unknown code"))</f>
        <v/>
      </c>
      <c r="D2750" s="15" t="n"/>
      <c r="E2750" s="16" t="n"/>
      <c r="F2750" s="18">
        <f>IF(OR(D2750="",E2750=""),"",D2750*E2750)</f>
        <v/>
      </c>
      <c r="G2750" s="15" t="n"/>
    </row>
    <row r="2751">
      <c r="A2751" s="19" t="n"/>
      <c r="B2751" s="15" t="n"/>
      <c r="C2751">
        <f>IF(B2751="","",IFERROR(INDEX(Items!$B$5:$B$304,MATCH(B2751,Items!$A$5:$A$304,0)),"Unknown code"))</f>
        <v/>
      </c>
      <c r="D2751" s="15" t="n"/>
      <c r="E2751" s="16" t="n"/>
      <c r="F2751" s="18">
        <f>IF(OR(D2751="",E2751=""),"",D2751*E2751)</f>
        <v/>
      </c>
      <c r="G2751" s="15" t="n"/>
    </row>
    <row r="2752">
      <c r="A2752" s="19" t="n"/>
      <c r="B2752" s="15" t="n"/>
      <c r="C2752">
        <f>IF(B2752="","",IFERROR(INDEX(Items!$B$5:$B$304,MATCH(B2752,Items!$A$5:$A$304,0)),"Unknown code"))</f>
        <v/>
      </c>
      <c r="D2752" s="15" t="n"/>
      <c r="E2752" s="16" t="n"/>
      <c r="F2752" s="18">
        <f>IF(OR(D2752="",E2752=""),"",D2752*E2752)</f>
        <v/>
      </c>
      <c r="G2752" s="15" t="n"/>
    </row>
    <row r="2753">
      <c r="A2753" s="19" t="n"/>
      <c r="B2753" s="15" t="n"/>
      <c r="C2753">
        <f>IF(B2753="","",IFERROR(INDEX(Items!$B$5:$B$304,MATCH(B2753,Items!$A$5:$A$304,0)),"Unknown code"))</f>
        <v/>
      </c>
      <c r="D2753" s="15" t="n"/>
      <c r="E2753" s="16" t="n"/>
      <c r="F2753" s="18">
        <f>IF(OR(D2753="",E2753=""),"",D2753*E2753)</f>
        <v/>
      </c>
      <c r="G2753" s="15" t="n"/>
    </row>
    <row r="2754">
      <c r="A2754" s="19" t="n"/>
      <c r="B2754" s="15" t="n"/>
      <c r="C2754">
        <f>IF(B2754="","",IFERROR(INDEX(Items!$B$5:$B$304,MATCH(B2754,Items!$A$5:$A$304,0)),"Unknown code"))</f>
        <v/>
      </c>
      <c r="D2754" s="15" t="n"/>
      <c r="E2754" s="16" t="n"/>
      <c r="F2754" s="18">
        <f>IF(OR(D2754="",E2754=""),"",D2754*E2754)</f>
        <v/>
      </c>
      <c r="G2754" s="15" t="n"/>
    </row>
    <row r="2755">
      <c r="A2755" s="19" t="n"/>
      <c r="B2755" s="15" t="n"/>
      <c r="C2755">
        <f>IF(B2755="","",IFERROR(INDEX(Items!$B$5:$B$304,MATCH(B2755,Items!$A$5:$A$304,0)),"Unknown code"))</f>
        <v/>
      </c>
      <c r="D2755" s="15" t="n"/>
      <c r="E2755" s="16" t="n"/>
      <c r="F2755" s="18">
        <f>IF(OR(D2755="",E2755=""),"",D2755*E2755)</f>
        <v/>
      </c>
      <c r="G2755" s="15" t="n"/>
    </row>
    <row r="2756">
      <c r="A2756" s="19" t="n"/>
      <c r="B2756" s="15" t="n"/>
      <c r="C2756">
        <f>IF(B2756="","",IFERROR(INDEX(Items!$B$5:$B$304,MATCH(B2756,Items!$A$5:$A$304,0)),"Unknown code"))</f>
        <v/>
      </c>
      <c r="D2756" s="15" t="n"/>
      <c r="E2756" s="16" t="n"/>
      <c r="F2756" s="18">
        <f>IF(OR(D2756="",E2756=""),"",D2756*E2756)</f>
        <v/>
      </c>
      <c r="G2756" s="15" t="n"/>
    </row>
    <row r="2757">
      <c r="A2757" s="19" t="n"/>
      <c r="B2757" s="15" t="n"/>
      <c r="C2757">
        <f>IF(B2757="","",IFERROR(INDEX(Items!$B$5:$B$304,MATCH(B2757,Items!$A$5:$A$304,0)),"Unknown code"))</f>
        <v/>
      </c>
      <c r="D2757" s="15" t="n"/>
      <c r="E2757" s="16" t="n"/>
      <c r="F2757" s="18">
        <f>IF(OR(D2757="",E2757=""),"",D2757*E2757)</f>
        <v/>
      </c>
      <c r="G2757" s="15" t="n"/>
    </row>
    <row r="2758">
      <c r="A2758" s="19" t="n"/>
      <c r="B2758" s="15" t="n"/>
      <c r="C2758">
        <f>IF(B2758="","",IFERROR(INDEX(Items!$B$5:$B$304,MATCH(B2758,Items!$A$5:$A$304,0)),"Unknown code"))</f>
        <v/>
      </c>
      <c r="D2758" s="15" t="n"/>
      <c r="E2758" s="16" t="n"/>
      <c r="F2758" s="18">
        <f>IF(OR(D2758="",E2758=""),"",D2758*E2758)</f>
        <v/>
      </c>
      <c r="G2758" s="15" t="n"/>
    </row>
    <row r="2759">
      <c r="A2759" s="19" t="n"/>
      <c r="B2759" s="15" t="n"/>
      <c r="C2759">
        <f>IF(B2759="","",IFERROR(INDEX(Items!$B$5:$B$304,MATCH(B2759,Items!$A$5:$A$304,0)),"Unknown code"))</f>
        <v/>
      </c>
      <c r="D2759" s="15" t="n"/>
      <c r="E2759" s="16" t="n"/>
      <c r="F2759" s="18">
        <f>IF(OR(D2759="",E2759=""),"",D2759*E2759)</f>
        <v/>
      </c>
      <c r="G2759" s="15" t="n"/>
    </row>
    <row r="2760">
      <c r="A2760" s="19" t="n"/>
      <c r="B2760" s="15" t="n"/>
      <c r="C2760">
        <f>IF(B2760="","",IFERROR(INDEX(Items!$B$5:$B$304,MATCH(B2760,Items!$A$5:$A$304,0)),"Unknown code"))</f>
        <v/>
      </c>
      <c r="D2760" s="15" t="n"/>
      <c r="E2760" s="16" t="n"/>
      <c r="F2760" s="18">
        <f>IF(OR(D2760="",E2760=""),"",D2760*E2760)</f>
        <v/>
      </c>
      <c r="G2760" s="15" t="n"/>
    </row>
    <row r="2761">
      <c r="A2761" s="19" t="n"/>
      <c r="B2761" s="15" t="n"/>
      <c r="C2761">
        <f>IF(B2761="","",IFERROR(INDEX(Items!$B$5:$B$304,MATCH(B2761,Items!$A$5:$A$304,0)),"Unknown code"))</f>
        <v/>
      </c>
      <c r="D2761" s="15" t="n"/>
      <c r="E2761" s="16" t="n"/>
      <c r="F2761" s="18">
        <f>IF(OR(D2761="",E2761=""),"",D2761*E2761)</f>
        <v/>
      </c>
      <c r="G2761" s="15" t="n"/>
    </row>
    <row r="2762">
      <c r="A2762" s="19" t="n"/>
      <c r="B2762" s="15" t="n"/>
      <c r="C2762">
        <f>IF(B2762="","",IFERROR(INDEX(Items!$B$5:$B$304,MATCH(B2762,Items!$A$5:$A$304,0)),"Unknown code"))</f>
        <v/>
      </c>
      <c r="D2762" s="15" t="n"/>
      <c r="E2762" s="16" t="n"/>
      <c r="F2762" s="18">
        <f>IF(OR(D2762="",E2762=""),"",D2762*E2762)</f>
        <v/>
      </c>
      <c r="G2762" s="15" t="n"/>
    </row>
    <row r="2763">
      <c r="A2763" s="19" t="n"/>
      <c r="B2763" s="15" t="n"/>
      <c r="C2763">
        <f>IF(B2763="","",IFERROR(INDEX(Items!$B$5:$B$304,MATCH(B2763,Items!$A$5:$A$304,0)),"Unknown code"))</f>
        <v/>
      </c>
      <c r="D2763" s="15" t="n"/>
      <c r="E2763" s="16" t="n"/>
      <c r="F2763" s="18">
        <f>IF(OR(D2763="",E2763=""),"",D2763*E2763)</f>
        <v/>
      </c>
      <c r="G2763" s="15" t="n"/>
    </row>
    <row r="2764">
      <c r="A2764" s="19" t="n"/>
      <c r="B2764" s="15" t="n"/>
      <c r="C2764">
        <f>IF(B2764="","",IFERROR(INDEX(Items!$B$5:$B$304,MATCH(B2764,Items!$A$5:$A$304,0)),"Unknown code"))</f>
        <v/>
      </c>
      <c r="D2764" s="15" t="n"/>
      <c r="E2764" s="16" t="n"/>
      <c r="F2764" s="18">
        <f>IF(OR(D2764="",E2764=""),"",D2764*E2764)</f>
        <v/>
      </c>
      <c r="G2764" s="15" t="n"/>
    </row>
    <row r="2765">
      <c r="A2765" s="19" t="n"/>
      <c r="B2765" s="15" t="n"/>
      <c r="C2765">
        <f>IF(B2765="","",IFERROR(INDEX(Items!$B$5:$B$304,MATCH(B2765,Items!$A$5:$A$304,0)),"Unknown code"))</f>
        <v/>
      </c>
      <c r="D2765" s="15" t="n"/>
      <c r="E2765" s="16" t="n"/>
      <c r="F2765" s="18">
        <f>IF(OR(D2765="",E2765=""),"",D2765*E2765)</f>
        <v/>
      </c>
      <c r="G2765" s="15" t="n"/>
    </row>
    <row r="2766">
      <c r="A2766" s="19" t="n"/>
      <c r="B2766" s="15" t="n"/>
      <c r="C2766">
        <f>IF(B2766="","",IFERROR(INDEX(Items!$B$5:$B$304,MATCH(B2766,Items!$A$5:$A$304,0)),"Unknown code"))</f>
        <v/>
      </c>
      <c r="D2766" s="15" t="n"/>
      <c r="E2766" s="16" t="n"/>
      <c r="F2766" s="18">
        <f>IF(OR(D2766="",E2766=""),"",D2766*E2766)</f>
        <v/>
      </c>
      <c r="G2766" s="15" t="n"/>
    </row>
    <row r="2767">
      <c r="A2767" s="19" t="n"/>
      <c r="B2767" s="15" t="n"/>
      <c r="C2767">
        <f>IF(B2767="","",IFERROR(INDEX(Items!$B$5:$B$304,MATCH(B2767,Items!$A$5:$A$304,0)),"Unknown code"))</f>
        <v/>
      </c>
      <c r="D2767" s="15" t="n"/>
      <c r="E2767" s="16" t="n"/>
      <c r="F2767" s="18">
        <f>IF(OR(D2767="",E2767=""),"",D2767*E2767)</f>
        <v/>
      </c>
      <c r="G2767" s="15" t="n"/>
    </row>
    <row r="2768">
      <c r="A2768" s="19" t="n"/>
      <c r="B2768" s="15" t="n"/>
      <c r="C2768">
        <f>IF(B2768="","",IFERROR(INDEX(Items!$B$5:$B$304,MATCH(B2768,Items!$A$5:$A$304,0)),"Unknown code"))</f>
        <v/>
      </c>
      <c r="D2768" s="15" t="n"/>
      <c r="E2768" s="16" t="n"/>
      <c r="F2768" s="18">
        <f>IF(OR(D2768="",E2768=""),"",D2768*E2768)</f>
        <v/>
      </c>
      <c r="G2768" s="15" t="n"/>
    </row>
    <row r="2769">
      <c r="A2769" s="19" t="n"/>
      <c r="B2769" s="15" t="n"/>
      <c r="C2769">
        <f>IF(B2769="","",IFERROR(INDEX(Items!$B$5:$B$304,MATCH(B2769,Items!$A$5:$A$304,0)),"Unknown code"))</f>
        <v/>
      </c>
      <c r="D2769" s="15" t="n"/>
      <c r="E2769" s="16" t="n"/>
      <c r="F2769" s="18">
        <f>IF(OR(D2769="",E2769=""),"",D2769*E2769)</f>
        <v/>
      </c>
      <c r="G2769" s="15" t="n"/>
    </row>
    <row r="2770">
      <c r="A2770" s="19" t="n"/>
      <c r="B2770" s="15" t="n"/>
      <c r="C2770">
        <f>IF(B2770="","",IFERROR(INDEX(Items!$B$5:$B$304,MATCH(B2770,Items!$A$5:$A$304,0)),"Unknown code"))</f>
        <v/>
      </c>
      <c r="D2770" s="15" t="n"/>
      <c r="E2770" s="16" t="n"/>
      <c r="F2770" s="18">
        <f>IF(OR(D2770="",E2770=""),"",D2770*E2770)</f>
        <v/>
      </c>
      <c r="G2770" s="15" t="n"/>
    </row>
    <row r="2771">
      <c r="A2771" s="19" t="n"/>
      <c r="B2771" s="15" t="n"/>
      <c r="C2771">
        <f>IF(B2771="","",IFERROR(INDEX(Items!$B$5:$B$304,MATCH(B2771,Items!$A$5:$A$304,0)),"Unknown code"))</f>
        <v/>
      </c>
      <c r="D2771" s="15" t="n"/>
      <c r="E2771" s="16" t="n"/>
      <c r="F2771" s="18">
        <f>IF(OR(D2771="",E2771=""),"",D2771*E2771)</f>
        <v/>
      </c>
      <c r="G2771" s="15" t="n"/>
    </row>
    <row r="2772">
      <c r="A2772" s="19" t="n"/>
      <c r="B2772" s="15" t="n"/>
      <c r="C2772">
        <f>IF(B2772="","",IFERROR(INDEX(Items!$B$5:$B$304,MATCH(B2772,Items!$A$5:$A$304,0)),"Unknown code"))</f>
        <v/>
      </c>
      <c r="D2772" s="15" t="n"/>
      <c r="E2772" s="16" t="n"/>
      <c r="F2772" s="18">
        <f>IF(OR(D2772="",E2772=""),"",D2772*E2772)</f>
        <v/>
      </c>
      <c r="G2772" s="15" t="n"/>
    </row>
    <row r="2773">
      <c r="A2773" s="19" t="n"/>
      <c r="B2773" s="15" t="n"/>
      <c r="C2773">
        <f>IF(B2773="","",IFERROR(INDEX(Items!$B$5:$B$304,MATCH(B2773,Items!$A$5:$A$304,0)),"Unknown code"))</f>
        <v/>
      </c>
      <c r="D2773" s="15" t="n"/>
      <c r="E2773" s="16" t="n"/>
      <c r="F2773" s="18">
        <f>IF(OR(D2773="",E2773=""),"",D2773*E2773)</f>
        <v/>
      </c>
      <c r="G2773" s="15" t="n"/>
    </row>
    <row r="2774">
      <c r="A2774" s="19" t="n"/>
      <c r="B2774" s="15" t="n"/>
      <c r="C2774">
        <f>IF(B2774="","",IFERROR(INDEX(Items!$B$5:$B$304,MATCH(B2774,Items!$A$5:$A$304,0)),"Unknown code"))</f>
        <v/>
      </c>
      <c r="D2774" s="15" t="n"/>
      <c r="E2774" s="16" t="n"/>
      <c r="F2774" s="18">
        <f>IF(OR(D2774="",E2774=""),"",D2774*E2774)</f>
        <v/>
      </c>
      <c r="G2774" s="15" t="n"/>
    </row>
    <row r="2775">
      <c r="A2775" s="19" t="n"/>
      <c r="B2775" s="15" t="n"/>
      <c r="C2775">
        <f>IF(B2775="","",IFERROR(INDEX(Items!$B$5:$B$304,MATCH(B2775,Items!$A$5:$A$304,0)),"Unknown code"))</f>
        <v/>
      </c>
      <c r="D2775" s="15" t="n"/>
      <c r="E2775" s="16" t="n"/>
      <c r="F2775" s="18">
        <f>IF(OR(D2775="",E2775=""),"",D2775*E2775)</f>
        <v/>
      </c>
      <c r="G2775" s="15" t="n"/>
    </row>
    <row r="2776">
      <c r="A2776" s="19" t="n"/>
      <c r="B2776" s="15" t="n"/>
      <c r="C2776">
        <f>IF(B2776="","",IFERROR(INDEX(Items!$B$5:$B$304,MATCH(B2776,Items!$A$5:$A$304,0)),"Unknown code"))</f>
        <v/>
      </c>
      <c r="D2776" s="15" t="n"/>
      <c r="E2776" s="16" t="n"/>
      <c r="F2776" s="18">
        <f>IF(OR(D2776="",E2776=""),"",D2776*E2776)</f>
        <v/>
      </c>
      <c r="G2776" s="15" t="n"/>
    </row>
    <row r="2777">
      <c r="A2777" s="19" t="n"/>
      <c r="B2777" s="15" t="n"/>
      <c r="C2777">
        <f>IF(B2777="","",IFERROR(INDEX(Items!$B$5:$B$304,MATCH(B2777,Items!$A$5:$A$304,0)),"Unknown code"))</f>
        <v/>
      </c>
      <c r="D2777" s="15" t="n"/>
      <c r="E2777" s="16" t="n"/>
      <c r="F2777" s="18">
        <f>IF(OR(D2777="",E2777=""),"",D2777*E2777)</f>
        <v/>
      </c>
      <c r="G2777" s="15" t="n"/>
    </row>
    <row r="2778">
      <c r="A2778" s="19" t="n"/>
      <c r="B2778" s="15" t="n"/>
      <c r="C2778">
        <f>IF(B2778="","",IFERROR(INDEX(Items!$B$5:$B$304,MATCH(B2778,Items!$A$5:$A$304,0)),"Unknown code"))</f>
        <v/>
      </c>
      <c r="D2778" s="15" t="n"/>
      <c r="E2778" s="16" t="n"/>
      <c r="F2778" s="18">
        <f>IF(OR(D2778="",E2778=""),"",D2778*E2778)</f>
        <v/>
      </c>
      <c r="G2778" s="15" t="n"/>
    </row>
    <row r="2779">
      <c r="A2779" s="19" t="n"/>
      <c r="B2779" s="15" t="n"/>
      <c r="C2779">
        <f>IF(B2779="","",IFERROR(INDEX(Items!$B$5:$B$304,MATCH(B2779,Items!$A$5:$A$304,0)),"Unknown code"))</f>
        <v/>
      </c>
      <c r="D2779" s="15" t="n"/>
      <c r="E2779" s="16" t="n"/>
      <c r="F2779" s="18">
        <f>IF(OR(D2779="",E2779=""),"",D2779*E2779)</f>
        <v/>
      </c>
      <c r="G2779" s="15" t="n"/>
    </row>
    <row r="2780">
      <c r="A2780" s="19" t="n"/>
      <c r="B2780" s="15" t="n"/>
      <c r="C2780">
        <f>IF(B2780="","",IFERROR(INDEX(Items!$B$5:$B$304,MATCH(B2780,Items!$A$5:$A$304,0)),"Unknown code"))</f>
        <v/>
      </c>
      <c r="D2780" s="15" t="n"/>
      <c r="E2780" s="16" t="n"/>
      <c r="F2780" s="18">
        <f>IF(OR(D2780="",E2780=""),"",D2780*E2780)</f>
        <v/>
      </c>
      <c r="G2780" s="15" t="n"/>
    </row>
    <row r="2781">
      <c r="A2781" s="19" t="n"/>
      <c r="B2781" s="15" t="n"/>
      <c r="C2781">
        <f>IF(B2781="","",IFERROR(INDEX(Items!$B$5:$B$304,MATCH(B2781,Items!$A$5:$A$304,0)),"Unknown code"))</f>
        <v/>
      </c>
      <c r="D2781" s="15" t="n"/>
      <c r="E2781" s="16" t="n"/>
      <c r="F2781" s="18">
        <f>IF(OR(D2781="",E2781=""),"",D2781*E2781)</f>
        <v/>
      </c>
      <c r="G2781" s="15" t="n"/>
    </row>
    <row r="2782">
      <c r="A2782" s="19" t="n"/>
      <c r="B2782" s="15" t="n"/>
      <c r="C2782">
        <f>IF(B2782="","",IFERROR(INDEX(Items!$B$5:$B$304,MATCH(B2782,Items!$A$5:$A$304,0)),"Unknown code"))</f>
        <v/>
      </c>
      <c r="D2782" s="15" t="n"/>
      <c r="E2782" s="16" t="n"/>
      <c r="F2782" s="18">
        <f>IF(OR(D2782="",E2782=""),"",D2782*E2782)</f>
        <v/>
      </c>
      <c r="G2782" s="15" t="n"/>
    </row>
    <row r="2783">
      <c r="A2783" s="19" t="n"/>
      <c r="B2783" s="15" t="n"/>
      <c r="C2783">
        <f>IF(B2783="","",IFERROR(INDEX(Items!$B$5:$B$304,MATCH(B2783,Items!$A$5:$A$304,0)),"Unknown code"))</f>
        <v/>
      </c>
      <c r="D2783" s="15" t="n"/>
      <c r="E2783" s="16" t="n"/>
      <c r="F2783" s="18">
        <f>IF(OR(D2783="",E2783=""),"",D2783*E2783)</f>
        <v/>
      </c>
      <c r="G2783" s="15" t="n"/>
    </row>
    <row r="2784">
      <c r="A2784" s="19" t="n"/>
      <c r="B2784" s="15" t="n"/>
      <c r="C2784">
        <f>IF(B2784="","",IFERROR(INDEX(Items!$B$5:$B$304,MATCH(B2784,Items!$A$5:$A$304,0)),"Unknown code"))</f>
        <v/>
      </c>
      <c r="D2784" s="15" t="n"/>
      <c r="E2784" s="16" t="n"/>
      <c r="F2784" s="18">
        <f>IF(OR(D2784="",E2784=""),"",D2784*E2784)</f>
        <v/>
      </c>
      <c r="G2784" s="15" t="n"/>
    </row>
    <row r="2785">
      <c r="A2785" s="19" t="n"/>
      <c r="B2785" s="15" t="n"/>
      <c r="C2785">
        <f>IF(B2785="","",IFERROR(INDEX(Items!$B$5:$B$304,MATCH(B2785,Items!$A$5:$A$304,0)),"Unknown code"))</f>
        <v/>
      </c>
      <c r="D2785" s="15" t="n"/>
      <c r="E2785" s="16" t="n"/>
      <c r="F2785" s="18">
        <f>IF(OR(D2785="",E2785=""),"",D2785*E2785)</f>
        <v/>
      </c>
      <c r="G2785" s="15" t="n"/>
    </row>
    <row r="2786">
      <c r="A2786" s="19" t="n"/>
      <c r="B2786" s="15" t="n"/>
      <c r="C2786">
        <f>IF(B2786="","",IFERROR(INDEX(Items!$B$5:$B$304,MATCH(B2786,Items!$A$5:$A$304,0)),"Unknown code"))</f>
        <v/>
      </c>
      <c r="D2786" s="15" t="n"/>
      <c r="E2786" s="16" t="n"/>
      <c r="F2786" s="18">
        <f>IF(OR(D2786="",E2786=""),"",D2786*E2786)</f>
        <v/>
      </c>
      <c r="G2786" s="15" t="n"/>
    </row>
    <row r="2787">
      <c r="A2787" s="19" t="n"/>
      <c r="B2787" s="15" t="n"/>
      <c r="C2787">
        <f>IF(B2787="","",IFERROR(INDEX(Items!$B$5:$B$304,MATCH(B2787,Items!$A$5:$A$304,0)),"Unknown code"))</f>
        <v/>
      </c>
      <c r="D2787" s="15" t="n"/>
      <c r="E2787" s="16" t="n"/>
      <c r="F2787" s="18">
        <f>IF(OR(D2787="",E2787=""),"",D2787*E2787)</f>
        <v/>
      </c>
      <c r="G2787" s="15" t="n"/>
    </row>
    <row r="2788">
      <c r="A2788" s="19" t="n"/>
      <c r="B2788" s="15" t="n"/>
      <c r="C2788">
        <f>IF(B2788="","",IFERROR(INDEX(Items!$B$5:$B$304,MATCH(B2788,Items!$A$5:$A$304,0)),"Unknown code"))</f>
        <v/>
      </c>
      <c r="D2788" s="15" t="n"/>
      <c r="E2788" s="16" t="n"/>
      <c r="F2788" s="18">
        <f>IF(OR(D2788="",E2788=""),"",D2788*E2788)</f>
        <v/>
      </c>
      <c r="G2788" s="15" t="n"/>
    </row>
    <row r="2789">
      <c r="A2789" s="19" t="n"/>
      <c r="B2789" s="15" t="n"/>
      <c r="C2789">
        <f>IF(B2789="","",IFERROR(INDEX(Items!$B$5:$B$304,MATCH(B2789,Items!$A$5:$A$304,0)),"Unknown code"))</f>
        <v/>
      </c>
      <c r="D2789" s="15" t="n"/>
      <c r="E2789" s="16" t="n"/>
      <c r="F2789" s="18">
        <f>IF(OR(D2789="",E2789=""),"",D2789*E2789)</f>
        <v/>
      </c>
      <c r="G2789" s="15" t="n"/>
    </row>
    <row r="2790">
      <c r="A2790" s="19" t="n"/>
      <c r="B2790" s="15" t="n"/>
      <c r="C2790">
        <f>IF(B2790="","",IFERROR(INDEX(Items!$B$5:$B$304,MATCH(B2790,Items!$A$5:$A$304,0)),"Unknown code"))</f>
        <v/>
      </c>
      <c r="D2790" s="15" t="n"/>
      <c r="E2790" s="16" t="n"/>
      <c r="F2790" s="18">
        <f>IF(OR(D2790="",E2790=""),"",D2790*E2790)</f>
        <v/>
      </c>
      <c r="G2790" s="15" t="n"/>
    </row>
    <row r="2791">
      <c r="A2791" s="19" t="n"/>
      <c r="B2791" s="15" t="n"/>
      <c r="C2791">
        <f>IF(B2791="","",IFERROR(INDEX(Items!$B$5:$B$304,MATCH(B2791,Items!$A$5:$A$304,0)),"Unknown code"))</f>
        <v/>
      </c>
      <c r="D2791" s="15" t="n"/>
      <c r="E2791" s="16" t="n"/>
      <c r="F2791" s="18">
        <f>IF(OR(D2791="",E2791=""),"",D2791*E2791)</f>
        <v/>
      </c>
      <c r="G2791" s="15" t="n"/>
    </row>
    <row r="2792">
      <c r="A2792" s="19" t="n"/>
      <c r="B2792" s="15" t="n"/>
      <c r="C2792">
        <f>IF(B2792="","",IFERROR(INDEX(Items!$B$5:$B$304,MATCH(B2792,Items!$A$5:$A$304,0)),"Unknown code"))</f>
        <v/>
      </c>
      <c r="D2792" s="15" t="n"/>
      <c r="E2792" s="16" t="n"/>
      <c r="F2792" s="18">
        <f>IF(OR(D2792="",E2792=""),"",D2792*E2792)</f>
        <v/>
      </c>
      <c r="G2792" s="15" t="n"/>
    </row>
    <row r="2793">
      <c r="A2793" s="19" t="n"/>
      <c r="B2793" s="15" t="n"/>
      <c r="C2793">
        <f>IF(B2793="","",IFERROR(INDEX(Items!$B$5:$B$304,MATCH(B2793,Items!$A$5:$A$304,0)),"Unknown code"))</f>
        <v/>
      </c>
      <c r="D2793" s="15" t="n"/>
      <c r="E2793" s="16" t="n"/>
      <c r="F2793" s="18">
        <f>IF(OR(D2793="",E2793=""),"",D2793*E2793)</f>
        <v/>
      </c>
      <c r="G2793" s="15" t="n"/>
    </row>
    <row r="2794">
      <c r="A2794" s="19" t="n"/>
      <c r="B2794" s="15" t="n"/>
      <c r="C2794">
        <f>IF(B2794="","",IFERROR(INDEX(Items!$B$5:$B$304,MATCH(B2794,Items!$A$5:$A$304,0)),"Unknown code"))</f>
        <v/>
      </c>
      <c r="D2794" s="15" t="n"/>
      <c r="E2794" s="16" t="n"/>
      <c r="F2794" s="18">
        <f>IF(OR(D2794="",E2794=""),"",D2794*E2794)</f>
        <v/>
      </c>
      <c r="G2794" s="15" t="n"/>
    </row>
    <row r="2795">
      <c r="A2795" s="19" t="n"/>
      <c r="B2795" s="15" t="n"/>
      <c r="C2795">
        <f>IF(B2795="","",IFERROR(INDEX(Items!$B$5:$B$304,MATCH(B2795,Items!$A$5:$A$304,0)),"Unknown code"))</f>
        <v/>
      </c>
      <c r="D2795" s="15" t="n"/>
      <c r="E2795" s="16" t="n"/>
      <c r="F2795" s="18">
        <f>IF(OR(D2795="",E2795=""),"",D2795*E2795)</f>
        <v/>
      </c>
      <c r="G2795" s="15" t="n"/>
    </row>
    <row r="2796">
      <c r="A2796" s="19" t="n"/>
      <c r="B2796" s="15" t="n"/>
      <c r="C2796">
        <f>IF(B2796="","",IFERROR(INDEX(Items!$B$5:$B$304,MATCH(B2796,Items!$A$5:$A$304,0)),"Unknown code"))</f>
        <v/>
      </c>
      <c r="D2796" s="15" t="n"/>
      <c r="E2796" s="16" t="n"/>
      <c r="F2796" s="18">
        <f>IF(OR(D2796="",E2796=""),"",D2796*E2796)</f>
        <v/>
      </c>
      <c r="G2796" s="15" t="n"/>
    </row>
    <row r="2797">
      <c r="A2797" s="19" t="n"/>
      <c r="B2797" s="15" t="n"/>
      <c r="C2797">
        <f>IF(B2797="","",IFERROR(INDEX(Items!$B$5:$B$304,MATCH(B2797,Items!$A$5:$A$304,0)),"Unknown code"))</f>
        <v/>
      </c>
      <c r="D2797" s="15" t="n"/>
      <c r="E2797" s="16" t="n"/>
      <c r="F2797" s="18">
        <f>IF(OR(D2797="",E2797=""),"",D2797*E2797)</f>
        <v/>
      </c>
      <c r="G2797" s="15" t="n"/>
    </row>
    <row r="2798">
      <c r="A2798" s="19" t="n"/>
      <c r="B2798" s="15" t="n"/>
      <c r="C2798">
        <f>IF(B2798="","",IFERROR(INDEX(Items!$B$5:$B$304,MATCH(B2798,Items!$A$5:$A$304,0)),"Unknown code"))</f>
        <v/>
      </c>
      <c r="D2798" s="15" t="n"/>
      <c r="E2798" s="16" t="n"/>
      <c r="F2798" s="18">
        <f>IF(OR(D2798="",E2798=""),"",D2798*E2798)</f>
        <v/>
      </c>
      <c r="G2798" s="15" t="n"/>
    </row>
    <row r="2799">
      <c r="A2799" s="19" t="n"/>
      <c r="B2799" s="15" t="n"/>
      <c r="C2799">
        <f>IF(B2799="","",IFERROR(INDEX(Items!$B$5:$B$304,MATCH(B2799,Items!$A$5:$A$304,0)),"Unknown code"))</f>
        <v/>
      </c>
      <c r="D2799" s="15" t="n"/>
      <c r="E2799" s="16" t="n"/>
      <c r="F2799" s="18">
        <f>IF(OR(D2799="",E2799=""),"",D2799*E2799)</f>
        <v/>
      </c>
      <c r="G2799" s="15" t="n"/>
    </row>
    <row r="2800">
      <c r="A2800" s="19" t="n"/>
      <c r="B2800" s="15" t="n"/>
      <c r="C2800">
        <f>IF(B2800="","",IFERROR(INDEX(Items!$B$5:$B$304,MATCH(B2800,Items!$A$5:$A$304,0)),"Unknown code"))</f>
        <v/>
      </c>
      <c r="D2800" s="15" t="n"/>
      <c r="E2800" s="16" t="n"/>
      <c r="F2800" s="18">
        <f>IF(OR(D2800="",E2800=""),"",D2800*E2800)</f>
        <v/>
      </c>
      <c r="G2800" s="15" t="n"/>
    </row>
    <row r="2801">
      <c r="A2801" s="19" t="n"/>
      <c r="B2801" s="15" t="n"/>
      <c r="C2801">
        <f>IF(B2801="","",IFERROR(INDEX(Items!$B$5:$B$304,MATCH(B2801,Items!$A$5:$A$304,0)),"Unknown code"))</f>
        <v/>
      </c>
      <c r="D2801" s="15" t="n"/>
      <c r="E2801" s="16" t="n"/>
      <c r="F2801" s="18">
        <f>IF(OR(D2801="",E2801=""),"",D2801*E2801)</f>
        <v/>
      </c>
      <c r="G2801" s="15" t="n"/>
    </row>
    <row r="2802">
      <c r="A2802" s="19" t="n"/>
      <c r="B2802" s="15" t="n"/>
      <c r="C2802">
        <f>IF(B2802="","",IFERROR(INDEX(Items!$B$5:$B$304,MATCH(B2802,Items!$A$5:$A$304,0)),"Unknown code"))</f>
        <v/>
      </c>
      <c r="D2802" s="15" t="n"/>
      <c r="E2802" s="16" t="n"/>
      <c r="F2802" s="18">
        <f>IF(OR(D2802="",E2802=""),"",D2802*E2802)</f>
        <v/>
      </c>
      <c r="G2802" s="15" t="n"/>
    </row>
    <row r="2803">
      <c r="A2803" s="19" t="n"/>
      <c r="B2803" s="15" t="n"/>
      <c r="C2803">
        <f>IF(B2803="","",IFERROR(INDEX(Items!$B$5:$B$304,MATCH(B2803,Items!$A$5:$A$304,0)),"Unknown code"))</f>
        <v/>
      </c>
      <c r="D2803" s="15" t="n"/>
      <c r="E2803" s="16" t="n"/>
      <c r="F2803" s="18">
        <f>IF(OR(D2803="",E2803=""),"",D2803*E2803)</f>
        <v/>
      </c>
      <c r="G2803" s="15" t="n"/>
    </row>
    <row r="2804">
      <c r="A2804" s="19" t="n"/>
      <c r="B2804" s="15" t="n"/>
      <c r="C2804">
        <f>IF(B2804="","",IFERROR(INDEX(Items!$B$5:$B$304,MATCH(B2804,Items!$A$5:$A$304,0)),"Unknown code"))</f>
        <v/>
      </c>
      <c r="D2804" s="15" t="n"/>
      <c r="E2804" s="16" t="n"/>
      <c r="F2804" s="18">
        <f>IF(OR(D2804="",E2804=""),"",D2804*E2804)</f>
        <v/>
      </c>
      <c r="G2804" s="15" t="n"/>
    </row>
    <row r="2805">
      <c r="A2805" s="19" t="n"/>
      <c r="B2805" s="15" t="n"/>
      <c r="C2805">
        <f>IF(B2805="","",IFERROR(INDEX(Items!$B$5:$B$304,MATCH(B2805,Items!$A$5:$A$304,0)),"Unknown code"))</f>
        <v/>
      </c>
      <c r="D2805" s="15" t="n"/>
      <c r="E2805" s="16" t="n"/>
      <c r="F2805" s="18">
        <f>IF(OR(D2805="",E2805=""),"",D2805*E2805)</f>
        <v/>
      </c>
      <c r="G2805" s="15" t="n"/>
    </row>
    <row r="2806">
      <c r="A2806" s="19" t="n"/>
      <c r="B2806" s="15" t="n"/>
      <c r="C2806">
        <f>IF(B2806="","",IFERROR(INDEX(Items!$B$5:$B$304,MATCH(B2806,Items!$A$5:$A$304,0)),"Unknown code"))</f>
        <v/>
      </c>
      <c r="D2806" s="15" t="n"/>
      <c r="E2806" s="16" t="n"/>
      <c r="F2806" s="18">
        <f>IF(OR(D2806="",E2806=""),"",D2806*E2806)</f>
        <v/>
      </c>
      <c r="G2806" s="15" t="n"/>
    </row>
    <row r="2807">
      <c r="A2807" s="19" t="n"/>
      <c r="B2807" s="15" t="n"/>
      <c r="C2807">
        <f>IF(B2807="","",IFERROR(INDEX(Items!$B$5:$B$304,MATCH(B2807,Items!$A$5:$A$304,0)),"Unknown code"))</f>
        <v/>
      </c>
      <c r="D2807" s="15" t="n"/>
      <c r="E2807" s="16" t="n"/>
      <c r="F2807" s="18">
        <f>IF(OR(D2807="",E2807=""),"",D2807*E2807)</f>
        <v/>
      </c>
      <c r="G2807" s="15" t="n"/>
    </row>
    <row r="2808">
      <c r="A2808" s="19" t="n"/>
      <c r="B2808" s="15" t="n"/>
      <c r="C2808">
        <f>IF(B2808="","",IFERROR(INDEX(Items!$B$5:$B$304,MATCH(B2808,Items!$A$5:$A$304,0)),"Unknown code"))</f>
        <v/>
      </c>
      <c r="D2808" s="15" t="n"/>
      <c r="E2808" s="16" t="n"/>
      <c r="F2808" s="18">
        <f>IF(OR(D2808="",E2808=""),"",D2808*E2808)</f>
        <v/>
      </c>
      <c r="G2808" s="15" t="n"/>
    </row>
    <row r="2809">
      <c r="A2809" s="19" t="n"/>
      <c r="B2809" s="15" t="n"/>
      <c r="C2809">
        <f>IF(B2809="","",IFERROR(INDEX(Items!$B$5:$B$304,MATCH(B2809,Items!$A$5:$A$304,0)),"Unknown code"))</f>
        <v/>
      </c>
      <c r="D2809" s="15" t="n"/>
      <c r="E2809" s="16" t="n"/>
      <c r="F2809" s="18">
        <f>IF(OR(D2809="",E2809=""),"",D2809*E2809)</f>
        <v/>
      </c>
      <c r="G2809" s="15" t="n"/>
    </row>
    <row r="2810">
      <c r="A2810" s="19" t="n"/>
      <c r="B2810" s="15" t="n"/>
      <c r="C2810">
        <f>IF(B2810="","",IFERROR(INDEX(Items!$B$5:$B$304,MATCH(B2810,Items!$A$5:$A$304,0)),"Unknown code"))</f>
        <v/>
      </c>
      <c r="D2810" s="15" t="n"/>
      <c r="E2810" s="16" t="n"/>
      <c r="F2810" s="18">
        <f>IF(OR(D2810="",E2810=""),"",D2810*E2810)</f>
        <v/>
      </c>
      <c r="G2810" s="15" t="n"/>
    </row>
    <row r="2811">
      <c r="A2811" s="19" t="n"/>
      <c r="B2811" s="15" t="n"/>
      <c r="C2811">
        <f>IF(B2811="","",IFERROR(INDEX(Items!$B$5:$B$304,MATCH(B2811,Items!$A$5:$A$304,0)),"Unknown code"))</f>
        <v/>
      </c>
      <c r="D2811" s="15" t="n"/>
      <c r="E2811" s="16" t="n"/>
      <c r="F2811" s="18">
        <f>IF(OR(D2811="",E2811=""),"",D2811*E2811)</f>
        <v/>
      </c>
      <c r="G2811" s="15" t="n"/>
    </row>
    <row r="2812">
      <c r="A2812" s="19" t="n"/>
      <c r="B2812" s="15" t="n"/>
      <c r="C2812">
        <f>IF(B2812="","",IFERROR(INDEX(Items!$B$5:$B$304,MATCH(B2812,Items!$A$5:$A$304,0)),"Unknown code"))</f>
        <v/>
      </c>
      <c r="D2812" s="15" t="n"/>
      <c r="E2812" s="16" t="n"/>
      <c r="F2812" s="18">
        <f>IF(OR(D2812="",E2812=""),"",D2812*E2812)</f>
        <v/>
      </c>
      <c r="G2812" s="15" t="n"/>
    </row>
    <row r="2813">
      <c r="A2813" s="19" t="n"/>
      <c r="B2813" s="15" t="n"/>
      <c r="C2813">
        <f>IF(B2813="","",IFERROR(INDEX(Items!$B$5:$B$304,MATCH(B2813,Items!$A$5:$A$304,0)),"Unknown code"))</f>
        <v/>
      </c>
      <c r="D2813" s="15" t="n"/>
      <c r="E2813" s="16" t="n"/>
      <c r="F2813" s="18">
        <f>IF(OR(D2813="",E2813=""),"",D2813*E2813)</f>
        <v/>
      </c>
      <c r="G2813" s="15" t="n"/>
    </row>
    <row r="2814">
      <c r="A2814" s="19" t="n"/>
      <c r="B2814" s="15" t="n"/>
      <c r="C2814">
        <f>IF(B2814="","",IFERROR(INDEX(Items!$B$5:$B$304,MATCH(B2814,Items!$A$5:$A$304,0)),"Unknown code"))</f>
        <v/>
      </c>
      <c r="D2814" s="15" t="n"/>
      <c r="E2814" s="16" t="n"/>
      <c r="F2814" s="18">
        <f>IF(OR(D2814="",E2814=""),"",D2814*E2814)</f>
        <v/>
      </c>
      <c r="G2814" s="15" t="n"/>
    </row>
    <row r="2815">
      <c r="A2815" s="19" t="n"/>
      <c r="B2815" s="15" t="n"/>
      <c r="C2815">
        <f>IF(B2815="","",IFERROR(INDEX(Items!$B$5:$B$304,MATCH(B2815,Items!$A$5:$A$304,0)),"Unknown code"))</f>
        <v/>
      </c>
      <c r="D2815" s="15" t="n"/>
      <c r="E2815" s="16" t="n"/>
      <c r="F2815" s="18">
        <f>IF(OR(D2815="",E2815=""),"",D2815*E2815)</f>
        <v/>
      </c>
      <c r="G2815" s="15" t="n"/>
    </row>
    <row r="2816">
      <c r="A2816" s="19" t="n"/>
      <c r="B2816" s="15" t="n"/>
      <c r="C2816">
        <f>IF(B2816="","",IFERROR(INDEX(Items!$B$5:$B$304,MATCH(B2816,Items!$A$5:$A$304,0)),"Unknown code"))</f>
        <v/>
      </c>
      <c r="D2816" s="15" t="n"/>
      <c r="E2816" s="16" t="n"/>
      <c r="F2816" s="18">
        <f>IF(OR(D2816="",E2816=""),"",D2816*E2816)</f>
        <v/>
      </c>
      <c r="G2816" s="15" t="n"/>
    </row>
    <row r="2817">
      <c r="A2817" s="19" t="n"/>
      <c r="B2817" s="15" t="n"/>
      <c r="C2817">
        <f>IF(B2817="","",IFERROR(INDEX(Items!$B$5:$B$304,MATCH(B2817,Items!$A$5:$A$304,0)),"Unknown code"))</f>
        <v/>
      </c>
      <c r="D2817" s="15" t="n"/>
      <c r="E2817" s="16" t="n"/>
      <c r="F2817" s="18">
        <f>IF(OR(D2817="",E2817=""),"",D2817*E2817)</f>
        <v/>
      </c>
      <c r="G2817" s="15" t="n"/>
    </row>
    <row r="2818">
      <c r="A2818" s="19" t="n"/>
      <c r="B2818" s="15" t="n"/>
      <c r="C2818">
        <f>IF(B2818="","",IFERROR(INDEX(Items!$B$5:$B$304,MATCH(B2818,Items!$A$5:$A$304,0)),"Unknown code"))</f>
        <v/>
      </c>
      <c r="D2818" s="15" t="n"/>
      <c r="E2818" s="16" t="n"/>
      <c r="F2818" s="18">
        <f>IF(OR(D2818="",E2818=""),"",D2818*E2818)</f>
        <v/>
      </c>
      <c r="G2818" s="15" t="n"/>
    </row>
    <row r="2819">
      <c r="A2819" s="19" t="n"/>
      <c r="B2819" s="15" t="n"/>
      <c r="C2819">
        <f>IF(B2819="","",IFERROR(INDEX(Items!$B$5:$B$304,MATCH(B2819,Items!$A$5:$A$304,0)),"Unknown code"))</f>
        <v/>
      </c>
      <c r="D2819" s="15" t="n"/>
      <c r="E2819" s="16" t="n"/>
      <c r="F2819" s="18">
        <f>IF(OR(D2819="",E2819=""),"",D2819*E2819)</f>
        <v/>
      </c>
      <c r="G2819" s="15" t="n"/>
    </row>
    <row r="2820">
      <c r="A2820" s="19" t="n"/>
      <c r="B2820" s="15" t="n"/>
      <c r="C2820">
        <f>IF(B2820="","",IFERROR(INDEX(Items!$B$5:$B$304,MATCH(B2820,Items!$A$5:$A$304,0)),"Unknown code"))</f>
        <v/>
      </c>
      <c r="D2820" s="15" t="n"/>
      <c r="E2820" s="16" t="n"/>
      <c r="F2820" s="18">
        <f>IF(OR(D2820="",E2820=""),"",D2820*E2820)</f>
        <v/>
      </c>
      <c r="G2820" s="15" t="n"/>
    </row>
    <row r="2821">
      <c r="A2821" s="19" t="n"/>
      <c r="B2821" s="15" t="n"/>
      <c r="C2821">
        <f>IF(B2821="","",IFERROR(INDEX(Items!$B$5:$B$304,MATCH(B2821,Items!$A$5:$A$304,0)),"Unknown code"))</f>
        <v/>
      </c>
      <c r="D2821" s="15" t="n"/>
      <c r="E2821" s="16" t="n"/>
      <c r="F2821" s="18">
        <f>IF(OR(D2821="",E2821=""),"",D2821*E2821)</f>
        <v/>
      </c>
      <c r="G2821" s="15" t="n"/>
    </row>
    <row r="2822">
      <c r="A2822" s="19" t="n"/>
      <c r="B2822" s="15" t="n"/>
      <c r="C2822">
        <f>IF(B2822="","",IFERROR(INDEX(Items!$B$5:$B$304,MATCH(B2822,Items!$A$5:$A$304,0)),"Unknown code"))</f>
        <v/>
      </c>
      <c r="D2822" s="15" t="n"/>
      <c r="E2822" s="16" t="n"/>
      <c r="F2822" s="18">
        <f>IF(OR(D2822="",E2822=""),"",D2822*E2822)</f>
        <v/>
      </c>
      <c r="G2822" s="15" t="n"/>
    </row>
    <row r="2823">
      <c r="A2823" s="19" t="n"/>
      <c r="B2823" s="15" t="n"/>
      <c r="C2823">
        <f>IF(B2823="","",IFERROR(INDEX(Items!$B$5:$B$304,MATCH(B2823,Items!$A$5:$A$304,0)),"Unknown code"))</f>
        <v/>
      </c>
      <c r="D2823" s="15" t="n"/>
      <c r="E2823" s="16" t="n"/>
      <c r="F2823" s="18">
        <f>IF(OR(D2823="",E2823=""),"",D2823*E2823)</f>
        <v/>
      </c>
      <c r="G2823" s="15" t="n"/>
    </row>
    <row r="2824">
      <c r="A2824" s="19" t="n"/>
      <c r="B2824" s="15" t="n"/>
      <c r="C2824">
        <f>IF(B2824="","",IFERROR(INDEX(Items!$B$5:$B$304,MATCH(B2824,Items!$A$5:$A$304,0)),"Unknown code"))</f>
        <v/>
      </c>
      <c r="D2824" s="15" t="n"/>
      <c r="E2824" s="16" t="n"/>
      <c r="F2824" s="18">
        <f>IF(OR(D2824="",E2824=""),"",D2824*E2824)</f>
        <v/>
      </c>
      <c r="G2824" s="15" t="n"/>
    </row>
    <row r="2825">
      <c r="A2825" s="19" t="n"/>
      <c r="B2825" s="15" t="n"/>
      <c r="C2825">
        <f>IF(B2825="","",IFERROR(INDEX(Items!$B$5:$B$304,MATCH(B2825,Items!$A$5:$A$304,0)),"Unknown code"))</f>
        <v/>
      </c>
      <c r="D2825" s="15" t="n"/>
      <c r="E2825" s="16" t="n"/>
      <c r="F2825" s="18">
        <f>IF(OR(D2825="",E2825=""),"",D2825*E2825)</f>
        <v/>
      </c>
      <c r="G2825" s="15" t="n"/>
    </row>
    <row r="2826">
      <c r="A2826" s="19" t="n"/>
      <c r="B2826" s="15" t="n"/>
      <c r="C2826">
        <f>IF(B2826="","",IFERROR(INDEX(Items!$B$5:$B$304,MATCH(B2826,Items!$A$5:$A$304,0)),"Unknown code"))</f>
        <v/>
      </c>
      <c r="D2826" s="15" t="n"/>
      <c r="E2826" s="16" t="n"/>
      <c r="F2826" s="18">
        <f>IF(OR(D2826="",E2826=""),"",D2826*E2826)</f>
        <v/>
      </c>
      <c r="G2826" s="15" t="n"/>
    </row>
    <row r="2827">
      <c r="A2827" s="19" t="n"/>
      <c r="B2827" s="15" t="n"/>
      <c r="C2827">
        <f>IF(B2827="","",IFERROR(INDEX(Items!$B$5:$B$304,MATCH(B2827,Items!$A$5:$A$304,0)),"Unknown code"))</f>
        <v/>
      </c>
      <c r="D2827" s="15" t="n"/>
      <c r="E2827" s="16" t="n"/>
      <c r="F2827" s="18">
        <f>IF(OR(D2827="",E2827=""),"",D2827*E2827)</f>
        <v/>
      </c>
      <c r="G2827" s="15" t="n"/>
    </row>
    <row r="2828">
      <c r="A2828" s="19" t="n"/>
      <c r="B2828" s="15" t="n"/>
      <c r="C2828">
        <f>IF(B2828="","",IFERROR(INDEX(Items!$B$5:$B$304,MATCH(B2828,Items!$A$5:$A$304,0)),"Unknown code"))</f>
        <v/>
      </c>
      <c r="D2828" s="15" t="n"/>
      <c r="E2828" s="16" t="n"/>
      <c r="F2828" s="18">
        <f>IF(OR(D2828="",E2828=""),"",D2828*E2828)</f>
        <v/>
      </c>
      <c r="G2828" s="15" t="n"/>
    </row>
    <row r="2829">
      <c r="A2829" s="19" t="n"/>
      <c r="B2829" s="15" t="n"/>
      <c r="C2829">
        <f>IF(B2829="","",IFERROR(INDEX(Items!$B$5:$B$304,MATCH(B2829,Items!$A$5:$A$304,0)),"Unknown code"))</f>
        <v/>
      </c>
      <c r="D2829" s="15" t="n"/>
      <c r="E2829" s="16" t="n"/>
      <c r="F2829" s="18">
        <f>IF(OR(D2829="",E2829=""),"",D2829*E2829)</f>
        <v/>
      </c>
      <c r="G2829" s="15" t="n"/>
    </row>
    <row r="2830">
      <c r="A2830" s="19" t="n"/>
      <c r="B2830" s="15" t="n"/>
      <c r="C2830">
        <f>IF(B2830="","",IFERROR(INDEX(Items!$B$5:$B$304,MATCH(B2830,Items!$A$5:$A$304,0)),"Unknown code"))</f>
        <v/>
      </c>
      <c r="D2830" s="15" t="n"/>
      <c r="E2830" s="16" t="n"/>
      <c r="F2830" s="18">
        <f>IF(OR(D2830="",E2830=""),"",D2830*E2830)</f>
        <v/>
      </c>
      <c r="G2830" s="15" t="n"/>
    </row>
    <row r="2831">
      <c r="A2831" s="19" t="n"/>
      <c r="B2831" s="15" t="n"/>
      <c r="C2831">
        <f>IF(B2831="","",IFERROR(INDEX(Items!$B$5:$B$304,MATCH(B2831,Items!$A$5:$A$304,0)),"Unknown code"))</f>
        <v/>
      </c>
      <c r="D2831" s="15" t="n"/>
      <c r="E2831" s="16" t="n"/>
      <c r="F2831" s="18">
        <f>IF(OR(D2831="",E2831=""),"",D2831*E2831)</f>
        <v/>
      </c>
      <c r="G2831" s="15" t="n"/>
    </row>
    <row r="2832">
      <c r="A2832" s="19" t="n"/>
      <c r="B2832" s="15" t="n"/>
      <c r="C2832">
        <f>IF(B2832="","",IFERROR(INDEX(Items!$B$5:$B$304,MATCH(B2832,Items!$A$5:$A$304,0)),"Unknown code"))</f>
        <v/>
      </c>
      <c r="D2832" s="15" t="n"/>
      <c r="E2832" s="16" t="n"/>
      <c r="F2832" s="18">
        <f>IF(OR(D2832="",E2832=""),"",D2832*E2832)</f>
        <v/>
      </c>
      <c r="G2832" s="15" t="n"/>
    </row>
    <row r="2833">
      <c r="A2833" s="19" t="n"/>
      <c r="B2833" s="15" t="n"/>
      <c r="C2833">
        <f>IF(B2833="","",IFERROR(INDEX(Items!$B$5:$B$304,MATCH(B2833,Items!$A$5:$A$304,0)),"Unknown code"))</f>
        <v/>
      </c>
      <c r="D2833" s="15" t="n"/>
      <c r="E2833" s="16" t="n"/>
      <c r="F2833" s="18">
        <f>IF(OR(D2833="",E2833=""),"",D2833*E2833)</f>
        <v/>
      </c>
      <c r="G2833" s="15" t="n"/>
    </row>
    <row r="2834">
      <c r="A2834" s="19" t="n"/>
      <c r="B2834" s="15" t="n"/>
      <c r="C2834">
        <f>IF(B2834="","",IFERROR(INDEX(Items!$B$5:$B$304,MATCH(B2834,Items!$A$5:$A$304,0)),"Unknown code"))</f>
        <v/>
      </c>
      <c r="D2834" s="15" t="n"/>
      <c r="E2834" s="16" t="n"/>
      <c r="F2834" s="18">
        <f>IF(OR(D2834="",E2834=""),"",D2834*E2834)</f>
        <v/>
      </c>
      <c r="G2834" s="15" t="n"/>
    </row>
    <row r="2835">
      <c r="A2835" s="19" t="n"/>
      <c r="B2835" s="15" t="n"/>
      <c r="C2835">
        <f>IF(B2835="","",IFERROR(INDEX(Items!$B$5:$B$304,MATCH(B2835,Items!$A$5:$A$304,0)),"Unknown code"))</f>
        <v/>
      </c>
      <c r="D2835" s="15" t="n"/>
      <c r="E2835" s="16" t="n"/>
      <c r="F2835" s="18">
        <f>IF(OR(D2835="",E2835=""),"",D2835*E2835)</f>
        <v/>
      </c>
      <c r="G2835" s="15" t="n"/>
    </row>
    <row r="2836">
      <c r="A2836" s="19" t="n"/>
      <c r="B2836" s="15" t="n"/>
      <c r="C2836">
        <f>IF(B2836="","",IFERROR(INDEX(Items!$B$5:$B$304,MATCH(B2836,Items!$A$5:$A$304,0)),"Unknown code"))</f>
        <v/>
      </c>
      <c r="D2836" s="15" t="n"/>
      <c r="E2836" s="16" t="n"/>
      <c r="F2836" s="18">
        <f>IF(OR(D2836="",E2836=""),"",D2836*E2836)</f>
        <v/>
      </c>
      <c r="G2836" s="15" t="n"/>
    </row>
    <row r="2837">
      <c r="A2837" s="19" t="n"/>
      <c r="B2837" s="15" t="n"/>
      <c r="C2837">
        <f>IF(B2837="","",IFERROR(INDEX(Items!$B$5:$B$304,MATCH(B2837,Items!$A$5:$A$304,0)),"Unknown code"))</f>
        <v/>
      </c>
      <c r="D2837" s="15" t="n"/>
      <c r="E2837" s="16" t="n"/>
      <c r="F2837" s="18">
        <f>IF(OR(D2837="",E2837=""),"",D2837*E2837)</f>
        <v/>
      </c>
      <c r="G2837" s="15" t="n"/>
    </row>
    <row r="2838">
      <c r="A2838" s="19" t="n"/>
      <c r="B2838" s="15" t="n"/>
      <c r="C2838">
        <f>IF(B2838="","",IFERROR(INDEX(Items!$B$5:$B$304,MATCH(B2838,Items!$A$5:$A$304,0)),"Unknown code"))</f>
        <v/>
      </c>
      <c r="D2838" s="15" t="n"/>
      <c r="E2838" s="16" t="n"/>
      <c r="F2838" s="18">
        <f>IF(OR(D2838="",E2838=""),"",D2838*E2838)</f>
        <v/>
      </c>
      <c r="G2838" s="15" t="n"/>
    </row>
    <row r="2839">
      <c r="A2839" s="19" t="n"/>
      <c r="B2839" s="15" t="n"/>
      <c r="C2839">
        <f>IF(B2839="","",IFERROR(INDEX(Items!$B$5:$B$304,MATCH(B2839,Items!$A$5:$A$304,0)),"Unknown code"))</f>
        <v/>
      </c>
      <c r="D2839" s="15" t="n"/>
      <c r="E2839" s="16" t="n"/>
      <c r="F2839" s="18">
        <f>IF(OR(D2839="",E2839=""),"",D2839*E2839)</f>
        <v/>
      </c>
      <c r="G2839" s="15" t="n"/>
    </row>
    <row r="2840">
      <c r="A2840" s="19" t="n"/>
      <c r="B2840" s="15" t="n"/>
      <c r="C2840">
        <f>IF(B2840="","",IFERROR(INDEX(Items!$B$5:$B$304,MATCH(B2840,Items!$A$5:$A$304,0)),"Unknown code"))</f>
        <v/>
      </c>
      <c r="D2840" s="15" t="n"/>
      <c r="E2840" s="16" t="n"/>
      <c r="F2840" s="18">
        <f>IF(OR(D2840="",E2840=""),"",D2840*E2840)</f>
        <v/>
      </c>
      <c r="G2840" s="15" t="n"/>
    </row>
    <row r="2841">
      <c r="A2841" s="19" t="n"/>
      <c r="B2841" s="15" t="n"/>
      <c r="C2841">
        <f>IF(B2841="","",IFERROR(INDEX(Items!$B$5:$B$304,MATCH(B2841,Items!$A$5:$A$304,0)),"Unknown code"))</f>
        <v/>
      </c>
      <c r="D2841" s="15" t="n"/>
      <c r="E2841" s="16" t="n"/>
      <c r="F2841" s="18">
        <f>IF(OR(D2841="",E2841=""),"",D2841*E2841)</f>
        <v/>
      </c>
      <c r="G2841" s="15" t="n"/>
    </row>
    <row r="2842">
      <c r="A2842" s="19" t="n"/>
      <c r="B2842" s="15" t="n"/>
      <c r="C2842">
        <f>IF(B2842="","",IFERROR(INDEX(Items!$B$5:$B$304,MATCH(B2842,Items!$A$5:$A$304,0)),"Unknown code"))</f>
        <v/>
      </c>
      <c r="D2842" s="15" t="n"/>
      <c r="E2842" s="16" t="n"/>
      <c r="F2842" s="18">
        <f>IF(OR(D2842="",E2842=""),"",D2842*E2842)</f>
        <v/>
      </c>
      <c r="G2842" s="15" t="n"/>
    </row>
    <row r="2843">
      <c r="A2843" s="19" t="n"/>
      <c r="B2843" s="15" t="n"/>
      <c r="C2843">
        <f>IF(B2843="","",IFERROR(INDEX(Items!$B$5:$B$304,MATCH(B2843,Items!$A$5:$A$304,0)),"Unknown code"))</f>
        <v/>
      </c>
      <c r="D2843" s="15" t="n"/>
      <c r="E2843" s="16" t="n"/>
      <c r="F2843" s="18">
        <f>IF(OR(D2843="",E2843=""),"",D2843*E2843)</f>
        <v/>
      </c>
      <c r="G2843" s="15" t="n"/>
    </row>
    <row r="2844">
      <c r="A2844" s="19" t="n"/>
      <c r="B2844" s="15" t="n"/>
      <c r="C2844">
        <f>IF(B2844="","",IFERROR(INDEX(Items!$B$5:$B$304,MATCH(B2844,Items!$A$5:$A$304,0)),"Unknown code"))</f>
        <v/>
      </c>
      <c r="D2844" s="15" t="n"/>
      <c r="E2844" s="16" t="n"/>
      <c r="F2844" s="18">
        <f>IF(OR(D2844="",E2844=""),"",D2844*E2844)</f>
        <v/>
      </c>
      <c r="G2844" s="15" t="n"/>
    </row>
    <row r="2845">
      <c r="A2845" s="19" t="n"/>
      <c r="B2845" s="15" t="n"/>
      <c r="C2845">
        <f>IF(B2845="","",IFERROR(INDEX(Items!$B$5:$B$304,MATCH(B2845,Items!$A$5:$A$304,0)),"Unknown code"))</f>
        <v/>
      </c>
      <c r="D2845" s="15" t="n"/>
      <c r="E2845" s="16" t="n"/>
      <c r="F2845" s="18">
        <f>IF(OR(D2845="",E2845=""),"",D2845*E2845)</f>
        <v/>
      </c>
      <c r="G2845" s="15" t="n"/>
    </row>
    <row r="2846">
      <c r="A2846" s="19" t="n"/>
      <c r="B2846" s="15" t="n"/>
      <c r="C2846">
        <f>IF(B2846="","",IFERROR(INDEX(Items!$B$5:$B$304,MATCH(B2846,Items!$A$5:$A$304,0)),"Unknown code"))</f>
        <v/>
      </c>
      <c r="D2846" s="15" t="n"/>
      <c r="E2846" s="16" t="n"/>
      <c r="F2846" s="18">
        <f>IF(OR(D2846="",E2846=""),"",D2846*E2846)</f>
        <v/>
      </c>
      <c r="G2846" s="15" t="n"/>
    </row>
    <row r="2847">
      <c r="A2847" s="19" t="n"/>
      <c r="B2847" s="15" t="n"/>
      <c r="C2847">
        <f>IF(B2847="","",IFERROR(INDEX(Items!$B$5:$B$304,MATCH(B2847,Items!$A$5:$A$304,0)),"Unknown code"))</f>
        <v/>
      </c>
      <c r="D2847" s="15" t="n"/>
      <c r="E2847" s="16" t="n"/>
      <c r="F2847" s="18">
        <f>IF(OR(D2847="",E2847=""),"",D2847*E2847)</f>
        <v/>
      </c>
      <c r="G2847" s="15" t="n"/>
    </row>
    <row r="2848">
      <c r="A2848" s="19" t="n"/>
      <c r="B2848" s="15" t="n"/>
      <c r="C2848">
        <f>IF(B2848="","",IFERROR(INDEX(Items!$B$5:$B$304,MATCH(B2848,Items!$A$5:$A$304,0)),"Unknown code"))</f>
        <v/>
      </c>
      <c r="D2848" s="15" t="n"/>
      <c r="E2848" s="16" t="n"/>
      <c r="F2848" s="18">
        <f>IF(OR(D2848="",E2848=""),"",D2848*E2848)</f>
        <v/>
      </c>
      <c r="G2848" s="15" t="n"/>
    </row>
    <row r="2849">
      <c r="A2849" s="19" t="n"/>
      <c r="B2849" s="15" t="n"/>
      <c r="C2849">
        <f>IF(B2849="","",IFERROR(INDEX(Items!$B$5:$B$304,MATCH(B2849,Items!$A$5:$A$304,0)),"Unknown code"))</f>
        <v/>
      </c>
      <c r="D2849" s="15" t="n"/>
      <c r="E2849" s="16" t="n"/>
      <c r="F2849" s="18">
        <f>IF(OR(D2849="",E2849=""),"",D2849*E2849)</f>
        <v/>
      </c>
      <c r="G2849" s="15" t="n"/>
    </row>
    <row r="2850">
      <c r="A2850" s="19" t="n"/>
      <c r="B2850" s="15" t="n"/>
      <c r="C2850">
        <f>IF(B2850="","",IFERROR(INDEX(Items!$B$5:$B$304,MATCH(B2850,Items!$A$5:$A$304,0)),"Unknown code"))</f>
        <v/>
      </c>
      <c r="D2850" s="15" t="n"/>
      <c r="E2850" s="16" t="n"/>
      <c r="F2850" s="18">
        <f>IF(OR(D2850="",E2850=""),"",D2850*E2850)</f>
        <v/>
      </c>
      <c r="G2850" s="15" t="n"/>
    </row>
    <row r="2851">
      <c r="A2851" s="19" t="n"/>
      <c r="B2851" s="15" t="n"/>
      <c r="C2851">
        <f>IF(B2851="","",IFERROR(INDEX(Items!$B$5:$B$304,MATCH(B2851,Items!$A$5:$A$304,0)),"Unknown code"))</f>
        <v/>
      </c>
      <c r="D2851" s="15" t="n"/>
      <c r="E2851" s="16" t="n"/>
      <c r="F2851" s="18">
        <f>IF(OR(D2851="",E2851=""),"",D2851*E2851)</f>
        <v/>
      </c>
      <c r="G2851" s="15" t="n"/>
    </row>
    <row r="2852">
      <c r="A2852" s="19" t="n"/>
      <c r="B2852" s="15" t="n"/>
      <c r="C2852">
        <f>IF(B2852="","",IFERROR(INDEX(Items!$B$5:$B$304,MATCH(B2852,Items!$A$5:$A$304,0)),"Unknown code"))</f>
        <v/>
      </c>
      <c r="D2852" s="15" t="n"/>
      <c r="E2852" s="16" t="n"/>
      <c r="F2852" s="18">
        <f>IF(OR(D2852="",E2852=""),"",D2852*E2852)</f>
        <v/>
      </c>
      <c r="G2852" s="15" t="n"/>
    </row>
    <row r="2853">
      <c r="A2853" s="19" t="n"/>
      <c r="B2853" s="15" t="n"/>
      <c r="C2853">
        <f>IF(B2853="","",IFERROR(INDEX(Items!$B$5:$B$304,MATCH(B2853,Items!$A$5:$A$304,0)),"Unknown code"))</f>
        <v/>
      </c>
      <c r="D2853" s="15" t="n"/>
      <c r="E2853" s="16" t="n"/>
      <c r="F2853" s="18">
        <f>IF(OR(D2853="",E2853=""),"",D2853*E2853)</f>
        <v/>
      </c>
      <c r="G2853" s="15" t="n"/>
    </row>
    <row r="2854">
      <c r="A2854" s="19" t="n"/>
      <c r="B2854" s="15" t="n"/>
      <c r="C2854">
        <f>IF(B2854="","",IFERROR(INDEX(Items!$B$5:$B$304,MATCH(B2854,Items!$A$5:$A$304,0)),"Unknown code"))</f>
        <v/>
      </c>
      <c r="D2854" s="15" t="n"/>
      <c r="E2854" s="16" t="n"/>
      <c r="F2854" s="18">
        <f>IF(OR(D2854="",E2854=""),"",D2854*E2854)</f>
        <v/>
      </c>
      <c r="G2854" s="15" t="n"/>
    </row>
    <row r="2855">
      <c r="A2855" s="19" t="n"/>
      <c r="B2855" s="15" t="n"/>
      <c r="C2855">
        <f>IF(B2855="","",IFERROR(INDEX(Items!$B$5:$B$304,MATCH(B2855,Items!$A$5:$A$304,0)),"Unknown code"))</f>
        <v/>
      </c>
      <c r="D2855" s="15" t="n"/>
      <c r="E2855" s="16" t="n"/>
      <c r="F2855" s="18">
        <f>IF(OR(D2855="",E2855=""),"",D2855*E2855)</f>
        <v/>
      </c>
      <c r="G2855" s="15" t="n"/>
    </row>
    <row r="2856">
      <c r="A2856" s="19" t="n"/>
      <c r="B2856" s="15" t="n"/>
      <c r="C2856">
        <f>IF(B2856="","",IFERROR(INDEX(Items!$B$5:$B$304,MATCH(B2856,Items!$A$5:$A$304,0)),"Unknown code"))</f>
        <v/>
      </c>
      <c r="D2856" s="15" t="n"/>
      <c r="E2856" s="16" t="n"/>
      <c r="F2856" s="18">
        <f>IF(OR(D2856="",E2856=""),"",D2856*E2856)</f>
        <v/>
      </c>
      <c r="G2856" s="15" t="n"/>
    </row>
    <row r="2857">
      <c r="A2857" s="19" t="n"/>
      <c r="B2857" s="15" t="n"/>
      <c r="C2857">
        <f>IF(B2857="","",IFERROR(INDEX(Items!$B$5:$B$304,MATCH(B2857,Items!$A$5:$A$304,0)),"Unknown code"))</f>
        <v/>
      </c>
      <c r="D2857" s="15" t="n"/>
      <c r="E2857" s="16" t="n"/>
      <c r="F2857" s="18">
        <f>IF(OR(D2857="",E2857=""),"",D2857*E2857)</f>
        <v/>
      </c>
      <c r="G2857" s="15" t="n"/>
    </row>
    <row r="2858">
      <c r="A2858" s="19" t="n"/>
      <c r="B2858" s="15" t="n"/>
      <c r="C2858">
        <f>IF(B2858="","",IFERROR(INDEX(Items!$B$5:$B$304,MATCH(B2858,Items!$A$5:$A$304,0)),"Unknown code"))</f>
        <v/>
      </c>
      <c r="D2858" s="15" t="n"/>
      <c r="E2858" s="16" t="n"/>
      <c r="F2858" s="18">
        <f>IF(OR(D2858="",E2858=""),"",D2858*E2858)</f>
        <v/>
      </c>
      <c r="G2858" s="15" t="n"/>
    </row>
    <row r="2859">
      <c r="A2859" s="19" t="n"/>
      <c r="B2859" s="15" t="n"/>
      <c r="C2859">
        <f>IF(B2859="","",IFERROR(INDEX(Items!$B$5:$B$304,MATCH(B2859,Items!$A$5:$A$304,0)),"Unknown code"))</f>
        <v/>
      </c>
      <c r="D2859" s="15" t="n"/>
      <c r="E2859" s="16" t="n"/>
      <c r="F2859" s="18">
        <f>IF(OR(D2859="",E2859=""),"",D2859*E2859)</f>
        <v/>
      </c>
      <c r="G2859" s="15" t="n"/>
    </row>
    <row r="2860">
      <c r="A2860" s="19" t="n"/>
      <c r="B2860" s="15" t="n"/>
      <c r="C2860">
        <f>IF(B2860="","",IFERROR(INDEX(Items!$B$5:$B$304,MATCH(B2860,Items!$A$5:$A$304,0)),"Unknown code"))</f>
        <v/>
      </c>
      <c r="D2860" s="15" t="n"/>
      <c r="E2860" s="16" t="n"/>
      <c r="F2860" s="18">
        <f>IF(OR(D2860="",E2860=""),"",D2860*E2860)</f>
        <v/>
      </c>
      <c r="G2860" s="15" t="n"/>
    </row>
    <row r="2861">
      <c r="A2861" s="19" t="n"/>
      <c r="B2861" s="15" t="n"/>
      <c r="C2861">
        <f>IF(B2861="","",IFERROR(INDEX(Items!$B$5:$B$304,MATCH(B2861,Items!$A$5:$A$304,0)),"Unknown code"))</f>
        <v/>
      </c>
      <c r="D2861" s="15" t="n"/>
      <c r="E2861" s="16" t="n"/>
      <c r="F2861" s="18">
        <f>IF(OR(D2861="",E2861=""),"",D2861*E2861)</f>
        <v/>
      </c>
      <c r="G2861" s="15" t="n"/>
    </row>
    <row r="2862">
      <c r="A2862" s="19" t="n"/>
      <c r="B2862" s="15" t="n"/>
      <c r="C2862">
        <f>IF(B2862="","",IFERROR(INDEX(Items!$B$5:$B$304,MATCH(B2862,Items!$A$5:$A$304,0)),"Unknown code"))</f>
        <v/>
      </c>
      <c r="D2862" s="15" t="n"/>
      <c r="E2862" s="16" t="n"/>
      <c r="F2862" s="18">
        <f>IF(OR(D2862="",E2862=""),"",D2862*E2862)</f>
        <v/>
      </c>
      <c r="G2862" s="15" t="n"/>
    </row>
    <row r="2863">
      <c r="A2863" s="19" t="n"/>
      <c r="B2863" s="15" t="n"/>
      <c r="C2863">
        <f>IF(B2863="","",IFERROR(INDEX(Items!$B$5:$B$304,MATCH(B2863,Items!$A$5:$A$304,0)),"Unknown code"))</f>
        <v/>
      </c>
      <c r="D2863" s="15" t="n"/>
      <c r="E2863" s="16" t="n"/>
      <c r="F2863" s="18">
        <f>IF(OR(D2863="",E2863=""),"",D2863*E2863)</f>
        <v/>
      </c>
      <c r="G2863" s="15" t="n"/>
    </row>
    <row r="2864">
      <c r="A2864" s="19" t="n"/>
      <c r="B2864" s="15" t="n"/>
      <c r="C2864">
        <f>IF(B2864="","",IFERROR(INDEX(Items!$B$5:$B$304,MATCH(B2864,Items!$A$5:$A$304,0)),"Unknown code"))</f>
        <v/>
      </c>
      <c r="D2864" s="15" t="n"/>
      <c r="E2864" s="16" t="n"/>
      <c r="F2864" s="18">
        <f>IF(OR(D2864="",E2864=""),"",D2864*E2864)</f>
        <v/>
      </c>
      <c r="G2864" s="15" t="n"/>
    </row>
    <row r="2865">
      <c r="A2865" s="19" t="n"/>
      <c r="B2865" s="15" t="n"/>
      <c r="C2865">
        <f>IF(B2865="","",IFERROR(INDEX(Items!$B$5:$B$304,MATCH(B2865,Items!$A$5:$A$304,0)),"Unknown code"))</f>
        <v/>
      </c>
      <c r="D2865" s="15" t="n"/>
      <c r="E2865" s="16" t="n"/>
      <c r="F2865" s="18">
        <f>IF(OR(D2865="",E2865=""),"",D2865*E2865)</f>
        <v/>
      </c>
      <c r="G2865" s="15" t="n"/>
    </row>
    <row r="2866">
      <c r="A2866" s="19" t="n"/>
      <c r="B2866" s="15" t="n"/>
      <c r="C2866">
        <f>IF(B2866="","",IFERROR(INDEX(Items!$B$5:$B$304,MATCH(B2866,Items!$A$5:$A$304,0)),"Unknown code"))</f>
        <v/>
      </c>
      <c r="D2866" s="15" t="n"/>
      <c r="E2866" s="16" t="n"/>
      <c r="F2866" s="18">
        <f>IF(OR(D2866="",E2866=""),"",D2866*E2866)</f>
        <v/>
      </c>
      <c r="G2866" s="15" t="n"/>
    </row>
    <row r="2867">
      <c r="A2867" s="19" t="n"/>
      <c r="B2867" s="15" t="n"/>
      <c r="C2867">
        <f>IF(B2867="","",IFERROR(INDEX(Items!$B$5:$B$304,MATCH(B2867,Items!$A$5:$A$304,0)),"Unknown code"))</f>
        <v/>
      </c>
      <c r="D2867" s="15" t="n"/>
      <c r="E2867" s="16" t="n"/>
      <c r="F2867" s="18">
        <f>IF(OR(D2867="",E2867=""),"",D2867*E2867)</f>
        <v/>
      </c>
      <c r="G2867" s="15" t="n"/>
    </row>
    <row r="2868">
      <c r="A2868" s="19" t="n"/>
      <c r="B2868" s="15" t="n"/>
      <c r="C2868">
        <f>IF(B2868="","",IFERROR(INDEX(Items!$B$5:$B$304,MATCH(B2868,Items!$A$5:$A$304,0)),"Unknown code"))</f>
        <v/>
      </c>
      <c r="D2868" s="15" t="n"/>
      <c r="E2868" s="16" t="n"/>
      <c r="F2868" s="18">
        <f>IF(OR(D2868="",E2868=""),"",D2868*E2868)</f>
        <v/>
      </c>
      <c r="G2868" s="15" t="n"/>
    </row>
    <row r="2869">
      <c r="A2869" s="19" t="n"/>
      <c r="B2869" s="15" t="n"/>
      <c r="C2869">
        <f>IF(B2869="","",IFERROR(INDEX(Items!$B$5:$B$304,MATCH(B2869,Items!$A$5:$A$304,0)),"Unknown code"))</f>
        <v/>
      </c>
      <c r="D2869" s="15" t="n"/>
      <c r="E2869" s="16" t="n"/>
      <c r="F2869" s="18">
        <f>IF(OR(D2869="",E2869=""),"",D2869*E2869)</f>
        <v/>
      </c>
      <c r="G2869" s="15" t="n"/>
    </row>
    <row r="2870">
      <c r="A2870" s="19" t="n"/>
      <c r="B2870" s="15" t="n"/>
      <c r="C2870">
        <f>IF(B2870="","",IFERROR(INDEX(Items!$B$5:$B$304,MATCH(B2870,Items!$A$5:$A$304,0)),"Unknown code"))</f>
        <v/>
      </c>
      <c r="D2870" s="15" t="n"/>
      <c r="E2870" s="16" t="n"/>
      <c r="F2870" s="18">
        <f>IF(OR(D2870="",E2870=""),"",D2870*E2870)</f>
        <v/>
      </c>
      <c r="G2870" s="15" t="n"/>
    </row>
    <row r="2871">
      <c r="A2871" s="19" t="n"/>
      <c r="B2871" s="15" t="n"/>
      <c r="C2871">
        <f>IF(B2871="","",IFERROR(INDEX(Items!$B$5:$B$304,MATCH(B2871,Items!$A$5:$A$304,0)),"Unknown code"))</f>
        <v/>
      </c>
      <c r="D2871" s="15" t="n"/>
      <c r="E2871" s="16" t="n"/>
      <c r="F2871" s="18">
        <f>IF(OR(D2871="",E2871=""),"",D2871*E2871)</f>
        <v/>
      </c>
      <c r="G2871" s="15" t="n"/>
    </row>
    <row r="2872">
      <c r="A2872" s="19" t="n"/>
      <c r="B2872" s="15" t="n"/>
      <c r="C2872">
        <f>IF(B2872="","",IFERROR(INDEX(Items!$B$5:$B$304,MATCH(B2872,Items!$A$5:$A$304,0)),"Unknown code"))</f>
        <v/>
      </c>
      <c r="D2872" s="15" t="n"/>
      <c r="E2872" s="16" t="n"/>
      <c r="F2872" s="18">
        <f>IF(OR(D2872="",E2872=""),"",D2872*E2872)</f>
        <v/>
      </c>
      <c r="G2872" s="15" t="n"/>
    </row>
    <row r="2873">
      <c r="A2873" s="19" t="n"/>
      <c r="B2873" s="15" t="n"/>
      <c r="C2873">
        <f>IF(B2873="","",IFERROR(INDEX(Items!$B$5:$B$304,MATCH(B2873,Items!$A$5:$A$304,0)),"Unknown code"))</f>
        <v/>
      </c>
      <c r="D2873" s="15" t="n"/>
      <c r="E2873" s="16" t="n"/>
      <c r="F2873" s="18">
        <f>IF(OR(D2873="",E2873=""),"",D2873*E2873)</f>
        <v/>
      </c>
      <c r="G2873" s="15" t="n"/>
    </row>
    <row r="2874">
      <c r="A2874" s="19" t="n"/>
      <c r="B2874" s="15" t="n"/>
      <c r="C2874">
        <f>IF(B2874="","",IFERROR(INDEX(Items!$B$5:$B$304,MATCH(B2874,Items!$A$5:$A$304,0)),"Unknown code"))</f>
        <v/>
      </c>
      <c r="D2874" s="15" t="n"/>
      <c r="E2874" s="16" t="n"/>
      <c r="F2874" s="18">
        <f>IF(OR(D2874="",E2874=""),"",D2874*E2874)</f>
        <v/>
      </c>
      <c r="G2874" s="15" t="n"/>
    </row>
    <row r="2875">
      <c r="A2875" s="19" t="n"/>
      <c r="B2875" s="15" t="n"/>
      <c r="C2875">
        <f>IF(B2875="","",IFERROR(INDEX(Items!$B$5:$B$304,MATCH(B2875,Items!$A$5:$A$304,0)),"Unknown code"))</f>
        <v/>
      </c>
      <c r="D2875" s="15" t="n"/>
      <c r="E2875" s="16" t="n"/>
      <c r="F2875" s="18">
        <f>IF(OR(D2875="",E2875=""),"",D2875*E2875)</f>
        <v/>
      </c>
      <c r="G2875" s="15" t="n"/>
    </row>
    <row r="2876">
      <c r="A2876" s="19" t="n"/>
      <c r="B2876" s="15" t="n"/>
      <c r="C2876">
        <f>IF(B2876="","",IFERROR(INDEX(Items!$B$5:$B$304,MATCH(B2876,Items!$A$5:$A$304,0)),"Unknown code"))</f>
        <v/>
      </c>
      <c r="D2876" s="15" t="n"/>
      <c r="E2876" s="16" t="n"/>
      <c r="F2876" s="18">
        <f>IF(OR(D2876="",E2876=""),"",D2876*E2876)</f>
        <v/>
      </c>
      <c r="G2876" s="15" t="n"/>
    </row>
    <row r="2877">
      <c r="A2877" s="19" t="n"/>
      <c r="B2877" s="15" t="n"/>
      <c r="C2877">
        <f>IF(B2877="","",IFERROR(INDEX(Items!$B$5:$B$304,MATCH(B2877,Items!$A$5:$A$304,0)),"Unknown code"))</f>
        <v/>
      </c>
      <c r="D2877" s="15" t="n"/>
      <c r="E2877" s="16" t="n"/>
      <c r="F2877" s="18">
        <f>IF(OR(D2877="",E2877=""),"",D2877*E2877)</f>
        <v/>
      </c>
      <c r="G2877" s="15" t="n"/>
    </row>
    <row r="2878">
      <c r="A2878" s="19" t="n"/>
      <c r="B2878" s="15" t="n"/>
      <c r="C2878">
        <f>IF(B2878="","",IFERROR(INDEX(Items!$B$5:$B$304,MATCH(B2878,Items!$A$5:$A$304,0)),"Unknown code"))</f>
        <v/>
      </c>
      <c r="D2878" s="15" t="n"/>
      <c r="E2878" s="16" t="n"/>
      <c r="F2878" s="18">
        <f>IF(OR(D2878="",E2878=""),"",D2878*E2878)</f>
        <v/>
      </c>
      <c r="G2878" s="15" t="n"/>
    </row>
    <row r="2879">
      <c r="A2879" s="19" t="n"/>
      <c r="B2879" s="15" t="n"/>
      <c r="C2879">
        <f>IF(B2879="","",IFERROR(INDEX(Items!$B$5:$B$304,MATCH(B2879,Items!$A$5:$A$304,0)),"Unknown code"))</f>
        <v/>
      </c>
      <c r="D2879" s="15" t="n"/>
      <c r="E2879" s="16" t="n"/>
      <c r="F2879" s="18">
        <f>IF(OR(D2879="",E2879=""),"",D2879*E2879)</f>
        <v/>
      </c>
      <c r="G2879" s="15" t="n"/>
    </row>
    <row r="2880">
      <c r="A2880" s="19" t="n"/>
      <c r="B2880" s="15" t="n"/>
      <c r="C2880">
        <f>IF(B2880="","",IFERROR(INDEX(Items!$B$5:$B$304,MATCH(B2880,Items!$A$5:$A$304,0)),"Unknown code"))</f>
        <v/>
      </c>
      <c r="D2880" s="15" t="n"/>
      <c r="E2880" s="16" t="n"/>
      <c r="F2880" s="18">
        <f>IF(OR(D2880="",E2880=""),"",D2880*E2880)</f>
        <v/>
      </c>
      <c r="G2880" s="15" t="n"/>
    </row>
    <row r="2881">
      <c r="A2881" s="19" t="n"/>
      <c r="B2881" s="15" t="n"/>
      <c r="C2881">
        <f>IF(B2881="","",IFERROR(INDEX(Items!$B$5:$B$304,MATCH(B2881,Items!$A$5:$A$304,0)),"Unknown code"))</f>
        <v/>
      </c>
      <c r="D2881" s="15" t="n"/>
      <c r="E2881" s="16" t="n"/>
      <c r="F2881" s="18">
        <f>IF(OR(D2881="",E2881=""),"",D2881*E2881)</f>
        <v/>
      </c>
      <c r="G2881" s="15" t="n"/>
    </row>
    <row r="2882">
      <c r="A2882" s="19" t="n"/>
      <c r="B2882" s="15" t="n"/>
      <c r="C2882">
        <f>IF(B2882="","",IFERROR(INDEX(Items!$B$5:$B$304,MATCH(B2882,Items!$A$5:$A$304,0)),"Unknown code"))</f>
        <v/>
      </c>
      <c r="D2882" s="15" t="n"/>
      <c r="E2882" s="16" t="n"/>
      <c r="F2882" s="18">
        <f>IF(OR(D2882="",E2882=""),"",D2882*E2882)</f>
        <v/>
      </c>
      <c r="G2882" s="15" t="n"/>
    </row>
    <row r="2883">
      <c r="A2883" s="19" t="n"/>
      <c r="B2883" s="15" t="n"/>
      <c r="C2883">
        <f>IF(B2883="","",IFERROR(INDEX(Items!$B$5:$B$304,MATCH(B2883,Items!$A$5:$A$304,0)),"Unknown code"))</f>
        <v/>
      </c>
      <c r="D2883" s="15" t="n"/>
      <c r="E2883" s="16" t="n"/>
      <c r="F2883" s="18">
        <f>IF(OR(D2883="",E2883=""),"",D2883*E2883)</f>
        <v/>
      </c>
      <c r="G2883" s="15" t="n"/>
    </row>
    <row r="2884">
      <c r="A2884" s="19" t="n"/>
      <c r="B2884" s="15" t="n"/>
      <c r="C2884">
        <f>IF(B2884="","",IFERROR(INDEX(Items!$B$5:$B$304,MATCH(B2884,Items!$A$5:$A$304,0)),"Unknown code"))</f>
        <v/>
      </c>
      <c r="D2884" s="15" t="n"/>
      <c r="E2884" s="16" t="n"/>
      <c r="F2884" s="18">
        <f>IF(OR(D2884="",E2884=""),"",D2884*E2884)</f>
        <v/>
      </c>
      <c r="G2884" s="15" t="n"/>
    </row>
    <row r="2885">
      <c r="A2885" s="19" t="n"/>
      <c r="B2885" s="15" t="n"/>
      <c r="C2885">
        <f>IF(B2885="","",IFERROR(INDEX(Items!$B$5:$B$304,MATCH(B2885,Items!$A$5:$A$304,0)),"Unknown code"))</f>
        <v/>
      </c>
      <c r="D2885" s="15" t="n"/>
      <c r="E2885" s="16" t="n"/>
      <c r="F2885" s="18">
        <f>IF(OR(D2885="",E2885=""),"",D2885*E2885)</f>
        <v/>
      </c>
      <c r="G2885" s="15" t="n"/>
    </row>
    <row r="2886">
      <c r="A2886" s="19" t="n"/>
      <c r="B2886" s="15" t="n"/>
      <c r="C2886">
        <f>IF(B2886="","",IFERROR(INDEX(Items!$B$5:$B$304,MATCH(B2886,Items!$A$5:$A$304,0)),"Unknown code"))</f>
        <v/>
      </c>
      <c r="D2886" s="15" t="n"/>
      <c r="E2886" s="16" t="n"/>
      <c r="F2886" s="18">
        <f>IF(OR(D2886="",E2886=""),"",D2886*E2886)</f>
        <v/>
      </c>
      <c r="G2886" s="15" t="n"/>
    </row>
    <row r="2887">
      <c r="A2887" s="19" t="n"/>
      <c r="B2887" s="15" t="n"/>
      <c r="C2887">
        <f>IF(B2887="","",IFERROR(INDEX(Items!$B$5:$B$304,MATCH(B2887,Items!$A$5:$A$304,0)),"Unknown code"))</f>
        <v/>
      </c>
      <c r="D2887" s="15" t="n"/>
      <c r="E2887" s="16" t="n"/>
      <c r="F2887" s="18">
        <f>IF(OR(D2887="",E2887=""),"",D2887*E2887)</f>
        <v/>
      </c>
      <c r="G2887" s="15" t="n"/>
    </row>
    <row r="2888">
      <c r="A2888" s="19" t="n"/>
      <c r="B2888" s="15" t="n"/>
      <c r="C2888">
        <f>IF(B2888="","",IFERROR(INDEX(Items!$B$5:$B$304,MATCH(B2888,Items!$A$5:$A$304,0)),"Unknown code"))</f>
        <v/>
      </c>
      <c r="D2888" s="15" t="n"/>
      <c r="E2888" s="16" t="n"/>
      <c r="F2888" s="18">
        <f>IF(OR(D2888="",E2888=""),"",D2888*E2888)</f>
        <v/>
      </c>
      <c r="G2888" s="15" t="n"/>
    </row>
    <row r="2889">
      <c r="A2889" s="19" t="n"/>
      <c r="B2889" s="15" t="n"/>
      <c r="C2889">
        <f>IF(B2889="","",IFERROR(INDEX(Items!$B$5:$B$304,MATCH(B2889,Items!$A$5:$A$304,0)),"Unknown code"))</f>
        <v/>
      </c>
      <c r="D2889" s="15" t="n"/>
      <c r="E2889" s="16" t="n"/>
      <c r="F2889" s="18">
        <f>IF(OR(D2889="",E2889=""),"",D2889*E2889)</f>
        <v/>
      </c>
      <c r="G2889" s="15" t="n"/>
    </row>
    <row r="2890">
      <c r="A2890" s="19" t="n"/>
      <c r="B2890" s="15" t="n"/>
      <c r="C2890">
        <f>IF(B2890="","",IFERROR(INDEX(Items!$B$5:$B$304,MATCH(B2890,Items!$A$5:$A$304,0)),"Unknown code"))</f>
        <v/>
      </c>
      <c r="D2890" s="15" t="n"/>
      <c r="E2890" s="16" t="n"/>
      <c r="F2890" s="18">
        <f>IF(OR(D2890="",E2890=""),"",D2890*E2890)</f>
        <v/>
      </c>
      <c r="G2890" s="15" t="n"/>
    </row>
    <row r="2891">
      <c r="A2891" s="19" t="n"/>
      <c r="B2891" s="15" t="n"/>
      <c r="C2891">
        <f>IF(B2891="","",IFERROR(INDEX(Items!$B$5:$B$304,MATCH(B2891,Items!$A$5:$A$304,0)),"Unknown code"))</f>
        <v/>
      </c>
      <c r="D2891" s="15" t="n"/>
      <c r="E2891" s="16" t="n"/>
      <c r="F2891" s="18">
        <f>IF(OR(D2891="",E2891=""),"",D2891*E2891)</f>
        <v/>
      </c>
      <c r="G2891" s="15" t="n"/>
    </row>
    <row r="2892">
      <c r="A2892" s="19" t="n"/>
      <c r="B2892" s="15" t="n"/>
      <c r="C2892">
        <f>IF(B2892="","",IFERROR(INDEX(Items!$B$5:$B$304,MATCH(B2892,Items!$A$5:$A$304,0)),"Unknown code"))</f>
        <v/>
      </c>
      <c r="D2892" s="15" t="n"/>
      <c r="E2892" s="16" t="n"/>
      <c r="F2892" s="18">
        <f>IF(OR(D2892="",E2892=""),"",D2892*E2892)</f>
        <v/>
      </c>
      <c r="G2892" s="15" t="n"/>
    </row>
    <row r="2893">
      <c r="A2893" s="19" t="n"/>
      <c r="B2893" s="15" t="n"/>
      <c r="C2893">
        <f>IF(B2893="","",IFERROR(INDEX(Items!$B$5:$B$304,MATCH(B2893,Items!$A$5:$A$304,0)),"Unknown code"))</f>
        <v/>
      </c>
      <c r="D2893" s="15" t="n"/>
      <c r="E2893" s="16" t="n"/>
      <c r="F2893" s="18">
        <f>IF(OR(D2893="",E2893=""),"",D2893*E2893)</f>
        <v/>
      </c>
      <c r="G2893" s="15" t="n"/>
    </row>
    <row r="2894">
      <c r="A2894" s="19" t="n"/>
      <c r="B2894" s="15" t="n"/>
      <c r="C2894">
        <f>IF(B2894="","",IFERROR(INDEX(Items!$B$5:$B$304,MATCH(B2894,Items!$A$5:$A$304,0)),"Unknown code"))</f>
        <v/>
      </c>
      <c r="D2894" s="15" t="n"/>
      <c r="E2894" s="16" t="n"/>
      <c r="F2894" s="18">
        <f>IF(OR(D2894="",E2894=""),"",D2894*E2894)</f>
        <v/>
      </c>
      <c r="G2894" s="15" t="n"/>
    </row>
    <row r="2895">
      <c r="A2895" s="19" t="n"/>
      <c r="B2895" s="15" t="n"/>
      <c r="C2895">
        <f>IF(B2895="","",IFERROR(INDEX(Items!$B$5:$B$304,MATCH(B2895,Items!$A$5:$A$304,0)),"Unknown code"))</f>
        <v/>
      </c>
      <c r="D2895" s="15" t="n"/>
      <c r="E2895" s="16" t="n"/>
      <c r="F2895" s="18">
        <f>IF(OR(D2895="",E2895=""),"",D2895*E2895)</f>
        <v/>
      </c>
      <c r="G2895" s="15" t="n"/>
    </row>
    <row r="2896">
      <c r="A2896" s="19" t="n"/>
      <c r="B2896" s="15" t="n"/>
      <c r="C2896">
        <f>IF(B2896="","",IFERROR(INDEX(Items!$B$5:$B$304,MATCH(B2896,Items!$A$5:$A$304,0)),"Unknown code"))</f>
        <v/>
      </c>
      <c r="D2896" s="15" t="n"/>
      <c r="E2896" s="16" t="n"/>
      <c r="F2896" s="18">
        <f>IF(OR(D2896="",E2896=""),"",D2896*E2896)</f>
        <v/>
      </c>
      <c r="G2896" s="15" t="n"/>
    </row>
    <row r="2897">
      <c r="A2897" s="19" t="n"/>
      <c r="B2897" s="15" t="n"/>
      <c r="C2897">
        <f>IF(B2897="","",IFERROR(INDEX(Items!$B$5:$B$304,MATCH(B2897,Items!$A$5:$A$304,0)),"Unknown code"))</f>
        <v/>
      </c>
      <c r="D2897" s="15" t="n"/>
      <c r="E2897" s="16" t="n"/>
      <c r="F2897" s="18">
        <f>IF(OR(D2897="",E2897=""),"",D2897*E2897)</f>
        <v/>
      </c>
      <c r="G2897" s="15" t="n"/>
    </row>
    <row r="2898">
      <c r="A2898" s="19" t="n"/>
      <c r="B2898" s="15" t="n"/>
      <c r="C2898">
        <f>IF(B2898="","",IFERROR(INDEX(Items!$B$5:$B$304,MATCH(B2898,Items!$A$5:$A$304,0)),"Unknown code"))</f>
        <v/>
      </c>
      <c r="D2898" s="15" t="n"/>
      <c r="E2898" s="16" t="n"/>
      <c r="F2898" s="18">
        <f>IF(OR(D2898="",E2898=""),"",D2898*E2898)</f>
        <v/>
      </c>
      <c r="G2898" s="15" t="n"/>
    </row>
    <row r="2899">
      <c r="A2899" s="19" t="n"/>
      <c r="B2899" s="15" t="n"/>
      <c r="C2899">
        <f>IF(B2899="","",IFERROR(INDEX(Items!$B$5:$B$304,MATCH(B2899,Items!$A$5:$A$304,0)),"Unknown code"))</f>
        <v/>
      </c>
      <c r="D2899" s="15" t="n"/>
      <c r="E2899" s="16" t="n"/>
      <c r="F2899" s="18">
        <f>IF(OR(D2899="",E2899=""),"",D2899*E2899)</f>
        <v/>
      </c>
      <c r="G2899" s="15" t="n"/>
    </row>
    <row r="2900">
      <c r="A2900" s="19" t="n"/>
      <c r="B2900" s="15" t="n"/>
      <c r="C2900">
        <f>IF(B2900="","",IFERROR(INDEX(Items!$B$5:$B$304,MATCH(B2900,Items!$A$5:$A$304,0)),"Unknown code"))</f>
        <v/>
      </c>
      <c r="D2900" s="15" t="n"/>
      <c r="E2900" s="16" t="n"/>
      <c r="F2900" s="18">
        <f>IF(OR(D2900="",E2900=""),"",D2900*E2900)</f>
        <v/>
      </c>
      <c r="G2900" s="15" t="n"/>
    </row>
    <row r="2901">
      <c r="A2901" s="19" t="n"/>
      <c r="B2901" s="15" t="n"/>
      <c r="C2901">
        <f>IF(B2901="","",IFERROR(INDEX(Items!$B$5:$B$304,MATCH(B2901,Items!$A$5:$A$304,0)),"Unknown code"))</f>
        <v/>
      </c>
      <c r="D2901" s="15" t="n"/>
      <c r="E2901" s="16" t="n"/>
      <c r="F2901" s="18">
        <f>IF(OR(D2901="",E2901=""),"",D2901*E2901)</f>
        <v/>
      </c>
      <c r="G2901" s="15" t="n"/>
    </row>
    <row r="2902">
      <c r="A2902" s="19" t="n"/>
      <c r="B2902" s="15" t="n"/>
      <c r="C2902">
        <f>IF(B2902="","",IFERROR(INDEX(Items!$B$5:$B$304,MATCH(B2902,Items!$A$5:$A$304,0)),"Unknown code"))</f>
        <v/>
      </c>
      <c r="D2902" s="15" t="n"/>
      <c r="E2902" s="16" t="n"/>
      <c r="F2902" s="18">
        <f>IF(OR(D2902="",E2902=""),"",D2902*E2902)</f>
        <v/>
      </c>
      <c r="G2902" s="15" t="n"/>
    </row>
    <row r="2903">
      <c r="A2903" s="19" t="n"/>
      <c r="B2903" s="15" t="n"/>
      <c r="C2903">
        <f>IF(B2903="","",IFERROR(INDEX(Items!$B$5:$B$304,MATCH(B2903,Items!$A$5:$A$304,0)),"Unknown code"))</f>
        <v/>
      </c>
      <c r="D2903" s="15" t="n"/>
      <c r="E2903" s="16" t="n"/>
      <c r="F2903" s="18">
        <f>IF(OR(D2903="",E2903=""),"",D2903*E2903)</f>
        <v/>
      </c>
      <c r="G2903" s="15" t="n"/>
    </row>
    <row r="2904">
      <c r="A2904" s="19" t="n"/>
      <c r="B2904" s="15" t="n"/>
      <c r="C2904">
        <f>IF(B2904="","",IFERROR(INDEX(Items!$B$5:$B$304,MATCH(B2904,Items!$A$5:$A$304,0)),"Unknown code"))</f>
        <v/>
      </c>
      <c r="D2904" s="15" t="n"/>
      <c r="E2904" s="16" t="n"/>
      <c r="F2904" s="18">
        <f>IF(OR(D2904="",E2904=""),"",D2904*E2904)</f>
        <v/>
      </c>
      <c r="G2904" s="15" t="n"/>
    </row>
    <row r="2905">
      <c r="A2905" s="19" t="n"/>
      <c r="B2905" s="15" t="n"/>
      <c r="C2905">
        <f>IF(B2905="","",IFERROR(INDEX(Items!$B$5:$B$304,MATCH(B2905,Items!$A$5:$A$304,0)),"Unknown code"))</f>
        <v/>
      </c>
      <c r="D2905" s="15" t="n"/>
      <c r="E2905" s="16" t="n"/>
      <c r="F2905" s="18">
        <f>IF(OR(D2905="",E2905=""),"",D2905*E2905)</f>
        <v/>
      </c>
      <c r="G2905" s="15" t="n"/>
    </row>
    <row r="2906">
      <c r="A2906" s="19" t="n"/>
      <c r="B2906" s="15" t="n"/>
      <c r="C2906">
        <f>IF(B2906="","",IFERROR(INDEX(Items!$B$5:$B$304,MATCH(B2906,Items!$A$5:$A$304,0)),"Unknown code"))</f>
        <v/>
      </c>
      <c r="D2906" s="15" t="n"/>
      <c r="E2906" s="16" t="n"/>
      <c r="F2906" s="18">
        <f>IF(OR(D2906="",E2906=""),"",D2906*E2906)</f>
        <v/>
      </c>
      <c r="G2906" s="15" t="n"/>
    </row>
    <row r="2907">
      <c r="A2907" s="19" t="n"/>
      <c r="B2907" s="15" t="n"/>
      <c r="C2907">
        <f>IF(B2907="","",IFERROR(INDEX(Items!$B$5:$B$304,MATCH(B2907,Items!$A$5:$A$304,0)),"Unknown code"))</f>
        <v/>
      </c>
      <c r="D2907" s="15" t="n"/>
      <c r="E2907" s="16" t="n"/>
      <c r="F2907" s="18">
        <f>IF(OR(D2907="",E2907=""),"",D2907*E2907)</f>
        <v/>
      </c>
      <c r="G2907" s="15" t="n"/>
    </row>
    <row r="2908">
      <c r="A2908" s="19" t="n"/>
      <c r="B2908" s="15" t="n"/>
      <c r="C2908">
        <f>IF(B2908="","",IFERROR(INDEX(Items!$B$5:$B$304,MATCH(B2908,Items!$A$5:$A$304,0)),"Unknown code"))</f>
        <v/>
      </c>
      <c r="D2908" s="15" t="n"/>
      <c r="E2908" s="16" t="n"/>
      <c r="F2908" s="18">
        <f>IF(OR(D2908="",E2908=""),"",D2908*E2908)</f>
        <v/>
      </c>
      <c r="G2908" s="15" t="n"/>
    </row>
    <row r="2909">
      <c r="A2909" s="19" t="n"/>
      <c r="B2909" s="15" t="n"/>
      <c r="C2909">
        <f>IF(B2909="","",IFERROR(INDEX(Items!$B$5:$B$304,MATCH(B2909,Items!$A$5:$A$304,0)),"Unknown code"))</f>
        <v/>
      </c>
      <c r="D2909" s="15" t="n"/>
      <c r="E2909" s="16" t="n"/>
      <c r="F2909" s="18">
        <f>IF(OR(D2909="",E2909=""),"",D2909*E2909)</f>
        <v/>
      </c>
      <c r="G2909" s="15" t="n"/>
    </row>
    <row r="2910">
      <c r="A2910" s="19" t="n"/>
      <c r="B2910" s="15" t="n"/>
      <c r="C2910">
        <f>IF(B2910="","",IFERROR(INDEX(Items!$B$5:$B$304,MATCH(B2910,Items!$A$5:$A$304,0)),"Unknown code"))</f>
        <v/>
      </c>
      <c r="D2910" s="15" t="n"/>
      <c r="E2910" s="16" t="n"/>
      <c r="F2910" s="18">
        <f>IF(OR(D2910="",E2910=""),"",D2910*E2910)</f>
        <v/>
      </c>
      <c r="G2910" s="15" t="n"/>
    </row>
    <row r="2911">
      <c r="A2911" s="19" t="n"/>
      <c r="B2911" s="15" t="n"/>
      <c r="C2911">
        <f>IF(B2911="","",IFERROR(INDEX(Items!$B$5:$B$304,MATCH(B2911,Items!$A$5:$A$304,0)),"Unknown code"))</f>
        <v/>
      </c>
      <c r="D2911" s="15" t="n"/>
      <c r="E2911" s="16" t="n"/>
      <c r="F2911" s="18">
        <f>IF(OR(D2911="",E2911=""),"",D2911*E2911)</f>
        <v/>
      </c>
      <c r="G2911" s="15" t="n"/>
    </row>
    <row r="2912">
      <c r="A2912" s="19" t="n"/>
      <c r="B2912" s="15" t="n"/>
      <c r="C2912">
        <f>IF(B2912="","",IFERROR(INDEX(Items!$B$5:$B$304,MATCH(B2912,Items!$A$5:$A$304,0)),"Unknown code"))</f>
        <v/>
      </c>
      <c r="D2912" s="15" t="n"/>
      <c r="E2912" s="16" t="n"/>
      <c r="F2912" s="18">
        <f>IF(OR(D2912="",E2912=""),"",D2912*E2912)</f>
        <v/>
      </c>
      <c r="G2912" s="15" t="n"/>
    </row>
    <row r="2913">
      <c r="A2913" s="19" t="n"/>
      <c r="B2913" s="15" t="n"/>
      <c r="C2913">
        <f>IF(B2913="","",IFERROR(INDEX(Items!$B$5:$B$304,MATCH(B2913,Items!$A$5:$A$304,0)),"Unknown code"))</f>
        <v/>
      </c>
      <c r="D2913" s="15" t="n"/>
      <c r="E2913" s="16" t="n"/>
      <c r="F2913" s="18">
        <f>IF(OR(D2913="",E2913=""),"",D2913*E2913)</f>
        <v/>
      </c>
      <c r="G2913" s="15" t="n"/>
    </row>
    <row r="2914">
      <c r="A2914" s="19" t="n"/>
      <c r="B2914" s="15" t="n"/>
      <c r="C2914">
        <f>IF(B2914="","",IFERROR(INDEX(Items!$B$5:$B$304,MATCH(B2914,Items!$A$5:$A$304,0)),"Unknown code"))</f>
        <v/>
      </c>
      <c r="D2914" s="15" t="n"/>
      <c r="E2914" s="16" t="n"/>
      <c r="F2914" s="18">
        <f>IF(OR(D2914="",E2914=""),"",D2914*E2914)</f>
        <v/>
      </c>
      <c r="G2914" s="15" t="n"/>
    </row>
    <row r="2915">
      <c r="A2915" s="19" t="n"/>
      <c r="B2915" s="15" t="n"/>
      <c r="C2915">
        <f>IF(B2915="","",IFERROR(INDEX(Items!$B$5:$B$304,MATCH(B2915,Items!$A$5:$A$304,0)),"Unknown code"))</f>
        <v/>
      </c>
      <c r="D2915" s="15" t="n"/>
      <c r="E2915" s="16" t="n"/>
      <c r="F2915" s="18">
        <f>IF(OR(D2915="",E2915=""),"",D2915*E2915)</f>
        <v/>
      </c>
      <c r="G2915" s="15" t="n"/>
    </row>
    <row r="2916">
      <c r="A2916" s="19" t="n"/>
      <c r="B2916" s="15" t="n"/>
      <c r="C2916">
        <f>IF(B2916="","",IFERROR(INDEX(Items!$B$5:$B$304,MATCH(B2916,Items!$A$5:$A$304,0)),"Unknown code"))</f>
        <v/>
      </c>
      <c r="D2916" s="15" t="n"/>
      <c r="E2916" s="16" t="n"/>
      <c r="F2916" s="18">
        <f>IF(OR(D2916="",E2916=""),"",D2916*E2916)</f>
        <v/>
      </c>
      <c r="G2916" s="15" t="n"/>
    </row>
    <row r="2917">
      <c r="A2917" s="19" t="n"/>
      <c r="B2917" s="15" t="n"/>
      <c r="C2917">
        <f>IF(B2917="","",IFERROR(INDEX(Items!$B$5:$B$304,MATCH(B2917,Items!$A$5:$A$304,0)),"Unknown code"))</f>
        <v/>
      </c>
      <c r="D2917" s="15" t="n"/>
      <c r="E2917" s="16" t="n"/>
      <c r="F2917" s="18">
        <f>IF(OR(D2917="",E2917=""),"",D2917*E2917)</f>
        <v/>
      </c>
      <c r="G2917" s="15" t="n"/>
    </row>
    <row r="2918">
      <c r="A2918" s="19" t="n"/>
      <c r="B2918" s="15" t="n"/>
      <c r="C2918">
        <f>IF(B2918="","",IFERROR(INDEX(Items!$B$5:$B$304,MATCH(B2918,Items!$A$5:$A$304,0)),"Unknown code"))</f>
        <v/>
      </c>
      <c r="D2918" s="15" t="n"/>
      <c r="E2918" s="16" t="n"/>
      <c r="F2918" s="18">
        <f>IF(OR(D2918="",E2918=""),"",D2918*E2918)</f>
        <v/>
      </c>
      <c r="G2918" s="15" t="n"/>
    </row>
    <row r="2919">
      <c r="A2919" s="19" t="n"/>
      <c r="B2919" s="15" t="n"/>
      <c r="C2919">
        <f>IF(B2919="","",IFERROR(INDEX(Items!$B$5:$B$304,MATCH(B2919,Items!$A$5:$A$304,0)),"Unknown code"))</f>
        <v/>
      </c>
      <c r="D2919" s="15" t="n"/>
      <c r="E2919" s="16" t="n"/>
      <c r="F2919" s="18">
        <f>IF(OR(D2919="",E2919=""),"",D2919*E2919)</f>
        <v/>
      </c>
      <c r="G2919" s="15" t="n"/>
    </row>
    <row r="2920">
      <c r="A2920" s="19" t="n"/>
      <c r="B2920" s="15" t="n"/>
      <c r="C2920">
        <f>IF(B2920="","",IFERROR(INDEX(Items!$B$5:$B$304,MATCH(B2920,Items!$A$5:$A$304,0)),"Unknown code"))</f>
        <v/>
      </c>
      <c r="D2920" s="15" t="n"/>
      <c r="E2920" s="16" t="n"/>
      <c r="F2920" s="18">
        <f>IF(OR(D2920="",E2920=""),"",D2920*E2920)</f>
        <v/>
      </c>
      <c r="G2920" s="15" t="n"/>
    </row>
    <row r="2921">
      <c r="A2921" s="19" t="n"/>
      <c r="B2921" s="15" t="n"/>
      <c r="C2921">
        <f>IF(B2921="","",IFERROR(INDEX(Items!$B$5:$B$304,MATCH(B2921,Items!$A$5:$A$304,0)),"Unknown code"))</f>
        <v/>
      </c>
      <c r="D2921" s="15" t="n"/>
      <c r="E2921" s="16" t="n"/>
      <c r="F2921" s="18">
        <f>IF(OR(D2921="",E2921=""),"",D2921*E2921)</f>
        <v/>
      </c>
      <c r="G2921" s="15" t="n"/>
    </row>
    <row r="2922">
      <c r="A2922" s="19" t="n"/>
      <c r="B2922" s="15" t="n"/>
      <c r="C2922">
        <f>IF(B2922="","",IFERROR(INDEX(Items!$B$5:$B$304,MATCH(B2922,Items!$A$5:$A$304,0)),"Unknown code"))</f>
        <v/>
      </c>
      <c r="D2922" s="15" t="n"/>
      <c r="E2922" s="16" t="n"/>
      <c r="F2922" s="18">
        <f>IF(OR(D2922="",E2922=""),"",D2922*E2922)</f>
        <v/>
      </c>
      <c r="G2922" s="15" t="n"/>
    </row>
    <row r="2923">
      <c r="A2923" s="19" t="n"/>
      <c r="B2923" s="15" t="n"/>
      <c r="C2923">
        <f>IF(B2923="","",IFERROR(INDEX(Items!$B$5:$B$304,MATCH(B2923,Items!$A$5:$A$304,0)),"Unknown code"))</f>
        <v/>
      </c>
      <c r="D2923" s="15" t="n"/>
      <c r="E2923" s="16" t="n"/>
      <c r="F2923" s="18">
        <f>IF(OR(D2923="",E2923=""),"",D2923*E2923)</f>
        <v/>
      </c>
      <c r="G2923" s="15" t="n"/>
    </row>
    <row r="2924">
      <c r="A2924" s="19" t="n"/>
      <c r="B2924" s="15" t="n"/>
      <c r="C2924">
        <f>IF(B2924="","",IFERROR(INDEX(Items!$B$5:$B$304,MATCH(B2924,Items!$A$5:$A$304,0)),"Unknown code"))</f>
        <v/>
      </c>
      <c r="D2924" s="15" t="n"/>
      <c r="E2924" s="16" t="n"/>
      <c r="F2924" s="18">
        <f>IF(OR(D2924="",E2924=""),"",D2924*E2924)</f>
        <v/>
      </c>
      <c r="G2924" s="15" t="n"/>
    </row>
    <row r="2925">
      <c r="A2925" s="19" t="n"/>
      <c r="B2925" s="15" t="n"/>
      <c r="C2925">
        <f>IF(B2925="","",IFERROR(INDEX(Items!$B$5:$B$304,MATCH(B2925,Items!$A$5:$A$304,0)),"Unknown code"))</f>
        <v/>
      </c>
      <c r="D2925" s="15" t="n"/>
      <c r="E2925" s="16" t="n"/>
      <c r="F2925" s="18">
        <f>IF(OR(D2925="",E2925=""),"",D2925*E2925)</f>
        <v/>
      </c>
      <c r="G2925" s="15" t="n"/>
    </row>
    <row r="2926">
      <c r="A2926" s="19" t="n"/>
      <c r="B2926" s="15" t="n"/>
      <c r="C2926">
        <f>IF(B2926="","",IFERROR(INDEX(Items!$B$5:$B$304,MATCH(B2926,Items!$A$5:$A$304,0)),"Unknown code"))</f>
        <v/>
      </c>
      <c r="D2926" s="15" t="n"/>
      <c r="E2926" s="16" t="n"/>
      <c r="F2926" s="18">
        <f>IF(OR(D2926="",E2926=""),"",D2926*E2926)</f>
        <v/>
      </c>
      <c r="G2926" s="15" t="n"/>
    </row>
    <row r="2927">
      <c r="A2927" s="19" t="n"/>
      <c r="B2927" s="15" t="n"/>
      <c r="C2927">
        <f>IF(B2927="","",IFERROR(INDEX(Items!$B$5:$B$304,MATCH(B2927,Items!$A$5:$A$304,0)),"Unknown code"))</f>
        <v/>
      </c>
      <c r="D2927" s="15" t="n"/>
      <c r="E2927" s="16" t="n"/>
      <c r="F2927" s="18">
        <f>IF(OR(D2927="",E2927=""),"",D2927*E2927)</f>
        <v/>
      </c>
      <c r="G2927" s="15" t="n"/>
    </row>
    <row r="2928">
      <c r="A2928" s="19" t="n"/>
      <c r="B2928" s="15" t="n"/>
      <c r="C2928">
        <f>IF(B2928="","",IFERROR(INDEX(Items!$B$5:$B$304,MATCH(B2928,Items!$A$5:$A$304,0)),"Unknown code"))</f>
        <v/>
      </c>
      <c r="D2928" s="15" t="n"/>
      <c r="E2928" s="16" t="n"/>
      <c r="F2928" s="18">
        <f>IF(OR(D2928="",E2928=""),"",D2928*E2928)</f>
        <v/>
      </c>
      <c r="G2928" s="15" t="n"/>
    </row>
    <row r="2929">
      <c r="A2929" s="19" t="n"/>
      <c r="B2929" s="15" t="n"/>
      <c r="C2929">
        <f>IF(B2929="","",IFERROR(INDEX(Items!$B$5:$B$304,MATCH(B2929,Items!$A$5:$A$304,0)),"Unknown code"))</f>
        <v/>
      </c>
      <c r="D2929" s="15" t="n"/>
      <c r="E2929" s="16" t="n"/>
      <c r="F2929" s="18">
        <f>IF(OR(D2929="",E2929=""),"",D2929*E2929)</f>
        <v/>
      </c>
      <c r="G2929" s="15" t="n"/>
    </row>
    <row r="2930">
      <c r="A2930" s="19" t="n"/>
      <c r="B2930" s="15" t="n"/>
      <c r="C2930">
        <f>IF(B2930="","",IFERROR(INDEX(Items!$B$5:$B$304,MATCH(B2930,Items!$A$5:$A$304,0)),"Unknown code"))</f>
        <v/>
      </c>
      <c r="D2930" s="15" t="n"/>
      <c r="E2930" s="16" t="n"/>
      <c r="F2930" s="18">
        <f>IF(OR(D2930="",E2930=""),"",D2930*E2930)</f>
        <v/>
      </c>
      <c r="G2930" s="15" t="n"/>
    </row>
    <row r="2931">
      <c r="A2931" s="19" t="n"/>
      <c r="B2931" s="15" t="n"/>
      <c r="C2931">
        <f>IF(B2931="","",IFERROR(INDEX(Items!$B$5:$B$304,MATCH(B2931,Items!$A$5:$A$304,0)),"Unknown code"))</f>
        <v/>
      </c>
      <c r="D2931" s="15" t="n"/>
      <c r="E2931" s="16" t="n"/>
      <c r="F2931" s="18">
        <f>IF(OR(D2931="",E2931=""),"",D2931*E2931)</f>
        <v/>
      </c>
      <c r="G2931" s="15" t="n"/>
    </row>
    <row r="2932">
      <c r="A2932" s="19" t="n"/>
      <c r="B2932" s="15" t="n"/>
      <c r="C2932">
        <f>IF(B2932="","",IFERROR(INDEX(Items!$B$5:$B$304,MATCH(B2932,Items!$A$5:$A$304,0)),"Unknown code"))</f>
        <v/>
      </c>
      <c r="D2932" s="15" t="n"/>
      <c r="E2932" s="16" t="n"/>
      <c r="F2932" s="18">
        <f>IF(OR(D2932="",E2932=""),"",D2932*E2932)</f>
        <v/>
      </c>
      <c r="G2932" s="15" t="n"/>
    </row>
    <row r="2933">
      <c r="A2933" s="19" t="n"/>
      <c r="B2933" s="15" t="n"/>
      <c r="C2933">
        <f>IF(B2933="","",IFERROR(INDEX(Items!$B$5:$B$304,MATCH(B2933,Items!$A$5:$A$304,0)),"Unknown code"))</f>
        <v/>
      </c>
      <c r="D2933" s="15" t="n"/>
      <c r="E2933" s="16" t="n"/>
      <c r="F2933" s="18">
        <f>IF(OR(D2933="",E2933=""),"",D2933*E2933)</f>
        <v/>
      </c>
      <c r="G2933" s="15" t="n"/>
    </row>
    <row r="2934">
      <c r="A2934" s="19" t="n"/>
      <c r="B2934" s="15" t="n"/>
      <c r="C2934">
        <f>IF(B2934="","",IFERROR(INDEX(Items!$B$5:$B$304,MATCH(B2934,Items!$A$5:$A$304,0)),"Unknown code"))</f>
        <v/>
      </c>
      <c r="D2934" s="15" t="n"/>
      <c r="E2934" s="16" t="n"/>
      <c r="F2934" s="18">
        <f>IF(OR(D2934="",E2934=""),"",D2934*E2934)</f>
        <v/>
      </c>
      <c r="G2934" s="15" t="n"/>
    </row>
    <row r="2935">
      <c r="A2935" s="19" t="n"/>
      <c r="B2935" s="15" t="n"/>
      <c r="C2935">
        <f>IF(B2935="","",IFERROR(INDEX(Items!$B$5:$B$304,MATCH(B2935,Items!$A$5:$A$304,0)),"Unknown code"))</f>
        <v/>
      </c>
      <c r="D2935" s="15" t="n"/>
      <c r="E2935" s="16" t="n"/>
      <c r="F2935" s="18">
        <f>IF(OR(D2935="",E2935=""),"",D2935*E2935)</f>
        <v/>
      </c>
      <c r="G2935" s="15" t="n"/>
    </row>
    <row r="2936">
      <c r="A2936" s="19" t="n"/>
      <c r="B2936" s="15" t="n"/>
      <c r="C2936">
        <f>IF(B2936="","",IFERROR(INDEX(Items!$B$5:$B$304,MATCH(B2936,Items!$A$5:$A$304,0)),"Unknown code"))</f>
        <v/>
      </c>
      <c r="D2936" s="15" t="n"/>
      <c r="E2936" s="16" t="n"/>
      <c r="F2936" s="18">
        <f>IF(OR(D2936="",E2936=""),"",D2936*E2936)</f>
        <v/>
      </c>
      <c r="G2936" s="15" t="n"/>
    </row>
    <row r="2937">
      <c r="A2937" s="19" t="n"/>
      <c r="B2937" s="15" t="n"/>
      <c r="C2937">
        <f>IF(B2937="","",IFERROR(INDEX(Items!$B$5:$B$304,MATCH(B2937,Items!$A$5:$A$304,0)),"Unknown code"))</f>
        <v/>
      </c>
      <c r="D2937" s="15" t="n"/>
      <c r="E2937" s="16" t="n"/>
      <c r="F2937" s="18">
        <f>IF(OR(D2937="",E2937=""),"",D2937*E2937)</f>
        <v/>
      </c>
      <c r="G2937" s="15" t="n"/>
    </row>
    <row r="2938">
      <c r="A2938" s="19" t="n"/>
      <c r="B2938" s="15" t="n"/>
      <c r="C2938">
        <f>IF(B2938="","",IFERROR(INDEX(Items!$B$5:$B$304,MATCH(B2938,Items!$A$5:$A$304,0)),"Unknown code"))</f>
        <v/>
      </c>
      <c r="D2938" s="15" t="n"/>
      <c r="E2938" s="16" t="n"/>
      <c r="F2938" s="18">
        <f>IF(OR(D2938="",E2938=""),"",D2938*E2938)</f>
        <v/>
      </c>
      <c r="G2938" s="15" t="n"/>
    </row>
    <row r="2939">
      <c r="A2939" s="19" t="n"/>
      <c r="B2939" s="15" t="n"/>
      <c r="C2939">
        <f>IF(B2939="","",IFERROR(INDEX(Items!$B$5:$B$304,MATCH(B2939,Items!$A$5:$A$304,0)),"Unknown code"))</f>
        <v/>
      </c>
      <c r="D2939" s="15" t="n"/>
      <c r="E2939" s="16" t="n"/>
      <c r="F2939" s="18">
        <f>IF(OR(D2939="",E2939=""),"",D2939*E2939)</f>
        <v/>
      </c>
      <c r="G2939" s="15" t="n"/>
    </row>
    <row r="2940">
      <c r="A2940" s="19" t="n"/>
      <c r="B2940" s="15" t="n"/>
      <c r="C2940">
        <f>IF(B2940="","",IFERROR(INDEX(Items!$B$5:$B$304,MATCH(B2940,Items!$A$5:$A$304,0)),"Unknown code"))</f>
        <v/>
      </c>
      <c r="D2940" s="15" t="n"/>
      <c r="E2940" s="16" t="n"/>
      <c r="F2940" s="18">
        <f>IF(OR(D2940="",E2940=""),"",D2940*E2940)</f>
        <v/>
      </c>
      <c r="G2940" s="15" t="n"/>
    </row>
    <row r="2941">
      <c r="A2941" s="19" t="n"/>
      <c r="B2941" s="15" t="n"/>
      <c r="C2941">
        <f>IF(B2941="","",IFERROR(INDEX(Items!$B$5:$B$304,MATCH(B2941,Items!$A$5:$A$304,0)),"Unknown code"))</f>
        <v/>
      </c>
      <c r="D2941" s="15" t="n"/>
      <c r="E2941" s="16" t="n"/>
      <c r="F2941" s="18">
        <f>IF(OR(D2941="",E2941=""),"",D2941*E2941)</f>
        <v/>
      </c>
      <c r="G2941" s="15" t="n"/>
    </row>
    <row r="2942">
      <c r="A2942" s="19" t="n"/>
      <c r="B2942" s="15" t="n"/>
      <c r="C2942">
        <f>IF(B2942="","",IFERROR(INDEX(Items!$B$5:$B$304,MATCH(B2942,Items!$A$5:$A$304,0)),"Unknown code"))</f>
        <v/>
      </c>
      <c r="D2942" s="15" t="n"/>
      <c r="E2942" s="16" t="n"/>
      <c r="F2942" s="18">
        <f>IF(OR(D2942="",E2942=""),"",D2942*E2942)</f>
        <v/>
      </c>
      <c r="G2942" s="15" t="n"/>
    </row>
    <row r="2943">
      <c r="A2943" s="19" t="n"/>
      <c r="B2943" s="15" t="n"/>
      <c r="C2943">
        <f>IF(B2943="","",IFERROR(INDEX(Items!$B$5:$B$304,MATCH(B2943,Items!$A$5:$A$304,0)),"Unknown code"))</f>
        <v/>
      </c>
      <c r="D2943" s="15" t="n"/>
      <c r="E2943" s="16" t="n"/>
      <c r="F2943" s="18">
        <f>IF(OR(D2943="",E2943=""),"",D2943*E2943)</f>
        <v/>
      </c>
      <c r="G2943" s="15" t="n"/>
    </row>
    <row r="2944">
      <c r="A2944" s="19" t="n"/>
      <c r="B2944" s="15" t="n"/>
      <c r="C2944">
        <f>IF(B2944="","",IFERROR(INDEX(Items!$B$5:$B$304,MATCH(B2944,Items!$A$5:$A$304,0)),"Unknown code"))</f>
        <v/>
      </c>
      <c r="D2944" s="15" t="n"/>
      <c r="E2944" s="16" t="n"/>
      <c r="F2944" s="18">
        <f>IF(OR(D2944="",E2944=""),"",D2944*E2944)</f>
        <v/>
      </c>
      <c r="G2944" s="15" t="n"/>
    </row>
    <row r="2945">
      <c r="A2945" s="19" t="n"/>
      <c r="B2945" s="15" t="n"/>
      <c r="C2945">
        <f>IF(B2945="","",IFERROR(INDEX(Items!$B$5:$B$304,MATCH(B2945,Items!$A$5:$A$304,0)),"Unknown code"))</f>
        <v/>
      </c>
      <c r="D2945" s="15" t="n"/>
      <c r="E2945" s="16" t="n"/>
      <c r="F2945" s="18">
        <f>IF(OR(D2945="",E2945=""),"",D2945*E2945)</f>
        <v/>
      </c>
      <c r="G2945" s="15" t="n"/>
    </row>
    <row r="2946">
      <c r="A2946" s="19" t="n"/>
      <c r="B2946" s="15" t="n"/>
      <c r="C2946">
        <f>IF(B2946="","",IFERROR(INDEX(Items!$B$5:$B$304,MATCH(B2946,Items!$A$5:$A$304,0)),"Unknown code"))</f>
        <v/>
      </c>
      <c r="D2946" s="15" t="n"/>
      <c r="E2946" s="16" t="n"/>
      <c r="F2946" s="18">
        <f>IF(OR(D2946="",E2946=""),"",D2946*E2946)</f>
        <v/>
      </c>
      <c r="G2946" s="15" t="n"/>
    </row>
    <row r="2947">
      <c r="A2947" s="19" t="n"/>
      <c r="B2947" s="15" t="n"/>
      <c r="C2947">
        <f>IF(B2947="","",IFERROR(INDEX(Items!$B$5:$B$304,MATCH(B2947,Items!$A$5:$A$304,0)),"Unknown code"))</f>
        <v/>
      </c>
      <c r="D2947" s="15" t="n"/>
      <c r="E2947" s="16" t="n"/>
      <c r="F2947" s="18">
        <f>IF(OR(D2947="",E2947=""),"",D2947*E2947)</f>
        <v/>
      </c>
      <c r="G2947" s="15" t="n"/>
    </row>
    <row r="2948">
      <c r="A2948" s="19" t="n"/>
      <c r="B2948" s="15" t="n"/>
      <c r="C2948">
        <f>IF(B2948="","",IFERROR(INDEX(Items!$B$5:$B$304,MATCH(B2948,Items!$A$5:$A$304,0)),"Unknown code"))</f>
        <v/>
      </c>
      <c r="D2948" s="15" t="n"/>
      <c r="E2948" s="16" t="n"/>
      <c r="F2948" s="18">
        <f>IF(OR(D2948="",E2948=""),"",D2948*E2948)</f>
        <v/>
      </c>
      <c r="G2948" s="15" t="n"/>
    </row>
    <row r="2949">
      <c r="A2949" s="19" t="n"/>
      <c r="B2949" s="15" t="n"/>
      <c r="C2949">
        <f>IF(B2949="","",IFERROR(INDEX(Items!$B$5:$B$304,MATCH(B2949,Items!$A$5:$A$304,0)),"Unknown code"))</f>
        <v/>
      </c>
      <c r="D2949" s="15" t="n"/>
      <c r="E2949" s="16" t="n"/>
      <c r="F2949" s="18">
        <f>IF(OR(D2949="",E2949=""),"",D2949*E2949)</f>
        <v/>
      </c>
      <c r="G2949" s="15" t="n"/>
    </row>
    <row r="2950">
      <c r="A2950" s="19" t="n"/>
      <c r="B2950" s="15" t="n"/>
      <c r="C2950">
        <f>IF(B2950="","",IFERROR(INDEX(Items!$B$5:$B$304,MATCH(B2950,Items!$A$5:$A$304,0)),"Unknown code"))</f>
        <v/>
      </c>
      <c r="D2950" s="15" t="n"/>
      <c r="E2950" s="16" t="n"/>
      <c r="F2950" s="18">
        <f>IF(OR(D2950="",E2950=""),"",D2950*E2950)</f>
        <v/>
      </c>
      <c r="G2950" s="15" t="n"/>
    </row>
    <row r="2951">
      <c r="A2951" s="19" t="n"/>
      <c r="B2951" s="15" t="n"/>
      <c r="C2951">
        <f>IF(B2951="","",IFERROR(INDEX(Items!$B$5:$B$304,MATCH(B2951,Items!$A$5:$A$304,0)),"Unknown code"))</f>
        <v/>
      </c>
      <c r="D2951" s="15" t="n"/>
      <c r="E2951" s="16" t="n"/>
      <c r="F2951" s="18">
        <f>IF(OR(D2951="",E2951=""),"",D2951*E2951)</f>
        <v/>
      </c>
      <c r="G2951" s="15" t="n"/>
    </row>
    <row r="2952">
      <c r="A2952" s="19" t="n"/>
      <c r="B2952" s="15" t="n"/>
      <c r="C2952">
        <f>IF(B2952="","",IFERROR(INDEX(Items!$B$5:$B$304,MATCH(B2952,Items!$A$5:$A$304,0)),"Unknown code"))</f>
        <v/>
      </c>
      <c r="D2952" s="15" t="n"/>
      <c r="E2952" s="16" t="n"/>
      <c r="F2952" s="18">
        <f>IF(OR(D2952="",E2952=""),"",D2952*E2952)</f>
        <v/>
      </c>
      <c r="G2952" s="15" t="n"/>
    </row>
    <row r="2953">
      <c r="A2953" s="19" t="n"/>
      <c r="B2953" s="15" t="n"/>
      <c r="C2953">
        <f>IF(B2953="","",IFERROR(INDEX(Items!$B$5:$B$304,MATCH(B2953,Items!$A$5:$A$304,0)),"Unknown code"))</f>
        <v/>
      </c>
      <c r="D2953" s="15" t="n"/>
      <c r="E2953" s="16" t="n"/>
      <c r="F2953" s="18">
        <f>IF(OR(D2953="",E2953=""),"",D2953*E2953)</f>
        <v/>
      </c>
      <c r="G2953" s="15" t="n"/>
    </row>
    <row r="2954">
      <c r="A2954" s="19" t="n"/>
      <c r="B2954" s="15" t="n"/>
      <c r="C2954">
        <f>IF(B2954="","",IFERROR(INDEX(Items!$B$5:$B$304,MATCH(B2954,Items!$A$5:$A$304,0)),"Unknown code"))</f>
        <v/>
      </c>
      <c r="D2954" s="15" t="n"/>
      <c r="E2954" s="16" t="n"/>
      <c r="F2954" s="18">
        <f>IF(OR(D2954="",E2954=""),"",D2954*E2954)</f>
        <v/>
      </c>
      <c r="G2954" s="15" t="n"/>
    </row>
    <row r="2955">
      <c r="A2955" s="19" t="n"/>
      <c r="B2955" s="15" t="n"/>
      <c r="C2955">
        <f>IF(B2955="","",IFERROR(INDEX(Items!$B$5:$B$304,MATCH(B2955,Items!$A$5:$A$304,0)),"Unknown code"))</f>
        <v/>
      </c>
      <c r="D2955" s="15" t="n"/>
      <c r="E2955" s="16" t="n"/>
      <c r="F2955" s="18">
        <f>IF(OR(D2955="",E2955=""),"",D2955*E2955)</f>
        <v/>
      </c>
      <c r="G2955" s="15" t="n"/>
    </row>
    <row r="2956">
      <c r="A2956" s="19" t="n"/>
      <c r="B2956" s="15" t="n"/>
      <c r="C2956">
        <f>IF(B2956="","",IFERROR(INDEX(Items!$B$5:$B$304,MATCH(B2956,Items!$A$5:$A$304,0)),"Unknown code"))</f>
        <v/>
      </c>
      <c r="D2956" s="15" t="n"/>
      <c r="E2956" s="16" t="n"/>
      <c r="F2956" s="18">
        <f>IF(OR(D2956="",E2956=""),"",D2956*E2956)</f>
        <v/>
      </c>
      <c r="G2956" s="15" t="n"/>
    </row>
    <row r="2957">
      <c r="A2957" s="19" t="n"/>
      <c r="B2957" s="15" t="n"/>
      <c r="C2957">
        <f>IF(B2957="","",IFERROR(INDEX(Items!$B$5:$B$304,MATCH(B2957,Items!$A$5:$A$304,0)),"Unknown code"))</f>
        <v/>
      </c>
      <c r="D2957" s="15" t="n"/>
      <c r="E2957" s="16" t="n"/>
      <c r="F2957" s="18">
        <f>IF(OR(D2957="",E2957=""),"",D2957*E2957)</f>
        <v/>
      </c>
      <c r="G2957" s="15" t="n"/>
    </row>
    <row r="2958">
      <c r="A2958" s="19" t="n"/>
      <c r="B2958" s="15" t="n"/>
      <c r="C2958">
        <f>IF(B2958="","",IFERROR(INDEX(Items!$B$5:$B$304,MATCH(B2958,Items!$A$5:$A$304,0)),"Unknown code"))</f>
        <v/>
      </c>
      <c r="D2958" s="15" t="n"/>
      <c r="E2958" s="16" t="n"/>
      <c r="F2958" s="18">
        <f>IF(OR(D2958="",E2958=""),"",D2958*E2958)</f>
        <v/>
      </c>
      <c r="G2958" s="15" t="n"/>
    </row>
    <row r="2959">
      <c r="A2959" s="19" t="n"/>
      <c r="B2959" s="15" t="n"/>
      <c r="C2959">
        <f>IF(B2959="","",IFERROR(INDEX(Items!$B$5:$B$304,MATCH(B2959,Items!$A$5:$A$304,0)),"Unknown code"))</f>
        <v/>
      </c>
      <c r="D2959" s="15" t="n"/>
      <c r="E2959" s="16" t="n"/>
      <c r="F2959" s="18">
        <f>IF(OR(D2959="",E2959=""),"",D2959*E2959)</f>
        <v/>
      </c>
      <c r="G2959" s="15" t="n"/>
    </row>
    <row r="2960">
      <c r="A2960" s="19" t="n"/>
      <c r="B2960" s="15" t="n"/>
      <c r="C2960">
        <f>IF(B2960="","",IFERROR(INDEX(Items!$B$5:$B$304,MATCH(B2960,Items!$A$5:$A$304,0)),"Unknown code"))</f>
        <v/>
      </c>
      <c r="D2960" s="15" t="n"/>
      <c r="E2960" s="16" t="n"/>
      <c r="F2960" s="18">
        <f>IF(OR(D2960="",E2960=""),"",D2960*E2960)</f>
        <v/>
      </c>
      <c r="G2960" s="15" t="n"/>
    </row>
    <row r="2961">
      <c r="A2961" s="19" t="n"/>
      <c r="B2961" s="15" t="n"/>
      <c r="C2961">
        <f>IF(B2961="","",IFERROR(INDEX(Items!$B$5:$B$304,MATCH(B2961,Items!$A$5:$A$304,0)),"Unknown code"))</f>
        <v/>
      </c>
      <c r="D2961" s="15" t="n"/>
      <c r="E2961" s="16" t="n"/>
      <c r="F2961" s="18">
        <f>IF(OR(D2961="",E2961=""),"",D2961*E2961)</f>
        <v/>
      </c>
      <c r="G2961" s="15" t="n"/>
    </row>
    <row r="2962">
      <c r="A2962" s="19" t="n"/>
      <c r="B2962" s="15" t="n"/>
      <c r="C2962">
        <f>IF(B2962="","",IFERROR(INDEX(Items!$B$5:$B$304,MATCH(B2962,Items!$A$5:$A$304,0)),"Unknown code"))</f>
        <v/>
      </c>
      <c r="D2962" s="15" t="n"/>
      <c r="E2962" s="16" t="n"/>
      <c r="F2962" s="18">
        <f>IF(OR(D2962="",E2962=""),"",D2962*E2962)</f>
        <v/>
      </c>
      <c r="G2962" s="15" t="n"/>
    </row>
    <row r="2963">
      <c r="A2963" s="19" t="n"/>
      <c r="B2963" s="15" t="n"/>
      <c r="C2963">
        <f>IF(B2963="","",IFERROR(INDEX(Items!$B$5:$B$304,MATCH(B2963,Items!$A$5:$A$304,0)),"Unknown code"))</f>
        <v/>
      </c>
      <c r="D2963" s="15" t="n"/>
      <c r="E2963" s="16" t="n"/>
      <c r="F2963" s="18">
        <f>IF(OR(D2963="",E2963=""),"",D2963*E2963)</f>
        <v/>
      </c>
      <c r="G2963" s="15" t="n"/>
    </row>
    <row r="2964">
      <c r="A2964" s="19" t="n"/>
      <c r="B2964" s="15" t="n"/>
      <c r="C2964">
        <f>IF(B2964="","",IFERROR(INDEX(Items!$B$5:$B$304,MATCH(B2964,Items!$A$5:$A$304,0)),"Unknown code"))</f>
        <v/>
      </c>
      <c r="D2964" s="15" t="n"/>
      <c r="E2964" s="16" t="n"/>
      <c r="F2964" s="18">
        <f>IF(OR(D2964="",E2964=""),"",D2964*E2964)</f>
        <v/>
      </c>
      <c r="G2964" s="15" t="n"/>
    </row>
    <row r="2965">
      <c r="A2965" s="19" t="n"/>
      <c r="B2965" s="15" t="n"/>
      <c r="C2965">
        <f>IF(B2965="","",IFERROR(INDEX(Items!$B$5:$B$304,MATCH(B2965,Items!$A$5:$A$304,0)),"Unknown code"))</f>
        <v/>
      </c>
      <c r="D2965" s="15" t="n"/>
      <c r="E2965" s="16" t="n"/>
      <c r="F2965" s="18">
        <f>IF(OR(D2965="",E2965=""),"",D2965*E2965)</f>
        <v/>
      </c>
      <c r="G2965" s="15" t="n"/>
    </row>
    <row r="2966">
      <c r="A2966" s="19" t="n"/>
      <c r="B2966" s="15" t="n"/>
      <c r="C2966">
        <f>IF(B2966="","",IFERROR(INDEX(Items!$B$5:$B$304,MATCH(B2966,Items!$A$5:$A$304,0)),"Unknown code"))</f>
        <v/>
      </c>
      <c r="D2966" s="15" t="n"/>
      <c r="E2966" s="16" t="n"/>
      <c r="F2966" s="18">
        <f>IF(OR(D2966="",E2966=""),"",D2966*E2966)</f>
        <v/>
      </c>
      <c r="G2966" s="15" t="n"/>
    </row>
    <row r="2967">
      <c r="A2967" s="19" t="n"/>
      <c r="B2967" s="15" t="n"/>
      <c r="C2967">
        <f>IF(B2967="","",IFERROR(INDEX(Items!$B$5:$B$304,MATCH(B2967,Items!$A$5:$A$304,0)),"Unknown code"))</f>
        <v/>
      </c>
      <c r="D2967" s="15" t="n"/>
      <c r="E2967" s="16" t="n"/>
      <c r="F2967" s="18">
        <f>IF(OR(D2967="",E2967=""),"",D2967*E2967)</f>
        <v/>
      </c>
      <c r="G2967" s="15" t="n"/>
    </row>
    <row r="2968">
      <c r="A2968" s="19" t="n"/>
      <c r="B2968" s="15" t="n"/>
      <c r="C2968">
        <f>IF(B2968="","",IFERROR(INDEX(Items!$B$5:$B$304,MATCH(B2968,Items!$A$5:$A$304,0)),"Unknown code"))</f>
        <v/>
      </c>
      <c r="D2968" s="15" t="n"/>
      <c r="E2968" s="16" t="n"/>
      <c r="F2968" s="18">
        <f>IF(OR(D2968="",E2968=""),"",D2968*E2968)</f>
        <v/>
      </c>
      <c r="G2968" s="15" t="n"/>
    </row>
    <row r="2969">
      <c r="A2969" s="19" t="n"/>
      <c r="B2969" s="15" t="n"/>
      <c r="C2969">
        <f>IF(B2969="","",IFERROR(INDEX(Items!$B$5:$B$304,MATCH(B2969,Items!$A$5:$A$304,0)),"Unknown code"))</f>
        <v/>
      </c>
      <c r="D2969" s="15" t="n"/>
      <c r="E2969" s="16" t="n"/>
      <c r="F2969" s="18">
        <f>IF(OR(D2969="",E2969=""),"",D2969*E2969)</f>
        <v/>
      </c>
      <c r="G2969" s="15" t="n"/>
    </row>
    <row r="2970">
      <c r="A2970" s="19" t="n"/>
      <c r="B2970" s="15" t="n"/>
      <c r="C2970">
        <f>IF(B2970="","",IFERROR(INDEX(Items!$B$5:$B$304,MATCH(B2970,Items!$A$5:$A$304,0)),"Unknown code"))</f>
        <v/>
      </c>
      <c r="D2970" s="15" t="n"/>
      <c r="E2970" s="16" t="n"/>
      <c r="F2970" s="18">
        <f>IF(OR(D2970="",E2970=""),"",D2970*E2970)</f>
        <v/>
      </c>
      <c r="G2970" s="15" t="n"/>
    </row>
    <row r="2971">
      <c r="A2971" s="19" t="n"/>
      <c r="B2971" s="15" t="n"/>
      <c r="C2971">
        <f>IF(B2971="","",IFERROR(INDEX(Items!$B$5:$B$304,MATCH(B2971,Items!$A$5:$A$304,0)),"Unknown code"))</f>
        <v/>
      </c>
      <c r="D2971" s="15" t="n"/>
      <c r="E2971" s="16" t="n"/>
      <c r="F2971" s="18">
        <f>IF(OR(D2971="",E2971=""),"",D2971*E2971)</f>
        <v/>
      </c>
      <c r="G2971" s="15" t="n"/>
    </row>
    <row r="2972">
      <c r="A2972" s="19" t="n"/>
      <c r="B2972" s="15" t="n"/>
      <c r="C2972">
        <f>IF(B2972="","",IFERROR(INDEX(Items!$B$5:$B$304,MATCH(B2972,Items!$A$5:$A$304,0)),"Unknown code"))</f>
        <v/>
      </c>
      <c r="D2972" s="15" t="n"/>
      <c r="E2972" s="16" t="n"/>
      <c r="F2972" s="18">
        <f>IF(OR(D2972="",E2972=""),"",D2972*E2972)</f>
        <v/>
      </c>
      <c r="G2972" s="15" t="n"/>
    </row>
    <row r="2973">
      <c r="A2973" s="19" t="n"/>
      <c r="B2973" s="15" t="n"/>
      <c r="C2973">
        <f>IF(B2973="","",IFERROR(INDEX(Items!$B$5:$B$304,MATCH(B2973,Items!$A$5:$A$304,0)),"Unknown code"))</f>
        <v/>
      </c>
      <c r="D2973" s="15" t="n"/>
      <c r="E2973" s="16" t="n"/>
      <c r="F2973" s="18">
        <f>IF(OR(D2973="",E2973=""),"",D2973*E2973)</f>
        <v/>
      </c>
      <c r="G2973" s="15" t="n"/>
    </row>
    <row r="2974">
      <c r="A2974" s="19" t="n"/>
      <c r="B2974" s="15" t="n"/>
      <c r="C2974">
        <f>IF(B2974="","",IFERROR(INDEX(Items!$B$5:$B$304,MATCH(B2974,Items!$A$5:$A$304,0)),"Unknown code"))</f>
        <v/>
      </c>
      <c r="D2974" s="15" t="n"/>
      <c r="E2974" s="16" t="n"/>
      <c r="F2974" s="18">
        <f>IF(OR(D2974="",E2974=""),"",D2974*E2974)</f>
        <v/>
      </c>
      <c r="G2974" s="15" t="n"/>
    </row>
    <row r="2975">
      <c r="A2975" s="19" t="n"/>
      <c r="B2975" s="15" t="n"/>
      <c r="C2975">
        <f>IF(B2975="","",IFERROR(INDEX(Items!$B$5:$B$304,MATCH(B2975,Items!$A$5:$A$304,0)),"Unknown code"))</f>
        <v/>
      </c>
      <c r="D2975" s="15" t="n"/>
      <c r="E2975" s="16" t="n"/>
      <c r="F2975" s="18">
        <f>IF(OR(D2975="",E2975=""),"",D2975*E2975)</f>
        <v/>
      </c>
      <c r="G2975" s="15" t="n"/>
    </row>
    <row r="2976">
      <c r="A2976" s="19" t="n"/>
      <c r="B2976" s="15" t="n"/>
      <c r="C2976">
        <f>IF(B2976="","",IFERROR(INDEX(Items!$B$5:$B$304,MATCH(B2976,Items!$A$5:$A$304,0)),"Unknown code"))</f>
        <v/>
      </c>
      <c r="D2976" s="15" t="n"/>
      <c r="E2976" s="16" t="n"/>
      <c r="F2976" s="18">
        <f>IF(OR(D2976="",E2976=""),"",D2976*E2976)</f>
        <v/>
      </c>
      <c r="G2976" s="15" t="n"/>
    </row>
    <row r="2977">
      <c r="A2977" s="19" t="n"/>
      <c r="B2977" s="15" t="n"/>
      <c r="C2977">
        <f>IF(B2977="","",IFERROR(INDEX(Items!$B$5:$B$304,MATCH(B2977,Items!$A$5:$A$304,0)),"Unknown code"))</f>
        <v/>
      </c>
      <c r="D2977" s="15" t="n"/>
      <c r="E2977" s="16" t="n"/>
      <c r="F2977" s="18">
        <f>IF(OR(D2977="",E2977=""),"",D2977*E2977)</f>
        <v/>
      </c>
      <c r="G2977" s="15" t="n"/>
    </row>
    <row r="2978">
      <c r="A2978" s="19" t="n"/>
      <c r="B2978" s="15" t="n"/>
      <c r="C2978">
        <f>IF(B2978="","",IFERROR(INDEX(Items!$B$5:$B$304,MATCH(B2978,Items!$A$5:$A$304,0)),"Unknown code"))</f>
        <v/>
      </c>
      <c r="D2978" s="15" t="n"/>
      <c r="E2978" s="16" t="n"/>
      <c r="F2978" s="18">
        <f>IF(OR(D2978="",E2978=""),"",D2978*E2978)</f>
        <v/>
      </c>
      <c r="G2978" s="15" t="n"/>
    </row>
    <row r="2979">
      <c r="A2979" s="19" t="n"/>
      <c r="B2979" s="15" t="n"/>
      <c r="C2979">
        <f>IF(B2979="","",IFERROR(INDEX(Items!$B$5:$B$304,MATCH(B2979,Items!$A$5:$A$304,0)),"Unknown code"))</f>
        <v/>
      </c>
      <c r="D2979" s="15" t="n"/>
      <c r="E2979" s="16" t="n"/>
      <c r="F2979" s="18">
        <f>IF(OR(D2979="",E2979=""),"",D2979*E2979)</f>
        <v/>
      </c>
      <c r="G2979" s="15" t="n"/>
    </row>
    <row r="2980">
      <c r="A2980" s="19" t="n"/>
      <c r="B2980" s="15" t="n"/>
      <c r="C2980">
        <f>IF(B2980="","",IFERROR(INDEX(Items!$B$5:$B$304,MATCH(B2980,Items!$A$5:$A$304,0)),"Unknown code"))</f>
        <v/>
      </c>
      <c r="D2980" s="15" t="n"/>
      <c r="E2980" s="16" t="n"/>
      <c r="F2980" s="18">
        <f>IF(OR(D2980="",E2980=""),"",D2980*E2980)</f>
        <v/>
      </c>
      <c r="G2980" s="15" t="n"/>
    </row>
    <row r="2981">
      <c r="A2981" s="19" t="n"/>
      <c r="B2981" s="15" t="n"/>
      <c r="C2981">
        <f>IF(B2981="","",IFERROR(INDEX(Items!$B$5:$B$304,MATCH(B2981,Items!$A$5:$A$304,0)),"Unknown code"))</f>
        <v/>
      </c>
      <c r="D2981" s="15" t="n"/>
      <c r="E2981" s="16" t="n"/>
      <c r="F2981" s="18">
        <f>IF(OR(D2981="",E2981=""),"",D2981*E2981)</f>
        <v/>
      </c>
      <c r="G2981" s="15" t="n"/>
    </row>
    <row r="2982">
      <c r="A2982" s="19" t="n"/>
      <c r="B2982" s="15" t="n"/>
      <c r="C2982">
        <f>IF(B2982="","",IFERROR(INDEX(Items!$B$5:$B$304,MATCH(B2982,Items!$A$5:$A$304,0)),"Unknown code"))</f>
        <v/>
      </c>
      <c r="D2982" s="15" t="n"/>
      <c r="E2982" s="16" t="n"/>
      <c r="F2982" s="18">
        <f>IF(OR(D2982="",E2982=""),"",D2982*E2982)</f>
        <v/>
      </c>
      <c r="G2982" s="15" t="n"/>
    </row>
    <row r="2983">
      <c r="A2983" s="19" t="n"/>
      <c r="B2983" s="15" t="n"/>
      <c r="C2983">
        <f>IF(B2983="","",IFERROR(INDEX(Items!$B$5:$B$304,MATCH(B2983,Items!$A$5:$A$304,0)),"Unknown code"))</f>
        <v/>
      </c>
      <c r="D2983" s="15" t="n"/>
      <c r="E2983" s="16" t="n"/>
      <c r="F2983" s="18">
        <f>IF(OR(D2983="",E2983=""),"",D2983*E2983)</f>
        <v/>
      </c>
      <c r="G2983" s="15" t="n"/>
    </row>
    <row r="2984">
      <c r="A2984" s="19" t="n"/>
      <c r="B2984" s="15" t="n"/>
      <c r="C2984">
        <f>IF(B2984="","",IFERROR(INDEX(Items!$B$5:$B$304,MATCH(B2984,Items!$A$5:$A$304,0)),"Unknown code"))</f>
        <v/>
      </c>
      <c r="D2984" s="15" t="n"/>
      <c r="E2984" s="16" t="n"/>
      <c r="F2984" s="18">
        <f>IF(OR(D2984="",E2984=""),"",D2984*E2984)</f>
        <v/>
      </c>
      <c r="G2984" s="15" t="n"/>
    </row>
    <row r="2985">
      <c r="A2985" s="19" t="n"/>
      <c r="B2985" s="15" t="n"/>
      <c r="C2985">
        <f>IF(B2985="","",IFERROR(INDEX(Items!$B$5:$B$304,MATCH(B2985,Items!$A$5:$A$304,0)),"Unknown code"))</f>
        <v/>
      </c>
      <c r="D2985" s="15" t="n"/>
      <c r="E2985" s="16" t="n"/>
      <c r="F2985" s="18">
        <f>IF(OR(D2985="",E2985=""),"",D2985*E2985)</f>
        <v/>
      </c>
      <c r="G2985" s="15" t="n"/>
    </row>
    <row r="2986">
      <c r="A2986" s="19" t="n"/>
      <c r="B2986" s="15" t="n"/>
      <c r="C2986">
        <f>IF(B2986="","",IFERROR(INDEX(Items!$B$5:$B$304,MATCH(B2986,Items!$A$5:$A$304,0)),"Unknown code"))</f>
        <v/>
      </c>
      <c r="D2986" s="15" t="n"/>
      <c r="E2986" s="16" t="n"/>
      <c r="F2986" s="18">
        <f>IF(OR(D2986="",E2986=""),"",D2986*E2986)</f>
        <v/>
      </c>
      <c r="G2986" s="15" t="n"/>
    </row>
    <row r="2987">
      <c r="A2987" s="19" t="n"/>
      <c r="B2987" s="15" t="n"/>
      <c r="C2987">
        <f>IF(B2987="","",IFERROR(INDEX(Items!$B$5:$B$304,MATCH(B2987,Items!$A$5:$A$304,0)),"Unknown code"))</f>
        <v/>
      </c>
      <c r="D2987" s="15" t="n"/>
      <c r="E2987" s="16" t="n"/>
      <c r="F2987" s="18">
        <f>IF(OR(D2987="",E2987=""),"",D2987*E2987)</f>
        <v/>
      </c>
      <c r="G2987" s="15" t="n"/>
    </row>
    <row r="2988">
      <c r="A2988" s="19" t="n"/>
      <c r="B2988" s="15" t="n"/>
      <c r="C2988">
        <f>IF(B2988="","",IFERROR(INDEX(Items!$B$5:$B$304,MATCH(B2988,Items!$A$5:$A$304,0)),"Unknown code"))</f>
        <v/>
      </c>
      <c r="D2988" s="15" t="n"/>
      <c r="E2988" s="16" t="n"/>
      <c r="F2988" s="18">
        <f>IF(OR(D2988="",E2988=""),"",D2988*E2988)</f>
        <v/>
      </c>
      <c r="G2988" s="15" t="n"/>
    </row>
    <row r="2989">
      <c r="A2989" s="19" t="n"/>
      <c r="B2989" s="15" t="n"/>
      <c r="C2989">
        <f>IF(B2989="","",IFERROR(INDEX(Items!$B$5:$B$304,MATCH(B2989,Items!$A$5:$A$304,0)),"Unknown code"))</f>
        <v/>
      </c>
      <c r="D2989" s="15" t="n"/>
      <c r="E2989" s="16" t="n"/>
      <c r="F2989" s="18">
        <f>IF(OR(D2989="",E2989=""),"",D2989*E2989)</f>
        <v/>
      </c>
      <c r="G2989" s="15" t="n"/>
    </row>
    <row r="2990">
      <c r="A2990" s="19" t="n"/>
      <c r="B2990" s="15" t="n"/>
      <c r="C2990">
        <f>IF(B2990="","",IFERROR(INDEX(Items!$B$5:$B$304,MATCH(B2990,Items!$A$5:$A$304,0)),"Unknown code"))</f>
        <v/>
      </c>
      <c r="D2990" s="15" t="n"/>
      <c r="E2990" s="16" t="n"/>
      <c r="F2990" s="18">
        <f>IF(OR(D2990="",E2990=""),"",D2990*E2990)</f>
        <v/>
      </c>
      <c r="G2990" s="15" t="n"/>
    </row>
    <row r="2991">
      <c r="A2991" s="19" t="n"/>
      <c r="B2991" s="15" t="n"/>
      <c r="C2991">
        <f>IF(B2991="","",IFERROR(INDEX(Items!$B$5:$B$304,MATCH(B2991,Items!$A$5:$A$304,0)),"Unknown code"))</f>
        <v/>
      </c>
      <c r="D2991" s="15" t="n"/>
      <c r="E2991" s="16" t="n"/>
      <c r="F2991" s="18">
        <f>IF(OR(D2991="",E2991=""),"",D2991*E2991)</f>
        <v/>
      </c>
      <c r="G2991" s="15" t="n"/>
    </row>
    <row r="2992">
      <c r="A2992" s="19" t="n"/>
      <c r="B2992" s="15" t="n"/>
      <c r="C2992">
        <f>IF(B2992="","",IFERROR(INDEX(Items!$B$5:$B$304,MATCH(B2992,Items!$A$5:$A$304,0)),"Unknown code"))</f>
        <v/>
      </c>
      <c r="D2992" s="15" t="n"/>
      <c r="E2992" s="16" t="n"/>
      <c r="F2992" s="18">
        <f>IF(OR(D2992="",E2992=""),"",D2992*E2992)</f>
        <v/>
      </c>
      <c r="G2992" s="15" t="n"/>
    </row>
    <row r="2993">
      <c r="A2993" s="19" t="n"/>
      <c r="B2993" s="15" t="n"/>
      <c r="C2993">
        <f>IF(B2993="","",IFERROR(INDEX(Items!$B$5:$B$304,MATCH(B2993,Items!$A$5:$A$304,0)),"Unknown code"))</f>
        <v/>
      </c>
      <c r="D2993" s="15" t="n"/>
      <c r="E2993" s="16" t="n"/>
      <c r="F2993" s="18">
        <f>IF(OR(D2993="",E2993=""),"",D2993*E2993)</f>
        <v/>
      </c>
      <c r="G2993" s="15" t="n"/>
    </row>
    <row r="2994">
      <c r="A2994" s="19" t="n"/>
      <c r="B2994" s="15" t="n"/>
      <c r="C2994">
        <f>IF(B2994="","",IFERROR(INDEX(Items!$B$5:$B$304,MATCH(B2994,Items!$A$5:$A$304,0)),"Unknown code"))</f>
        <v/>
      </c>
      <c r="D2994" s="15" t="n"/>
      <c r="E2994" s="16" t="n"/>
      <c r="F2994" s="18">
        <f>IF(OR(D2994="",E2994=""),"",D2994*E2994)</f>
        <v/>
      </c>
      <c r="G2994" s="15" t="n"/>
    </row>
    <row r="2995">
      <c r="A2995" s="19" t="n"/>
      <c r="B2995" s="15" t="n"/>
      <c r="C2995">
        <f>IF(B2995="","",IFERROR(INDEX(Items!$B$5:$B$304,MATCH(B2995,Items!$A$5:$A$304,0)),"Unknown code"))</f>
        <v/>
      </c>
      <c r="D2995" s="15" t="n"/>
      <c r="E2995" s="16" t="n"/>
      <c r="F2995" s="18">
        <f>IF(OR(D2995="",E2995=""),"",D2995*E2995)</f>
        <v/>
      </c>
      <c r="G2995" s="15" t="n"/>
    </row>
    <row r="2996">
      <c r="A2996" s="19" t="n"/>
      <c r="B2996" s="15" t="n"/>
      <c r="C2996">
        <f>IF(B2996="","",IFERROR(INDEX(Items!$B$5:$B$304,MATCH(B2996,Items!$A$5:$A$304,0)),"Unknown code"))</f>
        <v/>
      </c>
      <c r="D2996" s="15" t="n"/>
      <c r="E2996" s="16" t="n"/>
      <c r="F2996" s="18">
        <f>IF(OR(D2996="",E2996=""),"",D2996*E2996)</f>
        <v/>
      </c>
      <c r="G2996" s="15" t="n"/>
    </row>
    <row r="2997">
      <c r="A2997" s="19" t="n"/>
      <c r="B2997" s="15" t="n"/>
      <c r="C2997">
        <f>IF(B2997="","",IFERROR(INDEX(Items!$B$5:$B$304,MATCH(B2997,Items!$A$5:$A$304,0)),"Unknown code"))</f>
        <v/>
      </c>
      <c r="D2997" s="15" t="n"/>
      <c r="E2997" s="16" t="n"/>
      <c r="F2997" s="18">
        <f>IF(OR(D2997="",E2997=""),"",D2997*E2997)</f>
        <v/>
      </c>
      <c r="G2997" s="15" t="n"/>
    </row>
    <row r="2998">
      <c r="A2998" s="19" t="n"/>
      <c r="B2998" s="15" t="n"/>
      <c r="C2998">
        <f>IF(B2998="","",IFERROR(INDEX(Items!$B$5:$B$304,MATCH(B2998,Items!$A$5:$A$304,0)),"Unknown code"))</f>
        <v/>
      </c>
      <c r="D2998" s="15" t="n"/>
      <c r="E2998" s="16" t="n"/>
      <c r="F2998" s="18">
        <f>IF(OR(D2998="",E2998=""),"",D2998*E2998)</f>
        <v/>
      </c>
      <c r="G2998" s="15" t="n"/>
    </row>
    <row r="2999">
      <c r="A2999" s="19" t="n"/>
      <c r="B2999" s="15" t="n"/>
      <c r="C2999">
        <f>IF(B2999="","",IFERROR(INDEX(Items!$B$5:$B$304,MATCH(B2999,Items!$A$5:$A$304,0)),"Unknown code"))</f>
        <v/>
      </c>
      <c r="D2999" s="15" t="n"/>
      <c r="E2999" s="16" t="n"/>
      <c r="F2999" s="18">
        <f>IF(OR(D2999="",E2999=""),"",D2999*E2999)</f>
        <v/>
      </c>
      <c r="G2999" s="15" t="n"/>
    </row>
    <row r="3000">
      <c r="A3000" s="19" t="n"/>
      <c r="B3000" s="15" t="n"/>
      <c r="C3000">
        <f>IF(B3000="","",IFERROR(INDEX(Items!$B$5:$B$304,MATCH(B3000,Items!$A$5:$A$304,0)),"Unknown code"))</f>
        <v/>
      </c>
      <c r="D3000" s="15" t="n"/>
      <c r="E3000" s="16" t="n"/>
      <c r="F3000" s="18">
        <f>IF(OR(D3000="",E3000=""),"",D3000*E3000)</f>
        <v/>
      </c>
      <c r="G3000" s="15" t="n"/>
    </row>
    <row r="3001">
      <c r="A3001" s="19" t="n"/>
      <c r="B3001" s="15" t="n"/>
      <c r="C3001">
        <f>IF(B3001="","",IFERROR(INDEX(Items!$B$5:$B$304,MATCH(B3001,Items!$A$5:$A$304,0)),"Unknown code"))</f>
        <v/>
      </c>
      <c r="D3001" s="15" t="n"/>
      <c r="E3001" s="16" t="n"/>
      <c r="F3001" s="18">
        <f>IF(OR(D3001="",E3001=""),"",D3001*E3001)</f>
        <v/>
      </c>
      <c r="G3001" s="15" t="n"/>
    </row>
    <row r="3002">
      <c r="A3002" s="19" t="n"/>
      <c r="B3002" s="15" t="n"/>
      <c r="C3002">
        <f>IF(B3002="","",IFERROR(INDEX(Items!$B$5:$B$304,MATCH(B3002,Items!$A$5:$A$304,0)),"Unknown code"))</f>
        <v/>
      </c>
      <c r="D3002" s="15" t="n"/>
      <c r="E3002" s="16" t="n"/>
      <c r="F3002" s="18">
        <f>IF(OR(D3002="",E3002=""),"",D3002*E3002)</f>
        <v/>
      </c>
      <c r="G3002" s="15" t="n"/>
    </row>
    <row r="3003">
      <c r="A3003" s="19" t="n"/>
      <c r="B3003" s="15" t="n"/>
      <c r="C3003">
        <f>IF(B3003="","",IFERROR(INDEX(Items!$B$5:$B$304,MATCH(B3003,Items!$A$5:$A$304,0)),"Unknown code"))</f>
        <v/>
      </c>
      <c r="D3003" s="15" t="n"/>
      <c r="E3003" s="16" t="n"/>
      <c r="F3003" s="18">
        <f>IF(OR(D3003="",E3003=""),"",D3003*E3003)</f>
        <v/>
      </c>
      <c r="G3003" s="15" t="n"/>
    </row>
    <row r="3004">
      <c r="A3004" s="19" t="n"/>
      <c r="B3004" s="15" t="n"/>
      <c r="C3004">
        <f>IF(B3004="","",IFERROR(INDEX(Items!$B$5:$B$304,MATCH(B3004,Items!$A$5:$A$304,0)),"Unknown code"))</f>
        <v/>
      </c>
      <c r="D3004" s="15" t="n"/>
      <c r="E3004" s="16" t="n"/>
      <c r="F3004" s="18">
        <f>IF(OR(D3004="",E3004=""),"",D3004*E3004)</f>
        <v/>
      </c>
      <c r="G3004" s="15" t="n"/>
    </row>
  </sheetData>
  <mergeCells count="1">
    <mergeCell ref="A1:G1"/>
  </mergeCells>
  <dataValidations count="1">
    <dataValidation sqref="B5:B3004" showDropDown="0" showInputMessage="0" showErrorMessage="0" allowBlank="1" type="list">
      <formula1>Items!$A$5:$A$304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2026-10-02T19:30:33Z</dcterms:created>
  <dcterms:modified xmlns:dcterms="http://purl.org/dc/terms/" xmlns:xsi="http://www.w3.org/2001/XMLSchema-instance" xsi:type="dcterms:W3CDTF">2026-10-02T19:30:34Z</dcterms:modified>
</cp:coreProperties>
</file>